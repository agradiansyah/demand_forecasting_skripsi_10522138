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ac/streamlit-skripsi/Dataset/"/>
    </mc:Choice>
  </mc:AlternateContent>
  <xr:revisionPtr revIDLastSave="0" documentId="13_ncr:1_{74E46463-DA13-E445-AB96-07D36960FE9C}" xr6:coauthVersionLast="47" xr6:coauthVersionMax="47" xr10:uidLastSave="{00000000-0000-0000-0000-000000000000}"/>
  <bookViews>
    <workbookView xWindow="0" yWindow="500" windowWidth="28800" windowHeight="17500" activeTab="3" xr2:uid="{00000000-000D-0000-FFFF-FFFF00000000}"/>
  </bookViews>
  <sheets>
    <sheet name="Master" sheetId="1" r:id="rId1"/>
    <sheet name="Kesimpulan Menu" sheetId="2" r:id="rId2"/>
    <sheet name="Menu Kitchen" sheetId="3" r:id="rId3"/>
    <sheet name="Production Kitchen" sheetId="4" r:id="rId4"/>
    <sheet name="Menu Bar" sheetId="5" r:id="rId5"/>
    <sheet name="Production Bar" sheetId="6" r:id="rId6"/>
    <sheet name="List Bahan Burtok" sheetId="7" r:id="rId7"/>
    <sheet name="History Sept 22" sheetId="8" state="hidden" r:id="rId8"/>
    <sheet name="History Juli 2022" sheetId="9" state="hidden" r:id="rId9"/>
    <sheet name="History Juni 2022" sheetId="10" state="hidden" r:id="rId10"/>
    <sheet name="History Mei 2022" sheetId="11" state="hidden" r:id="rId11"/>
    <sheet name="PH" sheetId="12" state="hidden" r:id="rId12"/>
    <sheet name="History April 2022" sheetId="13" state="hidden" r:id="rId13"/>
    <sheet name="History Mar 2022" sheetId="14" state="hidden" r:id="rId14"/>
    <sheet name="History Des 2021" sheetId="15" state="hidden" r:id="rId15"/>
    <sheet name="History Jan 2022" sheetId="16" state="hidden" r:id="rId16"/>
    <sheet name="History Feb 2022" sheetId="17" state="hidden" r:id="rId17"/>
  </sheets>
  <externalReferences>
    <externalReference r:id="rId18"/>
  </externalReferences>
  <definedNames>
    <definedName name="_xlnm._FilterDatabase" localSheetId="6" hidden="1">'List Bahan Burtok'!$A$2:$Q$50</definedName>
    <definedName name="_xlnm._FilterDatabase" localSheetId="0" hidden="1">Master!$A$6:$AH$1873</definedName>
    <definedName name="_xlnm._FilterDatabase" localSheetId="5" hidden="1">'Production Bar'!$A$5:$Z$44</definedName>
    <definedName name="_xlnm._FilterDatabase" localSheetId="3" hidden="1">'Production Kitchen'!$A$5:$L$1030</definedName>
    <definedName name="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378" i="4" l="1"/>
  <c r="D365" i="4"/>
  <c r="D352" i="4"/>
  <c r="D333" i="4"/>
  <c r="D318" i="4"/>
  <c r="D295" i="4"/>
  <c r="D292" i="4"/>
  <c r="D195" i="4"/>
  <c r="D187" i="4"/>
  <c r="D145" i="4"/>
  <c r="D139" i="4"/>
  <c r="D111" i="4"/>
  <c r="D104" i="4"/>
  <c r="D98" i="4"/>
  <c r="D95" i="4"/>
  <c r="D79" i="4"/>
  <c r="D74" i="4"/>
  <c r="D44" i="4"/>
  <c r="D37" i="4"/>
  <c r="D28" i="4"/>
  <c r="D17" i="4"/>
  <c r="D6" i="4"/>
  <c r="E32" i="3"/>
  <c r="D119" i="4"/>
  <c r="D129" i="4"/>
  <c r="L433" i="17"/>
  <c r="L432" i="17"/>
  <c r="L431" i="17"/>
  <c r="L430" i="17"/>
  <c r="L429" i="17"/>
  <c r="L428" i="17"/>
  <c r="L427" i="17"/>
  <c r="L426" i="17"/>
  <c r="L425" i="17"/>
  <c r="L424" i="17"/>
  <c r="L423" i="17"/>
  <c r="L422" i="17"/>
  <c r="L421" i="17"/>
  <c r="L420" i="17"/>
  <c r="J420" i="17"/>
  <c r="L419" i="17"/>
  <c r="L418" i="17"/>
  <c r="L417" i="17"/>
  <c r="L416" i="17"/>
  <c r="K415" i="17"/>
  <c r="L415" i="17" s="1"/>
  <c r="L414" i="17"/>
  <c r="L413" i="17"/>
  <c r="L412" i="17"/>
  <c r="L411" i="17"/>
  <c r="L410" i="17"/>
  <c r="L409" i="17"/>
  <c r="L408" i="17"/>
  <c r="L407" i="17"/>
  <c r="L406" i="17"/>
  <c r="L404" i="17" s="1"/>
  <c r="H404" i="17"/>
  <c r="J403" i="17"/>
  <c r="K401" i="17"/>
  <c r="L401" i="17" s="1"/>
  <c r="L400" i="17"/>
  <c r="L399" i="17"/>
  <c r="L398" i="17"/>
  <c r="L397" i="17"/>
  <c r="L396" i="17"/>
  <c r="L395" i="17"/>
  <c r="L394" i="17"/>
  <c r="L392" i="17"/>
  <c r="H392" i="17"/>
  <c r="J391" i="17"/>
  <c r="L389" i="17"/>
  <c r="L388" i="17"/>
  <c r="L387" i="17"/>
  <c r="L386" i="17"/>
  <c r="L385" i="17"/>
  <c r="L384" i="17"/>
  <c r="L383" i="17"/>
  <c r="L382" i="17"/>
  <c r="L381" i="17"/>
  <c r="L380" i="17"/>
  <c r="L379" i="17"/>
  <c r="K378" i="17"/>
  <c r="L378" i="17" s="1"/>
  <c r="L377" i="17"/>
  <c r="L376" i="17"/>
  <c r="L375" i="17"/>
  <c r="L374" i="17"/>
  <c r="L373" i="17"/>
  <c r="L372" i="17"/>
  <c r="L371" i="17"/>
  <c r="L370" i="17"/>
  <c r="L369" i="17"/>
  <c r="L368" i="17"/>
  <c r="L367" i="17"/>
  <c r="K366" i="17"/>
  <c r="L366" i="17" s="1"/>
  <c r="L365" i="17"/>
  <c r="L364" i="17"/>
  <c r="L363" i="17"/>
  <c r="L362" i="17"/>
  <c r="L361" i="17"/>
  <c r="L360" i="17"/>
  <c r="L359" i="17"/>
  <c r="L358" i="17"/>
  <c r="L357" i="17"/>
  <c r="L356" i="17"/>
  <c r="L354" i="17"/>
  <c r="H354" i="17"/>
  <c r="J353" i="17"/>
  <c r="L351" i="17"/>
  <c r="L350" i="17"/>
  <c r="L349" i="17"/>
  <c r="L348" i="17"/>
  <c r="L347" i="17"/>
  <c r="L346" i="17"/>
  <c r="L345" i="17"/>
  <c r="L344" i="17"/>
  <c r="L343" i="17"/>
  <c r="L342" i="17"/>
  <c r="L341" i="17"/>
  <c r="L340" i="17"/>
  <c r="L339" i="17"/>
  <c r="L338" i="17"/>
  <c r="L337" i="17"/>
  <c r="L336" i="17"/>
  <c r="L335" i="17"/>
  <c r="L334" i="17"/>
  <c r="L333" i="17"/>
  <c r="L332" i="17"/>
  <c r="L331" i="17"/>
  <c r="L330" i="17"/>
  <c r="L329" i="17"/>
  <c r="L328" i="17"/>
  <c r="K327" i="17"/>
  <c r="L327" i="17" s="1"/>
  <c r="L326" i="17"/>
  <c r="L325" i="17"/>
  <c r="L324" i="17"/>
  <c r="L323" i="17"/>
  <c r="L322" i="17"/>
  <c r="L321" i="17"/>
  <c r="L320" i="17"/>
  <c r="L319" i="17"/>
  <c r="L318" i="17"/>
  <c r="L317" i="17"/>
  <c r="L316" i="17"/>
  <c r="L315" i="17"/>
  <c r="L314" i="17"/>
  <c r="L313" i="17"/>
  <c r="L312" i="17"/>
  <c r="K311" i="17"/>
  <c r="L311" i="17" s="1"/>
  <c r="L310" i="17"/>
  <c r="L309" i="17"/>
  <c r="L308" i="17"/>
  <c r="L307" i="17"/>
  <c r="L306" i="17"/>
  <c r="L305" i="17"/>
  <c r="L304" i="17"/>
  <c r="L303" i="17"/>
  <c r="L302" i="17"/>
  <c r="L301" i="17"/>
  <c r="L300" i="17"/>
  <c r="L299" i="17"/>
  <c r="L298" i="17"/>
  <c r="L297" i="17"/>
  <c r="L296" i="17"/>
  <c r="L295" i="17"/>
  <c r="L294" i="17"/>
  <c r="L293" i="17"/>
  <c r="L292" i="17"/>
  <c r="L291" i="17"/>
  <c r="L290" i="17"/>
  <c r="L289" i="17"/>
  <c r="L287" i="17"/>
  <c r="H287" i="17"/>
  <c r="J286" i="17"/>
  <c r="K283" i="17"/>
  <c r="L283" i="17" s="1"/>
  <c r="L282" i="17"/>
  <c r="L281" i="17"/>
  <c r="L280" i="17"/>
  <c r="L279" i="17"/>
  <c r="L278" i="17"/>
  <c r="L277" i="17"/>
  <c r="L276" i="17"/>
  <c r="L275" i="17"/>
  <c r="L274" i="17"/>
  <c r="L273" i="17"/>
  <c r="L272" i="17"/>
  <c r="K271" i="17"/>
  <c r="L271" i="17" s="1"/>
  <c r="L270" i="17"/>
  <c r="K269" i="17"/>
  <c r="L269" i="17" s="1"/>
  <c r="L268" i="17"/>
  <c r="L267" i="17"/>
  <c r="L266" i="17"/>
  <c r="L265" i="17"/>
  <c r="L264" i="17"/>
  <c r="K264" i="17"/>
  <c r="L263" i="17"/>
  <c r="L262" i="17"/>
  <c r="L261" i="17"/>
  <c r="L259" i="17"/>
  <c r="H259" i="17"/>
  <c r="J258" i="17"/>
  <c r="N256" i="17"/>
  <c r="L255" i="17"/>
  <c r="L254" i="17"/>
  <c r="L253" i="17"/>
  <c r="L252" i="17"/>
  <c r="L251" i="17"/>
  <c r="L250" i="17"/>
  <c r="L249" i="17"/>
  <c r="L248" i="17"/>
  <c r="L247" i="17"/>
  <c r="L246" i="17"/>
  <c r="L245" i="17"/>
  <c r="L244" i="17"/>
  <c r="L243" i="17"/>
  <c r="L242" i="17"/>
  <c r="L241" i="17"/>
  <c r="L240" i="17"/>
  <c r="L239" i="17"/>
  <c r="L238" i="17"/>
  <c r="L237" i="17"/>
  <c r="L236" i="17"/>
  <c r="L235" i="17"/>
  <c r="L234" i="17"/>
  <c r="L233" i="17"/>
  <c r="L232" i="17"/>
  <c r="L231" i="17"/>
  <c r="L230" i="17"/>
  <c r="L229" i="17"/>
  <c r="L228" i="17"/>
  <c r="L227" i="17"/>
  <c r="K226" i="17"/>
  <c r="L226" i="17" s="1"/>
  <c r="L225" i="17"/>
  <c r="L224" i="17"/>
  <c r="K223" i="17"/>
  <c r="L223" i="17" s="1"/>
  <c r="L222" i="17"/>
  <c r="K221" i="17"/>
  <c r="L221" i="17" s="1"/>
  <c r="L220" i="17"/>
  <c r="L219" i="17"/>
  <c r="K219" i="17"/>
  <c r="L218" i="17"/>
  <c r="L217" i="17"/>
  <c r="L216" i="17"/>
  <c r="L215" i="17"/>
  <c r="L214" i="17"/>
  <c r="L213" i="17"/>
  <c r="L212" i="17"/>
  <c r="K212" i="17"/>
  <c r="L211" i="17"/>
  <c r="L210" i="17"/>
  <c r="L209" i="17"/>
  <c r="L208" i="17"/>
  <c r="L207" i="17"/>
  <c r="L206" i="17"/>
  <c r="L205" i="17"/>
  <c r="L204" i="17"/>
  <c r="L203" i="17"/>
  <c r="L202" i="17"/>
  <c r="L201" i="17"/>
  <c r="L200" i="17"/>
  <c r="L199" i="17"/>
  <c r="L198" i="17"/>
  <c r="L197" i="17"/>
  <c r="L196" i="17"/>
  <c r="L195" i="17"/>
  <c r="L194" i="17"/>
  <c r="L193" i="17"/>
  <c r="L192" i="17"/>
  <c r="L191" i="17"/>
  <c r="L190" i="17"/>
  <c r="L189" i="17"/>
  <c r="L188" i="17"/>
  <c r="L187" i="17"/>
  <c r="L186" i="17"/>
  <c r="L185" i="17"/>
  <c r="L184" i="17"/>
  <c r="L182" i="17"/>
  <c r="H182" i="17"/>
  <c r="J181" i="17"/>
  <c r="L179" i="17"/>
  <c r="K179" i="17"/>
  <c r="L178" i="17"/>
  <c r="L177" i="17"/>
  <c r="L176" i="17"/>
  <c r="L175" i="17"/>
  <c r="L174" i="17"/>
  <c r="L173" i="17"/>
  <c r="L172" i="17"/>
  <c r="L171" i="17"/>
  <c r="L170" i="17"/>
  <c r="L169" i="17"/>
  <c r="L168" i="17"/>
  <c r="L167" i="17"/>
  <c r="L166" i="17"/>
  <c r="L165" i="17"/>
  <c r="L164" i="17"/>
  <c r="J163" i="17"/>
  <c r="L163" i="17" s="1"/>
  <c r="L162" i="17"/>
  <c r="L161" i="17"/>
  <c r="L160" i="17"/>
  <c r="L159" i="17"/>
  <c r="L158" i="17"/>
  <c r="L157" i="17"/>
  <c r="L156" i="17"/>
  <c r="L155" i="17"/>
  <c r="K154" i="17"/>
  <c r="L154" i="17" s="1"/>
  <c r="L153" i="17"/>
  <c r="L152" i="17"/>
  <c r="L151" i="17"/>
  <c r="L150" i="17"/>
  <c r="L149" i="17"/>
  <c r="L148" i="17"/>
  <c r="L147" i="17"/>
  <c r="L146" i="17"/>
  <c r="L145" i="17"/>
  <c r="L144" i="17"/>
  <c r="L143" i="17"/>
  <c r="L142" i="17"/>
  <c r="K141" i="17"/>
  <c r="L141" i="17" s="1"/>
  <c r="L140" i="17"/>
  <c r="L139" i="17"/>
  <c r="L138" i="17"/>
  <c r="K137" i="17"/>
  <c r="L137" i="17" s="1"/>
  <c r="L136" i="17"/>
  <c r="L135" i="17"/>
  <c r="L134" i="17"/>
  <c r="L133" i="17"/>
  <c r="L131" i="17"/>
  <c r="H131" i="17"/>
  <c r="J130" i="17"/>
  <c r="L128" i="17"/>
  <c r="L127" i="17"/>
  <c r="L126" i="17"/>
  <c r="L125" i="17"/>
  <c r="L124" i="17"/>
  <c r="L123" i="17"/>
  <c r="L122" i="17"/>
  <c r="L121" i="17"/>
  <c r="L120" i="17"/>
  <c r="L119" i="17"/>
  <c r="L118" i="17"/>
  <c r="L117" i="17"/>
  <c r="L116" i="17"/>
  <c r="L115" i="17"/>
  <c r="L114" i="17"/>
  <c r="L113" i="17"/>
  <c r="L112" i="17"/>
  <c r="L111" i="17"/>
  <c r="L110" i="17"/>
  <c r="L109" i="17"/>
  <c r="L108" i="17"/>
  <c r="L107" i="17"/>
  <c r="L106" i="17"/>
  <c r="L105" i="17"/>
  <c r="L104" i="17"/>
  <c r="L103" i="17"/>
  <c r="L102" i="17"/>
  <c r="L101" i="17"/>
  <c r="L100" i="17"/>
  <c r="L99" i="17"/>
  <c r="L98" i="17"/>
  <c r="L97" i="17"/>
  <c r="L96" i="17"/>
  <c r="L95" i="17"/>
  <c r="L94" i="17"/>
  <c r="L93" i="17"/>
  <c r="L92" i="17"/>
  <c r="L91" i="17"/>
  <c r="L90" i="17"/>
  <c r="L89" i="17"/>
  <c r="L88" i="17"/>
  <c r="J88" i="17"/>
  <c r="L87" i="17"/>
  <c r="L86" i="17"/>
  <c r="L85" i="17"/>
  <c r="L84" i="17"/>
  <c r="L83" i="17"/>
  <c r="L82" i="17"/>
  <c r="L81" i="17"/>
  <c r="L80" i="17"/>
  <c r="L79" i="17"/>
  <c r="L78" i="17"/>
  <c r="L77" i="17"/>
  <c r="L76" i="17"/>
  <c r="L75" i="17"/>
  <c r="L74" i="17"/>
  <c r="L73" i="17"/>
  <c r="L72" i="17"/>
  <c r="L71" i="17"/>
  <c r="L70" i="17"/>
  <c r="L69" i="17"/>
  <c r="K68" i="17"/>
  <c r="L67" i="17"/>
  <c r="L66" i="17"/>
  <c r="L65" i="17"/>
  <c r="L64" i="17"/>
  <c r="L63" i="17"/>
  <c r="L62" i="17"/>
  <c r="L61" i="17"/>
  <c r="L60" i="17"/>
  <c r="L59" i="17"/>
  <c r="K58" i="17"/>
  <c r="L58" i="17" s="1"/>
  <c r="L57" i="17"/>
  <c r="L56" i="17"/>
  <c r="L55" i="17"/>
  <c r="L54" i="17"/>
  <c r="L53" i="17"/>
  <c r="L52" i="17"/>
  <c r="L51" i="17"/>
  <c r="L50" i="17"/>
  <c r="L49" i="17"/>
  <c r="L48" i="17"/>
  <c r="L47" i="17"/>
  <c r="L46" i="17"/>
  <c r="L44" i="17"/>
  <c r="H44" i="17"/>
  <c r="J43" i="17"/>
  <c r="L41" i="17"/>
  <c r="L40" i="17"/>
  <c r="L39" i="17"/>
  <c r="L38" i="17"/>
  <c r="L37" i="17"/>
  <c r="L36" i="17"/>
  <c r="K36" i="17"/>
  <c r="L35" i="17"/>
  <c r="L34" i="17"/>
  <c r="K34" i="17"/>
  <c r="L33" i="17"/>
  <c r="L32" i="17"/>
  <c r="L31" i="17"/>
  <c r="K30" i="17"/>
  <c r="L30" i="17" s="1"/>
  <c r="J30" i="17"/>
  <c r="L29" i="17"/>
  <c r="L28" i="17"/>
  <c r="L27" i="17"/>
  <c r="L26" i="17"/>
  <c r="L25" i="17"/>
  <c r="L24" i="17"/>
  <c r="L23" i="17"/>
  <c r="L22" i="17"/>
  <c r="L21" i="17"/>
  <c r="L20" i="17"/>
  <c r="K19" i="17"/>
  <c r="L19" i="17" s="1"/>
  <c r="L18" i="17"/>
  <c r="L17" i="17"/>
  <c r="L16" i="17"/>
  <c r="K16" i="17"/>
  <c r="L15" i="17"/>
  <c r="L14" i="17"/>
  <c r="L13" i="17"/>
  <c r="L12" i="17"/>
  <c r="L11" i="17"/>
  <c r="L10" i="17"/>
  <c r="L9" i="17"/>
  <c r="K9" i="17"/>
  <c r="L8" i="17"/>
  <c r="L7" i="17"/>
  <c r="K7" i="17"/>
  <c r="L5" i="17"/>
  <c r="H5" i="17"/>
  <c r="J4" i="17"/>
  <c r="L619" i="16"/>
  <c r="L618" i="16"/>
  <c r="L617" i="16"/>
  <c r="L616" i="16"/>
  <c r="L615" i="16"/>
  <c r="L614" i="16"/>
  <c r="L613" i="16"/>
  <c r="L612" i="16"/>
  <c r="L611" i="16"/>
  <c r="L610" i="16"/>
  <c r="L609" i="16"/>
  <c r="L608" i="16"/>
  <c r="L607" i="16"/>
  <c r="L606" i="16"/>
  <c r="L605" i="16"/>
  <c r="L604" i="16"/>
  <c r="L603" i="16"/>
  <c r="L602" i="16"/>
  <c r="L601" i="16"/>
  <c r="L600" i="16"/>
  <c r="L599" i="16"/>
  <c r="L598" i="16"/>
  <c r="L597" i="16"/>
  <c r="L596" i="16"/>
  <c r="L595" i="16"/>
  <c r="L594" i="16"/>
  <c r="L593" i="16"/>
  <c r="K593" i="16"/>
  <c r="L592" i="16"/>
  <c r="L591" i="16"/>
  <c r="L590" i="16"/>
  <c r="L589" i="16"/>
  <c r="L588" i="16"/>
  <c r="L587" i="16"/>
  <c r="L586" i="16"/>
  <c r="L585" i="16"/>
  <c r="L584" i="16"/>
  <c r="L583" i="16"/>
  <c r="L582" i="16"/>
  <c r="L581" i="16"/>
  <c r="L580" i="16"/>
  <c r="L579" i="16"/>
  <c r="L578" i="16"/>
  <c r="L577" i="16"/>
  <c r="K576" i="16"/>
  <c r="L576" i="16" s="1"/>
  <c r="L575" i="16"/>
  <c r="L574" i="16"/>
  <c r="L573" i="16"/>
  <c r="L572" i="16"/>
  <c r="L571" i="16"/>
  <c r="L570" i="16"/>
  <c r="L569" i="16"/>
  <c r="L568" i="16"/>
  <c r="L567" i="16"/>
  <c r="L566" i="16"/>
  <c r="L565" i="16"/>
  <c r="L564" i="16"/>
  <c r="L563" i="16"/>
  <c r="L562" i="16"/>
  <c r="L561" i="16"/>
  <c r="L560" i="16"/>
  <c r="L559" i="16"/>
  <c r="L558" i="16"/>
  <c r="L557" i="16"/>
  <c r="L556" i="16"/>
  <c r="L555" i="16"/>
  <c r="L554" i="16"/>
  <c r="L553" i="16"/>
  <c r="L552" i="16"/>
  <c r="L551" i="16"/>
  <c r="L550" i="16"/>
  <c r="L549" i="16"/>
  <c r="L548" i="16"/>
  <c r="L547" i="16"/>
  <c r="L546" i="16"/>
  <c r="L545" i="16"/>
  <c r="L544" i="16"/>
  <c r="K544" i="16"/>
  <c r="L543" i="16"/>
  <c r="L542" i="16"/>
  <c r="L541" i="16"/>
  <c r="L540" i="16"/>
  <c r="L539" i="16"/>
  <c r="L538" i="16"/>
  <c r="L537" i="16"/>
  <c r="L536" i="16"/>
  <c r="L534" i="16"/>
  <c r="H534" i="16"/>
  <c r="J533" i="16"/>
  <c r="L531" i="16"/>
  <c r="L530" i="16"/>
  <c r="L529" i="16"/>
  <c r="L528" i="16"/>
  <c r="L527" i="16"/>
  <c r="L526" i="16"/>
  <c r="L525" i="16"/>
  <c r="L524" i="16"/>
  <c r="L523" i="16"/>
  <c r="L522" i="16"/>
  <c r="L521" i="16"/>
  <c r="L520" i="16"/>
  <c r="L519" i="16"/>
  <c r="L518" i="16"/>
  <c r="L517" i="16"/>
  <c r="L516" i="16"/>
  <c r="L515" i="16"/>
  <c r="L514" i="16"/>
  <c r="L513" i="16"/>
  <c r="L512" i="16"/>
  <c r="L511" i="16"/>
  <c r="L510" i="16"/>
  <c r="L509" i="16"/>
  <c r="L508" i="16"/>
  <c r="L507" i="16"/>
  <c r="K507" i="16"/>
  <c r="L506" i="16"/>
  <c r="L505" i="16"/>
  <c r="K504" i="16"/>
  <c r="L504" i="16" s="1"/>
  <c r="L503" i="16"/>
  <c r="L502" i="16"/>
  <c r="L501" i="16"/>
  <c r="L500" i="16"/>
  <c r="L499" i="16"/>
  <c r="L498" i="16"/>
  <c r="L497" i="16"/>
  <c r="L496" i="16"/>
  <c r="L495" i="16"/>
  <c r="L494" i="16"/>
  <c r="L493" i="16"/>
  <c r="L492" i="16"/>
  <c r="K491" i="16"/>
  <c r="L491" i="16" s="1"/>
  <c r="L489" i="16" s="1"/>
  <c r="H489" i="16"/>
  <c r="J488" i="16"/>
  <c r="L486" i="16"/>
  <c r="L485" i="16"/>
  <c r="L484" i="16"/>
  <c r="L483" i="16"/>
  <c r="L482" i="16"/>
  <c r="L481" i="16"/>
  <c r="L480" i="16"/>
  <c r="L479" i="16"/>
  <c r="L478" i="16"/>
  <c r="L477" i="16"/>
  <c r="L476" i="16"/>
  <c r="L475" i="16"/>
  <c r="L474" i="16"/>
  <c r="K474" i="16"/>
  <c r="L473" i="16"/>
  <c r="L472" i="16"/>
  <c r="L471" i="16"/>
  <c r="L470" i="16"/>
  <c r="L469" i="16"/>
  <c r="L468" i="16"/>
  <c r="L467" i="16"/>
  <c r="L466" i="16"/>
  <c r="L465" i="16"/>
  <c r="L464" i="16"/>
  <c r="L463" i="16"/>
  <c r="L462" i="16"/>
  <c r="L461" i="16"/>
  <c r="L460" i="16"/>
  <c r="L459" i="16"/>
  <c r="L458" i="16"/>
  <c r="L457" i="16"/>
  <c r="L456" i="16"/>
  <c r="L455" i="16"/>
  <c r="L454" i="16"/>
  <c r="K454" i="16"/>
  <c r="L453" i="16"/>
  <c r="L452" i="16"/>
  <c r="K452" i="16"/>
  <c r="L451" i="16"/>
  <c r="L450" i="16"/>
  <c r="L449" i="16"/>
  <c r="L448" i="16"/>
  <c r="L447" i="16"/>
  <c r="L446" i="16"/>
  <c r="L445" i="16"/>
  <c r="L444" i="16"/>
  <c r="L443" i="16"/>
  <c r="L442" i="16"/>
  <c r="J442" i="16"/>
  <c r="L441" i="16"/>
  <c r="K441" i="16"/>
  <c r="L440" i="16"/>
  <c r="L439" i="16"/>
  <c r="L438" i="16"/>
  <c r="L437" i="16"/>
  <c r="L436" i="16"/>
  <c r="L435" i="16"/>
  <c r="L434" i="16"/>
  <c r="L433" i="16"/>
  <c r="L432" i="16"/>
  <c r="L431" i="16"/>
  <c r="K430" i="16"/>
  <c r="L430" i="16" s="1"/>
  <c r="L429" i="16"/>
  <c r="L428" i="16"/>
  <c r="L427" i="16"/>
  <c r="K427" i="16"/>
  <c r="L426" i="16"/>
  <c r="L425" i="16"/>
  <c r="K425" i="16"/>
  <c r="L424" i="16"/>
  <c r="L423" i="16"/>
  <c r="L422" i="16"/>
  <c r="L421" i="16"/>
  <c r="L420" i="16"/>
  <c r="L419" i="16"/>
  <c r="L418" i="16"/>
  <c r="L417" i="16"/>
  <c r="L416" i="16"/>
  <c r="L415" i="16"/>
  <c r="L414" i="16"/>
  <c r="L413" i="16"/>
  <c r="L412" i="16"/>
  <c r="L411" i="16"/>
  <c r="L410" i="16"/>
  <c r="L409" i="16"/>
  <c r="L408" i="16"/>
  <c r="K408" i="16"/>
  <c r="K407" i="16"/>
  <c r="L407" i="16" s="1"/>
  <c r="L406" i="16"/>
  <c r="L405" i="16"/>
  <c r="L404" i="16"/>
  <c r="L403" i="16"/>
  <c r="L402" i="16"/>
  <c r="L401" i="16"/>
  <c r="L400" i="16"/>
  <c r="L399" i="16"/>
  <c r="L397" i="16" s="1"/>
  <c r="H397" i="16"/>
  <c r="J396" i="16"/>
  <c r="L394" i="16"/>
  <c r="L393" i="16"/>
  <c r="L392" i="16"/>
  <c r="L391" i="16"/>
  <c r="L390" i="16"/>
  <c r="L389" i="16"/>
  <c r="L388" i="16"/>
  <c r="L387" i="16"/>
  <c r="L386" i="16"/>
  <c r="L385" i="16"/>
  <c r="L384" i="16"/>
  <c r="L383" i="16"/>
  <c r="L382" i="16"/>
  <c r="L381" i="16"/>
  <c r="L380" i="16"/>
  <c r="L379" i="16"/>
  <c r="L378" i="16"/>
  <c r="L377" i="16"/>
  <c r="L376" i="16"/>
  <c r="L375" i="16"/>
  <c r="L374" i="16"/>
  <c r="L373" i="16"/>
  <c r="K373" i="16"/>
  <c r="L372" i="16"/>
  <c r="L371" i="16"/>
  <c r="L370" i="16"/>
  <c r="L369" i="16"/>
  <c r="L368" i="16"/>
  <c r="L367" i="16"/>
  <c r="L366" i="16"/>
  <c r="L365" i="16"/>
  <c r="L364" i="16"/>
  <c r="L363" i="16"/>
  <c r="L362" i="16"/>
  <c r="L361" i="16"/>
  <c r="L360" i="16"/>
  <c r="L359" i="16"/>
  <c r="L358" i="16"/>
  <c r="L357" i="16"/>
  <c r="L356" i="16"/>
  <c r="L355" i="16"/>
  <c r="L354" i="16"/>
  <c r="L353" i="16"/>
  <c r="L352" i="16"/>
  <c r="L351" i="16"/>
  <c r="L350" i="16"/>
  <c r="L347" i="16" s="1"/>
  <c r="L349" i="16"/>
  <c r="H347" i="16"/>
  <c r="J346" i="16"/>
  <c r="L344" i="16"/>
  <c r="L343" i="16"/>
  <c r="L342" i="16"/>
  <c r="L341" i="16"/>
  <c r="L340" i="16"/>
  <c r="L339" i="16"/>
  <c r="L338" i="16"/>
  <c r="L337" i="16"/>
  <c r="L336" i="16"/>
  <c r="L335" i="16"/>
  <c r="L334" i="16"/>
  <c r="L333" i="16"/>
  <c r="K333" i="16"/>
  <c r="L332" i="16"/>
  <c r="L331" i="16"/>
  <c r="L330" i="16"/>
  <c r="L329" i="16"/>
  <c r="L328" i="16"/>
  <c r="L327" i="16"/>
  <c r="L326" i="16"/>
  <c r="L325" i="16"/>
  <c r="L324" i="16"/>
  <c r="L323" i="16"/>
  <c r="L322" i="16"/>
  <c r="L321" i="16"/>
  <c r="K320" i="16"/>
  <c r="L320" i="16" s="1"/>
  <c r="L319" i="16"/>
  <c r="L318" i="16"/>
  <c r="L317" i="16"/>
  <c r="L316" i="16"/>
  <c r="L315" i="16"/>
  <c r="L314" i="16"/>
  <c r="L313" i="16"/>
  <c r="L312" i="16"/>
  <c r="L311" i="16"/>
  <c r="K311" i="16"/>
  <c r="L310" i="16"/>
  <c r="K309" i="16"/>
  <c r="L309" i="16" s="1"/>
  <c r="L308" i="16"/>
  <c r="K307" i="16"/>
  <c r="L307" i="16" s="1"/>
  <c r="L306" i="16"/>
  <c r="L305" i="16"/>
  <c r="L304" i="16"/>
  <c r="L303" i="16"/>
  <c r="L302" i="16"/>
  <c r="K302" i="16"/>
  <c r="L301" i="16"/>
  <c r="L300" i="16"/>
  <c r="L299" i="16"/>
  <c r="L298" i="16"/>
  <c r="L297" i="16"/>
  <c r="K296" i="16"/>
  <c r="L296" i="16" s="1"/>
  <c r="L295" i="16"/>
  <c r="L294" i="16"/>
  <c r="L293" i="16"/>
  <c r="L292" i="16"/>
  <c r="L291" i="16"/>
  <c r="L290" i="16"/>
  <c r="L289" i="16"/>
  <c r="L288" i="16"/>
  <c r="L287" i="16"/>
  <c r="L286" i="16"/>
  <c r="L285" i="16"/>
  <c r="L284" i="16"/>
  <c r="L283" i="16"/>
  <c r="L282" i="16"/>
  <c r="L281" i="16"/>
  <c r="L280" i="16"/>
  <c r="L279" i="16"/>
  <c r="L278" i="16"/>
  <c r="L277" i="16"/>
  <c r="L276" i="16"/>
  <c r="L275" i="16"/>
  <c r="L274" i="16"/>
  <c r="L273" i="16"/>
  <c r="L272" i="16"/>
  <c r="L271" i="16"/>
  <c r="L270" i="16"/>
  <c r="L268" i="16"/>
  <c r="H268" i="16"/>
  <c r="J267" i="16"/>
  <c r="L265" i="16"/>
  <c r="L264" i="16"/>
  <c r="L263" i="16"/>
  <c r="L262" i="16"/>
  <c r="L261" i="16"/>
  <c r="L260" i="16"/>
  <c r="L259" i="16"/>
  <c r="L258" i="16"/>
  <c r="L257" i="16"/>
  <c r="L256" i="16"/>
  <c r="L255" i="16"/>
  <c r="L254" i="16"/>
  <c r="L253" i="16"/>
  <c r="L252" i="16"/>
  <c r="L251" i="16"/>
  <c r="K251" i="16"/>
  <c r="L250" i="16"/>
  <c r="L248" i="16" s="1"/>
  <c r="H248" i="16"/>
  <c r="H209" i="16" s="1"/>
  <c r="J247" i="16"/>
  <c r="L245" i="16"/>
  <c r="L244" i="16"/>
  <c r="L243" i="16"/>
  <c r="L242" i="16"/>
  <c r="L241" i="16"/>
  <c r="L240" i="16"/>
  <c r="L239" i="16"/>
  <c r="K239" i="16"/>
  <c r="L238" i="16"/>
  <c r="L237" i="16"/>
  <c r="L236" i="16"/>
  <c r="L235" i="16"/>
  <c r="L234" i="16"/>
  <c r="L233" i="16"/>
  <c r="L232" i="16"/>
  <c r="L231" i="16"/>
  <c r="L230" i="16"/>
  <c r="L229" i="16"/>
  <c r="L228" i="16"/>
  <c r="L227" i="16"/>
  <c r="L226" i="16"/>
  <c r="K225" i="16"/>
  <c r="L225" i="16" s="1"/>
  <c r="L224" i="16"/>
  <c r="L223" i="16"/>
  <c r="L222" i="16"/>
  <c r="L221" i="16"/>
  <c r="L220" i="16"/>
  <c r="L219" i="16"/>
  <c r="L218" i="16"/>
  <c r="L217" i="16"/>
  <c r="K217" i="16"/>
  <c r="L216" i="16"/>
  <c r="L215" i="16"/>
  <c r="L214" i="16"/>
  <c r="L213" i="16"/>
  <c r="L212" i="16"/>
  <c r="K211" i="16"/>
  <c r="L211" i="16" s="1"/>
  <c r="L209" i="16" s="1"/>
  <c r="J208" i="16"/>
  <c r="L206" i="16"/>
  <c r="L205" i="16"/>
  <c r="L204" i="16"/>
  <c r="L203" i="16"/>
  <c r="L202" i="16"/>
  <c r="L201" i="16"/>
  <c r="L200" i="16"/>
  <c r="L199" i="16"/>
  <c r="L198" i="16"/>
  <c r="L197" i="16"/>
  <c r="K196" i="16"/>
  <c r="L196" i="16" s="1"/>
  <c r="L195" i="16"/>
  <c r="L194" i="16"/>
  <c r="L193" i="16"/>
  <c r="L192" i="16"/>
  <c r="L191" i="16"/>
  <c r="L190" i="16"/>
  <c r="L189" i="16"/>
  <c r="L188" i="16"/>
  <c r="L187" i="16"/>
  <c r="L186" i="16"/>
  <c r="L185" i="16"/>
  <c r="L184" i="16"/>
  <c r="L183" i="16"/>
  <c r="L182" i="16"/>
  <c r="L181" i="16"/>
  <c r="L180" i="16"/>
  <c r="L179" i="16"/>
  <c r="L178" i="16"/>
  <c r="L177" i="16"/>
  <c r="L176" i="16"/>
  <c r="L175" i="16"/>
  <c r="L174" i="16"/>
  <c r="L173" i="16"/>
  <c r="L172" i="16"/>
  <c r="L171" i="16"/>
  <c r="L170" i="16"/>
  <c r="L169" i="16"/>
  <c r="L168" i="16"/>
  <c r="L167" i="16"/>
  <c r="K166" i="16"/>
  <c r="L166" i="16" s="1"/>
  <c r="L165" i="16"/>
  <c r="L164" i="16"/>
  <c r="L163" i="16"/>
  <c r="L162" i="16"/>
  <c r="L161" i="16"/>
  <c r="L160" i="16"/>
  <c r="L159" i="16"/>
  <c r="L158" i="16"/>
  <c r="L157" i="16"/>
  <c r="L156" i="16"/>
  <c r="L155" i="16"/>
  <c r="L154" i="16"/>
  <c r="L153" i="16"/>
  <c r="L152" i="16"/>
  <c r="K151" i="16"/>
  <c r="L151" i="16" s="1"/>
  <c r="L150" i="16"/>
  <c r="L149" i="16"/>
  <c r="K149" i="16"/>
  <c r="L148" i="16"/>
  <c r="L147" i="16"/>
  <c r="L146" i="16"/>
  <c r="L145" i="16"/>
  <c r="L144" i="16"/>
  <c r="L143" i="16"/>
  <c r="L142" i="16"/>
  <c r="K142" i="16"/>
  <c r="L141" i="16"/>
  <c r="L140" i="16"/>
  <c r="L139" i="16"/>
  <c r="L138" i="16"/>
  <c r="L137" i="16"/>
  <c r="L136" i="16"/>
  <c r="L135" i="16"/>
  <c r="L134" i="16"/>
  <c r="L133" i="16"/>
  <c r="L132" i="16"/>
  <c r="L131" i="16"/>
  <c r="L130" i="16"/>
  <c r="L129" i="16"/>
  <c r="L128" i="16"/>
  <c r="L127" i="16"/>
  <c r="L126" i="16"/>
  <c r="L125" i="16"/>
  <c r="L124" i="16"/>
  <c r="L123" i="16"/>
  <c r="L122" i="16"/>
  <c r="L121" i="16"/>
  <c r="K121" i="16"/>
  <c r="L120" i="16"/>
  <c r="L118" i="16" s="1"/>
  <c r="H118" i="16"/>
  <c r="J117" i="16"/>
  <c r="K115" i="16"/>
  <c r="L115" i="16" s="1"/>
  <c r="L114" i="16"/>
  <c r="L113" i="16"/>
  <c r="L112" i="16"/>
  <c r="L111" i="16"/>
  <c r="L109" i="16" s="1"/>
  <c r="H109" i="16"/>
  <c r="J108" i="16"/>
  <c r="L106" i="16"/>
  <c r="L105" i="16"/>
  <c r="L104" i="16"/>
  <c r="L103" i="16"/>
  <c r="L102" i="16"/>
  <c r="L101" i="16"/>
  <c r="L100" i="16"/>
  <c r="L99" i="16"/>
  <c r="L98" i="16"/>
  <c r="L97" i="16"/>
  <c r="L96" i="16"/>
  <c r="L95" i="16"/>
  <c r="L94" i="16"/>
  <c r="L93" i="16"/>
  <c r="L92" i="16"/>
  <c r="L91" i="16"/>
  <c r="L90" i="16"/>
  <c r="L89" i="16"/>
  <c r="L88" i="16"/>
  <c r="L87" i="16"/>
  <c r="L86" i="16"/>
  <c r="L85" i="16"/>
  <c r="L84" i="16"/>
  <c r="L83" i="16"/>
  <c r="L82" i="16"/>
  <c r="L81" i="16"/>
  <c r="L80" i="16"/>
  <c r="L79" i="16"/>
  <c r="L77" i="16" s="1"/>
  <c r="H77" i="16"/>
  <c r="J76" i="16"/>
  <c r="L74" i="16"/>
  <c r="L73" i="16"/>
  <c r="L72" i="16"/>
  <c r="L71" i="16"/>
  <c r="L70" i="16"/>
  <c r="L69" i="16"/>
  <c r="K69" i="16"/>
  <c r="L68" i="16"/>
  <c r="K67" i="16"/>
  <c r="L67" i="16" s="1"/>
  <c r="L66" i="16"/>
  <c r="K65" i="16"/>
  <c r="L65" i="16" s="1"/>
  <c r="L64" i="16"/>
  <c r="K63" i="16"/>
  <c r="L63" i="16" s="1"/>
  <c r="L62" i="16"/>
  <c r="L61" i="16"/>
  <c r="L60" i="16"/>
  <c r="L59" i="16"/>
  <c r="L58" i="16"/>
  <c r="K58" i="16"/>
  <c r="L57" i="16"/>
  <c r="L56" i="16"/>
  <c r="L55" i="16"/>
  <c r="L54" i="16"/>
  <c r="L53" i="16"/>
  <c r="L52" i="16"/>
  <c r="L51" i="16"/>
  <c r="K51" i="16"/>
  <c r="L50" i="16"/>
  <c r="L49" i="16"/>
  <c r="L48" i="16"/>
  <c r="K47" i="16"/>
  <c r="L47" i="16" s="1"/>
  <c r="L44" i="16" s="1"/>
  <c r="L46" i="16"/>
  <c r="H44" i="16"/>
  <c r="J43" i="16"/>
  <c r="L41" i="16"/>
  <c r="L40" i="16"/>
  <c r="L39" i="16"/>
  <c r="L38" i="16"/>
  <c r="K38" i="16"/>
  <c r="L37" i="16"/>
  <c r="L36" i="16"/>
  <c r="L34" i="16" s="1"/>
  <c r="H34" i="16"/>
  <c r="J33" i="16"/>
  <c r="L31" i="16"/>
  <c r="K30" i="16"/>
  <c r="L30" i="16" s="1"/>
  <c r="L29" i="16"/>
  <c r="L28" i="16"/>
  <c r="L27" i="16"/>
  <c r="L26" i="16"/>
  <c r="L25" i="16"/>
  <c r="L24" i="16"/>
  <c r="L23" i="16"/>
  <c r="L22" i="16"/>
  <c r="K21" i="16"/>
  <c r="L21" i="16" s="1"/>
  <c r="L20" i="16"/>
  <c r="L19" i="16"/>
  <c r="L18" i="16"/>
  <c r="K17" i="16"/>
  <c r="L17" i="16" s="1"/>
  <c r="L16" i="16"/>
  <c r="L15" i="16"/>
  <c r="L14" i="16"/>
  <c r="L13" i="16"/>
  <c r="L12" i="16"/>
  <c r="K12" i="16"/>
  <c r="L11" i="16"/>
  <c r="K10" i="16"/>
  <c r="L10" i="16" s="1"/>
  <c r="L9" i="16"/>
  <c r="L8" i="16"/>
  <c r="K8" i="16"/>
  <c r="L7" i="16"/>
  <c r="L5" i="16" s="1"/>
  <c r="H5" i="16"/>
  <c r="J4" i="16"/>
  <c r="L686" i="15"/>
  <c r="L685" i="15"/>
  <c r="L684" i="15"/>
  <c r="K683" i="15"/>
  <c r="L683" i="15" s="1"/>
  <c r="L682" i="15"/>
  <c r="L681" i="15"/>
  <c r="L680" i="15"/>
  <c r="L679" i="15"/>
  <c r="L678" i="15"/>
  <c r="L677" i="15"/>
  <c r="L676" i="15"/>
  <c r="L675" i="15"/>
  <c r="L674" i="15"/>
  <c r="K673" i="15"/>
  <c r="L673" i="15" s="1"/>
  <c r="L672" i="15"/>
  <c r="L671" i="15"/>
  <c r="L670" i="15"/>
  <c r="K669" i="15"/>
  <c r="L669" i="15" s="1"/>
  <c r="L668" i="15"/>
  <c r="L667" i="15"/>
  <c r="L666" i="15"/>
  <c r="L665" i="15"/>
  <c r="L664" i="15"/>
  <c r="L663" i="15"/>
  <c r="L662" i="15"/>
  <c r="L661" i="15"/>
  <c r="K661" i="15"/>
  <c r="L660" i="15"/>
  <c r="L659" i="15"/>
  <c r="L658" i="15"/>
  <c r="L657" i="15"/>
  <c r="L656" i="15"/>
  <c r="L655" i="15"/>
  <c r="L654" i="15"/>
  <c r="L653" i="15"/>
  <c r="K652" i="15"/>
  <c r="L652" i="15" s="1"/>
  <c r="L651" i="15"/>
  <c r="K650" i="15"/>
  <c r="L650" i="15" s="1"/>
  <c r="L649" i="15"/>
  <c r="L648" i="15"/>
  <c r="L647" i="15"/>
  <c r="L646" i="15"/>
  <c r="L645" i="15"/>
  <c r="L644" i="15"/>
  <c r="L643" i="15"/>
  <c r="L642" i="15"/>
  <c r="K642" i="15"/>
  <c r="L641" i="15"/>
  <c r="L640" i="15"/>
  <c r="L639" i="15"/>
  <c r="K638" i="15"/>
  <c r="L638" i="15" s="1"/>
  <c r="L637" i="15"/>
  <c r="L636" i="15"/>
  <c r="L635" i="15"/>
  <c r="L634" i="15"/>
  <c r="L633" i="15"/>
  <c r="L632" i="15"/>
  <c r="L631" i="15"/>
  <c r="L630" i="15"/>
  <c r="L629" i="15"/>
  <c r="L628" i="15"/>
  <c r="L627" i="15"/>
  <c r="L626" i="15"/>
  <c r="K626" i="15"/>
  <c r="L625" i="15"/>
  <c r="K624" i="15"/>
  <c r="L624" i="15" s="1"/>
  <c r="L623" i="15"/>
  <c r="L622" i="15"/>
  <c r="L621" i="15"/>
  <c r="L620" i="15"/>
  <c r="L619" i="15"/>
  <c r="L618" i="15"/>
  <c r="L617" i="15"/>
  <c r="L616" i="15"/>
  <c r="L614" i="15"/>
  <c r="H614" i="15"/>
  <c r="J613" i="15"/>
  <c r="L611" i="15"/>
  <c r="L610" i="15"/>
  <c r="K609" i="15"/>
  <c r="L609" i="15" s="1"/>
  <c r="L608" i="15"/>
  <c r="K607" i="15"/>
  <c r="L607" i="15" s="1"/>
  <c r="L606" i="15"/>
  <c r="L605" i="15"/>
  <c r="L604" i="15"/>
  <c r="K603" i="15"/>
  <c r="L603" i="15" s="1"/>
  <c r="L602" i="15"/>
  <c r="L601" i="15"/>
  <c r="L600" i="15"/>
  <c r="L599" i="15"/>
  <c r="L598" i="15"/>
  <c r="L597" i="15"/>
  <c r="L596" i="15"/>
  <c r="L595" i="15"/>
  <c r="L594" i="15"/>
  <c r="L593" i="15"/>
  <c r="L592" i="15"/>
  <c r="L591" i="15"/>
  <c r="L590" i="15"/>
  <c r="L588" i="15" s="1"/>
  <c r="H588" i="15"/>
  <c r="J587" i="15"/>
  <c r="L585" i="15"/>
  <c r="L584" i="15"/>
  <c r="L583" i="15"/>
  <c r="K583" i="15"/>
  <c r="L582" i="15"/>
  <c r="L581" i="15"/>
  <c r="L580" i="15"/>
  <c r="L579" i="15"/>
  <c r="L578" i="15"/>
  <c r="L577" i="15"/>
  <c r="L576" i="15"/>
  <c r="L575" i="15"/>
  <c r="L574" i="15"/>
  <c r="L573" i="15"/>
  <c r="K572" i="15"/>
  <c r="L572" i="15" s="1"/>
  <c r="L571" i="15"/>
  <c r="L570" i="15"/>
  <c r="L569" i="15"/>
  <c r="L567" i="15" s="1"/>
  <c r="K569" i="15"/>
  <c r="H567" i="15"/>
  <c r="J566" i="15"/>
  <c r="L564" i="15"/>
  <c r="L563" i="15"/>
  <c r="L562" i="15"/>
  <c r="L561" i="15"/>
  <c r="L560" i="15"/>
  <c r="L559" i="15"/>
  <c r="L558" i="15"/>
  <c r="L557" i="15"/>
  <c r="L556" i="15"/>
  <c r="L555" i="15"/>
  <c r="L553" i="15"/>
  <c r="H553" i="15"/>
  <c r="J552" i="15"/>
  <c r="L550" i="15"/>
  <c r="L549" i="15"/>
  <c r="L548" i="15"/>
  <c r="L547" i="15"/>
  <c r="L546" i="15"/>
  <c r="L545" i="15"/>
  <c r="L544" i="15"/>
  <c r="L543" i="15"/>
  <c r="L542" i="15"/>
  <c r="L541" i="15"/>
  <c r="L540" i="15"/>
  <c r="L539" i="15"/>
  <c r="L538" i="15"/>
  <c r="L537" i="15"/>
  <c r="L536" i="15"/>
  <c r="L535" i="15"/>
  <c r="L534" i="15"/>
  <c r="L532" i="15"/>
  <c r="L531" i="15"/>
  <c r="L530" i="15"/>
  <c r="L529" i="15"/>
  <c r="L528" i="15"/>
  <c r="L527" i="15"/>
  <c r="L526" i="15"/>
  <c r="L525" i="15"/>
  <c r="L524" i="15"/>
  <c r="L523" i="15"/>
  <c r="L522" i="15"/>
  <c r="L521" i="15"/>
  <c r="L520" i="15"/>
  <c r="L519" i="15"/>
  <c r="L518" i="15"/>
  <c r="L517" i="15"/>
  <c r="L516" i="15"/>
  <c r="L515" i="15"/>
  <c r="L514" i="15"/>
  <c r="L513" i="15"/>
  <c r="L512" i="15"/>
  <c r="L511" i="15"/>
  <c r="L510" i="15"/>
  <c r="L509" i="15"/>
  <c r="L507" i="15" s="1"/>
  <c r="K509" i="15"/>
  <c r="H507" i="15"/>
  <c r="J506" i="15"/>
  <c r="L504" i="15"/>
  <c r="L503" i="15"/>
  <c r="L502" i="15"/>
  <c r="L501" i="15"/>
  <c r="L500" i="15"/>
  <c r="L499" i="15"/>
  <c r="L498" i="15"/>
  <c r="L497" i="15"/>
  <c r="K496" i="15"/>
  <c r="L496" i="15" s="1"/>
  <c r="L495" i="15"/>
  <c r="L494" i="15"/>
  <c r="L493" i="15"/>
  <c r="L492" i="15"/>
  <c r="L491" i="15"/>
  <c r="L490" i="15"/>
  <c r="L489" i="15"/>
  <c r="L488" i="15"/>
  <c r="L486" i="15" s="1"/>
  <c r="H486" i="15"/>
  <c r="J485" i="15"/>
  <c r="L483" i="15"/>
  <c r="L482" i="15"/>
  <c r="L481" i="15"/>
  <c r="L480" i="15"/>
  <c r="L479" i="15"/>
  <c r="K479" i="15"/>
  <c r="L478" i="15"/>
  <c r="L477" i="15"/>
  <c r="K477" i="15"/>
  <c r="L475" i="15"/>
  <c r="H475" i="15"/>
  <c r="J474" i="15"/>
  <c r="L472" i="15"/>
  <c r="L471" i="15"/>
  <c r="L470" i="15"/>
  <c r="L469" i="15"/>
  <c r="L468" i="15"/>
  <c r="L467" i="15"/>
  <c r="L466" i="15"/>
  <c r="L465" i="15"/>
  <c r="L464" i="15"/>
  <c r="L463" i="15"/>
  <c r="L462" i="15"/>
  <c r="L461" i="15"/>
  <c r="L460" i="15"/>
  <c r="L459" i="15"/>
  <c r="L458" i="15"/>
  <c r="L457" i="15"/>
  <c r="L456" i="15"/>
  <c r="L455" i="15"/>
  <c r="L454" i="15"/>
  <c r="L453" i="15"/>
  <c r="L452" i="15"/>
  <c r="L451" i="15"/>
  <c r="L450" i="15"/>
  <c r="L449" i="15"/>
  <c r="L448" i="15"/>
  <c r="L447" i="15"/>
  <c r="L446" i="15"/>
  <c r="L445" i="15"/>
  <c r="L444" i="15"/>
  <c r="L443" i="15"/>
  <c r="L442" i="15"/>
  <c r="L441" i="15"/>
  <c r="L440" i="15"/>
  <c r="L439" i="15"/>
  <c r="L438" i="15"/>
  <c r="K438" i="15"/>
  <c r="L437" i="15"/>
  <c r="L436" i="15"/>
  <c r="L435" i="15"/>
  <c r="L434" i="15"/>
  <c r="L433" i="15"/>
  <c r="K433" i="15"/>
  <c r="L432" i="15"/>
  <c r="L431" i="15"/>
  <c r="L430" i="15"/>
  <c r="L429" i="15"/>
  <c r="L428" i="15"/>
  <c r="L427" i="15"/>
  <c r="L426" i="15"/>
  <c r="L425" i="15"/>
  <c r="L424" i="15"/>
  <c r="L423" i="15"/>
  <c r="L422" i="15"/>
  <c r="L421" i="15"/>
  <c r="L420" i="15"/>
  <c r="L419" i="15"/>
  <c r="L418" i="15"/>
  <c r="L417" i="15"/>
  <c r="L416" i="15"/>
  <c r="K416" i="15"/>
  <c r="L415" i="15"/>
  <c r="L414" i="15"/>
  <c r="L413" i="15"/>
  <c r="L412" i="15"/>
  <c r="L411" i="15"/>
  <c r="L410" i="15"/>
  <c r="K410" i="15"/>
  <c r="L409" i="15"/>
  <c r="L408" i="15"/>
  <c r="L407" i="15"/>
  <c r="K407" i="15"/>
  <c r="L406" i="15"/>
  <c r="L405" i="15"/>
  <c r="L404" i="15"/>
  <c r="L403" i="15"/>
  <c r="L402" i="15"/>
  <c r="L401" i="15"/>
  <c r="L400" i="15"/>
  <c r="L399" i="15"/>
  <c r="L398" i="15"/>
  <c r="L397" i="15"/>
  <c r="L396" i="15"/>
  <c r="L395" i="15"/>
  <c r="K395" i="15"/>
  <c r="L394" i="15"/>
  <c r="K393" i="15"/>
  <c r="L393" i="15" s="1"/>
  <c r="L392" i="15"/>
  <c r="L391" i="15"/>
  <c r="L390" i="15"/>
  <c r="L389" i="15"/>
  <c r="L388" i="15"/>
  <c r="K388" i="15"/>
  <c r="L387" i="15"/>
  <c r="L386" i="15"/>
  <c r="L385" i="15"/>
  <c r="L384" i="15"/>
  <c r="L383" i="15"/>
  <c r="L382" i="15"/>
  <c r="L381" i="15"/>
  <c r="L380" i="15"/>
  <c r="L379" i="15"/>
  <c r="L378" i="15"/>
  <c r="L377" i="15"/>
  <c r="L376" i="15"/>
  <c r="L375" i="15"/>
  <c r="L374" i="15"/>
  <c r="L373" i="15"/>
  <c r="L372" i="15"/>
  <c r="L371" i="15"/>
  <c r="L370" i="15"/>
  <c r="L369" i="15"/>
  <c r="L368" i="15"/>
  <c r="K368" i="15"/>
  <c r="L367" i="15"/>
  <c r="L366" i="15"/>
  <c r="L365" i="15"/>
  <c r="L364" i="15"/>
  <c r="L363" i="15"/>
  <c r="L362" i="15"/>
  <c r="L361" i="15"/>
  <c r="L360" i="15"/>
  <c r="L359" i="15"/>
  <c r="L358" i="15"/>
  <c r="L357" i="15"/>
  <c r="L356" i="15"/>
  <c r="L355" i="15"/>
  <c r="L353" i="15"/>
  <c r="H353" i="15"/>
  <c r="J352" i="15"/>
  <c r="L350" i="15"/>
  <c r="K350" i="15"/>
  <c r="L349" i="15"/>
  <c r="L348" i="15"/>
  <c r="L347" i="15"/>
  <c r="L346" i="15"/>
  <c r="L345" i="15"/>
  <c r="L344" i="15"/>
  <c r="L343" i="15"/>
  <c r="K343" i="15"/>
  <c r="L342" i="15"/>
  <c r="L341" i="15"/>
  <c r="L340" i="15"/>
  <c r="L339" i="15"/>
  <c r="K338" i="15"/>
  <c r="L338" i="15" s="1"/>
  <c r="L337" i="15"/>
  <c r="L336" i="15"/>
  <c r="L335" i="15"/>
  <c r="L334" i="15"/>
  <c r="L333" i="15"/>
  <c r="L332" i="15"/>
  <c r="L331" i="15"/>
  <c r="L330" i="15"/>
  <c r="L329" i="15"/>
  <c r="L328" i="15"/>
  <c r="L327" i="15"/>
  <c r="L326" i="15"/>
  <c r="K325" i="15"/>
  <c r="L325" i="15" s="1"/>
  <c r="L324" i="15"/>
  <c r="L323" i="15"/>
  <c r="L322" i="15"/>
  <c r="L321" i="15"/>
  <c r="L319" i="15" s="1"/>
  <c r="H319" i="15"/>
  <c r="J318" i="15"/>
  <c r="L316" i="15"/>
  <c r="L315" i="15"/>
  <c r="L314" i="15"/>
  <c r="L313" i="15"/>
  <c r="L312" i="15"/>
  <c r="L311" i="15"/>
  <c r="L310" i="15"/>
  <c r="L309" i="15"/>
  <c r="L308" i="15"/>
  <c r="L306" i="15"/>
  <c r="H306" i="15"/>
  <c r="J305" i="15"/>
  <c r="L303" i="15"/>
  <c r="L302" i="15"/>
  <c r="L301" i="15"/>
  <c r="L300" i="15"/>
  <c r="L299" i="15"/>
  <c r="K298" i="15"/>
  <c r="L298" i="15" s="1"/>
  <c r="L297" i="15"/>
  <c r="L296" i="15"/>
  <c r="K295" i="15"/>
  <c r="L295" i="15" s="1"/>
  <c r="L294" i="15"/>
  <c r="K293" i="15"/>
  <c r="L293" i="15" s="1"/>
  <c r="L292" i="15"/>
  <c r="L291" i="15"/>
  <c r="L290" i="15"/>
  <c r="L289" i="15"/>
  <c r="L288" i="15"/>
  <c r="L287" i="15"/>
  <c r="L286" i="15"/>
  <c r="L285" i="15"/>
  <c r="L284" i="15"/>
  <c r="L283" i="15"/>
  <c r="L282" i="15"/>
  <c r="L281" i="15"/>
  <c r="L280" i="15"/>
  <c r="L279" i="15"/>
  <c r="L277" i="15"/>
  <c r="H277" i="15"/>
  <c r="J276" i="15"/>
  <c r="L273" i="15"/>
  <c r="K273" i="15"/>
  <c r="L272" i="15"/>
  <c r="L271" i="15"/>
  <c r="L270" i="15"/>
  <c r="L269" i="15"/>
  <c r="L268" i="15"/>
  <c r="L267" i="15"/>
  <c r="L266" i="15"/>
  <c r="H266" i="15"/>
  <c r="H258" i="15" s="1"/>
  <c r="L265" i="15"/>
  <c r="K264" i="15"/>
  <c r="L264" i="15" s="1"/>
  <c r="L263" i="15"/>
  <c r="L262" i="15"/>
  <c r="L261" i="15"/>
  <c r="L260" i="15"/>
  <c r="L258" i="15" s="1"/>
  <c r="J257" i="15"/>
  <c r="L254" i="15"/>
  <c r="L253" i="15"/>
  <c r="L252" i="15"/>
  <c r="L251" i="15"/>
  <c r="L250" i="15"/>
  <c r="K250" i="15"/>
  <c r="L249" i="15"/>
  <c r="L248" i="15"/>
  <c r="L247" i="15"/>
  <c r="L246" i="15"/>
  <c r="L245" i="15"/>
  <c r="L244" i="15"/>
  <c r="L243" i="15"/>
  <c r="K243" i="15"/>
  <c r="L242" i="15"/>
  <c r="L241" i="15"/>
  <c r="L240" i="15"/>
  <c r="L239" i="15"/>
  <c r="L238" i="15"/>
  <c r="L237" i="15"/>
  <c r="L236" i="15"/>
  <c r="K236" i="15"/>
  <c r="L235" i="15"/>
  <c r="L234" i="15"/>
  <c r="L233" i="15"/>
  <c r="L232" i="15"/>
  <c r="L231" i="15"/>
  <c r="L230" i="15"/>
  <c r="L229" i="15"/>
  <c r="L228" i="15"/>
  <c r="L227" i="15"/>
  <c r="L226" i="15"/>
  <c r="L225" i="15"/>
  <c r="L224" i="15"/>
  <c r="L223" i="15"/>
  <c r="L222" i="15"/>
  <c r="L221" i="15"/>
  <c r="L220" i="15"/>
  <c r="K220" i="15"/>
  <c r="L219" i="15"/>
  <c r="L218" i="15"/>
  <c r="L217" i="15"/>
  <c r="L216" i="15"/>
  <c r="L215" i="15"/>
  <c r="L214" i="15"/>
  <c r="L213" i="15"/>
  <c r="L212" i="15"/>
  <c r="L211" i="15"/>
  <c r="L210" i="15"/>
  <c r="L209" i="15"/>
  <c r="L208" i="15"/>
  <c r="L207" i="15"/>
  <c r="L206" i="15"/>
  <c r="L205" i="15"/>
  <c r="L204" i="15"/>
  <c r="K203" i="15"/>
  <c r="L203" i="15" s="1"/>
  <c r="L199" i="15" s="1"/>
  <c r="L202" i="15"/>
  <c r="H199" i="15"/>
  <c r="J198" i="15"/>
  <c r="K195" i="15"/>
  <c r="L194" i="15"/>
  <c r="L193" i="15"/>
  <c r="L192" i="15"/>
  <c r="L191" i="15"/>
  <c r="K190" i="15"/>
  <c r="L190" i="15" s="1"/>
  <c r="L188" i="15"/>
  <c r="L187" i="15"/>
  <c r="L186" i="15"/>
  <c r="L185" i="15"/>
  <c r="L184" i="15"/>
  <c r="L183" i="15"/>
  <c r="L182" i="15"/>
  <c r="L181" i="15"/>
  <c r="K181" i="15"/>
  <c r="L180" i="15"/>
  <c r="L179" i="15"/>
  <c r="L178" i="15"/>
  <c r="L177" i="15"/>
  <c r="L176" i="15"/>
  <c r="K175" i="15"/>
  <c r="L175" i="15" s="1"/>
  <c r="L174" i="15"/>
  <c r="L173" i="15"/>
  <c r="K173" i="15"/>
  <c r="L172" i="15"/>
  <c r="L171" i="15"/>
  <c r="L170" i="15"/>
  <c r="L167" i="15"/>
  <c r="H167" i="15"/>
  <c r="J166" i="15"/>
  <c r="L163" i="15"/>
  <c r="K163" i="15"/>
  <c r="K162" i="15"/>
  <c r="L162" i="15" s="1"/>
  <c r="L161" i="15"/>
  <c r="L160" i="15"/>
  <c r="L159" i="15"/>
  <c r="L158" i="15"/>
  <c r="L157" i="15"/>
  <c r="L156" i="15"/>
  <c r="L155" i="15"/>
  <c r="L154" i="15"/>
  <c r="L153" i="15"/>
  <c r="L152" i="15"/>
  <c r="L151" i="15"/>
  <c r="L150" i="15"/>
  <c r="L149" i="15"/>
  <c r="K148" i="15"/>
  <c r="L148" i="15" s="1"/>
  <c r="L147" i="15"/>
  <c r="L146" i="15"/>
  <c r="L145" i="15"/>
  <c r="L144" i="15"/>
  <c r="L143" i="15"/>
  <c r="L142" i="15"/>
  <c r="L141" i="15"/>
  <c r="L140" i="15"/>
  <c r="L139" i="15"/>
  <c r="L138" i="15"/>
  <c r="L137" i="15"/>
  <c r="L134" i="15"/>
  <c r="H134" i="15"/>
  <c r="L130" i="15"/>
  <c r="L129" i="15"/>
  <c r="L128" i="15"/>
  <c r="L127" i="15"/>
  <c r="L126" i="15"/>
  <c r="L125" i="15"/>
  <c r="L124" i="15"/>
  <c r="L123" i="15"/>
  <c r="L122" i="15"/>
  <c r="L121" i="15"/>
  <c r="L120" i="15"/>
  <c r="L119" i="15"/>
  <c r="L118" i="15"/>
  <c r="L117" i="15"/>
  <c r="L116" i="15"/>
  <c r="L115" i="15"/>
  <c r="L114" i="15"/>
  <c r="L113" i="15"/>
  <c r="L112" i="15"/>
  <c r="L111" i="15"/>
  <c r="L110" i="15"/>
  <c r="L109" i="15"/>
  <c r="L108" i="15"/>
  <c r="L107" i="15"/>
  <c r="L106" i="15"/>
  <c r="L105" i="15"/>
  <c r="L104" i="15"/>
  <c r="L103" i="15"/>
  <c r="L102" i="15"/>
  <c r="L101" i="15"/>
  <c r="L100" i="15"/>
  <c r="L99" i="15"/>
  <c r="L98" i="15"/>
  <c r="L97" i="15"/>
  <c r="L96" i="15"/>
  <c r="L95" i="15"/>
  <c r="L94" i="15"/>
  <c r="L93" i="15"/>
  <c r="M95" i="15" s="1"/>
  <c r="L92" i="15"/>
  <c r="L91" i="15"/>
  <c r="L90" i="15"/>
  <c r="L89" i="15"/>
  <c r="M90" i="15" s="1"/>
  <c r="L88" i="15"/>
  <c r="L87" i="15"/>
  <c r="L86" i="15"/>
  <c r="K86" i="15"/>
  <c r="L85" i="15"/>
  <c r="L84" i="15"/>
  <c r="L83" i="15"/>
  <c r="L82" i="15"/>
  <c r="L81" i="15"/>
  <c r="L80" i="15"/>
  <c r="L79" i="15"/>
  <c r="L78" i="15"/>
  <c r="L77" i="15"/>
  <c r="L76" i="15"/>
  <c r="L75" i="15"/>
  <c r="L74" i="15"/>
  <c r="L73" i="15"/>
  <c r="L72" i="15"/>
  <c r="L71" i="15"/>
  <c r="L70" i="15"/>
  <c r="K70" i="15"/>
  <c r="L69" i="15"/>
  <c r="L68" i="15"/>
  <c r="L67" i="15"/>
  <c r="M75" i="15" s="1"/>
  <c r="L66" i="15"/>
  <c r="L65" i="15"/>
  <c r="L64" i="15"/>
  <c r="L63" i="15"/>
  <c r="L62" i="15"/>
  <c r="L61" i="15"/>
  <c r="L60" i="15"/>
  <c r="L59" i="15"/>
  <c r="L58" i="15"/>
  <c r="L57" i="15"/>
  <c r="L56" i="15"/>
  <c r="L55" i="15"/>
  <c r="L54" i="15"/>
  <c r="L53" i="15"/>
  <c r="L52" i="15"/>
  <c r="L51" i="15"/>
  <c r="L50" i="15"/>
  <c r="L49" i="15"/>
  <c r="L48" i="15"/>
  <c r="L47" i="15"/>
  <c r="L46" i="15"/>
  <c r="L45" i="15"/>
  <c r="L44" i="15"/>
  <c r="L43" i="15"/>
  <c r="L42" i="15"/>
  <c r="L41" i="15"/>
  <c r="L40" i="15"/>
  <c r="L39" i="15"/>
  <c r="L38" i="15"/>
  <c r="L37" i="15"/>
  <c r="L36" i="15"/>
  <c r="L35" i="15"/>
  <c r="L34" i="15"/>
  <c r="L33" i="15"/>
  <c r="L32" i="15"/>
  <c r="L31" i="15"/>
  <c r="L30" i="15"/>
  <c r="L29" i="15"/>
  <c r="L28" i="15"/>
  <c r="L27" i="15"/>
  <c r="M26" i="15"/>
  <c r="L26" i="15"/>
  <c r="L25" i="15"/>
  <c r="L24" i="15"/>
  <c r="L23" i="15"/>
  <c r="L22" i="15"/>
  <c r="L21" i="15"/>
  <c r="L20" i="15"/>
  <c r="K19" i="15"/>
  <c r="L19" i="15" s="1"/>
  <c r="L18" i="15"/>
  <c r="L17" i="15"/>
  <c r="L16" i="15"/>
  <c r="L15" i="15"/>
  <c r="L14" i="15"/>
  <c r="L13" i="15"/>
  <c r="L12" i="15"/>
  <c r="L11" i="15"/>
  <c r="L10" i="15"/>
  <c r="L9" i="15"/>
  <c r="L8" i="15"/>
  <c r="L5" i="15"/>
  <c r="H5" i="15"/>
  <c r="H3" i="15"/>
  <c r="L391" i="14"/>
  <c r="L390" i="14"/>
  <c r="L389" i="14"/>
  <c r="L388" i="14"/>
  <c r="L387" i="14"/>
  <c r="L386" i="14"/>
  <c r="L385" i="14"/>
  <c r="L384" i="14"/>
  <c r="L383" i="14"/>
  <c r="L382" i="14"/>
  <c r="L381" i="14"/>
  <c r="L380" i="14"/>
  <c r="L379" i="14"/>
  <c r="L378" i="14"/>
  <c r="L377" i="14"/>
  <c r="L376" i="14"/>
  <c r="L375" i="14"/>
  <c r="L374" i="14"/>
  <c r="L373" i="14"/>
  <c r="L372" i="14"/>
  <c r="L371" i="14"/>
  <c r="L370" i="14"/>
  <c r="L368" i="14"/>
  <c r="H368" i="14"/>
  <c r="J367" i="14"/>
  <c r="L365" i="14"/>
  <c r="L364" i="14"/>
  <c r="L363" i="14"/>
  <c r="L362" i="14"/>
  <c r="L361" i="14"/>
  <c r="L360" i="14"/>
  <c r="L359" i="14"/>
  <c r="L358" i="14"/>
  <c r="L357" i="14"/>
  <c r="L356" i="14"/>
  <c r="L355" i="14"/>
  <c r="L354" i="14"/>
  <c r="L353" i="14"/>
  <c r="L352" i="14"/>
  <c r="L351" i="14"/>
  <c r="L350" i="14"/>
  <c r="L349" i="14"/>
  <c r="L348" i="14"/>
  <c r="L347" i="14"/>
  <c r="L345" i="14"/>
  <c r="L344" i="14"/>
  <c r="K343" i="14"/>
  <c r="L343" i="14" s="1"/>
  <c r="L342" i="14"/>
  <c r="L341" i="14"/>
  <c r="L340" i="14"/>
  <c r="L339" i="14"/>
  <c r="L338" i="14"/>
  <c r="L337" i="14"/>
  <c r="L336" i="14"/>
  <c r="L335" i="14"/>
  <c r="K334" i="14"/>
  <c r="L334" i="14" s="1"/>
  <c r="L332" i="14" s="1"/>
  <c r="H332" i="14"/>
  <c r="J331" i="14"/>
  <c r="L329" i="14"/>
  <c r="L328" i="14"/>
  <c r="L327" i="14"/>
  <c r="L326" i="14"/>
  <c r="L325" i="14"/>
  <c r="L324" i="14"/>
  <c r="L323" i="14"/>
  <c r="L322" i="14"/>
  <c r="L321" i="14"/>
  <c r="L320" i="14"/>
  <c r="L319" i="14"/>
  <c r="L318" i="14"/>
  <c r="L317" i="14"/>
  <c r="L316" i="14"/>
  <c r="L315" i="14"/>
  <c r="L314" i="14"/>
  <c r="L313" i="14"/>
  <c r="L312" i="14"/>
  <c r="K311" i="14"/>
  <c r="L311" i="14" s="1"/>
  <c r="L310" i="14"/>
  <c r="L309" i="14"/>
  <c r="L308" i="14"/>
  <c r="L307" i="14"/>
  <c r="L306" i="14"/>
  <c r="K305" i="14"/>
  <c r="L305" i="14" s="1"/>
  <c r="L304" i="14"/>
  <c r="L303" i="14"/>
  <c r="K303" i="14"/>
  <c r="L302" i="14"/>
  <c r="K301" i="14"/>
  <c r="K300" i="14"/>
  <c r="L300" i="14" s="1"/>
  <c r="L299" i="14"/>
  <c r="L298" i="14"/>
  <c r="L297" i="14"/>
  <c r="L296" i="14"/>
  <c r="L295" i="14"/>
  <c r="L294" i="14"/>
  <c r="L293" i="14"/>
  <c r="K292" i="14"/>
  <c r="L292" i="14" s="1"/>
  <c r="L291" i="14"/>
  <c r="L290" i="14"/>
  <c r="L289" i="14"/>
  <c r="L287" i="14" s="1"/>
  <c r="H287" i="14"/>
  <c r="J286" i="14"/>
  <c r="L284" i="14"/>
  <c r="L283" i="14"/>
  <c r="L282" i="14"/>
  <c r="L281" i="14"/>
  <c r="L280" i="14"/>
  <c r="K280" i="14"/>
  <c r="L279" i="14"/>
  <c r="K278" i="14"/>
  <c r="L278" i="14" s="1"/>
  <c r="L277" i="14"/>
  <c r="L276" i="14"/>
  <c r="L275" i="14"/>
  <c r="L274" i="14"/>
  <c r="L273" i="14"/>
  <c r="L272" i="14"/>
  <c r="L271" i="14"/>
  <c r="K270" i="14"/>
  <c r="L270" i="14" s="1"/>
  <c r="L269" i="14"/>
  <c r="L268" i="14"/>
  <c r="K268" i="14"/>
  <c r="L267" i="14"/>
  <c r="L266" i="14"/>
  <c r="K265" i="14"/>
  <c r="L265" i="14" s="1"/>
  <c r="L264" i="14"/>
  <c r="K263" i="14"/>
  <c r="L263" i="14" s="1"/>
  <c r="L262" i="14"/>
  <c r="L261" i="14"/>
  <c r="L260" i="14"/>
  <c r="L258" i="14" s="1"/>
  <c r="H258" i="14"/>
  <c r="J257" i="14"/>
  <c r="L255" i="14"/>
  <c r="L254" i="14"/>
  <c r="L253" i="14"/>
  <c r="L252" i="14"/>
  <c r="L251" i="14"/>
  <c r="L250" i="14"/>
  <c r="L249" i="14"/>
  <c r="L248" i="14"/>
  <c r="L247" i="14"/>
  <c r="L246" i="14"/>
  <c r="L245" i="14"/>
  <c r="L244" i="14"/>
  <c r="L243" i="14"/>
  <c r="L242" i="14"/>
  <c r="L241" i="14"/>
  <c r="L240" i="14"/>
  <c r="L239" i="14"/>
  <c r="L238" i="14"/>
  <c r="L237" i="14"/>
  <c r="L236" i="14"/>
  <c r="L235" i="14"/>
  <c r="L234" i="14"/>
  <c r="L233" i="14"/>
  <c r="L232" i="14"/>
  <c r="K231" i="14"/>
  <c r="L231" i="14" s="1"/>
  <c r="L230" i="14"/>
  <c r="L229" i="14"/>
  <c r="L228" i="14"/>
  <c r="L227" i="14"/>
  <c r="L226" i="14"/>
  <c r="L225" i="14"/>
  <c r="K224" i="14"/>
  <c r="L224" i="14" s="1"/>
  <c r="L223" i="14"/>
  <c r="L222" i="14"/>
  <c r="L221" i="14"/>
  <c r="L220" i="14"/>
  <c r="L219" i="14"/>
  <c r="L218" i="14"/>
  <c r="L217" i="14"/>
  <c r="L216" i="14"/>
  <c r="K216" i="14"/>
  <c r="L215" i="14"/>
  <c r="K214" i="14"/>
  <c r="L214" i="14" s="1"/>
  <c r="L213" i="14"/>
  <c r="L212" i="14"/>
  <c r="L211" i="14"/>
  <c r="L210" i="14"/>
  <c r="L209" i="14"/>
  <c r="L208" i="14"/>
  <c r="L207" i="14"/>
  <c r="L206" i="14"/>
  <c r="L205" i="14"/>
  <c r="L204" i="14"/>
  <c r="L203" i="14"/>
  <c r="L202" i="14"/>
  <c r="L201" i="14"/>
  <c r="L200" i="14"/>
  <c r="L199" i="14"/>
  <c r="L197" i="14"/>
  <c r="H197" i="14"/>
  <c r="J196" i="14"/>
  <c r="L194" i="14"/>
  <c r="L193" i="14"/>
  <c r="L192" i="14"/>
  <c r="L191" i="14"/>
  <c r="L190" i="14"/>
  <c r="L189" i="14"/>
  <c r="L188" i="14"/>
  <c r="L187" i="14"/>
  <c r="L186" i="14"/>
  <c r="L185" i="14"/>
  <c r="L184" i="14"/>
  <c r="L183" i="14"/>
  <c r="L182" i="14"/>
  <c r="J181" i="14"/>
  <c r="L181" i="14" s="1"/>
  <c r="L180" i="14"/>
  <c r="L179" i="14"/>
  <c r="L178" i="14"/>
  <c r="L177" i="14"/>
  <c r="L176" i="14"/>
  <c r="L175" i="14"/>
  <c r="L174" i="14"/>
  <c r="L173" i="14"/>
  <c r="L172" i="14"/>
  <c r="L171" i="14"/>
  <c r="L170" i="14"/>
  <c r="L169" i="14"/>
  <c r="L168" i="14"/>
  <c r="L167" i="14"/>
  <c r="K166" i="14"/>
  <c r="L166" i="14" s="1"/>
  <c r="L165" i="14"/>
  <c r="L164" i="14"/>
  <c r="L163" i="14"/>
  <c r="L162" i="14"/>
  <c r="L161" i="14"/>
  <c r="L160" i="14"/>
  <c r="L159" i="14"/>
  <c r="L158" i="14"/>
  <c r="L157" i="14"/>
  <c r="L156" i="14"/>
  <c r="L155" i="14"/>
  <c r="K155" i="14"/>
  <c r="L154" i="14"/>
  <c r="L153" i="14"/>
  <c r="L152" i="14"/>
  <c r="L151" i="14"/>
  <c r="K150" i="14"/>
  <c r="L150" i="14" s="1"/>
  <c r="L149" i="14"/>
  <c r="L148" i="14"/>
  <c r="L147" i="14"/>
  <c r="L146" i="14"/>
  <c r="L145" i="14"/>
  <c r="L144" i="14"/>
  <c r="L143" i="14"/>
  <c r="L142" i="14"/>
  <c r="L140" i="14"/>
  <c r="H140" i="14"/>
  <c r="J139" i="14"/>
  <c r="L137" i="14"/>
  <c r="L136" i="14"/>
  <c r="L135" i="14"/>
  <c r="L134" i="14"/>
  <c r="L133" i="14"/>
  <c r="L132" i="14"/>
  <c r="L131" i="14"/>
  <c r="L130" i="14"/>
  <c r="L129" i="14"/>
  <c r="L128" i="14"/>
  <c r="L127" i="14"/>
  <c r="L126" i="14"/>
  <c r="L125" i="14"/>
  <c r="L124" i="14"/>
  <c r="L123" i="14"/>
  <c r="L122" i="14"/>
  <c r="L121" i="14"/>
  <c r="L120" i="14"/>
  <c r="L119" i="14"/>
  <c r="L118" i="14"/>
  <c r="L117" i="14"/>
  <c r="L116" i="14"/>
  <c r="L115" i="14"/>
  <c r="L114" i="14"/>
  <c r="L113" i="14"/>
  <c r="L112" i="14"/>
  <c r="L111" i="14"/>
  <c r="L110" i="14"/>
  <c r="L109" i="14"/>
  <c r="L108" i="14"/>
  <c r="L107" i="14"/>
  <c r="L106" i="14"/>
  <c r="L105" i="14"/>
  <c r="L104" i="14"/>
  <c r="L103" i="14"/>
  <c r="L102" i="14"/>
  <c r="L101" i="14"/>
  <c r="L100" i="14"/>
  <c r="L99" i="14"/>
  <c r="L98" i="14"/>
  <c r="L97" i="14"/>
  <c r="L96" i="14"/>
  <c r="L95" i="14"/>
  <c r="L94" i="14"/>
  <c r="L93" i="14"/>
  <c r="L92" i="14"/>
  <c r="L91" i="14"/>
  <c r="L90" i="14"/>
  <c r="L89" i="14"/>
  <c r="L88" i="14"/>
  <c r="L87" i="14"/>
  <c r="L86" i="14"/>
  <c r="L85" i="14"/>
  <c r="L84" i="14"/>
  <c r="L83" i="14"/>
  <c r="K83" i="14"/>
  <c r="L82" i="14"/>
  <c r="L81" i="14"/>
  <c r="L80" i="14"/>
  <c r="L79" i="14"/>
  <c r="L78" i="14"/>
  <c r="L77" i="14"/>
  <c r="L76" i="14"/>
  <c r="L75" i="14"/>
  <c r="L74" i="14"/>
  <c r="L73" i="14"/>
  <c r="L72" i="14"/>
  <c r="L71" i="14"/>
  <c r="L70" i="14"/>
  <c r="L69" i="14"/>
  <c r="K69" i="14"/>
  <c r="L68" i="14"/>
  <c r="L67" i="14"/>
  <c r="L66" i="14"/>
  <c r="L65" i="14"/>
  <c r="L64" i="14"/>
  <c r="L63" i="14"/>
  <c r="L61" i="14"/>
  <c r="H61" i="14"/>
  <c r="J60" i="14"/>
  <c r="L58" i="14"/>
  <c r="L57" i="14"/>
  <c r="L56" i="14"/>
  <c r="L55" i="14"/>
  <c r="L54" i="14"/>
  <c r="L53" i="14"/>
  <c r="L52" i="14"/>
  <c r="L51" i="14"/>
  <c r="L50" i="14"/>
  <c r="L49" i="14"/>
  <c r="L48" i="14"/>
  <c r="L47" i="14"/>
  <c r="L46" i="14"/>
  <c r="L45" i="14"/>
  <c r="K45" i="14"/>
  <c r="L44" i="14"/>
  <c r="L43" i="14"/>
  <c r="L42" i="14"/>
  <c r="L41" i="14"/>
  <c r="L40" i="14"/>
  <c r="L39" i="14"/>
  <c r="L38" i="14"/>
  <c r="L37" i="14"/>
  <c r="K37" i="14"/>
  <c r="L36" i="14"/>
  <c r="L35" i="14"/>
  <c r="L34" i="14"/>
  <c r="L33" i="14"/>
  <c r="L32" i="14"/>
  <c r="L31" i="14"/>
  <c r="L30" i="14"/>
  <c r="L29" i="14"/>
  <c r="K28" i="14"/>
  <c r="L28" i="14" s="1"/>
  <c r="L27" i="14"/>
  <c r="L26" i="14"/>
  <c r="L25" i="14"/>
  <c r="L24" i="14"/>
  <c r="L23" i="14"/>
  <c r="L22" i="14"/>
  <c r="L21" i="14"/>
  <c r="L20" i="14"/>
  <c r="L19" i="14"/>
  <c r="L18" i="14"/>
  <c r="L17" i="14"/>
  <c r="L16" i="14"/>
  <c r="L15" i="14"/>
  <c r="L14" i="14"/>
  <c r="L13" i="14"/>
  <c r="L12" i="14"/>
  <c r="L11" i="14"/>
  <c r="L10" i="14"/>
  <c r="L9" i="14"/>
  <c r="L8" i="14"/>
  <c r="L7" i="14"/>
  <c r="L5" i="14" s="1"/>
  <c r="H5" i="14"/>
  <c r="J4" i="14"/>
  <c r="H377" i="13"/>
  <c r="L374" i="13"/>
  <c r="L373" i="13"/>
  <c r="L372" i="13"/>
  <c r="L370" i="13" s="1"/>
  <c r="H370" i="13"/>
  <c r="J369" i="13"/>
  <c r="L366" i="13"/>
  <c r="L365" i="13"/>
  <c r="L364" i="13"/>
  <c r="L363" i="13"/>
  <c r="L362" i="13"/>
  <c r="L361" i="13"/>
  <c r="L360" i="13"/>
  <c r="L359" i="13"/>
  <c r="L358" i="13"/>
  <c r="L357" i="13"/>
  <c r="L356" i="13"/>
  <c r="L355" i="13"/>
  <c r="L354" i="13"/>
  <c r="L353" i="13"/>
  <c r="L352" i="13"/>
  <c r="L351" i="13"/>
  <c r="L350" i="13"/>
  <c r="L349" i="13"/>
  <c r="L348" i="13"/>
  <c r="L347" i="13"/>
  <c r="L346" i="13"/>
  <c r="L344" i="13" s="1"/>
  <c r="H344" i="13"/>
  <c r="J343" i="13"/>
  <c r="L341" i="13"/>
  <c r="L340" i="13"/>
  <c r="L339" i="13"/>
  <c r="L338" i="13"/>
  <c r="L337" i="13"/>
  <c r="L336" i="13"/>
  <c r="L335" i="13"/>
  <c r="L334" i="13"/>
  <c r="L333" i="13"/>
  <c r="L332" i="13"/>
  <c r="L331" i="13"/>
  <c r="L330" i="13"/>
  <c r="L329" i="13"/>
  <c r="L328" i="13"/>
  <c r="L327" i="13"/>
  <c r="L326" i="13"/>
  <c r="L325" i="13"/>
  <c r="L324" i="13"/>
  <c r="L323" i="13"/>
  <c r="L322" i="13"/>
  <c r="L321" i="13"/>
  <c r="L320" i="13"/>
  <c r="L319" i="13"/>
  <c r="L318" i="13"/>
  <c r="L317" i="13"/>
  <c r="L316" i="13"/>
  <c r="L315" i="13"/>
  <c r="L314" i="13"/>
  <c r="L313" i="13"/>
  <c r="L312" i="13"/>
  <c r="L311" i="13"/>
  <c r="L309" i="13" s="1"/>
  <c r="H309" i="13"/>
  <c r="J308" i="13"/>
  <c r="L306" i="13"/>
  <c r="L305" i="13"/>
  <c r="L304" i="13"/>
  <c r="L303" i="13"/>
  <c r="L302" i="13"/>
  <c r="L301" i="13"/>
  <c r="L300" i="13"/>
  <c r="L299" i="13"/>
  <c r="L298" i="13"/>
  <c r="L297" i="13"/>
  <c r="L296" i="13"/>
  <c r="L295" i="13"/>
  <c r="L294" i="13"/>
  <c r="L293" i="13"/>
  <c r="L292" i="13"/>
  <c r="L291" i="13"/>
  <c r="L290" i="13"/>
  <c r="L289" i="13"/>
  <c r="L288" i="13"/>
  <c r="L287" i="13"/>
  <c r="L286" i="13"/>
  <c r="L285" i="13"/>
  <c r="L284" i="13"/>
  <c r="L283" i="13"/>
  <c r="L282" i="13"/>
  <c r="L281" i="13"/>
  <c r="L280" i="13"/>
  <c r="L279" i="13"/>
  <c r="L278" i="13"/>
  <c r="L277" i="13"/>
  <c r="L276" i="13"/>
  <c r="L275" i="13"/>
  <c r="L274" i="13"/>
  <c r="L273" i="13"/>
  <c r="L272" i="13"/>
  <c r="L271" i="13"/>
  <c r="L270" i="13"/>
  <c r="L269" i="13"/>
  <c r="L268" i="13"/>
  <c r="L267" i="13"/>
  <c r="L266" i="13"/>
  <c r="L265" i="13"/>
  <c r="L264" i="13"/>
  <c r="L263" i="13"/>
  <c r="L262" i="13"/>
  <c r="L261" i="13"/>
  <c r="L260" i="13"/>
  <c r="L259" i="13"/>
  <c r="L257" i="13"/>
  <c r="H257" i="13"/>
  <c r="J256" i="13"/>
  <c r="L254" i="13"/>
  <c r="L253" i="13"/>
  <c r="K253" i="13"/>
  <c r="L252" i="13"/>
  <c r="L251" i="13"/>
  <c r="L250" i="13"/>
  <c r="L249" i="13"/>
  <c r="L248" i="13"/>
  <c r="L247" i="13"/>
  <c r="L246" i="13"/>
  <c r="L245" i="13"/>
  <c r="J244" i="13"/>
  <c r="L244" i="13" s="1"/>
  <c r="L243" i="13"/>
  <c r="L242" i="13"/>
  <c r="L241" i="13"/>
  <c r="K241" i="13"/>
  <c r="L240" i="13"/>
  <c r="K239" i="13"/>
  <c r="L239" i="13" s="1"/>
  <c r="L238" i="13"/>
  <c r="L237" i="13"/>
  <c r="J236" i="13"/>
  <c r="L236" i="13" s="1"/>
  <c r="L235" i="13"/>
  <c r="L234" i="13"/>
  <c r="L233" i="13"/>
  <c r="L232" i="13"/>
  <c r="K231" i="13"/>
  <c r="L230" i="13"/>
  <c r="L229" i="13"/>
  <c r="L227" i="13"/>
  <c r="L226" i="13"/>
  <c r="L225" i="13"/>
  <c r="L223" i="13" s="1"/>
  <c r="H223" i="13"/>
  <c r="J222" i="13"/>
  <c r="L220" i="13"/>
  <c r="L219" i="13"/>
  <c r="L218" i="13"/>
  <c r="L217" i="13"/>
  <c r="L216" i="13"/>
  <c r="L215" i="13"/>
  <c r="L214" i="13"/>
  <c r="L213" i="13"/>
  <c r="L212" i="13"/>
  <c r="L211" i="13"/>
  <c r="L210" i="13"/>
  <c r="L209" i="13"/>
  <c r="L208" i="13"/>
  <c r="L207" i="13"/>
  <c r="L206" i="13"/>
  <c r="L205" i="13"/>
  <c r="L204" i="13"/>
  <c r="K203" i="13"/>
  <c r="L203" i="13" s="1"/>
  <c r="L202" i="13"/>
  <c r="L201" i="13"/>
  <c r="L200" i="13"/>
  <c r="L199" i="13"/>
  <c r="K198" i="13"/>
  <c r="L198" i="13" s="1"/>
  <c r="L197" i="13"/>
  <c r="L196" i="13"/>
  <c r="K196" i="13"/>
  <c r="L195" i="13"/>
  <c r="L194" i="13"/>
  <c r="K193" i="13"/>
  <c r="L193" i="13" s="1"/>
  <c r="L192" i="13"/>
  <c r="L191" i="13"/>
  <c r="L190" i="13"/>
  <c r="L189" i="13"/>
  <c r="L188" i="13"/>
  <c r="L187" i="13"/>
  <c r="L186" i="13"/>
  <c r="L185" i="13"/>
  <c r="L184" i="13"/>
  <c r="L183" i="13"/>
  <c r="L182" i="13"/>
  <c r="L181" i="13"/>
  <c r="L178" i="13" s="1"/>
  <c r="K181" i="13"/>
  <c r="L180" i="13"/>
  <c r="H178" i="13"/>
  <c r="J177" i="13"/>
  <c r="L175" i="13"/>
  <c r="L174" i="13"/>
  <c r="L173" i="13"/>
  <c r="L172" i="13"/>
  <c r="L171" i="13"/>
  <c r="L169" i="13" s="1"/>
  <c r="H169" i="13"/>
  <c r="J168" i="13"/>
  <c r="L166" i="13"/>
  <c r="L165" i="13"/>
  <c r="L164" i="13"/>
  <c r="L163" i="13"/>
  <c r="L162" i="13"/>
  <c r="L161" i="13"/>
  <c r="L160" i="13"/>
  <c r="L159" i="13"/>
  <c r="L158" i="13"/>
  <c r="L157" i="13"/>
  <c r="L156" i="13"/>
  <c r="L155" i="13"/>
  <c r="K154" i="13"/>
  <c r="L154" i="13" s="1"/>
  <c r="L153" i="13"/>
  <c r="K152" i="13"/>
  <c r="L152" i="13" s="1"/>
  <c r="L151" i="13"/>
  <c r="L150" i="13"/>
  <c r="K149" i="13"/>
  <c r="L149" i="13" s="1"/>
  <c r="L148" i="13"/>
  <c r="L147" i="13"/>
  <c r="K146" i="13"/>
  <c r="L146" i="13" s="1"/>
  <c r="L145" i="13"/>
  <c r="H143" i="13"/>
  <c r="J142" i="13"/>
  <c r="L140" i="13"/>
  <c r="L139" i="13"/>
  <c r="L138" i="13"/>
  <c r="L137" i="13"/>
  <c r="L136" i="13"/>
  <c r="L135" i="13"/>
  <c r="L134" i="13"/>
  <c r="K133" i="13"/>
  <c r="L133" i="13" s="1"/>
  <c r="L132" i="13"/>
  <c r="L131" i="13"/>
  <c r="L129" i="13"/>
  <c r="L128" i="13"/>
  <c r="L126" i="13"/>
  <c r="L125" i="13"/>
  <c r="L124" i="13"/>
  <c r="L123" i="13"/>
  <c r="L122" i="13"/>
  <c r="L121" i="13"/>
  <c r="L118" i="13"/>
  <c r="L117" i="13"/>
  <c r="L116" i="13"/>
  <c r="K115" i="13"/>
  <c r="L115" i="13" s="1"/>
  <c r="L114" i="13"/>
  <c r="L113" i="13"/>
  <c r="L112" i="13"/>
  <c r="L111" i="13"/>
  <c r="L110" i="13"/>
  <c r="L109" i="13"/>
  <c r="L106" i="13" s="1"/>
  <c r="K109" i="13"/>
  <c r="L108" i="13"/>
  <c r="H106" i="13"/>
  <c r="J105" i="13"/>
  <c r="K103" i="13"/>
  <c r="L103" i="13" s="1"/>
  <c r="L102" i="13"/>
  <c r="L101" i="13"/>
  <c r="L100" i="13"/>
  <c r="L99" i="13"/>
  <c r="L98" i="13"/>
  <c r="L97" i="13"/>
  <c r="L96" i="13"/>
  <c r="L95" i="13"/>
  <c r="L94" i="13"/>
  <c r="L93" i="13"/>
  <c r="L92" i="13"/>
  <c r="L91" i="13"/>
  <c r="L90" i="13"/>
  <c r="L89" i="13"/>
  <c r="L88" i="13"/>
  <c r="L86" i="13"/>
  <c r="L85" i="13"/>
  <c r="L84" i="13"/>
  <c r="L83" i="13"/>
  <c r="L82" i="13"/>
  <c r="K81" i="13"/>
  <c r="L81" i="13" s="1"/>
  <c r="L80" i="13"/>
  <c r="L79" i="13"/>
  <c r="L78" i="13"/>
  <c r="K78" i="13"/>
  <c r="L77" i="13"/>
  <c r="L76" i="13"/>
  <c r="L75" i="13"/>
  <c r="L74" i="13"/>
  <c r="L73" i="13"/>
  <c r="L72" i="13"/>
  <c r="L71" i="13"/>
  <c r="K71" i="13"/>
  <c r="L70" i="13"/>
  <c r="K69" i="13"/>
  <c r="L69" i="13" s="1"/>
  <c r="L67" i="13" s="1"/>
  <c r="H67" i="13"/>
  <c r="J66" i="13"/>
  <c r="L64" i="13"/>
  <c r="L63" i="13"/>
  <c r="L62" i="13"/>
  <c r="L61" i="13"/>
  <c r="L60" i="13"/>
  <c r="L59" i="13"/>
  <c r="L58" i="13"/>
  <c r="L57" i="13"/>
  <c r="L56" i="13"/>
  <c r="L55" i="13"/>
  <c r="L54" i="13"/>
  <c r="L53" i="13"/>
  <c r="L52" i="13"/>
  <c r="L51" i="13"/>
  <c r="L50" i="13"/>
  <c r="L49" i="13"/>
  <c r="K49" i="13"/>
  <c r="L48" i="13"/>
  <c r="L47" i="13"/>
  <c r="L46" i="13"/>
  <c r="L45" i="13"/>
  <c r="L44" i="13"/>
  <c r="L43" i="13"/>
  <c r="L42" i="13"/>
  <c r="K41" i="13"/>
  <c r="L40" i="13"/>
  <c r="K39" i="13"/>
  <c r="L39" i="13" s="1"/>
  <c r="L38" i="13"/>
  <c r="L37" i="13"/>
  <c r="L36" i="13"/>
  <c r="L35" i="13"/>
  <c r="L34" i="13"/>
  <c r="L33" i="13"/>
  <c r="L32" i="13"/>
  <c r="L31" i="13"/>
  <c r="L30" i="13"/>
  <c r="L29" i="13"/>
  <c r="L28" i="13"/>
  <c r="K27" i="13"/>
  <c r="L26" i="13"/>
  <c r="L25" i="13"/>
  <c r="L24" i="13"/>
  <c r="K23" i="13"/>
  <c r="L23" i="13" s="1"/>
  <c r="L22" i="13"/>
  <c r="L21" i="13"/>
  <c r="L20" i="13"/>
  <c r="L19" i="13"/>
  <c r="L18" i="13"/>
  <c r="L17" i="13"/>
  <c r="L16" i="13"/>
  <c r="L15" i="13"/>
  <c r="L14" i="13"/>
  <c r="L13" i="13"/>
  <c r="L12" i="13"/>
  <c r="L11" i="13"/>
  <c r="L10" i="13"/>
  <c r="L9" i="13"/>
  <c r="K8" i="13"/>
  <c r="L8" i="13" s="1"/>
  <c r="L5" i="13" s="1"/>
  <c r="L7" i="13"/>
  <c r="H5" i="13"/>
  <c r="J4" i="13"/>
  <c r="C53" i="12"/>
  <c r="F48" i="12"/>
  <c r="F47" i="12"/>
  <c r="C14" i="12"/>
  <c r="C8" i="12"/>
  <c r="L503" i="11"/>
  <c r="E503" i="11"/>
  <c r="D503" i="11"/>
  <c r="C503" i="11"/>
  <c r="B503" i="11"/>
  <c r="L502" i="11"/>
  <c r="E502" i="11"/>
  <c r="D502" i="11"/>
  <c r="C502" i="11"/>
  <c r="B502" i="11"/>
  <c r="L501" i="11"/>
  <c r="E501" i="11"/>
  <c r="D501" i="11"/>
  <c r="C501" i="11"/>
  <c r="B501" i="11"/>
  <c r="L500" i="11"/>
  <c r="E500" i="11"/>
  <c r="D500" i="11"/>
  <c r="C500" i="11"/>
  <c r="B500" i="11"/>
  <c r="L499" i="11"/>
  <c r="E499" i="11"/>
  <c r="D499" i="11"/>
  <c r="C499" i="11"/>
  <c r="B499" i="11"/>
  <c r="L498" i="11"/>
  <c r="E498" i="11"/>
  <c r="D498" i="11"/>
  <c r="C498" i="11"/>
  <c r="B498" i="11"/>
  <c r="L497" i="11"/>
  <c r="E497" i="11"/>
  <c r="D497" i="11"/>
  <c r="C497" i="11"/>
  <c r="B497" i="11"/>
  <c r="L496" i="11"/>
  <c r="E496" i="11"/>
  <c r="D496" i="11"/>
  <c r="C496" i="11"/>
  <c r="B496" i="11"/>
  <c r="K495" i="11"/>
  <c r="L495" i="11" s="1"/>
  <c r="E495" i="11"/>
  <c r="D495" i="11"/>
  <c r="C495" i="11"/>
  <c r="B495" i="11"/>
  <c r="L494" i="11"/>
  <c r="E494" i="11"/>
  <c r="D494" i="11"/>
  <c r="C494" i="11"/>
  <c r="B494" i="11"/>
  <c r="L493" i="11"/>
  <c r="E493" i="11"/>
  <c r="D493" i="11"/>
  <c r="C493" i="11"/>
  <c r="B493" i="11"/>
  <c r="K492" i="11"/>
  <c r="L492" i="11" s="1"/>
  <c r="E492" i="11"/>
  <c r="D492" i="11"/>
  <c r="C492" i="11"/>
  <c r="B492" i="11"/>
  <c r="K491" i="11"/>
  <c r="L491" i="11" s="1"/>
  <c r="E491" i="11"/>
  <c r="D491" i="11"/>
  <c r="C491" i="11"/>
  <c r="B491" i="11"/>
  <c r="L490" i="11"/>
  <c r="E490" i="11"/>
  <c r="D490" i="11"/>
  <c r="C490" i="11"/>
  <c r="B490" i="11"/>
  <c r="K489" i="11"/>
  <c r="L489" i="11" s="1"/>
  <c r="E489" i="11"/>
  <c r="D489" i="11"/>
  <c r="C489" i="11"/>
  <c r="B489" i="11"/>
  <c r="K488" i="11"/>
  <c r="L488" i="11" s="1"/>
  <c r="E488" i="11"/>
  <c r="D488" i="11"/>
  <c r="C488" i="11"/>
  <c r="B488" i="11"/>
  <c r="L487" i="11"/>
  <c r="E487" i="11"/>
  <c r="D487" i="11"/>
  <c r="B487" i="11"/>
  <c r="L486" i="11"/>
  <c r="E486" i="11"/>
  <c r="D486" i="11"/>
  <c r="C486" i="11"/>
  <c r="B486" i="11"/>
  <c r="K485" i="11"/>
  <c r="L485" i="11" s="1"/>
  <c r="E485" i="11"/>
  <c r="D485" i="11"/>
  <c r="C485" i="11"/>
  <c r="B485" i="11"/>
  <c r="L484" i="11"/>
  <c r="E484" i="11"/>
  <c r="D484" i="11"/>
  <c r="C484" i="11"/>
  <c r="B484" i="11"/>
  <c r="L483" i="11"/>
  <c r="E483" i="11"/>
  <c r="D483" i="11"/>
  <c r="C483" i="11"/>
  <c r="B483" i="11"/>
  <c r="L482" i="11"/>
  <c r="E482" i="11"/>
  <c r="D482" i="11"/>
  <c r="C482" i="11"/>
  <c r="B482" i="11"/>
  <c r="L481" i="11"/>
  <c r="E481" i="11"/>
  <c r="D481" i="11"/>
  <c r="C481" i="11"/>
  <c r="B481" i="11"/>
  <c r="L480" i="11"/>
  <c r="E480" i="11"/>
  <c r="D480" i="11"/>
  <c r="C480" i="11"/>
  <c r="B480" i="11"/>
  <c r="L479" i="11"/>
  <c r="E479" i="11"/>
  <c r="D479" i="11"/>
  <c r="C479" i="11"/>
  <c r="B479" i="11"/>
  <c r="L478" i="11"/>
  <c r="E478" i="11"/>
  <c r="D478" i="11"/>
  <c r="C478" i="11"/>
  <c r="B478" i="11"/>
  <c r="K477" i="11"/>
  <c r="L477" i="11" s="1"/>
  <c r="E477" i="11"/>
  <c r="D477" i="11"/>
  <c r="C477" i="11"/>
  <c r="B477" i="11"/>
  <c r="L476" i="11"/>
  <c r="E476" i="11"/>
  <c r="D476" i="11"/>
  <c r="C476" i="11"/>
  <c r="B476" i="11"/>
  <c r="K475" i="11"/>
  <c r="L475" i="11" s="1"/>
  <c r="E475" i="11"/>
  <c r="D475" i="11"/>
  <c r="C475" i="11"/>
  <c r="B475" i="11"/>
  <c r="L474" i="11"/>
  <c r="E474" i="11"/>
  <c r="D474" i="11"/>
  <c r="C474" i="11"/>
  <c r="B474" i="11"/>
  <c r="K473" i="11"/>
  <c r="L473" i="11" s="1"/>
  <c r="E473" i="11"/>
  <c r="D473" i="11"/>
  <c r="C473" i="11"/>
  <c r="B473" i="11"/>
  <c r="K472" i="11"/>
  <c r="L472" i="11" s="1"/>
  <c r="E472" i="11"/>
  <c r="D472" i="11"/>
  <c r="C472" i="11"/>
  <c r="B472" i="11"/>
  <c r="K471" i="11"/>
  <c r="L471" i="11" s="1"/>
  <c r="E471" i="11"/>
  <c r="D471" i="11"/>
  <c r="C471" i="11"/>
  <c r="B471" i="11"/>
  <c r="K470" i="11"/>
  <c r="L470" i="11" s="1"/>
  <c r="E470" i="11"/>
  <c r="D470" i="11"/>
  <c r="C470" i="11"/>
  <c r="B470" i="11"/>
  <c r="L469" i="11"/>
  <c r="E469" i="11"/>
  <c r="D469" i="11"/>
  <c r="C469" i="11"/>
  <c r="B469" i="11"/>
  <c r="K468" i="11"/>
  <c r="L468" i="11" s="1"/>
  <c r="E468" i="11"/>
  <c r="D468" i="11"/>
  <c r="C468" i="11"/>
  <c r="B468" i="11"/>
  <c r="K467" i="11"/>
  <c r="L467" i="11" s="1"/>
  <c r="E467" i="11"/>
  <c r="D467" i="11"/>
  <c r="C467" i="11"/>
  <c r="B467" i="11"/>
  <c r="K466" i="11"/>
  <c r="L466" i="11" s="1"/>
  <c r="E466" i="11"/>
  <c r="D466" i="11"/>
  <c r="C466" i="11"/>
  <c r="B466" i="11"/>
  <c r="K465" i="11"/>
  <c r="L465" i="11" s="1"/>
  <c r="E465" i="11"/>
  <c r="D465" i="11"/>
  <c r="C465" i="11"/>
  <c r="B465" i="11"/>
  <c r="K464" i="11"/>
  <c r="L464" i="11" s="1"/>
  <c r="E464" i="11"/>
  <c r="D464" i="11"/>
  <c r="C464" i="11"/>
  <c r="B464" i="11"/>
  <c r="K463" i="11"/>
  <c r="L463" i="11" s="1"/>
  <c r="E463" i="11"/>
  <c r="D463" i="11"/>
  <c r="C463" i="11"/>
  <c r="B463" i="11"/>
  <c r="K462" i="11"/>
  <c r="L462" i="11" s="1"/>
  <c r="E462" i="11"/>
  <c r="D462" i="11"/>
  <c r="C462" i="11"/>
  <c r="B462" i="11"/>
  <c r="L461" i="11"/>
  <c r="E461" i="11"/>
  <c r="D461" i="11"/>
  <c r="C461" i="11"/>
  <c r="B461" i="11"/>
  <c r="K460" i="11"/>
  <c r="L460" i="11" s="1"/>
  <c r="E460" i="11"/>
  <c r="D460" i="11"/>
  <c r="C460" i="11"/>
  <c r="B460" i="11"/>
  <c r="K459" i="11"/>
  <c r="L459" i="11" s="1"/>
  <c r="E459" i="11"/>
  <c r="D459" i="11"/>
  <c r="C459" i="11"/>
  <c r="B459" i="11"/>
  <c r="L458" i="11"/>
  <c r="E458" i="11"/>
  <c r="D458" i="11"/>
  <c r="C458" i="11"/>
  <c r="B458" i="11"/>
  <c r="L457" i="11"/>
  <c r="E457" i="11"/>
  <c r="D457" i="11"/>
  <c r="C457" i="11"/>
  <c r="B457" i="11"/>
  <c r="K456" i="11"/>
  <c r="L456" i="11" s="1"/>
  <c r="E456" i="11"/>
  <c r="D456" i="11"/>
  <c r="C456" i="11"/>
  <c r="B456" i="11"/>
  <c r="K455" i="11"/>
  <c r="L455" i="11" s="1"/>
  <c r="E455" i="11"/>
  <c r="D455" i="11"/>
  <c r="C455" i="11"/>
  <c r="B455" i="11"/>
  <c r="L454" i="11"/>
  <c r="E454" i="11"/>
  <c r="D454" i="11"/>
  <c r="C454" i="11"/>
  <c r="B454" i="11"/>
  <c r="L453" i="11"/>
  <c r="E453" i="11"/>
  <c r="D453" i="11"/>
  <c r="C453" i="11"/>
  <c r="B453" i="11"/>
  <c r="K452" i="11"/>
  <c r="L452" i="11" s="1"/>
  <c r="E452" i="11"/>
  <c r="D452" i="11"/>
  <c r="C452" i="11"/>
  <c r="B452" i="11"/>
  <c r="L451" i="11"/>
  <c r="E451" i="11"/>
  <c r="D451" i="11"/>
  <c r="C451" i="11"/>
  <c r="B451" i="11"/>
  <c r="L450" i="11"/>
  <c r="E450" i="11"/>
  <c r="D450" i="11"/>
  <c r="C450" i="11"/>
  <c r="B450" i="11"/>
  <c r="L449" i="11"/>
  <c r="E449" i="11"/>
  <c r="D449" i="11"/>
  <c r="C449" i="11"/>
  <c r="B449" i="11"/>
  <c r="L448" i="11"/>
  <c r="E448" i="11"/>
  <c r="D448" i="11"/>
  <c r="C448" i="11"/>
  <c r="B448" i="11"/>
  <c r="K447" i="11"/>
  <c r="L447" i="11" s="1"/>
  <c r="E447" i="11"/>
  <c r="D447" i="11"/>
  <c r="C447" i="11"/>
  <c r="B447" i="11"/>
  <c r="L446" i="11"/>
  <c r="E446" i="11"/>
  <c r="D446" i="11"/>
  <c r="C446" i="11"/>
  <c r="B446" i="11"/>
  <c r="L445" i="11"/>
  <c r="E445" i="11"/>
  <c r="D445" i="11"/>
  <c r="C445" i="11"/>
  <c r="B445" i="11"/>
  <c r="K444" i="11"/>
  <c r="L444" i="11" s="1"/>
  <c r="L442" i="11" s="1"/>
  <c r="E444" i="11"/>
  <c r="D444" i="11"/>
  <c r="C444" i="11"/>
  <c r="B444" i="11"/>
  <c r="H442" i="11"/>
  <c r="J441" i="11"/>
  <c r="K439" i="11"/>
  <c r="L439" i="11" s="1"/>
  <c r="E439" i="11"/>
  <c r="D439" i="11"/>
  <c r="C439" i="11"/>
  <c r="B439" i="11"/>
  <c r="K438" i="11"/>
  <c r="L438" i="11" s="1"/>
  <c r="E438" i="11"/>
  <c r="D438" i="11"/>
  <c r="C438" i="11"/>
  <c r="B438" i="11"/>
  <c r="L437" i="11"/>
  <c r="E437" i="11"/>
  <c r="D437" i="11"/>
  <c r="C437" i="11"/>
  <c r="B437" i="11"/>
  <c r="K436" i="11"/>
  <c r="L436" i="11" s="1"/>
  <c r="E436" i="11"/>
  <c r="D436" i="11"/>
  <c r="C436" i="11"/>
  <c r="B436" i="11"/>
  <c r="L435" i="11"/>
  <c r="E435" i="11"/>
  <c r="D435" i="11"/>
  <c r="C435" i="11"/>
  <c r="B435" i="11"/>
  <c r="L434" i="11"/>
  <c r="E434" i="11"/>
  <c r="D434" i="11"/>
  <c r="C434" i="11"/>
  <c r="B434" i="11"/>
  <c r="K433" i="11"/>
  <c r="L433" i="11" s="1"/>
  <c r="E433" i="11"/>
  <c r="D433" i="11"/>
  <c r="C433" i="11"/>
  <c r="B433" i="11"/>
  <c r="L432" i="11"/>
  <c r="E432" i="11"/>
  <c r="D432" i="11"/>
  <c r="C432" i="11"/>
  <c r="B432" i="11"/>
  <c r="K431" i="11"/>
  <c r="L431" i="11" s="1"/>
  <c r="E431" i="11"/>
  <c r="D431" i="11"/>
  <c r="C431" i="11"/>
  <c r="B431" i="11"/>
  <c r="L430" i="11"/>
  <c r="E430" i="11"/>
  <c r="D430" i="11"/>
  <c r="C430" i="11"/>
  <c r="B430" i="11"/>
  <c r="L429" i="11"/>
  <c r="E429" i="11"/>
  <c r="D429" i="11"/>
  <c r="C429" i="11"/>
  <c r="B429" i="11"/>
  <c r="L428" i="11"/>
  <c r="E428" i="11"/>
  <c r="D428" i="11"/>
  <c r="C428" i="11"/>
  <c r="B428" i="11"/>
  <c r="H426" i="11"/>
  <c r="J425" i="11"/>
  <c r="L423" i="11"/>
  <c r="E423" i="11"/>
  <c r="D423" i="11"/>
  <c r="C423" i="11"/>
  <c r="B423" i="11"/>
  <c r="L422" i="11"/>
  <c r="E422" i="11"/>
  <c r="D422" i="11"/>
  <c r="C422" i="11"/>
  <c r="B422" i="11"/>
  <c r="L421" i="11"/>
  <c r="E421" i="11"/>
  <c r="D421" i="11"/>
  <c r="C421" i="11"/>
  <c r="B421" i="11"/>
  <c r="L420" i="11"/>
  <c r="E420" i="11"/>
  <c r="D420" i="11"/>
  <c r="C420" i="11"/>
  <c r="B420" i="11"/>
  <c r="K419" i="11"/>
  <c r="L419" i="11" s="1"/>
  <c r="E419" i="11"/>
  <c r="D419" i="11"/>
  <c r="C419" i="11"/>
  <c r="B419" i="11"/>
  <c r="K418" i="11"/>
  <c r="L418" i="11" s="1"/>
  <c r="E418" i="11"/>
  <c r="D418" i="11"/>
  <c r="C418" i="11"/>
  <c r="B418" i="11"/>
  <c r="L417" i="11"/>
  <c r="E417" i="11"/>
  <c r="D417" i="11"/>
  <c r="C417" i="11"/>
  <c r="B417" i="11"/>
  <c r="K416" i="11"/>
  <c r="L416" i="11" s="1"/>
  <c r="E416" i="11"/>
  <c r="D416" i="11"/>
  <c r="C416" i="11"/>
  <c r="B416" i="11"/>
  <c r="L415" i="11"/>
  <c r="E415" i="11"/>
  <c r="D415" i="11"/>
  <c r="C415" i="11"/>
  <c r="B415" i="11"/>
  <c r="L414" i="11"/>
  <c r="E414" i="11"/>
  <c r="D414" i="11"/>
  <c r="C414" i="11"/>
  <c r="B414" i="11"/>
  <c r="L413" i="11"/>
  <c r="E413" i="11"/>
  <c r="D413" i="11"/>
  <c r="C413" i="11"/>
  <c r="B413" i="11"/>
  <c r="L412" i="11"/>
  <c r="E412" i="11"/>
  <c r="D412" i="11"/>
  <c r="C412" i="11"/>
  <c r="B412" i="11"/>
  <c r="L411" i="11"/>
  <c r="E411" i="11"/>
  <c r="D411" i="11"/>
  <c r="C411" i="11"/>
  <c r="B411" i="11"/>
  <c r="E410" i="11"/>
  <c r="D410" i="11"/>
  <c r="C410" i="11"/>
  <c r="B410" i="11"/>
  <c r="L409" i="11"/>
  <c r="E409" i="11"/>
  <c r="D409" i="11"/>
  <c r="C409" i="11"/>
  <c r="B409" i="11"/>
  <c r="H407" i="11"/>
  <c r="J406" i="11"/>
  <c r="K404" i="11"/>
  <c r="L404" i="11" s="1"/>
  <c r="E404" i="11"/>
  <c r="D404" i="11"/>
  <c r="C404" i="11"/>
  <c r="B404" i="11"/>
  <c r="K403" i="11"/>
  <c r="L403" i="11" s="1"/>
  <c r="E403" i="11"/>
  <c r="D403" i="11"/>
  <c r="C403" i="11"/>
  <c r="B403" i="11"/>
  <c r="K402" i="11"/>
  <c r="L402" i="11" s="1"/>
  <c r="E402" i="11"/>
  <c r="D402" i="11"/>
  <c r="C402" i="11"/>
  <c r="B402" i="11"/>
  <c r="L401" i="11"/>
  <c r="E401" i="11"/>
  <c r="D401" i="11"/>
  <c r="C401" i="11"/>
  <c r="B401" i="11"/>
  <c r="K400" i="11"/>
  <c r="L400" i="11" s="1"/>
  <c r="E400" i="11"/>
  <c r="D400" i="11"/>
  <c r="C400" i="11"/>
  <c r="B400" i="11"/>
  <c r="L399" i="11"/>
  <c r="E399" i="11"/>
  <c r="D399" i="11"/>
  <c r="C399" i="11"/>
  <c r="B399" i="11"/>
  <c r="L398" i="11"/>
  <c r="E398" i="11"/>
  <c r="D398" i="11"/>
  <c r="C398" i="11"/>
  <c r="B398" i="11"/>
  <c r="L397" i="11"/>
  <c r="E397" i="11"/>
  <c r="D397" i="11"/>
  <c r="C397" i="11"/>
  <c r="B397" i="11"/>
  <c r="L396" i="11"/>
  <c r="E396" i="11"/>
  <c r="D396" i="11"/>
  <c r="B396" i="11"/>
  <c r="L395" i="11"/>
  <c r="E395" i="11"/>
  <c r="D395" i="11"/>
  <c r="C395" i="11"/>
  <c r="B395" i="11"/>
  <c r="L394" i="11"/>
  <c r="E394" i="11"/>
  <c r="D394" i="11"/>
  <c r="C394" i="11"/>
  <c r="B394" i="11"/>
  <c r="L393" i="11"/>
  <c r="E393" i="11"/>
  <c r="D393" i="11"/>
  <c r="C393" i="11"/>
  <c r="B393" i="11"/>
  <c r="L392" i="11"/>
  <c r="E392" i="11"/>
  <c r="D392" i="11"/>
  <c r="C392" i="11"/>
  <c r="B392" i="11"/>
  <c r="L391" i="11"/>
  <c r="E391" i="11"/>
  <c r="D391" i="11"/>
  <c r="C391" i="11"/>
  <c r="B391" i="11"/>
  <c r="L390" i="11"/>
  <c r="E390" i="11"/>
  <c r="D390" i="11"/>
  <c r="C390" i="11"/>
  <c r="B390" i="11"/>
  <c r="K389" i="11"/>
  <c r="L389" i="11" s="1"/>
  <c r="E389" i="11"/>
  <c r="D389" i="11"/>
  <c r="C389" i="11"/>
  <c r="B389" i="11"/>
  <c r="K388" i="11"/>
  <c r="L388" i="11" s="1"/>
  <c r="E388" i="11"/>
  <c r="D388" i="11"/>
  <c r="C388" i="11"/>
  <c r="B388" i="11"/>
  <c r="K387" i="11"/>
  <c r="L387" i="11" s="1"/>
  <c r="E387" i="11"/>
  <c r="D387" i="11"/>
  <c r="C387" i="11"/>
  <c r="B387" i="11"/>
  <c r="L386" i="11"/>
  <c r="E386" i="11"/>
  <c r="D386" i="11"/>
  <c r="C386" i="11"/>
  <c r="B386" i="11"/>
  <c r="K385" i="11"/>
  <c r="L385" i="11" s="1"/>
  <c r="E385" i="11"/>
  <c r="D385" i="11"/>
  <c r="C385" i="11"/>
  <c r="B385" i="11"/>
  <c r="K384" i="11"/>
  <c r="L384" i="11" s="1"/>
  <c r="E384" i="11"/>
  <c r="D384" i="11"/>
  <c r="C384" i="11"/>
  <c r="B384" i="11"/>
  <c r="K383" i="11"/>
  <c r="L383" i="11" s="1"/>
  <c r="E383" i="11"/>
  <c r="D383" i="11"/>
  <c r="C383" i="11"/>
  <c r="B383" i="11"/>
  <c r="L382" i="11"/>
  <c r="E382" i="11"/>
  <c r="D382" i="11"/>
  <c r="C382" i="11"/>
  <c r="B382" i="11"/>
  <c r="K381" i="11"/>
  <c r="L381" i="11" s="1"/>
  <c r="E381" i="11"/>
  <c r="D381" i="11"/>
  <c r="C381" i="11"/>
  <c r="B381" i="11"/>
  <c r="K380" i="11"/>
  <c r="L380" i="11" s="1"/>
  <c r="E380" i="11"/>
  <c r="D380" i="11"/>
  <c r="C380" i="11"/>
  <c r="B380" i="11"/>
  <c r="K379" i="11"/>
  <c r="L379" i="11" s="1"/>
  <c r="E379" i="11"/>
  <c r="D379" i="11"/>
  <c r="C379" i="11"/>
  <c r="B379" i="11"/>
  <c r="L378" i="11"/>
  <c r="E378" i="11"/>
  <c r="D378" i="11"/>
  <c r="C378" i="11"/>
  <c r="B378" i="11"/>
  <c r="K377" i="11"/>
  <c r="L377" i="11" s="1"/>
  <c r="E377" i="11"/>
  <c r="D377" i="11"/>
  <c r="C377" i="11"/>
  <c r="B377" i="11"/>
  <c r="L376" i="11"/>
  <c r="E376" i="11"/>
  <c r="D376" i="11"/>
  <c r="C376" i="11"/>
  <c r="B376" i="11"/>
  <c r="L375" i="11"/>
  <c r="E375" i="11"/>
  <c r="D375" i="11"/>
  <c r="C375" i="11"/>
  <c r="B375" i="11"/>
  <c r="K374" i="11"/>
  <c r="L374" i="11" s="1"/>
  <c r="E374" i="11"/>
  <c r="D374" i="11"/>
  <c r="C374" i="11"/>
  <c r="B374" i="11"/>
  <c r="K373" i="11"/>
  <c r="L373" i="11" s="1"/>
  <c r="E373" i="11"/>
  <c r="D373" i="11"/>
  <c r="C373" i="11"/>
  <c r="B373" i="11"/>
  <c r="K372" i="11"/>
  <c r="L372" i="11" s="1"/>
  <c r="E372" i="11"/>
  <c r="D372" i="11"/>
  <c r="C372" i="11"/>
  <c r="B372" i="11"/>
  <c r="L371" i="11"/>
  <c r="E371" i="11"/>
  <c r="D371" i="11"/>
  <c r="C371" i="11"/>
  <c r="B371" i="11"/>
  <c r="L370" i="11"/>
  <c r="E370" i="11"/>
  <c r="D370" i="11"/>
  <c r="C370" i="11"/>
  <c r="B370" i="11"/>
  <c r="L369" i="11"/>
  <c r="E369" i="11"/>
  <c r="D369" i="11"/>
  <c r="C369" i="11"/>
  <c r="B369" i="11"/>
  <c r="L368" i="11"/>
  <c r="E368" i="11"/>
  <c r="D368" i="11"/>
  <c r="C368" i="11"/>
  <c r="B368" i="11"/>
  <c r="K367" i="11"/>
  <c r="L367" i="11" s="1"/>
  <c r="E367" i="11"/>
  <c r="D367" i="11"/>
  <c r="C367" i="11"/>
  <c r="B367" i="11"/>
  <c r="K366" i="11"/>
  <c r="L366" i="11" s="1"/>
  <c r="E366" i="11"/>
  <c r="D366" i="11"/>
  <c r="C366" i="11"/>
  <c r="B366" i="11"/>
  <c r="L365" i="11"/>
  <c r="E365" i="11"/>
  <c r="D365" i="11"/>
  <c r="C365" i="11"/>
  <c r="B365" i="11"/>
  <c r="L364" i="11"/>
  <c r="E364" i="11"/>
  <c r="D364" i="11"/>
  <c r="C364" i="11"/>
  <c r="B364" i="11"/>
  <c r="K363" i="11"/>
  <c r="L363" i="11" s="1"/>
  <c r="E363" i="11"/>
  <c r="D363" i="11"/>
  <c r="C363" i="11"/>
  <c r="B363" i="11"/>
  <c r="L362" i="11"/>
  <c r="E362" i="11"/>
  <c r="D362" i="11"/>
  <c r="C362" i="11"/>
  <c r="B362" i="11"/>
  <c r="L361" i="11"/>
  <c r="E361" i="11"/>
  <c r="D361" i="11"/>
  <c r="C361" i="11"/>
  <c r="B361" i="11"/>
  <c r="L360" i="11"/>
  <c r="E360" i="11"/>
  <c r="D360" i="11"/>
  <c r="C360" i="11"/>
  <c r="B360" i="11"/>
  <c r="L359" i="11"/>
  <c r="E359" i="11"/>
  <c r="D359" i="11"/>
  <c r="C359" i="11"/>
  <c r="B359" i="11"/>
  <c r="E358" i="11"/>
  <c r="D358" i="11"/>
  <c r="C358" i="11"/>
  <c r="B358" i="11"/>
  <c r="L357" i="11"/>
  <c r="E357" i="11"/>
  <c r="D357" i="11"/>
  <c r="C357" i="11"/>
  <c r="B357" i="11"/>
  <c r="L356" i="11"/>
  <c r="E356" i="11"/>
  <c r="D356" i="11"/>
  <c r="C356" i="11"/>
  <c r="B356" i="11"/>
  <c r="L355" i="11"/>
  <c r="E355" i="11"/>
  <c r="D355" i="11"/>
  <c r="C355" i="11"/>
  <c r="B355" i="11"/>
  <c r="K354" i="11"/>
  <c r="L354" i="11" s="1"/>
  <c r="E354" i="11"/>
  <c r="D354" i="11"/>
  <c r="C354" i="11"/>
  <c r="B354" i="11"/>
  <c r="L353" i="11"/>
  <c r="E353" i="11"/>
  <c r="D353" i="11"/>
  <c r="C353" i="11"/>
  <c r="B353" i="11"/>
  <c r="L352" i="11"/>
  <c r="E352" i="11"/>
  <c r="D352" i="11"/>
  <c r="C352" i="11"/>
  <c r="B352" i="11"/>
  <c r="H350" i="11"/>
  <c r="J349" i="11"/>
  <c r="L347" i="11"/>
  <c r="E347" i="11"/>
  <c r="D347" i="11"/>
  <c r="C347" i="11"/>
  <c r="B347" i="11"/>
  <c r="K346" i="11"/>
  <c r="L346" i="11" s="1"/>
  <c r="E346" i="11"/>
  <c r="D346" i="11"/>
  <c r="C346" i="11"/>
  <c r="B346" i="11"/>
  <c r="K345" i="11"/>
  <c r="L345" i="11" s="1"/>
  <c r="E345" i="11"/>
  <c r="D345" i="11"/>
  <c r="C345" i="11"/>
  <c r="B345" i="11"/>
  <c r="K344" i="11"/>
  <c r="L344" i="11" s="1"/>
  <c r="E344" i="11"/>
  <c r="D344" i="11"/>
  <c r="C344" i="11"/>
  <c r="B344" i="11"/>
  <c r="K343" i="11"/>
  <c r="L343" i="11" s="1"/>
  <c r="E343" i="11"/>
  <c r="D343" i="11"/>
  <c r="C343" i="11"/>
  <c r="B343" i="11"/>
  <c r="K342" i="11"/>
  <c r="L342" i="11" s="1"/>
  <c r="E342" i="11"/>
  <c r="D342" i="11"/>
  <c r="C342" i="11"/>
  <c r="B342" i="11"/>
  <c r="L341" i="11"/>
  <c r="E341" i="11"/>
  <c r="D341" i="11"/>
  <c r="C341" i="11"/>
  <c r="B341" i="11"/>
  <c r="L340" i="11"/>
  <c r="E340" i="11"/>
  <c r="D340" i="11"/>
  <c r="C340" i="11"/>
  <c r="B340" i="11"/>
  <c r="K339" i="11"/>
  <c r="L339" i="11" s="1"/>
  <c r="E339" i="11"/>
  <c r="D339" i="11"/>
  <c r="C339" i="11"/>
  <c r="B339" i="11"/>
  <c r="L338" i="11"/>
  <c r="E338" i="11"/>
  <c r="D338" i="11"/>
  <c r="C338" i="11"/>
  <c r="B338" i="11"/>
  <c r="K337" i="11"/>
  <c r="E337" i="11"/>
  <c r="D337" i="11"/>
  <c r="B337" i="11"/>
  <c r="K336" i="11"/>
  <c r="L336" i="11" s="1"/>
  <c r="E336" i="11"/>
  <c r="D336" i="11"/>
  <c r="C336" i="11"/>
  <c r="B336" i="11"/>
  <c r="K335" i="11"/>
  <c r="L335" i="11" s="1"/>
  <c r="E335" i="11"/>
  <c r="D335" i="11"/>
  <c r="C335" i="11"/>
  <c r="B335" i="11"/>
  <c r="K334" i="11"/>
  <c r="L334" i="11" s="1"/>
  <c r="E334" i="11"/>
  <c r="D334" i="11"/>
  <c r="C334" i="11"/>
  <c r="B334" i="11"/>
  <c r="K333" i="11"/>
  <c r="L333" i="11" s="1"/>
  <c r="E333" i="11"/>
  <c r="D333" i="11"/>
  <c r="C333" i="11"/>
  <c r="B333" i="11"/>
  <c r="L332" i="11"/>
  <c r="E332" i="11"/>
  <c r="D332" i="11"/>
  <c r="C332" i="11"/>
  <c r="B332" i="11"/>
  <c r="K331" i="11"/>
  <c r="L331" i="11" s="1"/>
  <c r="E331" i="11"/>
  <c r="D331" i="11"/>
  <c r="C331" i="11"/>
  <c r="B331" i="11"/>
  <c r="K330" i="11"/>
  <c r="L330" i="11" s="1"/>
  <c r="E330" i="11"/>
  <c r="D330" i="11"/>
  <c r="C330" i="11"/>
  <c r="B330" i="11"/>
  <c r="K329" i="11"/>
  <c r="E329" i="11"/>
  <c r="D329" i="11"/>
  <c r="C329" i="11"/>
  <c r="B329" i="11"/>
  <c r="K328" i="11"/>
  <c r="L328" i="11" s="1"/>
  <c r="E328" i="11"/>
  <c r="D328" i="11"/>
  <c r="C328" i="11"/>
  <c r="B328" i="11"/>
  <c r="K327" i="11"/>
  <c r="L327" i="11" s="1"/>
  <c r="E327" i="11"/>
  <c r="D327" i="11"/>
  <c r="C327" i="11"/>
  <c r="B327" i="11"/>
  <c r="K326" i="11"/>
  <c r="L326" i="11" s="1"/>
  <c r="E326" i="11"/>
  <c r="D326" i="11"/>
  <c r="C326" i="11"/>
  <c r="B326" i="11"/>
  <c r="K325" i="11"/>
  <c r="L325" i="11" s="1"/>
  <c r="E325" i="11"/>
  <c r="D325" i="11"/>
  <c r="C325" i="11"/>
  <c r="B325" i="11"/>
  <c r="K324" i="11"/>
  <c r="L324" i="11" s="1"/>
  <c r="E324" i="11"/>
  <c r="D324" i="11"/>
  <c r="C324" i="11"/>
  <c r="B324" i="11"/>
  <c r="K323" i="11"/>
  <c r="L323" i="11" s="1"/>
  <c r="E323" i="11"/>
  <c r="D323" i="11"/>
  <c r="C323" i="11"/>
  <c r="B323" i="11"/>
  <c r="K322" i="11"/>
  <c r="L322" i="11" s="1"/>
  <c r="E322" i="11"/>
  <c r="D322" i="11"/>
  <c r="C322" i="11"/>
  <c r="B322" i="11"/>
  <c r="L321" i="11"/>
  <c r="E321" i="11"/>
  <c r="D321" i="11"/>
  <c r="C321" i="11"/>
  <c r="B321" i="11"/>
  <c r="K320" i="11"/>
  <c r="L320" i="11" s="1"/>
  <c r="E320" i="11"/>
  <c r="D320" i="11"/>
  <c r="C320" i="11"/>
  <c r="B320" i="11"/>
  <c r="K319" i="11"/>
  <c r="L319" i="11" s="1"/>
  <c r="E319" i="11"/>
  <c r="D319" i="11"/>
  <c r="C319" i="11"/>
  <c r="B319" i="11"/>
  <c r="K318" i="11"/>
  <c r="L318" i="11" s="1"/>
  <c r="E318" i="11"/>
  <c r="D318" i="11"/>
  <c r="C318" i="11"/>
  <c r="B318" i="11"/>
  <c r="L317" i="11"/>
  <c r="E317" i="11"/>
  <c r="D317" i="11"/>
  <c r="C317" i="11"/>
  <c r="B317" i="11"/>
  <c r="K316" i="11"/>
  <c r="L316" i="11" s="1"/>
  <c r="E316" i="11"/>
  <c r="D316" i="11"/>
  <c r="C316" i="11"/>
  <c r="B316" i="11"/>
  <c r="K315" i="11"/>
  <c r="L315" i="11" s="1"/>
  <c r="E315" i="11"/>
  <c r="D315" i="11"/>
  <c r="C315" i="11"/>
  <c r="B315" i="11"/>
  <c r="L314" i="11"/>
  <c r="E314" i="11"/>
  <c r="D314" i="11"/>
  <c r="C314" i="11"/>
  <c r="B314" i="11"/>
  <c r="L313" i="11"/>
  <c r="E313" i="11"/>
  <c r="D313" i="11"/>
  <c r="C313" i="11"/>
  <c r="B313" i="11"/>
  <c r="K312" i="11"/>
  <c r="L312" i="11" s="1"/>
  <c r="E312" i="11"/>
  <c r="D312" i="11"/>
  <c r="C312" i="11"/>
  <c r="B312" i="11"/>
  <c r="K311" i="11"/>
  <c r="L311" i="11" s="1"/>
  <c r="E311" i="11"/>
  <c r="D311" i="11"/>
  <c r="C311" i="11"/>
  <c r="B311" i="11"/>
  <c r="L310" i="11"/>
  <c r="E310" i="11"/>
  <c r="D310" i="11"/>
  <c r="C310" i="11"/>
  <c r="B310" i="11"/>
  <c r="K309" i="11"/>
  <c r="L309" i="11" s="1"/>
  <c r="E309" i="11"/>
  <c r="D309" i="11"/>
  <c r="C309" i="11"/>
  <c r="B309" i="11"/>
  <c r="K308" i="11"/>
  <c r="L308" i="11" s="1"/>
  <c r="E308" i="11"/>
  <c r="D308" i="11"/>
  <c r="C308" i="11"/>
  <c r="B308" i="11"/>
  <c r="L307" i="11"/>
  <c r="E307" i="11"/>
  <c r="D307" i="11"/>
  <c r="C307" i="11"/>
  <c r="B307" i="11"/>
  <c r="L306" i="11"/>
  <c r="E306" i="11"/>
  <c r="D306" i="11"/>
  <c r="C306" i="11"/>
  <c r="B306" i="11"/>
  <c r="E305" i="11"/>
  <c r="D305" i="11"/>
  <c r="C305" i="11"/>
  <c r="B305" i="11"/>
  <c r="L304" i="11"/>
  <c r="E304" i="11"/>
  <c r="D304" i="11"/>
  <c r="C304" i="11"/>
  <c r="B304" i="11"/>
  <c r="L303" i="11"/>
  <c r="E303" i="11"/>
  <c r="D303" i="11"/>
  <c r="C303" i="11"/>
  <c r="B303" i="11"/>
  <c r="K302" i="11"/>
  <c r="L302" i="11" s="1"/>
  <c r="E302" i="11"/>
  <c r="D302" i="11"/>
  <c r="C302" i="11"/>
  <c r="B302" i="11"/>
  <c r="L301" i="11"/>
  <c r="E301" i="11"/>
  <c r="D301" i="11"/>
  <c r="C301" i="11"/>
  <c r="B301" i="11"/>
  <c r="L300" i="11"/>
  <c r="E300" i="11"/>
  <c r="D300" i="11"/>
  <c r="C300" i="11"/>
  <c r="B300" i="11"/>
  <c r="L299" i="11"/>
  <c r="E299" i="11"/>
  <c r="D299" i="11"/>
  <c r="C299" i="11"/>
  <c r="B299" i="11"/>
  <c r="L298" i="11"/>
  <c r="E298" i="11"/>
  <c r="D298" i="11"/>
  <c r="C298" i="11"/>
  <c r="B298" i="11"/>
  <c r="L297" i="11"/>
  <c r="E297" i="11"/>
  <c r="D297" i="11"/>
  <c r="C297" i="11"/>
  <c r="B297" i="11"/>
  <c r="L296" i="11"/>
  <c r="E296" i="11"/>
  <c r="D296" i="11"/>
  <c r="C296" i="11"/>
  <c r="B296" i="11"/>
  <c r="L295" i="11"/>
  <c r="E295" i="11"/>
  <c r="D295" i="11"/>
  <c r="C295" i="11"/>
  <c r="B295" i="11"/>
  <c r="L294" i="11"/>
  <c r="E294" i="11"/>
  <c r="D294" i="11"/>
  <c r="C294" i="11"/>
  <c r="B294" i="11"/>
  <c r="L293" i="11"/>
  <c r="E293" i="11"/>
  <c r="D293" i="11"/>
  <c r="C293" i="11"/>
  <c r="B293" i="11"/>
  <c r="L292" i="11"/>
  <c r="E292" i="11"/>
  <c r="D292" i="11"/>
  <c r="C292" i="11"/>
  <c r="B292" i="11"/>
  <c r="L291" i="11"/>
  <c r="E291" i="11"/>
  <c r="D291" i="11"/>
  <c r="C291" i="11"/>
  <c r="B291" i="11"/>
  <c r="L290" i="11"/>
  <c r="E290" i="11"/>
  <c r="D290" i="11"/>
  <c r="C290" i="11"/>
  <c r="B290" i="11"/>
  <c r="E289" i="11"/>
  <c r="D289" i="11"/>
  <c r="C289" i="11"/>
  <c r="B289" i="11"/>
  <c r="K288" i="11"/>
  <c r="L288" i="11" s="1"/>
  <c r="E288" i="11"/>
  <c r="D288" i="11"/>
  <c r="C288" i="11"/>
  <c r="B288" i="11"/>
  <c r="K287" i="11"/>
  <c r="L287" i="11" s="1"/>
  <c r="E287" i="11"/>
  <c r="D287" i="11"/>
  <c r="C287" i="11"/>
  <c r="B287" i="11"/>
  <c r="L286" i="11"/>
  <c r="E286" i="11"/>
  <c r="D286" i="11"/>
  <c r="C286" i="11"/>
  <c r="B286" i="11"/>
  <c r="L285" i="11"/>
  <c r="E285" i="11"/>
  <c r="D285" i="11"/>
  <c r="C285" i="11"/>
  <c r="B285" i="11"/>
  <c r="L284" i="11"/>
  <c r="E284" i="11"/>
  <c r="D284" i="11"/>
  <c r="C284" i="11"/>
  <c r="B284" i="11"/>
  <c r="L283" i="11"/>
  <c r="E283" i="11"/>
  <c r="D283" i="11"/>
  <c r="C283" i="11"/>
  <c r="B283" i="11"/>
  <c r="L282" i="11"/>
  <c r="E282" i="11"/>
  <c r="D282" i="11"/>
  <c r="C282" i="11"/>
  <c r="B282" i="11"/>
  <c r="L281" i="11"/>
  <c r="E281" i="11"/>
  <c r="D281" i="11"/>
  <c r="C281" i="11"/>
  <c r="B281" i="11"/>
  <c r="L280" i="11"/>
  <c r="E280" i="11"/>
  <c r="D280" i="11"/>
  <c r="C280" i="11"/>
  <c r="B280" i="11"/>
  <c r="K279" i="11"/>
  <c r="L279" i="11" s="1"/>
  <c r="E279" i="11"/>
  <c r="D279" i="11"/>
  <c r="C279" i="11"/>
  <c r="B279" i="11"/>
  <c r="L278" i="11"/>
  <c r="E278" i="11"/>
  <c r="D278" i="11"/>
  <c r="C278" i="11"/>
  <c r="B278" i="11"/>
  <c r="L277" i="11"/>
  <c r="E277" i="11"/>
  <c r="D277" i="11"/>
  <c r="C277" i="11"/>
  <c r="B277" i="11"/>
  <c r="L276" i="11"/>
  <c r="E276" i="11"/>
  <c r="D276" i="11"/>
  <c r="C276" i="11"/>
  <c r="B276" i="11"/>
  <c r="K275" i="11"/>
  <c r="L275" i="11" s="1"/>
  <c r="E275" i="11"/>
  <c r="D275" i="11"/>
  <c r="C275" i="11"/>
  <c r="B275" i="11"/>
  <c r="L274" i="11"/>
  <c r="E274" i="11"/>
  <c r="D274" i="11"/>
  <c r="C274" i="11"/>
  <c r="B274" i="11"/>
  <c r="E273" i="11"/>
  <c r="D273" i="11"/>
  <c r="C273" i="11"/>
  <c r="B273" i="11"/>
  <c r="K272" i="11"/>
  <c r="L272" i="11" s="1"/>
  <c r="E272" i="11"/>
  <c r="D272" i="11"/>
  <c r="C272" i="11"/>
  <c r="B272" i="11"/>
  <c r="L271" i="11"/>
  <c r="E271" i="11"/>
  <c r="D271" i="11"/>
  <c r="C271" i="11"/>
  <c r="B271" i="11"/>
  <c r="L270" i="11"/>
  <c r="E270" i="11"/>
  <c r="D270" i="11"/>
  <c r="C270" i="11"/>
  <c r="B270" i="11"/>
  <c r="L269" i="11"/>
  <c r="E269" i="11"/>
  <c r="D269" i="11"/>
  <c r="C269" i="11"/>
  <c r="B269" i="11"/>
  <c r="K268" i="11"/>
  <c r="L268" i="11" s="1"/>
  <c r="E268" i="11"/>
  <c r="D268" i="11"/>
  <c r="C268" i="11"/>
  <c r="B268" i="11"/>
  <c r="L267" i="11"/>
  <c r="E267" i="11"/>
  <c r="D267" i="11"/>
  <c r="C267" i="11"/>
  <c r="B267" i="11"/>
  <c r="L266" i="11"/>
  <c r="E266" i="11"/>
  <c r="D266" i="11"/>
  <c r="C266" i="11"/>
  <c r="B266" i="11"/>
  <c r="K265" i="11"/>
  <c r="L265" i="11" s="1"/>
  <c r="E265" i="11"/>
  <c r="D265" i="11"/>
  <c r="C265" i="11"/>
  <c r="B265" i="11"/>
  <c r="H263" i="11"/>
  <c r="J262" i="11"/>
  <c r="L260" i="11"/>
  <c r="E260" i="11"/>
  <c r="D260" i="11"/>
  <c r="C260" i="11"/>
  <c r="B260" i="11"/>
  <c r="L259" i="11"/>
  <c r="E259" i="11"/>
  <c r="D259" i="11"/>
  <c r="C259" i="11"/>
  <c r="B259" i="11"/>
  <c r="L258" i="11"/>
  <c r="E258" i="11"/>
  <c r="D258" i="11"/>
  <c r="C258" i="11"/>
  <c r="B258" i="11"/>
  <c r="L257" i="11"/>
  <c r="E257" i="11"/>
  <c r="D257" i="11"/>
  <c r="C257" i="11"/>
  <c r="B257" i="11"/>
  <c r="K256" i="11"/>
  <c r="L256" i="11" s="1"/>
  <c r="L254" i="11" s="1"/>
  <c r="E256" i="11"/>
  <c r="D256" i="11"/>
  <c r="C256" i="11"/>
  <c r="B256" i="11"/>
  <c r="H254" i="11"/>
  <c r="J253" i="11"/>
  <c r="L251" i="11"/>
  <c r="E251" i="11"/>
  <c r="D251" i="11"/>
  <c r="C251" i="11"/>
  <c r="B251" i="11"/>
  <c r="L250" i="11"/>
  <c r="E250" i="11"/>
  <c r="D250" i="11"/>
  <c r="C250" i="11"/>
  <c r="B250" i="11"/>
  <c r="L249" i="11"/>
  <c r="E249" i="11"/>
  <c r="D249" i="11"/>
  <c r="C249" i="11"/>
  <c r="B249" i="11"/>
  <c r="L248" i="11"/>
  <c r="E248" i="11"/>
  <c r="D248" i="11"/>
  <c r="C248" i="11"/>
  <c r="B248" i="11"/>
  <c r="L247" i="11"/>
  <c r="E247" i="11"/>
  <c r="D247" i="11"/>
  <c r="C247" i="11"/>
  <c r="B247" i="11"/>
  <c r="K246" i="11"/>
  <c r="L246" i="11" s="1"/>
  <c r="E246" i="11"/>
  <c r="D246" i="11"/>
  <c r="C246" i="11"/>
  <c r="B246" i="11"/>
  <c r="L245" i="11"/>
  <c r="E245" i="11"/>
  <c r="D245" i="11"/>
  <c r="C245" i="11"/>
  <c r="B245" i="11"/>
  <c r="L244" i="11"/>
  <c r="E244" i="11"/>
  <c r="D244" i="11"/>
  <c r="C244" i="11"/>
  <c r="B244" i="11"/>
  <c r="L243" i="11"/>
  <c r="E243" i="11"/>
  <c r="D243" i="11"/>
  <c r="C243" i="11"/>
  <c r="B243" i="11"/>
  <c r="K242" i="11"/>
  <c r="L242" i="11" s="1"/>
  <c r="E242" i="11"/>
  <c r="D242" i="11"/>
  <c r="C242" i="11"/>
  <c r="B242" i="11"/>
  <c r="H240" i="11"/>
  <c r="H226" i="11" s="1"/>
  <c r="H213" i="11" s="1"/>
  <c r="H173" i="11" s="1"/>
  <c r="J239" i="11"/>
  <c r="L237" i="11"/>
  <c r="E237" i="11"/>
  <c r="D237" i="11"/>
  <c r="C237" i="11"/>
  <c r="B237" i="11"/>
  <c r="L236" i="11"/>
  <c r="E236" i="11"/>
  <c r="D236" i="11"/>
  <c r="C236" i="11"/>
  <c r="B236" i="11"/>
  <c r="L235" i="11"/>
  <c r="E235" i="11"/>
  <c r="D235" i="11"/>
  <c r="C235" i="11"/>
  <c r="B235" i="11"/>
  <c r="L234" i="11"/>
  <c r="E234" i="11"/>
  <c r="D234" i="11"/>
  <c r="C234" i="11"/>
  <c r="B234" i="11"/>
  <c r="L233" i="11"/>
  <c r="E233" i="11"/>
  <c r="D233" i="11"/>
  <c r="C233" i="11"/>
  <c r="B233" i="11"/>
  <c r="L232" i="11"/>
  <c r="E232" i="11"/>
  <c r="D232" i="11"/>
  <c r="B232" i="11"/>
  <c r="L231" i="11"/>
  <c r="E231" i="11"/>
  <c r="D231" i="11"/>
  <c r="C231" i="11"/>
  <c r="B231" i="11"/>
  <c r="L230" i="11"/>
  <c r="E230" i="11"/>
  <c r="D230" i="11"/>
  <c r="C230" i="11"/>
  <c r="B230" i="11"/>
  <c r="L229" i="11"/>
  <c r="E229" i="11"/>
  <c r="D229" i="11"/>
  <c r="C229" i="11"/>
  <c r="B229" i="11"/>
  <c r="L228" i="11"/>
  <c r="E228" i="11"/>
  <c r="D228" i="11"/>
  <c r="C228" i="11"/>
  <c r="B228" i="11"/>
  <c r="J225" i="11"/>
  <c r="K223" i="11"/>
  <c r="L223" i="11" s="1"/>
  <c r="E223" i="11"/>
  <c r="D223" i="11"/>
  <c r="C223" i="11"/>
  <c r="B223" i="11"/>
  <c r="K222" i="11"/>
  <c r="L222" i="11" s="1"/>
  <c r="E222" i="11"/>
  <c r="D222" i="11"/>
  <c r="C222" i="11"/>
  <c r="B222" i="11"/>
  <c r="K221" i="11"/>
  <c r="L221" i="11" s="1"/>
  <c r="E221" i="11"/>
  <c r="D221" i="11"/>
  <c r="C221" i="11"/>
  <c r="B221" i="11"/>
  <c r="K220" i="11"/>
  <c r="L220" i="11" s="1"/>
  <c r="E220" i="11"/>
  <c r="D220" i="11"/>
  <c r="C220" i="11"/>
  <c r="B220" i="11"/>
  <c r="K219" i="11"/>
  <c r="L219" i="11" s="1"/>
  <c r="E219" i="11"/>
  <c r="D219" i="11"/>
  <c r="C219" i="11"/>
  <c r="B219" i="11"/>
  <c r="L218" i="11"/>
  <c r="E218" i="11"/>
  <c r="D218" i="11"/>
  <c r="C218" i="11"/>
  <c r="B218" i="11"/>
  <c r="L217" i="11"/>
  <c r="E217" i="11"/>
  <c r="D217" i="11"/>
  <c r="C217" i="11"/>
  <c r="B217" i="11"/>
  <c r="L216" i="11"/>
  <c r="E216" i="11"/>
  <c r="D216" i="11"/>
  <c r="C216" i="11"/>
  <c r="B216" i="11"/>
  <c r="K215" i="11"/>
  <c r="L215" i="11" s="1"/>
  <c r="E215" i="11"/>
  <c r="D215" i="11"/>
  <c r="C215" i="11"/>
  <c r="B215" i="11"/>
  <c r="J212" i="11"/>
  <c r="L210" i="11"/>
  <c r="E210" i="11"/>
  <c r="D210" i="11"/>
  <c r="C210" i="11"/>
  <c r="B210" i="11"/>
  <c r="L209" i="11"/>
  <c r="E209" i="11"/>
  <c r="D209" i="11"/>
  <c r="C209" i="11"/>
  <c r="B209" i="11"/>
  <c r="L208" i="11"/>
  <c r="E208" i="11"/>
  <c r="D208" i="11"/>
  <c r="C208" i="11"/>
  <c r="B208" i="11"/>
  <c r="L207" i="11"/>
  <c r="E207" i="11"/>
  <c r="D207" i="11"/>
  <c r="C207" i="11"/>
  <c r="B207" i="11"/>
  <c r="L206" i="11"/>
  <c r="E206" i="11"/>
  <c r="D206" i="11"/>
  <c r="C206" i="11"/>
  <c r="B206" i="11"/>
  <c r="L205" i="11"/>
  <c r="E205" i="11"/>
  <c r="D205" i="11"/>
  <c r="B205" i="11"/>
  <c r="L204" i="11"/>
  <c r="E204" i="11"/>
  <c r="D204" i="11"/>
  <c r="C204" i="11"/>
  <c r="B204" i="11"/>
  <c r="K203" i="11"/>
  <c r="L203" i="11" s="1"/>
  <c r="E203" i="11"/>
  <c r="D203" i="11"/>
  <c r="C203" i="11"/>
  <c r="B203" i="11"/>
  <c r="K202" i="11"/>
  <c r="L202" i="11" s="1"/>
  <c r="E202" i="11"/>
  <c r="D202" i="11"/>
  <c r="C202" i="11"/>
  <c r="B202" i="11"/>
  <c r="K201" i="11"/>
  <c r="L201" i="11" s="1"/>
  <c r="E201" i="11"/>
  <c r="D201" i="11"/>
  <c r="C201" i="11"/>
  <c r="B201" i="11"/>
  <c r="K200" i="11"/>
  <c r="L200" i="11" s="1"/>
  <c r="E200" i="11"/>
  <c r="D200" i="11"/>
  <c r="C200" i="11"/>
  <c r="B200" i="11"/>
  <c r="K199" i="11"/>
  <c r="L199" i="11" s="1"/>
  <c r="E199" i="11"/>
  <c r="D199" i="11"/>
  <c r="C199" i="11"/>
  <c r="B199" i="11"/>
  <c r="K198" i="11"/>
  <c r="L198" i="11" s="1"/>
  <c r="E198" i="11"/>
  <c r="D198" i="11"/>
  <c r="C198" i="11"/>
  <c r="B198" i="11"/>
  <c r="K197" i="11"/>
  <c r="L197" i="11" s="1"/>
  <c r="E197" i="11"/>
  <c r="D197" i="11"/>
  <c r="C197" i="11"/>
  <c r="B197" i="11"/>
  <c r="K196" i="11"/>
  <c r="L196" i="11" s="1"/>
  <c r="E196" i="11"/>
  <c r="D196" i="11"/>
  <c r="C196" i="11"/>
  <c r="B196" i="11"/>
  <c r="K195" i="11"/>
  <c r="L195" i="11" s="1"/>
  <c r="E195" i="11"/>
  <c r="D195" i="11"/>
  <c r="C195" i="11"/>
  <c r="B195" i="11"/>
  <c r="K194" i="11"/>
  <c r="L194" i="11" s="1"/>
  <c r="E194" i="11"/>
  <c r="D194" i="11"/>
  <c r="C194" i="11"/>
  <c r="B194" i="11"/>
  <c r="K193" i="11"/>
  <c r="L193" i="11" s="1"/>
  <c r="E193" i="11"/>
  <c r="D193" i="11"/>
  <c r="C193" i="11"/>
  <c r="B193" i="11"/>
  <c r="K192" i="11"/>
  <c r="L192" i="11" s="1"/>
  <c r="E192" i="11"/>
  <c r="D192" i="11"/>
  <c r="C192" i="11"/>
  <c r="B192" i="11"/>
  <c r="L191" i="11"/>
  <c r="E191" i="11"/>
  <c r="D191" i="11"/>
  <c r="C191" i="11"/>
  <c r="B191" i="11"/>
  <c r="K190" i="11"/>
  <c r="L190" i="11" s="1"/>
  <c r="E190" i="11"/>
  <c r="D190" i="11"/>
  <c r="C190" i="11"/>
  <c r="B190" i="11"/>
  <c r="L189" i="11"/>
  <c r="E189" i="11"/>
  <c r="D189" i="11"/>
  <c r="C189" i="11"/>
  <c r="B189" i="11"/>
  <c r="K188" i="11"/>
  <c r="L188" i="11" s="1"/>
  <c r="E188" i="11"/>
  <c r="D188" i="11"/>
  <c r="C188" i="11"/>
  <c r="B188" i="11"/>
  <c r="L187" i="11"/>
  <c r="E187" i="11"/>
  <c r="D187" i="11"/>
  <c r="C187" i="11"/>
  <c r="B187" i="11"/>
  <c r="L186" i="11"/>
  <c r="E186" i="11"/>
  <c r="D186" i="11"/>
  <c r="C186" i="11"/>
  <c r="B186" i="11"/>
  <c r="L185" i="11"/>
  <c r="E185" i="11"/>
  <c r="D185" i="11"/>
  <c r="C185" i="11"/>
  <c r="B185" i="11"/>
  <c r="L184" i="11"/>
  <c r="E184" i="11"/>
  <c r="D184" i="11"/>
  <c r="C184" i="11"/>
  <c r="B184" i="11"/>
  <c r="L183" i="11"/>
  <c r="E183" i="11"/>
  <c r="D183" i="11"/>
  <c r="C183" i="11"/>
  <c r="B183" i="11"/>
  <c r="L182" i="11"/>
  <c r="E182" i="11"/>
  <c r="D182" i="11"/>
  <c r="C182" i="11"/>
  <c r="B182" i="11"/>
  <c r="L181" i="11"/>
  <c r="E181" i="11"/>
  <c r="D181" i="11"/>
  <c r="C181" i="11"/>
  <c r="B181" i="11"/>
  <c r="L180" i="11"/>
  <c r="E180" i="11"/>
  <c r="D180" i="11"/>
  <c r="C180" i="11"/>
  <c r="B180" i="11"/>
  <c r="L179" i="11"/>
  <c r="E179" i="11"/>
  <c r="D179" i="11"/>
  <c r="C179" i="11"/>
  <c r="B179" i="11"/>
  <c r="L178" i="11"/>
  <c r="E178" i="11"/>
  <c r="D178" i="11"/>
  <c r="C178" i="11"/>
  <c r="B178" i="11"/>
  <c r="L177" i="11"/>
  <c r="E177" i="11"/>
  <c r="D177" i="11"/>
  <c r="C177" i="11"/>
  <c r="B177" i="11"/>
  <c r="L176" i="11"/>
  <c r="E176" i="11"/>
  <c r="D176" i="11"/>
  <c r="C176" i="11"/>
  <c r="B176" i="11"/>
  <c r="L175" i="11"/>
  <c r="E175" i="11"/>
  <c r="D175" i="11"/>
  <c r="C175" i="11"/>
  <c r="B175" i="11"/>
  <c r="J172" i="11"/>
  <c r="L170" i="11"/>
  <c r="E170" i="11"/>
  <c r="D170" i="11"/>
  <c r="C170" i="11"/>
  <c r="L169" i="11"/>
  <c r="E169" i="11"/>
  <c r="D169" i="11"/>
  <c r="C169" i="11"/>
  <c r="L168" i="11"/>
  <c r="E168" i="11"/>
  <c r="D168" i="11"/>
  <c r="C168" i="11"/>
  <c r="L167" i="11"/>
  <c r="E167" i="11"/>
  <c r="D167" i="11"/>
  <c r="C167" i="11"/>
  <c r="L166" i="11"/>
  <c r="E166" i="11"/>
  <c r="D166" i="11"/>
  <c r="C166" i="11"/>
  <c r="L165" i="11"/>
  <c r="E165" i="11"/>
  <c r="D165" i="11"/>
  <c r="C165" i="11"/>
  <c r="L164" i="11"/>
  <c r="E164" i="11"/>
  <c r="D164" i="11"/>
  <c r="C164" i="11"/>
  <c r="L163" i="11"/>
  <c r="E163" i="11"/>
  <c r="D163" i="11"/>
  <c r="C163" i="11"/>
  <c r="L162" i="11"/>
  <c r="K162" i="11"/>
  <c r="E162" i="11"/>
  <c r="D162" i="11"/>
  <c r="C162" i="11"/>
  <c r="L161" i="11"/>
  <c r="E161" i="11"/>
  <c r="D161" i="11"/>
  <c r="C161" i="11"/>
  <c r="L160" i="11"/>
  <c r="E160" i="11"/>
  <c r="D160" i="11"/>
  <c r="C160" i="11"/>
  <c r="L159" i="11"/>
  <c r="E159" i="11"/>
  <c r="D159" i="11"/>
  <c r="C159" i="11"/>
  <c r="L158" i="11"/>
  <c r="E158" i="11"/>
  <c r="D158" i="11"/>
  <c r="C158" i="11"/>
  <c r="L157" i="11"/>
  <c r="E157" i="11"/>
  <c r="D157" i="11"/>
  <c r="C157" i="11"/>
  <c r="E156" i="11"/>
  <c r="D156" i="11"/>
  <c r="C156" i="11"/>
  <c r="L155" i="11"/>
  <c r="E155" i="11"/>
  <c r="D155" i="11"/>
  <c r="C155" i="11"/>
  <c r="L154" i="11"/>
  <c r="K154" i="11"/>
  <c r="E154" i="11"/>
  <c r="D154" i="11"/>
  <c r="C154" i="11"/>
  <c r="L153" i="11"/>
  <c r="E153" i="11"/>
  <c r="D153" i="11"/>
  <c r="C153" i="11"/>
  <c r="L152" i="11"/>
  <c r="E152" i="11"/>
  <c r="D152" i="11"/>
  <c r="C152" i="11"/>
  <c r="L151" i="11"/>
  <c r="E151" i="11"/>
  <c r="D151" i="11"/>
  <c r="C151" i="11"/>
  <c r="E150" i="11"/>
  <c r="D150" i="11"/>
  <c r="C150" i="11"/>
  <c r="E149" i="11"/>
  <c r="D149" i="11"/>
  <c r="C149" i="11"/>
  <c r="L148" i="11"/>
  <c r="E148" i="11"/>
  <c r="D148" i="11"/>
  <c r="C148" i="11"/>
  <c r="L147" i="11"/>
  <c r="K147" i="11"/>
  <c r="E147" i="11"/>
  <c r="D147" i="11"/>
  <c r="C147" i="11"/>
  <c r="L146" i="11"/>
  <c r="E146" i="11"/>
  <c r="D146" i="11"/>
  <c r="C146" i="11"/>
  <c r="L145" i="11"/>
  <c r="E145" i="11"/>
  <c r="D145" i="11"/>
  <c r="C145" i="11"/>
  <c r="L144" i="11"/>
  <c r="E144" i="11"/>
  <c r="D144" i="11"/>
  <c r="C144" i="11"/>
  <c r="L143" i="11"/>
  <c r="E143" i="11"/>
  <c r="D143" i="11"/>
  <c r="C143" i="11"/>
  <c r="L142" i="11"/>
  <c r="K142" i="11"/>
  <c r="E142" i="11"/>
  <c r="D142" i="11"/>
  <c r="C142" i="11"/>
  <c r="L141" i="11"/>
  <c r="L139" i="11" s="1"/>
  <c r="E141" i="11"/>
  <c r="D141" i="11"/>
  <c r="C141" i="11"/>
  <c r="H139" i="11"/>
  <c r="J138" i="11"/>
  <c r="L136" i="11"/>
  <c r="E136" i="11"/>
  <c r="D136" i="11"/>
  <c r="C136" i="11"/>
  <c r="L135" i="11"/>
  <c r="L133" i="11" s="1"/>
  <c r="E135" i="11"/>
  <c r="D135" i="11"/>
  <c r="C135" i="11"/>
  <c r="H133" i="11"/>
  <c r="J132" i="11"/>
  <c r="L130" i="11"/>
  <c r="E130" i="11"/>
  <c r="D130" i="11"/>
  <c r="C130" i="11"/>
  <c r="L129" i="11"/>
  <c r="E129" i="11"/>
  <c r="D129" i="11"/>
  <c r="C129" i="11"/>
  <c r="L128" i="11"/>
  <c r="E128" i="11"/>
  <c r="D128" i="11"/>
  <c r="C128" i="11"/>
  <c r="L127" i="11"/>
  <c r="E127" i="11"/>
  <c r="D127" i="11"/>
  <c r="C127" i="11"/>
  <c r="K126" i="11"/>
  <c r="L126" i="11" s="1"/>
  <c r="E126" i="11"/>
  <c r="D126" i="11"/>
  <c r="C126" i="11"/>
  <c r="L125" i="11"/>
  <c r="E125" i="11"/>
  <c r="D125" i="11"/>
  <c r="C125" i="11"/>
  <c r="L124" i="11"/>
  <c r="L122" i="11" s="1"/>
  <c r="E124" i="11"/>
  <c r="D124" i="11"/>
  <c r="C124" i="11"/>
  <c r="H122" i="11"/>
  <c r="J121" i="11"/>
  <c r="L119" i="11"/>
  <c r="E119" i="11"/>
  <c r="D119" i="11"/>
  <c r="C119" i="11"/>
  <c r="L118" i="11"/>
  <c r="E118" i="11"/>
  <c r="D118" i="11"/>
  <c r="C118" i="11"/>
  <c r="L117" i="11"/>
  <c r="E117" i="11"/>
  <c r="D117" i="11"/>
  <c r="C117" i="11"/>
  <c r="L116" i="11"/>
  <c r="E116" i="11"/>
  <c r="D116" i="11"/>
  <c r="C116" i="11"/>
  <c r="L115" i="11"/>
  <c r="L113" i="11" s="1"/>
  <c r="E115" i="11"/>
  <c r="D115" i="11"/>
  <c r="C115" i="11"/>
  <c r="H113" i="11"/>
  <c r="J112" i="11"/>
  <c r="L110" i="11"/>
  <c r="E110" i="11"/>
  <c r="D110" i="11"/>
  <c r="C110" i="11"/>
  <c r="L109" i="11"/>
  <c r="E109" i="11"/>
  <c r="D109" i="11"/>
  <c r="C109" i="11"/>
  <c r="L108" i="11"/>
  <c r="E108" i="11"/>
  <c r="D108" i="11"/>
  <c r="C108" i="11"/>
  <c r="L107" i="11"/>
  <c r="K107" i="11"/>
  <c r="E107" i="11"/>
  <c r="D107" i="11"/>
  <c r="C107" i="11"/>
  <c r="L106" i="11"/>
  <c r="E106" i="11"/>
  <c r="D106" i="11"/>
  <c r="C106" i="11"/>
  <c r="L105" i="11"/>
  <c r="E105" i="11"/>
  <c r="D105" i="11"/>
  <c r="C105" i="11"/>
  <c r="L104" i="11"/>
  <c r="L102" i="11" s="1"/>
  <c r="E104" i="11"/>
  <c r="D104" i="11"/>
  <c r="C104" i="11"/>
  <c r="J101" i="11"/>
  <c r="L99" i="11"/>
  <c r="E99" i="11"/>
  <c r="D99" i="11"/>
  <c r="C99" i="11"/>
  <c r="L98" i="11"/>
  <c r="E98" i="11"/>
  <c r="D98" i="11"/>
  <c r="L97" i="11"/>
  <c r="E97" i="11"/>
  <c r="D97" i="11"/>
  <c r="C97" i="11"/>
  <c r="L96" i="11"/>
  <c r="L94" i="11" s="1"/>
  <c r="E96" i="11"/>
  <c r="D96" i="11"/>
  <c r="C96" i="11"/>
  <c r="H94" i="11"/>
  <c r="J93" i="11"/>
  <c r="K91" i="11"/>
  <c r="L91" i="11" s="1"/>
  <c r="E91" i="11"/>
  <c r="D91" i="11"/>
  <c r="C91" i="11"/>
  <c r="L90" i="11"/>
  <c r="E90" i="11"/>
  <c r="D90" i="11"/>
  <c r="C90" i="11"/>
  <c r="L89" i="11"/>
  <c r="E89" i="11"/>
  <c r="D89" i="11"/>
  <c r="C89" i="11"/>
  <c r="L88" i="11"/>
  <c r="E88" i="11"/>
  <c r="D88" i="11"/>
  <c r="C88" i="11"/>
  <c r="L87" i="11"/>
  <c r="E87" i="11"/>
  <c r="D87" i="11"/>
  <c r="C87" i="11"/>
  <c r="L86" i="11"/>
  <c r="E86" i="11"/>
  <c r="D86" i="11"/>
  <c r="C86" i="11"/>
  <c r="L85" i="11"/>
  <c r="E85" i="11"/>
  <c r="D85" i="11"/>
  <c r="C85" i="11"/>
  <c r="L84" i="11"/>
  <c r="E84" i="11"/>
  <c r="D84" i="11"/>
  <c r="C84" i="11"/>
  <c r="L83" i="11"/>
  <c r="E83" i="11"/>
  <c r="D83" i="11"/>
  <c r="C83" i="11"/>
  <c r="L82" i="11"/>
  <c r="E82" i="11"/>
  <c r="D82" i="11"/>
  <c r="C82" i="11"/>
  <c r="L81" i="11"/>
  <c r="L79" i="11" s="1"/>
  <c r="E81" i="11"/>
  <c r="D81" i="11"/>
  <c r="C81" i="11"/>
  <c r="H79" i="11"/>
  <c r="J78" i="11"/>
  <c r="L76" i="11"/>
  <c r="E76" i="11"/>
  <c r="D76" i="11"/>
  <c r="C76" i="11"/>
  <c r="K75" i="11"/>
  <c r="L75" i="11" s="1"/>
  <c r="E75" i="11"/>
  <c r="D75" i="11"/>
  <c r="C75" i="11"/>
  <c r="K74" i="11"/>
  <c r="L74" i="11" s="1"/>
  <c r="E74" i="11"/>
  <c r="D74" i="11"/>
  <c r="C74" i="11"/>
  <c r="L73" i="11"/>
  <c r="E73" i="11"/>
  <c r="D73" i="11"/>
  <c r="C73" i="11"/>
  <c r="L72" i="11"/>
  <c r="E72" i="11"/>
  <c r="D72" i="11"/>
  <c r="C72" i="11"/>
  <c r="K71" i="11"/>
  <c r="L71" i="11" s="1"/>
  <c r="E71" i="11"/>
  <c r="D71" i="11"/>
  <c r="C71" i="11"/>
  <c r="K70" i="11"/>
  <c r="L70" i="11" s="1"/>
  <c r="E70" i="11"/>
  <c r="D70" i="11"/>
  <c r="C70" i="11"/>
  <c r="L69" i="11"/>
  <c r="E69" i="11"/>
  <c r="D69" i="11"/>
  <c r="C69" i="11"/>
  <c r="K68" i="11"/>
  <c r="L68" i="11" s="1"/>
  <c r="E68" i="11"/>
  <c r="D68" i="11"/>
  <c r="C68" i="11"/>
  <c r="K67" i="11"/>
  <c r="L67" i="11" s="1"/>
  <c r="E67" i="11"/>
  <c r="D67" i="11"/>
  <c r="C67" i="11"/>
  <c r="L66" i="11"/>
  <c r="E66" i="11"/>
  <c r="D66" i="11"/>
  <c r="C66" i="11"/>
  <c r="L65" i="11"/>
  <c r="E65" i="11"/>
  <c r="D65" i="11"/>
  <c r="C65" i="11"/>
  <c r="K64" i="11"/>
  <c r="L64" i="11" s="1"/>
  <c r="L62" i="11" s="1"/>
  <c r="E64" i="11"/>
  <c r="D64" i="11"/>
  <c r="C64" i="11"/>
  <c r="H62" i="11"/>
  <c r="J61" i="11"/>
  <c r="K59" i="11"/>
  <c r="L59" i="11" s="1"/>
  <c r="E59" i="11"/>
  <c r="D59" i="11"/>
  <c r="C59" i="11"/>
  <c r="K58" i="11"/>
  <c r="L58" i="11" s="1"/>
  <c r="E58" i="11"/>
  <c r="D58" i="11"/>
  <c r="C58" i="11"/>
  <c r="K57" i="11"/>
  <c r="L57" i="11" s="1"/>
  <c r="E57" i="11"/>
  <c r="D57" i="11"/>
  <c r="C57" i="11"/>
  <c r="K56" i="11"/>
  <c r="L56" i="11" s="1"/>
  <c r="E56" i="11"/>
  <c r="D56" i="11"/>
  <c r="C56" i="11"/>
  <c r="K55" i="11"/>
  <c r="L55" i="11" s="1"/>
  <c r="E55" i="11"/>
  <c r="D55" i="11"/>
  <c r="C55" i="11"/>
  <c r="K54" i="11"/>
  <c r="L54" i="11" s="1"/>
  <c r="E54" i="11"/>
  <c r="D54" i="11"/>
  <c r="C54" i="11"/>
  <c r="K53" i="11"/>
  <c r="L53" i="11" s="1"/>
  <c r="E53" i="11"/>
  <c r="D53" i="11"/>
  <c r="C53" i="11"/>
  <c r="K52" i="11"/>
  <c r="L52" i="11" s="1"/>
  <c r="E52" i="11"/>
  <c r="D52" i="11"/>
  <c r="C52" i="11"/>
  <c r="H50" i="11"/>
  <c r="J49" i="11"/>
  <c r="K47" i="11"/>
  <c r="L47" i="11" s="1"/>
  <c r="E47" i="11"/>
  <c r="D47" i="11"/>
  <c r="C47" i="11"/>
  <c r="K46" i="11"/>
  <c r="L46" i="11" s="1"/>
  <c r="E46" i="11"/>
  <c r="D46" i="11"/>
  <c r="C46" i="11"/>
  <c r="K45" i="11"/>
  <c r="L45" i="11" s="1"/>
  <c r="E45" i="11"/>
  <c r="D45" i="11"/>
  <c r="C45" i="11"/>
  <c r="K44" i="11"/>
  <c r="L44" i="11" s="1"/>
  <c r="E44" i="11"/>
  <c r="D44" i="11"/>
  <c r="C44" i="11"/>
  <c r="K43" i="11"/>
  <c r="L43" i="11" s="1"/>
  <c r="E43" i="11"/>
  <c r="D43" i="11"/>
  <c r="C43" i="11"/>
  <c r="K42" i="11"/>
  <c r="L42" i="11" s="1"/>
  <c r="E42" i="11"/>
  <c r="D42" i="11"/>
  <c r="C42" i="11"/>
  <c r="K41" i="11"/>
  <c r="L41" i="11" s="1"/>
  <c r="E41" i="11"/>
  <c r="D41" i="11"/>
  <c r="C41" i="11"/>
  <c r="K40" i="11"/>
  <c r="L40" i="11" s="1"/>
  <c r="E40" i="11"/>
  <c r="D40" i="11"/>
  <c r="C40" i="11"/>
  <c r="K39" i="11"/>
  <c r="L39" i="11" s="1"/>
  <c r="E39" i="11"/>
  <c r="D39" i="11"/>
  <c r="C39" i="11"/>
  <c r="K38" i="11"/>
  <c r="L38" i="11" s="1"/>
  <c r="E38" i="11"/>
  <c r="D38" i="11"/>
  <c r="C38" i="11"/>
  <c r="K37" i="11"/>
  <c r="L37" i="11" s="1"/>
  <c r="E37" i="11"/>
  <c r="D37" i="11"/>
  <c r="C37" i="11"/>
  <c r="K36" i="11"/>
  <c r="L36" i="11" s="1"/>
  <c r="E36" i="11"/>
  <c r="D36" i="11"/>
  <c r="C36" i="11"/>
  <c r="K35" i="11"/>
  <c r="L35" i="11" s="1"/>
  <c r="E35" i="11"/>
  <c r="D35" i="11"/>
  <c r="C35" i="11"/>
  <c r="K34" i="11"/>
  <c r="L34" i="11" s="1"/>
  <c r="E34" i="11"/>
  <c r="D34" i="11"/>
  <c r="C34" i="11"/>
  <c r="K33" i="11"/>
  <c r="L33" i="11" s="1"/>
  <c r="E33" i="11"/>
  <c r="D33" i="11"/>
  <c r="C33" i="11"/>
  <c r="K32" i="11"/>
  <c r="L32" i="11" s="1"/>
  <c r="E32" i="11"/>
  <c r="D32" i="11"/>
  <c r="C32" i="11"/>
  <c r="K31" i="11"/>
  <c r="L31" i="11" s="1"/>
  <c r="E31" i="11"/>
  <c r="D31" i="11"/>
  <c r="C31" i="11"/>
  <c r="K30" i="11"/>
  <c r="L30" i="11" s="1"/>
  <c r="E30" i="11"/>
  <c r="D30" i="11"/>
  <c r="C30" i="11"/>
  <c r="K29" i="11"/>
  <c r="L29" i="11" s="1"/>
  <c r="E29" i="11"/>
  <c r="D29" i="11"/>
  <c r="C29" i="11"/>
  <c r="K28" i="11"/>
  <c r="L28" i="11" s="1"/>
  <c r="E28" i="11"/>
  <c r="D28" i="11"/>
  <c r="C28" i="11"/>
  <c r="K27" i="11"/>
  <c r="L27" i="11" s="1"/>
  <c r="E27" i="11"/>
  <c r="D27" i="11"/>
  <c r="C27" i="11"/>
  <c r="K26" i="11"/>
  <c r="L26" i="11" s="1"/>
  <c r="E26" i="11"/>
  <c r="D26" i="11"/>
  <c r="C26" i="11"/>
  <c r="K25" i="11"/>
  <c r="L25" i="11" s="1"/>
  <c r="E25" i="11"/>
  <c r="D25" i="11"/>
  <c r="C25" i="11"/>
  <c r="K24" i="11"/>
  <c r="L24" i="11" s="1"/>
  <c r="E24" i="11"/>
  <c r="D24" i="11"/>
  <c r="C24" i="11"/>
  <c r="K23" i="11"/>
  <c r="L23" i="11" s="1"/>
  <c r="E23" i="11"/>
  <c r="D23" i="11"/>
  <c r="C23" i="11"/>
  <c r="K22" i="11"/>
  <c r="L22" i="11" s="1"/>
  <c r="E22" i="11"/>
  <c r="D22" i="11"/>
  <c r="C22" i="11"/>
  <c r="K21" i="11"/>
  <c r="L21" i="11" s="1"/>
  <c r="E21" i="11"/>
  <c r="D21" i="11"/>
  <c r="C21" i="11"/>
  <c r="K20" i="11"/>
  <c r="L20" i="11" s="1"/>
  <c r="E20" i="11"/>
  <c r="D20" i="11"/>
  <c r="C20" i="11"/>
  <c r="K19" i="11"/>
  <c r="L19" i="11" s="1"/>
  <c r="E19" i="11"/>
  <c r="D19" i="11"/>
  <c r="C19" i="11"/>
  <c r="K18" i="11"/>
  <c r="L18" i="11" s="1"/>
  <c r="E18" i="11"/>
  <c r="D18" i="11"/>
  <c r="C18" i="11"/>
  <c r="K17" i="11"/>
  <c r="L17" i="11" s="1"/>
  <c r="E17" i="11"/>
  <c r="D17" i="11"/>
  <c r="C17" i="11"/>
  <c r="L16" i="11"/>
  <c r="E16" i="11"/>
  <c r="D16" i="11"/>
  <c r="C16" i="11"/>
  <c r="K15" i="11"/>
  <c r="L15" i="11" s="1"/>
  <c r="E15" i="11"/>
  <c r="D15" i="11"/>
  <c r="C15" i="11"/>
  <c r="K14" i="11"/>
  <c r="L14" i="11" s="1"/>
  <c r="E14" i="11"/>
  <c r="D14" i="11"/>
  <c r="C14" i="11"/>
  <c r="K13" i="11"/>
  <c r="L13" i="11" s="1"/>
  <c r="E13" i="11"/>
  <c r="D13" i="11"/>
  <c r="C13" i="11"/>
  <c r="K12" i="11"/>
  <c r="L12" i="11" s="1"/>
  <c r="E12" i="11"/>
  <c r="D12" i="11"/>
  <c r="C12" i="11"/>
  <c r="K11" i="11"/>
  <c r="L11" i="11" s="1"/>
  <c r="E11" i="11"/>
  <c r="D11" i="11"/>
  <c r="C11" i="11"/>
  <c r="K10" i="11"/>
  <c r="L10" i="11" s="1"/>
  <c r="E10" i="11"/>
  <c r="D10" i="11"/>
  <c r="C10" i="11"/>
  <c r="K9" i="11"/>
  <c r="L9" i="11" s="1"/>
  <c r="E9" i="11"/>
  <c r="D9" i="11"/>
  <c r="C9" i="11"/>
  <c r="K8" i="11"/>
  <c r="L8" i="11" s="1"/>
  <c r="E8" i="11"/>
  <c r="D8" i="11"/>
  <c r="C8" i="11"/>
  <c r="K7" i="11"/>
  <c r="L7" i="11" s="1"/>
  <c r="L5" i="11" s="1"/>
  <c r="E7" i="11"/>
  <c r="D7" i="11"/>
  <c r="C7" i="11"/>
  <c r="H5" i="11"/>
  <c r="J4" i="11"/>
  <c r="K428" i="10"/>
  <c r="E428" i="10"/>
  <c r="D428" i="10"/>
  <c r="C428" i="10"/>
  <c r="B428" i="10"/>
  <c r="K427" i="10"/>
  <c r="L427" i="10" s="1"/>
  <c r="E427" i="10"/>
  <c r="D427" i="10"/>
  <c r="C427" i="10"/>
  <c r="B427" i="10"/>
  <c r="K426" i="10"/>
  <c r="L426" i="10" s="1"/>
  <c r="E426" i="10"/>
  <c r="D426" i="10"/>
  <c r="C426" i="10"/>
  <c r="B426" i="10"/>
  <c r="K425" i="10"/>
  <c r="L425" i="10" s="1"/>
  <c r="E425" i="10"/>
  <c r="D425" i="10"/>
  <c r="C425" i="10"/>
  <c r="B425" i="10"/>
  <c r="K424" i="10"/>
  <c r="L424" i="10" s="1"/>
  <c r="E424" i="10"/>
  <c r="D424" i="10"/>
  <c r="C424" i="10"/>
  <c r="B424" i="10"/>
  <c r="K423" i="10"/>
  <c r="L423" i="10" s="1"/>
  <c r="E423" i="10"/>
  <c r="D423" i="10"/>
  <c r="C423" i="10"/>
  <c r="B423" i="10"/>
  <c r="K422" i="10"/>
  <c r="L422" i="10" s="1"/>
  <c r="E422" i="10"/>
  <c r="D422" i="10"/>
  <c r="C422" i="10"/>
  <c r="B422" i="10"/>
  <c r="K421" i="10"/>
  <c r="L421" i="10" s="1"/>
  <c r="E421" i="10"/>
  <c r="D421" i="10"/>
  <c r="C421" i="10"/>
  <c r="B421" i="10"/>
  <c r="K420" i="10"/>
  <c r="L420" i="10" s="1"/>
  <c r="E420" i="10"/>
  <c r="D420" i="10"/>
  <c r="C420" i="10"/>
  <c r="B420" i="10"/>
  <c r="K419" i="10"/>
  <c r="E419" i="10"/>
  <c r="D419" i="10"/>
  <c r="C419" i="10"/>
  <c r="B419" i="10"/>
  <c r="K418" i="10"/>
  <c r="E418" i="10"/>
  <c r="D418" i="10"/>
  <c r="C418" i="10"/>
  <c r="B418" i="10"/>
  <c r="K417" i="10"/>
  <c r="E417" i="10"/>
  <c r="D417" i="10"/>
  <c r="C417" i="10"/>
  <c r="B417" i="10"/>
  <c r="K416" i="10"/>
  <c r="L416" i="10" s="1"/>
  <c r="E416" i="10"/>
  <c r="D416" i="10"/>
  <c r="C416" i="10"/>
  <c r="B416" i="10"/>
  <c r="K415" i="10"/>
  <c r="L415" i="10" s="1"/>
  <c r="E415" i="10"/>
  <c r="D415" i="10"/>
  <c r="C415" i="10"/>
  <c r="B415" i="10"/>
  <c r="K414" i="10"/>
  <c r="L414" i="10" s="1"/>
  <c r="E414" i="10"/>
  <c r="D414" i="10"/>
  <c r="C414" i="10"/>
  <c r="B414" i="10"/>
  <c r="K413" i="10"/>
  <c r="L413" i="10" s="1"/>
  <c r="E413" i="10"/>
  <c r="D413" i="10"/>
  <c r="C413" i="10"/>
  <c r="B413" i="10"/>
  <c r="K412" i="10"/>
  <c r="L412" i="10" s="1"/>
  <c r="E412" i="10"/>
  <c r="D412" i="10"/>
  <c r="C412" i="10"/>
  <c r="B412" i="10"/>
  <c r="L411" i="10"/>
  <c r="E411" i="10"/>
  <c r="D411" i="10"/>
  <c r="C411" i="10"/>
  <c r="B411" i="10"/>
  <c r="L410" i="10"/>
  <c r="E410" i="10"/>
  <c r="D410" i="10"/>
  <c r="C410" i="10"/>
  <c r="B410" i="10"/>
  <c r="K409" i="10"/>
  <c r="E409" i="10"/>
  <c r="D409" i="10"/>
  <c r="C409" i="10"/>
  <c r="B409" i="10"/>
  <c r="K408" i="10"/>
  <c r="E408" i="10"/>
  <c r="D408" i="10"/>
  <c r="C408" i="10"/>
  <c r="B408" i="10"/>
  <c r="K407" i="10"/>
  <c r="L407" i="10" s="1"/>
  <c r="E407" i="10"/>
  <c r="D407" i="10"/>
  <c r="C407" i="10"/>
  <c r="B407" i="10"/>
  <c r="K406" i="10"/>
  <c r="E406" i="10"/>
  <c r="D406" i="10"/>
  <c r="C406" i="10"/>
  <c r="B406" i="10"/>
  <c r="L405" i="10"/>
  <c r="E405" i="10"/>
  <c r="D405" i="10"/>
  <c r="C405" i="10"/>
  <c r="B405" i="10"/>
  <c r="L404" i="10"/>
  <c r="E404" i="10"/>
  <c r="D404" i="10"/>
  <c r="C404" i="10"/>
  <c r="B404" i="10"/>
  <c r="L403" i="10"/>
  <c r="E403" i="10"/>
  <c r="D403" i="10"/>
  <c r="C403" i="10"/>
  <c r="B403" i="10"/>
  <c r="K402" i="10"/>
  <c r="E402" i="10"/>
  <c r="D402" i="10"/>
  <c r="C402" i="10"/>
  <c r="B402" i="10"/>
  <c r="L401" i="10"/>
  <c r="E401" i="10"/>
  <c r="D401" i="10"/>
  <c r="C401" i="10"/>
  <c r="B401" i="10"/>
  <c r="L400" i="10"/>
  <c r="E400" i="10"/>
  <c r="D400" i="10"/>
  <c r="C400" i="10"/>
  <c r="B400" i="10"/>
  <c r="K399" i="10"/>
  <c r="L399" i="10" s="1"/>
  <c r="E399" i="10"/>
  <c r="D399" i="10"/>
  <c r="C399" i="10"/>
  <c r="B399" i="10"/>
  <c r="K398" i="10"/>
  <c r="L398" i="10" s="1"/>
  <c r="E398" i="10"/>
  <c r="D398" i="10"/>
  <c r="C398" i="10"/>
  <c r="B398" i="10"/>
  <c r="K397" i="10"/>
  <c r="L397" i="10" s="1"/>
  <c r="E397" i="10"/>
  <c r="D397" i="10"/>
  <c r="C397" i="10"/>
  <c r="B397" i="10"/>
  <c r="L396" i="10"/>
  <c r="E396" i="10"/>
  <c r="D396" i="10"/>
  <c r="C396" i="10"/>
  <c r="B396" i="10"/>
  <c r="L395" i="10"/>
  <c r="E395" i="10"/>
  <c r="D395" i="10"/>
  <c r="C395" i="10"/>
  <c r="B395" i="10"/>
  <c r="H393" i="10"/>
  <c r="H330" i="10" s="1"/>
  <c r="H281" i="10" s="1"/>
  <c r="H271" i="10" s="1"/>
  <c r="H220" i="10" s="1"/>
  <c r="H175" i="10" s="1"/>
  <c r="J392" i="10"/>
  <c r="E390" i="10"/>
  <c r="D390" i="10"/>
  <c r="C390" i="10"/>
  <c r="B390" i="10"/>
  <c r="E389" i="10"/>
  <c r="D389" i="10"/>
  <c r="C389" i="10"/>
  <c r="B389" i="10"/>
  <c r="L388" i="10"/>
  <c r="L387" i="10"/>
  <c r="L386" i="10"/>
  <c r="L385" i="10"/>
  <c r="L384" i="10"/>
  <c r="L383" i="10"/>
  <c r="L382" i="10"/>
  <c r="E382" i="10"/>
  <c r="D382" i="10"/>
  <c r="C382" i="10"/>
  <c r="B382" i="10"/>
  <c r="K381" i="10"/>
  <c r="E381" i="10"/>
  <c r="D381" i="10"/>
  <c r="C381" i="10"/>
  <c r="B381" i="10"/>
  <c r="L380" i="10"/>
  <c r="E380" i="10"/>
  <c r="D380" i="10"/>
  <c r="C380" i="10"/>
  <c r="B380" i="10"/>
  <c r="K379" i="10"/>
  <c r="L379" i="10" s="1"/>
  <c r="E379" i="10"/>
  <c r="D379" i="10"/>
  <c r="C379" i="10"/>
  <c r="B379" i="10"/>
  <c r="K378" i="10"/>
  <c r="L378" i="10" s="1"/>
  <c r="E378" i="10"/>
  <c r="D378" i="10"/>
  <c r="C378" i="10"/>
  <c r="B378" i="10"/>
  <c r="L377" i="10"/>
  <c r="E377" i="10"/>
  <c r="D377" i="10"/>
  <c r="C377" i="10"/>
  <c r="B377" i="10"/>
  <c r="L376" i="10"/>
  <c r="E376" i="10"/>
  <c r="D376" i="10"/>
  <c r="C376" i="10"/>
  <c r="B376" i="10"/>
  <c r="L375" i="10"/>
  <c r="E375" i="10"/>
  <c r="D375" i="10"/>
  <c r="C375" i="10"/>
  <c r="B375" i="10"/>
  <c r="K374" i="10"/>
  <c r="L374" i="10" s="1"/>
  <c r="E374" i="10"/>
  <c r="D374" i="10"/>
  <c r="B374" i="10"/>
  <c r="K373" i="10"/>
  <c r="L373" i="10" s="1"/>
  <c r="E373" i="10"/>
  <c r="D373" i="10"/>
  <c r="C373" i="10"/>
  <c r="B373" i="10"/>
  <c r="K372" i="10"/>
  <c r="E372" i="10"/>
  <c r="D372" i="10"/>
  <c r="C372" i="10"/>
  <c r="B372" i="10"/>
  <c r="K371" i="10"/>
  <c r="E371" i="10"/>
  <c r="D371" i="10"/>
  <c r="C371" i="10"/>
  <c r="B371" i="10"/>
  <c r="K370" i="10"/>
  <c r="L370" i="10" s="1"/>
  <c r="E370" i="10"/>
  <c r="D370" i="10"/>
  <c r="C370" i="10"/>
  <c r="B370" i="10"/>
  <c r="K369" i="10"/>
  <c r="L369" i="10" s="1"/>
  <c r="E369" i="10"/>
  <c r="D369" i="10"/>
  <c r="C369" i="10"/>
  <c r="B369" i="10"/>
  <c r="K368" i="10"/>
  <c r="E368" i="10"/>
  <c r="D368" i="10"/>
  <c r="C368" i="10"/>
  <c r="B368" i="10"/>
  <c r="K367" i="10"/>
  <c r="E367" i="10"/>
  <c r="D367" i="10"/>
  <c r="C367" i="10"/>
  <c r="B367" i="10"/>
  <c r="K366" i="10"/>
  <c r="L366" i="10" s="1"/>
  <c r="E366" i="10"/>
  <c r="D366" i="10"/>
  <c r="C366" i="10"/>
  <c r="B366" i="10"/>
  <c r="K365" i="10"/>
  <c r="L365" i="10" s="1"/>
  <c r="E365" i="10"/>
  <c r="D365" i="10"/>
  <c r="C365" i="10"/>
  <c r="B365" i="10"/>
  <c r="K364" i="10"/>
  <c r="L364" i="10" s="1"/>
  <c r="E364" i="10"/>
  <c r="D364" i="10"/>
  <c r="C364" i="10"/>
  <c r="B364" i="10"/>
  <c r="K363" i="10"/>
  <c r="L363" i="10" s="1"/>
  <c r="E363" i="10"/>
  <c r="D363" i="10"/>
  <c r="C363" i="10"/>
  <c r="B363" i="10"/>
  <c r="K362" i="10"/>
  <c r="L362" i="10" s="1"/>
  <c r="E362" i="10"/>
  <c r="D362" i="10"/>
  <c r="C362" i="10"/>
  <c r="B362" i="10"/>
  <c r="K361" i="10"/>
  <c r="E361" i="10"/>
  <c r="D361" i="10"/>
  <c r="C361" i="10"/>
  <c r="B361" i="10"/>
  <c r="K360" i="10"/>
  <c r="E360" i="10"/>
  <c r="D360" i="10"/>
  <c r="C360" i="10"/>
  <c r="B360" i="10"/>
  <c r="K359" i="10"/>
  <c r="L359" i="10" s="1"/>
  <c r="E359" i="10"/>
  <c r="D359" i="10"/>
  <c r="C359" i="10"/>
  <c r="B359" i="10"/>
  <c r="K358" i="10"/>
  <c r="L358" i="10" s="1"/>
  <c r="E358" i="10"/>
  <c r="D358" i="10"/>
  <c r="C358" i="10"/>
  <c r="B358" i="10"/>
  <c r="K357" i="10"/>
  <c r="L357" i="10" s="1"/>
  <c r="E357" i="10"/>
  <c r="D357" i="10"/>
  <c r="C357" i="10"/>
  <c r="B357" i="10"/>
  <c r="L356" i="10"/>
  <c r="E356" i="10"/>
  <c r="D356" i="10"/>
  <c r="C356" i="10"/>
  <c r="B356" i="10"/>
  <c r="K355" i="10"/>
  <c r="L355" i="10" s="1"/>
  <c r="E355" i="10"/>
  <c r="D355" i="10"/>
  <c r="C355" i="10"/>
  <c r="B355" i="10"/>
  <c r="K354" i="10"/>
  <c r="L354" i="10" s="1"/>
  <c r="E354" i="10"/>
  <c r="D354" i="10"/>
  <c r="C354" i="10"/>
  <c r="B354" i="10"/>
  <c r="K353" i="10"/>
  <c r="L353" i="10" s="1"/>
  <c r="E353" i="10"/>
  <c r="D353" i="10"/>
  <c r="C353" i="10"/>
  <c r="B353" i="10"/>
  <c r="K352" i="10"/>
  <c r="E352" i="10"/>
  <c r="D352" i="10"/>
  <c r="C352" i="10"/>
  <c r="B352" i="10"/>
  <c r="K351" i="10"/>
  <c r="E351" i="10"/>
  <c r="D351" i="10"/>
  <c r="C351" i="10"/>
  <c r="B351" i="10"/>
  <c r="L350" i="10"/>
  <c r="E350" i="10"/>
  <c r="D350" i="10"/>
  <c r="C350" i="10"/>
  <c r="B350" i="10"/>
  <c r="L349" i="10"/>
  <c r="E349" i="10"/>
  <c r="D349" i="10"/>
  <c r="C349" i="10"/>
  <c r="B349" i="10"/>
  <c r="L348" i="10"/>
  <c r="E348" i="10"/>
  <c r="D348" i="10"/>
  <c r="C348" i="10"/>
  <c r="B348" i="10"/>
  <c r="K347" i="10"/>
  <c r="E347" i="10"/>
  <c r="D347" i="10"/>
  <c r="C347" i="10"/>
  <c r="B347" i="10"/>
  <c r="K346" i="10"/>
  <c r="E346" i="10"/>
  <c r="D346" i="10"/>
  <c r="C346" i="10"/>
  <c r="B346" i="10"/>
  <c r="L345" i="10"/>
  <c r="E345" i="10"/>
  <c r="D345" i="10"/>
  <c r="C345" i="10"/>
  <c r="B345" i="10"/>
  <c r="K344" i="10"/>
  <c r="E344" i="10"/>
  <c r="D344" i="10"/>
  <c r="C344" i="10"/>
  <c r="B344" i="10"/>
  <c r="L343" i="10"/>
  <c r="E343" i="10"/>
  <c r="D343" i="10"/>
  <c r="C343" i="10"/>
  <c r="B343" i="10"/>
  <c r="K342" i="10"/>
  <c r="E342" i="10"/>
  <c r="D342" i="10"/>
  <c r="C342" i="10"/>
  <c r="B342" i="10"/>
  <c r="K341" i="10"/>
  <c r="E341" i="10"/>
  <c r="D341" i="10"/>
  <c r="C341" i="10"/>
  <c r="B341" i="10"/>
  <c r="L340" i="10"/>
  <c r="E340" i="10"/>
  <c r="D340" i="10"/>
  <c r="C340" i="10"/>
  <c r="B340" i="10"/>
  <c r="L339" i="10"/>
  <c r="E339" i="10"/>
  <c r="D339" i="10"/>
  <c r="C339" i="10"/>
  <c r="B339" i="10"/>
  <c r="K338" i="10"/>
  <c r="L338" i="10" s="1"/>
  <c r="E338" i="10"/>
  <c r="D338" i="10"/>
  <c r="C338" i="10"/>
  <c r="B338" i="10"/>
  <c r="K337" i="10"/>
  <c r="E337" i="10"/>
  <c r="D337" i="10"/>
  <c r="C337" i="10"/>
  <c r="B337" i="10"/>
  <c r="K336" i="10"/>
  <c r="L336" i="10" s="1"/>
  <c r="E336" i="10"/>
  <c r="D336" i="10"/>
  <c r="C336" i="10"/>
  <c r="B336" i="10"/>
  <c r="K335" i="10"/>
  <c r="E335" i="10"/>
  <c r="D335" i="10"/>
  <c r="C335" i="10"/>
  <c r="B335" i="10"/>
  <c r="E334" i="10"/>
  <c r="D334" i="10"/>
  <c r="C334" i="10"/>
  <c r="B334" i="10"/>
  <c r="K333" i="10"/>
  <c r="E333" i="10"/>
  <c r="D333" i="10"/>
  <c r="C333" i="10"/>
  <c r="B333" i="10"/>
  <c r="K332" i="10"/>
  <c r="E332" i="10"/>
  <c r="D332" i="10"/>
  <c r="C332" i="10"/>
  <c r="B332" i="10"/>
  <c r="J329" i="10"/>
  <c r="L327" i="10"/>
  <c r="E326" i="10"/>
  <c r="D326" i="10"/>
  <c r="C326" i="10"/>
  <c r="B326" i="10"/>
  <c r="D325" i="10"/>
  <c r="C325" i="10"/>
  <c r="B325" i="10"/>
  <c r="K324" i="10"/>
  <c r="L324" i="10" s="1"/>
  <c r="E324" i="10"/>
  <c r="D324" i="10"/>
  <c r="C324" i="10"/>
  <c r="B324" i="10"/>
  <c r="K323" i="10"/>
  <c r="L323" i="10" s="1"/>
  <c r="E323" i="10"/>
  <c r="D323" i="10"/>
  <c r="C323" i="10"/>
  <c r="B323" i="10"/>
  <c r="L322" i="10"/>
  <c r="E322" i="10"/>
  <c r="D322" i="10"/>
  <c r="C322" i="10"/>
  <c r="B322" i="10"/>
  <c r="K321" i="10"/>
  <c r="L321" i="10" s="1"/>
  <c r="E321" i="10"/>
  <c r="D321" i="10"/>
  <c r="C321" i="10"/>
  <c r="B321" i="10"/>
  <c r="K320" i="10"/>
  <c r="L320" i="10" s="1"/>
  <c r="E320" i="10"/>
  <c r="D320" i="10"/>
  <c r="B320" i="10"/>
  <c r="K319" i="10"/>
  <c r="L319" i="10" s="1"/>
  <c r="E319" i="10"/>
  <c r="D319" i="10"/>
  <c r="C319" i="10"/>
  <c r="B319" i="10"/>
  <c r="K318" i="10"/>
  <c r="L318" i="10" s="1"/>
  <c r="E318" i="10"/>
  <c r="D318" i="10"/>
  <c r="C318" i="10"/>
  <c r="B318" i="10"/>
  <c r="K317" i="10"/>
  <c r="L317" i="10" s="1"/>
  <c r="E317" i="10"/>
  <c r="D317" i="10"/>
  <c r="C317" i="10"/>
  <c r="B317" i="10"/>
  <c r="K316" i="10"/>
  <c r="L316" i="10" s="1"/>
  <c r="E316" i="10"/>
  <c r="D316" i="10"/>
  <c r="C316" i="10"/>
  <c r="B316" i="10"/>
  <c r="K315" i="10"/>
  <c r="L315" i="10" s="1"/>
  <c r="E315" i="10"/>
  <c r="D315" i="10"/>
  <c r="C315" i="10"/>
  <c r="B315" i="10"/>
  <c r="K314" i="10"/>
  <c r="L314" i="10" s="1"/>
  <c r="E314" i="10"/>
  <c r="D314" i="10"/>
  <c r="C314" i="10"/>
  <c r="B314" i="10"/>
  <c r="K313" i="10"/>
  <c r="L313" i="10" s="1"/>
  <c r="E313" i="10"/>
  <c r="D313" i="10"/>
  <c r="C313" i="10"/>
  <c r="B313" i="10"/>
  <c r="K312" i="10"/>
  <c r="E312" i="10"/>
  <c r="D312" i="10"/>
  <c r="C312" i="10"/>
  <c r="B312" i="10"/>
  <c r="K311" i="10"/>
  <c r="L311" i="10" s="1"/>
  <c r="E311" i="10"/>
  <c r="D311" i="10"/>
  <c r="C311" i="10"/>
  <c r="B311" i="10"/>
  <c r="K310" i="10"/>
  <c r="L310" i="10" s="1"/>
  <c r="E310" i="10"/>
  <c r="D310" i="10"/>
  <c r="C310" i="10"/>
  <c r="B310" i="10"/>
  <c r="K309" i="10"/>
  <c r="L309" i="10" s="1"/>
  <c r="E309" i="10"/>
  <c r="D309" i="10"/>
  <c r="C309" i="10"/>
  <c r="B309" i="10"/>
  <c r="K308" i="10"/>
  <c r="E308" i="10"/>
  <c r="D308" i="10"/>
  <c r="C308" i="10"/>
  <c r="B308" i="10"/>
  <c r="K307" i="10"/>
  <c r="E307" i="10"/>
  <c r="D307" i="10"/>
  <c r="C307" i="10"/>
  <c r="B307" i="10"/>
  <c r="K306" i="10"/>
  <c r="E306" i="10"/>
  <c r="D306" i="10"/>
  <c r="C306" i="10"/>
  <c r="B306" i="10"/>
  <c r="K305" i="10"/>
  <c r="L305" i="10" s="1"/>
  <c r="E305" i="10"/>
  <c r="D305" i="10"/>
  <c r="C305" i="10"/>
  <c r="B305" i="10"/>
  <c r="L304" i="10"/>
  <c r="E304" i="10"/>
  <c r="D304" i="10"/>
  <c r="C304" i="10"/>
  <c r="B304" i="10"/>
  <c r="K303" i="10"/>
  <c r="L303" i="10" s="1"/>
  <c r="E303" i="10"/>
  <c r="D303" i="10"/>
  <c r="C303" i="10"/>
  <c r="B303" i="10"/>
  <c r="K302" i="10"/>
  <c r="L302" i="10" s="1"/>
  <c r="E302" i="10"/>
  <c r="D302" i="10"/>
  <c r="C302" i="10"/>
  <c r="B302" i="10"/>
  <c r="K301" i="10"/>
  <c r="E301" i="10"/>
  <c r="D301" i="10"/>
  <c r="C301" i="10"/>
  <c r="B301" i="10"/>
  <c r="K300" i="10"/>
  <c r="L300" i="10" s="1"/>
  <c r="E300" i="10"/>
  <c r="D300" i="10"/>
  <c r="C300" i="10"/>
  <c r="B300" i="10"/>
  <c r="L299" i="10"/>
  <c r="E299" i="10"/>
  <c r="D299" i="10"/>
  <c r="C299" i="10"/>
  <c r="B299" i="10"/>
  <c r="L298" i="10"/>
  <c r="E298" i="10"/>
  <c r="D298" i="10"/>
  <c r="C298" i="10"/>
  <c r="B298" i="10"/>
  <c r="L297" i="10"/>
  <c r="E297" i="10"/>
  <c r="D297" i="10"/>
  <c r="C297" i="10"/>
  <c r="B297" i="10"/>
  <c r="K296" i="10"/>
  <c r="E296" i="10"/>
  <c r="D296" i="10"/>
  <c r="C296" i="10"/>
  <c r="B296" i="10"/>
  <c r="L295" i="10"/>
  <c r="E295" i="10"/>
  <c r="D295" i="10"/>
  <c r="C295" i="10"/>
  <c r="B295" i="10"/>
  <c r="L294" i="10"/>
  <c r="E294" i="10"/>
  <c r="D294" i="10"/>
  <c r="C294" i="10"/>
  <c r="B294" i="10"/>
  <c r="K293" i="10"/>
  <c r="L293" i="10" s="1"/>
  <c r="E293" i="10"/>
  <c r="D293" i="10"/>
  <c r="C293" i="10"/>
  <c r="B293" i="10"/>
  <c r="K292" i="10"/>
  <c r="L292" i="10" s="1"/>
  <c r="E292" i="10"/>
  <c r="D292" i="10"/>
  <c r="C292" i="10"/>
  <c r="B292" i="10"/>
  <c r="E291" i="10"/>
  <c r="D291" i="10"/>
  <c r="C291" i="10"/>
  <c r="B291" i="10"/>
  <c r="E290" i="10"/>
  <c r="D290" i="10"/>
  <c r="C290" i="10"/>
  <c r="B290" i="10"/>
  <c r="K289" i="10"/>
  <c r="E289" i="10"/>
  <c r="D289" i="10"/>
  <c r="C289" i="10"/>
  <c r="B289" i="10"/>
  <c r="E288" i="10"/>
  <c r="D288" i="10"/>
  <c r="C288" i="10"/>
  <c r="B288" i="10"/>
  <c r="E287" i="10"/>
  <c r="D287" i="10"/>
  <c r="C287" i="10"/>
  <c r="B287" i="10"/>
  <c r="E286" i="10"/>
  <c r="D286" i="10"/>
  <c r="C286" i="10"/>
  <c r="B286" i="10"/>
  <c r="K285" i="10"/>
  <c r="E285" i="10"/>
  <c r="D285" i="10"/>
  <c r="C285" i="10"/>
  <c r="B285" i="10"/>
  <c r="E284" i="10"/>
  <c r="D284" i="10"/>
  <c r="C284" i="10"/>
  <c r="B284" i="10"/>
  <c r="K283" i="10"/>
  <c r="E283" i="10"/>
  <c r="D283" i="10"/>
  <c r="C283" i="10"/>
  <c r="B283" i="10"/>
  <c r="J280" i="10"/>
  <c r="E278" i="10"/>
  <c r="D278" i="10"/>
  <c r="C278" i="10"/>
  <c r="B278" i="10"/>
  <c r="K277" i="10"/>
  <c r="E277" i="10"/>
  <c r="D277" i="10"/>
  <c r="C277" i="10"/>
  <c r="B277" i="10"/>
  <c r="K276" i="10"/>
  <c r="E276" i="10"/>
  <c r="D276" i="10"/>
  <c r="C276" i="10"/>
  <c r="B276" i="10"/>
  <c r="K275" i="10"/>
  <c r="E275" i="10"/>
  <c r="D275" i="10"/>
  <c r="C275" i="10"/>
  <c r="B275" i="10"/>
  <c r="K274" i="10"/>
  <c r="E274" i="10"/>
  <c r="D274" i="10"/>
  <c r="C274" i="10"/>
  <c r="B274" i="10"/>
  <c r="E273" i="10"/>
  <c r="D273" i="10"/>
  <c r="C273" i="10"/>
  <c r="B273" i="10"/>
  <c r="J270" i="10"/>
  <c r="L268" i="10"/>
  <c r="E268" i="10"/>
  <c r="D268" i="10"/>
  <c r="C268" i="10"/>
  <c r="B268" i="10"/>
  <c r="L267" i="10"/>
  <c r="L266" i="10"/>
  <c r="K265" i="10"/>
  <c r="L265" i="10" s="1"/>
  <c r="E265" i="10"/>
  <c r="D265" i="10"/>
  <c r="C265" i="10"/>
  <c r="B265" i="10"/>
  <c r="K264" i="10"/>
  <c r="E264" i="10"/>
  <c r="D264" i="10"/>
  <c r="C264" i="10"/>
  <c r="B264" i="10"/>
  <c r="K263" i="10"/>
  <c r="E263" i="10"/>
  <c r="D263" i="10"/>
  <c r="C263" i="10"/>
  <c r="B263" i="10"/>
  <c r="K262" i="10"/>
  <c r="L262" i="10" s="1"/>
  <c r="E262" i="10"/>
  <c r="D262" i="10"/>
  <c r="C262" i="10"/>
  <c r="B262" i="10"/>
  <c r="K261" i="10"/>
  <c r="L261" i="10" s="1"/>
  <c r="E261" i="10"/>
  <c r="D261" i="10"/>
  <c r="C261" i="10"/>
  <c r="B261" i="10"/>
  <c r="K260" i="10"/>
  <c r="E260" i="10"/>
  <c r="D260" i="10"/>
  <c r="C260" i="10"/>
  <c r="B260" i="10"/>
  <c r="K259" i="10"/>
  <c r="L259" i="10" s="1"/>
  <c r="E259" i="10"/>
  <c r="D259" i="10"/>
  <c r="C259" i="10"/>
  <c r="B259" i="10"/>
  <c r="K258" i="10"/>
  <c r="L258" i="10" s="1"/>
  <c r="E258" i="10"/>
  <c r="D258" i="10"/>
  <c r="C258" i="10"/>
  <c r="B258" i="10"/>
  <c r="K257" i="10"/>
  <c r="L257" i="10" s="1"/>
  <c r="E257" i="10"/>
  <c r="D257" i="10"/>
  <c r="C257" i="10"/>
  <c r="B257" i="10"/>
  <c r="K256" i="10"/>
  <c r="L256" i="10" s="1"/>
  <c r="E256" i="10"/>
  <c r="D256" i="10"/>
  <c r="C256" i="10"/>
  <c r="B256" i="10"/>
  <c r="K255" i="10"/>
  <c r="L255" i="10" s="1"/>
  <c r="E255" i="10"/>
  <c r="D255" i="10"/>
  <c r="C255" i="10"/>
  <c r="B255" i="10"/>
  <c r="K254" i="10"/>
  <c r="L254" i="10" s="1"/>
  <c r="E254" i="10"/>
  <c r="D254" i="10"/>
  <c r="C254" i="10"/>
  <c r="B254" i="10"/>
  <c r="K253" i="10"/>
  <c r="L253" i="10" s="1"/>
  <c r="E253" i="10"/>
  <c r="D253" i="10"/>
  <c r="C253" i="10"/>
  <c r="B253" i="10"/>
  <c r="K252" i="10"/>
  <c r="L252" i="10" s="1"/>
  <c r="E252" i="10"/>
  <c r="D252" i="10"/>
  <c r="C252" i="10"/>
  <c r="B252" i="10"/>
  <c r="K251" i="10"/>
  <c r="E251" i="10"/>
  <c r="D251" i="10"/>
  <c r="C251" i="10"/>
  <c r="B251" i="10"/>
  <c r="K250" i="10"/>
  <c r="E250" i="10"/>
  <c r="D250" i="10"/>
  <c r="C250" i="10"/>
  <c r="B250" i="10"/>
  <c r="K249" i="10"/>
  <c r="E249" i="10"/>
  <c r="D249" i="10"/>
  <c r="C249" i="10"/>
  <c r="B249" i="10"/>
  <c r="K248" i="10"/>
  <c r="L248" i="10" s="1"/>
  <c r="E248" i="10"/>
  <c r="D248" i="10"/>
  <c r="C248" i="10"/>
  <c r="B248" i="10"/>
  <c r="L247" i="10"/>
  <c r="E247" i="10"/>
  <c r="D247" i="10"/>
  <c r="C247" i="10"/>
  <c r="B247" i="10"/>
  <c r="K246" i="10"/>
  <c r="L246" i="10" s="1"/>
  <c r="E246" i="10"/>
  <c r="D246" i="10"/>
  <c r="C246" i="10"/>
  <c r="B246" i="10"/>
  <c r="K245" i="10"/>
  <c r="E245" i="10"/>
  <c r="D245" i="10"/>
  <c r="C245" i="10"/>
  <c r="B245" i="10"/>
  <c r="K244" i="10"/>
  <c r="L244" i="10" s="1"/>
  <c r="E244" i="10"/>
  <c r="D244" i="10"/>
  <c r="C244" i="10"/>
  <c r="B244" i="10"/>
  <c r="L243" i="10"/>
  <c r="E243" i="10"/>
  <c r="D243" i="10"/>
  <c r="C243" i="10"/>
  <c r="B243" i="10"/>
  <c r="L242" i="10"/>
  <c r="E242" i="10"/>
  <c r="D242" i="10"/>
  <c r="C242" i="10"/>
  <c r="B242" i="10"/>
  <c r="K241" i="10"/>
  <c r="E241" i="10"/>
  <c r="D241" i="10"/>
  <c r="C241" i="10"/>
  <c r="B241" i="10"/>
  <c r="L240" i="10"/>
  <c r="E240" i="10"/>
  <c r="D240" i="10"/>
  <c r="C240" i="10"/>
  <c r="B240" i="10"/>
  <c r="L239" i="10"/>
  <c r="E239" i="10"/>
  <c r="D239" i="10"/>
  <c r="C239" i="10"/>
  <c r="B239" i="10"/>
  <c r="K238" i="10"/>
  <c r="E238" i="10"/>
  <c r="D238" i="10"/>
  <c r="C238" i="10"/>
  <c r="B238" i="10"/>
  <c r="K237" i="10"/>
  <c r="E237" i="10"/>
  <c r="D237" i="10"/>
  <c r="C237" i="10"/>
  <c r="B237" i="10"/>
  <c r="K236" i="10"/>
  <c r="E236" i="10"/>
  <c r="D236" i="10"/>
  <c r="C236" i="10"/>
  <c r="B236" i="10"/>
  <c r="K235" i="10"/>
  <c r="E235" i="10"/>
  <c r="D235" i="10"/>
  <c r="C235" i="10"/>
  <c r="B235" i="10"/>
  <c r="K234" i="10"/>
  <c r="E234" i="10"/>
  <c r="D234" i="10"/>
  <c r="C234" i="10"/>
  <c r="B234" i="10"/>
  <c r="L233" i="10"/>
  <c r="E233" i="10"/>
  <c r="D233" i="10"/>
  <c r="C233" i="10"/>
  <c r="B233" i="10"/>
  <c r="L232" i="10"/>
  <c r="E232" i="10"/>
  <c r="D232" i="10"/>
  <c r="C232" i="10"/>
  <c r="B232" i="10"/>
  <c r="L231" i="10"/>
  <c r="E231" i="10"/>
  <c r="D231" i="10"/>
  <c r="C231" i="10"/>
  <c r="B231" i="10"/>
  <c r="L230" i="10"/>
  <c r="E230" i="10"/>
  <c r="D230" i="10"/>
  <c r="C230" i="10"/>
  <c r="B230" i="10"/>
  <c r="K229" i="10"/>
  <c r="E229" i="10"/>
  <c r="D229" i="10"/>
  <c r="C229" i="10"/>
  <c r="B229" i="10"/>
  <c r="K228" i="10"/>
  <c r="E228" i="10"/>
  <c r="D228" i="10"/>
  <c r="C228" i="10"/>
  <c r="B228" i="10"/>
  <c r="K227" i="10"/>
  <c r="E227" i="10"/>
  <c r="D227" i="10"/>
  <c r="C227" i="10"/>
  <c r="B227" i="10"/>
  <c r="K226" i="10"/>
  <c r="E226" i="10"/>
  <c r="D226" i="10"/>
  <c r="C226" i="10"/>
  <c r="B226" i="10"/>
  <c r="K225" i="10"/>
  <c r="E225" i="10"/>
  <c r="D225" i="10"/>
  <c r="C225" i="10"/>
  <c r="B225" i="10"/>
  <c r="E224" i="10"/>
  <c r="D224" i="10"/>
  <c r="C224" i="10"/>
  <c r="B224" i="10"/>
  <c r="K223" i="10"/>
  <c r="L223" i="10" s="1"/>
  <c r="L220" i="10" s="1"/>
  <c r="E223" i="10"/>
  <c r="D223" i="10"/>
  <c r="C223" i="10"/>
  <c r="B223" i="10"/>
  <c r="K222" i="10"/>
  <c r="E222" i="10"/>
  <c r="D222" i="10"/>
  <c r="C222" i="10"/>
  <c r="B222" i="10"/>
  <c r="J219" i="10"/>
  <c r="K217" i="10"/>
  <c r="L217" i="10" s="1"/>
  <c r="E217" i="10"/>
  <c r="D217" i="10"/>
  <c r="C217" i="10"/>
  <c r="B217" i="10"/>
  <c r="L216" i="10"/>
  <c r="E216" i="10"/>
  <c r="D216" i="10"/>
  <c r="C216" i="10"/>
  <c r="B216" i="10"/>
  <c r="L215" i="10"/>
  <c r="E215" i="10"/>
  <c r="D215" i="10"/>
  <c r="B215" i="10"/>
  <c r="K214" i="10"/>
  <c r="L214" i="10" s="1"/>
  <c r="E214" i="10"/>
  <c r="D214" i="10"/>
  <c r="C214" i="10"/>
  <c r="B214" i="10"/>
  <c r="K213" i="10"/>
  <c r="L213" i="10" s="1"/>
  <c r="E213" i="10"/>
  <c r="D213" i="10"/>
  <c r="B213" i="10"/>
  <c r="L212" i="10"/>
  <c r="E212" i="10"/>
  <c r="D212" i="10"/>
  <c r="C212" i="10"/>
  <c r="B212" i="10"/>
  <c r="K211" i="10"/>
  <c r="L211" i="10" s="1"/>
  <c r="E211" i="10"/>
  <c r="D211" i="10"/>
  <c r="C211" i="10"/>
  <c r="B211" i="10"/>
  <c r="K210" i="10"/>
  <c r="E210" i="10"/>
  <c r="D210" i="10"/>
  <c r="C210" i="10"/>
  <c r="B210" i="10"/>
  <c r="L209" i="10"/>
  <c r="E209" i="10"/>
  <c r="D209" i="10"/>
  <c r="C209" i="10"/>
  <c r="B209" i="10"/>
  <c r="K208" i="10"/>
  <c r="L208" i="10" s="1"/>
  <c r="E208" i="10"/>
  <c r="D208" i="10"/>
  <c r="C208" i="10"/>
  <c r="B208" i="10"/>
  <c r="K207" i="10"/>
  <c r="L207" i="10" s="1"/>
  <c r="E207" i="10"/>
  <c r="D207" i="10"/>
  <c r="C207" i="10"/>
  <c r="B207" i="10"/>
  <c r="K206" i="10"/>
  <c r="L206" i="10" s="1"/>
  <c r="E206" i="10"/>
  <c r="D206" i="10"/>
  <c r="C206" i="10"/>
  <c r="B206" i="10"/>
  <c r="L205" i="10"/>
  <c r="E205" i="10"/>
  <c r="D205" i="10"/>
  <c r="C205" i="10"/>
  <c r="B205" i="10"/>
  <c r="L204" i="10"/>
  <c r="E204" i="10"/>
  <c r="D204" i="10"/>
  <c r="C204" i="10"/>
  <c r="B204" i="10"/>
  <c r="K203" i="10"/>
  <c r="L203" i="10" s="1"/>
  <c r="E203" i="10"/>
  <c r="D203" i="10"/>
  <c r="C203" i="10"/>
  <c r="B203" i="10"/>
  <c r="L202" i="10"/>
  <c r="E202" i="10"/>
  <c r="D202" i="10"/>
  <c r="C202" i="10"/>
  <c r="B202" i="10"/>
  <c r="K201" i="10"/>
  <c r="L201" i="10" s="1"/>
  <c r="E201" i="10"/>
  <c r="D201" i="10"/>
  <c r="C201" i="10"/>
  <c r="B201" i="10"/>
  <c r="L200" i="10"/>
  <c r="E200" i="10"/>
  <c r="D200" i="10"/>
  <c r="C200" i="10"/>
  <c r="B200" i="10"/>
  <c r="L199" i="10"/>
  <c r="E199" i="10"/>
  <c r="D199" i="10"/>
  <c r="C199" i="10"/>
  <c r="B199" i="10"/>
  <c r="L198" i="10"/>
  <c r="E198" i="10"/>
  <c r="D198" i="10"/>
  <c r="C198" i="10"/>
  <c r="B198" i="10"/>
  <c r="L197" i="10"/>
  <c r="E197" i="10"/>
  <c r="D197" i="10"/>
  <c r="C197" i="10"/>
  <c r="B197" i="10"/>
  <c r="L196" i="10"/>
  <c r="E196" i="10"/>
  <c r="D196" i="10"/>
  <c r="C196" i="10"/>
  <c r="B196" i="10"/>
  <c r="L195" i="10"/>
  <c r="E195" i="10"/>
  <c r="D195" i="10"/>
  <c r="C195" i="10"/>
  <c r="B195" i="10"/>
  <c r="L194" i="10"/>
  <c r="E194" i="10"/>
  <c r="D194" i="10"/>
  <c r="C194" i="10"/>
  <c r="B194" i="10"/>
  <c r="K193" i="10"/>
  <c r="L193" i="10" s="1"/>
  <c r="E193" i="10"/>
  <c r="D193" i="10"/>
  <c r="C193" i="10"/>
  <c r="B193" i="10"/>
  <c r="K192" i="10"/>
  <c r="L192" i="10" s="1"/>
  <c r="E192" i="10"/>
  <c r="D192" i="10"/>
  <c r="C192" i="10"/>
  <c r="B192" i="10"/>
  <c r="L191" i="10"/>
  <c r="E191" i="10"/>
  <c r="D191" i="10"/>
  <c r="C191" i="10"/>
  <c r="B191" i="10"/>
  <c r="L190" i="10"/>
  <c r="E190" i="10"/>
  <c r="D190" i="10"/>
  <c r="C190" i="10"/>
  <c r="B190" i="10"/>
  <c r="L189" i="10"/>
  <c r="E189" i="10"/>
  <c r="D189" i="10"/>
  <c r="C189" i="10"/>
  <c r="B189" i="10"/>
  <c r="K188" i="10"/>
  <c r="L188" i="10" s="1"/>
  <c r="E188" i="10"/>
  <c r="D188" i="10"/>
  <c r="C188" i="10"/>
  <c r="B188" i="10"/>
  <c r="K187" i="10"/>
  <c r="L187" i="10" s="1"/>
  <c r="E187" i="10"/>
  <c r="D187" i="10"/>
  <c r="C187" i="10"/>
  <c r="B187" i="10"/>
  <c r="K186" i="10"/>
  <c r="L186" i="10" s="1"/>
  <c r="E186" i="10"/>
  <c r="D186" i="10"/>
  <c r="C186" i="10"/>
  <c r="B186" i="10"/>
  <c r="L185" i="10"/>
  <c r="E185" i="10"/>
  <c r="D185" i="10"/>
  <c r="C185" i="10"/>
  <c r="B185" i="10"/>
  <c r="L184" i="10"/>
  <c r="E184" i="10"/>
  <c r="D184" i="10"/>
  <c r="C184" i="10"/>
  <c r="B184" i="10"/>
  <c r="K183" i="10"/>
  <c r="L183" i="10" s="1"/>
  <c r="E183" i="10"/>
  <c r="D183" i="10"/>
  <c r="C183" i="10"/>
  <c r="B183" i="10"/>
  <c r="E182" i="10"/>
  <c r="D182" i="10"/>
  <c r="C182" i="10"/>
  <c r="B182" i="10"/>
  <c r="K181" i="10"/>
  <c r="L181" i="10" s="1"/>
  <c r="E181" i="10"/>
  <c r="D181" i="10"/>
  <c r="C181" i="10"/>
  <c r="B181" i="10"/>
  <c r="L180" i="10"/>
  <c r="E180" i="10"/>
  <c r="D180" i="10"/>
  <c r="C180" i="10"/>
  <c r="B180" i="10"/>
  <c r="K179" i="10"/>
  <c r="L179" i="10" s="1"/>
  <c r="E179" i="10"/>
  <c r="D179" i="10"/>
  <c r="C179" i="10"/>
  <c r="B179" i="10"/>
  <c r="L178" i="10"/>
  <c r="E178" i="10"/>
  <c r="D178" i="10"/>
  <c r="C178" i="10"/>
  <c r="B178" i="10"/>
  <c r="K177" i="10"/>
  <c r="L177" i="10" s="1"/>
  <c r="E177" i="10"/>
  <c r="D177" i="10"/>
  <c r="C177" i="10"/>
  <c r="B177" i="10"/>
  <c r="J174" i="10"/>
  <c r="L172" i="10"/>
  <c r="E172" i="10"/>
  <c r="D172" i="10"/>
  <c r="C172" i="10"/>
  <c r="B172" i="10"/>
  <c r="L171" i="10"/>
  <c r="L170" i="10"/>
  <c r="E170" i="10"/>
  <c r="D170" i="10"/>
  <c r="C170" i="10"/>
  <c r="B170" i="10"/>
  <c r="E169" i="10"/>
  <c r="D169" i="10"/>
  <c r="C169" i="10"/>
  <c r="B169" i="10"/>
  <c r="K168" i="10"/>
  <c r="L168" i="10" s="1"/>
  <c r="E168" i="10"/>
  <c r="D168" i="10"/>
  <c r="B168" i="10"/>
  <c r="K167" i="10"/>
  <c r="L167" i="10" s="1"/>
  <c r="E167" i="10"/>
  <c r="D167" i="10"/>
  <c r="C167" i="10"/>
  <c r="B167" i="10"/>
  <c r="L166" i="10"/>
  <c r="E166" i="10"/>
  <c r="D166" i="10"/>
  <c r="C166" i="10"/>
  <c r="B166" i="10"/>
  <c r="K165" i="10"/>
  <c r="L165" i="10" s="1"/>
  <c r="E165" i="10"/>
  <c r="D165" i="10"/>
  <c r="C165" i="10"/>
  <c r="B165" i="10"/>
  <c r="K164" i="10"/>
  <c r="L164" i="10" s="1"/>
  <c r="E164" i="10"/>
  <c r="D164" i="10"/>
  <c r="C164" i="10"/>
  <c r="B164" i="10"/>
  <c r="L163" i="10"/>
  <c r="E163" i="10"/>
  <c r="D163" i="10"/>
  <c r="C163" i="10"/>
  <c r="B163" i="10"/>
  <c r="L162" i="10"/>
  <c r="E162" i="10"/>
  <c r="D162" i="10"/>
  <c r="C162" i="10"/>
  <c r="B162" i="10"/>
  <c r="K161" i="10"/>
  <c r="L161" i="10" s="1"/>
  <c r="E161" i="10"/>
  <c r="D161" i="10"/>
  <c r="C161" i="10"/>
  <c r="B161" i="10"/>
  <c r="K160" i="10"/>
  <c r="L160" i="10" s="1"/>
  <c r="E160" i="10"/>
  <c r="D160" i="10"/>
  <c r="C160" i="10"/>
  <c r="B160" i="10"/>
  <c r="L159" i="10"/>
  <c r="E159" i="10"/>
  <c r="D159" i="10"/>
  <c r="C159" i="10"/>
  <c r="B159" i="10"/>
  <c r="K158" i="10"/>
  <c r="L158" i="10" s="1"/>
  <c r="E158" i="10"/>
  <c r="D158" i="10"/>
  <c r="C158" i="10"/>
  <c r="B158" i="10"/>
  <c r="K157" i="10"/>
  <c r="L157" i="10" s="1"/>
  <c r="E157" i="10"/>
  <c r="D157" i="10"/>
  <c r="C157" i="10"/>
  <c r="B157" i="10"/>
  <c r="K156" i="10"/>
  <c r="L156" i="10" s="1"/>
  <c r="E156" i="10"/>
  <c r="D156" i="10"/>
  <c r="C156" i="10"/>
  <c r="B156" i="10"/>
  <c r="K155" i="10"/>
  <c r="L155" i="10" s="1"/>
  <c r="E155" i="10"/>
  <c r="D155" i="10"/>
  <c r="C155" i="10"/>
  <c r="B155" i="10"/>
  <c r="K154" i="10"/>
  <c r="L154" i="10" s="1"/>
  <c r="E154" i="10"/>
  <c r="D154" i="10"/>
  <c r="C154" i="10"/>
  <c r="B154" i="10"/>
  <c r="K153" i="10"/>
  <c r="L153" i="10" s="1"/>
  <c r="E153" i="10"/>
  <c r="D153" i="10"/>
  <c r="C153" i="10"/>
  <c r="B153" i="10"/>
  <c r="L152" i="10"/>
  <c r="E152" i="10"/>
  <c r="D152" i="10"/>
  <c r="C152" i="10"/>
  <c r="B152" i="10"/>
  <c r="L151" i="10"/>
  <c r="E151" i="10"/>
  <c r="D151" i="10"/>
  <c r="C151" i="10"/>
  <c r="B151" i="10"/>
  <c r="K150" i="10"/>
  <c r="L150" i="10" s="1"/>
  <c r="E150" i="10"/>
  <c r="D150" i="10"/>
  <c r="C150" i="10"/>
  <c r="B150" i="10"/>
  <c r="K149" i="10"/>
  <c r="L149" i="10" s="1"/>
  <c r="E149" i="10"/>
  <c r="D149" i="10"/>
  <c r="C149" i="10"/>
  <c r="B149" i="10"/>
  <c r="L148" i="10"/>
  <c r="E148" i="10"/>
  <c r="D148" i="10"/>
  <c r="C148" i="10"/>
  <c r="B148" i="10"/>
  <c r="K147" i="10"/>
  <c r="L147" i="10" s="1"/>
  <c r="E147" i="10"/>
  <c r="D147" i="10"/>
  <c r="C147" i="10"/>
  <c r="B147" i="10"/>
  <c r="K146" i="10"/>
  <c r="L146" i="10" s="1"/>
  <c r="E146" i="10"/>
  <c r="D146" i="10"/>
  <c r="C146" i="10"/>
  <c r="B146" i="10"/>
  <c r="K145" i="10"/>
  <c r="L145" i="10" s="1"/>
  <c r="E145" i="10"/>
  <c r="D145" i="10"/>
  <c r="C145" i="10"/>
  <c r="B145" i="10"/>
  <c r="E144" i="10"/>
  <c r="D144" i="10"/>
  <c r="C144" i="10"/>
  <c r="B144" i="10"/>
  <c r="E143" i="10"/>
  <c r="D143" i="10"/>
  <c r="C143" i="10"/>
  <c r="B143" i="10"/>
  <c r="K142" i="10"/>
  <c r="L142" i="10" s="1"/>
  <c r="E142" i="10"/>
  <c r="D142" i="10"/>
  <c r="C142" i="10"/>
  <c r="B142" i="10"/>
  <c r="L141" i="10"/>
  <c r="E141" i="10"/>
  <c r="D141" i="10"/>
  <c r="C141" i="10"/>
  <c r="B141" i="10"/>
  <c r="L140" i="10"/>
  <c r="E140" i="10"/>
  <c r="D140" i="10"/>
  <c r="C140" i="10"/>
  <c r="B140" i="10"/>
  <c r="L139" i="10"/>
  <c r="E139" i="10"/>
  <c r="D139" i="10"/>
  <c r="C139" i="10"/>
  <c r="B139" i="10"/>
  <c r="L138" i="10"/>
  <c r="E138" i="10"/>
  <c r="D138" i="10"/>
  <c r="C138" i="10"/>
  <c r="B138" i="10"/>
  <c r="L137" i="10"/>
  <c r="E137" i="10"/>
  <c r="D137" i="10"/>
  <c r="C137" i="10"/>
  <c r="B137" i="10"/>
  <c r="L136" i="10"/>
  <c r="E136" i="10"/>
  <c r="D136" i="10"/>
  <c r="C136" i="10"/>
  <c r="B136" i="10"/>
  <c r="L135" i="10"/>
  <c r="E135" i="10"/>
  <c r="D135" i="10"/>
  <c r="C135" i="10"/>
  <c r="B135" i="10"/>
  <c r="K134" i="10"/>
  <c r="L134" i="10" s="1"/>
  <c r="E134" i="10"/>
  <c r="D134" i="10"/>
  <c r="C134" i="10"/>
  <c r="B134" i="10"/>
  <c r="L133" i="10"/>
  <c r="E133" i="10"/>
  <c r="D133" i="10"/>
  <c r="C133" i="10"/>
  <c r="B133" i="10"/>
  <c r="E132" i="10"/>
  <c r="D132" i="10"/>
  <c r="C132" i="10"/>
  <c r="B132" i="10"/>
  <c r="E131" i="10"/>
  <c r="D131" i="10"/>
  <c r="C131" i="10"/>
  <c r="B131" i="10"/>
  <c r="L130" i="10"/>
  <c r="E130" i="10"/>
  <c r="D130" i="10"/>
  <c r="C130" i="10"/>
  <c r="B130" i="10"/>
  <c r="L129" i="10"/>
  <c r="E129" i="10"/>
  <c r="D129" i="10"/>
  <c r="C129" i="10"/>
  <c r="B129" i="10"/>
  <c r="K128" i="10"/>
  <c r="L128" i="10" s="1"/>
  <c r="E128" i="10"/>
  <c r="D128" i="10"/>
  <c r="C128" i="10"/>
  <c r="B128" i="10"/>
  <c r="E127" i="10"/>
  <c r="D127" i="10"/>
  <c r="C127" i="10"/>
  <c r="B127" i="10"/>
  <c r="E126" i="10"/>
  <c r="D126" i="10"/>
  <c r="C126" i="10"/>
  <c r="B126" i="10"/>
  <c r="E125" i="10"/>
  <c r="D125" i="10"/>
  <c r="C125" i="10"/>
  <c r="B125" i="10"/>
  <c r="E124" i="10"/>
  <c r="D124" i="10"/>
  <c r="C124" i="10"/>
  <c r="B124" i="10"/>
  <c r="L123" i="10"/>
  <c r="E123" i="10"/>
  <c r="D123" i="10"/>
  <c r="C123" i="10"/>
  <c r="B123" i="10"/>
  <c r="L122" i="10"/>
  <c r="E122" i="10"/>
  <c r="D122" i="10"/>
  <c r="C122" i="10"/>
  <c r="B122" i="10"/>
  <c r="L121" i="10"/>
  <c r="E121" i="10"/>
  <c r="D121" i="10"/>
  <c r="C121" i="10"/>
  <c r="B121" i="10"/>
  <c r="L120" i="10"/>
  <c r="E120" i="10"/>
  <c r="D120" i="10"/>
  <c r="C120" i="10"/>
  <c r="B120" i="10"/>
  <c r="H118" i="10"/>
  <c r="H58" i="10" s="1"/>
  <c r="H6" i="10" s="1"/>
  <c r="J117" i="10"/>
  <c r="K115" i="10"/>
  <c r="L115" i="10" s="1"/>
  <c r="E115" i="10"/>
  <c r="D115" i="10"/>
  <c r="C115" i="10"/>
  <c r="B115" i="10"/>
  <c r="E114" i="10"/>
  <c r="D114" i="10"/>
  <c r="C114" i="10"/>
  <c r="B114" i="10"/>
  <c r="L113" i="10"/>
  <c r="E113" i="10"/>
  <c r="D113" i="10"/>
  <c r="C113" i="10"/>
  <c r="B113" i="10"/>
  <c r="L112" i="10"/>
  <c r="E112" i="10"/>
  <c r="D112" i="10"/>
  <c r="C112" i="10"/>
  <c r="B112" i="10"/>
  <c r="L111" i="10"/>
  <c r="E111" i="10"/>
  <c r="D111" i="10"/>
  <c r="C111" i="10"/>
  <c r="B111" i="10"/>
  <c r="L110" i="10"/>
  <c r="E110" i="10"/>
  <c r="D110" i="10"/>
  <c r="C110" i="10"/>
  <c r="B110" i="10"/>
  <c r="K109" i="10"/>
  <c r="L109" i="10" s="1"/>
  <c r="E109" i="10"/>
  <c r="D109" i="10"/>
  <c r="C109" i="10"/>
  <c r="B109" i="10"/>
  <c r="L108" i="10"/>
  <c r="E108" i="10"/>
  <c r="D108" i="10"/>
  <c r="C108" i="10"/>
  <c r="B108" i="10"/>
  <c r="L107" i="10"/>
  <c r="E107" i="10"/>
  <c r="D107" i="10"/>
  <c r="C107" i="10"/>
  <c r="B107" i="10"/>
  <c r="K106" i="10"/>
  <c r="L106" i="10" s="1"/>
  <c r="E106" i="10"/>
  <c r="D106" i="10"/>
  <c r="C106" i="10"/>
  <c r="B106" i="10"/>
  <c r="K105" i="10"/>
  <c r="L105" i="10" s="1"/>
  <c r="E105" i="10"/>
  <c r="D105" i="10"/>
  <c r="C105" i="10"/>
  <c r="B105" i="10"/>
  <c r="K104" i="10"/>
  <c r="L104" i="10" s="1"/>
  <c r="E104" i="10"/>
  <c r="D104" i="10"/>
  <c r="C104" i="10"/>
  <c r="B104" i="10"/>
  <c r="K103" i="10"/>
  <c r="L103" i="10" s="1"/>
  <c r="E103" i="10"/>
  <c r="D103" i="10"/>
  <c r="C103" i="10"/>
  <c r="B103" i="10"/>
  <c r="E102" i="10"/>
  <c r="D102" i="10"/>
  <c r="C102" i="10"/>
  <c r="B102" i="10"/>
  <c r="L101" i="10"/>
  <c r="E101" i="10"/>
  <c r="D101" i="10"/>
  <c r="C101" i="10"/>
  <c r="B101" i="10"/>
  <c r="L100" i="10"/>
  <c r="E100" i="10"/>
  <c r="D100" i="10"/>
  <c r="C100" i="10"/>
  <c r="B100" i="10"/>
  <c r="L99" i="10"/>
  <c r="E99" i="10"/>
  <c r="D99" i="10"/>
  <c r="C99" i="10"/>
  <c r="B99" i="10"/>
  <c r="K98" i="10"/>
  <c r="L98" i="10" s="1"/>
  <c r="E98" i="10"/>
  <c r="D98" i="10"/>
  <c r="C98" i="10"/>
  <c r="B98" i="10"/>
  <c r="L97" i="10"/>
  <c r="E97" i="10"/>
  <c r="D97" i="10"/>
  <c r="C97" i="10"/>
  <c r="B97" i="10"/>
  <c r="K96" i="10"/>
  <c r="L96" i="10" s="1"/>
  <c r="E96" i="10"/>
  <c r="D96" i="10"/>
  <c r="C96" i="10"/>
  <c r="B96" i="10"/>
  <c r="K95" i="10"/>
  <c r="L95" i="10" s="1"/>
  <c r="E95" i="10"/>
  <c r="D95" i="10"/>
  <c r="C95" i="10"/>
  <c r="B95" i="10"/>
  <c r="K94" i="10"/>
  <c r="L94" i="10" s="1"/>
  <c r="E94" i="10"/>
  <c r="D94" i="10"/>
  <c r="C94" i="10"/>
  <c r="B94" i="10"/>
  <c r="K93" i="10"/>
  <c r="L93" i="10" s="1"/>
  <c r="E93" i="10"/>
  <c r="D93" i="10"/>
  <c r="C93" i="10"/>
  <c r="B93" i="10"/>
  <c r="K92" i="10"/>
  <c r="L92" i="10" s="1"/>
  <c r="E92" i="10"/>
  <c r="D92" i="10"/>
  <c r="C92" i="10"/>
  <c r="B92" i="10"/>
  <c r="L91" i="10"/>
  <c r="E91" i="10"/>
  <c r="D91" i="10"/>
  <c r="C91" i="10"/>
  <c r="B91" i="10"/>
  <c r="L90" i="10"/>
  <c r="E90" i="10"/>
  <c r="D90" i="10"/>
  <c r="C90" i="10"/>
  <c r="B90" i="10"/>
  <c r="L89" i="10"/>
  <c r="E89" i="10"/>
  <c r="D89" i="10"/>
  <c r="C89" i="10"/>
  <c r="B89" i="10"/>
  <c r="K88" i="10"/>
  <c r="L88" i="10" s="1"/>
  <c r="E88" i="10"/>
  <c r="D88" i="10"/>
  <c r="C88" i="10"/>
  <c r="B88" i="10"/>
  <c r="L87" i="10"/>
  <c r="E87" i="10"/>
  <c r="D87" i="10"/>
  <c r="C87" i="10"/>
  <c r="B87" i="10"/>
  <c r="L86" i="10"/>
  <c r="E86" i="10"/>
  <c r="D86" i="10"/>
  <c r="C86" i="10"/>
  <c r="B86" i="10"/>
  <c r="K85" i="10"/>
  <c r="L85" i="10" s="1"/>
  <c r="E85" i="10"/>
  <c r="D85" i="10"/>
  <c r="C85" i="10"/>
  <c r="B85" i="10"/>
  <c r="L84" i="10"/>
  <c r="E84" i="10"/>
  <c r="D84" i="10"/>
  <c r="C84" i="10"/>
  <c r="B84" i="10"/>
  <c r="K83" i="10"/>
  <c r="L83" i="10" s="1"/>
  <c r="E83" i="10"/>
  <c r="D83" i="10"/>
  <c r="C83" i="10"/>
  <c r="B83" i="10"/>
  <c r="K82" i="10"/>
  <c r="E82" i="10"/>
  <c r="D82" i="10"/>
  <c r="C82" i="10"/>
  <c r="B82" i="10"/>
  <c r="L81" i="10"/>
  <c r="E81" i="10"/>
  <c r="D81" i="10"/>
  <c r="C81" i="10"/>
  <c r="B81" i="10"/>
  <c r="L80" i="10"/>
  <c r="E80" i="10"/>
  <c r="D80" i="10"/>
  <c r="C80" i="10"/>
  <c r="B80" i="10"/>
  <c r="L79" i="10"/>
  <c r="E79" i="10"/>
  <c r="D79" i="10"/>
  <c r="C79" i="10"/>
  <c r="B79" i="10"/>
  <c r="L78" i="10"/>
  <c r="E78" i="10"/>
  <c r="D78" i="10"/>
  <c r="C78" i="10"/>
  <c r="B78" i="10"/>
  <c r="L77" i="10"/>
  <c r="E77" i="10"/>
  <c r="D77" i="10"/>
  <c r="C77" i="10"/>
  <c r="B77" i="10"/>
  <c r="K76" i="10"/>
  <c r="E76" i="10"/>
  <c r="D76" i="10"/>
  <c r="C76" i="10"/>
  <c r="B76" i="10"/>
  <c r="L75" i="10"/>
  <c r="E75" i="10"/>
  <c r="D75" i="10"/>
  <c r="C75" i="10"/>
  <c r="B75" i="10"/>
  <c r="L74" i="10"/>
  <c r="E74" i="10"/>
  <c r="D74" i="10"/>
  <c r="C74" i="10"/>
  <c r="B74" i="10"/>
  <c r="L73" i="10"/>
  <c r="E73" i="10"/>
  <c r="D73" i="10"/>
  <c r="C73" i="10"/>
  <c r="B73" i="10"/>
  <c r="L72" i="10"/>
  <c r="E72" i="10"/>
  <c r="D72" i="10"/>
  <c r="C72" i="10"/>
  <c r="B72" i="10"/>
  <c r="L71" i="10"/>
  <c r="E71" i="10"/>
  <c r="D71" i="10"/>
  <c r="C71" i="10"/>
  <c r="B71" i="10"/>
  <c r="L70" i="10"/>
  <c r="E70" i="10"/>
  <c r="D70" i="10"/>
  <c r="C70" i="10"/>
  <c r="B70" i="10"/>
  <c r="E69" i="10"/>
  <c r="D69" i="10"/>
  <c r="C69" i="10"/>
  <c r="B69" i="10"/>
  <c r="E68" i="10"/>
  <c r="D68" i="10"/>
  <c r="C68" i="10"/>
  <c r="B68" i="10"/>
  <c r="L67" i="10"/>
  <c r="E67" i="10"/>
  <c r="D67" i="10"/>
  <c r="C67" i="10"/>
  <c r="B67" i="10"/>
  <c r="E66" i="10"/>
  <c r="D66" i="10"/>
  <c r="C66" i="10"/>
  <c r="B66" i="10"/>
  <c r="L65" i="10"/>
  <c r="E65" i="10"/>
  <c r="D65" i="10"/>
  <c r="C65" i="10"/>
  <c r="B65" i="10"/>
  <c r="E64" i="10"/>
  <c r="D64" i="10"/>
  <c r="C64" i="10"/>
  <c r="B64" i="10"/>
  <c r="E63" i="10"/>
  <c r="D63" i="10"/>
  <c r="C63" i="10"/>
  <c r="B63" i="10"/>
  <c r="E62" i="10"/>
  <c r="D62" i="10"/>
  <c r="C62" i="10"/>
  <c r="B62" i="10"/>
  <c r="L61" i="10"/>
  <c r="E61" i="10"/>
  <c r="D61" i="10"/>
  <c r="C61" i="10"/>
  <c r="B61" i="10"/>
  <c r="L60" i="10"/>
  <c r="E60" i="10"/>
  <c r="D60" i="10"/>
  <c r="C60" i="10"/>
  <c r="B60" i="10"/>
  <c r="J57" i="10"/>
  <c r="K55" i="10"/>
  <c r="L55" i="10" s="1"/>
  <c r="E55" i="10"/>
  <c r="D55" i="10"/>
  <c r="C55" i="10"/>
  <c r="B55" i="10"/>
  <c r="K54" i="10"/>
  <c r="L54" i="10" s="1"/>
  <c r="E54" i="10"/>
  <c r="D54" i="10"/>
  <c r="C54" i="10"/>
  <c r="B54" i="10"/>
  <c r="L53" i="10"/>
  <c r="E53" i="10"/>
  <c r="D53" i="10"/>
  <c r="B53" i="10"/>
  <c r="L52" i="10"/>
  <c r="E52" i="10"/>
  <c r="D52" i="10"/>
  <c r="C52" i="10"/>
  <c r="B52" i="10"/>
  <c r="L51" i="10"/>
  <c r="E51" i="10"/>
  <c r="D51" i="10"/>
  <c r="C51" i="10"/>
  <c r="B51" i="10"/>
  <c r="K50" i="10"/>
  <c r="L50" i="10" s="1"/>
  <c r="E50" i="10"/>
  <c r="D50" i="10"/>
  <c r="C50" i="10"/>
  <c r="B50" i="10"/>
  <c r="K49" i="10"/>
  <c r="L49" i="10" s="1"/>
  <c r="E49" i="10"/>
  <c r="D49" i="10"/>
  <c r="C49" i="10"/>
  <c r="B49" i="10"/>
  <c r="K48" i="10"/>
  <c r="L48" i="10" s="1"/>
  <c r="E48" i="10"/>
  <c r="D48" i="10"/>
  <c r="C48" i="10"/>
  <c r="B48" i="10"/>
  <c r="K47" i="10"/>
  <c r="L47" i="10" s="1"/>
  <c r="E47" i="10"/>
  <c r="D47" i="10"/>
  <c r="C47" i="10"/>
  <c r="B47" i="10"/>
  <c r="K46" i="10"/>
  <c r="L46" i="10" s="1"/>
  <c r="E46" i="10"/>
  <c r="D46" i="10"/>
  <c r="C46" i="10"/>
  <c r="B46" i="10"/>
  <c r="K45" i="10"/>
  <c r="L45" i="10" s="1"/>
  <c r="E45" i="10"/>
  <c r="D45" i="10"/>
  <c r="C45" i="10"/>
  <c r="B45" i="10"/>
  <c r="K44" i="10"/>
  <c r="L44" i="10" s="1"/>
  <c r="E44" i="10"/>
  <c r="D44" i="10"/>
  <c r="C44" i="10"/>
  <c r="B44" i="10"/>
  <c r="K43" i="10"/>
  <c r="L43" i="10" s="1"/>
  <c r="E43" i="10"/>
  <c r="D43" i="10"/>
  <c r="C43" i="10"/>
  <c r="B43" i="10"/>
  <c r="L42" i="10"/>
  <c r="E42" i="10"/>
  <c r="D42" i="10"/>
  <c r="C42" i="10"/>
  <c r="B42" i="10"/>
  <c r="K41" i="10"/>
  <c r="L41" i="10" s="1"/>
  <c r="E41" i="10"/>
  <c r="D41" i="10"/>
  <c r="C41" i="10"/>
  <c r="B41" i="10"/>
  <c r="L40" i="10"/>
  <c r="E40" i="10"/>
  <c r="D40" i="10"/>
  <c r="C40" i="10"/>
  <c r="B40" i="10"/>
  <c r="K39" i="10"/>
  <c r="L39" i="10" s="1"/>
  <c r="E39" i="10"/>
  <c r="D39" i="10"/>
  <c r="C39" i="10"/>
  <c r="B39" i="10"/>
  <c r="L38" i="10"/>
  <c r="E38" i="10"/>
  <c r="D38" i="10"/>
  <c r="C38" i="10"/>
  <c r="B38" i="10"/>
  <c r="L37" i="10"/>
  <c r="E37" i="10"/>
  <c r="D37" i="10"/>
  <c r="C37" i="10"/>
  <c r="B37" i="10"/>
  <c r="L36" i="10"/>
  <c r="E36" i="10"/>
  <c r="D36" i="10"/>
  <c r="C36" i="10"/>
  <c r="B36" i="10"/>
  <c r="K35" i="10"/>
  <c r="L35" i="10" s="1"/>
  <c r="E35" i="10"/>
  <c r="D35" i="10"/>
  <c r="C35" i="10"/>
  <c r="B35" i="10"/>
  <c r="L34" i="10"/>
  <c r="E34" i="10"/>
  <c r="D34" i="10"/>
  <c r="C34" i="10"/>
  <c r="B34" i="10"/>
  <c r="L33" i="10"/>
  <c r="E33" i="10"/>
  <c r="D33" i="10"/>
  <c r="C33" i="10"/>
  <c r="B33" i="10"/>
  <c r="L32" i="10"/>
  <c r="E32" i="10"/>
  <c r="D32" i="10"/>
  <c r="C32" i="10"/>
  <c r="B32" i="10"/>
  <c r="L31" i="10"/>
  <c r="E31" i="10"/>
  <c r="D31" i="10"/>
  <c r="C31" i="10"/>
  <c r="B31" i="10"/>
  <c r="L30" i="10"/>
  <c r="E30" i="10"/>
  <c r="D30" i="10"/>
  <c r="C30" i="10"/>
  <c r="B30" i="10"/>
  <c r="L29" i="10"/>
  <c r="E29" i="10"/>
  <c r="D29" i="10"/>
  <c r="C29" i="10"/>
  <c r="B29" i="10"/>
  <c r="L28" i="10"/>
  <c r="E28" i="10"/>
  <c r="D28" i="10"/>
  <c r="C28" i="10"/>
  <c r="B28" i="10"/>
  <c r="L27" i="10"/>
  <c r="E27" i="10"/>
  <c r="D27" i="10"/>
  <c r="C27" i="10"/>
  <c r="B27" i="10"/>
  <c r="L26" i="10"/>
  <c r="E26" i="10"/>
  <c r="D26" i="10"/>
  <c r="C26" i="10"/>
  <c r="B26" i="10"/>
  <c r="L25" i="10"/>
  <c r="E25" i="10"/>
  <c r="D25" i="10"/>
  <c r="C25" i="10"/>
  <c r="B25" i="10"/>
  <c r="L24" i="10"/>
  <c r="E24" i="10"/>
  <c r="D24" i="10"/>
  <c r="C24" i="10"/>
  <c r="B24" i="10"/>
  <c r="L23" i="10"/>
  <c r="E23" i="10"/>
  <c r="D23" i="10"/>
  <c r="C23" i="10"/>
  <c r="B23" i="10"/>
  <c r="L22" i="10"/>
  <c r="E22" i="10"/>
  <c r="D22" i="10"/>
  <c r="C22" i="10"/>
  <c r="B22" i="10"/>
  <c r="L21" i="10"/>
  <c r="E21" i="10"/>
  <c r="D21" i="10"/>
  <c r="C21" i="10"/>
  <c r="B21" i="10"/>
  <c r="L20" i="10"/>
  <c r="E20" i="10"/>
  <c r="D20" i="10"/>
  <c r="C20" i="10"/>
  <c r="B20" i="10"/>
  <c r="L19" i="10"/>
  <c r="E19" i="10"/>
  <c r="D19" i="10"/>
  <c r="C19" i="10"/>
  <c r="B19" i="10"/>
  <c r="L18" i="10"/>
  <c r="E18" i="10"/>
  <c r="D18" i="10"/>
  <c r="C18" i="10"/>
  <c r="B18" i="10"/>
  <c r="L17" i="10"/>
  <c r="E17" i="10"/>
  <c r="D17" i="10"/>
  <c r="C17" i="10"/>
  <c r="B17" i="10"/>
  <c r="K16" i="10"/>
  <c r="L16" i="10" s="1"/>
  <c r="E16" i="10"/>
  <c r="D16" i="10"/>
  <c r="C16" i="10"/>
  <c r="B16" i="10"/>
  <c r="K15" i="10"/>
  <c r="L15" i="10" s="1"/>
  <c r="E15" i="10"/>
  <c r="D15" i="10"/>
  <c r="C15" i="10"/>
  <c r="B15" i="10"/>
  <c r="K14" i="10"/>
  <c r="L14" i="10" s="1"/>
  <c r="E14" i="10"/>
  <c r="D14" i="10"/>
  <c r="C14" i="10"/>
  <c r="B14" i="10"/>
  <c r="L13" i="10"/>
  <c r="E13" i="10"/>
  <c r="D13" i="10"/>
  <c r="C13" i="10"/>
  <c r="B13" i="10"/>
  <c r="L12" i="10"/>
  <c r="E12" i="10"/>
  <c r="D12" i="10"/>
  <c r="C12" i="10"/>
  <c r="B12" i="10"/>
  <c r="K11" i="10"/>
  <c r="L11" i="10" s="1"/>
  <c r="E11" i="10"/>
  <c r="D11" i="10"/>
  <c r="C11" i="10"/>
  <c r="B11" i="10"/>
  <c r="L10" i="10"/>
  <c r="E10" i="10"/>
  <c r="D10" i="10"/>
  <c r="C10" i="10"/>
  <c r="B10" i="10"/>
  <c r="L9" i="10"/>
  <c r="E9" i="10"/>
  <c r="D9" i="10"/>
  <c r="C9" i="10"/>
  <c r="B9" i="10"/>
  <c r="L8" i="10"/>
  <c r="E8" i="10"/>
  <c r="D8" i="10"/>
  <c r="C8" i="10"/>
  <c r="B8" i="10"/>
  <c r="J5" i="10"/>
  <c r="K467" i="9"/>
  <c r="L467" i="9" s="1"/>
  <c r="E467" i="9"/>
  <c r="D467" i="9"/>
  <c r="C467" i="9"/>
  <c r="K466" i="9"/>
  <c r="L466" i="9" s="1"/>
  <c r="E466" i="9"/>
  <c r="D466" i="9"/>
  <c r="C466" i="9"/>
  <c r="K465" i="9"/>
  <c r="L465" i="9" s="1"/>
  <c r="E465" i="9"/>
  <c r="D465" i="9"/>
  <c r="C465" i="9"/>
  <c r="K464" i="9"/>
  <c r="L464" i="9" s="1"/>
  <c r="E464" i="9"/>
  <c r="D464" i="9"/>
  <c r="C464" i="9"/>
  <c r="K463" i="9"/>
  <c r="L463" i="9" s="1"/>
  <c r="E463" i="9"/>
  <c r="D463" i="9"/>
  <c r="C463" i="9"/>
  <c r="K462" i="9"/>
  <c r="E462" i="9"/>
  <c r="D462" i="9"/>
  <c r="C462" i="9"/>
  <c r="K461" i="9"/>
  <c r="L461" i="9" s="1"/>
  <c r="E461" i="9"/>
  <c r="D461" i="9"/>
  <c r="C461" i="9"/>
  <c r="K460" i="9"/>
  <c r="L460" i="9" s="1"/>
  <c r="E460" i="9"/>
  <c r="D460" i="9"/>
  <c r="C460" i="9"/>
  <c r="K459" i="9"/>
  <c r="L459" i="9" s="1"/>
  <c r="E459" i="9"/>
  <c r="D459" i="9"/>
  <c r="C459" i="9"/>
  <c r="K458" i="9"/>
  <c r="E458" i="9"/>
  <c r="D458" i="9"/>
  <c r="C458" i="9"/>
  <c r="K457" i="9"/>
  <c r="E457" i="9"/>
  <c r="D457" i="9"/>
  <c r="C457" i="9"/>
  <c r="K456" i="9"/>
  <c r="E456" i="9"/>
  <c r="D456" i="9"/>
  <c r="C456" i="9"/>
  <c r="K455" i="9"/>
  <c r="E455" i="9"/>
  <c r="D455" i="9"/>
  <c r="C455" i="9"/>
  <c r="K454" i="9"/>
  <c r="E454" i="9"/>
  <c r="D454" i="9"/>
  <c r="C454" i="9"/>
  <c r="K453" i="9"/>
  <c r="E453" i="9"/>
  <c r="D453" i="9"/>
  <c r="C453" i="9"/>
  <c r="K452" i="9"/>
  <c r="E452" i="9"/>
  <c r="D452" i="9"/>
  <c r="C452" i="9"/>
  <c r="K451" i="9"/>
  <c r="L451" i="9" s="1"/>
  <c r="E451" i="9"/>
  <c r="D451" i="9"/>
  <c r="C451" i="9"/>
  <c r="E450" i="9"/>
  <c r="D450" i="9"/>
  <c r="H448" i="9"/>
  <c r="H395" i="9" s="1"/>
  <c r="H346" i="9" s="1"/>
  <c r="J447" i="9"/>
  <c r="K445" i="9"/>
  <c r="E445" i="9"/>
  <c r="D445" i="9"/>
  <c r="C445" i="9"/>
  <c r="K444" i="9"/>
  <c r="L444" i="9" s="1"/>
  <c r="E444" i="9"/>
  <c r="D444" i="9"/>
  <c r="C444" i="9"/>
  <c r="K443" i="9"/>
  <c r="L443" i="9" s="1"/>
  <c r="E443" i="9"/>
  <c r="D443" i="9"/>
  <c r="C443" i="9"/>
  <c r="K442" i="9"/>
  <c r="E442" i="9"/>
  <c r="D442" i="9"/>
  <c r="C442" i="9"/>
  <c r="K441" i="9"/>
  <c r="L441" i="9" s="1"/>
  <c r="E441" i="9"/>
  <c r="D441" i="9"/>
  <c r="C441" i="9"/>
  <c r="K440" i="9"/>
  <c r="E440" i="9"/>
  <c r="D440" i="9"/>
  <c r="C440" i="9"/>
  <c r="K439" i="9"/>
  <c r="L439" i="9" s="1"/>
  <c r="E439" i="9"/>
  <c r="D439" i="9"/>
  <c r="C439" i="9"/>
  <c r="K438" i="9"/>
  <c r="E438" i="9"/>
  <c r="D438" i="9"/>
  <c r="C438" i="9"/>
  <c r="K437" i="9"/>
  <c r="L437" i="9" s="1"/>
  <c r="E437" i="9"/>
  <c r="D437" i="9"/>
  <c r="C437" i="9"/>
  <c r="K436" i="9"/>
  <c r="E436" i="9"/>
  <c r="D436" i="9"/>
  <c r="C436" i="9"/>
  <c r="K435" i="9"/>
  <c r="L435" i="9" s="1"/>
  <c r="E435" i="9"/>
  <c r="D435" i="9"/>
  <c r="C435" i="9"/>
  <c r="K434" i="9"/>
  <c r="E434" i="9"/>
  <c r="D434" i="9"/>
  <c r="C434" i="9"/>
  <c r="K433" i="9"/>
  <c r="E433" i="9"/>
  <c r="D433" i="9"/>
  <c r="C433" i="9"/>
  <c r="L432" i="9"/>
  <c r="E432" i="9"/>
  <c r="D432" i="9"/>
  <c r="K431" i="9"/>
  <c r="E431" i="9"/>
  <c r="D431" i="9"/>
  <c r="C431" i="9"/>
  <c r="E430" i="9"/>
  <c r="D430" i="9"/>
  <c r="K429" i="9"/>
  <c r="L429" i="9" s="1"/>
  <c r="E429" i="9"/>
  <c r="D429" i="9"/>
  <c r="C429" i="9"/>
  <c r="K428" i="9"/>
  <c r="L428" i="9" s="1"/>
  <c r="E428" i="9"/>
  <c r="D428" i="9"/>
  <c r="C428" i="9"/>
  <c r="K427" i="9"/>
  <c r="L427" i="9" s="1"/>
  <c r="E427" i="9"/>
  <c r="D427" i="9"/>
  <c r="C427" i="9"/>
  <c r="K426" i="9"/>
  <c r="L426" i="9" s="1"/>
  <c r="E426" i="9"/>
  <c r="D426" i="9"/>
  <c r="C426" i="9"/>
  <c r="K425" i="9"/>
  <c r="L425" i="9" s="1"/>
  <c r="E425" i="9"/>
  <c r="D425" i="9"/>
  <c r="C425" i="9"/>
  <c r="K424" i="9"/>
  <c r="L424" i="9" s="1"/>
  <c r="E424" i="9"/>
  <c r="D424" i="9"/>
  <c r="C424" i="9"/>
  <c r="K423" i="9"/>
  <c r="L423" i="9" s="1"/>
  <c r="E423" i="9"/>
  <c r="D423" i="9"/>
  <c r="C423" i="9"/>
  <c r="K422" i="9"/>
  <c r="L422" i="9" s="1"/>
  <c r="E422" i="9"/>
  <c r="D422" i="9"/>
  <c r="C422" i="9"/>
  <c r="K421" i="9"/>
  <c r="L421" i="9" s="1"/>
  <c r="E421" i="9"/>
  <c r="D421" i="9"/>
  <c r="C421" i="9"/>
  <c r="K420" i="9"/>
  <c r="E420" i="9"/>
  <c r="D420" i="9"/>
  <c r="C420" i="9"/>
  <c r="K419" i="9"/>
  <c r="L419" i="9" s="1"/>
  <c r="E419" i="9"/>
  <c r="D419" i="9"/>
  <c r="C419" i="9"/>
  <c r="K418" i="9"/>
  <c r="E418" i="9"/>
  <c r="D418" i="9"/>
  <c r="C418" i="9"/>
  <c r="K417" i="9"/>
  <c r="L417" i="9" s="1"/>
  <c r="E417" i="9"/>
  <c r="D417" i="9"/>
  <c r="C417" i="9"/>
  <c r="K416" i="9"/>
  <c r="L416" i="9" s="1"/>
  <c r="E416" i="9"/>
  <c r="D416" i="9"/>
  <c r="C416" i="9"/>
  <c r="K415" i="9"/>
  <c r="L415" i="9" s="1"/>
  <c r="E415" i="9"/>
  <c r="D415" i="9"/>
  <c r="C415" i="9"/>
  <c r="K414" i="9"/>
  <c r="L414" i="9" s="1"/>
  <c r="E414" i="9"/>
  <c r="D414" i="9"/>
  <c r="C414" i="9"/>
  <c r="L413" i="9"/>
  <c r="E413" i="9"/>
  <c r="D413" i="9"/>
  <c r="C413" i="9"/>
  <c r="K412" i="9"/>
  <c r="L412" i="9" s="1"/>
  <c r="E412" i="9"/>
  <c r="D412" i="9"/>
  <c r="C412" i="9"/>
  <c r="K411" i="9"/>
  <c r="L411" i="9" s="1"/>
  <c r="E411" i="9"/>
  <c r="D411" i="9"/>
  <c r="C411" i="9"/>
  <c r="L410" i="9"/>
  <c r="E410" i="9"/>
  <c r="D410" i="9"/>
  <c r="C410" i="9"/>
  <c r="K409" i="9"/>
  <c r="E409" i="9"/>
  <c r="D409" i="9"/>
  <c r="C409" i="9"/>
  <c r="L408" i="9"/>
  <c r="E408" i="9"/>
  <c r="D408" i="9"/>
  <c r="C408" i="9"/>
  <c r="L407" i="9"/>
  <c r="E407" i="9"/>
  <c r="D407" i="9"/>
  <c r="C407" i="9"/>
  <c r="L406" i="9"/>
  <c r="E406" i="9"/>
  <c r="D406" i="9"/>
  <c r="C406" i="9"/>
  <c r="L405" i="9"/>
  <c r="E405" i="9"/>
  <c r="D405" i="9"/>
  <c r="C405" i="9"/>
  <c r="K404" i="9"/>
  <c r="E404" i="9"/>
  <c r="D404" i="9"/>
  <c r="C404" i="9"/>
  <c r="K403" i="9"/>
  <c r="E403" i="9"/>
  <c r="D403" i="9"/>
  <c r="C403" i="9"/>
  <c r="K402" i="9"/>
  <c r="E402" i="9"/>
  <c r="D402" i="9"/>
  <c r="C402" i="9"/>
  <c r="K401" i="9"/>
  <c r="E401" i="9"/>
  <c r="D401" i="9"/>
  <c r="C401" i="9"/>
  <c r="K400" i="9"/>
  <c r="E400" i="9"/>
  <c r="D400" i="9"/>
  <c r="C400" i="9"/>
  <c r="K399" i="9"/>
  <c r="E399" i="9"/>
  <c r="D399" i="9"/>
  <c r="C399" i="9"/>
  <c r="L398" i="9"/>
  <c r="E398" i="9"/>
  <c r="D398" i="9"/>
  <c r="C398" i="9"/>
  <c r="K397" i="9"/>
  <c r="E397" i="9"/>
  <c r="D397" i="9"/>
  <c r="C397" i="9"/>
  <c r="J394" i="9"/>
  <c r="K392" i="9"/>
  <c r="E392" i="9"/>
  <c r="D392" i="9"/>
  <c r="C392" i="9"/>
  <c r="K391" i="9"/>
  <c r="E391" i="9"/>
  <c r="D391" i="9"/>
  <c r="C391" i="9"/>
  <c r="K390" i="9"/>
  <c r="E390" i="9"/>
  <c r="D390" i="9"/>
  <c r="C390" i="9"/>
  <c r="K389" i="9"/>
  <c r="L389" i="9" s="1"/>
  <c r="E389" i="9"/>
  <c r="D389" i="9"/>
  <c r="C389" i="9"/>
  <c r="K388" i="9"/>
  <c r="E388" i="9"/>
  <c r="D388" i="9"/>
  <c r="C388" i="9"/>
  <c r="K387" i="9"/>
  <c r="E387" i="9"/>
  <c r="D387" i="9"/>
  <c r="C387" i="9"/>
  <c r="K386" i="9"/>
  <c r="L386" i="9" s="1"/>
  <c r="E386" i="9"/>
  <c r="D386" i="9"/>
  <c r="C386" i="9"/>
  <c r="K385" i="9"/>
  <c r="E385" i="9"/>
  <c r="D385" i="9"/>
  <c r="C385" i="9"/>
  <c r="K384" i="9"/>
  <c r="E384" i="9"/>
  <c r="D384" i="9"/>
  <c r="C384" i="9"/>
  <c r="K383" i="9"/>
  <c r="L383" i="9" s="1"/>
  <c r="E383" i="9"/>
  <c r="D383" i="9"/>
  <c r="C383" i="9"/>
  <c r="K382" i="9"/>
  <c r="L382" i="9" s="1"/>
  <c r="E382" i="9"/>
  <c r="D382" i="9"/>
  <c r="C382" i="9"/>
  <c r="K381" i="9"/>
  <c r="L381" i="9" s="1"/>
  <c r="E381" i="9"/>
  <c r="D381" i="9"/>
  <c r="C381" i="9"/>
  <c r="K380" i="9"/>
  <c r="L380" i="9" s="1"/>
  <c r="E380" i="9"/>
  <c r="D380" i="9"/>
  <c r="C380" i="9"/>
  <c r="L379" i="9"/>
  <c r="E379" i="9"/>
  <c r="D379" i="9"/>
  <c r="C379" i="9"/>
  <c r="K378" i="9"/>
  <c r="L378" i="9" s="1"/>
  <c r="E378" i="9"/>
  <c r="D378" i="9"/>
  <c r="C378" i="9"/>
  <c r="K377" i="9"/>
  <c r="L377" i="9" s="1"/>
  <c r="E377" i="9"/>
  <c r="D377" i="9"/>
  <c r="C377" i="9"/>
  <c r="K376" i="9"/>
  <c r="L376" i="9" s="1"/>
  <c r="E376" i="9"/>
  <c r="D376" i="9"/>
  <c r="C376" i="9"/>
  <c r="K375" i="9"/>
  <c r="E375" i="9"/>
  <c r="D375" i="9"/>
  <c r="C375" i="9"/>
  <c r="K374" i="9"/>
  <c r="L374" i="9" s="1"/>
  <c r="E374" i="9"/>
  <c r="D374" i="9"/>
  <c r="C374" i="9"/>
  <c r="K373" i="9"/>
  <c r="E373" i="9"/>
  <c r="D373" i="9"/>
  <c r="C373" i="9"/>
  <c r="K372" i="9"/>
  <c r="E372" i="9"/>
  <c r="D372" i="9"/>
  <c r="C372" i="9"/>
  <c r="K371" i="9"/>
  <c r="L371" i="9" s="1"/>
  <c r="E371" i="9"/>
  <c r="D371" i="9"/>
  <c r="C371" i="9"/>
  <c r="K370" i="9"/>
  <c r="L370" i="9" s="1"/>
  <c r="E370" i="9"/>
  <c r="D370" i="9"/>
  <c r="C370" i="9"/>
  <c r="K369" i="9"/>
  <c r="L369" i="9" s="1"/>
  <c r="E369" i="9"/>
  <c r="D369" i="9"/>
  <c r="C369" i="9"/>
  <c r="L368" i="9"/>
  <c r="E368" i="9"/>
  <c r="D368" i="9"/>
  <c r="C368" i="9"/>
  <c r="K367" i="9"/>
  <c r="L367" i="9" s="1"/>
  <c r="E367" i="9"/>
  <c r="D367" i="9"/>
  <c r="C367" i="9"/>
  <c r="K366" i="9"/>
  <c r="L366" i="9" s="1"/>
  <c r="D366" i="9"/>
  <c r="C366" i="9"/>
  <c r="K365" i="9"/>
  <c r="L365" i="9" s="1"/>
  <c r="E365" i="9"/>
  <c r="D365" i="9"/>
  <c r="C365" i="9"/>
  <c r="K364" i="9"/>
  <c r="L364" i="9" s="1"/>
  <c r="E364" i="9"/>
  <c r="D364" i="9"/>
  <c r="C364" i="9"/>
  <c r="L363" i="9"/>
  <c r="E363" i="9"/>
  <c r="D363" i="9"/>
  <c r="C363" i="9"/>
  <c r="K362" i="9"/>
  <c r="E362" i="9"/>
  <c r="D362" i="9"/>
  <c r="C362" i="9"/>
  <c r="K361" i="9"/>
  <c r="E361" i="9"/>
  <c r="D361" i="9"/>
  <c r="C361" i="9"/>
  <c r="L360" i="9"/>
  <c r="E360" i="9"/>
  <c r="D360" i="9"/>
  <c r="C360" i="9"/>
  <c r="K359" i="9"/>
  <c r="E359" i="9"/>
  <c r="D359" i="9"/>
  <c r="C359" i="9"/>
  <c r="K358" i="9"/>
  <c r="E358" i="9"/>
  <c r="D358" i="9"/>
  <c r="C358" i="9"/>
  <c r="K357" i="9"/>
  <c r="E357" i="9"/>
  <c r="D357" i="9"/>
  <c r="C357" i="9"/>
  <c r="K356" i="9"/>
  <c r="L356" i="9" s="1"/>
  <c r="E356" i="9"/>
  <c r="D356" i="9"/>
  <c r="C356" i="9"/>
  <c r="K355" i="9"/>
  <c r="E355" i="9"/>
  <c r="D355" i="9"/>
  <c r="C355" i="9"/>
  <c r="K354" i="9"/>
  <c r="E354" i="9"/>
  <c r="D354" i="9"/>
  <c r="C354" i="9"/>
  <c r="K353" i="9"/>
  <c r="E353" i="9"/>
  <c r="D353" i="9"/>
  <c r="C353" i="9"/>
  <c r="L352" i="9"/>
  <c r="E352" i="9"/>
  <c r="D352" i="9"/>
  <c r="C352" i="9"/>
  <c r="K351" i="9"/>
  <c r="E351" i="9"/>
  <c r="D351" i="9"/>
  <c r="C351" i="9"/>
  <c r="K350" i="9"/>
  <c r="E350" i="9"/>
  <c r="D350" i="9"/>
  <c r="C350" i="9"/>
  <c r="K349" i="9"/>
  <c r="E349" i="9"/>
  <c r="D349" i="9"/>
  <c r="C349" i="9"/>
  <c r="K348" i="9"/>
  <c r="E348" i="9"/>
  <c r="D348" i="9"/>
  <c r="C348" i="9"/>
  <c r="J345" i="9"/>
  <c r="L343" i="9"/>
  <c r="E343" i="9"/>
  <c r="D343" i="9"/>
  <c r="C343" i="9"/>
  <c r="L342" i="9"/>
  <c r="E342" i="9"/>
  <c r="D342" i="9"/>
  <c r="C342" i="9"/>
  <c r="L341" i="9"/>
  <c r="E341" i="9"/>
  <c r="D341" i="9"/>
  <c r="C341" i="9"/>
  <c r="K340" i="9"/>
  <c r="L340" i="9" s="1"/>
  <c r="E340" i="9"/>
  <c r="D340" i="9"/>
  <c r="C340" i="9"/>
  <c r="K339" i="9"/>
  <c r="L339" i="9" s="1"/>
  <c r="E339" i="9"/>
  <c r="D339" i="9"/>
  <c r="C339" i="9"/>
  <c r="E338" i="9"/>
  <c r="D338" i="9"/>
  <c r="C338" i="9"/>
  <c r="K337" i="9"/>
  <c r="E337" i="9"/>
  <c r="D337" i="9"/>
  <c r="C337" i="9"/>
  <c r="E336" i="9"/>
  <c r="D336" i="9"/>
  <c r="C336" i="9"/>
  <c r="K335" i="9"/>
  <c r="L335" i="9" s="1"/>
  <c r="E335" i="9"/>
  <c r="D335" i="9"/>
  <c r="C335" i="9"/>
  <c r="K334" i="9"/>
  <c r="E334" i="9"/>
  <c r="D334" i="9"/>
  <c r="C334" i="9"/>
  <c r="K333" i="9"/>
  <c r="L333" i="9" s="1"/>
  <c r="E333" i="9"/>
  <c r="D333" i="9"/>
  <c r="C333" i="9"/>
  <c r="K332" i="9"/>
  <c r="L332" i="9" s="1"/>
  <c r="E332" i="9"/>
  <c r="D332" i="9"/>
  <c r="C332" i="9"/>
  <c r="K331" i="9"/>
  <c r="E331" i="9"/>
  <c r="D331" i="9"/>
  <c r="C331" i="9"/>
  <c r="K330" i="9"/>
  <c r="L330" i="9" s="1"/>
  <c r="E330" i="9"/>
  <c r="D330" i="9"/>
  <c r="C330" i="9"/>
  <c r="K329" i="9"/>
  <c r="E329" i="9"/>
  <c r="D329" i="9"/>
  <c r="K328" i="9"/>
  <c r="L328" i="9" s="1"/>
  <c r="E328" i="9"/>
  <c r="D328" i="9"/>
  <c r="C328" i="9"/>
  <c r="K327" i="9"/>
  <c r="L327" i="9" s="1"/>
  <c r="E327" i="9"/>
  <c r="D327" i="9"/>
  <c r="C327" i="9"/>
  <c r="K326" i="9"/>
  <c r="L326" i="9" s="1"/>
  <c r="E326" i="9"/>
  <c r="D326" i="9"/>
  <c r="K325" i="9"/>
  <c r="L325" i="9" s="1"/>
  <c r="E325" i="9"/>
  <c r="D325" i="9"/>
  <c r="C325" i="9"/>
  <c r="K324" i="9"/>
  <c r="L324" i="9" s="1"/>
  <c r="E324" i="9"/>
  <c r="D324" i="9"/>
  <c r="C324" i="9"/>
  <c r="K323" i="9"/>
  <c r="E323" i="9"/>
  <c r="D323" i="9"/>
  <c r="C323" i="9"/>
  <c r="K322" i="9"/>
  <c r="L322" i="9" s="1"/>
  <c r="E322" i="9"/>
  <c r="D322" i="9"/>
  <c r="C322" i="9"/>
  <c r="K321" i="9"/>
  <c r="L321" i="9" s="1"/>
  <c r="E321" i="9"/>
  <c r="D321" i="9"/>
  <c r="C321" i="9"/>
  <c r="E320" i="9"/>
  <c r="D320" i="9"/>
  <c r="C320" i="9"/>
  <c r="K319" i="9"/>
  <c r="L319" i="9" s="1"/>
  <c r="E319" i="9"/>
  <c r="D319" i="9"/>
  <c r="C319" i="9"/>
  <c r="K318" i="9"/>
  <c r="L318" i="9" s="1"/>
  <c r="E318" i="9"/>
  <c r="D318" i="9"/>
  <c r="C318" i="9"/>
  <c r="K317" i="9"/>
  <c r="L317" i="9" s="1"/>
  <c r="E317" i="9"/>
  <c r="D317" i="9"/>
  <c r="C317" i="9"/>
  <c r="K316" i="9"/>
  <c r="E316" i="9"/>
  <c r="D316" i="9"/>
  <c r="C316" i="9"/>
  <c r="K315" i="9"/>
  <c r="E315" i="9"/>
  <c r="D315" i="9"/>
  <c r="C315" i="9"/>
  <c r="K314" i="9"/>
  <c r="E314" i="9"/>
  <c r="D314" i="9"/>
  <c r="C314" i="9"/>
  <c r="K313" i="9"/>
  <c r="E313" i="9"/>
  <c r="D313" i="9"/>
  <c r="C313" i="9"/>
  <c r="K312" i="9"/>
  <c r="L312" i="9" s="1"/>
  <c r="E312" i="9"/>
  <c r="D312" i="9"/>
  <c r="C312" i="9"/>
  <c r="K311" i="9"/>
  <c r="L311" i="9" s="1"/>
  <c r="E311" i="9"/>
  <c r="D311" i="9"/>
  <c r="C311" i="9"/>
  <c r="K310" i="9"/>
  <c r="L310" i="9" s="1"/>
  <c r="E310" i="9"/>
  <c r="D310" i="9"/>
  <c r="C310" i="9"/>
  <c r="K309" i="9"/>
  <c r="L309" i="9" s="1"/>
  <c r="E309" i="9"/>
  <c r="D309" i="9"/>
  <c r="C309" i="9"/>
  <c r="K308" i="9"/>
  <c r="L308" i="9" s="1"/>
  <c r="E308" i="9"/>
  <c r="D308" i="9"/>
  <c r="C308" i="9"/>
  <c r="K307" i="9"/>
  <c r="L307" i="9" s="1"/>
  <c r="E307" i="9"/>
  <c r="D307" i="9"/>
  <c r="C307" i="9"/>
  <c r="K306" i="9"/>
  <c r="E306" i="9"/>
  <c r="D306" i="9"/>
  <c r="C306" i="9"/>
  <c r="K305" i="9"/>
  <c r="L305" i="9" s="1"/>
  <c r="E305" i="9"/>
  <c r="D305" i="9"/>
  <c r="C305" i="9"/>
  <c r="K304" i="9"/>
  <c r="E304" i="9"/>
  <c r="D304" i="9"/>
  <c r="C304" i="9"/>
  <c r="L303" i="9"/>
  <c r="E303" i="9"/>
  <c r="D303" i="9"/>
  <c r="C303" i="9"/>
  <c r="K302" i="9"/>
  <c r="E302" i="9"/>
  <c r="D302" i="9"/>
  <c r="C302" i="9"/>
  <c r="L301" i="9"/>
  <c r="E301" i="9"/>
  <c r="D301" i="9"/>
  <c r="C301" i="9"/>
  <c r="L300" i="9"/>
  <c r="E300" i="9"/>
  <c r="D300" i="9"/>
  <c r="C300" i="9"/>
  <c r="K299" i="9"/>
  <c r="E299" i="9"/>
  <c r="D299" i="9"/>
  <c r="C299" i="9"/>
  <c r="L298" i="9"/>
  <c r="E298" i="9"/>
  <c r="D298" i="9"/>
  <c r="C298" i="9"/>
  <c r="L297" i="9"/>
  <c r="E297" i="9"/>
  <c r="D297" i="9"/>
  <c r="C297" i="9"/>
  <c r="K296" i="9"/>
  <c r="L296" i="9" s="1"/>
  <c r="E296" i="9"/>
  <c r="D296" i="9"/>
  <c r="C296" i="9"/>
  <c r="K295" i="9"/>
  <c r="L295" i="9" s="1"/>
  <c r="E295" i="9"/>
  <c r="D295" i="9"/>
  <c r="C295" i="9"/>
  <c r="K294" i="9"/>
  <c r="L294" i="9" s="1"/>
  <c r="E294" i="9"/>
  <c r="D294" i="9"/>
  <c r="C294" i="9"/>
  <c r="K293" i="9"/>
  <c r="E293" i="9"/>
  <c r="D293" i="9"/>
  <c r="C293" i="9"/>
  <c r="K292" i="9"/>
  <c r="E292" i="9"/>
  <c r="D292" i="9"/>
  <c r="C292" i="9"/>
  <c r="K291" i="9"/>
  <c r="E291" i="9"/>
  <c r="D291" i="9"/>
  <c r="C291" i="9"/>
  <c r="K290" i="9"/>
  <c r="E290" i="9"/>
  <c r="D290" i="9"/>
  <c r="C290" i="9"/>
  <c r="K289" i="9"/>
  <c r="E289" i="9"/>
  <c r="D289" i="9"/>
  <c r="C289" i="9"/>
  <c r="K288" i="9"/>
  <c r="E288" i="9"/>
  <c r="D288" i="9"/>
  <c r="C288" i="9"/>
  <c r="K287" i="9"/>
  <c r="L287" i="9" s="1"/>
  <c r="E287" i="9"/>
  <c r="D287" i="9"/>
  <c r="C287" i="9"/>
  <c r="K286" i="9"/>
  <c r="E286" i="9"/>
  <c r="D286" i="9"/>
  <c r="C286" i="9"/>
  <c r="K285" i="9"/>
  <c r="L285" i="9" s="1"/>
  <c r="E285" i="9"/>
  <c r="D285" i="9"/>
  <c r="C285" i="9"/>
  <c r="K284" i="9"/>
  <c r="E284" i="9"/>
  <c r="D284" i="9"/>
  <c r="C284" i="9"/>
  <c r="H282" i="9"/>
  <c r="H276" i="9" s="1"/>
  <c r="H231" i="9" s="1"/>
  <c r="H167" i="9" s="1"/>
  <c r="H141" i="9" s="1"/>
  <c r="H73" i="9" s="1"/>
  <c r="H6" i="9" s="1"/>
  <c r="J281" i="9"/>
  <c r="K279" i="9"/>
  <c r="L279" i="9" s="1"/>
  <c r="E279" i="9"/>
  <c r="D279" i="9"/>
  <c r="C279" i="9"/>
  <c r="K278" i="9"/>
  <c r="L278" i="9" s="1"/>
  <c r="E278" i="9"/>
  <c r="D278" i="9"/>
  <c r="C278" i="9"/>
  <c r="J275" i="9"/>
  <c r="K273" i="9"/>
  <c r="E273" i="9"/>
  <c r="D273" i="9"/>
  <c r="C273" i="9"/>
  <c r="K272" i="9"/>
  <c r="L272" i="9" s="1"/>
  <c r="E272" i="9"/>
  <c r="D272" i="9"/>
  <c r="C272" i="9"/>
  <c r="K271" i="9"/>
  <c r="L271" i="9" s="1"/>
  <c r="E271" i="9"/>
  <c r="D271" i="9"/>
  <c r="C271" i="9"/>
  <c r="K270" i="9"/>
  <c r="E270" i="9"/>
  <c r="D270" i="9"/>
  <c r="C270" i="9"/>
  <c r="K269" i="9"/>
  <c r="L269" i="9" s="1"/>
  <c r="E269" i="9"/>
  <c r="D269" i="9"/>
  <c r="K268" i="9"/>
  <c r="L268" i="9" s="1"/>
  <c r="E268" i="9"/>
  <c r="D268" i="9"/>
  <c r="C268" i="9"/>
  <c r="L267" i="9"/>
  <c r="E267" i="9"/>
  <c r="D267" i="9"/>
  <c r="C267" i="9"/>
  <c r="K266" i="9"/>
  <c r="L266" i="9" s="1"/>
  <c r="E266" i="9"/>
  <c r="D266" i="9"/>
  <c r="C266" i="9"/>
  <c r="K265" i="9"/>
  <c r="L265" i="9" s="1"/>
  <c r="E265" i="9"/>
  <c r="D265" i="9"/>
  <c r="C265" i="9"/>
  <c r="K264" i="9"/>
  <c r="E264" i="9"/>
  <c r="D264" i="9"/>
  <c r="C264" i="9"/>
  <c r="K263" i="9"/>
  <c r="L263" i="9" s="1"/>
  <c r="E263" i="9"/>
  <c r="D263" i="9"/>
  <c r="C263" i="9"/>
  <c r="K262" i="9"/>
  <c r="L262" i="9" s="1"/>
  <c r="E262" i="9"/>
  <c r="D262" i="9"/>
  <c r="C262" i="9"/>
  <c r="K261" i="9"/>
  <c r="E261" i="9"/>
  <c r="D261" i="9"/>
  <c r="C261" i="9"/>
  <c r="K260" i="9"/>
  <c r="E260" i="9"/>
  <c r="D260" i="9"/>
  <c r="C260" i="9"/>
  <c r="K259" i="9"/>
  <c r="E259" i="9"/>
  <c r="D259" i="9"/>
  <c r="C259" i="9"/>
  <c r="K258" i="9"/>
  <c r="E258" i="9"/>
  <c r="D258" i="9"/>
  <c r="C258" i="9"/>
  <c r="K257" i="9"/>
  <c r="L257" i="9" s="1"/>
  <c r="E257" i="9"/>
  <c r="D257" i="9"/>
  <c r="C257" i="9"/>
  <c r="K256" i="9"/>
  <c r="L256" i="9" s="1"/>
  <c r="E256" i="9"/>
  <c r="D256" i="9"/>
  <c r="C256" i="9"/>
  <c r="K255" i="9"/>
  <c r="L255" i="9" s="1"/>
  <c r="E255" i="9"/>
  <c r="D255" i="9"/>
  <c r="C255" i="9"/>
  <c r="K254" i="9"/>
  <c r="L254" i="9" s="1"/>
  <c r="E254" i="9"/>
  <c r="D254" i="9"/>
  <c r="C254" i="9"/>
  <c r="K253" i="9"/>
  <c r="L253" i="9" s="1"/>
  <c r="E253" i="9"/>
  <c r="D253" i="9"/>
  <c r="C253" i="9"/>
  <c r="E252" i="9"/>
  <c r="D252" i="9"/>
  <c r="C252" i="9"/>
  <c r="K251" i="9"/>
  <c r="E251" i="9"/>
  <c r="D251" i="9"/>
  <c r="C251" i="9"/>
  <c r="K250" i="9"/>
  <c r="E250" i="9"/>
  <c r="D250" i="9"/>
  <c r="C250" i="9"/>
  <c r="K249" i="9"/>
  <c r="E249" i="9"/>
  <c r="D249" i="9"/>
  <c r="C249" i="9"/>
  <c r="K248" i="9"/>
  <c r="E248" i="9"/>
  <c r="D248" i="9"/>
  <c r="C248" i="9"/>
  <c r="K247" i="9"/>
  <c r="L247" i="9" s="1"/>
  <c r="E247" i="9"/>
  <c r="D247" i="9"/>
  <c r="C247" i="9"/>
  <c r="K246" i="9"/>
  <c r="L246" i="9" s="1"/>
  <c r="D246" i="9"/>
  <c r="C246" i="9"/>
  <c r="K245" i="9"/>
  <c r="E245" i="9"/>
  <c r="D245" i="9"/>
  <c r="C245" i="9"/>
  <c r="L244" i="9"/>
  <c r="E244" i="9"/>
  <c r="D244" i="9"/>
  <c r="C244" i="9"/>
  <c r="K243" i="9"/>
  <c r="E243" i="9"/>
  <c r="D243" i="9"/>
  <c r="C243" i="9"/>
  <c r="K242" i="9"/>
  <c r="E242" i="9"/>
  <c r="D242" i="9"/>
  <c r="C242" i="9"/>
  <c r="K241" i="9"/>
  <c r="E241" i="9"/>
  <c r="D241" i="9"/>
  <c r="C241" i="9"/>
  <c r="K240" i="9"/>
  <c r="L240" i="9" s="1"/>
  <c r="E240" i="9"/>
  <c r="D240" i="9"/>
  <c r="C240" i="9"/>
  <c r="K239" i="9"/>
  <c r="E239" i="9"/>
  <c r="D239" i="9"/>
  <c r="C239" i="9"/>
  <c r="K238" i="9"/>
  <c r="E238" i="9"/>
  <c r="D238" i="9"/>
  <c r="C238" i="9"/>
  <c r="K237" i="9"/>
  <c r="E237" i="9"/>
  <c r="D237" i="9"/>
  <c r="C237" i="9"/>
  <c r="K236" i="9"/>
  <c r="E236" i="9"/>
  <c r="D236" i="9"/>
  <c r="C236" i="9"/>
  <c r="K235" i="9"/>
  <c r="E235" i="9"/>
  <c r="D235" i="9"/>
  <c r="C235" i="9"/>
  <c r="E234" i="9"/>
  <c r="D234" i="9"/>
  <c r="C234" i="9"/>
  <c r="K233" i="9"/>
  <c r="E233" i="9"/>
  <c r="D233" i="9"/>
  <c r="C233" i="9"/>
  <c r="J230" i="9"/>
  <c r="K228" i="9"/>
  <c r="L228" i="9" s="1"/>
  <c r="E228" i="9"/>
  <c r="D228" i="9"/>
  <c r="C228" i="9"/>
  <c r="E227" i="9"/>
  <c r="D227" i="9"/>
  <c r="C227" i="9"/>
  <c r="K226" i="9"/>
  <c r="L226" i="9" s="1"/>
  <c r="E226" i="9"/>
  <c r="D226" i="9"/>
  <c r="C226" i="9"/>
  <c r="K225" i="9"/>
  <c r="E225" i="9"/>
  <c r="D225" i="9"/>
  <c r="C225" i="9"/>
  <c r="K224" i="9"/>
  <c r="E224" i="9"/>
  <c r="D224" i="9"/>
  <c r="C224" i="9"/>
  <c r="K223" i="9"/>
  <c r="L223" i="9" s="1"/>
  <c r="E223" i="9"/>
  <c r="D223" i="9"/>
  <c r="C223" i="9"/>
  <c r="L222" i="9"/>
  <c r="E222" i="9"/>
  <c r="D222" i="9"/>
  <c r="C222" i="9"/>
  <c r="K221" i="9"/>
  <c r="L221" i="9" s="1"/>
  <c r="E221" i="9"/>
  <c r="D221" i="9"/>
  <c r="C221" i="9"/>
  <c r="K220" i="9"/>
  <c r="E220" i="9"/>
  <c r="D220" i="9"/>
  <c r="K219" i="9"/>
  <c r="L219" i="9" s="1"/>
  <c r="E219" i="9"/>
  <c r="D219" i="9"/>
  <c r="C219" i="9"/>
  <c r="K218" i="9"/>
  <c r="L218" i="9" s="1"/>
  <c r="E218" i="9"/>
  <c r="D218" i="9"/>
  <c r="C218" i="9"/>
  <c r="K217" i="9"/>
  <c r="E217" i="9"/>
  <c r="D217" i="9"/>
  <c r="K216" i="9"/>
  <c r="E216" i="9"/>
  <c r="D216" i="9"/>
  <c r="C216" i="9"/>
  <c r="K215" i="9"/>
  <c r="L215" i="9" s="1"/>
  <c r="E215" i="9"/>
  <c r="D215" i="9"/>
  <c r="C215" i="9"/>
  <c r="K214" i="9"/>
  <c r="L214" i="9" s="1"/>
  <c r="E214" i="9"/>
  <c r="D214" i="9"/>
  <c r="C214" i="9"/>
  <c r="K213" i="9"/>
  <c r="L213" i="9" s="1"/>
  <c r="E213" i="9"/>
  <c r="D213" i="9"/>
  <c r="C213" i="9"/>
  <c r="L212" i="9"/>
  <c r="K212" i="9"/>
  <c r="E212" i="9"/>
  <c r="D212" i="9"/>
  <c r="C212" i="9"/>
  <c r="K211" i="9"/>
  <c r="L211" i="9" s="1"/>
  <c r="E211" i="9"/>
  <c r="D211" i="9"/>
  <c r="C211" i="9"/>
  <c r="K210" i="9"/>
  <c r="L210" i="9" s="1"/>
  <c r="E210" i="9"/>
  <c r="D210" i="9"/>
  <c r="C210" i="9"/>
  <c r="K209" i="9"/>
  <c r="L209" i="9" s="1"/>
  <c r="E209" i="9"/>
  <c r="D209" i="9"/>
  <c r="C209" i="9"/>
  <c r="K208" i="9"/>
  <c r="L208" i="9" s="1"/>
  <c r="E208" i="9"/>
  <c r="D208" i="9"/>
  <c r="C208" i="9"/>
  <c r="K207" i="9"/>
  <c r="L207" i="9" s="1"/>
  <c r="E207" i="9"/>
  <c r="D207" i="9"/>
  <c r="C207" i="9"/>
  <c r="K206" i="9"/>
  <c r="L206" i="9" s="1"/>
  <c r="E206" i="9"/>
  <c r="D206" i="9"/>
  <c r="C206" i="9"/>
  <c r="K205" i="9"/>
  <c r="L205" i="9" s="1"/>
  <c r="E205" i="9"/>
  <c r="D205" i="9"/>
  <c r="C205" i="9"/>
  <c r="K204" i="9"/>
  <c r="L204" i="9" s="1"/>
  <c r="E204" i="9"/>
  <c r="D204" i="9"/>
  <c r="C204" i="9"/>
  <c r="K203" i="9"/>
  <c r="L203" i="9" s="1"/>
  <c r="E203" i="9"/>
  <c r="D203" i="9"/>
  <c r="C203" i="9"/>
  <c r="K202" i="9"/>
  <c r="E202" i="9"/>
  <c r="D202" i="9"/>
  <c r="C202" i="9"/>
  <c r="K201" i="9"/>
  <c r="E201" i="9"/>
  <c r="D201" i="9"/>
  <c r="C201" i="9"/>
  <c r="K200" i="9"/>
  <c r="L200" i="9" s="1"/>
  <c r="E200" i="9"/>
  <c r="D200" i="9"/>
  <c r="C200" i="9"/>
  <c r="K199" i="9"/>
  <c r="E199" i="9"/>
  <c r="D199" i="9"/>
  <c r="C199" i="9"/>
  <c r="K198" i="9"/>
  <c r="L198" i="9" s="1"/>
  <c r="E198" i="9"/>
  <c r="D198" i="9"/>
  <c r="C198" i="9"/>
  <c r="K197" i="9"/>
  <c r="L197" i="9" s="1"/>
  <c r="E197" i="9"/>
  <c r="D197" i="9"/>
  <c r="C197" i="9"/>
  <c r="K196" i="9"/>
  <c r="L196" i="9" s="1"/>
  <c r="E196" i="9"/>
  <c r="D196" i="9"/>
  <c r="C196" i="9"/>
  <c r="K195" i="9"/>
  <c r="L195" i="9" s="1"/>
  <c r="E195" i="9"/>
  <c r="D195" i="9"/>
  <c r="C195" i="9"/>
  <c r="K194" i="9"/>
  <c r="L194" i="9" s="1"/>
  <c r="E194" i="9"/>
  <c r="D194" i="9"/>
  <c r="C194" i="9"/>
  <c r="K193" i="9"/>
  <c r="L193" i="9" s="1"/>
  <c r="E193" i="9"/>
  <c r="D193" i="9"/>
  <c r="C193" i="9"/>
  <c r="K192" i="9"/>
  <c r="L192" i="9" s="1"/>
  <c r="D192" i="9"/>
  <c r="C192" i="9"/>
  <c r="L191" i="9"/>
  <c r="E191" i="9"/>
  <c r="D191" i="9"/>
  <c r="C191" i="9"/>
  <c r="K190" i="9"/>
  <c r="E190" i="9"/>
  <c r="D190" i="9"/>
  <c r="C190" i="9"/>
  <c r="K189" i="9"/>
  <c r="E189" i="9"/>
  <c r="D189" i="9"/>
  <c r="C189" i="9"/>
  <c r="K188" i="9"/>
  <c r="E188" i="9"/>
  <c r="D188" i="9"/>
  <c r="C188" i="9"/>
  <c r="L187" i="9"/>
  <c r="E187" i="9"/>
  <c r="D187" i="9"/>
  <c r="C187" i="9"/>
  <c r="L186" i="9"/>
  <c r="E186" i="9"/>
  <c r="D186" i="9"/>
  <c r="C186" i="9"/>
  <c r="L185" i="9"/>
  <c r="E185" i="9"/>
  <c r="D185" i="9"/>
  <c r="C185" i="9"/>
  <c r="K184" i="9"/>
  <c r="E184" i="9"/>
  <c r="D184" i="9"/>
  <c r="C184" i="9"/>
  <c r="K183" i="9"/>
  <c r="E183" i="9"/>
  <c r="D183" i="9"/>
  <c r="C183" i="9"/>
  <c r="L182" i="9"/>
  <c r="E182" i="9"/>
  <c r="D182" i="9"/>
  <c r="C182" i="9"/>
  <c r="L181" i="9"/>
  <c r="E181" i="9"/>
  <c r="D181" i="9"/>
  <c r="C181" i="9"/>
  <c r="K180" i="9"/>
  <c r="L180" i="9" s="1"/>
  <c r="E180" i="9"/>
  <c r="D180" i="9"/>
  <c r="C180" i="9"/>
  <c r="K179" i="9"/>
  <c r="L179" i="9" s="1"/>
  <c r="E179" i="9"/>
  <c r="D179" i="9"/>
  <c r="C179" i="9"/>
  <c r="K178" i="9"/>
  <c r="L178" i="9" s="1"/>
  <c r="E178" i="9"/>
  <c r="D178" i="9"/>
  <c r="C178" i="9"/>
  <c r="L177" i="9"/>
  <c r="E177" i="9"/>
  <c r="D177" i="9"/>
  <c r="C177" i="9"/>
  <c r="K176" i="9"/>
  <c r="E176" i="9"/>
  <c r="D176" i="9"/>
  <c r="C176" i="9"/>
  <c r="K175" i="9"/>
  <c r="E175" i="9"/>
  <c r="D175" i="9"/>
  <c r="C175" i="9"/>
  <c r="K174" i="9"/>
  <c r="E174" i="9"/>
  <c r="D174" i="9"/>
  <c r="C174" i="9"/>
  <c r="K173" i="9"/>
  <c r="E173" i="9"/>
  <c r="D173" i="9"/>
  <c r="C173" i="9"/>
  <c r="E172" i="9"/>
  <c r="D172" i="9"/>
  <c r="C172" i="9"/>
  <c r="K171" i="9"/>
  <c r="L171" i="9" s="1"/>
  <c r="E171" i="9"/>
  <c r="D171" i="9"/>
  <c r="C171" i="9"/>
  <c r="K170" i="9"/>
  <c r="L170" i="9" s="1"/>
  <c r="L167" i="9" s="1"/>
  <c r="E170" i="9"/>
  <c r="D170" i="9"/>
  <c r="C170" i="9"/>
  <c r="L169" i="9"/>
  <c r="E169" i="9"/>
  <c r="D169" i="9"/>
  <c r="C169" i="9"/>
  <c r="J166" i="9"/>
  <c r="K164" i="9"/>
  <c r="L164" i="9" s="1"/>
  <c r="E164" i="9"/>
  <c r="D164" i="9"/>
  <c r="C164" i="9"/>
  <c r="E163" i="9"/>
  <c r="D163" i="9"/>
  <c r="C163" i="9"/>
  <c r="K162" i="9"/>
  <c r="E162" i="9"/>
  <c r="D162" i="9"/>
  <c r="C162" i="9"/>
  <c r="E161" i="9"/>
  <c r="D161" i="9"/>
  <c r="C161" i="9"/>
  <c r="L160" i="9"/>
  <c r="E160" i="9"/>
  <c r="D160" i="9"/>
  <c r="C160" i="9"/>
  <c r="K159" i="9"/>
  <c r="E159" i="9"/>
  <c r="D159" i="9"/>
  <c r="C159" i="9"/>
  <c r="K158" i="9"/>
  <c r="E158" i="9"/>
  <c r="D158" i="9"/>
  <c r="C158" i="9"/>
  <c r="K157" i="9"/>
  <c r="L157" i="9" s="1"/>
  <c r="E157" i="9"/>
  <c r="D157" i="9"/>
  <c r="C157" i="9"/>
  <c r="K156" i="9"/>
  <c r="L156" i="9" s="1"/>
  <c r="E156" i="9"/>
  <c r="D156" i="9"/>
  <c r="C156" i="9"/>
  <c r="K155" i="9"/>
  <c r="L155" i="9" s="1"/>
  <c r="E155" i="9"/>
  <c r="D155" i="9"/>
  <c r="C155" i="9"/>
  <c r="K154" i="9"/>
  <c r="E154" i="9"/>
  <c r="D154" i="9"/>
  <c r="C154" i="9"/>
  <c r="K153" i="9"/>
  <c r="L153" i="9" s="1"/>
  <c r="E153" i="9"/>
  <c r="D153" i="9"/>
  <c r="C153" i="9"/>
  <c r="K152" i="9"/>
  <c r="L152" i="9" s="1"/>
  <c r="E152" i="9"/>
  <c r="D152" i="9"/>
  <c r="C152" i="9"/>
  <c r="K151" i="9"/>
  <c r="L151" i="9" s="1"/>
  <c r="E151" i="9"/>
  <c r="D151" i="9"/>
  <c r="C151" i="9"/>
  <c r="K150" i="9"/>
  <c r="L150" i="9" s="1"/>
  <c r="E150" i="9"/>
  <c r="D150" i="9"/>
  <c r="C150" i="9"/>
  <c r="K149" i="9"/>
  <c r="E149" i="9"/>
  <c r="D149" i="9"/>
  <c r="C149" i="9"/>
  <c r="K148" i="9"/>
  <c r="E148" i="9"/>
  <c r="D148" i="9"/>
  <c r="C148" i="9"/>
  <c r="K147" i="9"/>
  <c r="E147" i="9"/>
  <c r="D147" i="9"/>
  <c r="C147" i="9"/>
  <c r="K146" i="9"/>
  <c r="E146" i="9"/>
  <c r="D146" i="9"/>
  <c r="C146" i="9"/>
  <c r="L145" i="9"/>
  <c r="E145" i="9"/>
  <c r="D145" i="9"/>
  <c r="C145" i="9"/>
  <c r="K144" i="9"/>
  <c r="E144" i="9"/>
  <c r="D144" i="9"/>
  <c r="C144" i="9"/>
  <c r="L143" i="9"/>
  <c r="E143" i="9"/>
  <c r="D143" i="9"/>
  <c r="C143" i="9"/>
  <c r="J140" i="9"/>
  <c r="K138" i="9"/>
  <c r="L138" i="9" s="1"/>
  <c r="E138" i="9"/>
  <c r="D138" i="9"/>
  <c r="C138" i="9"/>
  <c r="E136" i="9"/>
  <c r="D136" i="9"/>
  <c r="C136" i="9"/>
  <c r="K135" i="9"/>
  <c r="L135" i="9" s="1"/>
  <c r="E135" i="9"/>
  <c r="D135" i="9"/>
  <c r="C135" i="9"/>
  <c r="K134" i="9"/>
  <c r="L134" i="9" s="1"/>
  <c r="E134" i="9"/>
  <c r="D134" i="9"/>
  <c r="C134" i="9"/>
  <c r="K133" i="9"/>
  <c r="L133" i="9" s="1"/>
  <c r="E133" i="9"/>
  <c r="D133" i="9"/>
  <c r="C133" i="9"/>
  <c r="K132" i="9"/>
  <c r="L132" i="9" s="1"/>
  <c r="E132" i="9"/>
  <c r="D132" i="9"/>
  <c r="C132" i="9"/>
  <c r="E131" i="9"/>
  <c r="D131" i="9"/>
  <c r="C131" i="9"/>
  <c r="E130" i="9"/>
  <c r="D130" i="9"/>
  <c r="C130" i="9"/>
  <c r="K129" i="9"/>
  <c r="E129" i="9"/>
  <c r="D129" i="9"/>
  <c r="C129" i="9"/>
  <c r="K128" i="9"/>
  <c r="E128" i="9"/>
  <c r="D128" i="9"/>
  <c r="K127" i="9"/>
  <c r="L127" i="9" s="1"/>
  <c r="E127" i="9"/>
  <c r="D127" i="9"/>
  <c r="C127" i="9"/>
  <c r="K126" i="9"/>
  <c r="L126" i="9" s="1"/>
  <c r="E126" i="9"/>
  <c r="D126" i="9"/>
  <c r="C126" i="9"/>
  <c r="K125" i="9"/>
  <c r="L125" i="9" s="1"/>
  <c r="E125" i="9"/>
  <c r="D125" i="9"/>
  <c r="C125" i="9"/>
  <c r="K124" i="9"/>
  <c r="E124" i="9"/>
  <c r="D124" i="9"/>
  <c r="C124" i="9"/>
  <c r="K123" i="9"/>
  <c r="L123" i="9" s="1"/>
  <c r="E123" i="9"/>
  <c r="D123" i="9"/>
  <c r="C123" i="9"/>
  <c r="K122" i="9"/>
  <c r="L122" i="9" s="1"/>
  <c r="E122" i="9"/>
  <c r="D122" i="9"/>
  <c r="C122" i="9"/>
  <c r="K121" i="9"/>
  <c r="L121" i="9" s="1"/>
  <c r="E121" i="9"/>
  <c r="D121" i="9"/>
  <c r="C121" i="9"/>
  <c r="K120" i="9"/>
  <c r="E120" i="9"/>
  <c r="D120" i="9"/>
  <c r="C120" i="9"/>
  <c r="K119" i="9"/>
  <c r="L119" i="9" s="1"/>
  <c r="E119" i="9"/>
  <c r="D119" i="9"/>
  <c r="C119" i="9"/>
  <c r="L118" i="9"/>
  <c r="E118" i="9"/>
  <c r="D118" i="9"/>
  <c r="C118" i="9"/>
  <c r="K117" i="9"/>
  <c r="L117" i="9" s="1"/>
  <c r="E117" i="9"/>
  <c r="D117" i="9"/>
  <c r="C117" i="9"/>
  <c r="K116" i="9"/>
  <c r="L116" i="9" s="1"/>
  <c r="E116" i="9"/>
  <c r="D116" i="9"/>
  <c r="C116" i="9"/>
  <c r="K115" i="9"/>
  <c r="L115" i="9" s="1"/>
  <c r="E115" i="9"/>
  <c r="D115" i="9"/>
  <c r="C115" i="9"/>
  <c r="K114" i="9"/>
  <c r="E114" i="9"/>
  <c r="D114" i="9"/>
  <c r="C114" i="9"/>
  <c r="K113" i="9"/>
  <c r="E113" i="9"/>
  <c r="D113" i="9"/>
  <c r="C113" i="9"/>
  <c r="K112" i="9"/>
  <c r="L112" i="9" s="1"/>
  <c r="E112" i="9"/>
  <c r="D112" i="9"/>
  <c r="C112" i="9"/>
  <c r="K111" i="9"/>
  <c r="L111" i="9" s="1"/>
  <c r="E111" i="9"/>
  <c r="D111" i="9"/>
  <c r="C111" i="9"/>
  <c r="K110" i="9"/>
  <c r="L110" i="9" s="1"/>
  <c r="E110" i="9"/>
  <c r="D110" i="9"/>
  <c r="C110" i="9"/>
  <c r="K109" i="9"/>
  <c r="L109" i="9" s="1"/>
  <c r="E109" i="9"/>
  <c r="D109" i="9"/>
  <c r="C109" i="9"/>
  <c r="K108" i="9"/>
  <c r="L108" i="9" s="1"/>
  <c r="E108" i="9"/>
  <c r="D108" i="9"/>
  <c r="C108" i="9"/>
  <c r="K107" i="9"/>
  <c r="L107" i="9" s="1"/>
  <c r="E107" i="9"/>
  <c r="D107" i="9"/>
  <c r="C107" i="9"/>
  <c r="K106" i="9"/>
  <c r="L106" i="9" s="1"/>
  <c r="E106" i="9"/>
  <c r="D106" i="9"/>
  <c r="C106" i="9"/>
  <c r="K105" i="9"/>
  <c r="E105" i="9"/>
  <c r="D105" i="9"/>
  <c r="C105" i="9"/>
  <c r="E104" i="9"/>
  <c r="D104" i="9"/>
  <c r="C104" i="9"/>
  <c r="K103" i="9"/>
  <c r="L103" i="9" s="1"/>
  <c r="E103" i="9"/>
  <c r="D103" i="9"/>
  <c r="C103" i="9"/>
  <c r="K102" i="9"/>
  <c r="E102" i="9"/>
  <c r="D102" i="9"/>
  <c r="C102" i="9"/>
  <c r="K101" i="9"/>
  <c r="E101" i="9"/>
  <c r="D101" i="9"/>
  <c r="C101" i="9"/>
  <c r="K100" i="9"/>
  <c r="E100" i="9"/>
  <c r="D100" i="9"/>
  <c r="C100" i="9"/>
  <c r="K99" i="9"/>
  <c r="E99" i="9"/>
  <c r="D99" i="9"/>
  <c r="C99" i="9"/>
  <c r="L98" i="9"/>
  <c r="E98" i="9"/>
  <c r="D98" i="9"/>
  <c r="C98" i="9"/>
  <c r="K97" i="9"/>
  <c r="L97" i="9" s="1"/>
  <c r="D97" i="9"/>
  <c r="C97" i="9"/>
  <c r="L96" i="9"/>
  <c r="D96" i="9"/>
  <c r="C96" i="9"/>
  <c r="L95" i="9"/>
  <c r="E95" i="9"/>
  <c r="D95" i="9"/>
  <c r="C95" i="9"/>
  <c r="K94" i="9"/>
  <c r="E94" i="9"/>
  <c r="D94" i="9"/>
  <c r="C94" i="9"/>
  <c r="K93" i="9"/>
  <c r="E93" i="9"/>
  <c r="D93" i="9"/>
  <c r="C93" i="9"/>
  <c r="K92" i="9"/>
  <c r="E92" i="9"/>
  <c r="D92" i="9"/>
  <c r="C92" i="9"/>
  <c r="L91" i="9"/>
  <c r="E91" i="9"/>
  <c r="D91" i="9"/>
  <c r="C91" i="9"/>
  <c r="K90" i="9"/>
  <c r="E90" i="9"/>
  <c r="D90" i="9"/>
  <c r="C90" i="9"/>
  <c r="L89" i="9"/>
  <c r="E89" i="9"/>
  <c r="D89" i="9"/>
  <c r="C89" i="9"/>
  <c r="L88" i="9"/>
  <c r="E88" i="9"/>
  <c r="D88" i="9"/>
  <c r="C88" i="9"/>
  <c r="L87" i="9"/>
  <c r="E87" i="9"/>
  <c r="D87" i="9"/>
  <c r="C87" i="9"/>
  <c r="K86" i="9"/>
  <c r="L86" i="9" s="1"/>
  <c r="E86" i="9"/>
  <c r="D86" i="9"/>
  <c r="C86" i="9"/>
  <c r="K85" i="9"/>
  <c r="L85" i="9" s="1"/>
  <c r="E85" i="9"/>
  <c r="D85" i="9"/>
  <c r="C85" i="9"/>
  <c r="K84" i="9"/>
  <c r="L84" i="9" s="1"/>
  <c r="E84" i="9"/>
  <c r="D84" i="9"/>
  <c r="C84" i="9"/>
  <c r="K83" i="9"/>
  <c r="E83" i="9"/>
  <c r="D83" i="9"/>
  <c r="C83" i="9"/>
  <c r="K82" i="9"/>
  <c r="E82" i="9"/>
  <c r="D82" i="9"/>
  <c r="C82" i="9"/>
  <c r="K81" i="9"/>
  <c r="E81" i="9"/>
  <c r="D81" i="9"/>
  <c r="C81" i="9"/>
  <c r="K80" i="9"/>
  <c r="L80" i="9" s="1"/>
  <c r="E80" i="9"/>
  <c r="D80" i="9"/>
  <c r="C80" i="9"/>
  <c r="E79" i="9"/>
  <c r="D79" i="9"/>
  <c r="C79" i="9"/>
  <c r="K78" i="9"/>
  <c r="E78" i="9"/>
  <c r="D78" i="9"/>
  <c r="C78" i="9"/>
  <c r="K77" i="9"/>
  <c r="E77" i="9"/>
  <c r="D77" i="9"/>
  <c r="C77" i="9"/>
  <c r="E76" i="9"/>
  <c r="D76" i="9"/>
  <c r="C76" i="9"/>
  <c r="K75" i="9"/>
  <c r="E75" i="9"/>
  <c r="D75" i="9"/>
  <c r="C75" i="9"/>
  <c r="J72" i="9"/>
  <c r="K70" i="9"/>
  <c r="L70" i="9" s="1"/>
  <c r="E70" i="9"/>
  <c r="D70" i="9"/>
  <c r="C70" i="9"/>
  <c r="K69" i="9"/>
  <c r="L69" i="9" s="1"/>
  <c r="E69" i="9"/>
  <c r="D69" i="9"/>
  <c r="C69" i="9"/>
  <c r="K68" i="9"/>
  <c r="E68" i="9"/>
  <c r="D68" i="9"/>
  <c r="C68" i="9"/>
  <c r="K67" i="9"/>
  <c r="E67" i="9"/>
  <c r="D67" i="9"/>
  <c r="C67" i="9"/>
  <c r="K66" i="9"/>
  <c r="E66" i="9"/>
  <c r="D66" i="9"/>
  <c r="K65" i="9"/>
  <c r="L65" i="9" s="1"/>
  <c r="E65" i="9"/>
  <c r="D65" i="9"/>
  <c r="C65" i="9"/>
  <c r="K64" i="9"/>
  <c r="L64" i="9" s="1"/>
  <c r="E64" i="9"/>
  <c r="D64" i="9"/>
  <c r="C64" i="9"/>
  <c r="L63" i="9"/>
  <c r="E63" i="9"/>
  <c r="D63" i="9"/>
  <c r="C63" i="9"/>
  <c r="K62" i="9"/>
  <c r="E62" i="9"/>
  <c r="D62" i="9"/>
  <c r="C62" i="9"/>
  <c r="L61" i="9"/>
  <c r="E61" i="9"/>
  <c r="D61" i="9"/>
  <c r="C61" i="9"/>
  <c r="L60" i="9"/>
  <c r="E60" i="9"/>
  <c r="D60" i="9"/>
  <c r="C60" i="9"/>
  <c r="K59" i="9"/>
  <c r="L59" i="9" s="1"/>
  <c r="E59" i="9"/>
  <c r="D59" i="9"/>
  <c r="C59" i="9"/>
  <c r="K58" i="9"/>
  <c r="L58" i="9" s="1"/>
  <c r="E58" i="9"/>
  <c r="D58" i="9"/>
  <c r="C58" i="9"/>
  <c r="K57" i="9"/>
  <c r="E57" i="9"/>
  <c r="D57" i="9"/>
  <c r="C57" i="9"/>
  <c r="K56" i="9"/>
  <c r="L56" i="9" s="1"/>
  <c r="E56" i="9"/>
  <c r="D56" i="9"/>
  <c r="C56" i="9"/>
  <c r="K55" i="9"/>
  <c r="L55" i="9" s="1"/>
  <c r="E55" i="9"/>
  <c r="D55" i="9"/>
  <c r="C55" i="9"/>
  <c r="K54" i="9"/>
  <c r="L54" i="9" s="1"/>
  <c r="E54" i="9"/>
  <c r="D54" i="9"/>
  <c r="C54" i="9"/>
  <c r="K53" i="9"/>
  <c r="L53" i="9" s="1"/>
  <c r="E53" i="9"/>
  <c r="D53" i="9"/>
  <c r="C53" i="9"/>
  <c r="K52" i="9"/>
  <c r="L52" i="9" s="1"/>
  <c r="E52" i="9"/>
  <c r="D52" i="9"/>
  <c r="C52" i="9"/>
  <c r="K51" i="9"/>
  <c r="L51" i="9" s="1"/>
  <c r="E51" i="9"/>
  <c r="D51" i="9"/>
  <c r="C51" i="9"/>
  <c r="K50" i="9"/>
  <c r="L50" i="9" s="1"/>
  <c r="E50" i="9"/>
  <c r="D50" i="9"/>
  <c r="C50" i="9"/>
  <c r="K49" i="9"/>
  <c r="L49" i="9" s="1"/>
  <c r="E49" i="9"/>
  <c r="D49" i="9"/>
  <c r="C49" i="9"/>
  <c r="K48" i="9"/>
  <c r="L48" i="9" s="1"/>
  <c r="E48" i="9"/>
  <c r="D48" i="9"/>
  <c r="C48" i="9"/>
  <c r="K47" i="9"/>
  <c r="E47" i="9"/>
  <c r="D47" i="9"/>
  <c r="C47" i="9"/>
  <c r="K46" i="9"/>
  <c r="E46" i="9"/>
  <c r="D46" i="9"/>
  <c r="C46" i="9"/>
  <c r="L45" i="9"/>
  <c r="E45" i="9"/>
  <c r="D45" i="9"/>
  <c r="C45" i="9"/>
  <c r="K44" i="9"/>
  <c r="E44" i="9"/>
  <c r="D44" i="9"/>
  <c r="C44" i="9"/>
  <c r="K43" i="9"/>
  <c r="L43" i="9" s="1"/>
  <c r="E43" i="9"/>
  <c r="D43" i="9"/>
  <c r="C43" i="9"/>
  <c r="K42" i="9"/>
  <c r="L42" i="9" s="1"/>
  <c r="E42" i="9"/>
  <c r="D42" i="9"/>
  <c r="C42" i="9"/>
  <c r="K41" i="9"/>
  <c r="L41" i="9" s="1"/>
  <c r="E41" i="9"/>
  <c r="D41" i="9"/>
  <c r="C41" i="9"/>
  <c r="K40" i="9"/>
  <c r="L40" i="9" s="1"/>
  <c r="E40" i="9"/>
  <c r="D40" i="9"/>
  <c r="C40" i="9"/>
  <c r="K39" i="9"/>
  <c r="L39" i="9" s="1"/>
  <c r="E39" i="9"/>
  <c r="D39" i="9"/>
  <c r="C39" i="9"/>
  <c r="K38" i="9"/>
  <c r="E38" i="9"/>
  <c r="D38" i="9"/>
  <c r="C38" i="9"/>
  <c r="K37" i="9"/>
  <c r="E37" i="9"/>
  <c r="D37" i="9"/>
  <c r="C37" i="9"/>
  <c r="K36" i="9"/>
  <c r="E36" i="9"/>
  <c r="D36" i="9"/>
  <c r="C36" i="9"/>
  <c r="K35" i="9"/>
  <c r="L35" i="9" s="1"/>
  <c r="E35" i="9"/>
  <c r="D35" i="9"/>
  <c r="C35" i="9"/>
  <c r="K34" i="9"/>
  <c r="E34" i="9"/>
  <c r="D34" i="9"/>
  <c r="C34" i="9"/>
  <c r="K33" i="9"/>
  <c r="E33" i="9"/>
  <c r="D33" i="9"/>
  <c r="C33" i="9"/>
  <c r="K32" i="9"/>
  <c r="E32" i="9"/>
  <c r="D32" i="9"/>
  <c r="C32" i="9"/>
  <c r="K31" i="9"/>
  <c r="E31" i="9"/>
  <c r="D31" i="9"/>
  <c r="C31" i="9"/>
  <c r="K30" i="9"/>
  <c r="E30" i="9"/>
  <c r="D30" i="9"/>
  <c r="C30" i="9"/>
  <c r="K29" i="9"/>
  <c r="E29" i="9"/>
  <c r="D29" i="9"/>
  <c r="C29" i="9"/>
  <c r="K28" i="9"/>
  <c r="E28" i="9"/>
  <c r="D28" i="9"/>
  <c r="C28" i="9"/>
  <c r="K27" i="9"/>
  <c r="L27" i="9" s="1"/>
  <c r="E27" i="9"/>
  <c r="D27" i="9"/>
  <c r="C27" i="9"/>
  <c r="K26" i="9"/>
  <c r="E26" i="9"/>
  <c r="D26" i="9"/>
  <c r="C26" i="9"/>
  <c r="K25" i="9"/>
  <c r="E25" i="9"/>
  <c r="D25" i="9"/>
  <c r="C25" i="9"/>
  <c r="K24" i="9"/>
  <c r="E24" i="9"/>
  <c r="D24" i="9"/>
  <c r="C24" i="9"/>
  <c r="K23" i="9"/>
  <c r="E23" i="9"/>
  <c r="D23" i="9"/>
  <c r="C23" i="9"/>
  <c r="K22" i="9"/>
  <c r="E22" i="9"/>
  <c r="D22" i="9"/>
  <c r="C22" i="9"/>
  <c r="K21" i="9"/>
  <c r="E21" i="9"/>
  <c r="D21" i="9"/>
  <c r="C21" i="9"/>
  <c r="K20" i="9"/>
  <c r="E20" i="9"/>
  <c r="D20" i="9"/>
  <c r="C20" i="9"/>
  <c r="K19" i="9"/>
  <c r="L19" i="9" s="1"/>
  <c r="E19" i="9"/>
  <c r="D19" i="9"/>
  <c r="C19" i="9"/>
  <c r="K18" i="9"/>
  <c r="L18" i="9" s="1"/>
  <c r="E18" i="9"/>
  <c r="D18" i="9"/>
  <c r="C18" i="9"/>
  <c r="K17" i="9"/>
  <c r="E17" i="9"/>
  <c r="D17" i="9"/>
  <c r="C17" i="9"/>
  <c r="K16" i="9"/>
  <c r="E16" i="9"/>
  <c r="D16" i="9"/>
  <c r="C16" i="9"/>
  <c r="K15" i="9"/>
  <c r="E15" i="9"/>
  <c r="D15" i="9"/>
  <c r="C15" i="9"/>
  <c r="K14" i="9"/>
  <c r="L14" i="9" s="1"/>
  <c r="E14" i="9"/>
  <c r="D14" i="9"/>
  <c r="C14" i="9"/>
  <c r="K13" i="9"/>
  <c r="E13" i="9"/>
  <c r="D13" i="9"/>
  <c r="C13" i="9"/>
  <c r="K12" i="9"/>
  <c r="E12" i="9"/>
  <c r="D12" i="9"/>
  <c r="C12" i="9"/>
  <c r="K11" i="9"/>
  <c r="E11" i="9"/>
  <c r="D11" i="9"/>
  <c r="C11" i="9"/>
  <c r="K10" i="9"/>
  <c r="E10" i="9"/>
  <c r="D10" i="9"/>
  <c r="C10" i="9"/>
  <c r="L9" i="9"/>
  <c r="E9" i="9"/>
  <c r="D9" i="9"/>
  <c r="C9" i="9"/>
  <c r="K8" i="9"/>
  <c r="L8" i="9" s="1"/>
  <c r="L6" i="9" s="1"/>
  <c r="E8" i="9"/>
  <c r="D8" i="9"/>
  <c r="C8" i="9"/>
  <c r="J5" i="9"/>
  <c r="K363" i="8"/>
  <c r="E363" i="8"/>
  <c r="D363" i="8"/>
  <c r="C363" i="8"/>
  <c r="K362" i="8"/>
  <c r="E362" i="8"/>
  <c r="D362" i="8"/>
  <c r="C362" i="8"/>
  <c r="K361" i="8"/>
  <c r="L361" i="8" s="1"/>
  <c r="E361" i="8"/>
  <c r="D361" i="8"/>
  <c r="C361" i="8"/>
  <c r="K360" i="8"/>
  <c r="L360" i="8" s="1"/>
  <c r="E360" i="8"/>
  <c r="D360" i="8"/>
  <c r="C360" i="8"/>
  <c r="K359" i="8"/>
  <c r="E359" i="8"/>
  <c r="D359" i="8"/>
  <c r="C359" i="8"/>
  <c r="K358" i="8"/>
  <c r="E358" i="8"/>
  <c r="D358" i="8"/>
  <c r="C358" i="8"/>
  <c r="K357" i="8"/>
  <c r="E357" i="8"/>
  <c r="D357" i="8"/>
  <c r="C357" i="8"/>
  <c r="K356" i="8"/>
  <c r="E356" i="8"/>
  <c r="D356" i="8"/>
  <c r="C356" i="8"/>
  <c r="K355" i="8"/>
  <c r="E355" i="8"/>
  <c r="D355" i="8"/>
  <c r="C355" i="8"/>
  <c r="K354" i="8"/>
  <c r="E354" i="8"/>
  <c r="D354" i="8"/>
  <c r="C354" i="8"/>
  <c r="K353" i="8"/>
  <c r="E353" i="8"/>
  <c r="D353" i="8"/>
  <c r="C353" i="8"/>
  <c r="K352" i="8"/>
  <c r="E352" i="8"/>
  <c r="D352" i="8"/>
  <c r="C352" i="8"/>
  <c r="K351" i="8"/>
  <c r="L351" i="8" s="1"/>
  <c r="E351" i="8"/>
  <c r="D351" i="8"/>
  <c r="C351" i="8"/>
  <c r="K350" i="8"/>
  <c r="L350" i="8" s="1"/>
  <c r="D350" i="8"/>
  <c r="C350" i="8"/>
  <c r="K349" i="8"/>
  <c r="E349" i="8"/>
  <c r="D349" i="8"/>
  <c r="C349" i="8"/>
  <c r="K348" i="8"/>
  <c r="E348" i="8"/>
  <c r="D348" i="8"/>
  <c r="C348" i="8"/>
  <c r="K347" i="8"/>
  <c r="E347" i="8"/>
  <c r="D347" i="8"/>
  <c r="C347" i="8"/>
  <c r="K346" i="8"/>
  <c r="E346" i="8"/>
  <c r="D346" i="8"/>
  <c r="C346" i="8"/>
  <c r="K345" i="8"/>
  <c r="E345" i="8"/>
  <c r="D345" i="8"/>
  <c r="C345" i="8"/>
  <c r="K344" i="8"/>
  <c r="E344" i="8"/>
  <c r="D344" i="8"/>
  <c r="C344" i="8"/>
  <c r="K343" i="8"/>
  <c r="E343" i="8"/>
  <c r="D343" i="8"/>
  <c r="C343" i="8"/>
  <c r="K342" i="8"/>
  <c r="E342" i="8"/>
  <c r="D342" i="8"/>
  <c r="C342" i="8"/>
  <c r="K341" i="8"/>
  <c r="E341" i="8"/>
  <c r="D341" i="8"/>
  <c r="C341" i="8"/>
  <c r="K340" i="8"/>
  <c r="L340" i="8" s="1"/>
  <c r="L337" i="8" s="1"/>
  <c r="E340" i="8"/>
  <c r="D340" i="8"/>
  <c r="C340" i="8"/>
  <c r="K339" i="8"/>
  <c r="E339" i="8"/>
  <c r="D339" i="8"/>
  <c r="C339" i="8"/>
  <c r="H337" i="8"/>
  <c r="J336" i="8"/>
  <c r="K334" i="8"/>
  <c r="E334" i="8"/>
  <c r="D334" i="8"/>
  <c r="C334" i="8"/>
  <c r="K333" i="8"/>
  <c r="E333" i="8"/>
  <c r="D333" i="8"/>
  <c r="C333" i="8"/>
  <c r="K332" i="8"/>
  <c r="L332" i="8" s="1"/>
  <c r="E332" i="8"/>
  <c r="D332" i="8"/>
  <c r="C332" i="8"/>
  <c r="K331" i="8"/>
  <c r="L331" i="8" s="1"/>
  <c r="E331" i="8"/>
  <c r="D331" i="8"/>
  <c r="C331" i="8"/>
  <c r="K330" i="8"/>
  <c r="L330" i="8" s="1"/>
  <c r="E330" i="8"/>
  <c r="D330" i="8"/>
  <c r="C330" i="8"/>
  <c r="K329" i="8"/>
  <c r="E329" i="8"/>
  <c r="D329" i="8"/>
  <c r="C329" i="8"/>
  <c r="K328" i="8"/>
  <c r="E328" i="8"/>
  <c r="D328" i="8"/>
  <c r="C328" i="8"/>
  <c r="K327" i="8"/>
  <c r="L327" i="8" s="1"/>
  <c r="E327" i="8"/>
  <c r="D327" i="8"/>
  <c r="C327" i="8"/>
  <c r="K326" i="8"/>
  <c r="L326" i="8" s="1"/>
  <c r="E326" i="8"/>
  <c r="D326" i="8"/>
  <c r="C326" i="8"/>
  <c r="K325" i="8"/>
  <c r="L325" i="8" s="1"/>
  <c r="E325" i="8"/>
  <c r="D325" i="8"/>
  <c r="C325" i="8"/>
  <c r="K324" i="8"/>
  <c r="L324" i="8" s="1"/>
  <c r="E324" i="8"/>
  <c r="D324" i="8"/>
  <c r="C324" i="8"/>
  <c r="K323" i="8"/>
  <c r="L323" i="8" s="1"/>
  <c r="E323" i="8"/>
  <c r="D323" i="8"/>
  <c r="C323" i="8"/>
  <c r="K322" i="8"/>
  <c r="L322" i="8" s="1"/>
  <c r="E322" i="8"/>
  <c r="D322" i="8"/>
  <c r="C322" i="8"/>
  <c r="L321" i="8"/>
  <c r="E321" i="8"/>
  <c r="D321" i="8"/>
  <c r="C321" i="8"/>
  <c r="K320" i="8"/>
  <c r="L320" i="8" s="1"/>
  <c r="E320" i="8"/>
  <c r="D320" i="8"/>
  <c r="C320" i="8"/>
  <c r="K319" i="8"/>
  <c r="E319" i="8"/>
  <c r="D319" i="8"/>
  <c r="C319" i="8"/>
  <c r="K318" i="8"/>
  <c r="L318" i="8" s="1"/>
  <c r="E318" i="8"/>
  <c r="D318" i="8"/>
  <c r="C318" i="8"/>
  <c r="K317" i="8"/>
  <c r="L317" i="8" s="1"/>
  <c r="E317" i="8"/>
  <c r="D317" i="8"/>
  <c r="C317" i="8"/>
  <c r="L316" i="8"/>
  <c r="E316" i="8"/>
  <c r="D316" i="8"/>
  <c r="C316" i="8"/>
  <c r="K315" i="8"/>
  <c r="L315" i="8" s="1"/>
  <c r="E315" i="8"/>
  <c r="D315" i="8"/>
  <c r="C315" i="8"/>
  <c r="L314" i="8"/>
  <c r="E314" i="8"/>
  <c r="D314" i="8"/>
  <c r="C314" i="8"/>
  <c r="K313" i="8"/>
  <c r="E313" i="8"/>
  <c r="D313" i="8"/>
  <c r="C313" i="8"/>
  <c r="K312" i="8"/>
  <c r="L312" i="8" s="1"/>
  <c r="E312" i="8"/>
  <c r="D312" i="8"/>
  <c r="C312" i="8"/>
  <c r="K311" i="8"/>
  <c r="L311" i="8" s="1"/>
  <c r="E311" i="8"/>
  <c r="D311" i="8"/>
  <c r="C311" i="8"/>
  <c r="K310" i="8"/>
  <c r="L310" i="8" s="1"/>
  <c r="E310" i="8"/>
  <c r="D310" i="8"/>
  <c r="C310" i="8"/>
  <c r="K309" i="8"/>
  <c r="E309" i="8"/>
  <c r="D309" i="8"/>
  <c r="C309" i="8"/>
  <c r="K308" i="8"/>
  <c r="E308" i="8"/>
  <c r="D308" i="8"/>
  <c r="C308" i="8"/>
  <c r="K307" i="8"/>
  <c r="E307" i="8"/>
  <c r="D307" i="8"/>
  <c r="C307" i="8"/>
  <c r="K306" i="8"/>
  <c r="E306" i="8"/>
  <c r="D306" i="8"/>
  <c r="C306" i="8"/>
  <c r="K305" i="8"/>
  <c r="E305" i="8"/>
  <c r="D305" i="8"/>
  <c r="C305" i="8"/>
  <c r="L304" i="8"/>
  <c r="E304" i="8"/>
  <c r="D304" i="8"/>
  <c r="C304" i="8"/>
  <c r="K303" i="8"/>
  <c r="E303" i="8"/>
  <c r="D303" i="8"/>
  <c r="C303" i="8"/>
  <c r="L302" i="8"/>
  <c r="E302" i="8"/>
  <c r="D302" i="8"/>
  <c r="C302" i="8"/>
  <c r="K301" i="8"/>
  <c r="E301" i="8"/>
  <c r="D301" i="8"/>
  <c r="C301" i="8"/>
  <c r="K300" i="8"/>
  <c r="E300" i="8"/>
  <c r="D300" i="8"/>
  <c r="C300" i="8"/>
  <c r="L299" i="8"/>
  <c r="E299" i="8"/>
  <c r="D299" i="8"/>
  <c r="C299" i="8"/>
  <c r="H297" i="8"/>
  <c r="J296" i="8"/>
  <c r="K294" i="8"/>
  <c r="L294" i="8" s="1"/>
  <c r="E294" i="8"/>
  <c r="D294" i="8"/>
  <c r="C294" i="8"/>
  <c r="K293" i="8"/>
  <c r="L293" i="8" s="1"/>
  <c r="E293" i="8"/>
  <c r="D293" i="8"/>
  <c r="C293" i="8"/>
  <c r="K292" i="8"/>
  <c r="L292" i="8" s="1"/>
  <c r="E292" i="8"/>
  <c r="D292" i="8"/>
  <c r="K291" i="8"/>
  <c r="L291" i="8" s="1"/>
  <c r="E291" i="8"/>
  <c r="D291" i="8"/>
  <c r="C291" i="8"/>
  <c r="K290" i="8"/>
  <c r="E290" i="8"/>
  <c r="D290" i="8"/>
  <c r="C290" i="8"/>
  <c r="K289" i="8"/>
  <c r="E289" i="8"/>
  <c r="D289" i="8"/>
  <c r="C289" i="8"/>
  <c r="K288" i="8"/>
  <c r="L288" i="8" s="1"/>
  <c r="E288" i="8"/>
  <c r="D288" i="8"/>
  <c r="C288" i="8"/>
  <c r="K287" i="8"/>
  <c r="L287" i="8" s="1"/>
  <c r="E287" i="8"/>
  <c r="D287" i="8"/>
  <c r="C287" i="8"/>
  <c r="K286" i="8"/>
  <c r="L286" i="8" s="1"/>
  <c r="E286" i="8"/>
  <c r="D286" i="8"/>
  <c r="C286" i="8"/>
  <c r="K285" i="8"/>
  <c r="E285" i="8"/>
  <c r="D285" i="8"/>
  <c r="C285" i="8"/>
  <c r="K284" i="8"/>
  <c r="L284" i="8" s="1"/>
  <c r="E284" i="8"/>
  <c r="D284" i="8"/>
  <c r="C284" i="8"/>
  <c r="K283" i="8"/>
  <c r="E283" i="8"/>
  <c r="D283" i="8"/>
  <c r="C283" i="8"/>
  <c r="K282" i="8"/>
  <c r="E282" i="8"/>
  <c r="D282" i="8"/>
  <c r="L281" i="8"/>
  <c r="E281" i="8"/>
  <c r="D281" i="8"/>
  <c r="C281" i="8"/>
  <c r="K280" i="8"/>
  <c r="E280" i="8"/>
  <c r="D280" i="8"/>
  <c r="C280" i="8"/>
  <c r="K279" i="8"/>
  <c r="L279" i="8" s="1"/>
  <c r="E279" i="8"/>
  <c r="D279" i="8"/>
  <c r="C279" i="8"/>
  <c r="L278" i="8"/>
  <c r="E278" i="8"/>
  <c r="D278" i="8"/>
  <c r="C278" i="8"/>
  <c r="K277" i="8"/>
  <c r="L277" i="8" s="1"/>
  <c r="E277" i="8"/>
  <c r="D277" i="8"/>
  <c r="C277" i="8"/>
  <c r="K276" i="8"/>
  <c r="L276" i="8" s="1"/>
  <c r="E276" i="8"/>
  <c r="D276" i="8"/>
  <c r="C276" i="8"/>
  <c r="K275" i="8"/>
  <c r="L275" i="8" s="1"/>
  <c r="E275" i="8"/>
  <c r="D275" i="8"/>
  <c r="C275" i="8"/>
  <c r="K274" i="8"/>
  <c r="L274" i="8" s="1"/>
  <c r="E274" i="8"/>
  <c r="D274" i="8"/>
  <c r="C274" i="8"/>
  <c r="K273" i="8"/>
  <c r="E273" i="8"/>
  <c r="D273" i="8"/>
  <c r="C273" i="8"/>
  <c r="L272" i="8"/>
  <c r="E272" i="8"/>
  <c r="D272" i="8"/>
  <c r="C272" i="8"/>
  <c r="L271" i="8"/>
  <c r="E271" i="8"/>
  <c r="D271" i="8"/>
  <c r="C271" i="8"/>
  <c r="K270" i="8"/>
  <c r="L270" i="8" s="1"/>
  <c r="E270" i="8"/>
  <c r="D270" i="8"/>
  <c r="C270" i="8"/>
  <c r="K269" i="8"/>
  <c r="L269" i="8" s="1"/>
  <c r="E269" i="8"/>
  <c r="D269" i="8"/>
  <c r="C269" i="8"/>
  <c r="K268" i="8"/>
  <c r="L268" i="8" s="1"/>
  <c r="E268" i="8"/>
  <c r="D268" i="8"/>
  <c r="C268" i="8"/>
  <c r="L267" i="8"/>
  <c r="E267" i="8"/>
  <c r="D267" i="8"/>
  <c r="C267" i="8"/>
  <c r="K266" i="8"/>
  <c r="L266" i="8" s="1"/>
  <c r="E266" i="8"/>
  <c r="D266" i="8"/>
  <c r="C266" i="8"/>
  <c r="K265" i="8"/>
  <c r="E265" i="8"/>
  <c r="D265" i="8"/>
  <c r="C265" i="8"/>
  <c r="K264" i="8"/>
  <c r="L264" i="8" s="1"/>
  <c r="E264" i="8"/>
  <c r="D264" i="8"/>
  <c r="C264" i="8"/>
  <c r="K263" i="8"/>
  <c r="L263" i="8" s="1"/>
  <c r="E263" i="8"/>
  <c r="D263" i="8"/>
  <c r="C263" i="8"/>
  <c r="K262" i="8"/>
  <c r="L262" i="8" s="1"/>
  <c r="E262" i="8"/>
  <c r="D262" i="8"/>
  <c r="C262" i="8"/>
  <c r="K261" i="8"/>
  <c r="L261" i="8" s="1"/>
  <c r="E261" i="8"/>
  <c r="D261" i="8"/>
  <c r="C261" i="8"/>
  <c r="K260" i="8"/>
  <c r="L260" i="8" s="1"/>
  <c r="E260" i="8"/>
  <c r="D260" i="8"/>
  <c r="C260" i="8"/>
  <c r="K259" i="8"/>
  <c r="E259" i="8"/>
  <c r="D259" i="8"/>
  <c r="C259" i="8"/>
  <c r="K258" i="8"/>
  <c r="E258" i="8"/>
  <c r="D258" i="8"/>
  <c r="C258" i="8"/>
  <c r="K257" i="8"/>
  <c r="E257" i="8"/>
  <c r="D257" i="8"/>
  <c r="C257" i="8"/>
  <c r="K256" i="8"/>
  <c r="E256" i="8"/>
  <c r="D256" i="8"/>
  <c r="C256" i="8"/>
  <c r="K255" i="8"/>
  <c r="E255" i="8"/>
  <c r="D255" i="8"/>
  <c r="C255" i="8"/>
  <c r="K254" i="8"/>
  <c r="E254" i="8"/>
  <c r="D254" i="8"/>
  <c r="C254" i="8"/>
  <c r="K253" i="8"/>
  <c r="E253" i="8"/>
  <c r="D253" i="8"/>
  <c r="C253" i="8"/>
  <c r="K252" i="8"/>
  <c r="E252" i="8"/>
  <c r="D252" i="8"/>
  <c r="C252" i="8"/>
  <c r="K251" i="8"/>
  <c r="L251" i="8" s="1"/>
  <c r="E251" i="8"/>
  <c r="D251" i="8"/>
  <c r="C251" i="8"/>
  <c r="K250" i="8"/>
  <c r="L250" i="8" s="1"/>
  <c r="E250" i="8"/>
  <c r="D250" i="8"/>
  <c r="C250" i="8"/>
  <c r="K249" i="8"/>
  <c r="L249" i="8" s="1"/>
  <c r="E249" i="8"/>
  <c r="D249" i="8"/>
  <c r="C249" i="8"/>
  <c r="K248" i="8"/>
  <c r="E248" i="8"/>
  <c r="D248" i="8"/>
  <c r="C248" i="8"/>
  <c r="K247" i="8"/>
  <c r="E247" i="8"/>
  <c r="D247" i="8"/>
  <c r="C247" i="8"/>
  <c r="K246" i="8"/>
  <c r="E246" i="8"/>
  <c r="D246" i="8"/>
  <c r="C246" i="8"/>
  <c r="K245" i="8"/>
  <c r="E245" i="8"/>
  <c r="D245" i="8"/>
  <c r="C245" i="8"/>
  <c r="K244" i="8"/>
  <c r="L244" i="8" s="1"/>
  <c r="L242" i="8" s="1"/>
  <c r="E244" i="8"/>
  <c r="D244" i="8"/>
  <c r="C244" i="8"/>
  <c r="H242" i="8"/>
  <c r="J241" i="8"/>
  <c r="K239" i="8"/>
  <c r="L239" i="8" s="1"/>
  <c r="E239" i="8"/>
  <c r="D239" i="8"/>
  <c r="C239" i="8"/>
  <c r="K238" i="8"/>
  <c r="L238" i="8" s="1"/>
  <c r="E238" i="8"/>
  <c r="D238" i="8"/>
  <c r="C238" i="8"/>
  <c r="K237" i="8"/>
  <c r="L237" i="8" s="1"/>
  <c r="E237" i="8"/>
  <c r="D237" i="8"/>
  <c r="C237" i="8"/>
  <c r="K236" i="8"/>
  <c r="E236" i="8"/>
  <c r="D236" i="8"/>
  <c r="C236" i="8"/>
  <c r="K235" i="8"/>
  <c r="E235" i="8"/>
  <c r="D235" i="8"/>
  <c r="C235" i="8"/>
  <c r="K234" i="8"/>
  <c r="L234" i="8" s="1"/>
  <c r="E234" i="8"/>
  <c r="D234" i="8"/>
  <c r="C234" i="8"/>
  <c r="K233" i="8"/>
  <c r="L233" i="8" s="1"/>
  <c r="E233" i="8"/>
  <c r="D233" i="8"/>
  <c r="C233" i="8"/>
  <c r="K232" i="8"/>
  <c r="E232" i="8"/>
  <c r="D232" i="8"/>
  <c r="C232" i="8"/>
  <c r="K231" i="8"/>
  <c r="L231" i="8" s="1"/>
  <c r="E231" i="8"/>
  <c r="D231" i="8"/>
  <c r="K230" i="8"/>
  <c r="L230" i="8" s="1"/>
  <c r="E230" i="8"/>
  <c r="D230" i="8"/>
  <c r="C230" i="8"/>
  <c r="K229" i="8"/>
  <c r="L229" i="8" s="1"/>
  <c r="E229" i="8"/>
  <c r="D229" i="8"/>
  <c r="C229" i="8"/>
  <c r="K228" i="8"/>
  <c r="E228" i="8"/>
  <c r="D228" i="8"/>
  <c r="C228" i="8"/>
  <c r="K227" i="8"/>
  <c r="L227" i="8" s="1"/>
  <c r="E227" i="8"/>
  <c r="D227" i="8"/>
  <c r="C227" i="8"/>
  <c r="K226" i="8"/>
  <c r="L226" i="8" s="1"/>
  <c r="E226" i="8"/>
  <c r="D226" i="8"/>
  <c r="C226" i="8"/>
  <c r="K225" i="8"/>
  <c r="L225" i="8" s="1"/>
  <c r="E225" i="8"/>
  <c r="D225" i="8"/>
  <c r="C225" i="8"/>
  <c r="K224" i="8"/>
  <c r="E224" i="8"/>
  <c r="D224" i="8"/>
  <c r="C224" i="8"/>
  <c r="L223" i="8"/>
  <c r="E223" i="8"/>
  <c r="D223" i="8"/>
  <c r="C223" i="8"/>
  <c r="L222" i="8"/>
  <c r="E222" i="8"/>
  <c r="D222" i="8"/>
  <c r="C222" i="8"/>
  <c r="K221" i="8"/>
  <c r="L221" i="8" s="1"/>
  <c r="E221" i="8"/>
  <c r="D221" i="8"/>
  <c r="C221" i="8"/>
  <c r="L220" i="8"/>
  <c r="E220" i="8"/>
  <c r="D220" i="8"/>
  <c r="C220" i="8"/>
  <c r="K219" i="8"/>
  <c r="E219" i="8"/>
  <c r="D219" i="8"/>
  <c r="C219" i="8"/>
  <c r="K218" i="8"/>
  <c r="E218" i="8"/>
  <c r="D218" i="8"/>
  <c r="C218" i="8"/>
  <c r="K217" i="8"/>
  <c r="E217" i="8"/>
  <c r="D217" i="8"/>
  <c r="C217" i="8"/>
  <c r="L216" i="8"/>
  <c r="E216" i="8"/>
  <c r="D216" i="8"/>
  <c r="C216" i="8"/>
  <c r="K215" i="8"/>
  <c r="E215" i="8"/>
  <c r="D215" i="8"/>
  <c r="C215" i="8"/>
  <c r="K214" i="8"/>
  <c r="L214" i="8" s="1"/>
  <c r="E214" i="8"/>
  <c r="D214" i="8"/>
  <c r="C214" i="8"/>
  <c r="K213" i="8"/>
  <c r="L213" i="8" s="1"/>
  <c r="E213" i="8"/>
  <c r="D213" i="8"/>
  <c r="C213" i="8"/>
  <c r="K212" i="8"/>
  <c r="L212" i="8" s="1"/>
  <c r="E212" i="8"/>
  <c r="D212" i="8"/>
  <c r="C212" i="8"/>
  <c r="H210" i="8"/>
  <c r="J209" i="8"/>
  <c r="K207" i="8"/>
  <c r="E207" i="8"/>
  <c r="D207" i="8"/>
  <c r="C207" i="8"/>
  <c r="K206" i="8"/>
  <c r="L206" i="8" s="1"/>
  <c r="E206" i="8"/>
  <c r="D206" i="8"/>
  <c r="C206" i="8"/>
  <c r="K205" i="8"/>
  <c r="E205" i="8"/>
  <c r="D205" i="8"/>
  <c r="C205" i="8"/>
  <c r="K204" i="8"/>
  <c r="L204" i="8" s="1"/>
  <c r="E204" i="8"/>
  <c r="D204" i="8"/>
  <c r="C204" i="8"/>
  <c r="K203" i="8"/>
  <c r="L203" i="8" s="1"/>
  <c r="E203" i="8"/>
  <c r="D203" i="8"/>
  <c r="C203" i="8"/>
  <c r="L202" i="8"/>
  <c r="E202" i="8"/>
  <c r="D202" i="8"/>
  <c r="C202" i="8"/>
  <c r="K201" i="8"/>
  <c r="L201" i="8" s="1"/>
  <c r="E201" i="8"/>
  <c r="D201" i="8"/>
  <c r="C201" i="8"/>
  <c r="K200" i="8"/>
  <c r="E200" i="8"/>
  <c r="D200" i="8"/>
  <c r="C200" i="8"/>
  <c r="K199" i="8"/>
  <c r="L199" i="8" s="1"/>
  <c r="E199" i="8"/>
  <c r="D199" i="8"/>
  <c r="C199" i="8"/>
  <c r="K198" i="8"/>
  <c r="E198" i="8"/>
  <c r="D198" i="8"/>
  <c r="C198" i="8"/>
  <c r="K197" i="8"/>
  <c r="L197" i="8" s="1"/>
  <c r="E197" i="8"/>
  <c r="D197" i="8"/>
  <c r="C197" i="8"/>
  <c r="K196" i="8"/>
  <c r="E196" i="8"/>
  <c r="D196" i="8"/>
  <c r="C196" i="8"/>
  <c r="K195" i="8"/>
  <c r="L195" i="8" s="1"/>
  <c r="E195" i="8"/>
  <c r="D195" i="8"/>
  <c r="C195" i="8"/>
  <c r="K194" i="8"/>
  <c r="E194" i="8"/>
  <c r="D194" i="8"/>
  <c r="C194" i="8"/>
  <c r="K193" i="8"/>
  <c r="L193" i="8" s="1"/>
  <c r="E193" i="8"/>
  <c r="D193" i="8"/>
  <c r="C193" i="8"/>
  <c r="K192" i="8"/>
  <c r="E192" i="8"/>
  <c r="D192" i="8"/>
  <c r="C192" i="8"/>
  <c r="K191" i="8"/>
  <c r="L191" i="8" s="1"/>
  <c r="E191" i="8"/>
  <c r="D191" i="8"/>
  <c r="C191" i="8"/>
  <c r="K190" i="8"/>
  <c r="L190" i="8" s="1"/>
  <c r="E190" i="8"/>
  <c r="D190" i="8"/>
  <c r="C190" i="8"/>
  <c r="K189" i="8"/>
  <c r="E189" i="8"/>
  <c r="D189" i="8"/>
  <c r="C189" i="8"/>
  <c r="K188" i="8"/>
  <c r="L188" i="8" s="1"/>
  <c r="E188" i="8"/>
  <c r="D188" i="8"/>
  <c r="C188" i="8"/>
  <c r="K187" i="8"/>
  <c r="E187" i="8"/>
  <c r="D187" i="8"/>
  <c r="C187" i="8"/>
  <c r="K186" i="8"/>
  <c r="L186" i="8" s="1"/>
  <c r="E186" i="8"/>
  <c r="D186" i="8"/>
  <c r="C186" i="8"/>
  <c r="K185" i="8"/>
  <c r="E185" i="8"/>
  <c r="D185" i="8"/>
  <c r="C185" i="8"/>
  <c r="K184" i="8"/>
  <c r="E184" i="8"/>
  <c r="D184" i="8"/>
  <c r="C184" i="8"/>
  <c r="K183" i="8"/>
  <c r="L183" i="8" s="1"/>
  <c r="E183" i="8"/>
  <c r="D183" i="8"/>
  <c r="C183" i="8"/>
  <c r="K182" i="8"/>
  <c r="E182" i="8"/>
  <c r="D182" i="8"/>
  <c r="C182" i="8"/>
  <c r="K181" i="8"/>
  <c r="L181" i="8" s="1"/>
  <c r="E181" i="8"/>
  <c r="D181" i="8"/>
  <c r="C181" i="8"/>
  <c r="K180" i="8"/>
  <c r="E180" i="8"/>
  <c r="D180" i="8"/>
  <c r="C180" i="8"/>
  <c r="K179" i="8"/>
  <c r="E179" i="8"/>
  <c r="D179" i="8"/>
  <c r="C179" i="8"/>
  <c r="H177" i="8"/>
  <c r="J176" i="8"/>
  <c r="K174" i="8"/>
  <c r="E174" i="8"/>
  <c r="D174" i="8"/>
  <c r="C174" i="8"/>
  <c r="K173" i="8"/>
  <c r="L173" i="8" s="1"/>
  <c r="E173" i="8"/>
  <c r="D173" i="8"/>
  <c r="C173" i="8"/>
  <c r="K172" i="8"/>
  <c r="E172" i="8"/>
  <c r="D172" i="8"/>
  <c r="C172" i="8"/>
  <c r="K171" i="8"/>
  <c r="L171" i="8" s="1"/>
  <c r="E171" i="8"/>
  <c r="D171" i="8"/>
  <c r="C171" i="8"/>
  <c r="K170" i="8"/>
  <c r="L170" i="8" s="1"/>
  <c r="E170" i="8"/>
  <c r="D170" i="8"/>
  <c r="C170" i="8"/>
  <c r="K169" i="8"/>
  <c r="L169" i="8" s="1"/>
  <c r="E169" i="8"/>
  <c r="D169" i="8"/>
  <c r="C169" i="8"/>
  <c r="K168" i="8"/>
  <c r="E168" i="8"/>
  <c r="D168" i="8"/>
  <c r="C168" i="8"/>
  <c r="K167" i="8"/>
  <c r="L167" i="8" s="1"/>
  <c r="E167" i="8"/>
  <c r="D167" i="8"/>
  <c r="C167" i="8"/>
  <c r="K166" i="8"/>
  <c r="E166" i="8"/>
  <c r="D166" i="8"/>
  <c r="C166" i="8"/>
  <c r="K165" i="8"/>
  <c r="E165" i="8"/>
  <c r="D165" i="8"/>
  <c r="C165" i="8"/>
  <c r="K164" i="8"/>
  <c r="L164" i="8" s="1"/>
  <c r="E164" i="8"/>
  <c r="D164" i="8"/>
  <c r="C164" i="8"/>
  <c r="K163" i="8"/>
  <c r="L163" i="8" s="1"/>
  <c r="E163" i="8"/>
  <c r="D163" i="8"/>
  <c r="C163" i="8"/>
  <c r="K162" i="8"/>
  <c r="L162" i="8" s="1"/>
  <c r="E162" i="8"/>
  <c r="D162" i="8"/>
  <c r="C162" i="8"/>
  <c r="K161" i="8"/>
  <c r="L161" i="8" s="1"/>
  <c r="E161" i="8"/>
  <c r="D161" i="8"/>
  <c r="C161" i="8"/>
  <c r="K160" i="8"/>
  <c r="E160" i="8"/>
  <c r="D160" i="8"/>
  <c r="C160" i="8"/>
  <c r="K159" i="8"/>
  <c r="L159" i="8" s="1"/>
  <c r="E159" i="8"/>
  <c r="D159" i="8"/>
  <c r="C159" i="8"/>
  <c r="L158" i="8"/>
  <c r="E158" i="8"/>
  <c r="D158" i="8"/>
  <c r="C158" i="8"/>
  <c r="K157" i="8"/>
  <c r="E157" i="8"/>
  <c r="D157" i="8"/>
  <c r="C157" i="8"/>
  <c r="K156" i="8"/>
  <c r="L156" i="8" s="1"/>
  <c r="E156" i="8"/>
  <c r="D156" i="8"/>
  <c r="C156" i="8"/>
  <c r="K155" i="8"/>
  <c r="L155" i="8" s="1"/>
  <c r="E155" i="8"/>
  <c r="D155" i="8"/>
  <c r="C155" i="8"/>
  <c r="K154" i="8"/>
  <c r="L154" i="8" s="1"/>
  <c r="E154" i="8"/>
  <c r="D154" i="8"/>
  <c r="C154" i="8"/>
  <c r="K153" i="8"/>
  <c r="L153" i="8" s="1"/>
  <c r="E153" i="8"/>
  <c r="D153" i="8"/>
  <c r="C153" i="8"/>
  <c r="L152" i="8"/>
  <c r="E152" i="8"/>
  <c r="D152" i="8"/>
  <c r="C152" i="8"/>
  <c r="K151" i="8"/>
  <c r="L151" i="8" s="1"/>
  <c r="E151" i="8"/>
  <c r="D151" i="8"/>
  <c r="C151" i="8"/>
  <c r="L150" i="8"/>
  <c r="E150" i="8"/>
  <c r="D150" i="8"/>
  <c r="C150" i="8"/>
  <c r="K149" i="8"/>
  <c r="L149" i="8" s="1"/>
  <c r="E149" i="8"/>
  <c r="D149" i="8"/>
  <c r="C149" i="8"/>
  <c r="K148" i="8"/>
  <c r="L148" i="8" s="1"/>
  <c r="E148" i="8"/>
  <c r="D148" i="8"/>
  <c r="C148" i="8"/>
  <c r="L147" i="8"/>
  <c r="E147" i="8"/>
  <c r="D147" i="8"/>
  <c r="C147" i="8"/>
  <c r="L146" i="8"/>
  <c r="E146" i="8"/>
  <c r="D146" i="8"/>
  <c r="C146" i="8"/>
  <c r="K145" i="8"/>
  <c r="E145" i="8"/>
  <c r="D145" i="8"/>
  <c r="C145" i="8"/>
  <c r="L144" i="8"/>
  <c r="E144" i="8"/>
  <c r="D144" i="8"/>
  <c r="C144" i="8"/>
  <c r="K143" i="8"/>
  <c r="E143" i="8"/>
  <c r="D143" i="8"/>
  <c r="C143" i="8"/>
  <c r="L142" i="8"/>
  <c r="E142" i="8"/>
  <c r="D142" i="8"/>
  <c r="C142" i="8"/>
  <c r="L141" i="8"/>
  <c r="E141" i="8"/>
  <c r="D141" i="8"/>
  <c r="C141" i="8"/>
  <c r="K140" i="8"/>
  <c r="E140" i="8"/>
  <c r="D140" i="8"/>
  <c r="C140" i="8"/>
  <c r="K139" i="8"/>
  <c r="E139" i="8"/>
  <c r="D139" i="8"/>
  <c r="C139" i="8"/>
  <c r="K138" i="8"/>
  <c r="L138" i="8" s="1"/>
  <c r="E138" i="8"/>
  <c r="D138" i="8"/>
  <c r="C138" i="8"/>
  <c r="K137" i="8"/>
  <c r="D137" i="8"/>
  <c r="C137" i="8"/>
  <c r="H135" i="8"/>
  <c r="J134" i="8"/>
  <c r="K132" i="8"/>
  <c r="L132" i="8" s="1"/>
  <c r="E132" i="8"/>
  <c r="D132" i="8"/>
  <c r="C132" i="8"/>
  <c r="K129" i="8"/>
  <c r="L129" i="8" s="1"/>
  <c r="E129" i="8"/>
  <c r="D129" i="8"/>
  <c r="C129" i="8"/>
  <c r="K128" i="8"/>
  <c r="L128" i="8" s="1"/>
  <c r="E128" i="8"/>
  <c r="D128" i="8"/>
  <c r="C128" i="8"/>
  <c r="K127" i="8"/>
  <c r="E127" i="8"/>
  <c r="D127" i="8"/>
  <c r="C127" i="8"/>
  <c r="K126" i="8"/>
  <c r="L126" i="8" s="1"/>
  <c r="E126" i="8"/>
  <c r="D126" i="8"/>
  <c r="C126" i="8"/>
  <c r="K125" i="8"/>
  <c r="E125" i="8"/>
  <c r="D125" i="8"/>
  <c r="C125" i="8"/>
  <c r="K124" i="8"/>
  <c r="L124" i="8" s="1"/>
  <c r="E124" i="8"/>
  <c r="D124" i="8"/>
  <c r="C124" i="8"/>
  <c r="L123" i="8"/>
  <c r="E123" i="8"/>
  <c r="D123" i="8"/>
  <c r="C123" i="8"/>
  <c r="K122" i="8"/>
  <c r="L122" i="8" s="1"/>
  <c r="E122" i="8"/>
  <c r="D122" i="8"/>
  <c r="C122" i="8"/>
  <c r="K121" i="8"/>
  <c r="L121" i="8" s="1"/>
  <c r="E121" i="8"/>
  <c r="D121" i="8"/>
  <c r="L120" i="8"/>
  <c r="K120" i="8"/>
  <c r="E120" i="8"/>
  <c r="D120" i="8"/>
  <c r="C120" i="8"/>
  <c r="K119" i="8"/>
  <c r="E119" i="8"/>
  <c r="D119" i="8"/>
  <c r="K118" i="8"/>
  <c r="L118" i="8" s="1"/>
  <c r="E118" i="8"/>
  <c r="D118" i="8"/>
  <c r="C118" i="8"/>
  <c r="K117" i="8"/>
  <c r="L117" i="8" s="1"/>
  <c r="E117" i="8"/>
  <c r="D117" i="8"/>
  <c r="C117" i="8"/>
  <c r="K116" i="8"/>
  <c r="L116" i="8" s="1"/>
  <c r="E116" i="8"/>
  <c r="D116" i="8"/>
  <c r="C116" i="8"/>
  <c r="K115" i="8"/>
  <c r="L115" i="8" s="1"/>
  <c r="E115" i="8"/>
  <c r="D115" i="8"/>
  <c r="C115" i="8"/>
  <c r="K114" i="8"/>
  <c r="L114" i="8" s="1"/>
  <c r="E114" i="8"/>
  <c r="D114" i="8"/>
  <c r="C114" i="8"/>
  <c r="K113" i="8"/>
  <c r="L113" i="8" s="1"/>
  <c r="E113" i="8"/>
  <c r="D113" i="8"/>
  <c r="C113" i="8"/>
  <c r="K112" i="8"/>
  <c r="E112" i="8"/>
  <c r="D112" i="8"/>
  <c r="C112" i="8"/>
  <c r="K111" i="8"/>
  <c r="E111" i="8"/>
  <c r="D111" i="8"/>
  <c r="C111" i="8"/>
  <c r="K110" i="8"/>
  <c r="L110" i="8" s="1"/>
  <c r="E110" i="8"/>
  <c r="D110" i="8"/>
  <c r="C110" i="8"/>
  <c r="K109" i="8"/>
  <c r="E109" i="8"/>
  <c r="D109" i="8"/>
  <c r="C109" i="8"/>
  <c r="L108" i="8"/>
  <c r="E108" i="8"/>
  <c r="D108" i="8"/>
  <c r="C108" i="8"/>
  <c r="K107" i="8"/>
  <c r="E107" i="8"/>
  <c r="D107" i="8"/>
  <c r="C107" i="8"/>
  <c r="K106" i="8"/>
  <c r="L106" i="8" s="1"/>
  <c r="E106" i="8"/>
  <c r="D106" i="8"/>
  <c r="C106" i="8"/>
  <c r="L105" i="8"/>
  <c r="E105" i="8"/>
  <c r="D105" i="8"/>
  <c r="C105" i="8"/>
  <c r="K104" i="8"/>
  <c r="L104" i="8" s="1"/>
  <c r="E104" i="8"/>
  <c r="D104" i="8"/>
  <c r="C104" i="8"/>
  <c r="K103" i="8"/>
  <c r="L103" i="8" s="1"/>
  <c r="E103" i="8"/>
  <c r="D103" i="8"/>
  <c r="C103" i="8"/>
  <c r="L102" i="8"/>
  <c r="E102" i="8"/>
  <c r="D102" i="8"/>
  <c r="C102" i="8"/>
  <c r="K101" i="8"/>
  <c r="E101" i="8"/>
  <c r="D101" i="8"/>
  <c r="C101" i="8"/>
  <c r="K100" i="8"/>
  <c r="L100" i="8" s="1"/>
  <c r="E100" i="8"/>
  <c r="D100" i="8"/>
  <c r="C100" i="8"/>
  <c r="K99" i="8"/>
  <c r="E99" i="8"/>
  <c r="D99" i="8"/>
  <c r="C99" i="8"/>
  <c r="K98" i="8"/>
  <c r="L98" i="8" s="1"/>
  <c r="E98" i="8"/>
  <c r="D98" i="8"/>
  <c r="C98" i="8"/>
  <c r="L97" i="8"/>
  <c r="E97" i="8"/>
  <c r="D97" i="8"/>
  <c r="C97" i="8"/>
  <c r="L96" i="8"/>
  <c r="E96" i="8"/>
  <c r="D96" i="8"/>
  <c r="C96" i="8"/>
  <c r="K95" i="8"/>
  <c r="E95" i="8"/>
  <c r="D95" i="8"/>
  <c r="C95" i="8"/>
  <c r="K94" i="8"/>
  <c r="E94" i="8"/>
  <c r="D94" i="8"/>
  <c r="C94" i="8"/>
  <c r="K93" i="8"/>
  <c r="E93" i="8"/>
  <c r="D93" i="8"/>
  <c r="C93" i="8"/>
  <c r="L92" i="8"/>
  <c r="E92" i="8"/>
  <c r="D92" i="8"/>
  <c r="C92" i="8"/>
  <c r="L91" i="8"/>
  <c r="E91" i="8"/>
  <c r="D91" i="8"/>
  <c r="C91" i="8"/>
  <c r="L90" i="8"/>
  <c r="E90" i="8"/>
  <c r="D90" i="8"/>
  <c r="C90" i="8"/>
  <c r="K89" i="8"/>
  <c r="L89" i="8" s="1"/>
  <c r="E89" i="8"/>
  <c r="D89" i="8"/>
  <c r="C89" i="8"/>
  <c r="K88" i="8"/>
  <c r="L88" i="8" s="1"/>
  <c r="E88" i="8"/>
  <c r="D88" i="8"/>
  <c r="C88" i="8"/>
  <c r="K87" i="8"/>
  <c r="E87" i="8"/>
  <c r="D87" i="8"/>
  <c r="C87" i="8"/>
  <c r="L86" i="8"/>
  <c r="E86" i="8"/>
  <c r="D86" i="8"/>
  <c r="C86" i="8"/>
  <c r="K85" i="8"/>
  <c r="E85" i="8"/>
  <c r="D85" i="8"/>
  <c r="C85" i="8"/>
  <c r="K84" i="8"/>
  <c r="L84" i="8" s="1"/>
  <c r="E84" i="8"/>
  <c r="D84" i="8"/>
  <c r="C84" i="8"/>
  <c r="K83" i="8"/>
  <c r="E83" i="8"/>
  <c r="D83" i="8"/>
  <c r="C83" i="8"/>
  <c r="K82" i="8"/>
  <c r="E82" i="8"/>
  <c r="D82" i="8"/>
  <c r="C82" i="8"/>
  <c r="K81" i="8"/>
  <c r="L81" i="8" s="1"/>
  <c r="E81" i="8"/>
  <c r="D81" i="8"/>
  <c r="C81" i="8"/>
  <c r="K80" i="8"/>
  <c r="E80" i="8"/>
  <c r="D80" i="8"/>
  <c r="C80" i="8"/>
  <c r="K79" i="8"/>
  <c r="L79" i="8" s="1"/>
  <c r="E79" i="8"/>
  <c r="D79" i="8"/>
  <c r="C79" i="8"/>
  <c r="K78" i="8"/>
  <c r="L78" i="8" s="1"/>
  <c r="E78" i="8"/>
  <c r="D78" i="8"/>
  <c r="C78" i="8"/>
  <c r="H76" i="8"/>
  <c r="J75" i="8"/>
  <c r="K73" i="8"/>
  <c r="E73" i="8"/>
  <c r="D73" i="8"/>
  <c r="C73" i="8"/>
  <c r="K72" i="8"/>
  <c r="L72" i="8" s="1"/>
  <c r="E72" i="8"/>
  <c r="D72" i="8"/>
  <c r="C72" i="8"/>
  <c r="K71" i="8"/>
  <c r="L71" i="8" s="1"/>
  <c r="D71" i="8"/>
  <c r="C71" i="8"/>
  <c r="L70" i="8"/>
  <c r="E70" i="8"/>
  <c r="D70" i="8"/>
  <c r="C70" i="8"/>
  <c r="K69" i="8"/>
  <c r="E69" i="8"/>
  <c r="D69" i="8"/>
  <c r="C69" i="8"/>
  <c r="K68" i="8"/>
  <c r="E68" i="8"/>
  <c r="D68" i="8"/>
  <c r="C68" i="8"/>
  <c r="L67" i="8"/>
  <c r="E67" i="8"/>
  <c r="D67" i="8"/>
  <c r="C67" i="8"/>
  <c r="L66" i="8"/>
  <c r="E66" i="8"/>
  <c r="D66" i="8"/>
  <c r="C66" i="8"/>
  <c r="K65" i="8"/>
  <c r="E65" i="8"/>
  <c r="D65" i="8"/>
  <c r="C65" i="8"/>
  <c r="K64" i="8"/>
  <c r="L64" i="8" s="1"/>
  <c r="E64" i="8"/>
  <c r="D64" i="8"/>
  <c r="C64" i="8"/>
  <c r="H62" i="8"/>
  <c r="J61" i="8"/>
  <c r="L59" i="8"/>
  <c r="L58" i="8"/>
  <c r="K57" i="8"/>
  <c r="L57" i="8" s="1"/>
  <c r="E57" i="8"/>
  <c r="D57" i="8"/>
  <c r="C57" i="8"/>
  <c r="K56" i="8"/>
  <c r="L56" i="8" s="1"/>
  <c r="E56" i="8"/>
  <c r="D56" i="8"/>
  <c r="C56" i="8"/>
  <c r="K55" i="8"/>
  <c r="L55" i="8" s="1"/>
  <c r="E55" i="8"/>
  <c r="D55" i="8"/>
  <c r="C55" i="8"/>
  <c r="K54" i="8"/>
  <c r="E54" i="8"/>
  <c r="D54" i="8"/>
  <c r="C54" i="8"/>
  <c r="K53" i="8"/>
  <c r="E53" i="8"/>
  <c r="D53" i="8"/>
  <c r="C53" i="8"/>
  <c r="K52" i="8"/>
  <c r="L52" i="8" s="1"/>
  <c r="E52" i="8"/>
  <c r="D52" i="8"/>
  <c r="C52" i="8"/>
  <c r="K51" i="8"/>
  <c r="E51" i="8"/>
  <c r="D51" i="8"/>
  <c r="C51" i="8"/>
  <c r="L50" i="8"/>
  <c r="K50" i="8"/>
  <c r="E50" i="8"/>
  <c r="D50" i="8"/>
  <c r="L49" i="8"/>
  <c r="K49" i="8"/>
  <c r="E49" i="8"/>
  <c r="D49" i="8"/>
  <c r="C49" i="8"/>
  <c r="K48" i="8"/>
  <c r="E48" i="8"/>
  <c r="D48" i="8"/>
  <c r="K47" i="8"/>
  <c r="E47" i="8"/>
  <c r="D47" i="8"/>
  <c r="C47" i="8"/>
  <c r="K46" i="8"/>
  <c r="E46" i="8"/>
  <c r="D46" i="8"/>
  <c r="C46" i="8"/>
  <c r="K45" i="8"/>
  <c r="E45" i="8"/>
  <c r="D45" i="8"/>
  <c r="C45" i="8"/>
  <c r="K44" i="8"/>
  <c r="E44" i="8"/>
  <c r="D44" i="8"/>
  <c r="C44" i="8"/>
  <c r="K43" i="8"/>
  <c r="L43" i="8" s="1"/>
  <c r="E43" i="8"/>
  <c r="D43" i="8"/>
  <c r="C43" i="8"/>
  <c r="L42" i="8"/>
  <c r="E42" i="8"/>
  <c r="D42" i="8"/>
  <c r="C42" i="8"/>
  <c r="K41" i="8"/>
  <c r="E41" i="8"/>
  <c r="D41" i="8"/>
  <c r="C41" i="8"/>
  <c r="K40" i="8"/>
  <c r="L40" i="8" s="1"/>
  <c r="E40" i="8"/>
  <c r="D40" i="8"/>
  <c r="C40" i="8"/>
  <c r="K39" i="8"/>
  <c r="L39" i="8" s="1"/>
  <c r="E39" i="8"/>
  <c r="D39" i="8"/>
  <c r="C39" i="8"/>
  <c r="K38" i="8"/>
  <c r="L38" i="8" s="1"/>
  <c r="E38" i="8"/>
  <c r="D38" i="8"/>
  <c r="C38" i="8"/>
  <c r="K37" i="8"/>
  <c r="L37" i="8" s="1"/>
  <c r="E37" i="8"/>
  <c r="D37" i="8"/>
  <c r="C37" i="8"/>
  <c r="K36" i="8"/>
  <c r="L36" i="8" s="1"/>
  <c r="E36" i="8"/>
  <c r="D36" i="8"/>
  <c r="C36" i="8"/>
  <c r="K35" i="8"/>
  <c r="E35" i="8"/>
  <c r="D35" i="8"/>
  <c r="C35" i="8"/>
  <c r="K34" i="8"/>
  <c r="E34" i="8"/>
  <c r="D34" i="8"/>
  <c r="C34" i="8"/>
  <c r="K33" i="8"/>
  <c r="L33" i="8" s="1"/>
  <c r="E33" i="8"/>
  <c r="D33" i="8"/>
  <c r="C33" i="8"/>
  <c r="L32" i="8"/>
  <c r="E32" i="8"/>
  <c r="D32" i="8"/>
  <c r="C32" i="8"/>
  <c r="K31" i="8"/>
  <c r="L31" i="8" s="1"/>
  <c r="E31" i="8"/>
  <c r="D31" i="8"/>
  <c r="C31" i="8"/>
  <c r="L30" i="8"/>
  <c r="E30" i="8"/>
  <c r="D30" i="8"/>
  <c r="C30" i="8"/>
  <c r="K29" i="8"/>
  <c r="L29" i="8" s="1"/>
  <c r="E29" i="8"/>
  <c r="D29" i="8"/>
  <c r="C29" i="8"/>
  <c r="K28" i="8"/>
  <c r="L28" i="8" s="1"/>
  <c r="E28" i="8"/>
  <c r="D28" i="8"/>
  <c r="C28" i="8"/>
  <c r="K27" i="8"/>
  <c r="L27" i="8" s="1"/>
  <c r="E27" i="8"/>
  <c r="D27" i="8"/>
  <c r="C27" i="8"/>
  <c r="K26" i="8"/>
  <c r="L26" i="8" s="1"/>
  <c r="E26" i="8"/>
  <c r="D26" i="8"/>
  <c r="C26" i="8"/>
  <c r="L25" i="8"/>
  <c r="E25" i="8"/>
  <c r="D25" i="8"/>
  <c r="C25" i="8"/>
  <c r="K24" i="8"/>
  <c r="E24" i="8"/>
  <c r="D24" i="8"/>
  <c r="C24" i="8"/>
  <c r="K23" i="8"/>
  <c r="E23" i="8"/>
  <c r="D23" i="8"/>
  <c r="C23" i="8"/>
  <c r="K22" i="8"/>
  <c r="E22" i="8"/>
  <c r="D22" i="8"/>
  <c r="C22" i="8"/>
  <c r="K21" i="8"/>
  <c r="E21" i="8"/>
  <c r="D21" i="8"/>
  <c r="C21" i="8"/>
  <c r="K20" i="8"/>
  <c r="E20" i="8"/>
  <c r="D20" i="8"/>
  <c r="C20" i="8"/>
  <c r="K19" i="8"/>
  <c r="L19" i="8" s="1"/>
  <c r="E19" i="8"/>
  <c r="D19" i="8"/>
  <c r="C19" i="8"/>
  <c r="K18" i="8"/>
  <c r="D18" i="8"/>
  <c r="C18" i="8"/>
  <c r="K17" i="8"/>
  <c r="L17" i="8" s="1"/>
  <c r="E17" i="8"/>
  <c r="D17" i="8"/>
  <c r="C17" i="8"/>
  <c r="K16" i="8"/>
  <c r="L16" i="8" s="1"/>
  <c r="E16" i="8"/>
  <c r="D16" i="8"/>
  <c r="C16" i="8"/>
  <c r="K15" i="8"/>
  <c r="E15" i="8"/>
  <c r="D15" i="8"/>
  <c r="C15" i="8"/>
  <c r="L14" i="8"/>
  <c r="E14" i="8"/>
  <c r="D14" i="8"/>
  <c r="C14" i="8"/>
  <c r="K13" i="8"/>
  <c r="E13" i="8"/>
  <c r="D13" i="8"/>
  <c r="C13" i="8"/>
  <c r="K12" i="8"/>
  <c r="L12" i="8" s="1"/>
  <c r="E12" i="8"/>
  <c r="D12" i="8"/>
  <c r="C12" i="8"/>
  <c r="K11" i="8"/>
  <c r="E11" i="8"/>
  <c r="D11" i="8"/>
  <c r="C11" i="8"/>
  <c r="K10" i="8"/>
  <c r="E10" i="8"/>
  <c r="D10" i="8"/>
  <c r="C10" i="8"/>
  <c r="L9" i="8"/>
  <c r="E9" i="8"/>
  <c r="D9" i="8"/>
  <c r="C9" i="8"/>
  <c r="L8" i="8"/>
  <c r="E8" i="8"/>
  <c r="D8" i="8"/>
  <c r="C8" i="8"/>
  <c r="H6" i="8"/>
  <c r="J5" i="8"/>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E44" i="6"/>
  <c r="E43" i="6"/>
  <c r="L42" i="6"/>
  <c r="E42" i="6"/>
  <c r="D42" i="6"/>
  <c r="E41" i="6"/>
  <c r="E40" i="6"/>
  <c r="L39" i="6"/>
  <c r="E39" i="6"/>
  <c r="D39" i="6"/>
  <c r="E38" i="6"/>
  <c r="E37" i="6"/>
  <c r="L36" i="6"/>
  <c r="E36" i="6"/>
  <c r="D36" i="6"/>
  <c r="E35" i="6"/>
  <c r="E34" i="6"/>
  <c r="L33" i="6"/>
  <c r="E33" i="6"/>
  <c r="D33" i="6"/>
  <c r="E32" i="6"/>
  <c r="E31" i="6"/>
  <c r="L30" i="6"/>
  <c r="E30" i="6"/>
  <c r="D30" i="6"/>
  <c r="E29" i="6"/>
  <c r="E28" i="6"/>
  <c r="L27" i="6"/>
  <c r="E27" i="6"/>
  <c r="D27" i="6"/>
  <c r="E26" i="6"/>
  <c r="E25" i="6"/>
  <c r="L24" i="6"/>
  <c r="E24" i="6"/>
  <c r="D24" i="6"/>
  <c r="E23" i="6"/>
  <c r="E22" i="6"/>
  <c r="L21" i="6"/>
  <c r="E21" i="6"/>
  <c r="D21" i="6"/>
  <c r="E20" i="6"/>
  <c r="E19" i="6"/>
  <c r="L18" i="6"/>
  <c r="E18" i="6"/>
  <c r="D18" i="6"/>
  <c r="E17" i="6"/>
  <c r="E16" i="6"/>
  <c r="L15" i="6"/>
  <c r="E15" i="6"/>
  <c r="D15" i="6"/>
  <c r="E14" i="6"/>
  <c r="E13" i="6"/>
  <c r="L12" i="6"/>
  <c r="E12" i="6"/>
  <c r="D12" i="6"/>
  <c r="E11" i="6"/>
  <c r="E10" i="6"/>
  <c r="L9" i="6"/>
  <c r="E9" i="6"/>
  <c r="D9" i="6"/>
  <c r="E8" i="6"/>
  <c r="E7" i="6"/>
  <c r="L6" i="6"/>
  <c r="E6" i="6"/>
  <c r="D6" i="6"/>
  <c r="E534" i="5"/>
  <c r="A533" i="5"/>
  <c r="E531" i="5"/>
  <c r="E530" i="5"/>
  <c r="E529" i="5"/>
  <c r="E528" i="5"/>
  <c r="E527" i="5"/>
  <c r="E526" i="5"/>
  <c r="A525" i="5"/>
  <c r="E523" i="5"/>
  <c r="E522" i="5"/>
  <c r="E521" i="5"/>
  <c r="E520" i="5"/>
  <c r="E519" i="5"/>
  <c r="E518" i="5"/>
  <c r="A517" i="5"/>
  <c r="E515" i="5"/>
  <c r="E514" i="5"/>
  <c r="E513" i="5"/>
  <c r="E512" i="5"/>
  <c r="E511" i="5"/>
  <c r="A510" i="5"/>
  <c r="E508" i="5"/>
  <c r="E507" i="5"/>
  <c r="E506" i="5"/>
  <c r="E505" i="5"/>
  <c r="E504" i="5"/>
  <c r="A503" i="5"/>
  <c r="E501" i="5"/>
  <c r="E500" i="5"/>
  <c r="E499" i="5"/>
  <c r="A498" i="5"/>
  <c r="E495" i="5"/>
  <c r="E494" i="5"/>
  <c r="E493" i="5"/>
  <c r="A492" i="5"/>
  <c r="E490" i="5"/>
  <c r="E489" i="5"/>
  <c r="E488" i="5"/>
  <c r="A487" i="5"/>
  <c r="E485" i="5"/>
  <c r="E484" i="5"/>
  <c r="E483" i="5"/>
  <c r="E482" i="5"/>
  <c r="E481" i="5"/>
  <c r="A480" i="5"/>
  <c r="E478" i="5"/>
  <c r="E477" i="5"/>
  <c r="E476" i="5"/>
  <c r="E475" i="5"/>
  <c r="E474" i="5"/>
  <c r="A473" i="5"/>
  <c r="E471" i="5"/>
  <c r="E470" i="5"/>
  <c r="A469" i="5"/>
  <c r="E467" i="5"/>
  <c r="E466" i="5"/>
  <c r="A465" i="5"/>
  <c r="E463" i="5"/>
  <c r="E462" i="5"/>
  <c r="E461" i="5"/>
  <c r="A460" i="5"/>
  <c r="E458" i="5"/>
  <c r="E457" i="5"/>
  <c r="E456" i="5"/>
  <c r="E455" i="5"/>
  <c r="A454" i="5"/>
  <c r="E452" i="5"/>
  <c r="E451" i="5"/>
  <c r="E450" i="5"/>
  <c r="A449" i="5"/>
  <c r="E447" i="5"/>
  <c r="E446" i="5"/>
  <c r="E445" i="5"/>
  <c r="A444" i="5"/>
  <c r="E442" i="5"/>
  <c r="E441" i="5"/>
  <c r="E440" i="5"/>
  <c r="A439" i="5"/>
  <c r="E437" i="5"/>
  <c r="E436" i="5"/>
  <c r="E435" i="5"/>
  <c r="A434" i="5"/>
  <c r="E432" i="5"/>
  <c r="E431" i="5"/>
  <c r="E430" i="5"/>
  <c r="E429" i="5"/>
  <c r="E428" i="5"/>
  <c r="A427" i="5"/>
  <c r="E426" i="5"/>
  <c r="E425" i="5"/>
  <c r="E424" i="5"/>
  <c r="E423" i="5"/>
  <c r="A422" i="5"/>
  <c r="E420" i="5"/>
  <c r="E419" i="5"/>
  <c r="E418" i="5"/>
  <c r="E417" i="5"/>
  <c r="A416" i="5"/>
  <c r="E414" i="5"/>
  <c r="E413" i="5"/>
  <c r="E412" i="5"/>
  <c r="E411" i="5"/>
  <c r="A410" i="5"/>
  <c r="E408" i="5"/>
  <c r="E407" i="5"/>
  <c r="E406" i="5"/>
  <c r="E405" i="5"/>
  <c r="E404" i="5"/>
  <c r="A403" i="5"/>
  <c r="E401" i="5"/>
  <c r="E400" i="5"/>
  <c r="E399" i="5"/>
  <c r="E398" i="5"/>
  <c r="E397" i="5"/>
  <c r="A396" i="5"/>
  <c r="E394" i="5"/>
  <c r="E393" i="5"/>
  <c r="E392" i="5"/>
  <c r="E391" i="5"/>
  <c r="E390" i="5"/>
  <c r="A389" i="5"/>
  <c r="E388" i="5"/>
  <c r="E387" i="5"/>
  <c r="E386" i="5"/>
  <c r="E385" i="5"/>
  <c r="E384" i="5"/>
  <c r="E383" i="5"/>
  <c r="A382" i="5"/>
  <c r="E381" i="5"/>
  <c r="E380" i="5"/>
  <c r="E379" i="5"/>
  <c r="E378" i="5"/>
  <c r="A377" i="5"/>
  <c r="E376" i="5"/>
  <c r="E375" i="5"/>
  <c r="E374" i="5"/>
  <c r="E373" i="5"/>
  <c r="A372" i="5"/>
  <c r="E371" i="5"/>
  <c r="E370" i="5"/>
  <c r="E369" i="5"/>
  <c r="E368" i="5"/>
  <c r="A367" i="5"/>
  <c r="E366" i="5"/>
  <c r="E365" i="5"/>
  <c r="E364" i="5"/>
  <c r="E363" i="5"/>
  <c r="A362" i="5"/>
  <c r="E361" i="5"/>
  <c r="E360" i="5"/>
  <c r="E359" i="5"/>
  <c r="E358" i="5"/>
  <c r="E357" i="5"/>
  <c r="E356" i="5"/>
  <c r="E355" i="5"/>
  <c r="A354" i="5"/>
  <c r="E353" i="5"/>
  <c r="E352" i="5"/>
  <c r="E351" i="5"/>
  <c r="E350" i="5"/>
  <c r="E349" i="5"/>
  <c r="E348" i="5"/>
  <c r="A347" i="5"/>
  <c r="E346" i="5"/>
  <c r="E345" i="5"/>
  <c r="E344" i="5"/>
  <c r="E343" i="5"/>
  <c r="E342" i="5"/>
  <c r="F341" i="5"/>
  <c r="G341" i="5" s="1"/>
  <c r="E341" i="5"/>
  <c r="A340" i="5"/>
  <c r="E339" i="5"/>
  <c r="E338" i="5"/>
  <c r="E337" i="5"/>
  <c r="E336" i="5"/>
  <c r="A335" i="5"/>
  <c r="E334" i="5"/>
  <c r="E333" i="5"/>
  <c r="E332" i="5"/>
  <c r="E331" i="5"/>
  <c r="E330" i="5"/>
  <c r="E329" i="5"/>
  <c r="A328" i="5"/>
  <c r="E327" i="5"/>
  <c r="E326" i="5"/>
  <c r="E325" i="5"/>
  <c r="E324" i="5"/>
  <c r="E323" i="5"/>
  <c r="E322" i="5"/>
  <c r="E321" i="5"/>
  <c r="A320" i="5"/>
  <c r="E319" i="5"/>
  <c r="E318" i="5"/>
  <c r="E317" i="5"/>
  <c r="E316" i="5"/>
  <c r="E315" i="5"/>
  <c r="E314" i="5"/>
  <c r="A313" i="5"/>
  <c r="E312" i="5"/>
  <c r="E311" i="5"/>
  <c r="E310" i="5"/>
  <c r="A309" i="5"/>
  <c r="E308" i="5"/>
  <c r="E307" i="5"/>
  <c r="E306" i="5"/>
  <c r="A305" i="5"/>
  <c r="E304" i="5"/>
  <c r="E303" i="5"/>
  <c r="E302" i="5"/>
  <c r="E301" i="5"/>
  <c r="E300" i="5"/>
  <c r="A299" i="5"/>
  <c r="E298" i="5"/>
  <c r="E297" i="5"/>
  <c r="E296" i="5"/>
  <c r="E295" i="5"/>
  <c r="A294" i="5"/>
  <c r="E293" i="5"/>
  <c r="E292" i="5"/>
  <c r="E291" i="5"/>
  <c r="E290" i="5"/>
  <c r="E289" i="5"/>
  <c r="A288" i="5"/>
  <c r="E287" i="5"/>
  <c r="E286" i="5"/>
  <c r="E285" i="5"/>
  <c r="E284" i="5"/>
  <c r="E283" i="5"/>
  <c r="A282" i="5"/>
  <c r="E281" i="5"/>
  <c r="E280" i="5"/>
  <c r="E279" i="5"/>
  <c r="E278" i="5"/>
  <c r="E277" i="5"/>
  <c r="A276" i="5"/>
  <c r="E275" i="5"/>
  <c r="E274" i="5"/>
  <c r="E273" i="5"/>
  <c r="E272" i="5"/>
  <c r="E271" i="5"/>
  <c r="A270" i="5"/>
  <c r="E269" i="5"/>
  <c r="E268" i="5"/>
  <c r="E267" i="5"/>
  <c r="A266" i="5"/>
  <c r="E265" i="5"/>
  <c r="E264" i="5"/>
  <c r="E263" i="5"/>
  <c r="A262" i="5"/>
  <c r="E261" i="5"/>
  <c r="E260" i="5"/>
  <c r="A259" i="5"/>
  <c r="E258" i="5"/>
  <c r="E257" i="5"/>
  <c r="E256" i="5"/>
  <c r="E255" i="5"/>
  <c r="E254" i="5"/>
  <c r="A253" i="5"/>
  <c r="E252" i="5"/>
  <c r="E251" i="5"/>
  <c r="E250" i="5"/>
  <c r="E249" i="5"/>
  <c r="E248" i="5"/>
  <c r="E247" i="5"/>
  <c r="A246" i="5"/>
  <c r="E245" i="5"/>
  <c r="E244" i="5"/>
  <c r="E243" i="5"/>
  <c r="A242" i="5"/>
  <c r="E241" i="5"/>
  <c r="E240" i="5"/>
  <c r="E239" i="5"/>
  <c r="A238" i="5"/>
  <c r="E237" i="5"/>
  <c r="E236" i="5"/>
  <c r="E235" i="5"/>
  <c r="A234" i="5"/>
  <c r="E233" i="5"/>
  <c r="E232" i="5"/>
  <c r="A231" i="5"/>
  <c r="E230" i="5"/>
  <c r="E229" i="5"/>
  <c r="E228" i="5"/>
  <c r="A227" i="5"/>
  <c r="E226" i="5"/>
  <c r="E225" i="5"/>
  <c r="E224" i="5"/>
  <c r="A223" i="5"/>
  <c r="E222" i="5"/>
  <c r="E221" i="5"/>
  <c r="A220" i="5"/>
  <c r="E219" i="5"/>
  <c r="A218" i="5"/>
  <c r="E217" i="5"/>
  <c r="E216" i="5"/>
  <c r="E215" i="5"/>
  <c r="E214" i="5"/>
  <c r="A213" i="5"/>
  <c r="E212" i="5"/>
  <c r="E211" i="5"/>
  <c r="E210" i="5"/>
  <c r="E209" i="5"/>
  <c r="A208" i="5"/>
  <c r="E207" i="5"/>
  <c r="E206" i="5"/>
  <c r="E205" i="5"/>
  <c r="A204" i="5"/>
  <c r="E203" i="5"/>
  <c r="E202" i="5"/>
  <c r="A201" i="5"/>
  <c r="E200" i="5"/>
  <c r="E199" i="5"/>
  <c r="E198" i="5"/>
  <c r="A197" i="5"/>
  <c r="E196" i="5"/>
  <c r="E195" i="5"/>
  <c r="E194" i="5"/>
  <c r="A193" i="5"/>
  <c r="E192" i="5"/>
  <c r="E191" i="5"/>
  <c r="E190" i="5"/>
  <c r="A189" i="5"/>
  <c r="E188" i="5"/>
  <c r="E187" i="5"/>
  <c r="E186" i="5"/>
  <c r="E185" i="5"/>
  <c r="E184" i="5"/>
  <c r="E183" i="5"/>
  <c r="A182" i="5"/>
  <c r="E181" i="5"/>
  <c r="E180" i="5"/>
  <c r="E179" i="5"/>
  <c r="E178" i="5"/>
  <c r="E177" i="5"/>
  <c r="E176" i="5"/>
  <c r="A175" i="5"/>
  <c r="E174" i="5"/>
  <c r="E173" i="5"/>
  <c r="E172" i="5"/>
  <c r="E171" i="5"/>
  <c r="A170" i="5"/>
  <c r="E169" i="5"/>
  <c r="A168" i="5"/>
  <c r="E167" i="5"/>
  <c r="E166" i="5"/>
  <c r="E165" i="5"/>
  <c r="E164" i="5"/>
  <c r="E163" i="5"/>
  <c r="E162" i="5"/>
  <c r="A161" i="5"/>
  <c r="E160" i="5"/>
  <c r="E159" i="5"/>
  <c r="E158" i="5"/>
  <c r="E157" i="5"/>
  <c r="E156" i="5"/>
  <c r="E155" i="5"/>
  <c r="A154" i="5"/>
  <c r="E153" i="5"/>
  <c r="E152" i="5"/>
  <c r="E151" i="5"/>
  <c r="E150" i="5"/>
  <c r="A149" i="5"/>
  <c r="E148" i="5"/>
  <c r="E147" i="5"/>
  <c r="E146" i="5"/>
  <c r="E145" i="5"/>
  <c r="A144" i="5"/>
  <c r="E143" i="5"/>
  <c r="E142" i="5"/>
  <c r="E141" i="5"/>
  <c r="E140" i="5"/>
  <c r="A139" i="5"/>
  <c r="E138" i="5"/>
  <c r="E137" i="5"/>
  <c r="E136" i="5"/>
  <c r="E135" i="5"/>
  <c r="A134" i="5"/>
  <c r="E133" i="5"/>
  <c r="E132" i="5"/>
  <c r="E131" i="5"/>
  <c r="E130" i="5"/>
  <c r="A129" i="5"/>
  <c r="E128" i="5"/>
  <c r="E127" i="5"/>
  <c r="E126" i="5"/>
  <c r="E125" i="5"/>
  <c r="A124" i="5"/>
  <c r="E123" i="5"/>
  <c r="E122" i="5"/>
  <c r="A121" i="5"/>
  <c r="E120" i="5"/>
  <c r="E119" i="5"/>
  <c r="A118" i="5"/>
  <c r="E117" i="5"/>
  <c r="E116" i="5"/>
  <c r="E115" i="5"/>
  <c r="E114" i="5"/>
  <c r="A113" i="5"/>
  <c r="E112" i="5"/>
  <c r="E111" i="5"/>
  <c r="E110" i="5"/>
  <c r="E109" i="5"/>
  <c r="A108" i="5"/>
  <c r="E107" i="5"/>
  <c r="E106" i="5"/>
  <c r="E105" i="5"/>
  <c r="A104" i="5"/>
  <c r="E103" i="5"/>
  <c r="E102" i="5"/>
  <c r="E101" i="5"/>
  <c r="A100" i="5"/>
  <c r="E99" i="5"/>
  <c r="E98" i="5"/>
  <c r="E97" i="5"/>
  <c r="E96" i="5"/>
  <c r="A95" i="5"/>
  <c r="E94" i="5"/>
  <c r="E93" i="5"/>
  <c r="E92" i="5"/>
  <c r="E91" i="5"/>
  <c r="E90" i="5"/>
  <c r="E89" i="5"/>
  <c r="A88" i="5"/>
  <c r="E85" i="5"/>
  <c r="E84" i="5"/>
  <c r="E83" i="5"/>
  <c r="E82" i="5"/>
  <c r="A81" i="5"/>
  <c r="E80" i="5"/>
  <c r="E79" i="5"/>
  <c r="E78" i="5"/>
  <c r="E77" i="5"/>
  <c r="E76" i="5"/>
  <c r="E75" i="5"/>
  <c r="A74" i="5"/>
  <c r="E73" i="5"/>
  <c r="E72" i="5"/>
  <c r="E71" i="5"/>
  <c r="A70" i="5"/>
  <c r="E69" i="5"/>
  <c r="E68" i="5"/>
  <c r="E67" i="5"/>
  <c r="E66" i="5"/>
  <c r="E65" i="5"/>
  <c r="A64" i="5"/>
  <c r="E63" i="5"/>
  <c r="E62" i="5"/>
  <c r="E61" i="5"/>
  <c r="E60" i="5"/>
  <c r="E59" i="5"/>
  <c r="A58" i="5"/>
  <c r="E57" i="5"/>
  <c r="E56" i="5"/>
  <c r="E55" i="5"/>
  <c r="E54" i="5"/>
  <c r="E53" i="5"/>
  <c r="A52" i="5"/>
  <c r="E51" i="5"/>
  <c r="E50" i="5"/>
  <c r="E49" i="5"/>
  <c r="E48" i="5"/>
  <c r="E47" i="5"/>
  <c r="A46" i="5"/>
  <c r="E45" i="5"/>
  <c r="E44" i="5"/>
  <c r="E43" i="5"/>
  <c r="E42" i="5"/>
  <c r="E41" i="5"/>
  <c r="A40" i="5"/>
  <c r="E39" i="5"/>
  <c r="E38" i="5"/>
  <c r="E37" i="5"/>
  <c r="E36" i="5"/>
  <c r="E35" i="5"/>
  <c r="A34" i="5"/>
  <c r="E33" i="5"/>
  <c r="E32" i="5"/>
  <c r="E31" i="5"/>
  <c r="A30" i="5"/>
  <c r="E29" i="5"/>
  <c r="E28" i="5"/>
  <c r="E27" i="5"/>
  <c r="A26" i="5"/>
  <c r="E25" i="5"/>
  <c r="E24" i="5"/>
  <c r="E23" i="5"/>
  <c r="E22" i="5"/>
  <c r="A21" i="5"/>
  <c r="E20" i="5"/>
  <c r="E19" i="5"/>
  <c r="E18" i="5"/>
  <c r="E17" i="5"/>
  <c r="A16" i="5"/>
  <c r="E15" i="5"/>
  <c r="E14" i="5"/>
  <c r="E13" i="5"/>
  <c r="E12" i="5"/>
  <c r="A11" i="5"/>
  <c r="E10" i="5"/>
  <c r="E9" i="5"/>
  <c r="E8" i="5"/>
  <c r="E7" i="5"/>
  <c r="A6" i="5"/>
  <c r="E623" i="4"/>
  <c r="E622" i="4"/>
  <c r="E621" i="4"/>
  <c r="E620" i="4"/>
  <c r="E619" i="4"/>
  <c r="E618" i="4"/>
  <c r="E617" i="4"/>
  <c r="D617" i="4"/>
  <c r="D613" i="4" s="1"/>
  <c r="D608" i="4" s="1"/>
  <c r="L608" i="4" s="1"/>
  <c r="E615" i="4"/>
  <c r="E614" i="4"/>
  <c r="E613" i="4"/>
  <c r="E611" i="4"/>
  <c r="E610" i="4"/>
  <c r="E609" i="4"/>
  <c r="E608" i="4"/>
  <c r="E606" i="4"/>
  <c r="E605" i="4"/>
  <c r="E604" i="4"/>
  <c r="E603" i="4"/>
  <c r="E602" i="4"/>
  <c r="E601" i="4"/>
  <c r="E600" i="4"/>
  <c r="E599" i="4"/>
  <c r="D599" i="4"/>
  <c r="L599" i="4" s="1"/>
  <c r="E597" i="4"/>
  <c r="E596" i="4"/>
  <c r="E595" i="4"/>
  <c r="E594" i="4"/>
  <c r="E593" i="4"/>
  <c r="E592" i="4"/>
  <c r="E591" i="4"/>
  <c r="E590" i="4"/>
  <c r="D590" i="4"/>
  <c r="L590" i="4" s="1"/>
  <c r="E588" i="4"/>
  <c r="E587" i="4"/>
  <c r="E586" i="4"/>
  <c r="E585" i="4"/>
  <c r="E584" i="4"/>
  <c r="D584" i="4"/>
  <c r="L584" i="4" s="1"/>
  <c r="E583" i="4"/>
  <c r="E582" i="4"/>
  <c r="E581" i="4"/>
  <c r="E580" i="4"/>
  <c r="E579" i="4"/>
  <c r="E578" i="4"/>
  <c r="E577" i="4"/>
  <c r="E576" i="4"/>
  <c r="E575" i="4"/>
  <c r="E574" i="4"/>
  <c r="E573" i="4"/>
  <c r="E572" i="4"/>
  <c r="E571" i="4"/>
  <c r="E570" i="4"/>
  <c r="E569" i="4"/>
  <c r="E568" i="4"/>
  <c r="E567" i="4"/>
  <c r="E566" i="4"/>
  <c r="E565" i="4"/>
  <c r="D565" i="4"/>
  <c r="L565" i="4" s="1"/>
  <c r="E563" i="4"/>
  <c r="E562" i="4"/>
  <c r="E561" i="4"/>
  <c r="E559" i="4"/>
  <c r="E558" i="4"/>
  <c r="E556" i="4"/>
  <c r="E555" i="4"/>
  <c r="E554" i="4"/>
  <c r="E553" i="4"/>
  <c r="E552" i="4"/>
  <c r="E551" i="4"/>
  <c r="E550" i="4"/>
  <c r="E549" i="4"/>
  <c r="E548" i="4"/>
  <c r="E547" i="4"/>
  <c r="E546" i="4"/>
  <c r="E545" i="4"/>
  <c r="D545" i="4"/>
  <c r="L545" i="4" s="1"/>
  <c r="E543" i="4"/>
  <c r="E542" i="4"/>
  <c r="E541" i="4"/>
  <c r="E540" i="4"/>
  <c r="E539" i="4"/>
  <c r="E538" i="4"/>
  <c r="D538" i="4"/>
  <c r="L538" i="4" s="1"/>
  <c r="E531" i="4"/>
  <c r="E530" i="4"/>
  <c r="E529" i="4"/>
  <c r="E528" i="4"/>
  <c r="E527" i="4"/>
  <c r="E526" i="4"/>
  <c r="E525" i="4"/>
  <c r="E524" i="4"/>
  <c r="E523" i="4"/>
  <c r="E522" i="4"/>
  <c r="E521" i="4"/>
  <c r="E520" i="4"/>
  <c r="D520" i="4"/>
  <c r="E518" i="4"/>
  <c r="E517" i="4"/>
  <c r="E516" i="4"/>
  <c r="E514" i="4"/>
  <c r="E513" i="4"/>
  <c r="E512" i="4"/>
  <c r="E511" i="4"/>
  <c r="E510" i="4"/>
  <c r="E509" i="4"/>
  <c r="E508" i="4"/>
  <c r="E507" i="4"/>
  <c r="E506" i="4"/>
  <c r="E505" i="4"/>
  <c r="E504" i="4"/>
  <c r="E503" i="4"/>
  <c r="E502" i="4"/>
  <c r="E501" i="4"/>
  <c r="E500" i="4"/>
  <c r="E499" i="4"/>
  <c r="E498" i="4"/>
  <c r="E497" i="4"/>
  <c r="D497" i="4"/>
  <c r="L497" i="4" s="1"/>
  <c r="E496" i="4"/>
  <c r="E495" i="4"/>
  <c r="E494" i="4"/>
  <c r="E493" i="4"/>
  <c r="E492" i="4"/>
  <c r="E491" i="4"/>
  <c r="E490" i="4"/>
  <c r="E489" i="4"/>
  <c r="E488" i="4"/>
  <c r="E487" i="4"/>
  <c r="E486" i="4"/>
  <c r="E485" i="4"/>
  <c r="E484" i="4"/>
  <c r="E483" i="4"/>
  <c r="E482" i="4"/>
  <c r="E481" i="4"/>
  <c r="E480" i="4"/>
  <c r="E479" i="4"/>
  <c r="D479" i="4"/>
  <c r="L479" i="4" s="1"/>
  <c r="E478" i="4"/>
  <c r="E477" i="4"/>
  <c r="E476" i="4"/>
  <c r="E475" i="4"/>
  <c r="E474" i="4"/>
  <c r="E473" i="4"/>
  <c r="E472" i="4"/>
  <c r="E471" i="4"/>
  <c r="E470" i="4"/>
  <c r="E469" i="4"/>
  <c r="E468" i="4"/>
  <c r="E467" i="4"/>
  <c r="E466" i="4"/>
  <c r="E465" i="4"/>
  <c r="E464" i="4"/>
  <c r="E463" i="4"/>
  <c r="E462" i="4"/>
  <c r="E461" i="4"/>
  <c r="D461" i="4"/>
  <c r="L461" i="4" s="1"/>
  <c r="E460" i="4"/>
  <c r="E459" i="4"/>
  <c r="E458" i="4"/>
  <c r="E457" i="4"/>
  <c r="E456" i="4"/>
  <c r="E455" i="4"/>
  <c r="E454" i="4"/>
  <c r="E453" i="4"/>
  <c r="E452" i="4"/>
  <c r="E451" i="4"/>
  <c r="E450" i="4"/>
  <c r="E449" i="4"/>
  <c r="E448" i="4"/>
  <c r="E447" i="4"/>
  <c r="E446" i="4"/>
  <c r="E445" i="4"/>
  <c r="E444" i="4"/>
  <c r="E443" i="4"/>
  <c r="D443" i="4"/>
  <c r="L443" i="4" s="1"/>
  <c r="E442" i="4"/>
  <c r="E441" i="4"/>
  <c r="E440" i="4"/>
  <c r="E439" i="4"/>
  <c r="E438" i="4"/>
  <c r="E437" i="4"/>
  <c r="E436" i="4"/>
  <c r="E435" i="4"/>
  <c r="E434" i="4"/>
  <c r="E433" i="4"/>
  <c r="E432" i="4"/>
  <c r="E431" i="4"/>
  <c r="E430" i="4"/>
  <c r="E429" i="4"/>
  <c r="E428" i="4"/>
  <c r="E427" i="4"/>
  <c r="E426" i="4"/>
  <c r="E425" i="4"/>
  <c r="D425" i="4"/>
  <c r="L425" i="4" s="1"/>
  <c r="E424" i="4"/>
  <c r="E423" i="4"/>
  <c r="E422" i="4"/>
  <c r="E421" i="4"/>
  <c r="E420" i="4"/>
  <c r="E419" i="4"/>
  <c r="E418" i="4"/>
  <c r="E417" i="4"/>
  <c r="E416" i="4"/>
  <c r="E415" i="4"/>
  <c r="E414" i="4"/>
  <c r="E413" i="4"/>
  <c r="E412" i="4"/>
  <c r="E411" i="4"/>
  <c r="E410" i="4"/>
  <c r="E409" i="4"/>
  <c r="E408" i="4"/>
  <c r="L407" i="4"/>
  <c r="E407" i="4"/>
  <c r="D407" i="4"/>
  <c r="E406" i="4"/>
  <c r="E405" i="4"/>
  <c r="E404" i="4"/>
  <c r="E403" i="4"/>
  <c r="E402" i="4"/>
  <c r="E401" i="4"/>
  <c r="E400" i="4"/>
  <c r="E399" i="4"/>
  <c r="E398" i="4"/>
  <c r="E397" i="4"/>
  <c r="E396" i="4"/>
  <c r="E395" i="4"/>
  <c r="E394" i="4"/>
  <c r="E393" i="4"/>
  <c r="E392" i="4"/>
  <c r="E391" i="4"/>
  <c r="E390" i="4"/>
  <c r="E389" i="4"/>
  <c r="D389" i="4"/>
  <c r="L389" i="4" s="1"/>
  <c r="E388" i="4"/>
  <c r="E387" i="4"/>
  <c r="E386" i="4"/>
  <c r="E385" i="4"/>
  <c r="E384" i="4"/>
  <c r="E383" i="4"/>
  <c r="E382" i="4"/>
  <c r="E381" i="4"/>
  <c r="E380" i="4"/>
  <c r="E379" i="4"/>
  <c r="E378" i="4"/>
  <c r="L378" i="4"/>
  <c r="E377" i="4"/>
  <c r="E376" i="4"/>
  <c r="E375" i="4"/>
  <c r="E374" i="4"/>
  <c r="E373" i="4"/>
  <c r="E372" i="4"/>
  <c r="E371" i="4"/>
  <c r="E370" i="4"/>
  <c r="E369" i="4"/>
  <c r="E368" i="4"/>
  <c r="E367" i="4"/>
  <c r="E366" i="4"/>
  <c r="E365" i="4"/>
  <c r="L365" i="4"/>
  <c r="E364" i="4"/>
  <c r="E363" i="4"/>
  <c r="E362" i="4"/>
  <c r="E361" i="4"/>
  <c r="E360" i="4"/>
  <c r="E359" i="4"/>
  <c r="D359" i="4"/>
  <c r="L359" i="4" s="1"/>
  <c r="E358" i="4"/>
  <c r="E357" i="4"/>
  <c r="E356" i="4"/>
  <c r="E355" i="4"/>
  <c r="E354" i="4"/>
  <c r="E353" i="4"/>
  <c r="E352" i="4"/>
  <c r="L352" i="4"/>
  <c r="E351" i="4"/>
  <c r="E350" i="4"/>
  <c r="E349" i="4"/>
  <c r="E348" i="4"/>
  <c r="E347" i="4"/>
  <c r="E346" i="4"/>
  <c r="E345" i="4"/>
  <c r="E344" i="4"/>
  <c r="D344" i="4"/>
  <c r="L344" i="4" s="1"/>
  <c r="E343" i="4"/>
  <c r="E342" i="4"/>
  <c r="E341" i="4"/>
  <c r="E340" i="4"/>
  <c r="E339" i="4"/>
  <c r="E338" i="4"/>
  <c r="E337" i="4"/>
  <c r="E336" i="4"/>
  <c r="E335" i="4"/>
  <c r="E334" i="4"/>
  <c r="E333" i="4"/>
  <c r="L333" i="4"/>
  <c r="E332" i="4"/>
  <c r="E331" i="4"/>
  <c r="E330" i="4"/>
  <c r="E329" i="4"/>
  <c r="E328" i="4"/>
  <c r="E327" i="4"/>
  <c r="E326" i="4"/>
  <c r="E325" i="4"/>
  <c r="E324" i="4"/>
  <c r="E323" i="4"/>
  <c r="E322" i="4"/>
  <c r="E321" i="4"/>
  <c r="E320" i="4"/>
  <c r="E319" i="4"/>
  <c r="E318" i="4"/>
  <c r="L318" i="4"/>
  <c r="E317" i="4"/>
  <c r="E316" i="4"/>
  <c r="E315" i="4"/>
  <c r="E314" i="4"/>
  <c r="E313" i="4"/>
  <c r="E312" i="4"/>
  <c r="E311" i="4"/>
  <c r="E310" i="4"/>
  <c r="D310" i="4"/>
  <c r="L310" i="4" s="1"/>
  <c r="E309" i="4"/>
  <c r="E308" i="4"/>
  <c r="E307" i="4"/>
  <c r="E306" i="4"/>
  <c r="E305" i="4"/>
  <c r="E304" i="4"/>
  <c r="E303" i="4"/>
  <c r="E302" i="4"/>
  <c r="E301" i="4"/>
  <c r="E300" i="4"/>
  <c r="E299" i="4"/>
  <c r="E298" i="4"/>
  <c r="E297" i="4"/>
  <c r="E296" i="4"/>
  <c r="E295" i="4"/>
  <c r="L292" i="4"/>
  <c r="E294" i="4"/>
  <c r="E293" i="4"/>
  <c r="E292" i="4"/>
  <c r="E291" i="4"/>
  <c r="E290" i="4"/>
  <c r="E289" i="4"/>
  <c r="E288" i="4"/>
  <c r="E287" i="4"/>
  <c r="E286" i="4"/>
  <c r="E285" i="4"/>
  <c r="E284" i="4"/>
  <c r="L283" i="4"/>
  <c r="E283" i="4"/>
  <c r="E282" i="4"/>
  <c r="E281" i="4"/>
  <c r="E280" i="4"/>
  <c r="E279" i="4"/>
  <c r="D279" i="4"/>
  <c r="L279" i="4" s="1"/>
  <c r="E278" i="4"/>
  <c r="E277" i="4"/>
  <c r="E276" i="4"/>
  <c r="E275" i="4"/>
  <c r="E274" i="4"/>
  <c r="L273" i="4"/>
  <c r="E273" i="4"/>
  <c r="D273" i="4"/>
  <c r="E272" i="4"/>
  <c r="E271" i="4"/>
  <c r="E270" i="4"/>
  <c r="E269" i="4"/>
  <c r="D269" i="4"/>
  <c r="L269" i="4" s="1"/>
  <c r="E268" i="4"/>
  <c r="E267" i="4"/>
  <c r="E266" i="4"/>
  <c r="E265" i="4"/>
  <c r="E264" i="4"/>
  <c r="E263" i="4"/>
  <c r="D263" i="4"/>
  <c r="L263" i="4" s="1"/>
  <c r="E262" i="4"/>
  <c r="E261" i="4"/>
  <c r="E260" i="4"/>
  <c r="E259" i="4"/>
  <c r="D259" i="4"/>
  <c r="D254" i="4" s="1"/>
  <c r="E258" i="4"/>
  <c r="E257" i="4"/>
  <c r="E256" i="4"/>
  <c r="E255" i="4"/>
  <c r="E254" i="4"/>
  <c r="E253" i="4"/>
  <c r="E252" i="4"/>
  <c r="E251" i="4"/>
  <c r="E250" i="4"/>
  <c r="E249" i="4"/>
  <c r="E248" i="4"/>
  <c r="E247" i="4"/>
  <c r="E246" i="4"/>
  <c r="E245" i="4"/>
  <c r="E244" i="4"/>
  <c r="E243" i="4"/>
  <c r="D243" i="4"/>
  <c r="L243" i="4" s="1"/>
  <c r="E242" i="4"/>
  <c r="E241" i="4"/>
  <c r="E240" i="4"/>
  <c r="E239" i="4"/>
  <c r="E238" i="4"/>
  <c r="E237" i="4"/>
  <c r="D237" i="4"/>
  <c r="L237" i="4" s="1"/>
  <c r="E236" i="4"/>
  <c r="E235" i="4"/>
  <c r="E234" i="4"/>
  <c r="E233" i="4"/>
  <c r="E232" i="4"/>
  <c r="E231" i="4"/>
  <c r="E230" i="4"/>
  <c r="E229" i="4"/>
  <c r="E228" i="4"/>
  <c r="D228" i="4"/>
  <c r="L228" i="4" s="1"/>
  <c r="E227" i="4"/>
  <c r="E226" i="4"/>
  <c r="E225" i="4"/>
  <c r="E224" i="4"/>
  <c r="E223" i="4"/>
  <c r="E222" i="4"/>
  <c r="E221" i="4"/>
  <c r="E220" i="4"/>
  <c r="E219" i="4"/>
  <c r="E218" i="4"/>
  <c r="E217" i="4"/>
  <c r="E216" i="4"/>
  <c r="E215" i="4"/>
  <c r="E214" i="4"/>
  <c r="E213" i="4"/>
  <c r="E212" i="4"/>
  <c r="D212" i="4"/>
  <c r="L212" i="4" s="1"/>
  <c r="E202" i="4"/>
  <c r="E201" i="4"/>
  <c r="E200" i="4"/>
  <c r="E199" i="4"/>
  <c r="E198" i="4"/>
  <c r="E197" i="4"/>
  <c r="E196" i="4"/>
  <c r="E195" i="4"/>
  <c r="E194" i="4"/>
  <c r="E193" i="4"/>
  <c r="E192" i="4"/>
  <c r="E191" i="4"/>
  <c r="E190" i="4"/>
  <c r="E189" i="4"/>
  <c r="E188" i="4"/>
  <c r="E187" i="4"/>
  <c r="L187" i="4"/>
  <c r="E186" i="4"/>
  <c r="E185" i="4"/>
  <c r="E184" i="4"/>
  <c r="E183" i="4"/>
  <c r="E182" i="4"/>
  <c r="E181" i="4"/>
  <c r="E180" i="4"/>
  <c r="E179" i="4"/>
  <c r="E178" i="4"/>
  <c r="E177" i="4"/>
  <c r="E176" i="4"/>
  <c r="E175" i="4"/>
  <c r="E174" i="4"/>
  <c r="E173" i="4"/>
  <c r="E172" i="4"/>
  <c r="E171" i="4"/>
  <c r="E170" i="4"/>
  <c r="E169" i="4"/>
  <c r="D169" i="4"/>
  <c r="L169" i="4" s="1"/>
  <c r="E166" i="4"/>
  <c r="E165" i="4"/>
  <c r="E164" i="4"/>
  <c r="E163" i="4"/>
  <c r="E162" i="4"/>
  <c r="E161" i="4"/>
  <c r="E160" i="4"/>
  <c r="E159" i="4"/>
  <c r="E158" i="4"/>
  <c r="E157" i="4"/>
  <c r="E156" i="4"/>
  <c r="E155" i="4"/>
  <c r="E154" i="4"/>
  <c r="E153" i="4"/>
  <c r="E152" i="4"/>
  <c r="E151" i="4"/>
  <c r="D151" i="4"/>
  <c r="L151" i="4" s="1"/>
  <c r="E150" i="4"/>
  <c r="E149" i="4"/>
  <c r="E148" i="4"/>
  <c r="D148" i="4"/>
  <c r="L148" i="4" s="1"/>
  <c r="E147" i="4"/>
  <c r="E146" i="4"/>
  <c r="E143" i="4"/>
  <c r="E142" i="4"/>
  <c r="E141" i="4"/>
  <c r="E140" i="4"/>
  <c r="E139" i="4"/>
  <c r="E136" i="4"/>
  <c r="E135" i="4"/>
  <c r="E134" i="4"/>
  <c r="E133" i="4"/>
  <c r="E132" i="4"/>
  <c r="E131" i="4"/>
  <c r="E130" i="4"/>
  <c r="E129" i="4"/>
  <c r="E123" i="4"/>
  <c r="E122" i="4"/>
  <c r="E121" i="4"/>
  <c r="E120" i="4"/>
  <c r="E119" i="4"/>
  <c r="E117" i="4"/>
  <c r="E116" i="4"/>
  <c r="E115" i="4"/>
  <c r="E114" i="4"/>
  <c r="E113" i="4"/>
  <c r="E112" i="4"/>
  <c r="E111" i="4"/>
  <c r="E110" i="4"/>
  <c r="E109" i="4"/>
  <c r="E108" i="4"/>
  <c r="D108" i="4"/>
  <c r="E107" i="4"/>
  <c r="E106" i="4"/>
  <c r="E105" i="4"/>
  <c r="E104" i="4"/>
  <c r="E101" i="4"/>
  <c r="E100" i="4"/>
  <c r="E99" i="4"/>
  <c r="E98" i="4"/>
  <c r="E97" i="4"/>
  <c r="E96" i="4"/>
  <c r="E95" i="4"/>
  <c r="E93" i="4"/>
  <c r="E92" i="4"/>
  <c r="E91" i="4"/>
  <c r="E90" i="4"/>
  <c r="E89" i="4"/>
  <c r="D89" i="4"/>
  <c r="L89" i="4" s="1"/>
  <c r="E87" i="4"/>
  <c r="E86" i="4"/>
  <c r="E85" i="4"/>
  <c r="D85" i="4"/>
  <c r="L85" i="4" s="1"/>
  <c r="E84" i="4"/>
  <c r="E83" i="4"/>
  <c r="E82" i="4"/>
  <c r="E81" i="4"/>
  <c r="E80" i="4"/>
  <c r="E79" i="4"/>
  <c r="L79" i="4"/>
  <c r="E78" i="4"/>
  <c r="E77" i="4"/>
  <c r="E76" i="4"/>
  <c r="E75" i="4"/>
  <c r="E74" i="4"/>
  <c r="E69" i="4"/>
  <c r="E68" i="4"/>
  <c r="E67" i="4"/>
  <c r="E66" i="4"/>
  <c r="E65" i="4"/>
  <c r="E64" i="4"/>
  <c r="E63" i="4"/>
  <c r="E62" i="4"/>
  <c r="E61" i="4"/>
  <c r="E60" i="4"/>
  <c r="E59" i="4"/>
  <c r="L58" i="4"/>
  <c r="E58" i="4"/>
  <c r="D58" i="4"/>
  <c r="E56" i="4"/>
  <c r="E55" i="4"/>
  <c r="E54" i="4"/>
  <c r="E53" i="4"/>
  <c r="E52" i="4"/>
  <c r="E51" i="4"/>
  <c r="E50" i="4"/>
  <c r="E49" i="4"/>
  <c r="E48" i="4"/>
  <c r="E47" i="4"/>
  <c r="E46" i="4"/>
  <c r="E45" i="4"/>
  <c r="E44" i="4"/>
  <c r="L44" i="4"/>
  <c r="E42" i="4"/>
  <c r="E41" i="4"/>
  <c r="E40" i="4"/>
  <c r="E39" i="4"/>
  <c r="E38" i="4"/>
  <c r="E37" i="4"/>
  <c r="E35" i="4"/>
  <c r="E34" i="4"/>
  <c r="E33" i="4"/>
  <c r="E32" i="4"/>
  <c r="E31" i="4"/>
  <c r="E30" i="4"/>
  <c r="E29" i="4"/>
  <c r="E28" i="4"/>
  <c r="E27" i="4"/>
  <c r="E26" i="4"/>
  <c r="E25" i="4"/>
  <c r="E24" i="4"/>
  <c r="E23" i="4"/>
  <c r="E22" i="4"/>
  <c r="E21" i="4"/>
  <c r="E20" i="4"/>
  <c r="E19" i="4"/>
  <c r="E18" i="4"/>
  <c r="E17" i="4"/>
  <c r="L17" i="4"/>
  <c r="E15" i="4"/>
  <c r="E14" i="4"/>
  <c r="E13" i="4"/>
  <c r="E12" i="4"/>
  <c r="E11" i="4"/>
  <c r="E10" i="4"/>
  <c r="E9" i="4"/>
  <c r="E8" i="4"/>
  <c r="E7" i="4"/>
  <c r="L6" i="4"/>
  <c r="E996" i="3"/>
  <c r="E995" i="3"/>
  <c r="E994" i="3"/>
  <c r="E993" i="3"/>
  <c r="E992" i="3"/>
  <c r="E991" i="3"/>
  <c r="E990" i="3"/>
  <c r="A989" i="3"/>
  <c r="E987" i="3"/>
  <c r="E986" i="3"/>
  <c r="E985" i="3"/>
  <c r="E984" i="3"/>
  <c r="A983" i="3"/>
  <c r="E981" i="3"/>
  <c r="E980" i="3"/>
  <c r="E979" i="3"/>
  <c r="E978" i="3"/>
  <c r="A977" i="3"/>
  <c r="E975" i="3"/>
  <c r="E974" i="3"/>
  <c r="A973" i="3"/>
  <c r="E971" i="3"/>
  <c r="E970" i="3"/>
  <c r="E969" i="3"/>
  <c r="E968" i="3"/>
  <c r="E967" i="3"/>
  <c r="A966" i="3"/>
  <c r="E964" i="3"/>
  <c r="E963" i="3"/>
  <c r="E962" i="3"/>
  <c r="E961" i="3"/>
  <c r="E960" i="3"/>
  <c r="E959" i="3"/>
  <c r="E958" i="3"/>
  <c r="A957" i="3"/>
  <c r="E955" i="3"/>
  <c r="E954" i="3"/>
  <c r="E953" i="3"/>
  <c r="E952" i="3"/>
  <c r="E951" i="3"/>
  <c r="E950" i="3"/>
  <c r="E949" i="3"/>
  <c r="E948" i="3"/>
  <c r="E947" i="3"/>
  <c r="E946" i="3"/>
  <c r="E945" i="3"/>
  <c r="E944" i="3"/>
  <c r="E943" i="3"/>
  <c r="A942" i="3"/>
  <c r="E940" i="3"/>
  <c r="E939" i="3"/>
  <c r="E938" i="3"/>
  <c r="E937" i="3"/>
  <c r="E936" i="3"/>
  <c r="E935" i="3"/>
  <c r="A934" i="3"/>
  <c r="E932" i="3"/>
  <c r="E931" i="3"/>
  <c r="E930" i="3"/>
  <c r="E929" i="3"/>
  <c r="E928" i="3"/>
  <c r="E927" i="3"/>
  <c r="E926" i="3"/>
  <c r="E925" i="3"/>
  <c r="E924" i="3"/>
  <c r="E923" i="3"/>
  <c r="A922" i="3"/>
  <c r="E920" i="3"/>
  <c r="E919" i="3"/>
  <c r="E918" i="3"/>
  <c r="E917" i="3"/>
  <c r="E916" i="3"/>
  <c r="E915" i="3"/>
  <c r="E914" i="3"/>
  <c r="E913" i="3"/>
  <c r="E912" i="3"/>
  <c r="E911" i="3"/>
  <c r="E910" i="3"/>
  <c r="E909" i="3"/>
  <c r="A908" i="3"/>
  <c r="E907" i="3"/>
  <c r="E906" i="3"/>
  <c r="E905" i="3"/>
  <c r="E904" i="3"/>
  <c r="E903" i="3"/>
  <c r="E902" i="3"/>
  <c r="E901" i="3"/>
  <c r="E900" i="3"/>
  <c r="E899" i="3"/>
  <c r="E898" i="3"/>
  <c r="E897" i="3"/>
  <c r="E896" i="3"/>
  <c r="E895" i="3"/>
  <c r="A894" i="3"/>
  <c r="E892" i="3"/>
  <c r="E891" i="3"/>
  <c r="A890" i="3"/>
  <c r="E888" i="3"/>
  <c r="E887" i="3"/>
  <c r="E886" i="3"/>
  <c r="E885" i="3"/>
  <c r="E884" i="3"/>
  <c r="E883" i="3"/>
  <c r="E882" i="3"/>
  <c r="E881" i="3"/>
  <c r="E880" i="3"/>
  <c r="E879" i="3"/>
  <c r="A878" i="3"/>
  <c r="E876" i="3"/>
  <c r="E875" i="3"/>
  <c r="E874" i="3"/>
  <c r="E873" i="3"/>
  <c r="E872" i="3"/>
  <c r="E871" i="3"/>
  <c r="E870" i="3"/>
  <c r="E869" i="3"/>
  <c r="A868" i="3"/>
  <c r="E866" i="3"/>
  <c r="E865" i="3"/>
  <c r="A864" i="3"/>
  <c r="E862" i="3"/>
  <c r="E861" i="3"/>
  <c r="E860" i="3"/>
  <c r="E859" i="3"/>
  <c r="E858" i="3"/>
  <c r="E857" i="3"/>
  <c r="E856" i="3"/>
  <c r="E855" i="3"/>
  <c r="A854" i="3"/>
  <c r="E852" i="3"/>
  <c r="E851" i="3"/>
  <c r="E850" i="3"/>
  <c r="E849" i="3"/>
  <c r="E848" i="3"/>
  <c r="A847" i="3"/>
  <c r="E845" i="3"/>
  <c r="E844" i="3"/>
  <c r="E843" i="3"/>
  <c r="E842" i="3"/>
  <c r="E841" i="3"/>
  <c r="E840" i="3"/>
  <c r="E839" i="3"/>
  <c r="E838" i="3"/>
  <c r="E837" i="3"/>
  <c r="E836" i="3"/>
  <c r="E835" i="3"/>
  <c r="E834" i="3"/>
  <c r="E833" i="3"/>
  <c r="E832" i="3"/>
  <c r="A831" i="3"/>
  <c r="E829" i="3"/>
  <c r="E828" i="3"/>
  <c r="E827" i="3"/>
  <c r="E826" i="3"/>
  <c r="E825" i="3"/>
  <c r="E824" i="3"/>
  <c r="E823" i="3"/>
  <c r="E822" i="3"/>
  <c r="E821" i="3"/>
  <c r="E820" i="3"/>
  <c r="E819" i="3"/>
  <c r="E818" i="3"/>
  <c r="E817" i="3"/>
  <c r="A816" i="3"/>
  <c r="E814" i="3"/>
  <c r="E813" i="3"/>
  <c r="E812" i="3"/>
  <c r="E811" i="3"/>
  <c r="E810" i="3"/>
  <c r="E809" i="3"/>
  <c r="E808" i="3"/>
  <c r="E807" i="3"/>
  <c r="E806" i="3"/>
  <c r="E805" i="3"/>
  <c r="E804" i="3"/>
  <c r="E803" i="3"/>
  <c r="E802" i="3"/>
  <c r="A801" i="3"/>
  <c r="E799" i="3"/>
  <c r="E798" i="3"/>
  <c r="E797" i="3"/>
  <c r="E796" i="3"/>
  <c r="E795" i="3"/>
  <c r="E794" i="3"/>
  <c r="E793" i="3"/>
  <c r="A792" i="3"/>
  <c r="E790" i="3"/>
  <c r="E789" i="3"/>
  <c r="E788" i="3"/>
  <c r="E787" i="3"/>
  <c r="E786" i="3"/>
  <c r="E785" i="3"/>
  <c r="E784" i="3"/>
  <c r="E783" i="3"/>
  <c r="E782" i="3"/>
  <c r="A781" i="3"/>
  <c r="E779" i="3"/>
  <c r="E778" i="3"/>
  <c r="E777" i="3"/>
  <c r="E776" i="3"/>
  <c r="E775" i="3"/>
  <c r="E774" i="3"/>
  <c r="E773" i="3"/>
  <c r="A772" i="3"/>
  <c r="E770" i="3"/>
  <c r="E769" i="3"/>
  <c r="E768" i="3"/>
  <c r="E767" i="3"/>
  <c r="E766" i="3"/>
  <c r="E765" i="3"/>
  <c r="E764" i="3"/>
  <c r="E763" i="3"/>
  <c r="E762" i="3"/>
  <c r="A761" i="3"/>
  <c r="E758" i="3"/>
  <c r="E757" i="3"/>
  <c r="E756" i="3"/>
  <c r="E755" i="3"/>
  <c r="A754" i="3"/>
  <c r="E752" i="3"/>
  <c r="E751" i="3"/>
  <c r="E750" i="3"/>
  <c r="A749" i="3"/>
  <c r="E748" i="3"/>
  <c r="E747" i="3"/>
  <c r="E746" i="3"/>
  <c r="E745" i="3"/>
  <c r="E744" i="3"/>
  <c r="E743" i="3"/>
  <c r="E742" i="3"/>
  <c r="A741" i="3"/>
  <c r="E739" i="3"/>
  <c r="E738" i="3"/>
  <c r="E737" i="3"/>
  <c r="E736" i="3"/>
  <c r="E735" i="3"/>
  <c r="E734" i="3"/>
  <c r="A733" i="3"/>
  <c r="E731" i="3"/>
  <c r="E730" i="3"/>
  <c r="E729" i="3"/>
  <c r="E728" i="3"/>
  <c r="E727" i="3"/>
  <c r="A726" i="3"/>
  <c r="L725" i="3"/>
  <c r="E725" i="3"/>
  <c r="E724" i="3"/>
  <c r="A723" i="3"/>
  <c r="E722" i="3"/>
  <c r="E721" i="3"/>
  <c r="E720" i="3"/>
  <c r="E719" i="3"/>
  <c r="E718" i="3"/>
  <c r="E717" i="3"/>
  <c r="E716" i="3"/>
  <c r="E715" i="3"/>
  <c r="E714" i="3"/>
  <c r="E713" i="3"/>
  <c r="A712" i="3"/>
  <c r="E711" i="3"/>
  <c r="E710" i="3"/>
  <c r="E709" i="3"/>
  <c r="E708" i="3"/>
  <c r="E707" i="3"/>
  <c r="E706" i="3"/>
  <c r="E705" i="3"/>
  <c r="E704" i="3"/>
  <c r="E703" i="3"/>
  <c r="E702" i="3"/>
  <c r="E701" i="3"/>
  <c r="A700" i="3"/>
  <c r="E699" i="3"/>
  <c r="E698" i="3"/>
  <c r="E697" i="3"/>
  <c r="E696" i="3"/>
  <c r="A695" i="3"/>
  <c r="E692" i="3"/>
  <c r="E691" i="3"/>
  <c r="E690" i="3"/>
  <c r="A689" i="3"/>
  <c r="E688" i="3"/>
  <c r="E687" i="3"/>
  <c r="E686" i="3"/>
  <c r="E685" i="3"/>
  <c r="E684" i="3"/>
  <c r="E683" i="3"/>
  <c r="A682" i="3"/>
  <c r="E681" i="3"/>
  <c r="E680" i="3"/>
  <c r="E679" i="3"/>
  <c r="A678" i="3"/>
  <c r="E677" i="3"/>
  <c r="E676" i="3"/>
  <c r="E675" i="3"/>
  <c r="E674" i="3"/>
  <c r="E673" i="3"/>
  <c r="E672" i="3"/>
  <c r="A671" i="3"/>
  <c r="E670" i="3"/>
  <c r="E669" i="3"/>
  <c r="E668" i="3"/>
  <c r="E667" i="3"/>
  <c r="E666" i="3"/>
  <c r="E665" i="3"/>
  <c r="A664" i="3"/>
  <c r="E663" i="3"/>
  <c r="E662" i="3"/>
  <c r="E661" i="3"/>
  <c r="E660" i="3"/>
  <c r="E659" i="3"/>
  <c r="E658" i="3"/>
  <c r="E657" i="3"/>
  <c r="E656" i="3"/>
  <c r="A655" i="3"/>
  <c r="E653" i="3"/>
  <c r="E652" i="3"/>
  <c r="E651" i="3"/>
  <c r="E650" i="3"/>
  <c r="E649" i="3"/>
  <c r="E648" i="3"/>
  <c r="E647" i="3"/>
  <c r="E646" i="3"/>
  <c r="A645" i="3"/>
  <c r="E644" i="3"/>
  <c r="E643" i="3"/>
  <c r="E642" i="3"/>
  <c r="E641" i="3"/>
  <c r="E640" i="3"/>
  <c r="E639" i="3"/>
  <c r="E638" i="3"/>
  <c r="E637" i="3"/>
  <c r="E636" i="3"/>
  <c r="E635" i="3"/>
  <c r="E634" i="3"/>
  <c r="E633" i="3"/>
  <c r="E632" i="3"/>
  <c r="E631" i="3"/>
  <c r="A630" i="3"/>
  <c r="E628" i="3"/>
  <c r="E627" i="3"/>
  <c r="E626" i="3"/>
  <c r="E625" i="3"/>
  <c r="E624" i="3"/>
  <c r="E623" i="3"/>
  <c r="E622" i="3"/>
  <c r="A621" i="3"/>
  <c r="E620" i="3"/>
  <c r="E619" i="3"/>
  <c r="E618" i="3"/>
  <c r="E617" i="3"/>
  <c r="E616" i="3"/>
  <c r="E615" i="3"/>
  <c r="E614" i="3"/>
  <c r="E613" i="3"/>
  <c r="A612" i="3"/>
  <c r="E610" i="3"/>
  <c r="E609" i="3"/>
  <c r="E608" i="3"/>
  <c r="E607" i="3"/>
  <c r="E606" i="3"/>
  <c r="E605" i="3"/>
  <c r="E604" i="3"/>
  <c r="E603" i="3"/>
  <c r="E602" i="3"/>
  <c r="A601" i="3"/>
  <c r="E600" i="3"/>
  <c r="E599" i="3"/>
  <c r="E598" i="3"/>
  <c r="E597" i="3"/>
  <c r="E596" i="3"/>
  <c r="E595" i="3"/>
  <c r="E594" i="3"/>
  <c r="E593" i="3"/>
  <c r="E592" i="3"/>
  <c r="E591" i="3"/>
  <c r="E590" i="3"/>
  <c r="A589" i="3"/>
  <c r="E588" i="3"/>
  <c r="E587" i="3"/>
  <c r="E586" i="3"/>
  <c r="E585" i="3"/>
  <c r="E584" i="3"/>
  <c r="E583" i="3"/>
  <c r="E582" i="3"/>
  <c r="E581" i="3"/>
  <c r="E580" i="3"/>
  <c r="E579" i="3"/>
  <c r="E578" i="3"/>
  <c r="A577" i="3"/>
  <c r="E576" i="3"/>
  <c r="E575" i="3"/>
  <c r="E574" i="3"/>
  <c r="E573" i="3"/>
  <c r="E572" i="3"/>
  <c r="E571" i="3"/>
  <c r="A570" i="3"/>
  <c r="E568" i="3"/>
  <c r="E567" i="3"/>
  <c r="E566" i="3"/>
  <c r="E565" i="3"/>
  <c r="E564" i="3"/>
  <c r="E563" i="3"/>
  <c r="E562" i="3"/>
  <c r="A561" i="3"/>
  <c r="E560" i="3"/>
  <c r="E559" i="3"/>
  <c r="E558" i="3"/>
  <c r="E557" i="3"/>
  <c r="E556" i="3"/>
  <c r="E555" i="3"/>
  <c r="A554" i="3"/>
  <c r="E553" i="3"/>
  <c r="E552" i="3"/>
  <c r="E551" i="3"/>
  <c r="E550" i="3"/>
  <c r="A549" i="3"/>
  <c r="E542" i="3"/>
  <c r="E541" i="3"/>
  <c r="E540" i="3"/>
  <c r="E539" i="3"/>
  <c r="E538" i="3"/>
  <c r="E537" i="3"/>
  <c r="E536" i="3"/>
  <c r="E535" i="3"/>
  <c r="E534" i="3"/>
  <c r="E533" i="3"/>
  <c r="E532" i="3"/>
  <c r="E531" i="3"/>
  <c r="A530" i="3"/>
  <c r="E529" i="3"/>
  <c r="E528" i="3"/>
  <c r="E527" i="3"/>
  <c r="E526" i="3"/>
  <c r="E525" i="3"/>
  <c r="E524" i="3"/>
  <c r="E523" i="3"/>
  <c r="E522" i="3"/>
  <c r="E521" i="3"/>
  <c r="E520" i="3"/>
  <c r="A519" i="3"/>
  <c r="E518" i="3"/>
  <c r="E517" i="3"/>
  <c r="E516" i="3"/>
  <c r="E515" i="3"/>
  <c r="E514" i="3"/>
  <c r="E513" i="3"/>
  <c r="E512" i="3"/>
  <c r="E511" i="3"/>
  <c r="A510" i="3"/>
  <c r="E509" i="3"/>
  <c r="E508" i="3"/>
  <c r="E507" i="3"/>
  <c r="E506" i="3"/>
  <c r="E505" i="3"/>
  <c r="E504" i="3"/>
  <c r="E503" i="3"/>
  <c r="E502" i="3"/>
  <c r="A501" i="3"/>
  <c r="E500" i="3"/>
  <c r="E499" i="3"/>
  <c r="E498" i="3"/>
  <c r="E497" i="3"/>
  <c r="E496" i="3"/>
  <c r="E495" i="3"/>
  <c r="E494" i="3"/>
  <c r="E493" i="3"/>
  <c r="A492" i="3"/>
  <c r="E491" i="3"/>
  <c r="E490" i="3"/>
  <c r="E489" i="3"/>
  <c r="E488" i="3"/>
  <c r="E487" i="3"/>
  <c r="E486" i="3"/>
  <c r="E485" i="3"/>
  <c r="E484" i="3"/>
  <c r="A483" i="3"/>
  <c r="E482" i="3"/>
  <c r="E481" i="3"/>
  <c r="E480" i="3"/>
  <c r="E479" i="3"/>
  <c r="E478" i="3"/>
  <c r="E477" i="3"/>
  <c r="E476" i="3"/>
  <c r="E475" i="3"/>
  <c r="A474" i="3"/>
  <c r="E473" i="3"/>
  <c r="E472" i="3"/>
  <c r="E471" i="3"/>
  <c r="E470" i="3"/>
  <c r="E469" i="3"/>
  <c r="E468" i="3"/>
  <c r="E467" i="3"/>
  <c r="E466" i="3"/>
  <c r="A465" i="3"/>
  <c r="E464" i="3"/>
  <c r="E463" i="3"/>
  <c r="E462" i="3"/>
  <c r="E461" i="3"/>
  <c r="E460" i="3"/>
  <c r="E459" i="3"/>
  <c r="E458" i="3"/>
  <c r="E457" i="3"/>
  <c r="A456" i="3"/>
  <c r="E455" i="3"/>
  <c r="E454" i="3"/>
  <c r="E453" i="3"/>
  <c r="E452" i="3"/>
  <c r="E451" i="3"/>
  <c r="E450" i="3"/>
  <c r="E449" i="3"/>
  <c r="E448" i="3"/>
  <c r="A447" i="3"/>
  <c r="E446" i="3"/>
  <c r="E445" i="3"/>
  <c r="E444" i="3"/>
  <c r="E443" i="3"/>
  <c r="E442" i="3"/>
  <c r="E441" i="3"/>
  <c r="E440" i="3"/>
  <c r="E439" i="3"/>
  <c r="E438" i="3"/>
  <c r="E437" i="3"/>
  <c r="E436" i="3"/>
  <c r="E435" i="3"/>
  <c r="E434" i="3"/>
  <c r="E433" i="3"/>
  <c r="E432" i="3"/>
  <c r="E431" i="3"/>
  <c r="E430" i="3"/>
  <c r="A429" i="3"/>
  <c r="E424" i="3"/>
  <c r="E423" i="3"/>
  <c r="E422" i="3"/>
  <c r="E421" i="3"/>
  <c r="E420" i="3"/>
  <c r="E419" i="3"/>
  <c r="E418" i="3"/>
  <c r="A417" i="3"/>
  <c r="E412" i="3"/>
  <c r="E411" i="3"/>
  <c r="E410" i="3"/>
  <c r="E409" i="3"/>
  <c r="E408" i="3"/>
  <c r="E407" i="3"/>
  <c r="E406" i="3"/>
  <c r="A405" i="3"/>
  <c r="E404" i="3"/>
  <c r="E403" i="3"/>
  <c r="E402" i="3"/>
  <c r="E401" i="3"/>
  <c r="E400" i="3"/>
  <c r="E399" i="3"/>
  <c r="E398" i="3"/>
  <c r="E397" i="3"/>
  <c r="E396" i="3"/>
  <c r="A395" i="3"/>
  <c r="E393" i="3"/>
  <c r="E392" i="3"/>
  <c r="E391" i="3"/>
  <c r="E390" i="3"/>
  <c r="A389" i="3"/>
  <c r="E388" i="3"/>
  <c r="E387" i="3"/>
  <c r="E386" i="3"/>
  <c r="E385" i="3"/>
  <c r="E384" i="3"/>
  <c r="E383" i="3"/>
  <c r="A382" i="3"/>
  <c r="E375" i="3"/>
  <c r="E374" i="3"/>
  <c r="E373" i="3"/>
  <c r="E372" i="3"/>
  <c r="E371" i="3"/>
  <c r="E370" i="3"/>
  <c r="E369" i="3"/>
  <c r="E368" i="3"/>
  <c r="E367" i="3"/>
  <c r="E366" i="3"/>
  <c r="E365" i="3"/>
  <c r="A364" i="3"/>
  <c r="E361" i="3"/>
  <c r="E360" i="3"/>
  <c r="E359" i="3"/>
  <c r="E358" i="3"/>
  <c r="E357" i="3"/>
  <c r="E356" i="3"/>
  <c r="E355" i="3"/>
  <c r="E354" i="3"/>
  <c r="E353" i="3"/>
  <c r="E352" i="3"/>
  <c r="A351" i="3"/>
  <c r="E348" i="3"/>
  <c r="E347" i="3"/>
  <c r="E346" i="3"/>
  <c r="E345" i="3"/>
  <c r="E344" i="3"/>
  <c r="E343" i="3"/>
  <c r="E342" i="3"/>
  <c r="E341" i="3"/>
  <c r="E340" i="3"/>
  <c r="E339" i="3"/>
  <c r="A338" i="3"/>
  <c r="E330" i="3"/>
  <c r="E329" i="3"/>
  <c r="E328" i="3"/>
  <c r="E327" i="3"/>
  <c r="A326" i="3"/>
  <c r="E318" i="3"/>
  <c r="E317" i="3"/>
  <c r="E316" i="3"/>
  <c r="E315" i="3"/>
  <c r="A314" i="3"/>
  <c r="E310" i="3"/>
  <c r="E309" i="3"/>
  <c r="E308" i="3"/>
  <c r="E307" i="3"/>
  <c r="E306" i="3"/>
  <c r="E305" i="3"/>
  <c r="E304" i="3"/>
  <c r="E303" i="3"/>
  <c r="E302" i="3"/>
  <c r="A301" i="3"/>
  <c r="E297" i="3"/>
  <c r="E296" i="3"/>
  <c r="E295" i="3"/>
  <c r="E294" i="3"/>
  <c r="E293" i="3"/>
  <c r="E292" i="3"/>
  <c r="E291" i="3"/>
  <c r="E290" i="3"/>
  <c r="E289" i="3"/>
  <c r="A288" i="3"/>
  <c r="E283" i="3"/>
  <c r="E282" i="3"/>
  <c r="E281" i="3"/>
  <c r="E280" i="3"/>
  <c r="E279" i="3"/>
  <c r="E278" i="3"/>
  <c r="E277" i="3"/>
  <c r="E276" i="3"/>
  <c r="E275" i="3"/>
  <c r="E274" i="3"/>
  <c r="E273" i="3"/>
  <c r="A272" i="3"/>
  <c r="E268" i="3"/>
  <c r="E267" i="3"/>
  <c r="E266" i="3"/>
  <c r="E265" i="3"/>
  <c r="E264" i="3"/>
  <c r="E263" i="3"/>
  <c r="E262" i="3"/>
  <c r="E261" i="3"/>
  <c r="E260" i="3"/>
  <c r="E259" i="3"/>
  <c r="E258" i="3"/>
  <c r="E257" i="3"/>
  <c r="A256" i="3"/>
  <c r="E248" i="3"/>
  <c r="E247" i="3"/>
  <c r="E246" i="3"/>
  <c r="E245" i="3"/>
  <c r="E244" i="3"/>
  <c r="E243" i="3"/>
  <c r="E242" i="3"/>
  <c r="E241" i="3"/>
  <c r="E240" i="3"/>
  <c r="E239" i="3"/>
  <c r="E238" i="3"/>
  <c r="A237" i="3"/>
  <c r="E231" i="3"/>
  <c r="E230" i="3"/>
  <c r="E229" i="3"/>
  <c r="E228" i="3"/>
  <c r="E227" i="3"/>
  <c r="E226" i="3"/>
  <c r="E225" i="3"/>
  <c r="E224" i="3"/>
  <c r="E223" i="3"/>
  <c r="E222" i="3"/>
  <c r="E221" i="3"/>
  <c r="E220" i="3"/>
  <c r="E219" i="3"/>
  <c r="A218" i="3"/>
  <c r="E212" i="3"/>
  <c r="E211" i="3"/>
  <c r="E210" i="3"/>
  <c r="E209" i="3"/>
  <c r="A208" i="3"/>
  <c r="E201" i="3"/>
  <c r="E200" i="3"/>
  <c r="E199" i="3"/>
  <c r="A198" i="3"/>
  <c r="E194" i="3"/>
  <c r="E193" i="3"/>
  <c r="E192" i="3"/>
  <c r="E191" i="3"/>
  <c r="E190" i="3"/>
  <c r="E189" i="3"/>
  <c r="A188" i="3"/>
  <c r="E185" i="3"/>
  <c r="E184" i="3"/>
  <c r="E183" i="3"/>
  <c r="E182" i="3"/>
  <c r="E181" i="3"/>
  <c r="E180" i="3"/>
  <c r="A179" i="3"/>
  <c r="E178" i="3"/>
  <c r="E177" i="3"/>
  <c r="E176" i="3"/>
  <c r="E175" i="3"/>
  <c r="E174" i="3"/>
  <c r="E173" i="3"/>
  <c r="A172" i="3"/>
  <c r="E167" i="3"/>
  <c r="E166" i="3"/>
  <c r="E165" i="3"/>
  <c r="A164" i="3"/>
  <c r="E161" i="3"/>
  <c r="E160" i="3"/>
  <c r="E159" i="3"/>
  <c r="E158" i="3"/>
  <c r="A157" i="3"/>
  <c r="E154" i="3"/>
  <c r="E153" i="3"/>
  <c r="E152" i="3"/>
  <c r="A151" i="3"/>
  <c r="E150" i="3"/>
  <c r="E149" i="3"/>
  <c r="A148" i="3"/>
  <c r="E147" i="3"/>
  <c r="E146" i="3"/>
  <c r="E145" i="3"/>
  <c r="E144" i="3"/>
  <c r="E143" i="3"/>
  <c r="E142" i="3"/>
  <c r="E141" i="3"/>
  <c r="A140" i="3"/>
  <c r="E139" i="3"/>
  <c r="E138" i="3"/>
  <c r="E137" i="3"/>
  <c r="E136" i="3"/>
  <c r="E135" i="3"/>
  <c r="E134" i="3"/>
  <c r="E133" i="3"/>
  <c r="A132" i="3"/>
  <c r="E131" i="3"/>
  <c r="E130" i="3"/>
  <c r="E129" i="3"/>
  <c r="E128" i="3"/>
  <c r="E127" i="3"/>
  <c r="A126" i="3"/>
  <c r="E124" i="3"/>
  <c r="E123" i="3"/>
  <c r="E122" i="3"/>
  <c r="E121" i="3"/>
  <c r="E120" i="3"/>
  <c r="E119" i="3"/>
  <c r="E118" i="3"/>
  <c r="E117" i="3"/>
  <c r="E116" i="3"/>
  <c r="E115" i="3"/>
  <c r="E114" i="3"/>
  <c r="A113" i="3"/>
  <c r="E107" i="3"/>
  <c r="E106" i="3"/>
  <c r="E105" i="3"/>
  <c r="E104" i="3"/>
  <c r="E103" i="3"/>
  <c r="E102" i="3"/>
  <c r="E101" i="3"/>
  <c r="A100" i="3"/>
  <c r="E94" i="3"/>
  <c r="E93" i="3"/>
  <c r="E92" i="3"/>
  <c r="E91" i="3"/>
  <c r="E90" i="3"/>
  <c r="E89" i="3"/>
  <c r="E88" i="3"/>
  <c r="A87" i="3"/>
  <c r="E85" i="3"/>
  <c r="E84" i="3"/>
  <c r="E83" i="3"/>
  <c r="E82" i="3"/>
  <c r="E81" i="3"/>
  <c r="E80" i="3"/>
  <c r="E79" i="3"/>
  <c r="E78" i="3"/>
  <c r="E77" i="3"/>
  <c r="E76" i="3"/>
  <c r="E75" i="3"/>
  <c r="A74" i="3"/>
  <c r="E72" i="3"/>
  <c r="E71" i="3"/>
  <c r="E70" i="3"/>
  <c r="E69" i="3"/>
  <c r="E68" i="3"/>
  <c r="E67" i="3"/>
  <c r="E66" i="3"/>
  <c r="E65" i="3"/>
  <c r="E64" i="3"/>
  <c r="E63" i="3"/>
  <c r="E62" i="3"/>
  <c r="A61" i="3"/>
  <c r="E60" i="3"/>
  <c r="E59" i="3"/>
  <c r="E58" i="3"/>
  <c r="E57" i="3"/>
  <c r="E56" i="3"/>
  <c r="E55" i="3"/>
  <c r="E54" i="3"/>
  <c r="E53" i="3"/>
  <c r="E52" i="3"/>
  <c r="E51" i="3"/>
  <c r="E50" i="3"/>
  <c r="E49" i="3"/>
  <c r="A48" i="3"/>
  <c r="E47" i="3"/>
  <c r="E46" i="3"/>
  <c r="E45" i="3"/>
  <c r="E44" i="3"/>
  <c r="E43" i="3"/>
  <c r="E42" i="3"/>
  <c r="E41" i="3"/>
  <c r="E40" i="3"/>
  <c r="E39" i="3"/>
  <c r="E38" i="3"/>
  <c r="E37" i="3"/>
  <c r="E36" i="3"/>
  <c r="A35" i="3"/>
  <c r="E31" i="3"/>
  <c r="E30" i="3"/>
  <c r="E29" i="3"/>
  <c r="E28" i="3"/>
  <c r="E27" i="3"/>
  <c r="A26" i="3"/>
  <c r="E24" i="3"/>
  <c r="E23" i="3"/>
  <c r="E22" i="3"/>
  <c r="E21" i="3"/>
  <c r="E20" i="3"/>
  <c r="A19" i="3"/>
  <c r="E16" i="3"/>
  <c r="E15" i="3"/>
  <c r="E14" i="3"/>
  <c r="E13" i="3"/>
  <c r="E12" i="3"/>
  <c r="E11" i="3"/>
  <c r="E10" i="3"/>
  <c r="E9" i="3"/>
  <c r="E8" i="3"/>
  <c r="E7" i="3"/>
  <c r="A6" i="3"/>
  <c r="K144" i="2"/>
  <c r="L144" i="2" s="1"/>
  <c r="F144" i="2"/>
  <c r="L143" i="2"/>
  <c r="F143" i="2"/>
  <c r="K142" i="2"/>
  <c r="L142" i="2" s="1"/>
  <c r="F142" i="2"/>
  <c r="K141" i="2"/>
  <c r="L141" i="2" s="1"/>
  <c r="F141" i="2"/>
  <c r="L140" i="2"/>
  <c r="K140" i="2"/>
  <c r="F140" i="2"/>
  <c r="K139" i="2"/>
  <c r="L139" i="2" s="1"/>
  <c r="F139" i="2"/>
  <c r="K138" i="2"/>
  <c r="L138" i="2" s="1"/>
  <c r="F138" i="2"/>
  <c r="K137" i="2"/>
  <c r="L137" i="2" s="1"/>
  <c r="F137" i="2"/>
  <c r="L136" i="2"/>
  <c r="K136" i="2"/>
  <c r="F136" i="2"/>
  <c r="K135" i="2"/>
  <c r="L135" i="2" s="1"/>
  <c r="F135" i="2"/>
  <c r="L134" i="2"/>
  <c r="K134" i="2"/>
  <c r="F134" i="2"/>
  <c r="K133" i="2"/>
  <c r="L133" i="2" s="1"/>
  <c r="F133" i="2"/>
  <c r="L132" i="2"/>
  <c r="K132" i="2"/>
  <c r="F132" i="2"/>
  <c r="L131" i="2"/>
  <c r="K131" i="2"/>
  <c r="F131" i="2"/>
  <c r="K130" i="2"/>
  <c r="L130" i="2" s="1"/>
  <c r="F130" i="2"/>
  <c r="K129" i="2"/>
  <c r="L129" i="2" s="1"/>
  <c r="F129" i="2"/>
  <c r="K128" i="2"/>
  <c r="L128" i="2" s="1"/>
  <c r="F128" i="2"/>
  <c r="K127" i="2"/>
  <c r="L127" i="2" s="1"/>
  <c r="F127" i="2"/>
  <c r="K126" i="2"/>
  <c r="L126" i="2" s="1"/>
  <c r="F126" i="2"/>
  <c r="K125" i="2"/>
  <c r="L125" i="2" s="1"/>
  <c r="F125" i="2"/>
  <c r="K124" i="2"/>
  <c r="L124" i="2" s="1"/>
  <c r="F124" i="2"/>
  <c r="K123" i="2"/>
  <c r="L123" i="2" s="1"/>
  <c r="F123" i="2"/>
  <c r="K122" i="2"/>
  <c r="L122" i="2" s="1"/>
  <c r="F122" i="2"/>
  <c r="K121" i="2"/>
  <c r="L121" i="2" s="1"/>
  <c r="F121" i="2"/>
  <c r="L120" i="2"/>
  <c r="K120" i="2"/>
  <c r="F120" i="2"/>
  <c r="K119" i="2"/>
  <c r="L119" i="2" s="1"/>
  <c r="F119" i="2"/>
  <c r="L118" i="2"/>
  <c r="K118" i="2"/>
  <c r="F118" i="2"/>
  <c r="K117" i="2"/>
  <c r="L117" i="2" s="1"/>
  <c r="F117" i="2"/>
  <c r="L116" i="2"/>
  <c r="K116" i="2"/>
  <c r="F116" i="2"/>
  <c r="L115" i="2"/>
  <c r="K115" i="2"/>
  <c r="F115" i="2"/>
  <c r="L114" i="2"/>
  <c r="F114" i="2"/>
  <c r="K113" i="2"/>
  <c r="L113" i="2" s="1"/>
  <c r="F113" i="2"/>
  <c r="K112" i="2"/>
  <c r="L112" i="2" s="1"/>
  <c r="F112" i="2"/>
  <c r="K111" i="2"/>
  <c r="L111" i="2" s="1"/>
  <c r="F111" i="2"/>
  <c r="K110" i="2"/>
  <c r="L110" i="2" s="1"/>
  <c r="F110" i="2"/>
  <c r="L109" i="2"/>
  <c r="K109" i="2"/>
  <c r="F109" i="2"/>
  <c r="L108" i="2"/>
  <c r="F108" i="2"/>
  <c r="L107" i="2"/>
  <c r="F107" i="2"/>
  <c r="L106" i="2"/>
  <c r="F106" i="2"/>
  <c r="L105" i="2"/>
  <c r="F105" i="2"/>
  <c r="K104" i="2"/>
  <c r="L104" i="2" s="1"/>
  <c r="F104" i="2"/>
  <c r="K103" i="2"/>
  <c r="L103" i="2" s="1"/>
  <c r="F103" i="2"/>
  <c r="K102" i="2"/>
  <c r="L102" i="2" s="1"/>
  <c r="F102" i="2"/>
  <c r="L101" i="2"/>
  <c r="K101" i="2"/>
  <c r="F101" i="2"/>
  <c r="L100" i="2"/>
  <c r="F100" i="2"/>
  <c r="K99" i="2"/>
  <c r="L99" i="2" s="1"/>
  <c r="F99" i="2"/>
  <c r="K98" i="2"/>
  <c r="L98" i="2" s="1"/>
  <c r="F98" i="2"/>
  <c r="K97" i="2"/>
  <c r="L97" i="2" s="1"/>
  <c r="F97" i="2"/>
  <c r="K96" i="2"/>
  <c r="L96" i="2" s="1"/>
  <c r="F96" i="2"/>
  <c r="K95" i="2"/>
  <c r="L95" i="2" s="1"/>
  <c r="F95" i="2"/>
  <c r="K94" i="2"/>
  <c r="L94" i="2" s="1"/>
  <c r="F94" i="2"/>
  <c r="K93" i="2"/>
  <c r="L93" i="2" s="1"/>
  <c r="F93" i="2"/>
  <c r="L92" i="2"/>
  <c r="K92" i="2"/>
  <c r="F92" i="2"/>
  <c r="K91" i="2"/>
  <c r="L91" i="2" s="1"/>
  <c r="F91" i="2"/>
  <c r="K90" i="2"/>
  <c r="L90" i="2" s="1"/>
  <c r="F90" i="2"/>
  <c r="K89" i="2"/>
  <c r="L89" i="2" s="1"/>
  <c r="F89" i="2"/>
  <c r="L88" i="2"/>
  <c r="K88" i="2"/>
  <c r="F88" i="2"/>
  <c r="K87" i="2"/>
  <c r="L87" i="2" s="1"/>
  <c r="F87" i="2"/>
  <c r="L86" i="2"/>
  <c r="K86" i="2"/>
  <c r="F86" i="2"/>
  <c r="L85" i="2"/>
  <c r="K85" i="2"/>
  <c r="F85" i="2"/>
  <c r="K84" i="2"/>
  <c r="L84" i="2" s="1"/>
  <c r="F84" i="2"/>
  <c r="K83" i="2"/>
  <c r="L83" i="2" s="1"/>
  <c r="F83" i="2"/>
  <c r="L82" i="2"/>
  <c r="K82" i="2"/>
  <c r="F82" i="2"/>
  <c r="K81" i="2"/>
  <c r="K80" i="2"/>
  <c r="L80" i="2" s="1"/>
  <c r="L79" i="2"/>
  <c r="K79" i="2"/>
  <c r="L78" i="2"/>
  <c r="K78" i="2"/>
  <c r="K77" i="2"/>
  <c r="K76" i="2"/>
  <c r="L76" i="2" s="1"/>
  <c r="K75" i="2"/>
  <c r="L75" i="2" s="1"/>
  <c r="M75" i="2" s="1"/>
  <c r="N75" i="2" s="1"/>
  <c r="K74" i="2"/>
  <c r="K73" i="2"/>
  <c r="K72" i="2"/>
  <c r="L72" i="2" s="1"/>
  <c r="M72" i="2" s="1"/>
  <c r="N72" i="2" s="1"/>
  <c r="K71" i="2"/>
  <c r="L71" i="2" s="1"/>
  <c r="K70" i="2"/>
  <c r="L70" i="2" s="1"/>
  <c r="F70" i="2"/>
  <c r="L69" i="2"/>
  <c r="F69" i="2"/>
  <c r="L68" i="2"/>
  <c r="K68" i="2"/>
  <c r="F68" i="2"/>
  <c r="K67" i="2"/>
  <c r="L67" i="2" s="1"/>
  <c r="F67" i="2"/>
  <c r="K66" i="2"/>
  <c r="L66" i="2" s="1"/>
  <c r="F66" i="2"/>
  <c r="K65" i="2"/>
  <c r="L65" i="2" s="1"/>
  <c r="F65" i="2"/>
  <c r="L64" i="2"/>
  <c r="F64" i="2"/>
  <c r="L63" i="2"/>
  <c r="F63" i="2"/>
  <c r="K62" i="2"/>
  <c r="L62" i="2" s="1"/>
  <c r="F62" i="2"/>
  <c r="K61" i="2"/>
  <c r="L61" i="2" s="1"/>
  <c r="F61" i="2"/>
  <c r="K60" i="2"/>
  <c r="L60" i="2" s="1"/>
  <c r="F60" i="2"/>
  <c r="K59" i="2"/>
  <c r="L59" i="2" s="1"/>
  <c r="F59" i="2"/>
  <c r="K58" i="2"/>
  <c r="L58" i="2" s="1"/>
  <c r="F58" i="2"/>
  <c r="K57" i="2"/>
  <c r="L57" i="2" s="1"/>
  <c r="F57" i="2"/>
  <c r="K56" i="2"/>
  <c r="L56" i="2" s="1"/>
  <c r="F56" i="2"/>
  <c r="K55" i="2"/>
  <c r="L55" i="2" s="1"/>
  <c r="G55" i="2"/>
  <c r="I55" i="2" s="1"/>
  <c r="J55" i="2" s="1"/>
  <c r="F55" i="2"/>
  <c r="K54" i="2"/>
  <c r="L54" i="2" s="1"/>
  <c r="F54" i="2"/>
  <c r="K53" i="2"/>
  <c r="L53" i="2" s="1"/>
  <c r="F53" i="2"/>
  <c r="K52" i="2"/>
  <c r="L52" i="2" s="1"/>
  <c r="F52" i="2"/>
  <c r="L51" i="2"/>
  <c r="K51" i="2"/>
  <c r="F51" i="2"/>
  <c r="K50" i="2"/>
  <c r="L50" i="2" s="1"/>
  <c r="F50" i="2"/>
  <c r="K49" i="2"/>
  <c r="L49" i="2" s="1"/>
  <c r="F49" i="2"/>
  <c r="K48" i="2"/>
  <c r="L48" i="2" s="1"/>
  <c r="F48" i="2"/>
  <c r="K47" i="2"/>
  <c r="L47" i="2" s="1"/>
  <c r="F47" i="2"/>
  <c r="K46" i="2"/>
  <c r="L46" i="2" s="1"/>
  <c r="F46" i="2"/>
  <c r="L45" i="2"/>
  <c r="F45" i="2"/>
  <c r="L44" i="2"/>
  <c r="F44" i="2"/>
  <c r="K43" i="2"/>
  <c r="L43" i="2" s="1"/>
  <c r="F43" i="2"/>
  <c r="K42" i="2"/>
  <c r="L42" i="2" s="1"/>
  <c r="F42" i="2"/>
  <c r="L41" i="2"/>
  <c r="F41" i="2"/>
  <c r="L40" i="2"/>
  <c r="F40" i="2"/>
  <c r="K39" i="2"/>
  <c r="L39" i="2" s="1"/>
  <c r="F39" i="2"/>
  <c r="K38" i="2"/>
  <c r="L38" i="2" s="1"/>
  <c r="F38" i="2"/>
  <c r="K37" i="2"/>
  <c r="L37" i="2" s="1"/>
  <c r="F37" i="2"/>
  <c r="K36" i="2"/>
  <c r="L36" i="2" s="1"/>
  <c r="F36" i="2"/>
  <c r="L35" i="2"/>
  <c r="K35" i="2"/>
  <c r="F35" i="2"/>
  <c r="L34" i="2"/>
  <c r="K34" i="2"/>
  <c r="F34" i="2"/>
  <c r="K33" i="2"/>
  <c r="L33" i="2" s="1"/>
  <c r="F33" i="2"/>
  <c r="L32" i="2"/>
  <c r="K32" i="2"/>
  <c r="F32" i="2"/>
  <c r="K31" i="2"/>
  <c r="L31" i="2" s="1"/>
  <c r="F31" i="2"/>
  <c r="L30" i="2"/>
  <c r="K30" i="2"/>
  <c r="F30" i="2"/>
  <c r="K29" i="2"/>
  <c r="L29" i="2" s="1"/>
  <c r="F29" i="2"/>
  <c r="K28" i="2"/>
  <c r="L28" i="2" s="1"/>
  <c r="F28" i="2"/>
  <c r="K27" i="2"/>
  <c r="L27" i="2" s="1"/>
  <c r="F27" i="2"/>
  <c r="K26" i="2"/>
  <c r="L26" i="2" s="1"/>
  <c r="F26" i="2"/>
  <c r="K25" i="2"/>
  <c r="L25" i="2" s="1"/>
  <c r="F25" i="2"/>
  <c r="K24" i="2"/>
  <c r="L24" i="2" s="1"/>
  <c r="F24" i="2"/>
  <c r="K23" i="2"/>
  <c r="L23" i="2" s="1"/>
  <c r="F23" i="2"/>
  <c r="K22" i="2"/>
  <c r="L22" i="2" s="1"/>
  <c r="F22" i="2"/>
  <c r="K21" i="2"/>
  <c r="L21" i="2" s="1"/>
  <c r="F21" i="2"/>
  <c r="K20" i="2"/>
  <c r="L20" i="2" s="1"/>
  <c r="F20" i="2"/>
  <c r="K19" i="2"/>
  <c r="L19" i="2" s="1"/>
  <c r="F19" i="2"/>
  <c r="K18" i="2"/>
  <c r="L18" i="2" s="1"/>
  <c r="F18" i="2"/>
  <c r="K17" i="2"/>
  <c r="L17" i="2" s="1"/>
  <c r="F17" i="2"/>
  <c r="K16" i="2"/>
  <c r="L16" i="2" s="1"/>
  <c r="F16" i="2"/>
  <c r="L15" i="2"/>
  <c r="F15" i="2"/>
  <c r="L14" i="2"/>
  <c r="F14" i="2"/>
  <c r="L13" i="2"/>
  <c r="F13" i="2"/>
  <c r="L12" i="2"/>
  <c r="K12" i="2"/>
  <c r="F12" i="2"/>
  <c r="L11" i="2"/>
  <c r="K11" i="2"/>
  <c r="F11" i="2"/>
  <c r="K10" i="2"/>
  <c r="L10" i="2" s="1"/>
  <c r="F10" i="2"/>
  <c r="L9" i="2"/>
  <c r="K9" i="2"/>
  <c r="F9" i="2"/>
  <c r="L8" i="2"/>
  <c r="K8" i="2"/>
  <c r="F8" i="2"/>
  <c r="K7" i="2"/>
  <c r="L7" i="2" s="1"/>
  <c r="F7" i="2"/>
  <c r="K6" i="2"/>
  <c r="L6" i="2" s="1"/>
  <c r="F6" i="2"/>
  <c r="A6" i="2"/>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K5" i="2"/>
  <c r="L5" i="2" s="1"/>
  <c r="F5" i="2"/>
  <c r="K402" i="1"/>
  <c r="F40" i="6" s="1"/>
  <c r="G40" i="6" s="1"/>
  <c r="K401" i="1"/>
  <c r="F620" i="4" s="1"/>
  <c r="G620" i="4" s="1"/>
  <c r="K400" i="1"/>
  <c r="F994" i="3" s="1"/>
  <c r="G994" i="3" s="1"/>
  <c r="K399" i="1"/>
  <c r="F993" i="3" s="1"/>
  <c r="G993" i="3" s="1"/>
  <c r="K398" i="1"/>
  <c r="F600" i="4" s="1"/>
  <c r="G600" i="4" s="1"/>
  <c r="K397" i="1"/>
  <c r="F323" i="4" s="1"/>
  <c r="G323" i="4" s="1"/>
  <c r="K396" i="1"/>
  <c r="K395" i="1"/>
  <c r="K394" i="1"/>
  <c r="K393" i="1"/>
  <c r="K392" i="1"/>
  <c r="F961" i="3" s="1"/>
  <c r="G961" i="3" s="1"/>
  <c r="M391" i="1"/>
  <c r="K391" i="1"/>
  <c r="F960" i="3" s="1"/>
  <c r="G960" i="3" s="1"/>
  <c r="M390" i="1"/>
  <c r="K390" i="1"/>
  <c r="F959" i="3" s="1"/>
  <c r="G959" i="3" s="1"/>
  <c r="M389" i="1"/>
  <c r="K389" i="1"/>
  <c r="M388" i="1"/>
  <c r="K388" i="1"/>
  <c r="F562" i="4" s="1"/>
  <c r="G562" i="4" s="1"/>
  <c r="M387" i="1"/>
  <c r="K387" i="1"/>
  <c r="M386" i="1"/>
  <c r="K386" i="1"/>
  <c r="M385" i="1"/>
  <c r="K385" i="1"/>
  <c r="M384" i="1"/>
  <c r="K384" i="1"/>
  <c r="F445" i="5" s="1"/>
  <c r="G445" i="5" s="1"/>
  <c r="M383" i="1"/>
  <c r="K383" i="1"/>
  <c r="F461" i="5" s="1"/>
  <c r="G461" i="5" s="1"/>
  <c r="M382" i="1"/>
  <c r="K382" i="1"/>
  <c r="M381" i="1"/>
  <c r="K381" i="1"/>
  <c r="F435" i="5" s="1"/>
  <c r="G435" i="5" s="1"/>
  <c r="M380" i="1"/>
  <c r="K380" i="1"/>
  <c r="F456" i="5" s="1"/>
  <c r="G456" i="5" s="1"/>
  <c r="M379" i="1"/>
  <c r="K379" i="1"/>
  <c r="M378" i="1"/>
  <c r="K378" i="1"/>
  <c r="M377" i="1"/>
  <c r="K377" i="1"/>
  <c r="M376" i="1"/>
  <c r="K376" i="1"/>
  <c r="M375" i="1"/>
  <c r="K375" i="1"/>
  <c r="M374" i="1"/>
  <c r="K374" i="1"/>
  <c r="F526" i="4" s="1"/>
  <c r="G526" i="4" s="1"/>
  <c r="M373" i="1"/>
  <c r="K373" i="1"/>
  <c r="M372" i="1"/>
  <c r="K372" i="1"/>
  <c r="F521" i="4" s="1"/>
  <c r="G521" i="4" s="1"/>
  <c r="M371" i="1"/>
  <c r="K371" i="1"/>
  <c r="M370" i="1"/>
  <c r="K370" i="1"/>
  <c r="M369" i="1"/>
  <c r="K369" i="1"/>
  <c r="F517" i="4" s="1"/>
  <c r="G517" i="4" s="1"/>
  <c r="M368" i="1"/>
  <c r="K368" i="1"/>
  <c r="M367" i="1"/>
  <c r="K367" i="1"/>
  <c r="M366" i="1"/>
  <c r="K366" i="1"/>
  <c r="M365" i="1"/>
  <c r="K365" i="1"/>
  <c r="F498" i="4" s="1"/>
  <c r="G498" i="4" s="1"/>
  <c r="M364" i="1"/>
  <c r="K364" i="1"/>
  <c r="F480" i="4" s="1"/>
  <c r="G480" i="4" s="1"/>
  <c r="M363" i="1"/>
  <c r="K363" i="1"/>
  <c r="F426" i="4" s="1"/>
  <c r="G426" i="4" s="1"/>
  <c r="M362" i="1"/>
  <c r="K362" i="1"/>
  <c r="F408" i="4" s="1"/>
  <c r="G408" i="4" s="1"/>
  <c r="M361" i="1"/>
  <c r="K361" i="1"/>
  <c r="F390" i="4" s="1"/>
  <c r="G390" i="4" s="1"/>
  <c r="M360" i="1"/>
  <c r="K360" i="1"/>
  <c r="M359" i="1"/>
  <c r="K359" i="1"/>
  <c r="M358" i="1"/>
  <c r="K358" i="1"/>
  <c r="M357" i="1"/>
  <c r="K357" i="1"/>
  <c r="M356" i="1"/>
  <c r="K356" i="1"/>
  <c r="M355" i="1"/>
  <c r="K355" i="1"/>
  <c r="F140" i="5" s="1"/>
  <c r="G140" i="5" s="1"/>
  <c r="M354" i="1"/>
  <c r="K354" i="1"/>
  <c r="M353" i="1"/>
  <c r="K353" i="1"/>
  <c r="F398" i="5" s="1"/>
  <c r="G398" i="5" s="1"/>
  <c r="M352" i="1"/>
  <c r="K352" i="1"/>
  <c r="F367" i="4" s="1"/>
  <c r="G367" i="4" s="1"/>
  <c r="M351" i="1"/>
  <c r="K351" i="1"/>
  <c r="M350" i="1"/>
  <c r="K350" i="1"/>
  <c r="F681" i="3" s="1"/>
  <c r="G681" i="3" s="1"/>
  <c r="M349" i="1"/>
  <c r="K349" i="1"/>
  <c r="M348" i="1"/>
  <c r="K348" i="1"/>
  <c r="F197" i="4" s="1"/>
  <c r="G197" i="4" s="1"/>
  <c r="M347" i="1"/>
  <c r="K347" i="1"/>
  <c r="M346" i="1"/>
  <c r="K346" i="1"/>
  <c r="M345" i="1"/>
  <c r="K345" i="1"/>
  <c r="M344" i="1"/>
  <c r="K344" i="1"/>
  <c r="M343" i="1"/>
  <c r="K343" i="1"/>
  <c r="F927" i="3" s="1"/>
  <c r="G927" i="3" s="1"/>
  <c r="M342" i="1"/>
  <c r="K342" i="1"/>
  <c r="F926" i="3" s="1"/>
  <c r="G926" i="3" s="1"/>
  <c r="M341" i="1"/>
  <c r="K341" i="1"/>
  <c r="M340" i="1"/>
  <c r="K340" i="1"/>
  <c r="M339" i="1"/>
  <c r="K339" i="1"/>
  <c r="M338" i="1"/>
  <c r="K338" i="1"/>
  <c r="M337" i="1"/>
  <c r="K337" i="1"/>
  <c r="M336" i="1"/>
  <c r="K336" i="1"/>
  <c r="M335" i="1"/>
  <c r="K335" i="1"/>
  <c r="F98" i="5" s="1"/>
  <c r="G98" i="5" s="1"/>
  <c r="M334" i="1"/>
  <c r="K334" i="1"/>
  <c r="M333" i="1"/>
  <c r="K333" i="1"/>
  <c r="M332" i="1"/>
  <c r="K332" i="1"/>
  <c r="F428" i="5" s="1"/>
  <c r="G428" i="5" s="1"/>
  <c r="M331" i="1"/>
  <c r="K331" i="1"/>
  <c r="M330" i="1"/>
  <c r="K330" i="1"/>
  <c r="M329" i="1"/>
  <c r="K329" i="1"/>
  <c r="M328" i="1"/>
  <c r="K328" i="1"/>
  <c r="M327" i="1"/>
  <c r="K327" i="1"/>
  <c r="F400" i="5" s="1"/>
  <c r="G400" i="5" s="1"/>
  <c r="M326" i="1"/>
  <c r="K326" i="1"/>
  <c r="M325" i="1"/>
  <c r="K325" i="1"/>
  <c r="F187" i="5" s="1"/>
  <c r="G187" i="5" s="1"/>
  <c r="M324" i="1"/>
  <c r="K324" i="1"/>
  <c r="M323" i="1"/>
  <c r="K323" i="1"/>
  <c r="M322" i="1"/>
  <c r="K322" i="1"/>
  <c r="M321" i="1"/>
  <c r="K321" i="1"/>
  <c r="M320" i="1"/>
  <c r="K320" i="1"/>
  <c r="M319" i="1"/>
  <c r="K319" i="1"/>
  <c r="F274" i="5" s="1"/>
  <c r="G274" i="5" s="1"/>
  <c r="M318" i="1"/>
  <c r="K318" i="1"/>
  <c r="M317" i="1"/>
  <c r="K317" i="1"/>
  <c r="M316" i="1"/>
  <c r="K316" i="1"/>
  <c r="F122" i="5" s="1"/>
  <c r="G122" i="5" s="1"/>
  <c r="M315" i="1"/>
  <c r="K315" i="1"/>
  <c r="F119" i="5" s="1"/>
  <c r="G119" i="5" s="1"/>
  <c r="M314" i="1"/>
  <c r="K314" i="1"/>
  <c r="F135" i="5" s="1"/>
  <c r="G135" i="5" s="1"/>
  <c r="M313" i="1"/>
  <c r="K313" i="1"/>
  <c r="M312" i="1"/>
  <c r="K312" i="1"/>
  <c r="M311" i="1"/>
  <c r="K311" i="1"/>
  <c r="M310" i="1"/>
  <c r="K310" i="1"/>
  <c r="M309" i="1"/>
  <c r="K309" i="1"/>
  <c r="M308" i="1"/>
  <c r="K308" i="1"/>
  <c r="M307" i="1"/>
  <c r="K307" i="1"/>
  <c r="M306" i="1"/>
  <c r="K306" i="1"/>
  <c r="M305" i="1"/>
  <c r="K305" i="1"/>
  <c r="M304" i="1"/>
  <c r="K304" i="1"/>
  <c r="M303" i="1"/>
  <c r="K303" i="1"/>
  <c r="M302" i="1"/>
  <c r="K302" i="1"/>
  <c r="M301" i="1"/>
  <c r="K301" i="1"/>
  <c r="M300" i="1"/>
  <c r="K300" i="1"/>
  <c r="M299" i="1"/>
  <c r="K299" i="1"/>
  <c r="F393" i="5" s="1"/>
  <c r="G393" i="5" s="1"/>
  <c r="M298" i="1"/>
  <c r="K298" i="1"/>
  <c r="F92" i="5" s="1"/>
  <c r="G92" i="5" s="1"/>
  <c r="M297" i="1"/>
  <c r="K297" i="1"/>
  <c r="M296" i="1"/>
  <c r="K296" i="1"/>
  <c r="M295" i="1"/>
  <c r="K295" i="1"/>
  <c r="M294" i="1"/>
  <c r="K294" i="1"/>
  <c r="M293" i="1"/>
  <c r="K293" i="1"/>
  <c r="M292" i="1"/>
  <c r="K292" i="1"/>
  <c r="M291" i="1"/>
  <c r="K291" i="1"/>
  <c r="M290" i="1"/>
  <c r="K290" i="1"/>
  <c r="F188" i="4" s="1"/>
  <c r="G188" i="4" s="1"/>
  <c r="M289" i="1"/>
  <c r="K289" i="1"/>
  <c r="F454" i="3" s="1"/>
  <c r="G454" i="3" s="1"/>
  <c r="M288" i="1"/>
  <c r="K288" i="1"/>
  <c r="M287" i="1"/>
  <c r="K287" i="1"/>
  <c r="M286" i="1"/>
  <c r="K286" i="1"/>
  <c r="F152" i="4" s="1"/>
  <c r="G152" i="4" s="1"/>
  <c r="M285" i="1"/>
  <c r="K285" i="1"/>
  <c r="F12" i="3" s="1"/>
  <c r="G12" i="3" s="1"/>
  <c r="M284" i="1"/>
  <c r="K284" i="1"/>
  <c r="M283" i="1"/>
  <c r="K283" i="1"/>
  <c r="M282" i="1"/>
  <c r="K282" i="1"/>
  <c r="M281" i="1"/>
  <c r="K281" i="1"/>
  <c r="M280" i="1"/>
  <c r="K280" i="1"/>
  <c r="M279" i="1"/>
  <c r="K279" i="1"/>
  <c r="M278" i="1"/>
  <c r="K278" i="1"/>
  <c r="M277" i="1"/>
  <c r="K277" i="1"/>
  <c r="M276" i="1"/>
  <c r="K276" i="1"/>
  <c r="M275" i="1"/>
  <c r="K275" i="1"/>
  <c r="M274" i="1"/>
  <c r="K274" i="1"/>
  <c r="M273" i="1"/>
  <c r="K273" i="1"/>
  <c r="F326" i="5" s="1"/>
  <c r="G326" i="5" s="1"/>
  <c r="M272" i="1"/>
  <c r="K272" i="1"/>
  <c r="M271" i="1"/>
  <c r="K271" i="1"/>
  <c r="M270" i="1"/>
  <c r="K270" i="1"/>
  <c r="M269" i="1"/>
  <c r="K269" i="1"/>
  <c r="M268" i="1"/>
  <c r="K268" i="1"/>
  <c r="M267" i="1"/>
  <c r="K267" i="1"/>
  <c r="M266" i="1"/>
  <c r="K266" i="1"/>
  <c r="M265" i="1"/>
  <c r="K265" i="1"/>
  <c r="M264" i="1"/>
  <c r="K264" i="1"/>
  <c r="M263" i="1"/>
  <c r="K263" i="1"/>
  <c r="M262" i="1"/>
  <c r="K262" i="1"/>
  <c r="M261" i="1"/>
  <c r="K261" i="1"/>
  <c r="M260" i="1"/>
  <c r="K260" i="1"/>
  <c r="F345" i="5" s="1"/>
  <c r="G345" i="5" s="1"/>
  <c r="M259" i="1"/>
  <c r="K259" i="1"/>
  <c r="M258" i="1"/>
  <c r="K258" i="1"/>
  <c r="M257" i="1"/>
  <c r="K257" i="1"/>
  <c r="M256" i="1"/>
  <c r="K256" i="1"/>
  <c r="M255" i="1"/>
  <c r="K255" i="1"/>
  <c r="F280" i="4" s="1"/>
  <c r="G280" i="4" s="1"/>
  <c r="M254" i="1"/>
  <c r="K254" i="1"/>
  <c r="M253" i="1"/>
  <c r="K253" i="1"/>
  <c r="F270" i="4" s="1"/>
  <c r="G270" i="4" s="1"/>
  <c r="M252" i="1"/>
  <c r="K252" i="1"/>
  <c r="M251" i="1"/>
  <c r="K251" i="1"/>
  <c r="M250" i="1"/>
  <c r="K250" i="1"/>
  <c r="M249" i="1"/>
  <c r="K249" i="1"/>
  <c r="F440" i="3" s="1"/>
  <c r="G440" i="3" s="1"/>
  <c r="M248" i="1"/>
  <c r="K248" i="1"/>
  <c r="F574" i="3" s="1"/>
  <c r="G574" i="3" s="1"/>
  <c r="M247" i="1"/>
  <c r="K247" i="1"/>
  <c r="M246" i="1"/>
  <c r="K246" i="1"/>
  <c r="M245" i="1"/>
  <c r="K245" i="1"/>
  <c r="M244" i="1"/>
  <c r="K244" i="1"/>
  <c r="M243" i="1"/>
  <c r="K243" i="1"/>
  <c r="M242" i="1"/>
  <c r="K242" i="1"/>
  <c r="M241" i="1"/>
  <c r="K241" i="1"/>
  <c r="M240" i="1"/>
  <c r="K240" i="1"/>
  <c r="M239" i="1"/>
  <c r="K239" i="1"/>
  <c r="F265" i="4" s="1"/>
  <c r="G265" i="4" s="1"/>
  <c r="M238" i="1"/>
  <c r="K238" i="1"/>
  <c r="M237" i="1"/>
  <c r="K237" i="1"/>
  <c r="M236" i="1"/>
  <c r="K236" i="1"/>
  <c r="M235" i="1"/>
  <c r="K235" i="1"/>
  <c r="M234" i="1"/>
  <c r="K234" i="1"/>
  <c r="M233" i="1"/>
  <c r="K233" i="1"/>
  <c r="M232" i="1"/>
  <c r="K232" i="1"/>
  <c r="M231" i="1"/>
  <c r="K231" i="1"/>
  <c r="M230" i="1"/>
  <c r="K230" i="1"/>
  <c r="M229" i="1"/>
  <c r="K229" i="1"/>
  <c r="M228" i="1"/>
  <c r="K228" i="1"/>
  <c r="M227" i="1"/>
  <c r="K227" i="1"/>
  <c r="M226" i="1"/>
  <c r="K226" i="1"/>
  <c r="M225" i="1"/>
  <c r="K225" i="1"/>
  <c r="M224" i="1"/>
  <c r="K224" i="1"/>
  <c r="M223" i="1"/>
  <c r="K223" i="1"/>
  <c r="M222" i="1"/>
  <c r="K222" i="1"/>
  <c r="M221" i="1"/>
  <c r="K221" i="1"/>
  <c r="M220" i="1"/>
  <c r="K220" i="1"/>
  <c r="M219" i="1"/>
  <c r="K219" i="1"/>
  <c r="M218" i="1"/>
  <c r="K218" i="1"/>
  <c r="M217" i="1"/>
  <c r="K217" i="1"/>
  <c r="M216" i="1"/>
  <c r="K216" i="1"/>
  <c r="M215" i="1"/>
  <c r="K215" i="1"/>
  <c r="M214" i="1"/>
  <c r="K214" i="1"/>
  <c r="M213" i="1"/>
  <c r="K213" i="1"/>
  <c r="F323" i="5" s="1"/>
  <c r="G323" i="5" s="1"/>
  <c r="M212" i="1"/>
  <c r="K212" i="1"/>
  <c r="M211" i="1"/>
  <c r="K211" i="1"/>
  <c r="M210" i="1"/>
  <c r="K210" i="1"/>
  <c r="M209" i="1"/>
  <c r="K209" i="1"/>
  <c r="F31" i="6" s="1"/>
  <c r="G31" i="6" s="1"/>
  <c r="M208" i="1"/>
  <c r="K208" i="1"/>
  <c r="F322" i="5" s="1"/>
  <c r="G322" i="5" s="1"/>
  <c r="M207" i="1"/>
  <c r="K207" i="1"/>
  <c r="M206" i="1"/>
  <c r="K206" i="1"/>
  <c r="F7" i="6" s="1"/>
  <c r="G7" i="6" s="1"/>
  <c r="M205" i="1"/>
  <c r="K205" i="1"/>
  <c r="M204" i="1"/>
  <c r="K204" i="1"/>
  <c r="M203" i="1"/>
  <c r="K203" i="1"/>
  <c r="M202" i="1"/>
  <c r="K202" i="1"/>
  <c r="M201" i="1"/>
  <c r="K201" i="1"/>
  <c r="M200" i="1"/>
  <c r="K200" i="1"/>
  <c r="F444" i="4" s="1"/>
  <c r="G444" i="4" s="1"/>
  <c r="M199" i="1"/>
  <c r="K199" i="1"/>
  <c r="M198" i="1"/>
  <c r="K198" i="1"/>
  <c r="M197" i="1"/>
  <c r="K197" i="1"/>
  <c r="M196" i="1"/>
  <c r="K196" i="1"/>
  <c r="M195" i="1"/>
  <c r="K195" i="1"/>
  <c r="M194" i="1"/>
  <c r="K194" i="1"/>
  <c r="M193" i="1"/>
  <c r="K193" i="1"/>
  <c r="M192" i="1"/>
  <c r="K192" i="1"/>
  <c r="M191" i="1"/>
  <c r="K191" i="1"/>
  <c r="M190" i="1"/>
  <c r="K190" i="1"/>
  <c r="M189" i="1"/>
  <c r="K189" i="1"/>
  <c r="M188" i="1"/>
  <c r="K188" i="1"/>
  <c r="M187" i="1"/>
  <c r="K187" i="1"/>
  <c r="F81" i="4" s="1"/>
  <c r="G81" i="4" s="1"/>
  <c r="M186" i="1"/>
  <c r="K186" i="1"/>
  <c r="M185" i="1"/>
  <c r="K185" i="1"/>
  <c r="M184" i="1"/>
  <c r="K184" i="1"/>
  <c r="F617" i="3" s="1"/>
  <c r="G617" i="3" s="1"/>
  <c r="M183" i="1"/>
  <c r="K183" i="1"/>
  <c r="M182" i="1"/>
  <c r="K182" i="1"/>
  <c r="M181" i="1"/>
  <c r="K181" i="1"/>
  <c r="M180" i="1"/>
  <c r="K180" i="1"/>
  <c r="F127" i="3" s="1"/>
  <c r="G127" i="3" s="1"/>
  <c r="M179" i="1"/>
  <c r="K179" i="1"/>
  <c r="M178" i="1"/>
  <c r="K178" i="1"/>
  <c r="M177" i="1"/>
  <c r="K177" i="1"/>
  <c r="M176" i="1"/>
  <c r="K176" i="1"/>
  <c r="M175" i="1"/>
  <c r="K175" i="1"/>
  <c r="F169" i="5" s="1"/>
  <c r="G169" i="5" s="1"/>
  <c r="G168" i="5" s="1"/>
  <c r="I168" i="5" s="1"/>
  <c r="G42" i="2" s="1"/>
  <c r="M174" i="1"/>
  <c r="K174" i="1"/>
  <c r="F13" i="6" s="1"/>
  <c r="G13" i="6" s="1"/>
  <c r="M173" i="1"/>
  <c r="K173" i="1"/>
  <c r="M172" i="1"/>
  <c r="K172" i="1"/>
  <c r="M171" i="1"/>
  <c r="K171" i="1"/>
  <c r="F725" i="3" s="1"/>
  <c r="G725" i="3" s="1"/>
  <c r="M170" i="1"/>
  <c r="K170" i="1"/>
  <c r="M169" i="1"/>
  <c r="K169" i="1"/>
  <c r="M168" i="1"/>
  <c r="K168" i="1"/>
  <c r="F521" i="3" s="1"/>
  <c r="G521" i="3" s="1"/>
  <c r="M167" i="1"/>
  <c r="K167" i="1"/>
  <c r="M166" i="1"/>
  <c r="K166" i="1"/>
  <c r="M165" i="1"/>
  <c r="K165" i="1"/>
  <c r="M164" i="1"/>
  <c r="K164" i="1"/>
  <c r="F31" i="4" s="1"/>
  <c r="G31" i="4" s="1"/>
  <c r="M163" i="1"/>
  <c r="K163" i="1"/>
  <c r="F30" i="4" s="1"/>
  <c r="G30" i="4" s="1"/>
  <c r="M162" i="1"/>
  <c r="K162" i="1"/>
  <c r="M161" i="1"/>
  <c r="K161" i="1"/>
  <c r="M160" i="1"/>
  <c r="K160" i="1"/>
  <c r="M159" i="1"/>
  <c r="K159" i="1"/>
  <c r="M158" i="1"/>
  <c r="K158" i="1"/>
  <c r="M157" i="1"/>
  <c r="K157" i="1"/>
  <c r="M156" i="1"/>
  <c r="K156" i="1"/>
  <c r="M155" i="1"/>
  <c r="K155" i="1"/>
  <c r="M154" i="1"/>
  <c r="K154" i="1"/>
  <c r="M153" i="1"/>
  <c r="K153" i="1"/>
  <c r="M152" i="1"/>
  <c r="K152" i="1"/>
  <c r="M151" i="1"/>
  <c r="K151" i="1"/>
  <c r="M150" i="1"/>
  <c r="K150" i="1"/>
  <c r="M149" i="1"/>
  <c r="K149" i="1"/>
  <c r="F124" i="3" s="1"/>
  <c r="G124" i="3" s="1"/>
  <c r="M148" i="1"/>
  <c r="K148" i="1"/>
  <c r="M147" i="1"/>
  <c r="K147" i="1"/>
  <c r="F105" i="4" s="1"/>
  <c r="G105" i="4" s="1"/>
  <c r="M146" i="1"/>
  <c r="K146" i="1"/>
  <c r="M145" i="1"/>
  <c r="K145" i="1"/>
  <c r="M144" i="1"/>
  <c r="K144" i="1"/>
  <c r="M143" i="1"/>
  <c r="K143" i="1"/>
  <c r="M142" i="1"/>
  <c r="K142" i="1"/>
  <c r="M141" i="1"/>
  <c r="K141" i="1"/>
  <c r="M140" i="1"/>
  <c r="K140" i="1"/>
  <c r="M139" i="1"/>
  <c r="K139" i="1"/>
  <c r="M138" i="1"/>
  <c r="K138" i="1"/>
  <c r="M137" i="1"/>
  <c r="K137" i="1"/>
  <c r="M136" i="1"/>
  <c r="I136" i="1"/>
  <c r="M135" i="1"/>
  <c r="K135" i="1"/>
  <c r="M134" i="1"/>
  <c r="K134" i="1"/>
  <c r="M133" i="1"/>
  <c r="K133" i="1"/>
  <c r="M132" i="1"/>
  <c r="K132" i="1"/>
  <c r="M131" i="1"/>
  <c r="K131" i="1"/>
  <c r="M130" i="1"/>
  <c r="K130" i="1"/>
  <c r="M129" i="1"/>
  <c r="K129" i="1"/>
  <c r="M128" i="1"/>
  <c r="K128" i="1"/>
  <c r="M127" i="1"/>
  <c r="K127" i="1"/>
  <c r="M126" i="1"/>
  <c r="K126" i="1"/>
  <c r="F99" i="4" s="1"/>
  <c r="G99" i="4" s="1"/>
  <c r="M125" i="1"/>
  <c r="K125" i="1"/>
  <c r="M124" i="1"/>
  <c r="K124" i="1"/>
  <c r="M123" i="1"/>
  <c r="K123" i="1"/>
  <c r="M122" i="1"/>
  <c r="K122" i="1"/>
  <c r="M121" i="1"/>
  <c r="K121" i="1"/>
  <c r="M120" i="1"/>
  <c r="K120" i="1"/>
  <c r="M119" i="1"/>
  <c r="K119" i="1"/>
  <c r="M118" i="1"/>
  <c r="K118" i="1"/>
  <c r="M117" i="1"/>
  <c r="K117" i="1"/>
  <c r="M116" i="1"/>
  <c r="K116" i="1"/>
  <c r="M115" i="1"/>
  <c r="K115" i="1"/>
  <c r="M114" i="1"/>
  <c r="K114" i="1"/>
  <c r="M113" i="1"/>
  <c r="K113" i="1"/>
  <c r="M112" i="1"/>
  <c r="K112" i="1"/>
  <c r="M111" i="1"/>
  <c r="K111" i="1"/>
  <c r="F243" i="5" s="1"/>
  <c r="G243" i="5" s="1"/>
  <c r="M110" i="1"/>
  <c r="K110" i="1"/>
  <c r="M109" i="1"/>
  <c r="K109" i="1"/>
  <c r="M108" i="1"/>
  <c r="K108" i="1"/>
  <c r="M107" i="1"/>
  <c r="K107" i="1"/>
  <c r="M106" i="1"/>
  <c r="K106" i="1"/>
  <c r="F180" i="5" s="1"/>
  <c r="G180" i="5" s="1"/>
  <c r="M105" i="1"/>
  <c r="K105" i="1"/>
  <c r="M104" i="1"/>
  <c r="K104" i="1"/>
  <c r="M103" i="1"/>
  <c r="K103" i="1"/>
  <c r="M102" i="1"/>
  <c r="K102" i="1"/>
  <c r="M101" i="1"/>
  <c r="K101" i="1"/>
  <c r="M100" i="1"/>
  <c r="K100" i="1"/>
  <c r="M99" i="1"/>
  <c r="K99" i="1"/>
  <c r="M98" i="1"/>
  <c r="K98" i="1"/>
  <c r="F280" i="5" s="1"/>
  <c r="G280" i="5" s="1"/>
  <c r="M97" i="1"/>
  <c r="K97" i="1"/>
  <c r="I97" i="1"/>
  <c r="M96" i="1"/>
  <c r="K96" i="1"/>
  <c r="M95" i="1"/>
  <c r="K95" i="1"/>
  <c r="M94" i="1"/>
  <c r="K94" i="1"/>
  <c r="F267" i="5" s="1"/>
  <c r="G267" i="5" s="1"/>
  <c r="M93" i="1"/>
  <c r="K93" i="1"/>
  <c r="M92" i="1"/>
  <c r="K92" i="1"/>
  <c r="M91" i="1"/>
  <c r="K91" i="1"/>
  <c r="F20" i="6" s="1"/>
  <c r="G20" i="6" s="1"/>
  <c r="M90" i="1"/>
  <c r="K90" i="1"/>
  <c r="M89" i="1"/>
  <c r="K89" i="1"/>
  <c r="A8" i="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L73" i="2" l="1"/>
  <c r="M73" i="2" s="1"/>
  <c r="N73" i="2" s="1"/>
  <c r="L77" i="2"/>
  <c r="M77" i="2" s="1"/>
  <c r="N77" i="2" s="1"/>
  <c r="L74" i="2"/>
  <c r="M74" i="2" s="1"/>
  <c r="N74" i="2" s="1"/>
  <c r="L177" i="8"/>
  <c r="L346" i="9"/>
  <c r="L613" i="4"/>
  <c r="L259" i="4"/>
  <c r="L617" i="4"/>
  <c r="L282" i="9"/>
  <c r="L6" i="8"/>
  <c r="L231" i="9"/>
  <c r="L330" i="10"/>
  <c r="L62" i="8"/>
  <c r="L58" i="10"/>
  <c r="L350" i="11"/>
  <c r="L173" i="11"/>
  <c r="L76" i="8"/>
  <c r="L73" i="9"/>
  <c r="L50" i="11"/>
  <c r="L407" i="11"/>
  <c r="L263" i="11"/>
  <c r="F901" i="3"/>
  <c r="G901" i="3" s="1"/>
  <c r="F641" i="3"/>
  <c r="G641" i="3" s="1"/>
  <c r="F829" i="3"/>
  <c r="G829" i="3" s="1"/>
  <c r="F814" i="3"/>
  <c r="G814" i="3" s="1"/>
  <c r="F845" i="3"/>
  <c r="G845" i="3" s="1"/>
  <c r="F374" i="3"/>
  <c r="G374" i="3" s="1"/>
  <c r="F484" i="4"/>
  <c r="G484" i="4" s="1"/>
  <c r="F581" i="4"/>
  <c r="G581" i="4" s="1"/>
  <c r="F448" i="4"/>
  <c r="G448" i="4" s="1"/>
  <c r="F412" i="4"/>
  <c r="G412" i="4" s="1"/>
  <c r="F217" i="4"/>
  <c r="G217" i="4" s="1"/>
  <c r="F466" i="4"/>
  <c r="G466" i="4" s="1"/>
  <c r="F502" i="4"/>
  <c r="G502" i="4" s="1"/>
  <c r="F430" i="4"/>
  <c r="G430" i="4" s="1"/>
  <c r="F550" i="4"/>
  <c r="G550" i="4" s="1"/>
  <c r="F394" i="4"/>
  <c r="G394" i="4" s="1"/>
  <c r="F382" i="4"/>
  <c r="G382" i="4" s="1"/>
  <c r="F522" i="5"/>
  <c r="G522" i="5" s="1"/>
  <c r="F463" i="5"/>
  <c r="G463" i="5" s="1"/>
  <c r="F425" i="5"/>
  <c r="G425" i="5" s="1"/>
  <c r="F512" i="5"/>
  <c r="G512" i="5" s="1"/>
  <c r="F482" i="5"/>
  <c r="G482" i="5" s="1"/>
  <c r="F452" i="5"/>
  <c r="G452" i="5" s="1"/>
  <c r="F442" i="5"/>
  <c r="G442" i="5" s="1"/>
  <c r="F505" i="5"/>
  <c r="G505" i="5" s="1"/>
  <c r="F475" i="5"/>
  <c r="G475" i="5" s="1"/>
  <c r="F41" i="6"/>
  <c r="G41" i="6" s="1"/>
  <c r="F38" i="6"/>
  <c r="G38" i="6" s="1"/>
  <c r="F284" i="5"/>
  <c r="G284" i="5" s="1"/>
  <c r="F268" i="5"/>
  <c r="G268" i="5" s="1"/>
  <c r="F35" i="6"/>
  <c r="G35" i="6" s="1"/>
  <c r="F32" i="6"/>
  <c r="G32" i="6" s="1"/>
  <c r="F337" i="5"/>
  <c r="G337" i="5" s="1"/>
  <c r="F222" i="5"/>
  <c r="G222" i="5" s="1"/>
  <c r="F206" i="5"/>
  <c r="G206" i="5" s="1"/>
  <c r="F29" i="6"/>
  <c r="G29" i="6" s="1"/>
  <c r="F26" i="6"/>
  <c r="G26" i="6" s="1"/>
  <c r="F278" i="5"/>
  <c r="G278" i="5" s="1"/>
  <c r="F203" i="5"/>
  <c r="G203" i="5" s="1"/>
  <c r="F23" i="6"/>
  <c r="G23" i="6" s="1"/>
  <c r="F467" i="5"/>
  <c r="G467" i="5" s="1"/>
  <c r="F447" i="5"/>
  <c r="G447" i="5" s="1"/>
  <c r="F307" i="5"/>
  <c r="G307" i="5" s="1"/>
  <c r="F240" i="5"/>
  <c r="F17" i="6"/>
  <c r="G17" i="6" s="1"/>
  <c r="F14" i="6"/>
  <c r="G14" i="6" s="1"/>
  <c r="G12" i="6" s="1"/>
  <c r="I12" i="6" s="1"/>
  <c r="K12" i="6" s="1"/>
  <c r="G54" i="1" s="1"/>
  <c r="K54" i="1" s="1"/>
  <c r="F11" i="6"/>
  <c r="G11" i="6" s="1"/>
  <c r="F8" i="6"/>
  <c r="G8" i="6" s="1"/>
  <c r="F529" i="5"/>
  <c r="G529" i="5" s="1"/>
  <c r="F471" i="5"/>
  <c r="G471" i="5" s="1"/>
  <c r="F44" i="6"/>
  <c r="G44" i="6" s="1"/>
  <c r="F369" i="5"/>
  <c r="G369" i="5" s="1"/>
  <c r="F195" i="5"/>
  <c r="G195" i="5" s="1"/>
  <c r="F23" i="5"/>
  <c r="G23" i="5" s="1"/>
  <c r="F248" i="5"/>
  <c r="G248" i="5" s="1"/>
  <c r="F210" i="5"/>
  <c r="G210" i="5" s="1"/>
  <c r="F126" i="5"/>
  <c r="G126" i="5" s="1"/>
  <c r="F110" i="5"/>
  <c r="G110" i="5" s="1"/>
  <c r="F102" i="5"/>
  <c r="G102" i="5" s="1"/>
  <c r="F76" i="5"/>
  <c r="G76" i="5" s="1"/>
  <c r="F60" i="5"/>
  <c r="G60" i="5" s="1"/>
  <c r="F36" i="5"/>
  <c r="G36" i="5" s="1"/>
  <c r="F28" i="5"/>
  <c r="G28" i="5" s="1"/>
  <c r="F489" i="5"/>
  <c r="G489" i="5" s="1"/>
  <c r="F311" i="5"/>
  <c r="G311" i="5" s="1"/>
  <c r="F123" i="5"/>
  <c r="G123" i="5" s="1"/>
  <c r="G121" i="5" s="1"/>
  <c r="I121" i="5" s="1"/>
  <c r="F115" i="5"/>
  <c r="G115" i="5" s="1"/>
  <c r="F387" i="5"/>
  <c r="G387" i="5" s="1"/>
  <c r="F244" i="5"/>
  <c r="G244" i="5" s="1"/>
  <c r="F233" i="5"/>
  <c r="G233" i="5" s="1"/>
  <c r="F229" i="5"/>
  <c r="G229" i="5" s="1"/>
  <c r="F136" i="5"/>
  <c r="G136" i="5" s="1"/>
  <c r="F120" i="5"/>
  <c r="G120" i="5" s="1"/>
  <c r="F225" i="5"/>
  <c r="G225" i="5" s="1"/>
  <c r="F215" i="5"/>
  <c r="G215" i="5" s="1"/>
  <c r="F296" i="5"/>
  <c r="G296" i="5" s="1"/>
  <c r="F290" i="5"/>
  <c r="G290" i="5" s="1"/>
  <c r="F261" i="5"/>
  <c r="G261" i="5" s="1"/>
  <c r="F83" i="5"/>
  <c r="G83" i="5" s="1"/>
  <c r="F48" i="5"/>
  <c r="G48" i="5" s="1"/>
  <c r="F32" i="5"/>
  <c r="G32" i="5" s="1"/>
  <c r="F272" i="5"/>
  <c r="G272" i="5" s="1"/>
  <c r="F54" i="5"/>
  <c r="G54" i="5" s="1"/>
  <c r="F199" i="5"/>
  <c r="G199" i="5" s="1"/>
  <c r="F146" i="5"/>
  <c r="G146" i="5" s="1"/>
  <c r="F66" i="5"/>
  <c r="G66" i="5" s="1"/>
  <c r="F18" i="5"/>
  <c r="G18" i="5" s="1"/>
  <c r="F264" i="5"/>
  <c r="G264" i="5" s="1"/>
  <c r="F90" i="5"/>
  <c r="G90" i="5" s="1"/>
  <c r="F236" i="5"/>
  <c r="G236" i="5" s="1"/>
  <c r="F191" i="5"/>
  <c r="G191" i="5" s="1"/>
  <c r="F72" i="5"/>
  <c r="G72" i="5" s="1"/>
  <c r="F8" i="5"/>
  <c r="G8" i="5" s="1"/>
  <c r="F611" i="4"/>
  <c r="G611" i="4" s="1"/>
  <c r="F42" i="5"/>
  <c r="G42" i="5" s="1"/>
  <c r="F297" i="4"/>
  <c r="G297" i="4" s="1"/>
  <c r="F281" i="4"/>
  <c r="G281" i="4" s="1"/>
  <c r="F556" i="4"/>
  <c r="G556" i="4" s="1"/>
  <c r="F294" i="4"/>
  <c r="G294" i="4" s="1"/>
  <c r="F287" i="4"/>
  <c r="G287" i="4" s="1"/>
  <c r="F278" i="4"/>
  <c r="G278" i="4" s="1"/>
  <c r="F271" i="4"/>
  <c r="G271" i="4" s="1"/>
  <c r="F185" i="4"/>
  <c r="G185" i="4" s="1"/>
  <c r="F236" i="4"/>
  <c r="G236" i="4" s="1"/>
  <c r="F150" i="4"/>
  <c r="G150" i="4" s="1"/>
  <c r="F97" i="4"/>
  <c r="G97" i="4" s="1"/>
  <c r="F106" i="4"/>
  <c r="G106" i="4" s="1"/>
  <c r="F10" i="4"/>
  <c r="G10" i="4" s="1"/>
  <c r="F110" i="4"/>
  <c r="G110" i="4" s="1"/>
  <c r="F83" i="4"/>
  <c r="G83" i="4" s="1"/>
  <c r="F27" i="4"/>
  <c r="G27" i="4" s="1"/>
  <c r="F226" i="4"/>
  <c r="G226" i="4" s="1"/>
  <c r="F193" i="4"/>
  <c r="G193" i="4" s="1"/>
  <c r="F165" i="4"/>
  <c r="G165" i="4" s="1"/>
  <c r="F441" i="3"/>
  <c r="G441" i="3" s="1"/>
  <c r="F585" i="4"/>
  <c r="G585" i="4" s="1"/>
  <c r="F546" i="4"/>
  <c r="G546" i="4" s="1"/>
  <c r="F477" i="4"/>
  <c r="G477" i="4" s="1"/>
  <c r="F383" i="4"/>
  <c r="G383" i="4" s="1"/>
  <c r="F459" i="4"/>
  <c r="G459" i="4" s="1"/>
  <c r="F308" i="4"/>
  <c r="G308" i="4" s="1"/>
  <c r="F495" i="4"/>
  <c r="G495" i="4" s="1"/>
  <c r="F423" i="4"/>
  <c r="G423" i="4" s="1"/>
  <c r="F513" i="4"/>
  <c r="G513" i="4" s="1"/>
  <c r="F441" i="4"/>
  <c r="G441" i="4" s="1"/>
  <c r="F405" i="4"/>
  <c r="G405" i="4" s="1"/>
  <c r="F372" i="4"/>
  <c r="G372" i="4" s="1"/>
  <c r="F636" i="3"/>
  <c r="G636" i="3" s="1"/>
  <c r="F553" i="3"/>
  <c r="G553" i="3" s="1"/>
  <c r="F844" i="3"/>
  <c r="G844" i="3" s="1"/>
  <c r="F25" i="4"/>
  <c r="G25" i="4" s="1"/>
  <c r="F955" i="3"/>
  <c r="G955" i="3" s="1"/>
  <c r="F902" i="3"/>
  <c r="G902" i="3" s="1"/>
  <c r="F560" i="3"/>
  <c r="G560" i="3" s="1"/>
  <c r="F669" i="3"/>
  <c r="G669" i="3" s="1"/>
  <c r="F872" i="3"/>
  <c r="G872" i="3" s="1"/>
  <c r="F550" i="3"/>
  <c r="G550" i="3" s="1"/>
  <c r="F496" i="3"/>
  <c r="G496" i="3" s="1"/>
  <c r="F855" i="3"/>
  <c r="G855" i="3" s="1"/>
  <c r="F675" i="3"/>
  <c r="G675" i="3" s="1"/>
  <c r="F662" i="3"/>
  <c r="G662" i="3" s="1"/>
  <c r="F7" i="3"/>
  <c r="G7" i="3" s="1"/>
  <c r="F86" i="4"/>
  <c r="G86" i="4" s="1"/>
  <c r="F627" i="3"/>
  <c r="G627" i="3" s="1"/>
  <c r="F135" i="4"/>
  <c r="G135" i="4" s="1"/>
  <c r="F606" i="3"/>
  <c r="G606" i="3" s="1"/>
  <c r="F402" i="3"/>
  <c r="G402" i="3" s="1"/>
  <c r="F385" i="3"/>
  <c r="G385" i="3" s="1"/>
  <c r="F567" i="3"/>
  <c r="G567" i="3" s="1"/>
  <c r="F618" i="3"/>
  <c r="G618" i="3" s="1"/>
  <c r="F392" i="3"/>
  <c r="G392" i="3" s="1"/>
  <c r="F160" i="3"/>
  <c r="G160" i="3" s="1"/>
  <c r="F554" i="4"/>
  <c r="G554" i="4" s="1"/>
  <c r="F401" i="4"/>
  <c r="G401" i="4" s="1"/>
  <c r="F473" i="4"/>
  <c r="G473" i="4" s="1"/>
  <c r="F509" i="4"/>
  <c r="G509" i="4" s="1"/>
  <c r="F437" i="4"/>
  <c r="G437" i="4" s="1"/>
  <c r="F315" i="4"/>
  <c r="G315" i="4" s="1"/>
  <c r="F181" i="4"/>
  <c r="G181" i="4" s="1"/>
  <c r="F583" i="4"/>
  <c r="G583" i="4" s="1"/>
  <c r="F597" i="4"/>
  <c r="G597" i="4" s="1"/>
  <c r="F491" i="4"/>
  <c r="G491" i="4" s="1"/>
  <c r="F455" i="4"/>
  <c r="G455" i="4" s="1"/>
  <c r="F419" i="4"/>
  <c r="G419" i="4" s="1"/>
  <c r="F331" i="4"/>
  <c r="G331" i="4" s="1"/>
  <c r="F258" i="4"/>
  <c r="G258" i="4" s="1"/>
  <c r="F223" i="4"/>
  <c r="G223" i="4" s="1"/>
  <c r="F161" i="4"/>
  <c r="G161" i="4" s="1"/>
  <c r="F905" i="3"/>
  <c r="G905" i="3" s="1"/>
  <c r="F887" i="3"/>
  <c r="G887" i="3" s="1"/>
  <c r="F953" i="3"/>
  <c r="G953" i="3" s="1"/>
  <c r="F386" i="4"/>
  <c r="G386" i="4" s="1"/>
  <c r="F201" i="4"/>
  <c r="G201" i="4" s="1"/>
  <c r="F827" i="3"/>
  <c r="G827" i="3" s="1"/>
  <c r="F812" i="3"/>
  <c r="G812" i="3" s="1"/>
  <c r="F919" i="3"/>
  <c r="G919" i="3" s="1"/>
  <c r="F860" i="3"/>
  <c r="G860" i="3" s="1"/>
  <c r="F639" i="3"/>
  <c r="G639" i="3" s="1"/>
  <c r="F842" i="3"/>
  <c r="G842" i="3" s="1"/>
  <c r="F577" i="4"/>
  <c r="G577" i="4" s="1"/>
  <c r="F231" i="4"/>
  <c r="G231" i="4" s="1"/>
  <c r="F220" i="4"/>
  <c r="G220" i="4" s="1"/>
  <c r="F45" i="4"/>
  <c r="G45" i="4" s="1"/>
  <c r="F524" i="3"/>
  <c r="G524" i="3" s="1"/>
  <c r="C213" i="10"/>
  <c r="C337" i="11"/>
  <c r="C326" i="9"/>
  <c r="C217" i="9"/>
  <c r="C430" i="9"/>
  <c r="C119" i="8"/>
  <c r="C48" i="8"/>
  <c r="C282" i="8"/>
  <c r="F211" i="5"/>
  <c r="G211" i="5" s="1"/>
  <c r="F19" i="6"/>
  <c r="G19" i="6" s="1"/>
  <c r="G18" i="6" s="1"/>
  <c r="I18" i="6" s="1"/>
  <c r="K18" i="6" s="1"/>
  <c r="G56" i="1" s="1"/>
  <c r="K56" i="1" s="1"/>
  <c r="F216" i="5"/>
  <c r="G216" i="5" s="1"/>
  <c r="F245" i="4"/>
  <c r="G245" i="4" s="1"/>
  <c r="F750" i="3"/>
  <c r="G750" i="3" s="1"/>
  <c r="F724" i="3"/>
  <c r="G724" i="3" s="1"/>
  <c r="G723" i="3" s="1"/>
  <c r="I723" i="3" s="1"/>
  <c r="F552" i="4"/>
  <c r="G552" i="4" s="1"/>
  <c r="F512" i="4"/>
  <c r="G512" i="4" s="1"/>
  <c r="F476" i="4"/>
  <c r="G476" i="4" s="1"/>
  <c r="F440" i="4"/>
  <c r="G440" i="4" s="1"/>
  <c r="F404" i="4"/>
  <c r="G404" i="4" s="1"/>
  <c r="F388" i="4"/>
  <c r="G388" i="4" s="1"/>
  <c r="F327" i="4"/>
  <c r="G327" i="4" s="1"/>
  <c r="F594" i="4"/>
  <c r="G594" i="4" s="1"/>
  <c r="F458" i="4"/>
  <c r="G458" i="4" s="1"/>
  <c r="F494" i="4"/>
  <c r="G494" i="4" s="1"/>
  <c r="F422" i="4"/>
  <c r="G422" i="4" s="1"/>
  <c r="F183" i="4"/>
  <c r="G183" i="4" s="1"/>
  <c r="F163" i="4"/>
  <c r="G163" i="4" s="1"/>
  <c r="F115" i="4"/>
  <c r="G115" i="4" s="1"/>
  <c r="F986" i="3"/>
  <c r="G986" i="3" s="1"/>
  <c r="F358" i="4"/>
  <c r="G358" i="4" s="1"/>
  <c r="F252" i="4"/>
  <c r="G252" i="4" s="1"/>
  <c r="F339" i="4"/>
  <c r="G339" i="4" s="1"/>
  <c r="F317" i="4"/>
  <c r="G317" i="4" s="1"/>
  <c r="F290" i="4"/>
  <c r="G290" i="4" s="1"/>
  <c r="F240" i="4"/>
  <c r="G240" i="4" s="1"/>
  <c r="F190" i="4"/>
  <c r="G190" i="4" s="1"/>
  <c r="F952" i="3"/>
  <c r="G952" i="3" s="1"/>
  <c r="F652" i="3"/>
  <c r="G652" i="3" s="1"/>
  <c r="F132" i="4"/>
  <c r="G132" i="4" s="1"/>
  <c r="F859" i="3"/>
  <c r="G859" i="3" s="1"/>
  <c r="F841" i="3"/>
  <c r="G841" i="3" s="1"/>
  <c r="F596" i="3"/>
  <c r="G596" i="3" s="1"/>
  <c r="F536" i="3"/>
  <c r="G536" i="3" s="1"/>
  <c r="F886" i="3"/>
  <c r="G886" i="3" s="1"/>
  <c r="F975" i="3"/>
  <c r="G975" i="3" s="1"/>
  <c r="F903" i="3"/>
  <c r="G903" i="3" s="1"/>
  <c r="F826" i="3"/>
  <c r="G826" i="3" s="1"/>
  <c r="F371" i="3"/>
  <c r="G371" i="3" s="1"/>
  <c r="F980" i="3"/>
  <c r="G980" i="3" s="1"/>
  <c r="F892" i="3"/>
  <c r="G892" i="3" s="1"/>
  <c r="F255" i="4"/>
  <c r="G255" i="4" s="1"/>
  <c r="F918" i="3"/>
  <c r="G918" i="3" s="1"/>
  <c r="F811" i="3"/>
  <c r="G811" i="3" s="1"/>
  <c r="F584" i="3"/>
  <c r="G584" i="3" s="1"/>
  <c r="F14" i="4"/>
  <c r="G14" i="4" s="1"/>
  <c r="F609" i="3"/>
  <c r="G609" i="3" s="1"/>
  <c r="F307" i="3"/>
  <c r="G307" i="3" s="1"/>
  <c r="F280" i="3"/>
  <c r="G280" i="3" s="1"/>
  <c r="F246" i="3"/>
  <c r="G246" i="3" s="1"/>
  <c r="F637" i="3"/>
  <c r="G637" i="3" s="1"/>
  <c r="F182" i="3"/>
  <c r="G182" i="3" s="1"/>
  <c r="F720" i="3"/>
  <c r="G720" i="3" s="1"/>
  <c r="F229" i="3"/>
  <c r="G229" i="3" s="1"/>
  <c r="F81" i="3"/>
  <c r="G81" i="3" s="1"/>
  <c r="F29" i="3"/>
  <c r="G29" i="3" s="1"/>
  <c r="F122" i="3"/>
  <c r="G122" i="3" s="1"/>
  <c r="F356" i="3"/>
  <c r="G356" i="3" s="1"/>
  <c r="F294" i="3"/>
  <c r="G294" i="3" s="1"/>
  <c r="F343" i="3"/>
  <c r="G343" i="3" s="1"/>
  <c r="F265" i="3"/>
  <c r="G265" i="3" s="1"/>
  <c r="F68" i="3"/>
  <c r="G68" i="3" s="1"/>
  <c r="F57" i="3"/>
  <c r="G57" i="3" s="1"/>
  <c r="F21" i="3"/>
  <c r="G21" i="3" s="1"/>
  <c r="F44" i="3"/>
  <c r="G44" i="3" s="1"/>
  <c r="F14" i="3"/>
  <c r="G14" i="3" s="1"/>
  <c r="M42" i="2"/>
  <c r="N42" i="2" s="1"/>
  <c r="I42" i="2"/>
  <c r="J42" i="2" s="1"/>
  <c r="F603" i="4"/>
  <c r="G603" i="4" s="1"/>
  <c r="F530" i="4"/>
  <c r="G530" i="4" s="1"/>
  <c r="F572" i="4"/>
  <c r="G572" i="4" s="1"/>
  <c r="F54" i="4"/>
  <c r="G54" i="4" s="1"/>
  <c r="F523" i="4"/>
  <c r="G523" i="4" s="1"/>
  <c r="F962" i="3"/>
  <c r="G962" i="3" s="1"/>
  <c r="F884" i="3"/>
  <c r="G884" i="3" s="1"/>
  <c r="F787" i="3"/>
  <c r="G787" i="3" s="1"/>
  <c r="F929" i="3"/>
  <c r="G929" i="3" s="1"/>
  <c r="F767" i="3"/>
  <c r="G767" i="3" s="1"/>
  <c r="F332" i="5"/>
  <c r="G332" i="5" s="1"/>
  <c r="F357" i="5"/>
  <c r="G357" i="5" s="1"/>
  <c r="G30" i="6"/>
  <c r="I30" i="6" s="1"/>
  <c r="K30" i="6" s="1"/>
  <c r="G55" i="1" s="1"/>
  <c r="K55" i="1" s="1"/>
  <c r="F644" i="3"/>
  <c r="G644" i="3" s="1"/>
  <c r="F446" i="3"/>
  <c r="G446" i="3" s="1"/>
  <c r="F375" i="3"/>
  <c r="G375" i="3" s="1"/>
  <c r="F588" i="3"/>
  <c r="G588" i="3" s="1"/>
  <c r="F361" i="3"/>
  <c r="G361" i="3" s="1"/>
  <c r="F600" i="3"/>
  <c r="G600" i="3" s="1"/>
  <c r="F576" i="3"/>
  <c r="G576" i="3" s="1"/>
  <c r="F424" i="3"/>
  <c r="G424" i="3" s="1"/>
  <c r="F412" i="3"/>
  <c r="G412" i="3" s="1"/>
  <c r="F330" i="3"/>
  <c r="G330" i="3" s="1"/>
  <c r="F722" i="3"/>
  <c r="G722" i="3" s="1"/>
  <c r="F318" i="3"/>
  <c r="G318" i="3" s="1"/>
  <c r="F297" i="3"/>
  <c r="G297" i="3" s="1"/>
  <c r="F310" i="3"/>
  <c r="G310" i="3" s="1"/>
  <c r="F150" i="3"/>
  <c r="G150" i="3" s="1"/>
  <c r="F283" i="3"/>
  <c r="G283" i="3" s="1"/>
  <c r="F201" i="3"/>
  <c r="G201" i="3" s="1"/>
  <c r="F161" i="3"/>
  <c r="G161" i="3" s="1"/>
  <c r="F653" i="3"/>
  <c r="G653" i="3" s="1"/>
  <c r="F568" i="3"/>
  <c r="G568" i="3" s="1"/>
  <c r="F178" i="3"/>
  <c r="G178" i="3" s="1"/>
  <c r="F72" i="3"/>
  <c r="G72" i="3" s="1"/>
  <c r="F529" i="3"/>
  <c r="G529" i="3" s="1"/>
  <c r="F212" i="3"/>
  <c r="G212" i="3" s="1"/>
  <c r="F248" i="3"/>
  <c r="G248" i="3" s="1"/>
  <c r="F194" i="3"/>
  <c r="G194" i="3" s="1"/>
  <c r="F348" i="3"/>
  <c r="G348" i="3" s="1"/>
  <c r="F167" i="3"/>
  <c r="G167" i="3" s="1"/>
  <c r="F131" i="3"/>
  <c r="G131" i="3" s="1"/>
  <c r="F47" i="3"/>
  <c r="G47" i="3" s="1"/>
  <c r="F154" i="3"/>
  <c r="G154" i="3" s="1"/>
  <c r="F60" i="3"/>
  <c r="G60" i="3" s="1"/>
  <c r="F185" i="3"/>
  <c r="G185" i="3" s="1"/>
  <c r="F107" i="3"/>
  <c r="G107" i="3" s="1"/>
  <c r="F94" i="3"/>
  <c r="G94" i="3" s="1"/>
  <c r="F16" i="3"/>
  <c r="G16" i="3" s="1"/>
  <c r="F24" i="3"/>
  <c r="G24" i="3" s="1"/>
  <c r="F388" i="5"/>
  <c r="G388" i="5" s="1"/>
  <c r="F303" i="5"/>
  <c r="G303" i="5" s="1"/>
  <c r="F93" i="5"/>
  <c r="G93" i="5" s="1"/>
  <c r="F7" i="4"/>
  <c r="G7" i="4" s="1"/>
  <c r="F267" i="4"/>
  <c r="G267" i="4" s="1"/>
  <c r="F75" i="4"/>
  <c r="G75" i="4" s="1"/>
  <c r="F604" i="3"/>
  <c r="G604" i="3" s="1"/>
  <c r="F565" i="3"/>
  <c r="G565" i="3" s="1"/>
  <c r="F87" i="4"/>
  <c r="G87" i="4" s="1"/>
  <c r="F114" i="3"/>
  <c r="G114" i="3" s="1"/>
  <c r="F64" i="3"/>
  <c r="G64" i="3" s="1"/>
  <c r="F262" i="3"/>
  <c r="G262" i="3" s="1"/>
  <c r="F77" i="3"/>
  <c r="G77" i="3" s="1"/>
  <c r="F244" i="4"/>
  <c r="G244" i="4" s="1"/>
  <c r="F718" i="3"/>
  <c r="G718" i="3" s="1"/>
  <c r="F241" i="5"/>
  <c r="G241" i="5" s="1"/>
  <c r="F245" i="5"/>
  <c r="G245" i="5" s="1"/>
  <c r="F237" i="5"/>
  <c r="G237" i="5" s="1"/>
  <c r="F192" i="5"/>
  <c r="G192" i="5" s="1"/>
  <c r="F338" i="5"/>
  <c r="G338" i="5" s="1"/>
  <c r="F196" i="5"/>
  <c r="G196" i="5" s="1"/>
  <c r="F531" i="5"/>
  <c r="G531" i="5" s="1"/>
  <c r="F508" i="5"/>
  <c r="G508" i="5" s="1"/>
  <c r="F478" i="5"/>
  <c r="G478" i="5" s="1"/>
  <c r="F523" i="5"/>
  <c r="G523" i="5" s="1"/>
  <c r="F353" i="5"/>
  <c r="G353" i="5" s="1"/>
  <c r="F281" i="5"/>
  <c r="G281" i="5" s="1"/>
  <c r="F401" i="5"/>
  <c r="G401" i="5" s="1"/>
  <c r="F334" i="5"/>
  <c r="G334" i="5" s="1"/>
  <c r="F408" i="5"/>
  <c r="G408" i="5" s="1"/>
  <c r="F361" i="5"/>
  <c r="G361" i="5" s="1"/>
  <c r="F339" i="5"/>
  <c r="G339" i="5" s="1"/>
  <c r="F376" i="5"/>
  <c r="G376" i="5" s="1"/>
  <c r="F515" i="5"/>
  <c r="G515" i="5" s="1"/>
  <c r="F217" i="5"/>
  <c r="G217" i="5" s="1"/>
  <c r="F143" i="5"/>
  <c r="G143" i="5" s="1"/>
  <c r="F63" i="5"/>
  <c r="G63" i="5" s="1"/>
  <c r="F15" i="5"/>
  <c r="G15" i="5" s="1"/>
  <c r="F394" i="5"/>
  <c r="G394" i="5" s="1"/>
  <c r="F160" i="5"/>
  <c r="G160" i="5" s="1"/>
  <c r="F94" i="5"/>
  <c r="G94" i="5" s="1"/>
  <c r="F20" i="5"/>
  <c r="G20" i="5" s="1"/>
  <c r="F327" i="5"/>
  <c r="G327" i="5" s="1"/>
  <c r="F319" i="5"/>
  <c r="G319" i="5" s="1"/>
  <c r="F107" i="5"/>
  <c r="G107" i="5" s="1"/>
  <c r="F485" i="5"/>
  <c r="G485" i="5" s="1"/>
  <c r="F366" i="5"/>
  <c r="G366" i="5" s="1"/>
  <c r="F371" i="5"/>
  <c r="G371" i="5" s="1"/>
  <c r="F80" i="5"/>
  <c r="G80" i="5" s="1"/>
  <c r="F45" i="5"/>
  <c r="G45" i="5" s="1"/>
  <c r="F181" i="5"/>
  <c r="G181" i="5" s="1"/>
  <c r="F57" i="5"/>
  <c r="G57" i="5" s="1"/>
  <c r="F188" i="5"/>
  <c r="G188" i="5" s="1"/>
  <c r="F346" i="5"/>
  <c r="G346" i="5" s="1"/>
  <c r="F293" i="5"/>
  <c r="G293" i="5" s="1"/>
  <c r="F258" i="5"/>
  <c r="G258" i="5" s="1"/>
  <c r="F153" i="5"/>
  <c r="G153" i="5" s="1"/>
  <c r="F133" i="5"/>
  <c r="G133" i="5" s="1"/>
  <c r="F117" i="5"/>
  <c r="G117" i="5" s="1"/>
  <c r="F304" i="5"/>
  <c r="G304" i="5" s="1"/>
  <c r="F167" i="5"/>
  <c r="G167" i="5" s="1"/>
  <c r="F99" i="5"/>
  <c r="G99" i="5" s="1"/>
  <c r="F33" i="5"/>
  <c r="G33" i="5" s="1"/>
  <c r="F711" i="3"/>
  <c r="G711" i="3" s="1"/>
  <c r="F606" i="4"/>
  <c r="G606" i="4" s="1"/>
  <c r="F576" i="4"/>
  <c r="G576" i="4" s="1"/>
  <c r="F232" i="4"/>
  <c r="G232" i="4" s="1"/>
  <c r="F337" i="4"/>
  <c r="G337" i="4" s="1"/>
  <c r="F198" i="4"/>
  <c r="G198" i="4" s="1"/>
  <c r="F450" i="4"/>
  <c r="G450" i="4" s="1"/>
  <c r="F363" i="4"/>
  <c r="G363" i="4" s="1"/>
  <c r="F486" i="4"/>
  <c r="G486" i="4" s="1"/>
  <c r="F414" i="4"/>
  <c r="G414" i="4" s="1"/>
  <c r="F504" i="4"/>
  <c r="G504" i="4" s="1"/>
  <c r="F468" i="4"/>
  <c r="G468" i="4" s="1"/>
  <c r="F396" i="4"/>
  <c r="G396" i="4" s="1"/>
  <c r="F221" i="4"/>
  <c r="G221" i="4" s="1"/>
  <c r="F324" i="4"/>
  <c r="G324" i="4" s="1"/>
  <c r="F159" i="4"/>
  <c r="G159" i="4" s="1"/>
  <c r="F432" i="4"/>
  <c r="G432" i="4" s="1"/>
  <c r="F178" i="4"/>
  <c r="G178" i="4" s="1"/>
  <c r="F304" i="4"/>
  <c r="G304" i="4" s="1"/>
  <c r="F393" i="3"/>
  <c r="G393" i="3" s="1"/>
  <c r="F404" i="3"/>
  <c r="G404" i="3" s="1"/>
  <c r="F628" i="3"/>
  <c r="G628" i="3" s="1"/>
  <c r="F388" i="3"/>
  <c r="G388" i="3" s="1"/>
  <c r="F620" i="3"/>
  <c r="G620" i="3" s="1"/>
  <c r="F951" i="3"/>
  <c r="G951" i="3" s="1"/>
  <c r="F930" i="3"/>
  <c r="G930" i="3" s="1"/>
  <c r="F917" i="3"/>
  <c r="G917" i="3" s="1"/>
  <c r="F995" i="3"/>
  <c r="G995" i="3" s="1"/>
  <c r="F852" i="3"/>
  <c r="G852" i="3" s="1"/>
  <c r="F779" i="3"/>
  <c r="G779" i="3" s="1"/>
  <c r="F770" i="3"/>
  <c r="G770" i="3" s="1"/>
  <c r="F799" i="3"/>
  <c r="G799" i="3" s="1"/>
  <c r="F790" i="3"/>
  <c r="G790" i="3" s="1"/>
  <c r="F174" i="5"/>
  <c r="G174" i="5" s="1"/>
  <c r="F358" i="5"/>
  <c r="G358" i="5" s="1"/>
  <c r="F163" i="5"/>
  <c r="G163" i="5" s="1"/>
  <c r="F351" i="5"/>
  <c r="G351" i="5" s="1"/>
  <c r="F156" i="5"/>
  <c r="G156" i="5" s="1"/>
  <c r="F348" i="5"/>
  <c r="G348" i="5" s="1"/>
  <c r="F450" i="5"/>
  <c r="G450" i="5" s="1"/>
  <c r="F183" i="5"/>
  <c r="G183" i="5" s="1"/>
  <c r="F310" i="5"/>
  <c r="G310" i="5" s="1"/>
  <c r="F235" i="5"/>
  <c r="G235" i="5" s="1"/>
  <c r="F232" i="5"/>
  <c r="G232" i="5" s="1"/>
  <c r="F224" i="5"/>
  <c r="G224" i="5" s="1"/>
  <c r="F239" i="5"/>
  <c r="G239" i="5" s="1"/>
  <c r="F336" i="5"/>
  <c r="G336" i="5" s="1"/>
  <c r="F228" i="5"/>
  <c r="G228" i="5" s="1"/>
  <c r="F375" i="5"/>
  <c r="G375" i="5" s="1"/>
  <c r="F432" i="5"/>
  <c r="G432" i="5" s="1"/>
  <c r="F458" i="5"/>
  <c r="G458" i="5" s="1"/>
  <c r="F420" i="5"/>
  <c r="G420" i="5" s="1"/>
  <c r="F494" i="5"/>
  <c r="G494" i="5" s="1"/>
  <c r="F365" i="5"/>
  <c r="G365" i="5" s="1"/>
  <c r="F380" i="5"/>
  <c r="G380" i="5" s="1"/>
  <c r="F142" i="5"/>
  <c r="G142" i="5" s="1"/>
  <c r="F302" i="5"/>
  <c r="G302" i="5" s="1"/>
  <c r="F437" i="5"/>
  <c r="G437" i="5" s="1"/>
  <c r="F291" i="5"/>
  <c r="G291" i="5" s="1"/>
  <c r="F392" i="5"/>
  <c r="G392" i="5" s="1"/>
  <c r="F506" i="5"/>
  <c r="G506" i="5" s="1"/>
  <c r="F476" i="5"/>
  <c r="G476" i="5" s="1"/>
  <c r="F407" i="5"/>
  <c r="G407" i="5" s="1"/>
  <c r="F97" i="5"/>
  <c r="G97" i="5" s="1"/>
  <c r="F79" i="5"/>
  <c r="G79" i="5" s="1"/>
  <c r="F55" i="5"/>
  <c r="G55" i="5" s="1"/>
  <c r="F344" i="5"/>
  <c r="G344" i="5" s="1"/>
  <c r="F185" i="5"/>
  <c r="G185" i="5" s="1"/>
  <c r="F61" i="5"/>
  <c r="G61" i="5" s="1"/>
  <c r="F19" i="5"/>
  <c r="G19" i="5" s="1"/>
  <c r="F91" i="5"/>
  <c r="G91" i="5" s="1"/>
  <c r="F266" i="4"/>
  <c r="G266" i="4" s="1"/>
  <c r="F132" i="5"/>
  <c r="G132" i="5" s="1"/>
  <c r="F152" i="5"/>
  <c r="G152" i="5" s="1"/>
  <c r="F178" i="5"/>
  <c r="G178" i="5" s="1"/>
  <c r="F14" i="5"/>
  <c r="G14" i="5" s="1"/>
  <c r="F251" i="4"/>
  <c r="G251" i="4" s="1"/>
  <c r="F76" i="4"/>
  <c r="G76" i="4" s="1"/>
  <c r="F43" i="5"/>
  <c r="G43" i="5" s="1"/>
  <c r="F8" i="4"/>
  <c r="G8" i="4" s="1"/>
  <c r="F716" i="3"/>
  <c r="G716" i="3" s="1"/>
  <c r="F33" i="4"/>
  <c r="G33" i="4" s="1"/>
  <c r="F564" i="3"/>
  <c r="G564" i="3" s="1"/>
  <c r="F261" i="3"/>
  <c r="G261" i="3" s="1"/>
  <c r="F603" i="3"/>
  <c r="G603" i="3" s="1"/>
  <c r="F222" i="3"/>
  <c r="G222" i="3" s="1"/>
  <c r="F76" i="3"/>
  <c r="G76" i="3" s="1"/>
  <c r="F63" i="3"/>
  <c r="G63" i="3" s="1"/>
  <c r="F115" i="3"/>
  <c r="G115" i="3" s="1"/>
  <c r="F646" i="3"/>
  <c r="G646" i="3" s="1"/>
  <c r="F152" i="3"/>
  <c r="G152" i="3" s="1"/>
  <c r="F539" i="4"/>
  <c r="G539" i="4" s="1"/>
  <c r="F120" i="4"/>
  <c r="G120" i="4" s="1"/>
  <c r="F744" i="3"/>
  <c r="G744" i="3" s="1"/>
  <c r="F625" i="3"/>
  <c r="G625" i="3" s="1"/>
  <c r="F354" i="3"/>
  <c r="G354" i="3" s="1"/>
  <c r="F401" i="3"/>
  <c r="G401" i="3" s="1"/>
  <c r="F341" i="3"/>
  <c r="G341" i="3" s="1"/>
  <c r="F264" i="3"/>
  <c r="G264" i="3" s="1"/>
  <c r="F51" i="3"/>
  <c r="G51" i="3" s="1"/>
  <c r="F278" i="3"/>
  <c r="G278" i="3" s="1"/>
  <c r="F66" i="3"/>
  <c r="G66" i="3" s="1"/>
  <c r="F79" i="3"/>
  <c r="G79" i="3" s="1"/>
  <c r="F38" i="3"/>
  <c r="G38" i="3" s="1"/>
  <c r="F398" i="3"/>
  <c r="G398" i="3" s="1"/>
  <c r="F735" i="3"/>
  <c r="G735" i="3" s="1"/>
  <c r="F615" i="3"/>
  <c r="G615" i="3" s="1"/>
  <c r="F353" i="3"/>
  <c r="G353" i="3" s="1"/>
  <c r="F136" i="4"/>
  <c r="G136" i="4" s="1"/>
  <c r="F384" i="3"/>
  <c r="G384" i="3" s="1"/>
  <c r="F340" i="3"/>
  <c r="G340" i="3" s="1"/>
  <c r="F78" i="3"/>
  <c r="G78" i="3" s="1"/>
  <c r="F37" i="3"/>
  <c r="G37" i="3" s="1"/>
  <c r="F50" i="3"/>
  <c r="G50" i="3" s="1"/>
  <c r="F65" i="3"/>
  <c r="G65" i="3" s="1"/>
  <c r="F347" i="4"/>
  <c r="G347" i="4" s="1"/>
  <c r="F555" i="4"/>
  <c r="G555" i="4" s="1"/>
  <c r="F219" i="4"/>
  <c r="G219" i="4" s="1"/>
  <c r="F374" i="4"/>
  <c r="G374" i="4" s="1"/>
  <c r="F176" i="4"/>
  <c r="G176" i="4" s="1"/>
  <c r="F157" i="4"/>
  <c r="G157" i="4" s="1"/>
  <c r="F302" i="4"/>
  <c r="G302" i="4" s="1"/>
  <c r="F650" i="3"/>
  <c r="G650" i="3" s="1"/>
  <c r="F11" i="3"/>
  <c r="G11" i="3" s="1"/>
  <c r="F248" i="4"/>
  <c r="G248" i="4" s="1"/>
  <c r="F891" i="3"/>
  <c r="G891" i="3" s="1"/>
  <c r="F805" i="3"/>
  <c r="G805" i="3" s="1"/>
  <c r="F835" i="3"/>
  <c r="G835" i="3" s="1"/>
  <c r="F820" i="3"/>
  <c r="G820" i="3" s="1"/>
  <c r="F879" i="3"/>
  <c r="G879" i="3" s="1"/>
  <c r="F454" i="4"/>
  <c r="G454" i="4" s="1"/>
  <c r="F490" i="4"/>
  <c r="G490" i="4" s="1"/>
  <c r="F418" i="4"/>
  <c r="G418" i="4" s="1"/>
  <c r="F472" i="4"/>
  <c r="G472" i="4" s="1"/>
  <c r="F436" i="4"/>
  <c r="G436" i="4" s="1"/>
  <c r="F508" i="4"/>
  <c r="G508" i="4" s="1"/>
  <c r="F301" i="4"/>
  <c r="G301" i="4" s="1"/>
  <c r="F400" i="4"/>
  <c r="G400" i="4" s="1"/>
  <c r="F343" i="4"/>
  <c r="G343" i="4" s="1"/>
  <c r="F406" i="5"/>
  <c r="G406" i="5" s="1"/>
  <c r="F352" i="5"/>
  <c r="G352" i="5" s="1"/>
  <c r="F78" i="5"/>
  <c r="G78" i="5" s="1"/>
  <c r="F591" i="4"/>
  <c r="G591" i="4" s="1"/>
  <c r="F559" i="4"/>
  <c r="G559" i="4" s="1"/>
  <c r="G558" i="4" s="1"/>
  <c r="I558" i="4" s="1"/>
  <c r="K558" i="4" s="1"/>
  <c r="G41" i="1" s="1"/>
  <c r="K41" i="1" s="1"/>
  <c r="F674" i="3"/>
  <c r="G674" i="3" s="1"/>
  <c r="F668" i="3"/>
  <c r="G668" i="3" s="1"/>
  <c r="F618" i="4"/>
  <c r="G618" i="4" s="1"/>
  <c r="F935" i="3"/>
  <c r="G935" i="3" s="1"/>
  <c r="G6" i="6"/>
  <c r="I6" i="6" s="1"/>
  <c r="K6" i="6" s="1"/>
  <c r="G49" i="1" s="1"/>
  <c r="K49" i="1" s="1"/>
  <c r="F531" i="4"/>
  <c r="G531" i="4" s="1"/>
  <c r="F431" i="4"/>
  <c r="G431" i="4" s="1"/>
  <c r="F503" i="4"/>
  <c r="G503" i="4" s="1"/>
  <c r="F467" i="4"/>
  <c r="G467" i="4" s="1"/>
  <c r="F373" i="4"/>
  <c r="G373" i="4" s="1"/>
  <c r="F395" i="4"/>
  <c r="G395" i="4" s="1"/>
  <c r="F305" i="4"/>
  <c r="G305" i="4" s="1"/>
  <c r="F573" i="4"/>
  <c r="G573" i="4" s="1"/>
  <c r="F449" i="4"/>
  <c r="G449" i="4" s="1"/>
  <c r="F413" i="4"/>
  <c r="G413" i="4" s="1"/>
  <c r="F362" i="4"/>
  <c r="G362" i="4" s="1"/>
  <c r="F604" i="4"/>
  <c r="G604" i="4" s="1"/>
  <c r="F485" i="4"/>
  <c r="G485" i="4" s="1"/>
  <c r="F199" i="4"/>
  <c r="G199" i="4" s="1"/>
  <c r="F177" i="4"/>
  <c r="G177" i="4" s="1"/>
  <c r="F326" i="4"/>
  <c r="G326" i="4" s="1"/>
  <c r="F158" i="4"/>
  <c r="G158" i="4" s="1"/>
  <c r="F348" i="4"/>
  <c r="G348" i="4" s="1"/>
  <c r="F336" i="4"/>
  <c r="G336" i="4" s="1"/>
  <c r="F648" i="3"/>
  <c r="G648" i="3" s="1"/>
  <c r="F243" i="3"/>
  <c r="G243" i="3" s="1"/>
  <c r="F226" i="3"/>
  <c r="G226" i="3" s="1"/>
  <c r="F386" i="5"/>
  <c r="G386" i="5" s="1"/>
  <c r="F141" i="4"/>
  <c r="G141" i="4" s="1"/>
  <c r="F875" i="3"/>
  <c r="G875" i="3" s="1"/>
  <c r="F462" i="3"/>
  <c r="G462" i="3" s="1"/>
  <c r="F507" i="3"/>
  <c r="G507" i="3" s="1"/>
  <c r="F499" i="3"/>
  <c r="G499" i="3" s="1"/>
  <c r="F480" i="3"/>
  <c r="G480" i="3" s="1"/>
  <c r="F667" i="3"/>
  <c r="G667" i="3" s="1"/>
  <c r="F516" i="3"/>
  <c r="G516" i="3" s="1"/>
  <c r="F688" i="3"/>
  <c r="G688" i="3" s="1"/>
  <c r="F660" i="3"/>
  <c r="G660" i="3" s="1"/>
  <c r="F471" i="3"/>
  <c r="G471" i="3" s="1"/>
  <c r="F453" i="3"/>
  <c r="G453" i="3" s="1"/>
  <c r="F706" i="3"/>
  <c r="G706" i="3" s="1"/>
  <c r="F676" i="3"/>
  <c r="G676" i="3" s="1"/>
  <c r="F489" i="3"/>
  <c r="G489" i="3" s="1"/>
  <c r="F28" i="6"/>
  <c r="G28" i="6" s="1"/>
  <c r="F570" i="4"/>
  <c r="G570" i="4" s="1"/>
  <c r="F416" i="4"/>
  <c r="G416" i="4" s="1"/>
  <c r="F506" i="4"/>
  <c r="G506" i="4" s="1"/>
  <c r="F470" i="4"/>
  <c r="G470" i="4" s="1"/>
  <c r="F434" i="4"/>
  <c r="G434" i="4" s="1"/>
  <c r="F398" i="4"/>
  <c r="G398" i="4" s="1"/>
  <c r="F330" i="4"/>
  <c r="G330" i="4" s="1"/>
  <c r="F488" i="4"/>
  <c r="G488" i="4" s="1"/>
  <c r="F452" i="4"/>
  <c r="G452" i="4" s="1"/>
  <c r="F202" i="4"/>
  <c r="G202" i="4" s="1"/>
  <c r="F68" i="4"/>
  <c r="G68" i="4" s="1"/>
  <c r="F938" i="3"/>
  <c r="G938" i="3" s="1"/>
  <c r="F537" i="3"/>
  <c r="G537" i="3" s="1"/>
  <c r="F34" i="6"/>
  <c r="G34" i="6" s="1"/>
  <c r="G33" i="6" s="1"/>
  <c r="I33" i="6" s="1"/>
  <c r="K33" i="6" s="1"/>
  <c r="G57" i="1" s="1"/>
  <c r="K57" i="1" s="1"/>
  <c r="F114" i="5" s="1"/>
  <c r="G114" i="5" s="1"/>
  <c r="F109" i="5"/>
  <c r="G109" i="5" s="1"/>
  <c r="F289" i="4"/>
  <c r="G289" i="4" s="1"/>
  <c r="F134" i="4"/>
  <c r="G134" i="4" s="1"/>
  <c r="F52" i="4"/>
  <c r="G52" i="4" s="1"/>
  <c r="F66" i="4"/>
  <c r="G66" i="4" s="1"/>
  <c r="F77" i="4"/>
  <c r="G77" i="4" s="1"/>
  <c r="F608" i="3"/>
  <c r="G608" i="3" s="1"/>
  <c r="F345" i="3"/>
  <c r="G345" i="3" s="1"/>
  <c r="F309" i="3"/>
  <c r="G309" i="3" s="1"/>
  <c r="F282" i="3"/>
  <c r="G282" i="3" s="1"/>
  <c r="F117" i="4"/>
  <c r="G117" i="4" s="1"/>
  <c r="F597" i="3"/>
  <c r="G597" i="3" s="1"/>
  <c r="F585" i="3"/>
  <c r="G585" i="3" s="1"/>
  <c r="F358" i="3"/>
  <c r="G358" i="3" s="1"/>
  <c r="F296" i="3"/>
  <c r="G296" i="3" s="1"/>
  <c r="F267" i="3"/>
  <c r="G267" i="3" s="1"/>
  <c r="F45" i="3"/>
  <c r="G45" i="3" s="1"/>
  <c r="F245" i="3"/>
  <c r="G245" i="3" s="1"/>
  <c r="F83" i="3"/>
  <c r="G83" i="3" s="1"/>
  <c r="F58" i="3"/>
  <c r="G58" i="3" s="1"/>
  <c r="F228" i="3"/>
  <c r="G228" i="3" s="1"/>
  <c r="F70" i="3"/>
  <c r="G70" i="3" s="1"/>
  <c r="F109" i="4"/>
  <c r="G109" i="4" s="1"/>
  <c r="F541" i="3"/>
  <c r="G541" i="3" s="1"/>
  <c r="F414" i="5"/>
  <c r="G414" i="5" s="1"/>
  <c r="F621" i="4"/>
  <c r="G621" i="4" s="1"/>
  <c r="F135" i="3"/>
  <c r="G135" i="3" s="1"/>
  <c r="F129" i="3"/>
  <c r="G129" i="3" s="1"/>
  <c r="F143" i="3"/>
  <c r="G143" i="3" s="1"/>
  <c r="F10" i="6"/>
  <c r="G10" i="6" s="1"/>
  <c r="F325" i="5"/>
  <c r="G325" i="5" s="1"/>
  <c r="F262" i="4"/>
  <c r="G262" i="4" s="1"/>
  <c r="F438" i="3"/>
  <c r="G438" i="3" s="1"/>
  <c r="F555" i="3"/>
  <c r="G555" i="3" s="1"/>
  <c r="F334" i="4"/>
  <c r="G334" i="4" s="1"/>
  <c r="F296" i="4"/>
  <c r="G296" i="4" s="1"/>
  <c r="F531" i="3"/>
  <c r="G531" i="3" s="1"/>
  <c r="F196" i="4"/>
  <c r="G196" i="4" s="1"/>
  <c r="F260" i="5"/>
  <c r="G260" i="5" s="1"/>
  <c r="F271" i="5"/>
  <c r="G271" i="5" s="1"/>
  <c r="F263" i="5"/>
  <c r="G263" i="5" s="1"/>
  <c r="F277" i="5"/>
  <c r="G277" i="5" s="1"/>
  <c r="F50" i="5"/>
  <c r="G50" i="5" s="1"/>
  <c r="F56" i="5"/>
  <c r="G56" i="5" s="1"/>
  <c r="F150" i="5"/>
  <c r="G150" i="5" s="1"/>
  <c r="F145" i="5"/>
  <c r="G145" i="5" s="1"/>
  <c r="F368" i="5"/>
  <c r="G368" i="5" s="1"/>
  <c r="F373" i="5"/>
  <c r="G373" i="5" s="1"/>
  <c r="F378" i="5"/>
  <c r="G378" i="5" s="1"/>
  <c r="F363" i="5"/>
  <c r="G363" i="5" s="1"/>
  <c r="F507" i="4"/>
  <c r="G507" i="4" s="1"/>
  <c r="F489" i="4"/>
  <c r="G489" i="4" s="1"/>
  <c r="F453" i="4"/>
  <c r="G453" i="4" s="1"/>
  <c r="F417" i="4"/>
  <c r="G417" i="4" s="1"/>
  <c r="F471" i="4"/>
  <c r="G471" i="4" s="1"/>
  <c r="F435" i="4"/>
  <c r="G435" i="4" s="1"/>
  <c r="F51" i="4"/>
  <c r="G51" i="4" s="1"/>
  <c r="F399" i="4"/>
  <c r="G399" i="4" s="1"/>
  <c r="F329" i="4"/>
  <c r="G329" i="4" s="1"/>
  <c r="F179" i="4"/>
  <c r="G179" i="4" s="1"/>
  <c r="F24" i="4"/>
  <c r="G24" i="4" s="1"/>
  <c r="F569" i="4"/>
  <c r="G569" i="4" s="1"/>
  <c r="F90" i="4"/>
  <c r="G90" i="4" s="1"/>
  <c r="F293" i="4"/>
  <c r="G293" i="4" s="1"/>
  <c r="F112" i="4"/>
  <c r="G112" i="4" s="1"/>
  <c r="F353" i="4"/>
  <c r="G353" i="4" s="1"/>
  <c r="F430" i="3"/>
  <c r="G430" i="3" s="1"/>
  <c r="F411" i="3"/>
  <c r="G411" i="3" s="1"/>
  <c r="F520" i="3"/>
  <c r="G520" i="3" s="1"/>
  <c r="F130" i="4"/>
  <c r="G130" i="4" s="1"/>
  <c r="F579" i="3"/>
  <c r="G579" i="3" s="1"/>
  <c r="F714" i="3"/>
  <c r="G714" i="3" s="1"/>
  <c r="F88" i="3"/>
  <c r="G88" i="3" s="1"/>
  <c r="F219" i="3"/>
  <c r="G219" i="3" s="1"/>
  <c r="F180" i="3"/>
  <c r="G180" i="3" s="1"/>
  <c r="F257" i="3"/>
  <c r="G257" i="3" s="1"/>
  <c r="F118" i="3"/>
  <c r="G118" i="3" s="1"/>
  <c r="F541" i="4"/>
  <c r="G541" i="4" s="1"/>
  <c r="F122" i="4"/>
  <c r="G122" i="4" s="1"/>
  <c r="F114" i="4"/>
  <c r="G114" i="4" s="1"/>
  <c r="F131" i="4"/>
  <c r="G131" i="4" s="1"/>
  <c r="F29" i="4"/>
  <c r="G29" i="4" s="1"/>
  <c r="F592" i="4"/>
  <c r="G592" i="4" s="1"/>
  <c r="F80" i="4"/>
  <c r="G80" i="4" s="1"/>
  <c r="F40" i="4"/>
  <c r="G40" i="4" s="1"/>
  <c r="F936" i="3"/>
  <c r="G936" i="3" s="1"/>
  <c r="F275" i="4"/>
  <c r="G275" i="4" s="1"/>
  <c r="F719" i="3"/>
  <c r="G719" i="3" s="1"/>
  <c r="F542" i="3"/>
  <c r="G542" i="3" s="1"/>
  <c r="F881" i="3"/>
  <c r="G881" i="3" s="1"/>
  <c r="F607" i="3"/>
  <c r="G607" i="3" s="1"/>
  <c r="F11" i="4"/>
  <c r="G11" i="4" s="1"/>
  <c r="F189" i="4"/>
  <c r="G189" i="4" s="1"/>
  <c r="F556" i="3"/>
  <c r="G556" i="3" s="1"/>
  <c r="F431" i="3"/>
  <c r="G431" i="3" s="1"/>
  <c r="F13" i="3"/>
  <c r="G13" i="3" s="1"/>
  <c r="F181" i="3"/>
  <c r="G181" i="3" s="1"/>
  <c r="F119" i="3"/>
  <c r="G119" i="3" s="1"/>
  <c r="F615" i="4"/>
  <c r="G615" i="4" s="1"/>
  <c r="F227" i="4"/>
  <c r="G227" i="4" s="1"/>
  <c r="F563" i="4"/>
  <c r="G563" i="4" s="1"/>
  <c r="G561" i="4" s="1"/>
  <c r="I561" i="4" s="1"/>
  <c r="K561" i="4" s="1"/>
  <c r="G81" i="1" s="1"/>
  <c r="K81" i="1" s="1"/>
  <c r="F59" i="4"/>
  <c r="G59" i="4" s="1"/>
  <c r="F186" i="4"/>
  <c r="G186" i="4" s="1"/>
  <c r="F242" i="4"/>
  <c r="G242" i="4" s="1"/>
  <c r="F46" i="4"/>
  <c r="G46" i="4" s="1"/>
  <c r="F166" i="4"/>
  <c r="G166" i="4" s="1"/>
  <c r="F332" i="4"/>
  <c r="G332" i="4" s="1"/>
  <c r="F272" i="4"/>
  <c r="G272" i="4" s="1"/>
  <c r="F432" i="3"/>
  <c r="G432" i="3" s="1"/>
  <c r="F107" i="4"/>
  <c r="G107" i="4" s="1"/>
  <c r="G104" i="4" s="1"/>
  <c r="I104" i="4" s="1"/>
  <c r="K104" i="4" s="1"/>
  <c r="G29" i="1" s="1"/>
  <c r="K29" i="1" s="1"/>
  <c r="F194" i="4"/>
  <c r="G194" i="4" s="1"/>
  <c r="F147" i="4"/>
  <c r="G147" i="4" s="1"/>
  <c r="F84" i="4"/>
  <c r="G84" i="4" s="1"/>
  <c r="F282" i="4"/>
  <c r="G282" i="4" s="1"/>
  <c r="F207" i="5"/>
  <c r="G207" i="5" s="1"/>
  <c r="F226" i="5"/>
  <c r="G226" i="5" s="1"/>
  <c r="F412" i="5"/>
  <c r="G412" i="5" s="1"/>
  <c r="F623" i="4"/>
  <c r="G623" i="4" s="1"/>
  <c r="F756" i="3"/>
  <c r="G756" i="3" s="1"/>
  <c r="F137" i="3"/>
  <c r="G137" i="3" s="1"/>
  <c r="F145" i="3"/>
  <c r="G145" i="3" s="1"/>
  <c r="F130" i="3"/>
  <c r="G130" i="3" s="1"/>
  <c r="F176" i="5"/>
  <c r="G176" i="5" s="1"/>
  <c r="F96" i="5"/>
  <c r="G96" i="5" s="1"/>
  <c r="F257" i="5"/>
  <c r="G257" i="5" s="1"/>
  <c r="F157" i="5"/>
  <c r="G157" i="5" s="1"/>
  <c r="F250" i="5"/>
  <c r="G250" i="5" s="1"/>
  <c r="F616" i="3"/>
  <c r="G616" i="3" s="1"/>
  <c r="F734" i="3"/>
  <c r="G734" i="3" s="1"/>
  <c r="F28" i="3"/>
  <c r="G28" i="3" s="1"/>
  <c r="F190" i="3"/>
  <c r="G190" i="3" s="1"/>
  <c r="F413" i="5"/>
  <c r="G413" i="5" s="1"/>
  <c r="F144" i="3"/>
  <c r="G144" i="3" s="1"/>
  <c r="F136" i="3"/>
  <c r="G136" i="3" s="1"/>
  <c r="F527" i="5"/>
  <c r="G527" i="5" s="1"/>
  <c r="F177" i="5"/>
  <c r="G177" i="5" s="1"/>
  <c r="F264" i="4"/>
  <c r="G264" i="4" s="1"/>
  <c r="F563" i="3"/>
  <c r="G563" i="3" s="1"/>
  <c r="F578" i="4"/>
  <c r="G578" i="4" s="1"/>
  <c r="F446" i="4"/>
  <c r="G446" i="4" s="1"/>
  <c r="F464" i="4"/>
  <c r="G464" i="4" s="1"/>
  <c r="F428" i="4"/>
  <c r="G428" i="4" s="1"/>
  <c r="F380" i="4"/>
  <c r="G380" i="4" s="1"/>
  <c r="F322" i="4"/>
  <c r="G322" i="4" s="1"/>
  <c r="F548" i="4"/>
  <c r="G548" i="4" s="1"/>
  <c r="F500" i="4"/>
  <c r="G500" i="4" s="1"/>
  <c r="F392" i="4"/>
  <c r="G392" i="4" s="1"/>
  <c r="F588" i="4"/>
  <c r="G588" i="4" s="1"/>
  <c r="F482" i="4"/>
  <c r="G482" i="4" s="1"/>
  <c r="F410" i="4"/>
  <c r="G410" i="4" s="1"/>
  <c r="F215" i="4"/>
  <c r="G215" i="4" s="1"/>
  <c r="F371" i="4"/>
  <c r="G371" i="4" s="1"/>
  <c r="F299" i="4"/>
  <c r="G299" i="4" s="1"/>
  <c r="F313" i="4"/>
  <c r="G313" i="4" s="1"/>
  <c r="F346" i="4"/>
  <c r="G346" i="4" s="1"/>
  <c r="F558" i="3"/>
  <c r="G558" i="3" s="1"/>
  <c r="F838" i="3"/>
  <c r="G838" i="3" s="1"/>
  <c r="F154" i="4"/>
  <c r="G154" i="4" s="1"/>
  <c r="F823" i="3"/>
  <c r="G823" i="3" s="1"/>
  <c r="F172" i="4"/>
  <c r="G172" i="4" s="1"/>
  <c r="F551" i="3"/>
  <c r="G551" i="3" s="1"/>
  <c r="F808" i="3"/>
  <c r="G808" i="3" s="1"/>
  <c r="F635" i="3"/>
  <c r="G635" i="3" s="1"/>
  <c r="F475" i="3"/>
  <c r="G475" i="3" s="1"/>
  <c r="F466" i="3"/>
  <c r="G466" i="3" s="1"/>
  <c r="F164" i="5"/>
  <c r="G164" i="5" s="1"/>
  <c r="F333" i="5"/>
  <c r="G333" i="5" s="1"/>
  <c r="G118" i="5"/>
  <c r="I118" i="5" s="1"/>
  <c r="G60" i="2" s="1"/>
  <c r="F166" i="5"/>
  <c r="G166" i="5" s="1"/>
  <c r="F159" i="5"/>
  <c r="G159" i="5" s="1"/>
  <c r="F974" i="3"/>
  <c r="G974" i="3" s="1"/>
  <c r="F969" i="3"/>
  <c r="G969" i="3" s="1"/>
  <c r="F850" i="3"/>
  <c r="G850" i="3" s="1"/>
  <c r="F699" i="3"/>
  <c r="G699" i="3" s="1"/>
  <c r="F873" i="3"/>
  <c r="G873" i="3" s="1"/>
  <c r="F730" i="3"/>
  <c r="G730" i="3" s="1"/>
  <c r="F659" i="3"/>
  <c r="G659" i="3" s="1"/>
  <c r="F692" i="3"/>
  <c r="G692" i="3" s="1"/>
  <c r="F686" i="3"/>
  <c r="G686" i="3" s="1"/>
  <c r="F497" i="3"/>
  <c r="G497" i="3" s="1"/>
  <c r="F944" i="3"/>
  <c r="G944" i="3" s="1"/>
  <c r="F775" i="3"/>
  <c r="G775" i="3" s="1"/>
  <c r="F763" i="3"/>
  <c r="G763" i="3" s="1"/>
  <c r="F430" i="5"/>
  <c r="G430" i="5" s="1"/>
  <c r="F520" i="5"/>
  <c r="G520" i="5" s="1"/>
  <c r="F910" i="3"/>
  <c r="G910" i="3" s="1"/>
  <c r="F795" i="3"/>
  <c r="G795" i="3" s="1"/>
  <c r="F783" i="3"/>
  <c r="G783" i="3" s="1"/>
  <c r="F68" i="5"/>
  <c r="G68" i="5" s="1"/>
  <c r="F62" i="5"/>
  <c r="G62" i="5" s="1"/>
  <c r="M55" i="2"/>
  <c r="N55" i="2" s="1"/>
  <c r="F451" i="5"/>
  <c r="G451" i="5" s="1"/>
  <c r="F446" i="5"/>
  <c r="G446" i="5" s="1"/>
  <c r="G444" i="5" s="1"/>
  <c r="I444" i="5" s="1"/>
  <c r="G67" i="2" s="1"/>
  <c r="F441" i="5"/>
  <c r="G441" i="5" s="1"/>
  <c r="M76" i="2"/>
  <c r="N76" i="2" s="1"/>
  <c r="M81" i="2"/>
  <c r="N81" i="2" s="1"/>
  <c r="L81" i="2"/>
  <c r="F16" i="6"/>
  <c r="G16" i="6" s="1"/>
  <c r="F527" i="4"/>
  <c r="G527" i="4" s="1"/>
  <c r="F55" i="4"/>
  <c r="G55" i="4" s="1"/>
  <c r="F575" i="4"/>
  <c r="G575" i="4" s="1"/>
  <c r="F528" i="3"/>
  <c r="G528" i="3" s="1"/>
  <c r="F736" i="3"/>
  <c r="G736" i="3" s="1"/>
  <c r="F292" i="3"/>
  <c r="G292" i="3" s="1"/>
  <c r="F20" i="3"/>
  <c r="G20" i="3" s="1"/>
  <c r="F165" i="3"/>
  <c r="G165" i="3" s="1"/>
  <c r="F191" i="3"/>
  <c r="G191" i="3" s="1"/>
  <c r="F211" i="3"/>
  <c r="G211" i="3" s="1"/>
  <c r="F305" i="3"/>
  <c r="G305" i="3" s="1"/>
  <c r="F173" i="3"/>
  <c r="G173" i="3" s="1"/>
  <c r="F27" i="3"/>
  <c r="G27" i="3" s="1"/>
  <c r="F357" i="4"/>
  <c r="G357" i="4" s="1"/>
  <c r="F522" i="3"/>
  <c r="G522" i="3" s="1"/>
  <c r="F535" i="3"/>
  <c r="G535" i="3" s="1"/>
  <c r="F609" i="4"/>
  <c r="G609" i="4" s="1"/>
  <c r="F587" i="4"/>
  <c r="G587" i="4" s="1"/>
  <c r="F885" i="3"/>
  <c r="G885" i="3" s="1"/>
  <c r="F153" i="4"/>
  <c r="G153" i="4" s="1"/>
  <c r="F518" i="3"/>
  <c r="G518" i="3" s="1"/>
  <c r="F708" i="3"/>
  <c r="G708" i="3" s="1"/>
  <c r="F491" i="3"/>
  <c r="G491" i="3" s="1"/>
  <c r="F464" i="3"/>
  <c r="G464" i="3" s="1"/>
  <c r="F482" i="3"/>
  <c r="G482" i="3" s="1"/>
  <c r="F509" i="3"/>
  <c r="G509" i="3" s="1"/>
  <c r="F455" i="3"/>
  <c r="G455" i="3" s="1"/>
  <c r="F473" i="3"/>
  <c r="G473" i="3" s="1"/>
  <c r="F390" i="5"/>
  <c r="G390" i="5" s="1"/>
  <c r="F488" i="5"/>
  <c r="G488" i="5" s="1"/>
  <c r="F300" i="5"/>
  <c r="G300" i="5" s="1"/>
  <c r="F44" i="5"/>
  <c r="G44" i="5" s="1"/>
  <c r="F466" i="5"/>
  <c r="G466" i="5" s="1"/>
  <c r="G465" i="5" s="1"/>
  <c r="I465" i="5" s="1"/>
  <c r="G28" i="2" s="1"/>
  <c r="F295" i="5"/>
  <c r="G295" i="5" s="1"/>
  <c r="F470" i="5"/>
  <c r="G470" i="5" s="1"/>
  <c r="F38" i="5"/>
  <c r="G38" i="5" s="1"/>
  <c r="F292" i="5"/>
  <c r="G292" i="5" s="1"/>
  <c r="F286" i="5"/>
  <c r="G286" i="5" s="1"/>
  <c r="M71" i="2"/>
  <c r="N71" i="2" s="1"/>
  <c r="F22" i="6"/>
  <c r="G22" i="6" s="1"/>
  <c r="F384" i="5"/>
  <c r="G384" i="5" s="1"/>
  <c r="F324" i="5"/>
  <c r="G324" i="5" s="1"/>
  <c r="F315" i="5"/>
  <c r="G315" i="5" s="1"/>
  <c r="F173" i="5"/>
  <c r="G173" i="5" s="1"/>
  <c r="F274" i="4"/>
  <c r="G274" i="4" s="1"/>
  <c r="F19" i="4"/>
  <c r="G19" i="4" s="1"/>
  <c r="F63" i="4"/>
  <c r="G63" i="4" s="1"/>
  <c r="F522" i="4"/>
  <c r="G522" i="4" s="1"/>
  <c r="F48" i="4"/>
  <c r="G48" i="4" s="1"/>
  <c r="F633" i="3"/>
  <c r="G633" i="3" s="1"/>
  <c r="F435" i="3"/>
  <c r="G435" i="3" s="1"/>
  <c r="F400" i="3"/>
  <c r="G400" i="3" s="1"/>
  <c r="F369" i="3"/>
  <c r="G369" i="3" s="1"/>
  <c r="F422" i="3"/>
  <c r="G422" i="3" s="1"/>
  <c r="F410" i="3"/>
  <c r="G410" i="3" s="1"/>
  <c r="F532" i="3"/>
  <c r="G532" i="3" s="1"/>
  <c r="F355" i="3"/>
  <c r="G355" i="3" s="1"/>
  <c r="F293" i="3"/>
  <c r="G293" i="3" s="1"/>
  <c r="F263" i="3"/>
  <c r="G263" i="3" s="1"/>
  <c r="F626" i="3"/>
  <c r="G626" i="3" s="1"/>
  <c r="F593" i="3"/>
  <c r="G593" i="3" s="1"/>
  <c r="F306" i="3"/>
  <c r="G306" i="3" s="1"/>
  <c r="F279" i="3"/>
  <c r="G279" i="3" s="1"/>
  <c r="F540" i="4"/>
  <c r="G540" i="4" s="1"/>
  <c r="F745" i="3"/>
  <c r="G745" i="3" s="1"/>
  <c r="F581" i="3"/>
  <c r="G581" i="3" s="1"/>
  <c r="F67" i="3"/>
  <c r="G67" i="3" s="1"/>
  <c r="F9" i="4"/>
  <c r="G9" i="4" s="1"/>
  <c r="F106" i="3"/>
  <c r="G106" i="3" s="1"/>
  <c r="F93" i="3"/>
  <c r="G93" i="3" s="1"/>
  <c r="F116" i="3"/>
  <c r="G116" i="3" s="1"/>
  <c r="F80" i="3"/>
  <c r="G80" i="3" s="1"/>
  <c r="F39" i="3"/>
  <c r="G39" i="3" s="1"/>
  <c r="F52" i="3"/>
  <c r="G52" i="3" s="1"/>
  <c r="F342" i="3"/>
  <c r="G342" i="3" s="1"/>
  <c r="F244" i="3"/>
  <c r="G244" i="3" s="1"/>
  <c r="F227" i="3"/>
  <c r="G227" i="3" s="1"/>
  <c r="F595" i="4"/>
  <c r="G595" i="4" s="1"/>
  <c r="F568" i="4"/>
  <c r="G568" i="4" s="1"/>
  <c r="F492" i="4"/>
  <c r="G492" i="4" s="1"/>
  <c r="F257" i="4"/>
  <c r="G257" i="4" s="1"/>
  <c r="F222" i="4"/>
  <c r="G222" i="4" s="1"/>
  <c r="F602" i="4"/>
  <c r="G602" i="4" s="1"/>
  <c r="F456" i="4"/>
  <c r="G456" i="4" s="1"/>
  <c r="F420" i="4"/>
  <c r="G420" i="4" s="1"/>
  <c r="F385" i="4"/>
  <c r="G385" i="4" s="1"/>
  <c r="F349" i="4"/>
  <c r="G349" i="4" s="1"/>
  <c r="F342" i="4"/>
  <c r="G342" i="4" s="1"/>
  <c r="F474" i="4"/>
  <c r="G474" i="4" s="1"/>
  <c r="F355" i="4"/>
  <c r="G355" i="4" s="1"/>
  <c r="F529" i="4"/>
  <c r="G529" i="4" s="1"/>
  <c r="F510" i="4"/>
  <c r="G510" i="4" s="1"/>
  <c r="F438" i="4"/>
  <c r="G438" i="4" s="1"/>
  <c r="F67" i="4"/>
  <c r="G67" i="4" s="1"/>
  <c r="F375" i="4"/>
  <c r="G375" i="4" s="1"/>
  <c r="F307" i="4"/>
  <c r="G307" i="4" s="1"/>
  <c r="F939" i="3"/>
  <c r="G939" i="3" s="1"/>
  <c r="F314" i="4"/>
  <c r="G314" i="4" s="1"/>
  <c r="F235" i="4"/>
  <c r="G235" i="4" s="1"/>
  <c r="F182" i="4"/>
  <c r="G182" i="4" s="1"/>
  <c r="F402" i="4"/>
  <c r="G402" i="4" s="1"/>
  <c r="F328" i="4"/>
  <c r="G328" i="4" s="1"/>
  <c r="F364" i="4"/>
  <c r="G364" i="4" s="1"/>
  <c r="F200" i="4"/>
  <c r="G200" i="4" s="1"/>
  <c r="F162" i="4"/>
  <c r="G162" i="4" s="1"/>
  <c r="F26" i="4"/>
  <c r="G26" i="4" s="1"/>
  <c r="F920" i="3"/>
  <c r="G920" i="3" s="1"/>
  <c r="F904" i="3"/>
  <c r="G904" i="3" s="1"/>
  <c r="F566" i="3"/>
  <c r="G566" i="3" s="1"/>
  <c r="F443" i="3"/>
  <c r="G443" i="3" s="1"/>
  <c r="F638" i="3"/>
  <c r="G638" i="3" s="1"/>
  <c r="F93" i="4"/>
  <c r="G93" i="4" s="1"/>
  <c r="F525" i="3"/>
  <c r="G525" i="3" s="1"/>
  <c r="F954" i="3"/>
  <c r="G954" i="3" s="1"/>
  <c r="F593" i="4"/>
  <c r="G593" i="4" s="1"/>
  <c r="F525" i="4"/>
  <c r="G525" i="4" s="1"/>
  <c r="F239" i="4"/>
  <c r="G239" i="4" s="1"/>
  <c r="F192" i="4"/>
  <c r="G192" i="4" s="1"/>
  <c r="F916" i="3"/>
  <c r="G916" i="3" s="1"/>
  <c r="F979" i="3"/>
  <c r="G979" i="3" s="1"/>
  <c r="F985" i="3"/>
  <c r="G985" i="3" s="1"/>
  <c r="F839" i="3"/>
  <c r="G839" i="3" s="1"/>
  <c r="F928" i="3"/>
  <c r="G928" i="3" s="1"/>
  <c r="F766" i="3"/>
  <c r="G766" i="3" s="1"/>
  <c r="F907" i="3"/>
  <c r="G907" i="3" s="1"/>
  <c r="F824" i="3"/>
  <c r="G824" i="3" s="1"/>
  <c r="F883" i="3"/>
  <c r="G883" i="3" s="1"/>
  <c r="F786" i="3"/>
  <c r="G786" i="3" s="1"/>
  <c r="F809" i="3"/>
  <c r="G809" i="3" s="1"/>
  <c r="F557" i="3"/>
  <c r="G557" i="3" s="1"/>
  <c r="F858" i="3"/>
  <c r="G858" i="3" s="1"/>
  <c r="F950" i="3"/>
  <c r="G950" i="3" s="1"/>
  <c r="F963" i="3"/>
  <c r="G963" i="3" s="1"/>
  <c r="F9" i="3"/>
  <c r="G9" i="3" s="1"/>
  <c r="F469" i="4"/>
  <c r="G469" i="4" s="1"/>
  <c r="F487" i="4"/>
  <c r="G487" i="4" s="1"/>
  <c r="F415" i="4"/>
  <c r="G415" i="4" s="1"/>
  <c r="F361" i="4"/>
  <c r="G361" i="4" s="1"/>
  <c r="F325" i="4"/>
  <c r="G325" i="4" s="1"/>
  <c r="F303" i="4"/>
  <c r="G303" i="4" s="1"/>
  <c r="F574" i="4"/>
  <c r="G574" i="4" s="1"/>
  <c r="F605" i="4"/>
  <c r="G605" i="4" s="1"/>
  <c r="F505" i="4"/>
  <c r="G505" i="4" s="1"/>
  <c r="F433" i="4"/>
  <c r="G433" i="4" s="1"/>
  <c r="F335" i="4"/>
  <c r="G335" i="4" s="1"/>
  <c r="F156" i="4"/>
  <c r="G156" i="4" s="1"/>
  <c r="F397" i="4"/>
  <c r="G397" i="4" s="1"/>
  <c r="F233" i="4"/>
  <c r="G233" i="4" s="1"/>
  <c r="F175" i="4"/>
  <c r="G175" i="4" s="1"/>
  <c r="F218" i="4"/>
  <c r="G218" i="4" s="1"/>
  <c r="F451" i="4"/>
  <c r="G451" i="4" s="1"/>
  <c r="F383" i="5"/>
  <c r="G383" i="5" s="1"/>
  <c r="F356" i="5"/>
  <c r="G356" i="5" s="1"/>
  <c r="F314" i="5"/>
  <c r="G314" i="5" s="1"/>
  <c r="F355" i="5"/>
  <c r="G355" i="5" s="1"/>
  <c r="F440" i="5"/>
  <c r="G440" i="5" s="1"/>
  <c r="F411" i="5"/>
  <c r="G411" i="5" s="1"/>
  <c r="F219" i="5"/>
  <c r="G219" i="5" s="1"/>
  <c r="G218" i="5" s="1"/>
  <c r="I218" i="5" s="1"/>
  <c r="F490" i="5"/>
  <c r="G490" i="5" s="1"/>
  <c r="F186" i="5"/>
  <c r="G186" i="5" s="1"/>
  <c r="F73" i="5"/>
  <c r="G73" i="5" s="1"/>
  <c r="F179" i="5"/>
  <c r="G179" i="5" s="1"/>
  <c r="F758" i="3"/>
  <c r="G758" i="3" s="1"/>
  <c r="F142" i="3"/>
  <c r="G142" i="3" s="1"/>
  <c r="F134" i="3"/>
  <c r="G134" i="3" s="1"/>
  <c r="F455" i="5"/>
  <c r="G455" i="5" s="1"/>
  <c r="F130" i="5"/>
  <c r="G130" i="5" s="1"/>
  <c r="F125" i="5"/>
  <c r="G125" i="5" s="1"/>
  <c r="F518" i="4"/>
  <c r="G518" i="4" s="1"/>
  <c r="G516" i="4" s="1"/>
  <c r="I516" i="4" s="1"/>
  <c r="K516" i="4" s="1"/>
  <c r="G79" i="1" s="1"/>
  <c r="K79" i="1" s="1"/>
  <c r="F755" i="3" s="1"/>
  <c r="G755" i="3" s="1"/>
  <c r="F277" i="4"/>
  <c r="G277" i="4" s="1"/>
  <c r="F250" i="4"/>
  <c r="G250" i="4" s="1"/>
  <c r="F984" i="3"/>
  <c r="G984" i="3" s="1"/>
  <c r="F41" i="4"/>
  <c r="G41" i="4" s="1"/>
  <c r="F238" i="4"/>
  <c r="G238" i="4" s="1"/>
  <c r="F543" i="4"/>
  <c r="G543" i="4" s="1"/>
  <c r="F978" i="3"/>
  <c r="G978" i="3" s="1"/>
  <c r="F742" i="3"/>
  <c r="G742" i="3" s="1"/>
  <c r="F898" i="3"/>
  <c r="G898" i="3" s="1"/>
  <c r="F599" i="3"/>
  <c r="G599" i="3" s="1"/>
  <c r="F34" i="4"/>
  <c r="G34" i="4" s="1"/>
  <c r="F833" i="3"/>
  <c r="G833" i="3" s="1"/>
  <c r="F123" i="4"/>
  <c r="G123" i="4" s="1"/>
  <c r="F818" i="3"/>
  <c r="G818" i="3" s="1"/>
  <c r="F737" i="3"/>
  <c r="G737" i="3" s="1"/>
  <c r="F715" i="3"/>
  <c r="G715" i="3" s="1"/>
  <c r="F912" i="3"/>
  <c r="G912" i="3" s="1"/>
  <c r="F96" i="4"/>
  <c r="G96" i="4" s="1"/>
  <c r="F803" i="3"/>
  <c r="G803" i="3" s="1"/>
  <c r="F946" i="3"/>
  <c r="G946" i="3" s="1"/>
  <c r="F260" i="3"/>
  <c r="G260" i="3" s="1"/>
  <c r="F643" i="3"/>
  <c r="G643" i="3" s="1"/>
  <c r="F587" i="3"/>
  <c r="G587" i="3" s="1"/>
  <c r="F368" i="3"/>
  <c r="G368" i="3" s="1"/>
  <c r="F221" i="3"/>
  <c r="G221" i="3" s="1"/>
  <c r="F614" i="4"/>
  <c r="G614" i="4" s="1"/>
  <c r="F38" i="4"/>
  <c r="G38" i="4" s="1"/>
  <c r="F610" i="4"/>
  <c r="G610" i="4" s="1"/>
  <c r="F499" i="4"/>
  <c r="G499" i="4" s="1"/>
  <c r="F481" i="4"/>
  <c r="G481" i="4" s="1"/>
  <c r="F445" i="4"/>
  <c r="G445" i="4" s="1"/>
  <c r="F354" i="4"/>
  <c r="G354" i="4" s="1"/>
  <c r="F409" i="4"/>
  <c r="G409" i="4" s="1"/>
  <c r="F214" i="4"/>
  <c r="G214" i="4" s="1"/>
  <c r="F370" i="4"/>
  <c r="G370" i="4" s="1"/>
  <c r="F312" i="4"/>
  <c r="G312" i="4" s="1"/>
  <c r="F463" i="4"/>
  <c r="G463" i="4" s="1"/>
  <c r="F427" i="4"/>
  <c r="G427" i="4" s="1"/>
  <c r="F391" i="4"/>
  <c r="G391" i="4" s="1"/>
  <c r="F579" i="4"/>
  <c r="G579" i="4" s="1"/>
  <c r="F230" i="4"/>
  <c r="G230" i="4" s="1"/>
  <c r="F146" i="4"/>
  <c r="G146" i="4" s="1"/>
  <c r="F379" i="4"/>
  <c r="G379" i="4" s="1"/>
  <c r="F155" i="4"/>
  <c r="G155" i="4" s="1"/>
  <c r="F173" i="4"/>
  <c r="G173" i="4" s="1"/>
  <c r="F321" i="4"/>
  <c r="G321" i="4" s="1"/>
  <c r="F549" i="4"/>
  <c r="G549" i="4" s="1"/>
  <c r="F298" i="4"/>
  <c r="G298" i="4" s="1"/>
  <c r="F62" i="4"/>
  <c r="G62" i="4" s="1"/>
  <c r="F836" i="3"/>
  <c r="G836" i="3" s="1"/>
  <c r="F649" i="3"/>
  <c r="G649" i="3" s="1"/>
  <c r="F523" i="3"/>
  <c r="G523" i="3" s="1"/>
  <c r="F47" i="4"/>
  <c r="G47" i="4" s="1"/>
  <c r="F821" i="3"/>
  <c r="G821" i="3" s="1"/>
  <c r="F806" i="3"/>
  <c r="G806" i="3" s="1"/>
  <c r="F634" i="3"/>
  <c r="G634" i="3" s="1"/>
  <c r="F18" i="4"/>
  <c r="G18" i="4" s="1"/>
  <c r="F10" i="3"/>
  <c r="G10" i="3" s="1"/>
  <c r="F41" i="3"/>
  <c r="G41" i="3" s="1"/>
  <c r="F54" i="3"/>
  <c r="G54" i="3" s="1"/>
  <c r="F624" i="3"/>
  <c r="G624" i="3" s="1"/>
  <c r="F743" i="3"/>
  <c r="G743" i="3" s="1"/>
  <c r="F409" i="3"/>
  <c r="G409" i="3" s="1"/>
  <c r="F533" i="3"/>
  <c r="G533" i="3" s="1"/>
  <c r="F421" i="3"/>
  <c r="G421" i="3" s="1"/>
  <c r="F105" i="3"/>
  <c r="G105" i="3" s="1"/>
  <c r="F92" i="3"/>
  <c r="G92" i="3" s="1"/>
  <c r="F399" i="3"/>
  <c r="G399" i="3" s="1"/>
  <c r="F246" i="4"/>
  <c r="G246" i="4" s="1"/>
  <c r="F284" i="4"/>
  <c r="G284" i="4" s="1"/>
  <c r="F49" i="4"/>
  <c r="G49" i="4" s="1"/>
  <c r="F534" i="3"/>
  <c r="G534" i="3" s="1"/>
  <c r="F747" i="3"/>
  <c r="G747" i="3" s="1"/>
  <c r="F21" i="4"/>
  <c r="G21" i="4" s="1"/>
  <c r="F434" i="3"/>
  <c r="G434" i="3" s="1"/>
  <c r="F100" i="4"/>
  <c r="G100" i="4" s="1"/>
  <c r="F64" i="4"/>
  <c r="G64" i="4" s="1"/>
  <c r="F739" i="3"/>
  <c r="G739" i="3" s="1"/>
  <c r="F23" i="3"/>
  <c r="G23" i="3" s="1"/>
  <c r="F184" i="3"/>
  <c r="G184" i="3" s="1"/>
  <c r="F193" i="3"/>
  <c r="G193" i="3" s="1"/>
  <c r="F30" i="3"/>
  <c r="G30" i="3" s="1"/>
  <c r="F176" i="3"/>
  <c r="G176" i="3" s="1"/>
  <c r="F601" i="4"/>
  <c r="G601" i="4" s="1"/>
  <c r="F439" i="4"/>
  <c r="G439" i="4" s="1"/>
  <c r="F528" i="4"/>
  <c r="G528" i="4" s="1"/>
  <c r="F493" i="4"/>
  <c r="G493" i="4" s="1"/>
  <c r="F253" i="4"/>
  <c r="G253" i="4" s="1"/>
  <c r="F225" i="4"/>
  <c r="G225" i="4" s="1"/>
  <c r="F191" i="4"/>
  <c r="G191" i="4" s="1"/>
  <c r="F356" i="4"/>
  <c r="G356" i="4" s="1"/>
  <c r="F291" i="4"/>
  <c r="G291" i="4" s="1"/>
  <c r="F241" i="4"/>
  <c r="G241" i="4" s="1"/>
  <c r="F511" i="4"/>
  <c r="G511" i="4" s="1"/>
  <c r="F475" i="4"/>
  <c r="G475" i="4" s="1"/>
  <c r="F377" i="4"/>
  <c r="G377" i="4" s="1"/>
  <c r="F582" i="4"/>
  <c r="G582" i="4" s="1"/>
  <c r="F553" i="4"/>
  <c r="G553" i="4" s="1"/>
  <c r="F20" i="4"/>
  <c r="G20" i="4" s="1"/>
  <c r="F421" i="4"/>
  <c r="G421" i="4" s="1"/>
  <c r="F341" i="4"/>
  <c r="G341" i="4" s="1"/>
  <c r="F403" i="4"/>
  <c r="G403" i="4" s="1"/>
  <c r="F387" i="4"/>
  <c r="G387" i="4" s="1"/>
  <c r="F69" i="4"/>
  <c r="G69" i="4" s="1"/>
  <c r="F596" i="4"/>
  <c r="G596" i="4" s="1"/>
  <c r="F184" i="4"/>
  <c r="G184" i="4" s="1"/>
  <c r="F56" i="4"/>
  <c r="G56" i="4" s="1"/>
  <c r="F981" i="3"/>
  <c r="G981" i="3" s="1"/>
  <c r="F813" i="3"/>
  <c r="G813" i="3" s="1"/>
  <c r="F610" i="3"/>
  <c r="G610" i="3" s="1"/>
  <c r="F586" i="3"/>
  <c r="G586" i="3" s="1"/>
  <c r="F526" i="3"/>
  <c r="G526" i="3" s="1"/>
  <c r="F116" i="4"/>
  <c r="G116" i="4" s="1"/>
  <c r="F721" i="3"/>
  <c r="G721" i="3" s="1"/>
  <c r="F987" i="3"/>
  <c r="G987" i="3" s="1"/>
  <c r="F457" i="4"/>
  <c r="G457" i="4" s="1"/>
  <c r="F164" i="4"/>
  <c r="G164" i="4" s="1"/>
  <c r="F861" i="3"/>
  <c r="G861" i="3" s="1"/>
  <c r="F843" i="3"/>
  <c r="G843" i="3" s="1"/>
  <c r="F640" i="3"/>
  <c r="G640" i="3" s="1"/>
  <c r="F598" i="3"/>
  <c r="G598" i="3" s="1"/>
  <c r="F538" i="3"/>
  <c r="G538" i="3" s="1"/>
  <c r="F15" i="4"/>
  <c r="G15" i="4" s="1"/>
  <c r="F906" i="3"/>
  <c r="G906" i="3" s="1"/>
  <c r="F133" i="4"/>
  <c r="G133" i="4" s="1"/>
  <c r="F888" i="3"/>
  <c r="G888" i="3" s="1"/>
  <c r="F828" i="3"/>
  <c r="G828" i="3" s="1"/>
  <c r="F357" i="3"/>
  <c r="G357" i="3" s="1"/>
  <c r="F344" i="3"/>
  <c r="G344" i="3" s="1"/>
  <c r="F295" i="3"/>
  <c r="G295" i="3" s="1"/>
  <c r="F266" i="3"/>
  <c r="G266" i="3" s="1"/>
  <c r="F230" i="3"/>
  <c r="G230" i="3" s="1"/>
  <c r="F308" i="3"/>
  <c r="G308" i="3" s="1"/>
  <c r="F123" i="3"/>
  <c r="G123" i="3" s="1"/>
  <c r="F43" i="3"/>
  <c r="G43" i="3" s="1"/>
  <c r="F56" i="3"/>
  <c r="G56" i="3" s="1"/>
  <c r="F69" i="3"/>
  <c r="G69" i="3" s="1"/>
  <c r="F15" i="3"/>
  <c r="G15" i="3" s="1"/>
  <c r="F281" i="3"/>
  <c r="G281" i="3" s="1"/>
  <c r="F372" i="3"/>
  <c r="G372" i="3" s="1"/>
  <c r="F247" i="3"/>
  <c r="G247" i="3" s="1"/>
  <c r="F82" i="3"/>
  <c r="G82" i="3" s="1"/>
  <c r="F542" i="4"/>
  <c r="G542" i="4" s="1"/>
  <c r="F121" i="4"/>
  <c r="G121" i="4" s="1"/>
  <c r="F113" i="4"/>
  <c r="G113" i="4" s="1"/>
  <c r="F276" i="4"/>
  <c r="G276" i="4" s="1"/>
  <c r="F268" i="3"/>
  <c r="G268" i="3" s="1"/>
  <c r="F147" i="3"/>
  <c r="G147" i="3" s="1"/>
  <c r="F231" i="3"/>
  <c r="G231" i="3" s="1"/>
  <c r="F139" i="3"/>
  <c r="G139" i="3" s="1"/>
  <c r="F22" i="4"/>
  <c r="G22" i="4" s="1"/>
  <c r="F583" i="3"/>
  <c r="G583" i="3" s="1"/>
  <c r="F595" i="3"/>
  <c r="G595" i="3" s="1"/>
  <c r="F360" i="3"/>
  <c r="G360" i="3" s="1"/>
  <c r="F347" i="3"/>
  <c r="G347" i="3" s="1"/>
  <c r="F158" i="3"/>
  <c r="G158" i="3" s="1"/>
  <c r="F84" i="3"/>
  <c r="G84" i="3" s="1"/>
  <c r="F59" i="3"/>
  <c r="G59" i="3" s="1"/>
  <c r="F329" i="3"/>
  <c r="G329" i="3" s="1"/>
  <c r="F317" i="3"/>
  <c r="G317" i="3" s="1"/>
  <c r="F71" i="3"/>
  <c r="G71" i="3" s="1"/>
  <c r="F46" i="3"/>
  <c r="G46" i="3" s="1"/>
  <c r="F462" i="5"/>
  <c r="G462" i="5" s="1"/>
  <c r="G460" i="5" s="1"/>
  <c r="I460" i="5" s="1"/>
  <c r="G54" i="2" s="1"/>
  <c r="F316" i="5"/>
  <c r="G316" i="5" s="1"/>
  <c r="F331" i="5"/>
  <c r="G331" i="5" s="1"/>
  <c r="F442" i="3"/>
  <c r="G442" i="3" s="1"/>
  <c r="F149" i="4"/>
  <c r="G149" i="4" s="1"/>
  <c r="G148" i="4" s="1"/>
  <c r="I148" i="4" s="1"/>
  <c r="K148" i="4" s="1"/>
  <c r="G16" i="1" s="1"/>
  <c r="K16" i="1" s="1"/>
  <c r="F342" i="5"/>
  <c r="G342" i="5" s="1"/>
  <c r="F349" i="5"/>
  <c r="G349" i="5" s="1"/>
  <c r="F213" i="4"/>
  <c r="G213" i="4" s="1"/>
  <c r="F462" i="4"/>
  <c r="G462" i="4" s="1"/>
  <c r="F359" i="5"/>
  <c r="G359" i="5" s="1"/>
  <c r="F318" i="5"/>
  <c r="G318" i="5" s="1"/>
  <c r="F89" i="5"/>
  <c r="G89" i="5" s="1"/>
  <c r="F82" i="5"/>
  <c r="G82" i="5" s="1"/>
  <c r="F514" i="5"/>
  <c r="G514" i="5" s="1"/>
  <c r="F423" i="5"/>
  <c r="G423" i="5" s="1"/>
  <c r="F507" i="5"/>
  <c r="G507" i="5" s="1"/>
  <c r="F417" i="5"/>
  <c r="G417" i="5" s="1"/>
  <c r="F857" i="3"/>
  <c r="G857" i="3" s="1"/>
  <c r="F882" i="3"/>
  <c r="G882" i="3" s="1"/>
  <c r="F937" i="3"/>
  <c r="G937" i="3" s="1"/>
  <c r="F484" i="5"/>
  <c r="G484" i="5" s="1"/>
  <c r="F477" i="5"/>
  <c r="G477" i="5" s="1"/>
  <c r="F591" i="3"/>
  <c r="G591" i="3" s="1"/>
  <c r="F423" i="3"/>
  <c r="G423" i="3" s="1"/>
  <c r="F238" i="3"/>
  <c r="G238" i="3" s="1"/>
  <c r="F368" i="4"/>
  <c r="G368" i="4" s="1"/>
  <c r="F586" i="4"/>
  <c r="G586" i="4" s="1"/>
  <c r="F319" i="4"/>
  <c r="G319" i="4" s="1"/>
  <c r="F345" i="4"/>
  <c r="G345" i="4" s="1"/>
  <c r="F311" i="4"/>
  <c r="G311" i="4" s="1"/>
  <c r="F91" i="4"/>
  <c r="G91" i="4" s="1"/>
  <c r="F171" i="4"/>
  <c r="G171" i="4" s="1"/>
  <c r="F559" i="3"/>
  <c r="G559" i="3" s="1"/>
  <c r="F647" i="3"/>
  <c r="G647" i="3" s="1"/>
  <c r="F552" i="3"/>
  <c r="G552" i="3" s="1"/>
  <c r="F40" i="3"/>
  <c r="G40" i="3" s="1"/>
  <c r="F53" i="3"/>
  <c r="G53" i="3" s="1"/>
  <c r="F242" i="3"/>
  <c r="G242" i="3" s="1"/>
  <c r="F224" i="3"/>
  <c r="G224" i="3" s="1"/>
  <c r="F8" i="3"/>
  <c r="G8" i="3" s="1"/>
  <c r="C396" i="11"/>
  <c r="C374" i="10"/>
  <c r="C168" i="10"/>
  <c r="C220" i="9"/>
  <c r="C487" i="11"/>
  <c r="C232" i="11"/>
  <c r="C320" i="10"/>
  <c r="C53" i="10"/>
  <c r="C98" i="11"/>
  <c r="C215" i="10"/>
  <c r="C205" i="11"/>
  <c r="C329" i="9"/>
  <c r="C269" i="9"/>
  <c r="C128" i="9"/>
  <c r="C450" i="9"/>
  <c r="C231" i="8"/>
  <c r="C121" i="8"/>
  <c r="C66" i="9"/>
  <c r="C292" i="8"/>
  <c r="C432" i="9"/>
  <c r="C50" i="8"/>
  <c r="F547" i="4"/>
  <c r="G547" i="4" s="1"/>
  <c r="F384" i="4"/>
  <c r="G384" i="4" s="1"/>
  <c r="F309" i="4"/>
  <c r="G309" i="4" s="1"/>
  <c r="F12" i="4"/>
  <c r="G12" i="4" s="1"/>
  <c r="F32" i="4"/>
  <c r="G32" i="4" s="1"/>
  <c r="F39" i="4"/>
  <c r="G39" i="4" s="1"/>
  <c r="F120" i="3"/>
  <c r="G120" i="3" s="1"/>
  <c r="F622" i="4"/>
  <c r="G622" i="4" s="1"/>
  <c r="F752" i="3"/>
  <c r="G752" i="3" s="1"/>
  <c r="F757" i="3"/>
  <c r="G757" i="3" s="1"/>
  <c r="F138" i="3"/>
  <c r="G138" i="3" s="1"/>
  <c r="F146" i="3"/>
  <c r="G146" i="3" s="1"/>
  <c r="F128" i="3"/>
  <c r="G128" i="3" s="1"/>
  <c r="F268" i="4"/>
  <c r="G268" i="4" s="1"/>
  <c r="F78" i="4"/>
  <c r="G78" i="4" s="1"/>
  <c r="F288" i="4"/>
  <c r="G288" i="4" s="1"/>
  <c r="F65" i="4"/>
  <c r="G65" i="4" s="1"/>
  <c r="F53" i="4"/>
  <c r="G53" i="4" s="1"/>
  <c r="F275" i="5"/>
  <c r="G275" i="5" s="1"/>
  <c r="F39" i="5"/>
  <c r="G39" i="5" s="1"/>
  <c r="F252" i="5"/>
  <c r="G252" i="5" s="1"/>
  <c r="F287" i="5"/>
  <c r="G287" i="5" s="1"/>
  <c r="F148" i="5"/>
  <c r="G148" i="5" s="1"/>
  <c r="F128" i="5"/>
  <c r="G128" i="5" s="1"/>
  <c r="F112" i="5"/>
  <c r="G112" i="5" s="1"/>
  <c r="F381" i="5"/>
  <c r="G381" i="5" s="1"/>
  <c r="F212" i="5"/>
  <c r="G212" i="5" s="1"/>
  <c r="F51" i="5"/>
  <c r="G51" i="5" s="1"/>
  <c r="F29" i="5"/>
  <c r="G29" i="5" s="1"/>
  <c r="F25" i="5"/>
  <c r="G25" i="5" s="1"/>
  <c r="F138" i="5"/>
  <c r="G138" i="5" s="1"/>
  <c r="F103" i="5"/>
  <c r="G103" i="5" s="1"/>
  <c r="F85" i="5"/>
  <c r="G85" i="5" s="1"/>
  <c r="F298" i="5"/>
  <c r="G298" i="5" s="1"/>
  <c r="F69" i="5"/>
  <c r="G69" i="5" s="1"/>
  <c r="F10" i="5"/>
  <c r="G10" i="5" s="1"/>
  <c r="F230" i="5"/>
  <c r="G230" i="5" s="1"/>
  <c r="F200" i="5"/>
  <c r="G200" i="5" s="1"/>
  <c r="F571" i="4"/>
  <c r="G571" i="4" s="1"/>
  <c r="F234" i="4"/>
  <c r="G234" i="4" s="1"/>
  <c r="F92" i="4"/>
  <c r="G92" i="4" s="1"/>
  <c r="F376" i="4"/>
  <c r="G376" i="4" s="1"/>
  <c r="F340" i="4"/>
  <c r="G340" i="4" s="1"/>
  <c r="F286" i="4"/>
  <c r="G286" i="4" s="1"/>
  <c r="F316" i="4"/>
  <c r="G316" i="4" s="1"/>
  <c r="F160" i="4"/>
  <c r="G160" i="4" s="1"/>
  <c r="F143" i="4"/>
  <c r="G143" i="4" s="1"/>
  <c r="F35" i="4"/>
  <c r="G35" i="4" s="1"/>
  <c r="F256" i="4"/>
  <c r="G256" i="4" s="1"/>
  <c r="F224" i="4"/>
  <c r="G224" i="4" s="1"/>
  <c r="F306" i="4"/>
  <c r="G306" i="4" s="1"/>
  <c r="F350" i="4"/>
  <c r="G350" i="4" s="1"/>
  <c r="F42" i="4"/>
  <c r="G42" i="4" s="1"/>
  <c r="F82" i="4"/>
  <c r="G82" i="4" s="1"/>
  <c r="F444" i="3"/>
  <c r="G444" i="3" s="1"/>
  <c r="F180" i="4"/>
  <c r="G180" i="4" s="1"/>
  <c r="F971" i="3"/>
  <c r="G971" i="3" s="1"/>
  <c r="F856" i="3"/>
  <c r="G856" i="3" s="1"/>
  <c r="F731" i="3"/>
  <c r="G731" i="3" s="1"/>
  <c r="F369" i="4"/>
  <c r="G369" i="4" s="1"/>
  <c r="F170" i="4"/>
  <c r="G170" i="4" s="1"/>
  <c r="F320" i="4"/>
  <c r="G320" i="4" s="1"/>
  <c r="F651" i="3"/>
  <c r="G651" i="3" s="1"/>
  <c r="F42" i="3"/>
  <c r="G42" i="3" s="1"/>
  <c r="F225" i="3"/>
  <c r="G225" i="3" s="1"/>
  <c r="F55" i="3"/>
  <c r="G55" i="3" s="1"/>
  <c r="F393" i="4"/>
  <c r="G393" i="4" s="1"/>
  <c r="F300" i="4"/>
  <c r="G300" i="4" s="1"/>
  <c r="F551" i="4"/>
  <c r="G551" i="4" s="1"/>
  <c r="F580" i="4"/>
  <c r="G580" i="4" s="1"/>
  <c r="F483" i="4"/>
  <c r="G483" i="4" s="1"/>
  <c r="F447" i="4"/>
  <c r="G447" i="4" s="1"/>
  <c r="F411" i="4"/>
  <c r="G411" i="4" s="1"/>
  <c r="F465" i="4"/>
  <c r="G465" i="4" s="1"/>
  <c r="F381" i="4"/>
  <c r="G381" i="4" s="1"/>
  <c r="F216" i="4"/>
  <c r="G216" i="4" s="1"/>
  <c r="F429" i="4"/>
  <c r="G429" i="4" s="1"/>
  <c r="F501" i="4"/>
  <c r="G501" i="4" s="1"/>
  <c r="F822" i="3"/>
  <c r="G822" i="3" s="1"/>
  <c r="F807" i="3"/>
  <c r="G807" i="3" s="1"/>
  <c r="F837" i="3"/>
  <c r="G837" i="3" s="1"/>
  <c r="F504" i="5"/>
  <c r="G504" i="5" s="1"/>
  <c r="F474" i="5"/>
  <c r="G474" i="5" s="1"/>
  <c r="F424" i="5"/>
  <c r="G424" i="5" s="1"/>
  <c r="F289" i="5"/>
  <c r="G289" i="5" s="1"/>
  <c r="F214" i="5"/>
  <c r="G214" i="5" s="1"/>
  <c r="F37" i="6"/>
  <c r="G37" i="6" s="1"/>
  <c r="G36" i="6" s="1"/>
  <c r="I36" i="6" s="1"/>
  <c r="K36" i="6" s="1"/>
  <c r="G50" i="1" s="1"/>
  <c r="K50" i="1" s="1"/>
  <c r="F283" i="5"/>
  <c r="G283" i="5" s="1"/>
  <c r="F511" i="5"/>
  <c r="G511" i="5" s="1"/>
  <c r="F481" i="5"/>
  <c r="G481" i="5" s="1"/>
  <c r="F71" i="5"/>
  <c r="G71" i="5" s="1"/>
  <c r="F47" i="5"/>
  <c r="G47" i="5" s="1"/>
  <c r="F31" i="5"/>
  <c r="G31" i="5" s="1"/>
  <c r="F7" i="5"/>
  <c r="G7" i="5" s="1"/>
  <c r="F431" i="5"/>
  <c r="G431" i="5" s="1"/>
  <c r="F12" i="5"/>
  <c r="G12" i="5" s="1"/>
  <c r="F419" i="5"/>
  <c r="G419" i="5" s="1"/>
  <c r="F171" i="5"/>
  <c r="G171" i="5" s="1"/>
  <c r="F35" i="5"/>
  <c r="G35" i="5" s="1"/>
  <c r="F41" i="5"/>
  <c r="G41" i="5" s="1"/>
  <c r="F22" i="5"/>
  <c r="G22" i="5" s="1"/>
  <c r="F221" i="5"/>
  <c r="G221" i="5" s="1"/>
  <c r="G220" i="5" s="1"/>
  <c r="I220" i="5" s="1"/>
  <c r="G70" i="2" s="1"/>
  <c r="F209" i="5"/>
  <c r="G209" i="5" s="1"/>
  <c r="F75" i="5"/>
  <c r="G75" i="5" s="1"/>
  <c r="F17" i="5"/>
  <c r="G17" i="5" s="1"/>
  <c r="F27" i="5"/>
  <c r="G27" i="5" s="1"/>
  <c r="F65" i="5"/>
  <c r="G65" i="5" s="1"/>
  <c r="F59" i="5"/>
  <c r="G59" i="5" s="1"/>
  <c r="F53" i="5"/>
  <c r="G53" i="5" s="1"/>
  <c r="F366" i="4"/>
  <c r="G366" i="4" s="1"/>
  <c r="F360" i="4"/>
  <c r="G360" i="4" s="1"/>
  <c r="F778" i="3"/>
  <c r="G778" i="3" s="1"/>
  <c r="F769" i="3"/>
  <c r="G769" i="3" s="1"/>
  <c r="F798" i="3"/>
  <c r="G798" i="3" s="1"/>
  <c r="F789" i="3"/>
  <c r="G789" i="3" s="1"/>
  <c r="F932" i="3"/>
  <c r="G932" i="3" s="1"/>
  <c r="F429" i="5"/>
  <c r="G429" i="5" s="1"/>
  <c r="F343" i="5"/>
  <c r="G343" i="5" s="1"/>
  <c r="F198" i="5"/>
  <c r="G198" i="5" s="1"/>
  <c r="F190" i="5"/>
  <c r="G190" i="5" s="1"/>
  <c r="F194" i="5"/>
  <c r="G194" i="5" s="1"/>
  <c r="F202" i="5"/>
  <c r="G202" i="5" s="1"/>
  <c r="F306" i="5"/>
  <c r="G306" i="5" s="1"/>
  <c r="F205" i="5"/>
  <c r="G205" i="5" s="1"/>
  <c r="F524" i="4"/>
  <c r="G524" i="4" s="1"/>
  <c r="F61" i="4"/>
  <c r="G61" i="4" s="1"/>
  <c r="F260" i="4"/>
  <c r="G260" i="4" s="1"/>
  <c r="F247" i="4"/>
  <c r="G247" i="4" s="1"/>
  <c r="F140" i="4"/>
  <c r="G140" i="4" s="1"/>
  <c r="F539" i="3"/>
  <c r="G539" i="3" s="1"/>
  <c r="F880" i="3"/>
  <c r="G880" i="3" s="1"/>
  <c r="F765" i="3"/>
  <c r="G765" i="3" s="1"/>
  <c r="F785" i="3"/>
  <c r="G785" i="3" s="1"/>
  <c r="F436" i="3"/>
  <c r="G436" i="3" s="1"/>
  <c r="F25" i="6"/>
  <c r="G25" i="6" s="1"/>
  <c r="G24" i="6" s="1"/>
  <c r="I24" i="6" s="1"/>
  <c r="K24" i="6" s="1"/>
  <c r="G59" i="1" s="1"/>
  <c r="K59" i="1" s="1"/>
  <c r="F162" i="5"/>
  <c r="G162" i="5" s="1"/>
  <c r="K136" i="1"/>
  <c r="F23" i="4"/>
  <c r="G23" i="4" s="1"/>
  <c r="F370" i="3"/>
  <c r="G370" i="3" s="1"/>
  <c r="F439" i="3"/>
  <c r="G439" i="3" s="1"/>
  <c r="F738" i="3"/>
  <c r="G738" i="3" s="1"/>
  <c r="F746" i="3"/>
  <c r="G746" i="3" s="1"/>
  <c r="F50" i="4"/>
  <c r="G50" i="4" s="1"/>
  <c r="F192" i="3"/>
  <c r="G192" i="3" s="1"/>
  <c r="F31" i="3"/>
  <c r="G31" i="3" s="1"/>
  <c r="F183" i="3"/>
  <c r="G183" i="3" s="1"/>
  <c r="F177" i="3"/>
  <c r="G177" i="3" s="1"/>
  <c r="F433" i="3"/>
  <c r="G433" i="3" s="1"/>
  <c r="F308" i="5"/>
  <c r="G308" i="5" s="1"/>
  <c r="F312" i="5"/>
  <c r="G312" i="5" s="1"/>
  <c r="F13" i="4"/>
  <c r="G13" i="4" s="1"/>
  <c r="F121" i="3"/>
  <c r="G121" i="3" s="1"/>
  <c r="F261" i="4"/>
  <c r="G261" i="4" s="1"/>
  <c r="F540" i="3"/>
  <c r="G540" i="3" s="1"/>
  <c r="F437" i="3"/>
  <c r="G437" i="3" s="1"/>
  <c r="F285" i="4"/>
  <c r="G285" i="4" s="1"/>
  <c r="F174" i="4"/>
  <c r="G174" i="4" s="1"/>
  <c r="F687" i="3"/>
  <c r="G687" i="3" s="1"/>
  <c r="F748" i="3"/>
  <c r="G748" i="3" s="1"/>
  <c r="F229" i="4"/>
  <c r="G229" i="4" s="1"/>
  <c r="F566" i="4"/>
  <c r="G566" i="4" s="1"/>
  <c r="F992" i="3"/>
  <c r="G992" i="3" s="1"/>
  <c r="F924" i="3"/>
  <c r="G924" i="3" s="1"/>
  <c r="F60" i="4"/>
  <c r="G60" i="4" s="1"/>
  <c r="F101" i="3"/>
  <c r="G101" i="3" s="1"/>
  <c r="F273" i="3"/>
  <c r="G273" i="3" s="1"/>
  <c r="F810" i="3"/>
  <c r="G810" i="3" s="1"/>
  <c r="F472" i="3"/>
  <c r="G472" i="3" s="1"/>
  <c r="F707" i="3"/>
  <c r="G707" i="3" s="1"/>
  <c r="F490" i="3"/>
  <c r="G490" i="3" s="1"/>
  <c r="F876" i="3"/>
  <c r="G876" i="3" s="1"/>
  <c r="F840" i="3"/>
  <c r="G840" i="3" s="1"/>
  <c r="F508" i="3"/>
  <c r="G508" i="3" s="1"/>
  <c r="F500" i="3"/>
  <c r="G500" i="3" s="1"/>
  <c r="F463" i="3"/>
  <c r="G463" i="3" s="1"/>
  <c r="F481" i="3"/>
  <c r="G481" i="3" s="1"/>
  <c r="F825" i="3"/>
  <c r="G825" i="3" s="1"/>
  <c r="F517" i="3"/>
  <c r="G517" i="3" s="1"/>
  <c r="F619" i="3"/>
  <c r="G619" i="3" s="1"/>
  <c r="F403" i="3"/>
  <c r="G403" i="3" s="1"/>
  <c r="F387" i="3"/>
  <c r="G387" i="3" s="1"/>
  <c r="F351" i="4"/>
  <c r="G351" i="4" s="1"/>
  <c r="F142" i="4"/>
  <c r="G142" i="4" s="1"/>
  <c r="F567" i="4"/>
  <c r="G567" i="4" s="1"/>
  <c r="F338" i="4"/>
  <c r="G338" i="4" s="1"/>
  <c r="F493" i="5"/>
  <c r="G493" i="5" s="1"/>
  <c r="F499" i="5"/>
  <c r="G499" i="5" s="1"/>
  <c r="F43" i="6"/>
  <c r="G43" i="6" s="1"/>
  <c r="G42" i="6" s="1"/>
  <c r="I42" i="6" s="1"/>
  <c r="K42" i="6" s="1"/>
  <c r="G61" i="1" s="1"/>
  <c r="K61" i="1" s="1"/>
  <c r="F77" i="5" s="1"/>
  <c r="G77" i="5" s="1"/>
  <c r="F500" i="5"/>
  <c r="G500" i="5" s="1"/>
  <c r="F940" i="3"/>
  <c r="G940" i="3" s="1"/>
  <c r="F751" i="3"/>
  <c r="G751" i="3" s="1"/>
  <c r="G39" i="6"/>
  <c r="I39" i="6" s="1"/>
  <c r="K39" i="6" s="1"/>
  <c r="G60" i="1" s="1"/>
  <c r="K60" i="1" s="1"/>
  <c r="F518" i="5" s="1"/>
  <c r="G518" i="5" s="1"/>
  <c r="F22" i="3"/>
  <c r="G22" i="3" s="1"/>
  <c r="F949" i="3"/>
  <c r="G949" i="3" s="1"/>
  <c r="F896" i="3"/>
  <c r="G896" i="3" s="1"/>
  <c r="F915" i="3"/>
  <c r="G915" i="3" s="1"/>
  <c r="L108" i="4"/>
  <c r="D249" i="4"/>
  <c r="L249" i="4" s="1"/>
  <c r="L254" i="4"/>
  <c r="L520" i="4"/>
  <c r="D516" i="4"/>
  <c r="L516" i="4" s="1"/>
  <c r="L74" i="4"/>
  <c r="L295" i="4"/>
  <c r="D561" i="4"/>
  <c r="L135" i="8"/>
  <c r="L210" i="8"/>
  <c r="L297" i="8"/>
  <c r="L448" i="9"/>
  <c r="L395" i="9" s="1"/>
  <c r="L175" i="10"/>
  <c r="L118" i="10" s="1"/>
  <c r="L281" i="10"/>
  <c r="L271" i="10" s="1"/>
  <c r="L6" i="10"/>
  <c r="L143" i="13"/>
  <c r="L141" i="9"/>
  <c r="L393" i="10"/>
  <c r="H102" i="11"/>
  <c r="L213" i="11"/>
  <c r="L426" i="11"/>
  <c r="L276" i="9"/>
  <c r="L240" i="11"/>
  <c r="L226" i="11" s="1"/>
  <c r="G340" i="5" l="1"/>
  <c r="I340" i="5" s="1"/>
  <c r="G439" i="5"/>
  <c r="I439" i="5" s="1"/>
  <c r="G66" i="2" s="1"/>
  <c r="G279" i="4"/>
  <c r="I279" i="4" s="1"/>
  <c r="K279" i="4" s="1"/>
  <c r="G24" i="1" s="1"/>
  <c r="K24" i="1" s="1"/>
  <c r="G269" i="4"/>
  <c r="I269" i="4" s="1"/>
  <c r="K269" i="4" s="1"/>
  <c r="G25" i="1" s="1"/>
  <c r="K25" i="1" s="1"/>
  <c r="G201" i="5"/>
  <c r="I201" i="5" s="1"/>
  <c r="G213" i="5"/>
  <c r="I213" i="5" s="1"/>
  <c r="G95" i="4"/>
  <c r="I95" i="4" s="1"/>
  <c r="K95" i="4" s="1"/>
  <c r="G26" i="1" s="1"/>
  <c r="K26" i="1" s="1"/>
  <c r="G469" i="5"/>
  <c r="I469" i="5" s="1"/>
  <c r="G29" i="2" s="1"/>
  <c r="I29" i="2" s="1"/>
  <c r="J29" i="2" s="1"/>
  <c r="G234" i="5"/>
  <c r="I234" i="5" s="1"/>
  <c r="G27" i="6"/>
  <c r="I27" i="6" s="1"/>
  <c r="K27" i="6" s="1"/>
  <c r="G53" i="1" s="1"/>
  <c r="K53" i="1" s="1"/>
  <c r="F172" i="5" s="1"/>
  <c r="G172" i="5" s="1"/>
  <c r="G170" i="5" s="1"/>
  <c r="I170" i="5" s="1"/>
  <c r="G43" i="2" s="1"/>
  <c r="G292" i="4"/>
  <c r="I292" i="4" s="1"/>
  <c r="K292" i="4" s="1"/>
  <c r="G31" i="1" s="1"/>
  <c r="K31" i="1" s="1"/>
  <c r="F914" i="3" s="1"/>
  <c r="G914" i="3" s="1"/>
  <c r="G30" i="5"/>
  <c r="I30" i="5" s="1"/>
  <c r="G10" i="2" s="1"/>
  <c r="M10" i="2" s="1"/>
  <c r="N10" i="2" s="1"/>
  <c r="G21" i="6"/>
  <c r="I21" i="6" s="1"/>
  <c r="K21" i="6" s="1"/>
  <c r="G58" i="1" s="1"/>
  <c r="K58" i="1" s="1"/>
  <c r="G9" i="6"/>
  <c r="I9" i="6" s="1"/>
  <c r="K9" i="6" s="1"/>
  <c r="G51" i="1" s="1"/>
  <c r="K51" i="1" s="1"/>
  <c r="G231" i="5"/>
  <c r="I231" i="5" s="1"/>
  <c r="G193" i="5"/>
  <c r="I193" i="5" s="1"/>
  <c r="G13" i="2" s="1"/>
  <c r="M13" i="2" s="1"/>
  <c r="N13" i="2" s="1"/>
  <c r="G973" i="3"/>
  <c r="I973" i="3" s="1"/>
  <c r="G134" i="2" s="1"/>
  <c r="M134" i="2" s="1"/>
  <c r="N134" i="2" s="1"/>
  <c r="G16" i="5"/>
  <c r="I16" i="5" s="1"/>
  <c r="G8" i="2" s="1"/>
  <c r="I8" i="2" s="1"/>
  <c r="J8" i="2" s="1"/>
  <c r="G503" i="5"/>
  <c r="I503" i="5" s="1"/>
  <c r="G145" i="4"/>
  <c r="I145" i="4" s="1"/>
  <c r="K145" i="4" s="1"/>
  <c r="G8" i="1" s="1"/>
  <c r="K8" i="1" s="1"/>
  <c r="G189" i="5"/>
  <c r="I189" i="5" s="1"/>
  <c r="G14" i="2" s="1"/>
  <c r="I14" i="2" s="1"/>
  <c r="J14" i="2" s="1"/>
  <c r="G410" i="5"/>
  <c r="I410" i="5" s="1"/>
  <c r="G69" i="2" s="1"/>
  <c r="M69" i="2" s="1"/>
  <c r="N69" i="2" s="1"/>
  <c r="G70" i="5"/>
  <c r="I70" i="5" s="1"/>
  <c r="G40" i="2" s="1"/>
  <c r="I40" i="2" s="1"/>
  <c r="J40" i="2" s="1"/>
  <c r="G187" i="4"/>
  <c r="I187" i="4" s="1"/>
  <c r="K187" i="4" s="1"/>
  <c r="G64" i="1" s="1"/>
  <c r="K64" i="1" s="1"/>
  <c r="F460" i="3" s="1"/>
  <c r="G460" i="3" s="1"/>
  <c r="G242" i="5"/>
  <c r="I242" i="5" s="1"/>
  <c r="G15" i="6"/>
  <c r="I15" i="6" s="1"/>
  <c r="K15" i="6" s="1"/>
  <c r="G52" i="1" s="1"/>
  <c r="K52" i="1" s="1"/>
  <c r="F317" i="5" s="1"/>
  <c r="G317" i="5" s="1"/>
  <c r="G313" i="5" s="1"/>
  <c r="I313" i="5" s="1"/>
  <c r="G47" i="2" s="1"/>
  <c r="G259" i="5"/>
  <c r="I259" i="5" s="1"/>
  <c r="G108" i="4"/>
  <c r="I108" i="4" s="1"/>
  <c r="K108" i="4" s="1"/>
  <c r="G30" i="1" s="1"/>
  <c r="K30" i="1" s="1"/>
  <c r="F943" i="3" s="1"/>
  <c r="G943" i="3" s="1"/>
  <c r="G95" i="5"/>
  <c r="I95" i="5" s="1"/>
  <c r="G599" i="4"/>
  <c r="I599" i="4" s="1"/>
  <c r="K599" i="4" s="1"/>
  <c r="G85" i="1" s="1"/>
  <c r="K85" i="1" s="1"/>
  <c r="F991" i="3" s="1"/>
  <c r="G991" i="3" s="1"/>
  <c r="G273" i="4"/>
  <c r="I273" i="4" s="1"/>
  <c r="K273" i="4" s="1"/>
  <c r="G23" i="1" s="1"/>
  <c r="K23" i="1" s="1"/>
  <c r="G335" i="5"/>
  <c r="I335" i="5" s="1"/>
  <c r="G26" i="5"/>
  <c r="I26" i="5" s="1"/>
  <c r="G11" i="2" s="1"/>
  <c r="I11" i="2" s="1"/>
  <c r="J11" i="2" s="1"/>
  <c r="G197" i="5"/>
  <c r="I197" i="5" s="1"/>
  <c r="G359" i="4"/>
  <c r="I359" i="4" s="1"/>
  <c r="K359" i="4" s="1"/>
  <c r="G73" i="1" s="1"/>
  <c r="K73" i="1" s="1"/>
  <c r="F684" i="3" s="1"/>
  <c r="G684" i="3" s="1"/>
  <c r="G259" i="4"/>
  <c r="I259" i="4" s="1"/>
  <c r="K259" i="4" s="1"/>
  <c r="G36" i="1" s="1"/>
  <c r="K36" i="1" s="1"/>
  <c r="F366" i="3" s="1"/>
  <c r="G366" i="3" s="1"/>
  <c r="L195" i="4"/>
  <c r="G52" i="5"/>
  <c r="I52" i="5" s="1"/>
  <c r="G20" i="2" s="1"/>
  <c r="M20" i="2" s="1"/>
  <c r="N20" i="2" s="1"/>
  <c r="G88" i="5"/>
  <c r="I88" i="5" s="1"/>
  <c r="G204" i="5"/>
  <c r="I204" i="5" s="1"/>
  <c r="G15" i="2" s="1"/>
  <c r="I15" i="2" s="1"/>
  <c r="J15" i="2" s="1"/>
  <c r="G40" i="5"/>
  <c r="I40" i="5" s="1"/>
  <c r="G24" i="2" s="1"/>
  <c r="M24" i="2" s="1"/>
  <c r="N24" i="2" s="1"/>
  <c r="G487" i="5"/>
  <c r="I487" i="5" s="1"/>
  <c r="G41" i="2" s="1"/>
  <c r="I41" i="2" s="1"/>
  <c r="J41" i="2" s="1"/>
  <c r="G195" i="4"/>
  <c r="I195" i="4" s="1"/>
  <c r="K195" i="4" s="1"/>
  <c r="G65" i="1" s="1"/>
  <c r="K65" i="1" s="1"/>
  <c r="F484" i="3" s="1"/>
  <c r="G484" i="3" s="1"/>
  <c r="G754" i="3"/>
  <c r="I754" i="3" s="1"/>
  <c r="G100" i="2" s="1"/>
  <c r="I100" i="2" s="1"/>
  <c r="J100" i="2" s="1"/>
  <c r="G520" i="4"/>
  <c r="I520" i="4" s="1"/>
  <c r="K520" i="4" s="1"/>
  <c r="G80" i="1" s="1"/>
  <c r="K80" i="1" s="1"/>
  <c r="F794" i="3" s="1"/>
  <c r="G794" i="3" s="1"/>
  <c r="G427" i="5"/>
  <c r="I427" i="5" s="1"/>
  <c r="G65" i="2" s="1"/>
  <c r="I65" i="2" s="1"/>
  <c r="J65" i="2" s="1"/>
  <c r="G19" i="3"/>
  <c r="I19" i="3" s="1"/>
  <c r="G83" i="2" s="1"/>
  <c r="M83" i="2" s="1"/>
  <c r="N83" i="2" s="1"/>
  <c r="G151" i="4"/>
  <c r="I151" i="4" s="1"/>
  <c r="K151" i="4" s="1"/>
  <c r="G63" i="1" s="1"/>
  <c r="K63" i="1" s="1"/>
  <c r="F913" i="3" s="1"/>
  <c r="G913" i="3" s="1"/>
  <c r="G126" i="3"/>
  <c r="I126" i="3" s="1"/>
  <c r="G142" i="2" s="1"/>
  <c r="M142" i="2" s="1"/>
  <c r="N142" i="2" s="1"/>
  <c r="I54" i="2"/>
  <c r="J54" i="2" s="1"/>
  <c r="M54" i="2"/>
  <c r="N54" i="2" s="1"/>
  <c r="F802" i="3"/>
  <c r="G802" i="3" s="1"/>
  <c r="F832" i="3"/>
  <c r="G832" i="3" s="1"/>
  <c r="F817" i="3"/>
  <c r="G817" i="3" s="1"/>
  <c r="L145" i="4"/>
  <c r="I67" i="2"/>
  <c r="J67" i="2" s="1"/>
  <c r="M67" i="2"/>
  <c r="N67" i="2" s="1"/>
  <c r="G228" i="4"/>
  <c r="I228" i="4" s="1"/>
  <c r="K228" i="4" s="1"/>
  <c r="G66" i="1" s="1"/>
  <c r="K66" i="1" s="1"/>
  <c r="F513" i="5"/>
  <c r="G513" i="5" s="1"/>
  <c r="G510" i="5" s="1"/>
  <c r="I510" i="5" s="1"/>
  <c r="F483" i="5"/>
  <c r="G483" i="5" s="1"/>
  <c r="G480" i="5" s="1"/>
  <c r="I480" i="5" s="1"/>
  <c r="G23" i="2" s="1"/>
  <c r="F426" i="5"/>
  <c r="G426" i="5" s="1"/>
  <c r="G422" i="5" s="1"/>
  <c r="I422" i="5" s="1"/>
  <c r="G37" i="2" s="1"/>
  <c r="F297" i="5"/>
  <c r="G297" i="5" s="1"/>
  <c r="G294" i="5" s="1"/>
  <c r="I294" i="5" s="1"/>
  <c r="G27" i="2" s="1"/>
  <c r="F273" i="5"/>
  <c r="G273" i="5" s="1"/>
  <c r="F265" i="5"/>
  <c r="G265" i="5" s="1"/>
  <c r="G262" i="5" s="1"/>
  <c r="I262" i="5" s="1"/>
  <c r="F370" i="5"/>
  <c r="G370" i="5" s="1"/>
  <c r="G367" i="5" s="1"/>
  <c r="I367" i="5" s="1"/>
  <c r="G35" i="2" s="1"/>
  <c r="F137" i="5"/>
  <c r="G137" i="5" s="1"/>
  <c r="G134" i="5" s="1"/>
  <c r="I134" i="5" s="1"/>
  <c r="G31" i="2" s="1"/>
  <c r="F84" i="5"/>
  <c r="G84" i="5" s="1"/>
  <c r="F279" i="5"/>
  <c r="G279" i="5" s="1"/>
  <c r="G276" i="5" s="1"/>
  <c r="I276" i="5" s="1"/>
  <c r="F147" i="5"/>
  <c r="G147" i="5" s="1"/>
  <c r="G144" i="5" s="1"/>
  <c r="I144" i="5" s="1"/>
  <c r="G39" i="2" s="1"/>
  <c r="F67" i="5"/>
  <c r="G67" i="5" s="1"/>
  <c r="G64" i="5" s="1"/>
  <c r="I64" i="5" s="1"/>
  <c r="G17" i="2" s="1"/>
  <c r="F127" i="5"/>
  <c r="G127" i="5" s="1"/>
  <c r="G124" i="5" s="1"/>
  <c r="I124" i="5" s="1"/>
  <c r="G33" i="2" s="1"/>
  <c r="F9" i="5"/>
  <c r="G9" i="5" s="1"/>
  <c r="G6" i="5" s="1"/>
  <c r="I6" i="5" s="1"/>
  <c r="G7" i="2" s="1"/>
  <c r="F269" i="5"/>
  <c r="G269" i="5" s="1"/>
  <c r="G266" i="5" s="1"/>
  <c r="I266" i="5" s="1"/>
  <c r="F37" i="5"/>
  <c r="G37" i="5" s="1"/>
  <c r="G34" i="5" s="1"/>
  <c r="I34" i="5" s="1"/>
  <c r="G25" i="2" s="1"/>
  <c r="F49" i="5"/>
  <c r="G49" i="5" s="1"/>
  <c r="G46" i="5" s="1"/>
  <c r="I46" i="5" s="1"/>
  <c r="G21" i="2" s="1"/>
  <c r="F285" i="5"/>
  <c r="G285" i="5" s="1"/>
  <c r="G282" i="5" s="1"/>
  <c r="I282" i="5" s="1"/>
  <c r="G19" i="2" s="1"/>
  <c r="F24" i="5"/>
  <c r="G24" i="5" s="1"/>
  <c r="G21" i="5" s="1"/>
  <c r="I21" i="5" s="1"/>
  <c r="G9" i="2" s="1"/>
  <c r="G139" i="4"/>
  <c r="I139" i="4" s="1"/>
  <c r="K139" i="4" s="1"/>
  <c r="G7" i="1" s="1"/>
  <c r="K7" i="1" s="1"/>
  <c r="G58" i="5"/>
  <c r="I58" i="5" s="1"/>
  <c r="G16" i="2" s="1"/>
  <c r="G977" i="3"/>
  <c r="I977" i="3" s="1"/>
  <c r="G135" i="2" s="1"/>
  <c r="F521" i="5"/>
  <c r="G521" i="5" s="1"/>
  <c r="F528" i="5"/>
  <c r="G528" i="5" s="1"/>
  <c r="I28" i="2"/>
  <c r="J28" i="2" s="1"/>
  <c r="M28" i="2"/>
  <c r="N28" i="2" s="1"/>
  <c r="G608" i="4"/>
  <c r="I608" i="4" s="1"/>
  <c r="K608" i="4" s="1"/>
  <c r="G86" i="1" s="1"/>
  <c r="K86" i="1" s="1"/>
  <c r="G89" i="4"/>
  <c r="I89" i="4" s="1"/>
  <c r="K89" i="4" s="1"/>
  <c r="G20" i="1" s="1"/>
  <c r="K20" i="1" s="1"/>
  <c r="F153" i="3" s="1"/>
  <c r="G153" i="3" s="1"/>
  <c r="G151" i="3" s="1"/>
  <c r="I151" i="3" s="1"/>
  <c r="G86" i="2" s="1"/>
  <c r="G44" i="4"/>
  <c r="I44" i="4" s="1"/>
  <c r="K44" i="4" s="1"/>
  <c r="G13" i="1" s="1"/>
  <c r="K13" i="1" s="1"/>
  <c r="G85" i="4"/>
  <c r="I85" i="4" s="1"/>
  <c r="K85" i="4" s="1"/>
  <c r="G18" i="1" s="1"/>
  <c r="K18" i="1" s="1"/>
  <c r="G473" i="5"/>
  <c r="I473" i="5" s="1"/>
  <c r="G22" i="2" s="1"/>
  <c r="F352" i="3"/>
  <c r="G352" i="3" s="1"/>
  <c r="F75" i="3"/>
  <c r="G75" i="3" s="1"/>
  <c r="G74" i="3" s="1"/>
  <c r="I74" i="3" s="1"/>
  <c r="F327" i="3"/>
  <c r="G327" i="3" s="1"/>
  <c r="F49" i="3"/>
  <c r="G49" i="3" s="1"/>
  <c r="G48" i="3" s="1"/>
  <c r="I48" i="3" s="1"/>
  <c r="G283" i="4"/>
  <c r="I283" i="4" s="1"/>
  <c r="K283" i="4" s="1"/>
  <c r="G28" i="1" s="1"/>
  <c r="K28" i="1" s="1"/>
  <c r="G58" i="4"/>
  <c r="I58" i="4" s="1"/>
  <c r="K58" i="4" s="1"/>
  <c r="G14" i="1" s="1"/>
  <c r="K14" i="1" s="1"/>
  <c r="G129" i="4"/>
  <c r="I129" i="4" s="1"/>
  <c r="K129" i="4" s="1"/>
  <c r="G37" i="1" s="1"/>
  <c r="K37" i="1" s="1"/>
  <c r="F289" i="3" s="1"/>
  <c r="G289" i="3" s="1"/>
  <c r="G878" i="3"/>
  <c r="I878" i="3" s="1"/>
  <c r="G92" i="2" s="1"/>
  <c r="G645" i="3"/>
  <c r="I645" i="3" s="1"/>
  <c r="G87" i="2" s="1"/>
  <c r="G309" i="5"/>
  <c r="I309" i="5" s="1"/>
  <c r="F249" i="5"/>
  <c r="G249" i="5" s="1"/>
  <c r="F255" i="5"/>
  <c r="G255" i="5" s="1"/>
  <c r="F155" i="5"/>
  <c r="G155" i="5" s="1"/>
  <c r="G254" i="4"/>
  <c r="I254" i="4" s="1"/>
  <c r="K254" i="4" s="1"/>
  <c r="G32" i="1" s="1"/>
  <c r="K32" i="1" s="1"/>
  <c r="F174" i="3" s="1"/>
  <c r="G174" i="3" s="1"/>
  <c r="G6" i="3"/>
  <c r="I6" i="3" s="1"/>
  <c r="G88" i="2" s="1"/>
  <c r="G237" i="4"/>
  <c r="I237" i="4" s="1"/>
  <c r="K237" i="4" s="1"/>
  <c r="G68" i="1" s="1"/>
  <c r="K68" i="1" s="1"/>
  <c r="G175" i="5"/>
  <c r="I175" i="5" s="1"/>
  <c r="G44" i="2" s="1"/>
  <c r="G530" i="3"/>
  <c r="I530" i="3" s="1"/>
  <c r="G548" i="3"/>
  <c r="F391" i="5"/>
  <c r="G391" i="5" s="1"/>
  <c r="G389" i="5" s="1"/>
  <c r="I389" i="5" s="1"/>
  <c r="F405" i="5"/>
  <c r="G405" i="5" s="1"/>
  <c r="F418" i="5"/>
  <c r="G418" i="5" s="1"/>
  <c r="G416" i="5" s="1"/>
  <c r="I416" i="5" s="1"/>
  <c r="G36" i="2" s="1"/>
  <c r="F364" i="5"/>
  <c r="G364" i="5" s="1"/>
  <c r="G362" i="5" s="1"/>
  <c r="I362" i="5" s="1"/>
  <c r="G34" i="2" s="1"/>
  <c r="F151" i="5"/>
  <c r="G151" i="5" s="1"/>
  <c r="G149" i="5" s="1"/>
  <c r="I149" i="5" s="1"/>
  <c r="G38" i="2" s="1"/>
  <c r="F131" i="5"/>
  <c r="G131" i="5" s="1"/>
  <c r="G129" i="5" s="1"/>
  <c r="I129" i="5" s="1"/>
  <c r="G32" i="2" s="1"/>
  <c r="F301" i="5"/>
  <c r="G301" i="5" s="1"/>
  <c r="G299" i="5" s="1"/>
  <c r="I299" i="5" s="1"/>
  <c r="G26" i="2" s="1"/>
  <c r="F111" i="5"/>
  <c r="G111" i="5" s="1"/>
  <c r="G108" i="5" s="1"/>
  <c r="I108" i="5" s="1"/>
  <c r="G59" i="2" s="1"/>
  <c r="F141" i="5"/>
  <c r="G141" i="5" s="1"/>
  <c r="G139" i="5" s="1"/>
  <c r="I139" i="5" s="1"/>
  <c r="G30" i="2" s="1"/>
  <c r="F116" i="5"/>
  <c r="G116" i="5" s="1"/>
  <c r="G113" i="5" s="1"/>
  <c r="I113" i="5" s="1"/>
  <c r="G58" i="2" s="1"/>
  <c r="G545" i="4"/>
  <c r="I545" i="4" s="1"/>
  <c r="K545" i="4" s="1"/>
  <c r="G40" i="1" s="1"/>
  <c r="K40" i="1" s="1"/>
  <c r="M8" i="2"/>
  <c r="N8" i="2" s="1"/>
  <c r="G263" i="4"/>
  <c r="I263" i="4" s="1"/>
  <c r="K263" i="4" s="1"/>
  <c r="G22" i="1" s="1"/>
  <c r="K22" i="1" s="1"/>
  <c r="G733" i="3"/>
  <c r="I733" i="3" s="1"/>
  <c r="G104" i="2" s="1"/>
  <c r="F321" i="5"/>
  <c r="G321" i="5" s="1"/>
  <c r="G320" i="5" s="1"/>
  <c r="I320" i="5" s="1"/>
  <c r="F254" i="5"/>
  <c r="G254" i="5" s="1"/>
  <c r="F397" i="5"/>
  <c r="G397" i="5" s="1"/>
  <c r="F105" i="5"/>
  <c r="G105" i="5" s="1"/>
  <c r="F101" i="5"/>
  <c r="G101" i="5" s="1"/>
  <c r="G100" i="5" s="1"/>
  <c r="I100" i="5" s="1"/>
  <c r="G50" i="2" s="1"/>
  <c r="F330" i="5"/>
  <c r="G330" i="5" s="1"/>
  <c r="F247" i="5"/>
  <c r="G247" i="5" s="1"/>
  <c r="F709" i="3"/>
  <c r="G709" i="3" s="1"/>
  <c r="G79" i="4"/>
  <c r="I79" i="4" s="1"/>
  <c r="K79" i="4" s="1"/>
  <c r="G17" i="1" s="1"/>
  <c r="K17" i="1" s="1"/>
  <c r="G295" i="4"/>
  <c r="I295" i="4" s="1"/>
  <c r="K295" i="4" s="1"/>
  <c r="G70" i="1" s="1"/>
  <c r="K70" i="1" s="1"/>
  <c r="F661" i="3"/>
  <c r="G661" i="3" s="1"/>
  <c r="F871" i="3"/>
  <c r="G871" i="3" s="1"/>
  <c r="F495" i="3"/>
  <c r="G495" i="3" s="1"/>
  <c r="G227" i="5"/>
  <c r="I227" i="5" s="1"/>
  <c r="G449" i="5"/>
  <c r="I449" i="5" s="1"/>
  <c r="G68" i="2" s="1"/>
  <c r="G584" i="4"/>
  <c r="I584" i="4" s="1"/>
  <c r="K584" i="4" s="1"/>
  <c r="G83" i="1" s="1"/>
  <c r="K83" i="1" s="1"/>
  <c r="F862" i="3" s="1"/>
  <c r="G862" i="3" s="1"/>
  <c r="G854" i="3" s="1"/>
  <c r="I854" i="3" s="1"/>
  <c r="G89" i="2" s="1"/>
  <c r="G74" i="5"/>
  <c r="I74" i="5" s="1"/>
  <c r="G5" i="2" s="1"/>
  <c r="G310" i="4"/>
  <c r="I310" i="4" s="1"/>
  <c r="K310" i="4" s="1"/>
  <c r="G72" i="1" s="1"/>
  <c r="K72" i="1" s="1"/>
  <c r="F964" i="3" s="1"/>
  <c r="G964" i="3" s="1"/>
  <c r="G378" i="4"/>
  <c r="I378" i="4" s="1"/>
  <c r="K378" i="4" s="1"/>
  <c r="G38" i="1" s="1"/>
  <c r="K38" i="1" s="1"/>
  <c r="G37" i="4"/>
  <c r="I37" i="4" s="1"/>
  <c r="K37" i="4" s="1"/>
  <c r="G12" i="1" s="1"/>
  <c r="K12" i="1" s="1"/>
  <c r="F141" i="3" s="1"/>
  <c r="G141" i="3" s="1"/>
  <c r="G140" i="3" s="1"/>
  <c r="I140" i="3" s="1"/>
  <c r="G143" i="2" s="1"/>
  <c r="G983" i="3"/>
  <c r="I983" i="3" s="1"/>
  <c r="G136" i="2" s="1"/>
  <c r="I66" i="2"/>
  <c r="J66" i="2" s="1"/>
  <c r="M66" i="2"/>
  <c r="N66" i="2" s="1"/>
  <c r="F602" i="3"/>
  <c r="G602" i="3" s="1"/>
  <c r="F562" i="3"/>
  <c r="G562" i="3" s="1"/>
  <c r="G561" i="3" s="1"/>
  <c r="I561" i="3" s="1"/>
  <c r="G139" i="2" s="1"/>
  <c r="M60" i="2"/>
  <c r="N60" i="2" s="1"/>
  <c r="I60" i="2"/>
  <c r="J60" i="2" s="1"/>
  <c r="F315" i="3"/>
  <c r="G315" i="3" s="1"/>
  <c r="F339" i="3"/>
  <c r="G339" i="3" s="1"/>
  <c r="F62" i="3"/>
  <c r="G62" i="3" s="1"/>
  <c r="G61" i="3" s="1"/>
  <c r="I61" i="3" s="1"/>
  <c r="G137" i="2" s="1"/>
  <c r="F36" i="3"/>
  <c r="G36" i="3" s="1"/>
  <c r="G35" i="3" s="1"/>
  <c r="I35" i="3" s="1"/>
  <c r="G138" i="2" s="1"/>
  <c r="G179" i="3"/>
  <c r="I179" i="3" s="1"/>
  <c r="G85" i="2" s="1"/>
  <c r="G333" i="4"/>
  <c r="I333" i="4" s="1"/>
  <c r="K333" i="4" s="1"/>
  <c r="G71" i="1" s="1"/>
  <c r="K71" i="1" s="1"/>
  <c r="F666" i="3" s="1"/>
  <c r="G666" i="3" s="1"/>
  <c r="G590" i="4"/>
  <c r="I590" i="4" s="1"/>
  <c r="K590" i="4" s="1"/>
  <c r="G84" i="1" s="1"/>
  <c r="K84" i="1" s="1"/>
  <c r="F865" i="3" s="1"/>
  <c r="G865" i="3" s="1"/>
  <c r="G243" i="4"/>
  <c r="I243" i="4" s="1"/>
  <c r="K243" i="4" s="1"/>
  <c r="G69" i="1" s="1"/>
  <c r="K69" i="1" s="1"/>
  <c r="F527" i="3" s="1"/>
  <c r="G527" i="3" s="1"/>
  <c r="G519" i="3" s="1"/>
  <c r="I519" i="3" s="1"/>
  <c r="G74" i="4"/>
  <c r="I74" i="4" s="1"/>
  <c r="K74" i="4" s="1"/>
  <c r="G15" i="1" s="1"/>
  <c r="K15" i="1" s="1"/>
  <c r="G208" i="5"/>
  <c r="I208" i="5" s="1"/>
  <c r="G12" i="2" s="1"/>
  <c r="F374" i="5"/>
  <c r="G374" i="5" s="1"/>
  <c r="G372" i="5" s="1"/>
  <c r="I372" i="5" s="1"/>
  <c r="F329" i="5"/>
  <c r="G329" i="5" s="1"/>
  <c r="F526" i="5"/>
  <c r="G526" i="5" s="1"/>
  <c r="F457" i="5"/>
  <c r="G457" i="5" s="1"/>
  <c r="G454" i="5" s="1"/>
  <c r="I454" i="5" s="1"/>
  <c r="G61" i="2" s="1"/>
  <c r="F379" i="5"/>
  <c r="G379" i="5" s="1"/>
  <c r="G377" i="5" s="1"/>
  <c r="I377" i="5" s="1"/>
  <c r="F501" i="5"/>
  <c r="G501" i="5" s="1"/>
  <c r="G498" i="5" s="1"/>
  <c r="I498" i="5" s="1"/>
  <c r="G64" i="2" s="1"/>
  <c r="F534" i="5"/>
  <c r="G534" i="5" s="1"/>
  <c r="G533" i="5" s="1"/>
  <c r="I533" i="5" s="1"/>
  <c r="G79" i="2" s="1"/>
  <c r="F495" i="5"/>
  <c r="G495" i="5" s="1"/>
  <c r="G492" i="5" s="1"/>
  <c r="I492" i="5" s="1"/>
  <c r="G63" i="2" s="1"/>
  <c r="F436" i="5"/>
  <c r="G436" i="5" s="1"/>
  <c r="G434" i="5" s="1"/>
  <c r="I434" i="5" s="1"/>
  <c r="G62" i="2" s="1"/>
  <c r="F404" i="5"/>
  <c r="G404" i="5" s="1"/>
  <c r="G344" i="4"/>
  <c r="I344" i="4" s="1"/>
  <c r="K344" i="4" s="1"/>
  <c r="G77" i="1" s="1"/>
  <c r="K77" i="1" s="1"/>
  <c r="G212" i="4"/>
  <c r="I212" i="4" s="1"/>
  <c r="K212" i="4" s="1"/>
  <c r="G67" i="1" s="1"/>
  <c r="K67" i="1" s="1"/>
  <c r="G613" i="4"/>
  <c r="I613" i="4" s="1"/>
  <c r="K613" i="4" s="1"/>
  <c r="G88" i="1" s="1"/>
  <c r="K88" i="1" s="1"/>
  <c r="F619" i="4" s="1"/>
  <c r="G619" i="4" s="1"/>
  <c r="G617" i="4" s="1"/>
  <c r="I617" i="4" s="1"/>
  <c r="K617" i="4" s="1"/>
  <c r="G87" i="1" s="1"/>
  <c r="K87" i="1" s="1"/>
  <c r="G249" i="4"/>
  <c r="I249" i="4" s="1"/>
  <c r="K249" i="4" s="1"/>
  <c r="G34" i="1" s="1"/>
  <c r="K34" i="1" s="1"/>
  <c r="G26" i="3"/>
  <c r="I26" i="3" s="1"/>
  <c r="G84" i="2" s="1"/>
  <c r="G28" i="4"/>
  <c r="I28" i="4" s="1"/>
  <c r="K28" i="4" s="1"/>
  <c r="G11" i="1" s="1"/>
  <c r="K11" i="1" s="1"/>
  <c r="F133" i="3" s="1"/>
  <c r="G133" i="3" s="1"/>
  <c r="G132" i="3" s="1"/>
  <c r="I132" i="3" s="1"/>
  <c r="G352" i="4"/>
  <c r="I352" i="4" s="1"/>
  <c r="K352" i="4" s="1"/>
  <c r="G75" i="1" s="1"/>
  <c r="K75" i="1" s="1"/>
  <c r="F679" i="3" s="1"/>
  <c r="G679" i="3" s="1"/>
  <c r="G554" i="3"/>
  <c r="I554" i="3" s="1"/>
  <c r="G21" i="1" s="1"/>
  <c r="K21" i="1" s="1"/>
  <c r="G890" i="3"/>
  <c r="I890" i="3" s="1"/>
  <c r="G133" i="2" s="1"/>
  <c r="G238" i="5"/>
  <c r="I238" i="5" s="1"/>
  <c r="L28" i="4"/>
  <c r="L37" i="4"/>
  <c r="G305" i="5"/>
  <c r="I305" i="5" s="1"/>
  <c r="G365" i="4"/>
  <c r="I365" i="4" s="1"/>
  <c r="K365" i="4" s="1"/>
  <c r="G76" i="1" s="1"/>
  <c r="K76" i="1" s="1"/>
  <c r="F691" i="3" s="1"/>
  <c r="G691" i="3" s="1"/>
  <c r="M70" i="2"/>
  <c r="N70" i="2" s="1"/>
  <c r="I70" i="2"/>
  <c r="J70" i="2" s="1"/>
  <c r="G318" i="4"/>
  <c r="I318" i="4" s="1"/>
  <c r="K318" i="4" s="1"/>
  <c r="G78" i="1" s="1"/>
  <c r="K78" i="1" s="1"/>
  <c r="G81" i="5"/>
  <c r="I81" i="5" s="1"/>
  <c r="G17" i="4"/>
  <c r="I17" i="4" s="1"/>
  <c r="K17" i="4" s="1"/>
  <c r="G10" i="1" s="1"/>
  <c r="K10" i="1" s="1"/>
  <c r="G111" i="4"/>
  <c r="I111" i="4" s="1"/>
  <c r="K111" i="4" s="1"/>
  <c r="G33" i="1" s="1"/>
  <c r="K33" i="1" s="1"/>
  <c r="G119" i="4"/>
  <c r="I119" i="4" s="1"/>
  <c r="K119" i="4" s="1"/>
  <c r="G35" i="1" s="1"/>
  <c r="K35" i="1" s="1"/>
  <c r="G223" i="5"/>
  <c r="I223" i="5" s="1"/>
  <c r="G6" i="4"/>
  <c r="I6" i="4" s="1"/>
  <c r="K6" i="4" s="1"/>
  <c r="G9" i="1" s="1"/>
  <c r="K9" i="1" s="1"/>
  <c r="G549" i="3"/>
  <c r="I549" i="3" s="1"/>
  <c r="G19" i="1" s="1"/>
  <c r="K19" i="1" s="1"/>
  <c r="F866" i="3" s="1"/>
  <c r="G866" i="3" s="1"/>
  <c r="D558" i="4"/>
  <c r="L558" i="4" s="1"/>
  <c r="L561" i="4"/>
  <c r="G565" i="4"/>
  <c r="I565" i="4" s="1"/>
  <c r="K565" i="4" s="1"/>
  <c r="G82" i="1" s="1"/>
  <c r="K82" i="1" s="1"/>
  <c r="F849" i="3" s="1"/>
  <c r="G849" i="3" s="1"/>
  <c r="G288" i="5"/>
  <c r="I288" i="5" s="1"/>
  <c r="G18" i="2" s="1"/>
  <c r="G169" i="4"/>
  <c r="I169" i="4" s="1"/>
  <c r="K169" i="4" s="1"/>
  <c r="G62" i="1" s="1"/>
  <c r="K62" i="1" s="1"/>
  <c r="G741" i="3"/>
  <c r="I741" i="3" s="1"/>
  <c r="G102" i="2" s="1"/>
  <c r="F948" i="3"/>
  <c r="G948" i="3" s="1"/>
  <c r="F897" i="3"/>
  <c r="G897" i="3" s="1"/>
  <c r="F819" i="3"/>
  <c r="G819" i="3" s="1"/>
  <c r="F804" i="3"/>
  <c r="G804" i="3" s="1"/>
  <c r="F373" i="3"/>
  <c r="G373" i="3" s="1"/>
  <c r="F834" i="3"/>
  <c r="G834" i="3" s="1"/>
  <c r="G270" i="5"/>
  <c r="I270" i="5" s="1"/>
  <c r="F530" i="5"/>
  <c r="G530" i="5" s="1"/>
  <c r="F399" i="5"/>
  <c r="G399" i="5" s="1"/>
  <c r="F158" i="5"/>
  <c r="G158" i="5" s="1"/>
  <c r="F350" i="5"/>
  <c r="G350" i="5" s="1"/>
  <c r="G347" i="5" s="1"/>
  <c r="I347" i="5" s="1"/>
  <c r="G48" i="2" s="1"/>
  <c r="F251" i="5"/>
  <c r="G251" i="5" s="1"/>
  <c r="F360" i="5"/>
  <c r="G360" i="5" s="1"/>
  <c r="G354" i="5" s="1"/>
  <c r="I354" i="5" s="1"/>
  <c r="G46" i="2" s="1"/>
  <c r="F165" i="5"/>
  <c r="G165" i="5" s="1"/>
  <c r="G161" i="5" s="1"/>
  <c r="I161" i="5" s="1"/>
  <c r="G57" i="2" s="1"/>
  <c r="F385" i="5"/>
  <c r="G385" i="5" s="1"/>
  <c r="G382" i="5" s="1"/>
  <c r="I382" i="5" s="1"/>
  <c r="F519" i="5"/>
  <c r="G519" i="5" s="1"/>
  <c r="F13" i="5"/>
  <c r="G13" i="5" s="1"/>
  <c r="G11" i="5" s="1"/>
  <c r="I11" i="5" s="1"/>
  <c r="G6" i="2" s="1"/>
  <c r="F184" i="5"/>
  <c r="G184" i="5" s="1"/>
  <c r="G182" i="5" s="1"/>
  <c r="I182" i="5" s="1"/>
  <c r="G45" i="2" s="1"/>
  <c r="F106" i="5"/>
  <c r="G106" i="5" s="1"/>
  <c r="F710" i="3"/>
  <c r="G710" i="3" s="1"/>
  <c r="G934" i="3"/>
  <c r="I934" i="3" s="1"/>
  <c r="G103" i="2" s="1"/>
  <c r="G538" i="4"/>
  <c r="I538" i="4" s="1"/>
  <c r="K538" i="4" s="1"/>
  <c r="G39" i="1" s="1"/>
  <c r="K39" i="1" s="1"/>
  <c r="F189" i="3" s="1"/>
  <c r="G189" i="3" s="1"/>
  <c r="G188" i="3" s="1"/>
  <c r="I188" i="3" s="1"/>
  <c r="G109" i="2" s="1"/>
  <c r="G749" i="3"/>
  <c r="I749" i="3" s="1"/>
  <c r="G101" i="2" s="1"/>
  <c r="I13" i="2" l="1"/>
  <c r="J13" i="2" s="1"/>
  <c r="M29" i="2"/>
  <c r="N29" i="2" s="1"/>
  <c r="F514" i="3"/>
  <c r="G514" i="3" s="1"/>
  <c r="F478" i="3"/>
  <c r="G478" i="3" s="1"/>
  <c r="F256" i="5"/>
  <c r="G256" i="5" s="1"/>
  <c r="F505" i="3"/>
  <c r="G505" i="3" s="1"/>
  <c r="F451" i="3"/>
  <c r="G451" i="3" s="1"/>
  <c r="F704" i="3"/>
  <c r="G704" i="3" s="1"/>
  <c r="F487" i="3"/>
  <c r="G487" i="3" s="1"/>
  <c r="F469" i="3"/>
  <c r="G469" i="3" s="1"/>
  <c r="I10" i="2"/>
  <c r="J10" i="2" s="1"/>
  <c r="I20" i="2"/>
  <c r="J20" i="2" s="1"/>
  <c r="M14" i="2"/>
  <c r="N14" i="2" s="1"/>
  <c r="F515" i="3"/>
  <c r="G515" i="3" s="1"/>
  <c r="I69" i="2"/>
  <c r="J69" i="2" s="1"/>
  <c r="F582" i="3"/>
  <c r="G582" i="3" s="1"/>
  <c r="F258" i="3"/>
  <c r="G258" i="3" s="1"/>
  <c r="F277" i="3"/>
  <c r="G277" i="3" s="1"/>
  <c r="F631" i="3"/>
  <c r="G631" i="3" s="1"/>
  <c r="F683" i="3"/>
  <c r="G683" i="3" s="1"/>
  <c r="F665" i="3"/>
  <c r="G665" i="3" s="1"/>
  <c r="F705" i="3"/>
  <c r="G705" i="3" s="1"/>
  <c r="F493" i="3"/>
  <c r="G493" i="3" s="1"/>
  <c r="I134" i="2"/>
  <c r="J134" i="2" s="1"/>
  <c r="F117" i="3"/>
  <c r="G117" i="3" s="1"/>
  <c r="G113" i="3" s="1"/>
  <c r="I113" i="3" s="1"/>
  <c r="G114" i="2" s="1"/>
  <c r="I114" i="2" s="1"/>
  <c r="J114" i="2" s="1"/>
  <c r="F782" i="3"/>
  <c r="G782" i="3" s="1"/>
  <c r="F713" i="3"/>
  <c r="G713" i="3" s="1"/>
  <c r="F89" i="3"/>
  <c r="G89" i="3" s="1"/>
  <c r="F656" i="3"/>
  <c r="G656" i="3" s="1"/>
  <c r="F690" i="3"/>
  <c r="G690" i="3" s="1"/>
  <c r="G689" i="3" s="1"/>
  <c r="I689" i="3" s="1"/>
  <c r="G116" i="2" s="1"/>
  <c r="F461" i="3"/>
  <c r="G461" i="3" s="1"/>
  <c r="F365" i="3"/>
  <c r="G365" i="3" s="1"/>
  <c r="F470" i="3"/>
  <c r="G470" i="3" s="1"/>
  <c r="G517" i="5"/>
  <c r="I517" i="5" s="1"/>
  <c r="G78" i="2" s="1"/>
  <c r="I78" i="2" s="1"/>
  <c r="J78" i="2" s="1"/>
  <c r="F149" i="3"/>
  <c r="G149" i="3" s="1"/>
  <c r="G148" i="3" s="1"/>
  <c r="I148" i="3" s="1"/>
  <c r="G144" i="2" s="1"/>
  <c r="M144" i="2" s="1"/>
  <c r="N144" i="2" s="1"/>
  <c r="F923" i="3"/>
  <c r="G923" i="3" s="1"/>
  <c r="F223" i="3"/>
  <c r="G223" i="3" s="1"/>
  <c r="F762" i="3"/>
  <c r="G762" i="3" s="1"/>
  <c r="F895" i="3"/>
  <c r="G895" i="3" s="1"/>
  <c r="F594" i="3"/>
  <c r="G594" i="3" s="1"/>
  <c r="F773" i="3"/>
  <c r="G773" i="3" s="1"/>
  <c r="F590" i="3"/>
  <c r="G590" i="3" s="1"/>
  <c r="F990" i="3"/>
  <c r="G990" i="3" s="1"/>
  <c r="F274" i="3"/>
  <c r="G274" i="3" s="1"/>
  <c r="F418" i="3"/>
  <c r="G418" i="3" s="1"/>
  <c r="F102" i="3"/>
  <c r="G102" i="3" s="1"/>
  <c r="F672" i="3"/>
  <c r="G672" i="3" s="1"/>
  <c r="F506" i="3"/>
  <c r="G506" i="3" s="1"/>
  <c r="F793" i="3"/>
  <c r="G793" i="3" s="1"/>
  <c r="F572" i="3"/>
  <c r="G572" i="3" s="1"/>
  <c r="F848" i="3"/>
  <c r="G848" i="3" s="1"/>
  <c r="F968" i="3"/>
  <c r="G968" i="3" s="1"/>
  <c r="F304" i="3"/>
  <c r="G304" i="3" s="1"/>
  <c r="G403" i="5"/>
  <c r="I403" i="5" s="1"/>
  <c r="I404" i="5" s="1"/>
  <c r="F239" i="3"/>
  <c r="G239" i="3" s="1"/>
  <c r="F479" i="3"/>
  <c r="G479" i="3" s="1"/>
  <c r="F696" i="3"/>
  <c r="G696" i="3" s="1"/>
  <c r="F909" i="3"/>
  <c r="G909" i="3" s="1"/>
  <c r="F869" i="3"/>
  <c r="G869" i="3" s="1"/>
  <c r="F967" i="3"/>
  <c r="G967" i="3" s="1"/>
  <c r="F578" i="3"/>
  <c r="G578" i="3" s="1"/>
  <c r="F259" i="3"/>
  <c r="G259" i="3" s="1"/>
  <c r="F764" i="3"/>
  <c r="G764" i="3" s="1"/>
  <c r="F220" i="3"/>
  <c r="G220" i="3" s="1"/>
  <c r="F241" i="3"/>
  <c r="G241" i="3" s="1"/>
  <c r="F727" i="3"/>
  <c r="G727" i="3" s="1"/>
  <c r="F452" i="3"/>
  <c r="G452" i="3" s="1"/>
  <c r="F488" i="3"/>
  <c r="G488" i="3" s="1"/>
  <c r="F406" i="3"/>
  <c r="G406" i="3" s="1"/>
  <c r="I83" i="2"/>
  <c r="J83" i="2" s="1"/>
  <c r="M40" i="2"/>
  <c r="N40" i="2" s="1"/>
  <c r="M15" i="2"/>
  <c r="N15" i="2" s="1"/>
  <c r="M11" i="2"/>
  <c r="N11" i="2" s="1"/>
  <c r="M41" i="2"/>
  <c r="N41" i="2" s="1"/>
  <c r="F657" i="3"/>
  <c r="G657" i="3" s="1"/>
  <c r="F728" i="3"/>
  <c r="G728" i="3" s="1"/>
  <c r="F494" i="3"/>
  <c r="G494" i="3" s="1"/>
  <c r="F485" i="3"/>
  <c r="G485" i="3" s="1"/>
  <c r="I24" i="2"/>
  <c r="J24" i="2" s="1"/>
  <c r="F774" i="3"/>
  <c r="G774" i="3" s="1"/>
  <c r="F784" i="3"/>
  <c r="G784" i="3" s="1"/>
  <c r="F958" i="3"/>
  <c r="G958" i="3" s="1"/>
  <c r="G957" i="3" s="1"/>
  <c r="I957" i="3" s="1"/>
  <c r="G91" i="2" s="1"/>
  <c r="F925" i="3"/>
  <c r="G925" i="3" s="1"/>
  <c r="F291" i="3"/>
  <c r="G291" i="3" s="1"/>
  <c r="F701" i="3"/>
  <c r="G701" i="3" s="1"/>
  <c r="F673" i="3"/>
  <c r="G673" i="3" s="1"/>
  <c r="M100" i="2"/>
  <c r="N100" i="2" s="1"/>
  <c r="M65" i="2"/>
  <c r="N65" i="2" s="1"/>
  <c r="F870" i="3"/>
  <c r="G870" i="3" s="1"/>
  <c r="F900" i="3"/>
  <c r="G900" i="3" s="1"/>
  <c r="I142" i="2"/>
  <c r="J142" i="2" s="1"/>
  <c r="F449" i="3"/>
  <c r="G449" i="3" s="1"/>
  <c r="F467" i="3"/>
  <c r="G467" i="3" s="1"/>
  <c r="G104" i="5"/>
  <c r="I104" i="5" s="1"/>
  <c r="G49" i="2" s="1"/>
  <c r="I49" i="2" s="1"/>
  <c r="J49" i="2" s="1"/>
  <c r="F503" i="3"/>
  <c r="G503" i="3" s="1"/>
  <c r="G246" i="5"/>
  <c r="I246" i="5" s="1"/>
  <c r="G52" i="2" s="1"/>
  <c r="I52" i="2" s="1"/>
  <c r="J52" i="2" s="1"/>
  <c r="I36" i="2"/>
  <c r="J36" i="2" s="1"/>
  <c r="M36" i="2"/>
  <c r="N36" i="2" s="1"/>
  <c r="I63" i="2"/>
  <c r="J63" i="2" s="1"/>
  <c r="M63" i="2"/>
  <c r="N63" i="2" s="1"/>
  <c r="M58" i="2"/>
  <c r="N58" i="2" s="1"/>
  <c r="I58" i="2"/>
  <c r="J58" i="2" s="1"/>
  <c r="M57" i="2"/>
  <c r="N57" i="2" s="1"/>
  <c r="I57" i="2"/>
  <c r="J57" i="2" s="1"/>
  <c r="M39" i="2"/>
  <c r="N39" i="2" s="1"/>
  <c r="I39" i="2"/>
  <c r="J39" i="2" s="1"/>
  <c r="M59" i="2"/>
  <c r="N59" i="2" s="1"/>
  <c r="I59" i="2"/>
  <c r="J59" i="2" s="1"/>
  <c r="I43" i="2"/>
  <c r="J43" i="2" s="1"/>
  <c r="M43" i="2"/>
  <c r="N43" i="2" s="1"/>
  <c r="I26" i="2"/>
  <c r="J26" i="2" s="1"/>
  <c r="M26" i="2"/>
  <c r="N26" i="2" s="1"/>
  <c r="I86" i="2"/>
  <c r="J86" i="2" s="1"/>
  <c r="M86" i="2"/>
  <c r="N86" i="2" s="1"/>
  <c r="M21" i="2"/>
  <c r="N21" i="2" s="1"/>
  <c r="I21" i="2"/>
  <c r="J21" i="2" s="1"/>
  <c r="M32" i="2"/>
  <c r="N32" i="2" s="1"/>
  <c r="I32" i="2"/>
  <c r="J32" i="2" s="1"/>
  <c r="I48" i="2"/>
  <c r="J48" i="2" s="1"/>
  <c r="M48" i="2"/>
  <c r="N48" i="2" s="1"/>
  <c r="M38" i="2"/>
  <c r="N38" i="2" s="1"/>
  <c r="I38" i="2"/>
  <c r="J38" i="2" s="1"/>
  <c r="I35" i="2"/>
  <c r="J35" i="2" s="1"/>
  <c r="M35" i="2"/>
  <c r="N35" i="2" s="1"/>
  <c r="M6" i="2"/>
  <c r="N6" i="2" s="1"/>
  <c r="I6" i="2"/>
  <c r="I101" i="2"/>
  <c r="J101" i="2" s="1"/>
  <c r="M101" i="2"/>
  <c r="N101" i="2" s="1"/>
  <c r="M7" i="2"/>
  <c r="N7" i="2" s="1"/>
  <c r="I7" i="2"/>
  <c r="J7" i="2" s="1"/>
  <c r="I84" i="2"/>
  <c r="J84" i="2" s="1"/>
  <c r="M84" i="2"/>
  <c r="N84" i="2" s="1"/>
  <c r="M12" i="2"/>
  <c r="N12" i="2" s="1"/>
  <c r="I12" i="2"/>
  <c r="J12" i="2" s="1"/>
  <c r="G864" i="3"/>
  <c r="I864" i="3" s="1"/>
  <c r="G90" i="2" s="1"/>
  <c r="M143" i="2"/>
  <c r="N143" i="2" s="1"/>
  <c r="I143" i="2"/>
  <c r="J143" i="2" s="1"/>
  <c r="M68" i="2"/>
  <c r="N68" i="2" s="1"/>
  <c r="I68" i="2"/>
  <c r="J68" i="2" s="1"/>
  <c r="I104" i="2"/>
  <c r="J104" i="2" s="1"/>
  <c r="M104" i="2"/>
  <c r="N104" i="2" s="1"/>
  <c r="M30" i="2"/>
  <c r="N30" i="2" s="1"/>
  <c r="I30" i="2"/>
  <c r="J30" i="2" s="1"/>
  <c r="I87" i="2"/>
  <c r="J87" i="2" s="1"/>
  <c r="M87" i="2"/>
  <c r="N87" i="2" s="1"/>
  <c r="M17" i="2"/>
  <c r="N17" i="2" s="1"/>
  <c r="I17" i="2"/>
  <c r="J17" i="2" s="1"/>
  <c r="I16" i="2"/>
  <c r="J16" i="2" s="1"/>
  <c r="M16" i="2"/>
  <c r="N16" i="2" s="1"/>
  <c r="M109" i="2"/>
  <c r="N109" i="2" s="1"/>
  <c r="I109" i="2"/>
  <c r="J109" i="2" s="1"/>
  <c r="I133" i="2"/>
  <c r="J133" i="2" s="1"/>
  <c r="M133" i="2"/>
  <c r="N133" i="2" s="1"/>
  <c r="M46" i="2"/>
  <c r="N46" i="2" s="1"/>
  <c r="I46" i="2"/>
  <c r="J46" i="2" s="1"/>
  <c r="I79" i="2"/>
  <c r="J79" i="2" s="1"/>
  <c r="M79" i="2"/>
  <c r="N79" i="2" s="1"/>
  <c r="F424" i="4"/>
  <c r="G424" i="4" s="1"/>
  <c r="G407" i="4" s="1"/>
  <c r="I407" i="4" s="1"/>
  <c r="K407" i="4" s="1"/>
  <c r="F514" i="4"/>
  <c r="G514" i="4" s="1"/>
  <c r="G497" i="4" s="1"/>
  <c r="I497" i="4" s="1"/>
  <c r="K497" i="4" s="1"/>
  <c r="F478" i="4"/>
  <c r="G478" i="4" s="1"/>
  <c r="G461" i="4" s="1"/>
  <c r="I461" i="4" s="1"/>
  <c r="K461" i="4" s="1"/>
  <c r="F442" i="4"/>
  <c r="G442" i="4" s="1"/>
  <c r="G425" i="4" s="1"/>
  <c r="I425" i="4" s="1"/>
  <c r="K425" i="4" s="1"/>
  <c r="F406" i="4"/>
  <c r="G406" i="4" s="1"/>
  <c r="G389" i="4" s="1"/>
  <c r="I389" i="4" s="1"/>
  <c r="K389" i="4" s="1"/>
  <c r="F460" i="4"/>
  <c r="G460" i="4" s="1"/>
  <c r="G443" i="4" s="1"/>
  <c r="I443" i="4" s="1"/>
  <c r="K443" i="4" s="1"/>
  <c r="F496" i="4"/>
  <c r="G496" i="4" s="1"/>
  <c r="G479" i="4" s="1"/>
  <c r="I479" i="4" s="1"/>
  <c r="K479" i="4" s="1"/>
  <c r="F575" i="3"/>
  <c r="G575" i="3" s="1"/>
  <c r="F717" i="3"/>
  <c r="G717" i="3" s="1"/>
  <c r="M37" i="2"/>
  <c r="N37" i="2" s="1"/>
  <c r="I37" i="2"/>
  <c r="J37" i="2" s="1"/>
  <c r="M45" i="2"/>
  <c r="N45" i="2" s="1"/>
  <c r="I45" i="2"/>
  <c r="J45" i="2" s="1"/>
  <c r="I61" i="2"/>
  <c r="J61" i="2" s="1"/>
  <c r="M61" i="2"/>
  <c r="N61" i="2" s="1"/>
  <c r="I92" i="2"/>
  <c r="J92" i="2" s="1"/>
  <c r="M92" i="2"/>
  <c r="N92" i="2" s="1"/>
  <c r="F328" i="3"/>
  <c r="G328" i="3" s="1"/>
  <c r="G326" i="3" s="1"/>
  <c r="I326" i="3" s="1"/>
  <c r="F605" i="3"/>
  <c r="G605" i="3" s="1"/>
  <c r="G601" i="3" s="1"/>
  <c r="I601" i="3" s="1"/>
  <c r="G140" i="2" s="1"/>
  <c r="F316" i="3"/>
  <c r="G316" i="3" s="1"/>
  <c r="G314" i="3" s="1"/>
  <c r="I314" i="3" s="1"/>
  <c r="F159" i="3"/>
  <c r="G159" i="3" s="1"/>
  <c r="G157" i="3" s="1"/>
  <c r="I157" i="3" s="1"/>
  <c r="G82" i="2" s="1"/>
  <c r="F166" i="3"/>
  <c r="G166" i="3" s="1"/>
  <c r="G164" i="3" s="1"/>
  <c r="I164" i="3" s="1"/>
  <c r="I103" i="2"/>
  <c r="J103" i="2" s="1"/>
  <c r="M103" i="2"/>
  <c r="N103" i="2" s="1"/>
  <c r="M9" i="2"/>
  <c r="N9" i="2" s="1"/>
  <c r="I9" i="2"/>
  <c r="J9" i="2" s="1"/>
  <c r="F573" i="3"/>
  <c r="G573" i="3" s="1"/>
  <c r="F419" i="3"/>
  <c r="G419" i="3" s="1"/>
  <c r="F240" i="3"/>
  <c r="G240" i="3" s="1"/>
  <c r="F103" i="3"/>
  <c r="G103" i="3" s="1"/>
  <c r="F90" i="3"/>
  <c r="G90" i="3" s="1"/>
  <c r="F407" i="3"/>
  <c r="G407" i="3" s="1"/>
  <c r="F276" i="3"/>
  <c r="G276" i="3" s="1"/>
  <c r="I139" i="2"/>
  <c r="J139" i="2" s="1"/>
  <c r="M139" i="2"/>
  <c r="N139" i="2" s="1"/>
  <c r="F703" i="3"/>
  <c r="G703" i="3" s="1"/>
  <c r="F486" i="3"/>
  <c r="G486" i="3" s="1"/>
  <c r="F459" i="3"/>
  <c r="G459" i="3" s="1"/>
  <c r="F697" i="3"/>
  <c r="G697" i="3" s="1"/>
  <c r="F504" i="3"/>
  <c r="G504" i="3" s="1"/>
  <c r="F450" i="3"/>
  <c r="G450" i="3" s="1"/>
  <c r="F468" i="3"/>
  <c r="G468" i="3" s="1"/>
  <c r="F477" i="3"/>
  <c r="G477" i="3" s="1"/>
  <c r="F513" i="3"/>
  <c r="G513" i="3" s="1"/>
  <c r="M88" i="2"/>
  <c r="N88" i="2" s="1"/>
  <c r="I88" i="2"/>
  <c r="J88" i="2" s="1"/>
  <c r="I64" i="2"/>
  <c r="J64" i="2" s="1"/>
  <c r="M64" i="2"/>
  <c r="N64" i="2" s="1"/>
  <c r="I85" i="2"/>
  <c r="J85" i="2" s="1"/>
  <c r="M85" i="2"/>
  <c r="N85" i="2" s="1"/>
  <c r="I50" i="2"/>
  <c r="J50" i="2" s="1"/>
  <c r="M50" i="2"/>
  <c r="N50" i="2" s="1"/>
  <c r="M23" i="2"/>
  <c r="N23" i="2" s="1"/>
  <c r="I23" i="2"/>
  <c r="J23" i="2" s="1"/>
  <c r="I33" i="2"/>
  <c r="J33" i="2" s="1"/>
  <c r="M33" i="2"/>
  <c r="N33" i="2" s="1"/>
  <c r="F642" i="3"/>
  <c r="G642" i="3" s="1"/>
  <c r="F445" i="3"/>
  <c r="G445" i="3" s="1"/>
  <c r="G429" i="3" s="1"/>
  <c r="I429" i="3" s="1"/>
  <c r="F367" i="3"/>
  <c r="G367" i="3" s="1"/>
  <c r="L139" i="4"/>
  <c r="I27" i="2"/>
  <c r="J27" i="2" s="1"/>
  <c r="M27" i="2"/>
  <c r="N27" i="2" s="1"/>
  <c r="I47" i="2"/>
  <c r="J47" i="2" s="1"/>
  <c r="M47" i="2"/>
  <c r="N47" i="2" s="1"/>
  <c r="I34" i="2"/>
  <c r="J34" i="2" s="1"/>
  <c r="M34" i="2"/>
  <c r="N34" i="2" s="1"/>
  <c r="F448" i="3"/>
  <c r="G448" i="3" s="1"/>
  <c r="F457" i="3"/>
  <c r="G457" i="3" s="1"/>
  <c r="M89" i="2"/>
  <c r="N89" i="2" s="1"/>
  <c r="I89" i="2"/>
  <c r="J89" i="2" s="1"/>
  <c r="I138" i="2"/>
  <c r="J138" i="2" s="1"/>
  <c r="M138" i="2"/>
  <c r="N138" i="2" s="1"/>
  <c r="M19" i="2"/>
  <c r="N19" i="2" s="1"/>
  <c r="I19" i="2"/>
  <c r="J19" i="2" s="1"/>
  <c r="G154" i="5"/>
  <c r="I154" i="5" s="1"/>
  <c r="G56" i="2" s="1"/>
  <c r="M22" i="2"/>
  <c r="N22" i="2" s="1"/>
  <c r="I22" i="2"/>
  <c r="J22" i="2" s="1"/>
  <c r="F175" i="3"/>
  <c r="G175" i="3" s="1"/>
  <c r="G172" i="3" s="1"/>
  <c r="I172" i="3" s="1"/>
  <c r="F359" i="3"/>
  <c r="G359" i="3" s="1"/>
  <c r="G351" i="3" s="1"/>
  <c r="I351" i="3" s="1"/>
  <c r="F346" i="3"/>
  <c r="G346" i="3" s="1"/>
  <c r="G338" i="3" s="1"/>
  <c r="I338" i="3" s="1"/>
  <c r="M135" i="2"/>
  <c r="N135" i="2" s="1"/>
  <c r="I135" i="2"/>
  <c r="J135" i="2" s="1"/>
  <c r="G816" i="3"/>
  <c r="I816" i="3" s="1"/>
  <c r="G131" i="2" s="1"/>
  <c r="I102" i="2"/>
  <c r="J102" i="2" s="1"/>
  <c r="M102" i="2"/>
  <c r="N102" i="2" s="1"/>
  <c r="F420" i="3"/>
  <c r="G420" i="3" s="1"/>
  <c r="F408" i="3"/>
  <c r="G408" i="3" s="1"/>
  <c r="F104" i="3"/>
  <c r="G104" i="3" s="1"/>
  <c r="F91" i="3"/>
  <c r="G91" i="3" s="1"/>
  <c r="G525" i="5"/>
  <c r="I525" i="5" s="1"/>
  <c r="G80" i="2" s="1"/>
  <c r="F580" i="3"/>
  <c r="G580" i="3" s="1"/>
  <c r="F592" i="3"/>
  <c r="G592" i="3" s="1"/>
  <c r="F275" i="3"/>
  <c r="G275" i="3" s="1"/>
  <c r="M137" i="2"/>
  <c r="N137" i="2" s="1"/>
  <c r="I137" i="2"/>
  <c r="J137" i="2" s="1"/>
  <c r="G396" i="5"/>
  <c r="I396" i="5" s="1"/>
  <c r="G53" i="2" s="1"/>
  <c r="F391" i="3"/>
  <c r="G391" i="3" s="1"/>
  <c r="F623" i="3"/>
  <c r="G623" i="3" s="1"/>
  <c r="F614" i="3"/>
  <c r="G614" i="3" s="1"/>
  <c r="F397" i="3"/>
  <c r="G397" i="3" s="1"/>
  <c r="F386" i="3"/>
  <c r="G386" i="3" s="1"/>
  <c r="F101" i="4"/>
  <c r="G101" i="4" s="1"/>
  <c r="G98" i="4" s="1"/>
  <c r="I98" i="4" s="1"/>
  <c r="K98" i="4" s="1"/>
  <c r="G27" i="1" s="1"/>
  <c r="K27" i="1" s="1"/>
  <c r="F303" i="3"/>
  <c r="G303" i="3" s="1"/>
  <c r="F210" i="3"/>
  <c r="G210" i="3" s="1"/>
  <c r="F290" i="3"/>
  <c r="G290" i="3" s="1"/>
  <c r="G288" i="3" s="1"/>
  <c r="I288" i="3" s="1"/>
  <c r="G112" i="2" s="1"/>
  <c r="F200" i="3"/>
  <c r="G200" i="3" s="1"/>
  <c r="F931" i="3"/>
  <c r="G931" i="3" s="1"/>
  <c r="F768" i="3"/>
  <c r="G768" i="3" s="1"/>
  <c r="F788" i="3"/>
  <c r="G788" i="3" s="1"/>
  <c r="G831" i="3"/>
  <c r="I831" i="3" s="1"/>
  <c r="G132" i="2" s="1"/>
  <c r="F996" i="3"/>
  <c r="G996" i="3" s="1"/>
  <c r="F970" i="3"/>
  <c r="G970" i="3" s="1"/>
  <c r="F677" i="3"/>
  <c r="G677" i="3" s="1"/>
  <c r="F729" i="3"/>
  <c r="G729" i="3" s="1"/>
  <c r="F512" i="3"/>
  <c r="G512" i="3" s="1"/>
  <c r="F777" i="3"/>
  <c r="G777" i="3" s="1"/>
  <c r="F947" i="3"/>
  <c r="G947" i="3" s="1"/>
  <c r="F458" i="3"/>
  <c r="G458" i="3" s="1"/>
  <c r="F797" i="3"/>
  <c r="G797" i="3" s="1"/>
  <c r="F476" i="3"/>
  <c r="G476" i="3" s="1"/>
  <c r="F851" i="3"/>
  <c r="G851" i="3" s="1"/>
  <c r="F702" i="3"/>
  <c r="G702" i="3" s="1"/>
  <c r="G328" i="5"/>
  <c r="I328" i="5" s="1"/>
  <c r="I5" i="2"/>
  <c r="J5" i="2" s="1"/>
  <c r="M5" i="2"/>
  <c r="N5" i="2" s="1"/>
  <c r="G253" i="5"/>
  <c r="I253" i="5" s="1"/>
  <c r="G51" i="2" s="1"/>
  <c r="F945" i="3"/>
  <c r="G945" i="3" s="1"/>
  <c r="F911" i="3"/>
  <c r="G911" i="3" s="1"/>
  <c r="F796" i="3"/>
  <c r="G796" i="3" s="1"/>
  <c r="F658" i="3"/>
  <c r="G658" i="3" s="1"/>
  <c r="F776" i="3"/>
  <c r="G776" i="3" s="1"/>
  <c r="I44" i="2"/>
  <c r="J44" i="2" s="1"/>
  <c r="M44" i="2"/>
  <c r="N44" i="2" s="1"/>
  <c r="G801" i="3"/>
  <c r="I801" i="3" s="1"/>
  <c r="G130" i="2" s="1"/>
  <c r="M18" i="2"/>
  <c r="N18" i="2" s="1"/>
  <c r="I18" i="2"/>
  <c r="J18" i="2" s="1"/>
  <c r="F571" i="3"/>
  <c r="G571" i="3" s="1"/>
  <c r="F302" i="3"/>
  <c r="G302" i="3" s="1"/>
  <c r="F685" i="3"/>
  <c r="G685" i="3" s="1"/>
  <c r="G682" i="3" s="1"/>
  <c r="I682" i="3" s="1"/>
  <c r="F663" i="3"/>
  <c r="G663" i="3" s="1"/>
  <c r="F874" i="3"/>
  <c r="G874" i="3" s="1"/>
  <c r="F498" i="3"/>
  <c r="G498" i="3" s="1"/>
  <c r="F899" i="3"/>
  <c r="G899" i="3" s="1"/>
  <c r="F698" i="3"/>
  <c r="G698" i="3" s="1"/>
  <c r="F680" i="3"/>
  <c r="G680" i="3" s="1"/>
  <c r="G678" i="3" s="1"/>
  <c r="I678" i="3" s="1"/>
  <c r="F670" i="3"/>
  <c r="G670" i="3" s="1"/>
  <c r="I62" i="2"/>
  <c r="J62" i="2" s="1"/>
  <c r="M62" i="2"/>
  <c r="N62" i="2" s="1"/>
  <c r="M136" i="2"/>
  <c r="N136" i="2" s="1"/>
  <c r="I136" i="2"/>
  <c r="J136" i="2" s="1"/>
  <c r="F613" i="3"/>
  <c r="G613" i="3" s="1"/>
  <c r="F383" i="3"/>
  <c r="G383" i="3" s="1"/>
  <c r="F396" i="3"/>
  <c r="G396" i="3" s="1"/>
  <c r="F622" i="3"/>
  <c r="G622" i="3" s="1"/>
  <c r="F390" i="3"/>
  <c r="G390" i="3" s="1"/>
  <c r="I25" i="2"/>
  <c r="J25" i="2" s="1"/>
  <c r="M25" i="2"/>
  <c r="N25" i="2" s="1"/>
  <c r="M31" i="2"/>
  <c r="N31" i="2" s="1"/>
  <c r="I31" i="2"/>
  <c r="J31" i="2" s="1"/>
  <c r="F502" i="3"/>
  <c r="G502" i="3" s="1"/>
  <c r="F511" i="3"/>
  <c r="G511" i="3" s="1"/>
  <c r="G218" i="3" l="1"/>
  <c r="I218" i="3" s="1"/>
  <c r="G111" i="2" s="1"/>
  <c r="I111" i="2" s="1"/>
  <c r="J111" i="2" s="1"/>
  <c r="G483" i="3"/>
  <c r="I483" i="3" s="1"/>
  <c r="G761" i="3"/>
  <c r="I761" i="3" s="1"/>
  <c r="G123" i="2" s="1"/>
  <c r="I123" i="2" s="1"/>
  <c r="J123" i="2" s="1"/>
  <c r="G989" i="3"/>
  <c r="I989" i="3" s="1"/>
  <c r="G141" i="2" s="1"/>
  <c r="M141" i="2" s="1"/>
  <c r="N141" i="2" s="1"/>
  <c r="G664" i="3"/>
  <c r="I664" i="3" s="1"/>
  <c r="I144" i="2"/>
  <c r="J144" i="2" s="1"/>
  <c r="G712" i="3"/>
  <c r="I712" i="3" s="1"/>
  <c r="G74" i="1" s="1"/>
  <c r="K74" i="1" s="1"/>
  <c r="G256" i="3"/>
  <c r="I256" i="3" s="1"/>
  <c r="G110" i="2" s="1"/>
  <c r="M110" i="2" s="1"/>
  <c r="N110" i="2" s="1"/>
  <c r="G364" i="3"/>
  <c r="I364" i="3" s="1"/>
  <c r="M114" i="2"/>
  <c r="N114" i="2" s="1"/>
  <c r="G700" i="3"/>
  <c r="I700" i="3" s="1"/>
  <c r="G966" i="3"/>
  <c r="I966" i="3" s="1"/>
  <c r="G115" i="2" s="1"/>
  <c r="I115" i="2" s="1"/>
  <c r="J115" i="2" s="1"/>
  <c r="G492" i="3"/>
  <c r="I492" i="3" s="1"/>
  <c r="G127" i="2" s="1"/>
  <c r="I127" i="2" s="1"/>
  <c r="J127" i="2" s="1"/>
  <c r="G589" i="3"/>
  <c r="I589" i="3" s="1"/>
  <c r="M78" i="2"/>
  <c r="N78" i="2" s="1"/>
  <c r="G671" i="3"/>
  <c r="I671" i="3" s="1"/>
  <c r="G237" i="3"/>
  <c r="I237" i="3" s="1"/>
  <c r="G726" i="3"/>
  <c r="I726" i="3" s="1"/>
  <c r="G847" i="3"/>
  <c r="I847" i="3" s="1"/>
  <c r="G129" i="2" s="1"/>
  <c r="M129" i="2" s="1"/>
  <c r="N129" i="2" s="1"/>
  <c r="G908" i="3"/>
  <c r="I908" i="3" s="1"/>
  <c r="G118" i="2" s="1"/>
  <c r="I118" i="2" s="1"/>
  <c r="J118" i="2" s="1"/>
  <c r="G922" i="3"/>
  <c r="I922" i="3" s="1"/>
  <c r="G125" i="2" s="1"/>
  <c r="I125" i="2" s="1"/>
  <c r="J125" i="2" s="1"/>
  <c r="G577" i="3"/>
  <c r="I577" i="3" s="1"/>
  <c r="G868" i="3"/>
  <c r="I868" i="3" s="1"/>
  <c r="G126" i="2" s="1"/>
  <c r="I126" i="2" s="1"/>
  <c r="J126" i="2" s="1"/>
  <c r="G781" i="3"/>
  <c r="I781" i="3" s="1"/>
  <c r="G121" i="2" s="1"/>
  <c r="M121" i="2" s="1"/>
  <c r="N121" i="2" s="1"/>
  <c r="G894" i="3"/>
  <c r="I894" i="3" s="1"/>
  <c r="G117" i="2" s="1"/>
  <c r="M117" i="2" s="1"/>
  <c r="N117" i="2" s="1"/>
  <c r="G465" i="3"/>
  <c r="I465" i="3" s="1"/>
  <c r="G772" i="3"/>
  <c r="I772" i="3" s="1"/>
  <c r="G124" i="2" s="1"/>
  <c r="M124" i="2" s="1"/>
  <c r="N124" i="2" s="1"/>
  <c r="G695" i="3"/>
  <c r="I695" i="3" s="1"/>
  <c r="G942" i="3"/>
  <c r="I942" i="3" s="1"/>
  <c r="G120" i="2" s="1"/>
  <c r="M120" i="2" s="1"/>
  <c r="N120" i="2" s="1"/>
  <c r="M111" i="2"/>
  <c r="N111" i="2" s="1"/>
  <c r="M49" i="2"/>
  <c r="N49" i="2" s="1"/>
  <c r="G389" i="3"/>
  <c r="I389" i="3" s="1"/>
  <c r="G107" i="2" s="1"/>
  <c r="M107" i="2" s="1"/>
  <c r="N107" i="2" s="1"/>
  <c r="G474" i="3"/>
  <c r="I474" i="3" s="1"/>
  <c r="M52" i="2"/>
  <c r="N52" i="2" s="1"/>
  <c r="G382" i="3"/>
  <c r="I382" i="3" s="1"/>
  <c r="G106" i="2" s="1"/>
  <c r="I106" i="2" s="1"/>
  <c r="J106" i="2" s="1"/>
  <c r="G655" i="3"/>
  <c r="I655" i="3" s="1"/>
  <c r="G128" i="2" s="1"/>
  <c r="M128" i="2" s="1"/>
  <c r="N128" i="2" s="1"/>
  <c r="G612" i="3"/>
  <c r="I612" i="3" s="1"/>
  <c r="G405" i="3"/>
  <c r="I405" i="3" s="1"/>
  <c r="G447" i="3"/>
  <c r="I447" i="3" s="1"/>
  <c r="G510" i="3"/>
  <c r="I510" i="3" s="1"/>
  <c r="G501" i="3"/>
  <c r="I501" i="3" s="1"/>
  <c r="G621" i="3"/>
  <c r="I621" i="3" s="1"/>
  <c r="G108" i="2" s="1"/>
  <c r="I108" i="2" s="1"/>
  <c r="J108" i="2" s="1"/>
  <c r="G417" i="3"/>
  <c r="I417" i="3" s="1"/>
  <c r="G100" i="3"/>
  <c r="I100" i="3" s="1"/>
  <c r="G272" i="3"/>
  <c r="I272" i="3" s="1"/>
  <c r="G570" i="3"/>
  <c r="I570" i="3" s="1"/>
  <c r="G792" i="3"/>
  <c r="I792" i="3" s="1"/>
  <c r="G122" i="2" s="1"/>
  <c r="I122" i="2" s="1"/>
  <c r="J122" i="2" s="1"/>
  <c r="M112" i="2"/>
  <c r="N112" i="2" s="1"/>
  <c r="I112" i="2"/>
  <c r="J112" i="2" s="1"/>
  <c r="I140" i="2"/>
  <c r="J140" i="2" s="1"/>
  <c r="M140" i="2"/>
  <c r="N140" i="2" s="1"/>
  <c r="I53" i="2"/>
  <c r="J53" i="2" s="1"/>
  <c r="M53" i="2"/>
  <c r="N53" i="2" s="1"/>
  <c r="G95" i="2"/>
  <c r="G48" i="1"/>
  <c r="K48" i="1" s="1"/>
  <c r="G94" i="2"/>
  <c r="G43" i="1"/>
  <c r="K43" i="1" s="1"/>
  <c r="J6" i="2"/>
  <c r="G87" i="3"/>
  <c r="I87" i="3" s="1"/>
  <c r="G119" i="2" s="1"/>
  <c r="I130" i="2"/>
  <c r="J130" i="2" s="1"/>
  <c r="M130" i="2"/>
  <c r="N130" i="2" s="1"/>
  <c r="I56" i="2"/>
  <c r="J56" i="2" s="1"/>
  <c r="M56" i="2"/>
  <c r="N56" i="2" s="1"/>
  <c r="G99" i="2"/>
  <c r="G47" i="1"/>
  <c r="K47" i="1" s="1"/>
  <c r="G456" i="3"/>
  <c r="I456" i="3" s="1"/>
  <c r="G96" i="2"/>
  <c r="G45" i="1"/>
  <c r="K45" i="1" s="1"/>
  <c r="L129" i="4"/>
  <c r="I116" i="2"/>
  <c r="J116" i="2" s="1"/>
  <c r="M116" i="2"/>
  <c r="N116" i="2" s="1"/>
  <c r="M82" i="2"/>
  <c r="N82" i="2" s="1"/>
  <c r="I82" i="2"/>
  <c r="J82" i="2" s="1"/>
  <c r="G93" i="2"/>
  <c r="G42" i="1"/>
  <c r="K42" i="1" s="1"/>
  <c r="M51" i="2"/>
  <c r="N51" i="2" s="1"/>
  <c r="I51" i="2"/>
  <c r="J51" i="2" s="1"/>
  <c r="I80" i="2"/>
  <c r="J80" i="2" s="1"/>
  <c r="M80" i="2"/>
  <c r="N80" i="2" s="1"/>
  <c r="I131" i="2"/>
  <c r="J131" i="2" s="1"/>
  <c r="M131" i="2"/>
  <c r="N131" i="2" s="1"/>
  <c r="G97" i="2"/>
  <c r="G44" i="1"/>
  <c r="K44" i="1" s="1"/>
  <c r="G395" i="3"/>
  <c r="I395" i="3" s="1"/>
  <c r="G105" i="2" s="1"/>
  <c r="G301" i="3"/>
  <c r="I301" i="3" s="1"/>
  <c r="G113" i="2" s="1"/>
  <c r="I132" i="2"/>
  <c r="J132" i="2" s="1"/>
  <c r="M132" i="2"/>
  <c r="N132" i="2" s="1"/>
  <c r="F632" i="3"/>
  <c r="G632" i="3" s="1"/>
  <c r="G630" i="3" s="1"/>
  <c r="I630" i="3" s="1"/>
  <c r="F209" i="3"/>
  <c r="G209" i="3" s="1"/>
  <c r="G208" i="3" s="1"/>
  <c r="I208" i="3" s="1"/>
  <c r="F199" i="3"/>
  <c r="G199" i="3" s="1"/>
  <c r="G198" i="3" s="1"/>
  <c r="I198" i="3" s="1"/>
  <c r="M91" i="2"/>
  <c r="N91" i="2" s="1"/>
  <c r="I91" i="2"/>
  <c r="J91" i="2" s="1"/>
  <c r="G46" i="1"/>
  <c r="K46" i="1" s="1"/>
  <c r="G98" i="2"/>
  <c r="M90" i="2"/>
  <c r="N90" i="2" s="1"/>
  <c r="I90" i="2"/>
  <c r="J90" i="2" s="1"/>
  <c r="M127" i="2" l="1"/>
  <c r="N127" i="2" s="1"/>
  <c r="I141" i="2"/>
  <c r="J141" i="2" s="1"/>
  <c r="M123" i="2"/>
  <c r="N123" i="2" s="1"/>
  <c r="I110" i="2"/>
  <c r="J110" i="2" s="1"/>
  <c r="M115" i="2"/>
  <c r="N115" i="2" s="1"/>
  <c r="I129" i="2"/>
  <c r="J129" i="2" s="1"/>
  <c r="M118" i="2"/>
  <c r="N118" i="2" s="1"/>
  <c r="M125" i="2"/>
  <c r="N125" i="2" s="1"/>
  <c r="I121" i="2"/>
  <c r="J121" i="2" s="1"/>
  <c r="M126" i="2"/>
  <c r="N126" i="2" s="1"/>
  <c r="I117" i="2"/>
  <c r="J117" i="2" s="1"/>
  <c r="I124" i="2"/>
  <c r="J124" i="2" s="1"/>
  <c r="I120" i="2"/>
  <c r="J120" i="2" s="1"/>
  <c r="I107" i="2"/>
  <c r="J107" i="2" s="1"/>
  <c r="M106" i="2"/>
  <c r="N106" i="2" s="1"/>
  <c r="I128" i="2"/>
  <c r="J128" i="2" s="1"/>
  <c r="M122" i="2"/>
  <c r="N122" i="2" s="1"/>
  <c r="M108" i="2"/>
  <c r="N108" i="2" s="1"/>
  <c r="I2" i="2"/>
  <c r="M97" i="2"/>
  <c r="N97" i="2" s="1"/>
  <c r="I97" i="2"/>
  <c r="J97" i="2" s="1"/>
  <c r="M99" i="2"/>
  <c r="N99" i="2" s="1"/>
  <c r="I99" i="2"/>
  <c r="J99" i="2" s="1"/>
  <c r="L119" i="4"/>
  <c r="M119" i="2"/>
  <c r="N119" i="2" s="1"/>
  <c r="I119" i="2"/>
  <c r="J119" i="2" s="1"/>
  <c r="M98" i="2"/>
  <c r="N98" i="2" s="1"/>
  <c r="I98" i="2"/>
  <c r="J98" i="2" s="1"/>
  <c r="I93" i="2"/>
  <c r="J93" i="2" s="1"/>
  <c r="M93" i="2"/>
  <c r="N93" i="2" s="1"/>
  <c r="I95" i="2"/>
  <c r="J95" i="2" s="1"/>
  <c r="M95" i="2"/>
  <c r="N95" i="2" s="1"/>
  <c r="I113" i="2"/>
  <c r="J113" i="2" s="1"/>
  <c r="M113" i="2"/>
  <c r="N113" i="2" s="1"/>
  <c r="I105" i="2"/>
  <c r="J105" i="2" s="1"/>
  <c r="M105" i="2"/>
  <c r="N105" i="2" s="1"/>
  <c r="M96" i="2"/>
  <c r="N96" i="2" s="1"/>
  <c r="I96" i="2"/>
  <c r="J96" i="2" s="1"/>
  <c r="I94" i="2"/>
  <c r="J94" i="2" s="1"/>
  <c r="M94" i="2"/>
  <c r="N94" i="2" s="1"/>
  <c r="L111" i="4" l="1"/>
  <c r="L104" i="4" l="1"/>
  <c r="L95" i="4" l="1"/>
  <c r="L9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366" authorId="0" shapeId="0" xr:uid="{00000000-0006-0000-0000-000001000000}">
      <text>
        <r>
          <rPr>
            <sz val="10"/>
            <color rgb="FF000000"/>
            <rFont val="Arial"/>
            <family val="2"/>
            <scheme val="minor"/>
          </rPr>
          <t xml:space="preserve">1 pcs 35gr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104" authorId="0" shapeId="0" xr:uid="{00000000-0006-0000-0100-000001000000}">
      <text>
        <r>
          <rPr>
            <sz val="10"/>
            <color rgb="FF000000"/>
            <rFont val="Arial"/>
            <family val="2"/>
            <scheme val="minor"/>
          </rPr>
          <t xml:space="preserve">pake sosis delimax
kalau pake yg cooktails harganya tinggi bgt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H5" authorId="0" shapeId="0" xr:uid="{00000000-0006-0000-0200-000001000000}">
      <text>
        <r>
          <rPr>
            <sz val="10"/>
            <color rgb="FF000000"/>
            <rFont val="Arial"/>
            <family val="2"/>
            <scheme val="minor"/>
          </rPr>
          <t>Biaya tak terhitung. Ex: Minyak, Waste, Listrik, Air, Pengolesan bahan berlebih</t>
        </r>
      </text>
    </comment>
    <comment ref="J15" authorId="0" shapeId="0" xr:uid="{00000000-0006-0000-0200-000002000000}">
      <text>
        <r>
          <rPr>
            <sz val="10"/>
            <color rgb="FF000000"/>
            <rFont val="Arial"/>
            <family val="2"/>
            <scheme val="minor"/>
          </rPr>
          <t>lunch box m 450
lunch box l 630
 tokopedia</t>
        </r>
      </text>
    </comment>
    <comment ref="D994" authorId="0" shapeId="0" xr:uid="{00000000-0006-0000-0200-000003000000}">
      <text>
        <r>
          <rPr>
            <sz val="10"/>
            <color rgb="FF000000"/>
            <rFont val="Arial"/>
            <family val="2"/>
            <scheme val="minor"/>
          </rPr>
          <t xml:space="preserve">1/2 butir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5" authorId="0" shapeId="0" xr:uid="{00000000-0006-0000-0300-000001000000}">
      <text>
        <r>
          <rPr>
            <sz val="10"/>
            <color rgb="FF000000"/>
            <rFont val="Arial"/>
            <family val="2"/>
            <scheme val="minor"/>
          </rPr>
          <t>Biaya tak terhitung. Ex: Minyak, Waste, Listrik, Air, Pengolesan bahan berlebih</t>
        </r>
      </text>
    </comment>
    <comment ref="J17" authorId="0" shapeId="0" xr:uid="{00000000-0006-0000-0300-000002000000}">
      <text>
        <r>
          <rPr>
            <sz val="10"/>
            <color rgb="FF000000"/>
            <rFont val="Arial"/>
            <family val="2"/>
            <scheme val="minor"/>
          </rPr>
          <t xml:space="preserve">50gr/porsi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H5" authorId="0" shapeId="0" xr:uid="{00000000-0006-0000-0400-000001000000}">
      <text>
        <r>
          <rPr>
            <sz val="10"/>
            <color rgb="FF000000"/>
            <rFont val="Arial"/>
            <family val="2"/>
            <scheme val="minor"/>
          </rPr>
          <t>Biaya tak terhitung. Ex: Minyak, Waste, Listrik, Air, Pengolesan bahan berlebih</t>
        </r>
      </text>
    </comment>
    <comment ref="D73" authorId="0" shapeId="0" xr:uid="{00000000-0006-0000-0400-000002000000}">
      <text>
        <r>
          <rPr>
            <sz val="10"/>
            <color rgb="FF000000"/>
            <rFont val="Arial"/>
            <family val="2"/>
            <scheme val="minor"/>
          </rPr>
          <t>1 scoop = 55gr</t>
        </r>
      </text>
    </comment>
    <comment ref="D490" authorId="0" shapeId="0" xr:uid="{00000000-0006-0000-0400-000003000000}">
      <text>
        <r>
          <rPr>
            <sz val="10"/>
            <color rgb="FF000000"/>
            <rFont val="Arial"/>
            <family val="2"/>
            <scheme val="minor"/>
          </rPr>
          <t>1 scoop = 55gr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H5" authorId="0" shapeId="0" xr:uid="{00000000-0006-0000-0500-000001000000}">
      <text>
        <r>
          <rPr>
            <sz val="10"/>
            <color rgb="FF000000"/>
            <rFont val="Arial"/>
            <family val="2"/>
            <scheme val="minor"/>
          </rPr>
          <t>Biaya tak terhitung. Ex: Minyak, Waste, Listrik, Air, Pengolesan bahan berlebih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M7" authorId="0" shapeId="0" xr:uid="{00000000-0006-0000-0F00-000001000000}">
      <text>
        <r>
          <rPr>
            <sz val="10"/>
            <color rgb="FF000000"/>
            <rFont val="Arial"/>
            <family val="2"/>
            <scheme val="minor"/>
          </rPr>
          <t>Barang tidak sesuai dengan PO, permintaan 2btl / dibelanjakan 1btl
dan beda harga terlalu jauh</t>
        </r>
      </text>
    </comment>
    <comment ref="M13" authorId="0" shapeId="0" xr:uid="{00000000-0006-0000-0F00-000002000000}">
      <text>
        <r>
          <rPr>
            <sz val="10"/>
            <color rgb="FF000000"/>
            <rFont val="Arial"/>
            <family val="2"/>
            <scheme val="minor"/>
          </rPr>
          <t>Barang tidak sesuai dengan PO, permintaan 0.5kg / dibelanjakan 1kg</t>
        </r>
      </text>
    </comment>
    <comment ref="M16" authorId="0" shapeId="0" xr:uid="{00000000-0006-0000-0F00-000003000000}">
      <text>
        <r>
          <rPr>
            <sz val="10"/>
            <color rgb="FF000000"/>
            <rFont val="Arial"/>
            <family val="2"/>
            <scheme val="minor"/>
          </rPr>
          <t>Barang tidak sesuai dengan PO, permintaan 3kg / dibelanjakan 0.5kg</t>
        </r>
      </text>
    </comment>
    <comment ref="M17" authorId="0" shapeId="0" xr:uid="{00000000-0006-0000-0F00-000004000000}">
      <text>
        <r>
          <rPr>
            <sz val="10"/>
            <color rgb="FF000000"/>
            <rFont val="Arial"/>
            <family val="2"/>
            <scheme val="minor"/>
          </rPr>
          <t>Barang tidak sesuai dengan PO
permintaan 15pck / dibelanjakan 7pck</t>
        </r>
      </text>
    </comment>
    <comment ref="M18" authorId="0" shapeId="0" xr:uid="{00000000-0006-0000-0F00-000005000000}">
      <text>
        <r>
          <rPr>
            <sz val="10"/>
            <color rgb="FF000000"/>
            <rFont val="Arial"/>
            <family val="2"/>
            <scheme val="minor"/>
          </rPr>
          <t>Barang tidak sesuai dengan PO, permintaan 2kg / dibelanjakan 1kg</t>
        </r>
      </text>
    </comment>
  </commentList>
</comments>
</file>

<file path=xl/sharedStrings.xml><?xml version="1.0" encoding="utf-8"?>
<sst xmlns="http://schemas.openxmlformats.org/spreadsheetml/2006/main" count="28732" uniqueCount="2075">
  <si>
    <t>Database</t>
  </si>
  <si>
    <t>Harga Bahan, Alat &amp; Perlengkapan</t>
  </si>
  <si>
    <t>The Soko Coffee Tea Chocolate</t>
  </si>
  <si>
    <t>No</t>
  </si>
  <si>
    <t>Remark</t>
  </si>
  <si>
    <t>Kode</t>
  </si>
  <si>
    <t>Divisi</t>
  </si>
  <si>
    <t>Sub Divisi</t>
  </si>
  <si>
    <t>Jenis</t>
  </si>
  <si>
    <t>Price (Rp)</t>
  </si>
  <si>
    <t>Unit Pack</t>
  </si>
  <si>
    <t>Qty</t>
  </si>
  <si>
    <t>Unit</t>
  </si>
  <si>
    <t>Price/Unit</t>
  </si>
  <si>
    <t>Toko Belanja</t>
  </si>
  <si>
    <t>Jenis Belanja</t>
  </si>
  <si>
    <t>Keterangan</t>
  </si>
  <si>
    <t>Kategori</t>
  </si>
  <si>
    <t>Kategori Menu</t>
  </si>
  <si>
    <t>Menu</t>
  </si>
  <si>
    <t>SKU</t>
  </si>
  <si>
    <t>Jenis Bahan</t>
  </si>
  <si>
    <t>Sales PIC</t>
  </si>
  <si>
    <t>Alamat</t>
  </si>
  <si>
    <t>No Hp / WA</t>
  </si>
  <si>
    <t>Ket. Barang Masuk</t>
  </si>
  <si>
    <t>Ktc Pro Acar</t>
  </si>
  <si>
    <t>P01</t>
  </si>
  <si>
    <t>Kitchen</t>
  </si>
  <si>
    <t>KTC Kitchen</t>
  </si>
  <si>
    <t>ml</t>
  </si>
  <si>
    <t>Office</t>
  </si>
  <si>
    <t>Bahan Kopi</t>
  </si>
  <si>
    <t>Coffee</t>
  </si>
  <si>
    <t>M0001</t>
  </si>
  <si>
    <t>Bar Coffee</t>
  </si>
  <si>
    <t>Kilogram</t>
  </si>
  <si>
    <t>PT Sukanda Djaya</t>
  </si>
  <si>
    <t>Kang Ahmat</t>
  </si>
  <si>
    <t>085157020709</t>
  </si>
  <si>
    <t>Supplier</t>
  </si>
  <si>
    <t>H+1</t>
  </si>
  <si>
    <t>Ktc Pro Bawang Goreng</t>
  </si>
  <si>
    <t>P02</t>
  </si>
  <si>
    <t>gr/por</t>
  </si>
  <si>
    <t>Marketing</t>
  </si>
  <si>
    <t>Bahan Non-Kopi</t>
  </si>
  <si>
    <t>Manual Brewing</t>
  </si>
  <si>
    <t>M0002</t>
  </si>
  <si>
    <t>Bar Powder</t>
  </si>
  <si>
    <t>Can</t>
  </si>
  <si>
    <t>Danone</t>
  </si>
  <si>
    <t>Setiap Jumat, Tagihan Akhir Bulan</t>
  </si>
  <si>
    <t>Ktc Pro Cream Soup</t>
  </si>
  <si>
    <t>P03</t>
  </si>
  <si>
    <t>gr/ml</t>
  </si>
  <si>
    <t>Floor</t>
  </si>
  <si>
    <t>Bahan Kitchen</t>
  </si>
  <si>
    <t>Chocolate &amp; Tea</t>
  </si>
  <si>
    <t>Iced Cafe Latte</t>
  </si>
  <si>
    <t>M0003</t>
  </si>
  <si>
    <t>Bar Syrup Puree Concentrate</t>
  </si>
  <si>
    <t>Pack</t>
  </si>
  <si>
    <t>PT Fatarindo Cemerlang</t>
  </si>
  <si>
    <t>Dedi</t>
  </si>
  <si>
    <t>081222294407</t>
  </si>
  <si>
    <t>Setiap Rabu, Langsung Bayar</t>
  </si>
  <si>
    <t>Ktc Pro Sauce Blackpepper</t>
  </si>
  <si>
    <t>P04</t>
  </si>
  <si>
    <t>Gudang Pusat</t>
  </si>
  <si>
    <t>Bahan Dessert &amp; Bakery</t>
  </si>
  <si>
    <t>Milk Base</t>
  </si>
  <si>
    <t>Hot Cafe Latte</t>
  </si>
  <si>
    <t>M0004</t>
  </si>
  <si>
    <t>Bar Milk</t>
  </si>
  <si>
    <t>Bag</t>
  </si>
  <si>
    <t>LMK</t>
  </si>
  <si>
    <t>081322588522</t>
  </si>
  <si>
    <t>Ktc Pro Pancake</t>
  </si>
  <si>
    <t>P05</t>
  </si>
  <si>
    <t>gr/slice</t>
  </si>
  <si>
    <t>Bar</t>
  </si>
  <si>
    <t>Bahan Bar</t>
  </si>
  <si>
    <t>Mocktail &amp; Squash</t>
  </si>
  <si>
    <t>Hot Americano</t>
  </si>
  <si>
    <t>M0005</t>
  </si>
  <si>
    <t>Bar Tea</t>
  </si>
  <si>
    <t>Pail</t>
  </si>
  <si>
    <t>Toffico</t>
  </si>
  <si>
    <t>Ktc Pro Choco Lava</t>
  </si>
  <si>
    <t>P06</t>
  </si>
  <si>
    <t>Dessert &amp; Bakery</t>
  </si>
  <si>
    <t>KTC Bar</t>
  </si>
  <si>
    <t>Signature</t>
  </si>
  <si>
    <t>Iced Americano</t>
  </si>
  <si>
    <t>M0006</t>
  </si>
  <si>
    <t>Bar Water</t>
  </si>
  <si>
    <t>Bottle</t>
  </si>
  <si>
    <t>PD Sentosa</t>
  </si>
  <si>
    <t>Sendi</t>
  </si>
  <si>
    <t>085799626000</t>
  </si>
  <si>
    <t>Ktc Pro Sauce Barbeque</t>
  </si>
  <si>
    <t>P07</t>
  </si>
  <si>
    <t>Porsi</t>
  </si>
  <si>
    <t>Main Course &amp; Bowl</t>
  </si>
  <si>
    <t>Hot Moccacino</t>
  </si>
  <si>
    <t>M0007</t>
  </si>
  <si>
    <t>Bar Fruit</t>
  </si>
  <si>
    <t>Galon</t>
  </si>
  <si>
    <t>Dillco Group</t>
  </si>
  <si>
    <t>Iqbal</t>
  </si>
  <si>
    <t>089663452433</t>
  </si>
  <si>
    <t>Ktc Pro Sauce Bolognaise</t>
  </si>
  <si>
    <t>P08</t>
  </si>
  <si>
    <t>gr/pcs</t>
  </si>
  <si>
    <t>Bar &amp; Kitchen</t>
  </si>
  <si>
    <t>KTC Dessert &amp; Bakery</t>
  </si>
  <si>
    <t>Light Meals</t>
  </si>
  <si>
    <t>Iced Moccacino</t>
  </si>
  <si>
    <t>M0008</t>
  </si>
  <si>
    <t>Bar Groceries</t>
  </si>
  <si>
    <t>Crat</t>
  </si>
  <si>
    <t>Woodlane</t>
  </si>
  <si>
    <t>Vikar</t>
  </si>
  <si>
    <t>081324510971</t>
  </si>
  <si>
    <t>Ktc Pro White Sauce</t>
  </si>
  <si>
    <t>P09</t>
  </si>
  <si>
    <t>-</t>
  </si>
  <si>
    <t>Packing Bar</t>
  </si>
  <si>
    <t>Pizza &amp; Pasta</t>
  </si>
  <si>
    <t>M0009</t>
  </si>
  <si>
    <t>Bar Packing</t>
  </si>
  <si>
    <t>Tabung</t>
  </si>
  <si>
    <t>Havilla Tea</t>
  </si>
  <si>
    <t>081221689133</t>
  </si>
  <si>
    <t>Operasional Di Atas jam5 Sore</t>
  </si>
  <si>
    <t>Ktc Pro RU Sauce</t>
  </si>
  <si>
    <t>P10</t>
  </si>
  <si>
    <t>gr</t>
  </si>
  <si>
    <t>Packing Kitchen</t>
  </si>
  <si>
    <t>Desserts</t>
  </si>
  <si>
    <t>M0010</t>
  </si>
  <si>
    <t>Ktc Meat</t>
  </si>
  <si>
    <t>Dus</t>
  </si>
  <si>
    <t>Geraldi Risol</t>
  </si>
  <si>
    <t>Ktc Pro Dough Pizza</t>
  </si>
  <si>
    <t>P11</t>
  </si>
  <si>
    <t>Packing Dessert &amp; Bakery</t>
  </si>
  <si>
    <t>Menu Nusantara</t>
  </si>
  <si>
    <t>Hot Vanilla Latte</t>
  </si>
  <si>
    <t>M0011</t>
  </si>
  <si>
    <t>Ktc Vegetables</t>
  </si>
  <si>
    <t>HOC</t>
  </si>
  <si>
    <t>Ktc Pro Sauce Moza</t>
  </si>
  <si>
    <t>P12</t>
  </si>
  <si>
    <t>Bahan Bar &amp; Kitchen</t>
  </si>
  <si>
    <t>Menu Catering</t>
  </si>
  <si>
    <t>Iced Vanilla Latte</t>
  </si>
  <si>
    <t>M0012</t>
  </si>
  <si>
    <t>Ktc Bread Biscuit</t>
  </si>
  <si>
    <t>Arghani</t>
  </si>
  <si>
    <t>087777112108</t>
  </si>
  <si>
    <t>Tahu sambal kecap</t>
  </si>
  <si>
    <t>P13</t>
  </si>
  <si>
    <t>BB Lain-lain</t>
  </si>
  <si>
    <t>Extra Kitchen</t>
  </si>
  <si>
    <t>Affogato</t>
  </si>
  <si>
    <t>M0013</t>
  </si>
  <si>
    <t>Ktc Groceries</t>
  </si>
  <si>
    <t>Eden Farm</t>
  </si>
  <si>
    <t>Lilis</t>
  </si>
  <si>
    <t>081383888715</t>
  </si>
  <si>
    <t>Distributor</t>
  </si>
  <si>
    <t>Ktc Pro Sauce Bumbu Rujak</t>
  </si>
  <si>
    <t>P14</t>
  </si>
  <si>
    <t>ATK</t>
  </si>
  <si>
    <t>Coconut Cream</t>
  </si>
  <si>
    <t>M0014</t>
  </si>
  <si>
    <t>Ktc Packing</t>
  </si>
  <si>
    <t>Feri Supriadi (Telur , Beras , Minyak )</t>
  </si>
  <si>
    <t>Feri</t>
  </si>
  <si>
    <t>081312570820</t>
  </si>
  <si>
    <t>Bakwan jagung sambal kecap</t>
  </si>
  <si>
    <t>P15</t>
  </si>
  <si>
    <t>Service Mesin</t>
  </si>
  <si>
    <t>Es Kopi Soko</t>
  </si>
  <si>
    <t>M0015</t>
  </si>
  <si>
    <t>OP Groceries</t>
  </si>
  <si>
    <t>BISS (Topside)</t>
  </si>
  <si>
    <t>Ayu</t>
  </si>
  <si>
    <t>087736858365</t>
  </si>
  <si>
    <t>Ktc Pro Cheese Sauce</t>
  </si>
  <si>
    <t>P16</t>
  </si>
  <si>
    <t>Bensin, Parkir, Transport</t>
  </si>
  <si>
    <t>Spring Berry Ice</t>
  </si>
  <si>
    <t>M0016</t>
  </si>
  <si>
    <t>Prima (Topside)</t>
  </si>
  <si>
    <t>Maudi</t>
  </si>
  <si>
    <t>082116418738</t>
  </si>
  <si>
    <t>Ktc Pro Onion Rings</t>
  </si>
  <si>
    <t>P17</t>
  </si>
  <si>
    <t>Internet</t>
  </si>
  <si>
    <t>Hot Chocolate</t>
  </si>
  <si>
    <t>M0017</t>
  </si>
  <si>
    <t>Sasakala Coffee</t>
  </si>
  <si>
    <t>Dadang</t>
  </si>
  <si>
    <t>082240047008</t>
  </si>
  <si>
    <t>Ktc Pro Macaroni Boiled</t>
  </si>
  <si>
    <t>P18</t>
  </si>
  <si>
    <t>Gas</t>
  </si>
  <si>
    <t>Iced Chocolate</t>
  </si>
  <si>
    <t>M0018</t>
  </si>
  <si>
    <t>Lingga Jaya Pack</t>
  </si>
  <si>
    <t>Rohman</t>
  </si>
  <si>
    <t>082115563437</t>
  </si>
  <si>
    <t>Ktc Pro Fettucini Boiled</t>
  </si>
  <si>
    <t>P19</t>
  </si>
  <si>
    <t>Kebersihan</t>
  </si>
  <si>
    <t>M0019</t>
  </si>
  <si>
    <t>Emergency Syrup</t>
  </si>
  <si>
    <t>Denis</t>
  </si>
  <si>
    <t>081770555515</t>
  </si>
  <si>
    <t>Ktc Pro Egg Wash</t>
  </si>
  <si>
    <t>P20</t>
  </si>
  <si>
    <t>Keamanan</t>
  </si>
  <si>
    <t>Naga Black Tea Hot</t>
  </si>
  <si>
    <t>M0020</t>
  </si>
  <si>
    <t>Ade Widya Plastik Cikutra</t>
  </si>
  <si>
    <t>082121297077</t>
  </si>
  <si>
    <t>Ktc Pro Wings Marinate</t>
  </si>
  <si>
    <t>P21</t>
  </si>
  <si>
    <t>Service Listrik</t>
  </si>
  <si>
    <t>Naga Black Tea Ice</t>
  </si>
  <si>
    <t>M0021</t>
  </si>
  <si>
    <t>Kartu Empat Dimensi</t>
  </si>
  <si>
    <t>089528832388</t>
  </si>
  <si>
    <t>Ktc Pro Concase</t>
  </si>
  <si>
    <t>P22</t>
  </si>
  <si>
    <t>Peralatan</t>
  </si>
  <si>
    <t>Thai Tea Hot</t>
  </si>
  <si>
    <t>M0022</t>
  </si>
  <si>
    <t>My Packaging | Tokopedia</t>
  </si>
  <si>
    <t>link Tokped</t>
  </si>
  <si>
    <t>Ktc Pro Spaghetti Boiled</t>
  </si>
  <si>
    <t>P23</t>
  </si>
  <si>
    <t>OP Lain-lain</t>
  </si>
  <si>
    <t>Thai Tea Ice</t>
  </si>
  <si>
    <t>M0023</t>
  </si>
  <si>
    <t>Adijaya Mozzarella</t>
  </si>
  <si>
    <t>Lala</t>
  </si>
  <si>
    <t>089530715802</t>
  </si>
  <si>
    <t>Ktc Pro Rice</t>
  </si>
  <si>
    <t>P24</t>
  </si>
  <si>
    <t>Mutasi</t>
  </si>
  <si>
    <t>Premium Tea Hot</t>
  </si>
  <si>
    <t>M0024</t>
  </si>
  <si>
    <t>Distributor Daging Pasar Cihapit</t>
  </si>
  <si>
    <t>Tono</t>
  </si>
  <si>
    <t>081394412566</t>
  </si>
  <si>
    <t>Ktc Pro Ayam Suwir</t>
  </si>
  <si>
    <t>P25</t>
  </si>
  <si>
    <t>KOL</t>
  </si>
  <si>
    <t>Taro Latte Hot</t>
  </si>
  <si>
    <t>M0025</t>
  </si>
  <si>
    <t>PD Aroma Jaya</t>
  </si>
  <si>
    <t>Andri</t>
  </si>
  <si>
    <t>08882234984</t>
  </si>
  <si>
    <t>KTC Pro Bumbu Magic</t>
  </si>
  <si>
    <t>P26</t>
  </si>
  <si>
    <t>Online Marketing</t>
  </si>
  <si>
    <t>Taro Latte Ice</t>
  </si>
  <si>
    <t>M0026</t>
  </si>
  <si>
    <t>Limas Raga Inti</t>
  </si>
  <si>
    <t>082121210600</t>
  </si>
  <si>
    <t>gas</t>
  </si>
  <si>
    <t>Ktc Pro Katsu Chicken</t>
  </si>
  <si>
    <t>P27</t>
  </si>
  <si>
    <t>Offline Marketing</t>
  </si>
  <si>
    <t>M0027</t>
  </si>
  <si>
    <t>B5 Coffee &amp; Roastery</t>
  </si>
  <si>
    <t>Jl.Bangbayang No.5 Dago Bandung</t>
  </si>
  <si>
    <t>081321534165</t>
  </si>
  <si>
    <t>KTC Pro Scrumble Egg</t>
  </si>
  <si>
    <t>P28</t>
  </si>
  <si>
    <t>Renovasi &amp; Furniture</t>
  </si>
  <si>
    <t>M0028</t>
  </si>
  <si>
    <t>Toko PD Cihapit</t>
  </si>
  <si>
    <t>Direct</t>
  </si>
  <si>
    <t>Ktc Pro Mushroom Crispy</t>
  </si>
  <si>
    <t>P29</t>
  </si>
  <si>
    <t>Piutang Karyawan</t>
  </si>
  <si>
    <t>M0029</t>
  </si>
  <si>
    <t>Bara Gas</t>
  </si>
  <si>
    <t>KTC Pro Mix Vegetable</t>
  </si>
  <si>
    <t>P30</t>
  </si>
  <si>
    <t>Hutang</t>
  </si>
  <si>
    <t>M0030</t>
  </si>
  <si>
    <t>Borma</t>
  </si>
  <si>
    <t>Ktc Pro Chicken Cordon Bleu</t>
  </si>
  <si>
    <t>P31</t>
  </si>
  <si>
    <t>Perlengkapan</t>
  </si>
  <si>
    <t>Lemon Squash</t>
  </si>
  <si>
    <t>M0031</t>
  </si>
  <si>
    <t>Pasar Cihapit</t>
  </si>
  <si>
    <t>KTC Bumbu Oles Sate</t>
  </si>
  <si>
    <t>P32</t>
  </si>
  <si>
    <t>pcs</t>
  </si>
  <si>
    <t>Investasi</t>
  </si>
  <si>
    <t>Orange Squash</t>
  </si>
  <si>
    <t>M0032</t>
  </si>
  <si>
    <t>Setiabudi Market</t>
  </si>
  <si>
    <t>KTC Pro Mix Platters</t>
  </si>
  <si>
    <t>P33</t>
  </si>
  <si>
    <t>Sewa</t>
  </si>
  <si>
    <t>Mineral Water</t>
  </si>
  <si>
    <t>M0033</t>
  </si>
  <si>
    <t>Putra Asmi, Dago</t>
  </si>
  <si>
    <t>KTC Pro Bumbu Bakar Oles</t>
  </si>
  <si>
    <t>P34</t>
  </si>
  <si>
    <t>Karma Coffee</t>
  </si>
  <si>
    <t>M0034</t>
  </si>
  <si>
    <t>RSB, Dago</t>
  </si>
  <si>
    <t>KTC Pro Tempe Ungkep</t>
  </si>
  <si>
    <t>P35</t>
  </si>
  <si>
    <t>Soko Mint</t>
  </si>
  <si>
    <t>M0035</t>
  </si>
  <si>
    <t>Shopee</t>
  </si>
  <si>
    <t>Sate Telur Puyuh</t>
  </si>
  <si>
    <t>S001</t>
  </si>
  <si>
    <t>Dreamy Berry</t>
  </si>
  <si>
    <t>M0036</t>
  </si>
  <si>
    <t>Tokopedia</t>
  </si>
  <si>
    <t>Sate Jando</t>
  </si>
  <si>
    <t>S002</t>
  </si>
  <si>
    <t>Sunfield Green</t>
  </si>
  <si>
    <t>M0037</t>
  </si>
  <si>
    <t>CMYK</t>
  </si>
  <si>
    <t>Sate Usus</t>
  </si>
  <si>
    <t>S003</t>
  </si>
  <si>
    <t>V60 Lokal</t>
  </si>
  <si>
    <t>M0038</t>
  </si>
  <si>
    <t>Otten Coffee</t>
  </si>
  <si>
    <t>Sate Kulit</t>
  </si>
  <si>
    <t>S004</t>
  </si>
  <si>
    <t>Japanese Lokal</t>
  </si>
  <si>
    <t>M0039</t>
  </si>
  <si>
    <t>Toserba Yogya</t>
  </si>
  <si>
    <t>Sate Paru</t>
  </si>
  <si>
    <t>S005</t>
  </si>
  <si>
    <t>Flat bottom Lokal</t>
  </si>
  <si>
    <t>M0040</t>
  </si>
  <si>
    <t>Atlas</t>
  </si>
  <si>
    <t>Sate Ati Ampela</t>
  </si>
  <si>
    <t>S006</t>
  </si>
  <si>
    <t>M0041</t>
  </si>
  <si>
    <t>Kurnia Mas</t>
  </si>
  <si>
    <t>Sate Kikil</t>
  </si>
  <si>
    <t>S007</t>
  </si>
  <si>
    <t>Aeropress Lokal</t>
  </si>
  <si>
    <t>M0042</t>
  </si>
  <si>
    <t>PD Cihapit</t>
  </si>
  <si>
    <t>Bar Pro Chrysantemum</t>
  </si>
  <si>
    <t>Hot Vietnam Drip</t>
  </si>
  <si>
    <t>M0043</t>
  </si>
  <si>
    <t>The Soko</t>
  </si>
  <si>
    <t>Bar Pro espresso</t>
  </si>
  <si>
    <t>porsi</t>
  </si>
  <si>
    <t>Iced Vietnam drip</t>
  </si>
  <si>
    <t>M0044</t>
  </si>
  <si>
    <t>Garnish Kering</t>
  </si>
  <si>
    <t>081220892963</t>
  </si>
  <si>
    <t>Bar Pro Rosella</t>
  </si>
  <si>
    <t>M0045</t>
  </si>
  <si>
    <t>Toko Lain</t>
  </si>
  <si>
    <t>Bar Pro Cengkeh</t>
  </si>
  <si>
    <t>P36</t>
  </si>
  <si>
    <t>Ice cream</t>
  </si>
  <si>
    <t>M0046</t>
  </si>
  <si>
    <t>Bar Pro Simple Syrup</t>
  </si>
  <si>
    <t>P37</t>
  </si>
  <si>
    <t>Extra Espresso</t>
  </si>
  <si>
    <t>M0047</t>
  </si>
  <si>
    <t>Bar Pro Black Tea</t>
  </si>
  <si>
    <t>P38</t>
  </si>
  <si>
    <t>Charcoal Latte Ice</t>
  </si>
  <si>
    <t>M0048</t>
  </si>
  <si>
    <t>Bar Pro Syrup Lemon</t>
  </si>
  <si>
    <t>P39</t>
  </si>
  <si>
    <t>Tahu Lada Garam</t>
  </si>
  <si>
    <t>M0049</t>
  </si>
  <si>
    <t>Bar Pro Mix SKM</t>
  </si>
  <si>
    <t>P40</t>
  </si>
  <si>
    <t>Cireng Lada garam</t>
  </si>
  <si>
    <t>M0050</t>
  </si>
  <si>
    <t>Bar Pro Thai Tea</t>
  </si>
  <si>
    <t>P41</t>
  </si>
  <si>
    <t>Cireng Bumbu</t>
  </si>
  <si>
    <t>M0051</t>
  </si>
  <si>
    <t>Bar Pro Lemon Juice</t>
  </si>
  <si>
    <t>P42</t>
  </si>
  <si>
    <t>French Fries</t>
  </si>
  <si>
    <t>M0052</t>
  </si>
  <si>
    <t>Bar Pro Orange Juice</t>
  </si>
  <si>
    <t>P43</t>
  </si>
  <si>
    <t>FF &amp; Sausage Bratwurst</t>
  </si>
  <si>
    <t>M0053</t>
  </si>
  <si>
    <t>Bar Pro Cold Brew</t>
  </si>
  <si>
    <t>Black Magic Ice</t>
  </si>
  <si>
    <t>M0054</t>
  </si>
  <si>
    <t>Bar Pro Aren Liquid</t>
  </si>
  <si>
    <t>Aglio olio pasta Spaghetti</t>
  </si>
  <si>
    <t>M0055</t>
  </si>
  <si>
    <t xml:space="preserve">KTC Pro Sambal Balado </t>
  </si>
  <si>
    <t>P44</t>
  </si>
  <si>
    <t>Charcoal Latte Hot</t>
  </si>
  <si>
    <t>M0056</t>
  </si>
  <si>
    <t>KTC Pro Sambal Ijo</t>
  </si>
  <si>
    <t>P45</t>
  </si>
  <si>
    <t>Carbonara pasta spaghetti</t>
  </si>
  <si>
    <t>M0057</t>
  </si>
  <si>
    <t>KTC Pro Terong Crispy</t>
  </si>
  <si>
    <t>P46</t>
  </si>
  <si>
    <t>Chicken Blackpepper</t>
  </si>
  <si>
    <t>M0058</t>
  </si>
  <si>
    <t>KTC Pro Ayam Ungkep</t>
  </si>
  <si>
    <t>P47</t>
  </si>
  <si>
    <t>Beef Blackpepper</t>
  </si>
  <si>
    <t>M0059</t>
  </si>
  <si>
    <t>KTC Pro Dendeng Ungkep</t>
  </si>
  <si>
    <t>P48</t>
  </si>
  <si>
    <t>Cheese Chicken Katsu</t>
  </si>
  <si>
    <t>M0060</t>
  </si>
  <si>
    <t>KTC Pro Paru Ungkep</t>
  </si>
  <si>
    <t>P49</t>
  </si>
  <si>
    <t>Beef Katsu Rice Bowl</t>
  </si>
  <si>
    <t>M0061</t>
  </si>
  <si>
    <t>KTC Pro Telur Dadar</t>
  </si>
  <si>
    <t>P50</t>
  </si>
  <si>
    <t>Carbonara pasta fettucini</t>
  </si>
  <si>
    <t>M0062</t>
  </si>
  <si>
    <t>KTC Pro Salad</t>
  </si>
  <si>
    <t>P51</t>
  </si>
  <si>
    <t>Zupa Soup</t>
  </si>
  <si>
    <t>M0063</t>
  </si>
  <si>
    <t>KTC Pro Ayam Bakar</t>
  </si>
  <si>
    <t>P52</t>
  </si>
  <si>
    <t>Chocolatte Banana Roll</t>
  </si>
  <si>
    <t>M0064</t>
  </si>
  <si>
    <t>KTC Pro Ayam Serundeng</t>
  </si>
  <si>
    <t>P53</t>
  </si>
  <si>
    <t>Soko Mix Platters</t>
  </si>
  <si>
    <t>M0065</t>
  </si>
  <si>
    <t>KTC Pro Sambal Goang</t>
  </si>
  <si>
    <t>P54</t>
  </si>
  <si>
    <t>Pancake with ice cream</t>
  </si>
  <si>
    <t>M0066</t>
  </si>
  <si>
    <t>KTC Pro Daging Ungkep</t>
  </si>
  <si>
    <t>P55</t>
  </si>
  <si>
    <t>Choco lava</t>
  </si>
  <si>
    <t>M0067</t>
  </si>
  <si>
    <t>paket anak</t>
  </si>
  <si>
    <t>P56</t>
  </si>
  <si>
    <t>Rice</t>
  </si>
  <si>
    <t>M0068</t>
  </si>
  <si>
    <t>KTC Pro Sate Taican</t>
  </si>
  <si>
    <t>P57</t>
  </si>
  <si>
    <t>Aeropress Import</t>
  </si>
  <si>
    <t>M0069</t>
  </si>
  <si>
    <t>KTC Oseng Mercon</t>
  </si>
  <si>
    <t>P58</t>
  </si>
  <si>
    <t>Flat bottom Import</t>
  </si>
  <si>
    <t>M0070</t>
  </si>
  <si>
    <t>KTC Sambal Matah</t>
  </si>
  <si>
    <t>P59</t>
  </si>
  <si>
    <t>French press Import</t>
  </si>
  <si>
    <t>M0071</t>
  </si>
  <si>
    <t>KTC Sambal Terasi</t>
  </si>
  <si>
    <t>P60</t>
  </si>
  <si>
    <t>Japanese Import</t>
  </si>
  <si>
    <t>M0072</t>
  </si>
  <si>
    <t>KTC Pancake Pondan</t>
  </si>
  <si>
    <t>P61</t>
  </si>
  <si>
    <t>Tubruk Import</t>
  </si>
  <si>
    <t>M0073</t>
  </si>
  <si>
    <t>KTC Kuah Sop</t>
  </si>
  <si>
    <t>P62</t>
  </si>
  <si>
    <t>V60 Import</t>
  </si>
  <si>
    <t>M0074</t>
  </si>
  <si>
    <t>KTC Bakmie Boiled</t>
  </si>
  <si>
    <t>P63</t>
  </si>
  <si>
    <t>Lemon Tea Hot</t>
  </si>
  <si>
    <t>M0075</t>
  </si>
  <si>
    <t>KTC Gepuk Sapi</t>
  </si>
  <si>
    <t>P64</t>
  </si>
  <si>
    <t>Lemon Tea Ice</t>
  </si>
  <si>
    <t>M0076</t>
  </si>
  <si>
    <t>KTC Pro Sambal Kecap</t>
  </si>
  <si>
    <t>P65</t>
  </si>
  <si>
    <t>Espresso</t>
  </si>
  <si>
    <t>M0077</t>
  </si>
  <si>
    <t>KTC Pro Tempe Tepung</t>
  </si>
  <si>
    <t>P66</t>
  </si>
  <si>
    <t>Magic</t>
  </si>
  <si>
    <t>M0078</t>
  </si>
  <si>
    <t>KTC Pro Kuah Rawon</t>
  </si>
  <si>
    <t>P67</t>
  </si>
  <si>
    <t>Picollo</t>
  </si>
  <si>
    <t>M0079</t>
  </si>
  <si>
    <t>KTC Pro Sambal Ijo Sop</t>
  </si>
  <si>
    <t>P68</t>
  </si>
  <si>
    <t>Hot Rum Latte</t>
  </si>
  <si>
    <t>M0080</t>
  </si>
  <si>
    <t>KTC Pro Bananaroll</t>
  </si>
  <si>
    <t>P69</t>
  </si>
  <si>
    <t>Iced Rum Latte</t>
  </si>
  <si>
    <t>M0081</t>
  </si>
  <si>
    <t>KTC Coklat isian bananaroll</t>
  </si>
  <si>
    <t>Hot Caramel Latte</t>
  </si>
  <si>
    <t>M0082</t>
  </si>
  <si>
    <t>Gulaku Premium Hijau</t>
  </si>
  <si>
    <t>B001</t>
  </si>
  <si>
    <t>Check</t>
  </si>
  <si>
    <t>Iced Caramel Latte</t>
  </si>
  <si>
    <t>M0083</t>
  </si>
  <si>
    <t>Vit Galon</t>
  </si>
  <si>
    <t>B002</t>
  </si>
  <si>
    <t>Beef Katsu with Fries</t>
  </si>
  <si>
    <t>M0084</t>
  </si>
  <si>
    <t>Evaporasi FN</t>
  </si>
  <si>
    <t>B003</t>
  </si>
  <si>
    <t>Chicken Katsu with Fries</t>
  </si>
  <si>
    <t>M0085</t>
  </si>
  <si>
    <t>Thai Black Tea Number One 400 gr</t>
  </si>
  <si>
    <t>B004</t>
  </si>
  <si>
    <t>Choco Java Ice</t>
  </si>
  <si>
    <t>M0086</t>
  </si>
  <si>
    <t>Cengkeh</t>
  </si>
  <si>
    <t>B005</t>
  </si>
  <si>
    <t>Choco Java Hot</t>
  </si>
  <si>
    <t>M0087</t>
  </si>
  <si>
    <t>Much &amp; More Woodlane Custom</t>
  </si>
  <si>
    <t>B006</t>
  </si>
  <si>
    <t>Kalita wave Lokal</t>
  </si>
  <si>
    <t>M0088</t>
  </si>
  <si>
    <t>Soy Milk Drinho</t>
  </si>
  <si>
    <t>B007</t>
  </si>
  <si>
    <t>Kalita wave Import</t>
  </si>
  <si>
    <t>M0089</t>
  </si>
  <si>
    <t>Ice Cream Vanilla Diamond Sukanda</t>
  </si>
  <si>
    <t>B008</t>
  </si>
  <si>
    <t>Mac &amp; Cheese</t>
  </si>
  <si>
    <t>M0090</t>
  </si>
  <si>
    <t>Fanta Soda Botol</t>
  </si>
  <si>
    <t>B009</t>
  </si>
  <si>
    <t>Black Magic Hot</t>
  </si>
  <si>
    <t>M0091</t>
  </si>
  <si>
    <t>B010</t>
  </si>
  <si>
    <t>Soko's Classic Brunch</t>
  </si>
  <si>
    <t>M0092</t>
  </si>
  <si>
    <t>B011</t>
  </si>
  <si>
    <t>Chicken Sandwich</t>
  </si>
  <si>
    <t>M0093</t>
  </si>
  <si>
    <t>Strawberry Puree Health Today</t>
  </si>
  <si>
    <t>B012</t>
  </si>
  <si>
    <t>Chicken Salad Lemon Dressing</t>
  </si>
  <si>
    <t>M0094</t>
  </si>
  <si>
    <t>Taro Powder Health Today</t>
  </si>
  <si>
    <t>B013</t>
  </si>
  <si>
    <t>Nachos Primero</t>
  </si>
  <si>
    <t>M0095</t>
  </si>
  <si>
    <t>Red Velvet Powder Health Today</t>
  </si>
  <si>
    <t>B014</t>
  </si>
  <si>
    <t>Nachos Pollo Queso</t>
  </si>
  <si>
    <t>M0096</t>
  </si>
  <si>
    <t>Green Tea Powder Dillco</t>
  </si>
  <si>
    <t>B015</t>
  </si>
  <si>
    <t>French Fries Bolognaise</t>
  </si>
  <si>
    <t>M0097</t>
  </si>
  <si>
    <t>Powder Chocolate Origin Andalas</t>
  </si>
  <si>
    <t>B016</t>
  </si>
  <si>
    <t>French Fries Mozzarella</t>
  </si>
  <si>
    <t>M0098</t>
  </si>
  <si>
    <t>Charcoal Powder</t>
  </si>
  <si>
    <t>B017</t>
  </si>
  <si>
    <t>Crispy Chicken Dice</t>
  </si>
  <si>
    <t>M0099</t>
  </si>
  <si>
    <t>Pocky Choco Stick</t>
  </si>
  <si>
    <t>B018</t>
  </si>
  <si>
    <t>Mushroom Crispy</t>
  </si>
  <si>
    <t>M0100</t>
  </si>
  <si>
    <t>Single Origin 85k</t>
  </si>
  <si>
    <t>B019</t>
  </si>
  <si>
    <t>Spring Roll</t>
  </si>
  <si>
    <t>M0101</t>
  </si>
  <si>
    <t>Single Origin 75k</t>
  </si>
  <si>
    <t>B020</t>
  </si>
  <si>
    <t>Wings Barbeque</t>
  </si>
  <si>
    <t>M0102</t>
  </si>
  <si>
    <t>Single Origin 140k</t>
  </si>
  <si>
    <t>B021</t>
  </si>
  <si>
    <t>Wings Combo</t>
  </si>
  <si>
    <t>M0103</t>
  </si>
  <si>
    <t>Single Origin 100k Import</t>
  </si>
  <si>
    <t>B022</t>
  </si>
  <si>
    <t>Potato Lite</t>
  </si>
  <si>
    <t>M0104</t>
  </si>
  <si>
    <t>Single Origin 150k Import</t>
  </si>
  <si>
    <t>B023</t>
  </si>
  <si>
    <t>Ribs Soup</t>
  </si>
  <si>
    <t>M0105</t>
  </si>
  <si>
    <t xml:space="preserve">Garnish Kering Pineaple </t>
  </si>
  <si>
    <t>B024</t>
  </si>
  <si>
    <t>Chicken Lemongrass</t>
  </si>
  <si>
    <t>M0106</t>
  </si>
  <si>
    <t>B025</t>
  </si>
  <si>
    <t>Beef Lemongrass</t>
  </si>
  <si>
    <t>M0107</t>
  </si>
  <si>
    <t>B026</t>
  </si>
  <si>
    <t>Chicken Zurich Mushroom</t>
  </si>
  <si>
    <t>M0108</t>
  </si>
  <si>
    <t>B027</t>
  </si>
  <si>
    <t>Beef Zurich Mushroom</t>
  </si>
  <si>
    <t>M0109</t>
  </si>
  <si>
    <t>UHT Full Cream Diamond Sukanda</t>
  </si>
  <si>
    <t>B028</t>
  </si>
  <si>
    <t>Ayam Sambal Matah Mozarella</t>
  </si>
  <si>
    <t>M0110</t>
  </si>
  <si>
    <t>Orange Sunkist Fruit</t>
  </si>
  <si>
    <t>B029</t>
  </si>
  <si>
    <t>Chicken Cordon Bleu</t>
  </si>
  <si>
    <t>M0111</t>
  </si>
  <si>
    <t>Lemon Fruit</t>
  </si>
  <si>
    <t>B030</t>
  </si>
  <si>
    <t>Chicken Snitzel</t>
  </si>
  <si>
    <t>M0112</t>
  </si>
  <si>
    <t>SKM Carnation</t>
  </si>
  <si>
    <t>B031</t>
  </si>
  <si>
    <t>Ayam Goreng Komplit</t>
  </si>
  <si>
    <t>M0113</t>
  </si>
  <si>
    <t>Beef Topside</t>
  </si>
  <si>
    <t>B032</t>
  </si>
  <si>
    <t>Ayam Bakar Komplit</t>
  </si>
  <si>
    <t>M0114</t>
  </si>
  <si>
    <t>Gula Merah / Aren Padat Kiloan</t>
  </si>
  <si>
    <t>B033</t>
  </si>
  <si>
    <t>Grill Ribs BBQ</t>
  </si>
  <si>
    <t>M0115</t>
  </si>
  <si>
    <t>Gula Merah / Aren Bubuk Saset</t>
  </si>
  <si>
    <t>B034</t>
  </si>
  <si>
    <t>Bolognaise Pasta Spaghetti</t>
  </si>
  <si>
    <t>M0116</t>
  </si>
  <si>
    <t>Wortel Grade A</t>
  </si>
  <si>
    <t>B035</t>
  </si>
  <si>
    <t>Bolognaise Pasta Fettucini</t>
  </si>
  <si>
    <t>M0117</t>
  </si>
  <si>
    <t>Ayam Boneless Dada</t>
  </si>
  <si>
    <t>B036</t>
  </si>
  <si>
    <t>Brulle Creamy Pasta Spaghetti</t>
  </si>
  <si>
    <t>M0118</t>
  </si>
  <si>
    <t>Telur Ayam</t>
  </si>
  <si>
    <t>B037</t>
  </si>
  <si>
    <t>Brulle Creamy Pasta Fettucini</t>
  </si>
  <si>
    <t>M0119</t>
  </si>
  <si>
    <t>Ayam Sayap</t>
  </si>
  <si>
    <t>B038</t>
  </si>
  <si>
    <t>Nasi Goreng Sapi</t>
  </si>
  <si>
    <t>M0120</t>
  </si>
  <si>
    <t>Cabe kering</t>
  </si>
  <si>
    <t>B039</t>
  </si>
  <si>
    <t>Soko Fried Rice</t>
  </si>
  <si>
    <t>M0121</t>
  </si>
  <si>
    <t>Cabe Rawit</t>
  </si>
  <si>
    <t>B040</t>
  </si>
  <si>
    <t>Beef Lovers Pizza</t>
  </si>
  <si>
    <t>M0122</t>
  </si>
  <si>
    <t>Cireng</t>
  </si>
  <si>
    <t>B041</t>
  </si>
  <si>
    <t>unit</t>
  </si>
  <si>
    <t>Cheese Lovers Pizza</t>
  </si>
  <si>
    <t>M0123</t>
  </si>
  <si>
    <t>Sunquick Lemon</t>
  </si>
  <si>
    <t>B042</t>
  </si>
  <si>
    <t>Mix Max Pizza</t>
  </si>
  <si>
    <t>M0124</t>
  </si>
  <si>
    <t>Sunquick Orange</t>
  </si>
  <si>
    <t>B043</t>
  </si>
  <si>
    <t>Aglio olio pasta Fettucini</t>
  </si>
  <si>
    <t>M0125</t>
  </si>
  <si>
    <t>Cooking Cream Millac Gold</t>
  </si>
  <si>
    <t>B044</t>
  </si>
  <si>
    <t>Tropical Sunrise</t>
  </si>
  <si>
    <t>M0126</t>
  </si>
  <si>
    <t>Dark Chocolate Compound Colatta</t>
  </si>
  <si>
    <t>B045</t>
  </si>
  <si>
    <t>Elanor Rigby</t>
  </si>
  <si>
    <t>M0127</t>
  </si>
  <si>
    <t>Tepung Segitiga Biru</t>
  </si>
  <si>
    <t>B046</t>
  </si>
  <si>
    <t>Bitter Sweet</t>
  </si>
  <si>
    <t>M0128</t>
  </si>
  <si>
    <t>Donat Kentang</t>
  </si>
  <si>
    <t>B047</t>
  </si>
  <si>
    <t>Nasi Goreng Soko</t>
  </si>
  <si>
    <t>M0129</t>
  </si>
  <si>
    <t>Freshmilk Diamond Sukanda</t>
  </si>
  <si>
    <t>B048</t>
  </si>
  <si>
    <t>Beef Lovers Pizza New</t>
  </si>
  <si>
    <t>M0130</t>
  </si>
  <si>
    <t>Minyak Goreng Sania</t>
  </si>
  <si>
    <t>B049</t>
  </si>
  <si>
    <t>Margherita Pizza</t>
  </si>
  <si>
    <t>M0131</t>
  </si>
  <si>
    <t>Bawang Putih</t>
  </si>
  <si>
    <t>B050</t>
  </si>
  <si>
    <t>Beef Lemongrass Online</t>
  </si>
  <si>
    <t>M0132</t>
  </si>
  <si>
    <t>Jamur Champignon</t>
  </si>
  <si>
    <t>B051</t>
  </si>
  <si>
    <t>Chicken Mushroom Online</t>
  </si>
  <si>
    <t>M0133</t>
  </si>
  <si>
    <t xml:space="preserve">Leaf Oregano </t>
  </si>
  <si>
    <t>B052</t>
  </si>
  <si>
    <t>Beef Mushroom Online</t>
  </si>
  <si>
    <t>M0134</t>
  </si>
  <si>
    <t>Mentega Blueband Curah</t>
  </si>
  <si>
    <t>B053</t>
  </si>
  <si>
    <t>AYAM ASAM MANIS</t>
  </si>
  <si>
    <t>M0135</t>
  </si>
  <si>
    <t>Mayonaise Maestro</t>
  </si>
  <si>
    <t>B054</t>
  </si>
  <si>
    <t>CAPCAY</t>
  </si>
  <si>
    <t>M0136</t>
  </si>
  <si>
    <t>Bawang Bombay</t>
  </si>
  <si>
    <t>B055</t>
  </si>
  <si>
    <t>M0137</t>
  </si>
  <si>
    <t>Oyster Sauce Panda</t>
  </si>
  <si>
    <t>B056</t>
  </si>
  <si>
    <t>Creamy Chicken Blackpepper</t>
  </si>
  <si>
    <t>M0138</t>
  </si>
  <si>
    <t>Paper v60 02 Hario</t>
  </si>
  <si>
    <t>B057</t>
  </si>
  <si>
    <t>pack</t>
  </si>
  <si>
    <t>Ayam Szechuan</t>
  </si>
  <si>
    <t>M0139</t>
  </si>
  <si>
    <t>Paprika Green</t>
  </si>
  <si>
    <t>B058</t>
  </si>
  <si>
    <t>Ayam Lada Hitam</t>
  </si>
  <si>
    <t>M0140</t>
  </si>
  <si>
    <t>Pasta Spaghetti Lafonte</t>
  </si>
  <si>
    <t>B059</t>
  </si>
  <si>
    <t>Creamy Beef Blackpepper</t>
  </si>
  <si>
    <t>M0141</t>
  </si>
  <si>
    <t>Powder Chicken Royco</t>
  </si>
  <si>
    <t>B060</t>
  </si>
  <si>
    <t>Brulle Creamy Pasta Macaroni</t>
  </si>
  <si>
    <t>M0142</t>
  </si>
  <si>
    <t>Puff Pastry Stella</t>
  </si>
  <si>
    <t>B061</t>
  </si>
  <si>
    <t>Paru Sambal Ijo</t>
  </si>
  <si>
    <t>M0143</t>
  </si>
  <si>
    <t>Beras Rojo Lele</t>
  </si>
  <si>
    <t>B062</t>
  </si>
  <si>
    <t>Paru Sambal Balado</t>
  </si>
  <si>
    <t>M0144</t>
  </si>
  <si>
    <t>Garam</t>
  </si>
  <si>
    <t>B063</t>
  </si>
  <si>
    <t>Dendeng Sambal Ijo</t>
  </si>
  <si>
    <t>Chilli Sauce Delmonte</t>
  </si>
  <si>
    <t>B064</t>
  </si>
  <si>
    <t>Dendeng Sambal Balado</t>
  </si>
  <si>
    <t>Chocolate Mariza Topping</t>
  </si>
  <si>
    <t>B065</t>
  </si>
  <si>
    <t>Ayam Penyet Sambal Ijo</t>
  </si>
  <si>
    <t>Delmonte Tomato</t>
  </si>
  <si>
    <t>B066</t>
  </si>
  <si>
    <t>Ayam Penyet Sambal Balado</t>
  </si>
  <si>
    <t>Max Choice Ori (Sosis)</t>
  </si>
  <si>
    <t>B067</t>
  </si>
  <si>
    <t>Cumi Asin Sambal Ijo</t>
  </si>
  <si>
    <t>Smoked Beef Deli Max</t>
  </si>
  <si>
    <t>B068</t>
  </si>
  <si>
    <t>Cumi Asin Sambal Balado</t>
  </si>
  <si>
    <t>Strawberry Fruit</t>
  </si>
  <si>
    <t>B069</t>
  </si>
  <si>
    <t>Chicken Karage</t>
  </si>
  <si>
    <t>Kecap Manis Bango</t>
  </si>
  <si>
    <t>B070</t>
  </si>
  <si>
    <t xml:space="preserve">Strawberry Syrup Mardjan </t>
  </si>
  <si>
    <t>B071</t>
  </si>
  <si>
    <t>Premium Tea Chamomile</t>
  </si>
  <si>
    <t>M0145</t>
  </si>
  <si>
    <t>Tea Whity Rose Havilla</t>
  </si>
  <si>
    <t>B072</t>
  </si>
  <si>
    <t>Matcha Latte Hot</t>
  </si>
  <si>
    <t>M0146</t>
  </si>
  <si>
    <t>Tahu</t>
  </si>
  <si>
    <t>B073</t>
  </si>
  <si>
    <t>Matcha Latte Ice</t>
  </si>
  <si>
    <t>M0147</t>
  </si>
  <si>
    <t>Merica</t>
  </si>
  <si>
    <t>B074</t>
  </si>
  <si>
    <t>Green Cucumber</t>
  </si>
  <si>
    <t>M0148</t>
  </si>
  <si>
    <t>Baking Powder Koepoe</t>
  </si>
  <si>
    <t>B075</t>
  </si>
  <si>
    <t>Lychee Ice Tea</t>
  </si>
  <si>
    <t>M0149</t>
  </si>
  <si>
    <t>Soda Kue Koepoe</t>
  </si>
  <si>
    <t>B076</t>
  </si>
  <si>
    <t>Es Kopi Soko 1 Lt</t>
  </si>
  <si>
    <t>M0150</t>
  </si>
  <si>
    <t>Leaf Bay</t>
  </si>
  <si>
    <t>B077</t>
  </si>
  <si>
    <t>Ayam Bakar</t>
  </si>
  <si>
    <t>M0151</t>
  </si>
  <si>
    <t>Serai</t>
  </si>
  <si>
    <t>B078</t>
  </si>
  <si>
    <t>Ayam Serundeng</t>
  </si>
  <si>
    <t>M0152</t>
  </si>
  <si>
    <t>Daun Bawang</t>
  </si>
  <si>
    <t>B079</t>
  </si>
  <si>
    <t>Ayam Goreng</t>
  </si>
  <si>
    <t>M0153</t>
  </si>
  <si>
    <t>Kecap Asin ABC 150ml</t>
  </si>
  <si>
    <t>B080</t>
  </si>
  <si>
    <t>Ayam Penyet</t>
  </si>
  <si>
    <t>M0154</t>
  </si>
  <si>
    <t>Timun</t>
  </si>
  <si>
    <t>B081</t>
  </si>
  <si>
    <t>Sate Taican</t>
  </si>
  <si>
    <t>M0155</t>
  </si>
  <si>
    <t>Tepung Roti Halus</t>
  </si>
  <si>
    <t>B082</t>
  </si>
  <si>
    <t>Nasi Gepuk</t>
  </si>
  <si>
    <t>M0156</t>
  </si>
  <si>
    <t>Gula Halus</t>
  </si>
  <si>
    <t>B083</t>
  </si>
  <si>
    <t>Nasi dendeng</t>
  </si>
  <si>
    <t>M0157</t>
  </si>
  <si>
    <t>Cup Oval 12 Oz Custom Soko</t>
  </si>
  <si>
    <t>B084</t>
  </si>
  <si>
    <t>Nasi Oseng Mercon</t>
  </si>
  <si>
    <t>M0158</t>
  </si>
  <si>
    <t>Packing Cup Hot 8 Oz</t>
  </si>
  <si>
    <t>B085</t>
  </si>
  <si>
    <t>Soto Bandung</t>
  </si>
  <si>
    <t>M0159</t>
  </si>
  <si>
    <t>Teh Naga</t>
  </si>
  <si>
    <t>B086</t>
  </si>
  <si>
    <t>Nasi Telur</t>
  </si>
  <si>
    <t>M0160</t>
  </si>
  <si>
    <t>Vit Mineral Water 600ml</t>
  </si>
  <si>
    <t>B087</t>
  </si>
  <si>
    <t>Botol</t>
  </si>
  <si>
    <t>Not Check</t>
  </si>
  <si>
    <t>Paket Ayam</t>
  </si>
  <si>
    <t>M0161</t>
  </si>
  <si>
    <t>Paper Kalita Mokhastock</t>
  </si>
  <si>
    <t>B088</t>
  </si>
  <si>
    <t>Pcs</t>
  </si>
  <si>
    <t>Paket Dendeng</t>
  </si>
  <si>
    <t>M0162</t>
  </si>
  <si>
    <t>Paper Aeropress Suji</t>
  </si>
  <si>
    <t>B089</t>
  </si>
  <si>
    <t>Paket Cumi</t>
  </si>
  <si>
    <t>M0163</t>
  </si>
  <si>
    <t>Paper Bowl 500ml + Tutup</t>
  </si>
  <si>
    <t>B090</t>
  </si>
  <si>
    <t>Paket Oseng Mercon</t>
  </si>
  <si>
    <t>M0164</t>
  </si>
  <si>
    <t>Risoles Mozzarella Dinda</t>
  </si>
  <si>
    <t>B091</t>
  </si>
  <si>
    <t>Tropical Ice Cream Scoop</t>
  </si>
  <si>
    <t>M0165</t>
  </si>
  <si>
    <t>Chocolate Banana Roll</t>
  </si>
  <si>
    <t>B092</t>
  </si>
  <si>
    <t>XXXX</t>
  </si>
  <si>
    <t>Paper Filter Flat Bottom Suji</t>
  </si>
  <si>
    <t>B093</t>
  </si>
  <si>
    <t>Beef Powder Royco</t>
  </si>
  <si>
    <t>B094</t>
  </si>
  <si>
    <t>Ayam Cincang</t>
  </si>
  <si>
    <t>B095</t>
  </si>
  <si>
    <t>Daging Cincang</t>
  </si>
  <si>
    <t>B096</t>
  </si>
  <si>
    <t>Seledri</t>
  </si>
  <si>
    <t>B097</t>
  </si>
  <si>
    <t>Lada Hitam Biji</t>
  </si>
  <si>
    <t>B098</t>
  </si>
  <si>
    <t>Ragi Fermipan</t>
  </si>
  <si>
    <t>B099</t>
  </si>
  <si>
    <t>sachet</t>
  </si>
  <si>
    <t>Mozzarella Cheese Perfecto</t>
  </si>
  <si>
    <t>B100</t>
  </si>
  <si>
    <t>American Breakfast</t>
  </si>
  <si>
    <t>Asam Jawa Kemasan</t>
  </si>
  <si>
    <t>B101</t>
  </si>
  <si>
    <t>Omelet</t>
  </si>
  <si>
    <t>Daun Jeruk</t>
  </si>
  <si>
    <t>B102</t>
  </si>
  <si>
    <t>Donat</t>
  </si>
  <si>
    <t>Daun Salam</t>
  </si>
  <si>
    <t>B103</t>
  </si>
  <si>
    <t xml:space="preserve">Pancake </t>
  </si>
  <si>
    <t xml:space="preserve">Spons Busa </t>
  </si>
  <si>
    <t>B104</t>
  </si>
  <si>
    <t>Tiramisu Latte Ice</t>
  </si>
  <si>
    <t>Kol Putih</t>
  </si>
  <si>
    <t>B105</t>
  </si>
  <si>
    <t>Tiramisu Latte Hot</t>
  </si>
  <si>
    <t>Tortilla Corn</t>
  </si>
  <si>
    <t>B106</t>
  </si>
  <si>
    <t>Matcha Coffe Ice</t>
  </si>
  <si>
    <t>Rosemary</t>
  </si>
  <si>
    <t>B107</t>
  </si>
  <si>
    <t>Cream Cheese Coffee Ice</t>
  </si>
  <si>
    <t>Paha Ayam</t>
  </si>
  <si>
    <t>B108</t>
  </si>
  <si>
    <t>Kiwi Delight</t>
  </si>
  <si>
    <t>Tomato Cherry</t>
  </si>
  <si>
    <t>B109</t>
  </si>
  <si>
    <t>Mango Tango</t>
  </si>
  <si>
    <t>Kol Ungu</t>
  </si>
  <si>
    <t>B110</t>
  </si>
  <si>
    <t>Strawberry Dream</t>
  </si>
  <si>
    <t>Potato Cringkle Cut</t>
  </si>
  <si>
    <t>B111</t>
  </si>
  <si>
    <t>Baby Purple</t>
  </si>
  <si>
    <t xml:space="preserve">Kulit Ayam </t>
  </si>
  <si>
    <t>B112</t>
  </si>
  <si>
    <t>Lemon Tea Peach Ice</t>
  </si>
  <si>
    <t>Krupuk Sumber Sari</t>
  </si>
  <si>
    <t>B113</t>
  </si>
  <si>
    <t>Dark Choco Ice</t>
  </si>
  <si>
    <t>Spaghetti Sauce Delmonte</t>
  </si>
  <si>
    <t>B114</t>
  </si>
  <si>
    <t>Sop Iga</t>
  </si>
  <si>
    <t>Pocky Strawberry Stick</t>
  </si>
  <si>
    <t>B115</t>
  </si>
  <si>
    <t>Nasi Iga Bakar</t>
  </si>
  <si>
    <t>Trimit Rainbow Sprinkle</t>
  </si>
  <si>
    <t>B116</t>
  </si>
  <si>
    <t>Sop Buntut</t>
  </si>
  <si>
    <t>Smoke Barbeque Sauce Delmonte</t>
  </si>
  <si>
    <t>B117</t>
  </si>
  <si>
    <t>Nasi Buntut Bakar</t>
  </si>
  <si>
    <t>Chrysantemum Havilla</t>
  </si>
  <si>
    <t>B118</t>
  </si>
  <si>
    <t>Bakmie Godhog Jawa</t>
  </si>
  <si>
    <t>Pineapple Juice Jungle Diamond</t>
  </si>
  <si>
    <t>B119</t>
  </si>
  <si>
    <t>Bakmie Nyemek</t>
  </si>
  <si>
    <t>Pomegranete Juice Jungle Diamond</t>
  </si>
  <si>
    <t>B120</t>
  </si>
  <si>
    <t>Bakmie Goreng</t>
  </si>
  <si>
    <t>Lemon Syrup Mardjan 460ml</t>
  </si>
  <si>
    <t>B121</t>
  </si>
  <si>
    <t>Tahu Pletok</t>
  </si>
  <si>
    <t>Peach Syrup Monin</t>
  </si>
  <si>
    <t>B122</t>
  </si>
  <si>
    <t>Tempe Tepung</t>
  </si>
  <si>
    <t>Mint Syrup Health Today</t>
  </si>
  <si>
    <t>B123</t>
  </si>
  <si>
    <t>Nasi Ayam Ungkep</t>
  </si>
  <si>
    <t>Green Apple Syrup Monin</t>
  </si>
  <si>
    <t>B124</t>
  </si>
  <si>
    <t>Bala-Bala</t>
  </si>
  <si>
    <t>Blue Lagoon Syrup Monin</t>
  </si>
  <si>
    <t>B125</t>
  </si>
  <si>
    <t>Kol Goreng</t>
  </si>
  <si>
    <t>Rosella Tea</t>
  </si>
  <si>
    <t>B126</t>
  </si>
  <si>
    <t>Nasi Goreng Kampung</t>
  </si>
  <si>
    <t>Kiwi Puree Health Today</t>
  </si>
  <si>
    <t>B127</t>
  </si>
  <si>
    <t>Nasi Goreng Cabut</t>
  </si>
  <si>
    <t>Sedotan Steril Hitam</t>
  </si>
  <si>
    <t>B128</t>
  </si>
  <si>
    <t>Nasi Goreng Iga Bakar</t>
  </si>
  <si>
    <t>Stirrer / Straw Strip</t>
  </si>
  <si>
    <t>B129</t>
  </si>
  <si>
    <t>Pisang Goreng</t>
  </si>
  <si>
    <t>Trash Bag Tulip 80 x 120 (0,6)</t>
  </si>
  <si>
    <t>B130</t>
  </si>
  <si>
    <t>Bakso Cuanki</t>
  </si>
  <si>
    <t>Coffee Detergen</t>
  </si>
  <si>
    <t>B131</t>
  </si>
  <si>
    <t>Detergen Daia</t>
  </si>
  <si>
    <t>B132</t>
  </si>
  <si>
    <t>Sunlight</t>
  </si>
  <si>
    <t>B133</t>
  </si>
  <si>
    <t>Chocogato</t>
  </si>
  <si>
    <t>Tissue Pop Up Pulpies</t>
  </si>
  <si>
    <t>B134</t>
  </si>
  <si>
    <t>Creamy Brulle Ice</t>
  </si>
  <si>
    <t>Tissue Multifold Lush Pulpies</t>
  </si>
  <si>
    <t>B135</t>
  </si>
  <si>
    <t>Creamy Brulle Hot</t>
  </si>
  <si>
    <t>Parsley</t>
  </si>
  <si>
    <t>B136</t>
  </si>
  <si>
    <t>MSG Sasa</t>
  </si>
  <si>
    <t>B137</t>
  </si>
  <si>
    <t>Maizenaku</t>
  </si>
  <si>
    <t>B138</t>
  </si>
  <si>
    <t>Dark Choco Hot</t>
  </si>
  <si>
    <t xml:space="preserve">Paprika Powder </t>
  </si>
  <si>
    <t>B139</t>
  </si>
  <si>
    <t>Ayam Goreng Kremes</t>
  </si>
  <si>
    <t>Garlic Powder Koepoe</t>
  </si>
  <si>
    <t>B140</t>
  </si>
  <si>
    <t>Jukut Goreng</t>
  </si>
  <si>
    <t>Plastik klip 8x13.5</t>
  </si>
  <si>
    <t>B141</t>
  </si>
  <si>
    <t>Telur Dadar</t>
  </si>
  <si>
    <t>Plastik Bening Anti Panas 15x30</t>
  </si>
  <si>
    <t>B142</t>
  </si>
  <si>
    <t>Telur Barendo</t>
  </si>
  <si>
    <t>Spons</t>
  </si>
  <si>
    <t>B143</t>
  </si>
  <si>
    <t>Rawon</t>
  </si>
  <si>
    <t>Buncis</t>
  </si>
  <si>
    <t>B144</t>
  </si>
  <si>
    <t>Lemon Tea Cola</t>
  </si>
  <si>
    <t>Kantong Tulip 24</t>
  </si>
  <si>
    <t>B145</t>
  </si>
  <si>
    <t>Black Raspberry</t>
  </si>
  <si>
    <t>New</t>
  </si>
  <si>
    <t>Kantong Tulip 15</t>
  </si>
  <si>
    <t>B146</t>
  </si>
  <si>
    <t>Black Apple</t>
  </si>
  <si>
    <t>Sendok Plastik Steril Bening</t>
  </si>
  <si>
    <t>B147</t>
  </si>
  <si>
    <t>Black Lemon</t>
  </si>
  <si>
    <t>Garpu Plastik Steril Bening</t>
  </si>
  <si>
    <t>B148</t>
  </si>
  <si>
    <t>Gulaku Kuning</t>
  </si>
  <si>
    <t>B149</t>
  </si>
  <si>
    <t>HandSoap Yuri</t>
  </si>
  <si>
    <t>B150</t>
  </si>
  <si>
    <t>Keju Chedar Prochiz</t>
  </si>
  <si>
    <t>B151</t>
  </si>
  <si>
    <t>Kamper Yuri</t>
  </si>
  <si>
    <t>B152</t>
  </si>
  <si>
    <t>Stella Pengharum Ruangan</t>
  </si>
  <si>
    <t>B153</t>
  </si>
  <si>
    <t>can</t>
  </si>
  <si>
    <t>Plastik Wrape</t>
  </si>
  <si>
    <t>B154</t>
  </si>
  <si>
    <t>Bumbu Keju Tabur</t>
  </si>
  <si>
    <t>B155</t>
  </si>
  <si>
    <t>Jagung Manis Kupas</t>
  </si>
  <si>
    <t>B156</t>
  </si>
  <si>
    <t>Tepung Tapioka Rose Brand</t>
  </si>
  <si>
    <t>B157</t>
  </si>
  <si>
    <t>Arabika Espresso</t>
  </si>
  <si>
    <t>B158</t>
  </si>
  <si>
    <t>Gula Aren Kiloan</t>
  </si>
  <si>
    <t>B159</t>
  </si>
  <si>
    <t>Biji Wijen</t>
  </si>
  <si>
    <t>B160</t>
  </si>
  <si>
    <t>Sesame Oil Kuda</t>
  </si>
  <si>
    <t>B161</t>
  </si>
  <si>
    <t>Chilli Red</t>
  </si>
  <si>
    <t>B162</t>
  </si>
  <si>
    <t>Bawang Merah</t>
  </si>
  <si>
    <t>B163</t>
  </si>
  <si>
    <t>Jahe</t>
  </si>
  <si>
    <t>B164</t>
  </si>
  <si>
    <t>Lafonte Fettucini</t>
  </si>
  <si>
    <t>B165</t>
  </si>
  <si>
    <t>Spons Kawat</t>
  </si>
  <si>
    <t>B166</t>
  </si>
  <si>
    <t>Lafonte Macaroni</t>
  </si>
  <si>
    <t>B167</t>
  </si>
  <si>
    <t>Tomato</t>
  </si>
  <si>
    <t>B168</t>
  </si>
  <si>
    <t>Kunyit</t>
  </si>
  <si>
    <t>B169</t>
  </si>
  <si>
    <t>Butter Scoutch</t>
  </si>
  <si>
    <t>B170</t>
  </si>
  <si>
    <t>Chicken Tg</t>
  </si>
  <si>
    <t>B171</t>
  </si>
  <si>
    <t>Kayu Manis</t>
  </si>
  <si>
    <t>B172</t>
  </si>
  <si>
    <t>Mango Mint</t>
  </si>
  <si>
    <t>B173</t>
  </si>
  <si>
    <t>Millac Pink</t>
  </si>
  <si>
    <t>B174</t>
  </si>
  <si>
    <t>Stiker Vinyl Minuman</t>
  </si>
  <si>
    <t>B175</t>
  </si>
  <si>
    <t>Green Peach Tea</t>
  </si>
  <si>
    <t>B176</t>
  </si>
  <si>
    <t>Kertas Thermal 80x80 mm</t>
  </si>
  <si>
    <t>B177</t>
  </si>
  <si>
    <t>Pledge Pembersih Kayu</t>
  </si>
  <si>
    <t>B178</t>
  </si>
  <si>
    <t>Tissue Roll</t>
  </si>
  <si>
    <t>B179</t>
  </si>
  <si>
    <t>roll</t>
  </si>
  <si>
    <t>Arghani Chocolate Mixing</t>
  </si>
  <si>
    <t>B180</t>
  </si>
  <si>
    <t>Softex Charm</t>
  </si>
  <si>
    <t>B181</t>
  </si>
  <si>
    <t>Lunch Box Ukuran M</t>
  </si>
  <si>
    <t>B182</t>
  </si>
  <si>
    <t>Tokped</t>
  </si>
  <si>
    <t>Plastik Sealer</t>
  </si>
  <si>
    <t>B183</t>
  </si>
  <si>
    <t>Gula Putih Sachet</t>
  </si>
  <si>
    <t>B184</t>
  </si>
  <si>
    <t>Lemon Garnish Kering</t>
  </si>
  <si>
    <t>B185</t>
  </si>
  <si>
    <t>Gas 12 Kg</t>
  </si>
  <si>
    <t>B186</t>
  </si>
  <si>
    <t xml:space="preserve">Toothpick </t>
  </si>
  <si>
    <t>B187</t>
  </si>
  <si>
    <t xml:space="preserve">Tisu Minyak </t>
  </si>
  <si>
    <t>B188</t>
  </si>
  <si>
    <t>Chek</t>
  </si>
  <si>
    <t xml:space="preserve">Gas Portable </t>
  </si>
  <si>
    <t>B189</t>
  </si>
  <si>
    <t xml:space="preserve">Croisant </t>
  </si>
  <si>
    <t>B190</t>
  </si>
  <si>
    <t xml:space="preserve">Minyak Wijen </t>
  </si>
  <si>
    <t>B191</t>
  </si>
  <si>
    <t>Daging Sapi Has Dalam</t>
  </si>
  <si>
    <t>B192</t>
  </si>
  <si>
    <t>Daging Ayam Potong</t>
  </si>
  <si>
    <t>B193</t>
  </si>
  <si>
    <t>Paru Sapi</t>
  </si>
  <si>
    <t>B194</t>
  </si>
  <si>
    <t>Cumi Asin</t>
  </si>
  <si>
    <t>B195</t>
  </si>
  <si>
    <t>B196</t>
  </si>
  <si>
    <t>Cabe Merah Besar</t>
  </si>
  <si>
    <t>B197</t>
  </si>
  <si>
    <t>Cabe Hijau Besar</t>
  </si>
  <si>
    <t>B198</t>
  </si>
  <si>
    <t>Rawit Hijau</t>
  </si>
  <si>
    <t>B199</t>
  </si>
  <si>
    <t>Tomat Merah</t>
  </si>
  <si>
    <t>B200</t>
  </si>
  <si>
    <t>Tomat Hijau</t>
  </si>
  <si>
    <t>B201</t>
  </si>
  <si>
    <t>Terong Ungu</t>
  </si>
  <si>
    <t>B202</t>
  </si>
  <si>
    <t>Jamur Tiram</t>
  </si>
  <si>
    <t>B203</t>
  </si>
  <si>
    <t>Ketumbar</t>
  </si>
  <si>
    <t>B204</t>
  </si>
  <si>
    <t>Kemiri</t>
  </si>
  <si>
    <t>B205</t>
  </si>
  <si>
    <t>Lengkuas</t>
  </si>
  <si>
    <t>B206</t>
  </si>
  <si>
    <t>Daun Pisang</t>
  </si>
  <si>
    <t>B207</t>
  </si>
  <si>
    <t>Black Olive</t>
  </si>
  <si>
    <t>B208</t>
  </si>
  <si>
    <t>Garnish Kering Almond Slice</t>
  </si>
  <si>
    <t>B209</t>
  </si>
  <si>
    <t>Garnish Kering Mix Fruit</t>
  </si>
  <si>
    <t>B210</t>
  </si>
  <si>
    <t>Garnish Kering Coconut</t>
  </si>
  <si>
    <t>B211</t>
  </si>
  <si>
    <t>Tusukan Garnish</t>
  </si>
  <si>
    <t>B212</t>
  </si>
  <si>
    <t>B213</t>
  </si>
  <si>
    <t>B214</t>
  </si>
  <si>
    <t>B215</t>
  </si>
  <si>
    <t>B216</t>
  </si>
  <si>
    <t>Dried Garnish Lemon</t>
  </si>
  <si>
    <t>B217</t>
  </si>
  <si>
    <t>Dried Garnish Pineaple</t>
  </si>
  <si>
    <t>B218</t>
  </si>
  <si>
    <t>Dried Garnish Sunkist</t>
  </si>
  <si>
    <t>B219</t>
  </si>
  <si>
    <t>B220</t>
  </si>
  <si>
    <t>B221</t>
  </si>
  <si>
    <t>Powder Chocolate Origin Bali Kamarasa</t>
  </si>
  <si>
    <t>B222</t>
  </si>
  <si>
    <t>Powder Chocolate Origin Java Srawana</t>
  </si>
  <si>
    <t>B223</t>
  </si>
  <si>
    <t>Powder Chocolate Origin Lampung Andan Jejama</t>
  </si>
  <si>
    <t>B224</t>
  </si>
  <si>
    <t>Powder Chocolate Origin West Java Rajamandala</t>
  </si>
  <si>
    <t>B225</t>
  </si>
  <si>
    <t>B226</t>
  </si>
  <si>
    <t>B227</t>
  </si>
  <si>
    <t>B228</t>
  </si>
  <si>
    <t>Aren Liquid</t>
  </si>
  <si>
    <t>B229</t>
  </si>
  <si>
    <t>B230</t>
  </si>
  <si>
    <t>B231</t>
  </si>
  <si>
    <t>B232</t>
  </si>
  <si>
    <t>B233</t>
  </si>
  <si>
    <t>B234</t>
  </si>
  <si>
    <t>Biji Selasih</t>
  </si>
  <si>
    <t>B235</t>
  </si>
  <si>
    <t>Box Pizza 30x30</t>
  </si>
  <si>
    <t>B236</t>
  </si>
  <si>
    <t>Strawberry Frozen</t>
  </si>
  <si>
    <t>B237</t>
  </si>
  <si>
    <t>Syrup Lychee</t>
  </si>
  <si>
    <t>B238</t>
  </si>
  <si>
    <t>lychee Kaleng</t>
  </si>
  <si>
    <t>B239</t>
  </si>
  <si>
    <t>B240</t>
  </si>
  <si>
    <t xml:space="preserve">Box Pizza </t>
  </si>
  <si>
    <t>B241</t>
  </si>
  <si>
    <t xml:space="preserve">Plastik Klip Kecil </t>
  </si>
  <si>
    <t>B242</t>
  </si>
  <si>
    <t>UHT Olden</t>
  </si>
  <si>
    <t>B243</t>
  </si>
  <si>
    <t>Sweet Matcha</t>
  </si>
  <si>
    <t>B244</t>
  </si>
  <si>
    <t>Tea Strawberry Orange</t>
  </si>
  <si>
    <t>B245</t>
  </si>
  <si>
    <t>Drip Vanilla</t>
  </si>
  <si>
    <t>B246</t>
  </si>
  <si>
    <t>Drip Hazelnut</t>
  </si>
  <si>
    <t>B247</t>
  </si>
  <si>
    <t>Drip Caramel</t>
  </si>
  <si>
    <t>B248</t>
  </si>
  <si>
    <t>Drip Rum</t>
  </si>
  <si>
    <t>B249</t>
  </si>
  <si>
    <t>Drip Blue Lagoon</t>
  </si>
  <si>
    <t>B250</t>
  </si>
  <si>
    <t>Drip Apple Green</t>
  </si>
  <si>
    <t>B351</t>
  </si>
  <si>
    <t>Drip Peach</t>
  </si>
  <si>
    <t>B252</t>
  </si>
  <si>
    <t>Beef Tenderloin</t>
  </si>
  <si>
    <t>Lobak</t>
  </si>
  <si>
    <t>Kacang Kedelai</t>
  </si>
  <si>
    <t>Kelapa Parut</t>
  </si>
  <si>
    <t>Tempe</t>
  </si>
  <si>
    <t>Santan Kara</t>
  </si>
  <si>
    <t>Selada Air</t>
  </si>
  <si>
    <t>Totole Jamur</t>
  </si>
  <si>
    <t>Has Dalam Fat</t>
  </si>
  <si>
    <t xml:space="preserve">Tetelan </t>
  </si>
  <si>
    <t>Online</t>
  </si>
  <si>
    <t>Si Biru</t>
  </si>
  <si>
    <t>Bintang Plastik</t>
  </si>
  <si>
    <t>Karbol Lantai Sereh</t>
  </si>
  <si>
    <t>Kertas Minyak Logo</t>
  </si>
  <si>
    <t>Cling</t>
  </si>
  <si>
    <t>Telur Puyuh</t>
  </si>
  <si>
    <t>Jando</t>
  </si>
  <si>
    <t>Usus Ayam</t>
  </si>
  <si>
    <t>Ati Ampela Ayam</t>
  </si>
  <si>
    <t>Kikil Sapi</t>
  </si>
  <si>
    <t>Sosis Cocktail TastyMax</t>
  </si>
  <si>
    <t>De Roti Donut Kentang Ori</t>
  </si>
  <si>
    <t>Pondan Pancake</t>
  </si>
  <si>
    <t>Daging Iga</t>
  </si>
  <si>
    <t>Daging Tulang Iga</t>
  </si>
  <si>
    <t>Tulang Balung</t>
  </si>
  <si>
    <t>Jeruk Limo</t>
  </si>
  <si>
    <t>Bunga Lawang</t>
  </si>
  <si>
    <t>Bawang Goreng Kemasan</t>
  </si>
  <si>
    <t>Emping</t>
  </si>
  <si>
    <t>Voya</t>
  </si>
  <si>
    <t>Powder Voya Yogurt</t>
  </si>
  <si>
    <t>Puree Voya Mango Tango</t>
  </si>
  <si>
    <t>Pisang Tanduk</t>
  </si>
  <si>
    <t>Tepung Beras</t>
  </si>
  <si>
    <t>Buntut Sapi</t>
  </si>
  <si>
    <t>Mie Burung Dara</t>
  </si>
  <si>
    <t>Sosin</t>
  </si>
  <si>
    <t>Bakso Mas Eko</t>
  </si>
  <si>
    <t>Tahu Putih</t>
  </si>
  <si>
    <t>Siomay</t>
  </si>
  <si>
    <t>Voya Vanilla</t>
  </si>
  <si>
    <t>Voya Hazelnut</t>
  </si>
  <si>
    <t>Voya Caramel</t>
  </si>
  <si>
    <t>Voya ButterScoutch</t>
  </si>
  <si>
    <t>Terasi merah</t>
  </si>
  <si>
    <t>Rawon Pasta</t>
  </si>
  <si>
    <t>Kecambah</t>
  </si>
  <si>
    <t>Telur Asin</t>
  </si>
  <si>
    <t>Kulit Lumpia</t>
  </si>
  <si>
    <t>Irsal</t>
  </si>
  <si>
    <t>z</t>
  </si>
  <si>
    <t>Dine In</t>
  </si>
  <si>
    <t>Online Delivery</t>
  </si>
  <si>
    <t>HPP Net</t>
  </si>
  <si>
    <t>Harga Jual</t>
  </si>
  <si>
    <t>Margin Cost %</t>
  </si>
  <si>
    <t>Checker</t>
  </si>
  <si>
    <t>Target Price</t>
  </si>
  <si>
    <t>Merch Cost</t>
  </si>
  <si>
    <t>Harga Awal</t>
  </si>
  <si>
    <t>Description</t>
  </si>
  <si>
    <t>Deskripsi</t>
  </si>
  <si>
    <t>Fix Online</t>
  </si>
  <si>
    <t>kopi espresso di atasnya dengan susu panas atau krim berbusa dan sering dibumbui dengan kayu manis</t>
  </si>
  <si>
    <t>Black Coffee Ice</t>
  </si>
  <si>
    <t>Black Coffee Hot</t>
  </si>
  <si>
    <t>Vietnam Drip Ice 26K</t>
  </si>
  <si>
    <t>Japanese</t>
  </si>
  <si>
    <t>V60</t>
  </si>
  <si>
    <t>Aeropress</t>
  </si>
  <si>
    <t>Moccachino Ice</t>
  </si>
  <si>
    <t>Moccachino Hot</t>
  </si>
  <si>
    <t>Chocolate Java Ice</t>
  </si>
  <si>
    <t>Chocolate Java Hot</t>
  </si>
  <si>
    <t>Tiramisu Coffee Ice</t>
  </si>
  <si>
    <t>Tiramisu Coffee Hot</t>
  </si>
  <si>
    <t>Spring Berry</t>
  </si>
  <si>
    <t>Lychee tea</t>
  </si>
  <si>
    <t>Lemon Peach</t>
  </si>
  <si>
    <t>Cream Cheese Coffee</t>
  </si>
  <si>
    <t>Creambrulle Ice</t>
  </si>
  <si>
    <t>Creambrulle Hot</t>
  </si>
  <si>
    <t>Matcha Coffee</t>
  </si>
  <si>
    <t>Cincau</t>
  </si>
  <si>
    <t>Es Cendol</t>
  </si>
  <si>
    <t>Wedang Jahe</t>
  </si>
  <si>
    <t>Bajigur</t>
  </si>
  <si>
    <t>Bandrek</t>
  </si>
  <si>
    <t>Kopi Jahe Dingin</t>
  </si>
  <si>
    <t>Kopi Jahe Panas</t>
  </si>
  <si>
    <t>Cireng Bumbu Rujak</t>
  </si>
  <si>
    <t>Tempe Crispy</t>
  </si>
  <si>
    <t>Chocoberry Pancake</t>
  </si>
  <si>
    <t>Donat Jadul</t>
  </si>
  <si>
    <t>Sarapan Ala Bule</t>
  </si>
  <si>
    <t>Buntut Bakar</t>
  </si>
  <si>
    <t>Iga Bakar</t>
  </si>
  <si>
    <t>Ayam Ungkep</t>
  </si>
  <si>
    <t>Gepuk</t>
  </si>
  <si>
    <t>Bakmie Jawa</t>
  </si>
  <si>
    <t>Choco Lava With Ice Cream</t>
  </si>
  <si>
    <t>Nasi Putih</t>
  </si>
  <si>
    <t>Resep Menu Kitchen</t>
  </si>
  <si>
    <t>Bahan</t>
  </si>
  <si>
    <t>Recipe QTY</t>
  </si>
  <si>
    <t>Satuan</t>
  </si>
  <si>
    <t>Hrg. Satuan</t>
  </si>
  <si>
    <t>HPP</t>
  </si>
  <si>
    <t>OH. Cost</t>
  </si>
  <si>
    <t>Ket</t>
  </si>
  <si>
    <t>cari barang subtitusi</t>
  </si>
  <si>
    <t>Tidak Bisa Take Away</t>
  </si>
  <si>
    <t>coba ganti 3 pcs</t>
  </si>
  <si>
    <t>Packing box Tray</t>
  </si>
  <si>
    <t>Packing Box Snack</t>
  </si>
  <si>
    <t>Dadar gulung,Risol,Puding</t>
  </si>
  <si>
    <t>box</t>
  </si>
  <si>
    <t>Sendok bebek</t>
  </si>
  <si>
    <t>kursi</t>
  </si>
  <si>
    <t>TOTAL</t>
  </si>
  <si>
    <t>Resep Production Kitchen</t>
  </si>
  <si>
    <t>Portion</t>
  </si>
  <si>
    <t>Harga/Porsi</t>
  </si>
  <si>
    <t>Yield Portion</t>
  </si>
  <si>
    <t>Resep Menu Bar</t>
  </si>
  <si>
    <t>split atau tidak?</t>
  </si>
  <si>
    <t xml:space="preserve">Split  </t>
  </si>
  <si>
    <t>cup ganti wrna</t>
  </si>
  <si>
    <t>CUT</t>
  </si>
  <si>
    <t>cup plastik ganti baru</t>
  </si>
  <si>
    <t>Tidak di Split</t>
  </si>
  <si>
    <t>ganti syrup</t>
  </si>
  <si>
    <t>di POS add varian teh ( Chamomile &amp; Strawberry Orange )</t>
  </si>
  <si>
    <t>di POS add varian rasa</t>
  </si>
  <si>
    <t>12 porsi</t>
  </si>
  <si>
    <t>Resep Production Bar</t>
  </si>
  <si>
    <t>PO</t>
  </si>
  <si>
    <t>List Bahan</t>
  </si>
  <si>
    <t>Lokasi</t>
  </si>
  <si>
    <t>Kemasan</t>
  </si>
  <si>
    <t>Ukuran</t>
  </si>
  <si>
    <t>Jumlah</t>
  </si>
  <si>
    <t>Harga per pcs/ml/gr</t>
  </si>
  <si>
    <t>Sat</t>
  </si>
  <si>
    <t>Cek</t>
  </si>
  <si>
    <t>KTC Daging Sop</t>
  </si>
  <si>
    <t>Z-001</t>
  </si>
  <si>
    <t>KTC</t>
  </si>
  <si>
    <t>Central Kitchen</t>
  </si>
  <si>
    <t>pak</t>
  </si>
  <si>
    <t>KTC Kuah</t>
  </si>
  <si>
    <t>Z-002</t>
  </si>
  <si>
    <t>KTC Perkedel</t>
  </si>
  <si>
    <t>Z-003</t>
  </si>
  <si>
    <t>KTC Saikoro</t>
  </si>
  <si>
    <t>Z-004</t>
  </si>
  <si>
    <t>tusuk</t>
  </si>
  <si>
    <t>KTC Garlic Oil</t>
  </si>
  <si>
    <t>Z-005</t>
  </si>
  <si>
    <t>KTC Daging Iris</t>
  </si>
  <si>
    <t>Z-006</t>
  </si>
  <si>
    <t>KTC Jukut Goreng</t>
  </si>
  <si>
    <t>Z-007</t>
  </si>
  <si>
    <t>KTC Bawang Putih Goreng</t>
  </si>
  <si>
    <t>Z-008</t>
  </si>
  <si>
    <t>KTC Bawang Putih Mentah</t>
  </si>
  <si>
    <t>Z-009</t>
  </si>
  <si>
    <t>KTC Oil Ijo</t>
  </si>
  <si>
    <t>Z-010</t>
  </si>
  <si>
    <t>KTC Oil Merah</t>
  </si>
  <si>
    <t>Z-011</t>
  </si>
  <si>
    <t>KTC Sambal Sop</t>
  </si>
  <si>
    <t>Z-012</t>
  </si>
  <si>
    <t>Krupuk DDN isi 10</t>
  </si>
  <si>
    <t>ZA-004</t>
  </si>
  <si>
    <t>Bahan Pokok</t>
  </si>
  <si>
    <t>Gudang Burtok</t>
  </si>
  <si>
    <t>Jeruk Nipis 1kg</t>
  </si>
  <si>
    <t>ZA-005</t>
  </si>
  <si>
    <t>Telur Pitan Isi 4</t>
  </si>
  <si>
    <t>ZA-006</t>
  </si>
  <si>
    <t>Telur Bebek Asin Isi 6</t>
  </si>
  <si>
    <t>ZA-007</t>
  </si>
  <si>
    <t>Telur Bebek Asin Mentah Isi 6</t>
  </si>
  <si>
    <t>ZA-008</t>
  </si>
  <si>
    <t>Wansui</t>
  </si>
  <si>
    <t>ZA-009</t>
  </si>
  <si>
    <t>Perkedel</t>
  </si>
  <si>
    <t>ZA-010</t>
  </si>
  <si>
    <t>Selada Air 1 kg</t>
  </si>
  <si>
    <t>ZA-011</t>
  </si>
  <si>
    <t>kg</t>
  </si>
  <si>
    <t>Cabe Rawit Merah</t>
  </si>
  <si>
    <t>ZA-012</t>
  </si>
  <si>
    <t>Pak</t>
  </si>
  <si>
    <t>ZA-013</t>
  </si>
  <si>
    <t>Garam Cap Kapal 250gr</t>
  </si>
  <si>
    <t>ZA-014</t>
  </si>
  <si>
    <t>Bumbu</t>
  </si>
  <si>
    <t>Lada Hitam Bubuk</t>
  </si>
  <si>
    <t>ZA-015</t>
  </si>
  <si>
    <t>Kecap Manis Bango 720ml</t>
  </si>
  <si>
    <t>ZA-016</t>
  </si>
  <si>
    <t>Pouch</t>
  </si>
  <si>
    <t>pouch</t>
  </si>
  <si>
    <t>Totole 1kg</t>
  </si>
  <si>
    <t>ZA-017</t>
  </si>
  <si>
    <t>Daging Sop 1kg</t>
  </si>
  <si>
    <t>ZA-001</t>
  </si>
  <si>
    <t>Daging</t>
  </si>
  <si>
    <t>Saikoro 1kg</t>
  </si>
  <si>
    <t>ZA-002</t>
  </si>
  <si>
    <t>ZA-003</t>
  </si>
  <si>
    <t>Tusuk Sate Daging Sapi isi 1.500</t>
  </si>
  <si>
    <t>ZB-001</t>
  </si>
  <si>
    <t>Packaging</t>
  </si>
  <si>
    <t>Sendok Kuah Plastik isi 100</t>
  </si>
  <si>
    <t>ZB-002</t>
  </si>
  <si>
    <t>Plastik Anti Panas 12X25 isi 100</t>
  </si>
  <si>
    <t>ZB-003</t>
  </si>
  <si>
    <t>Plastik Anti Panas 15X30 isi 100</t>
  </si>
  <si>
    <t>ZB-004</t>
  </si>
  <si>
    <t>Plastik zip Ctik 5x8 isi 100</t>
  </si>
  <si>
    <t>ZB-005</t>
  </si>
  <si>
    <t>Plastik Kresek Putih Uk 15</t>
  </si>
  <si>
    <t>ZB-006</t>
  </si>
  <si>
    <t>Plastik Kresek Putih Uk 24</t>
  </si>
  <si>
    <t>ZB-007</t>
  </si>
  <si>
    <t>Plastik Kresek Putih Uk 35</t>
  </si>
  <si>
    <t>ZB-008</t>
  </si>
  <si>
    <t>Plastik zip Ctik 6x10 isi 100</t>
  </si>
  <si>
    <t>ZB-009</t>
  </si>
  <si>
    <t>Thin Wall 200ml isi 25pcs</t>
  </si>
  <si>
    <t>ZB-010</t>
  </si>
  <si>
    <t>Thin Wall 2000ml isi 25pcs</t>
  </si>
  <si>
    <t>ZB-011</t>
  </si>
  <si>
    <t>Sauce Cup</t>
  </si>
  <si>
    <t>ZB-012</t>
  </si>
  <si>
    <t>Kertas Nasi</t>
  </si>
  <si>
    <t>ZB-013</t>
  </si>
  <si>
    <t>Paper Bowl 650ml + Tutup isi 25</t>
  </si>
  <si>
    <t>ZB-014</t>
  </si>
  <si>
    <t>Beras 25kg</t>
  </si>
  <si>
    <t>ZC-001</t>
  </si>
  <si>
    <t>SOKO</t>
  </si>
  <si>
    <t>karung</t>
  </si>
  <si>
    <t>Minyak Goreng Sovia 18L</t>
  </si>
  <si>
    <t>ZC-002</t>
  </si>
  <si>
    <t>jerigen</t>
  </si>
  <si>
    <t>Gas 3kg</t>
  </si>
  <si>
    <t>ZC-003</t>
  </si>
  <si>
    <t>tabung</t>
  </si>
  <si>
    <t>Jam</t>
  </si>
  <si>
    <t>Gas 12kg</t>
  </si>
  <si>
    <t>ZC-004</t>
  </si>
  <si>
    <t>ZZZ</t>
  </si>
  <si>
    <t xml:space="preserve"> History September 2022</t>
  </si>
  <si>
    <t>Total PO</t>
  </si>
  <si>
    <t>Data Aktual</t>
  </si>
  <si>
    <t>Qty/pack</t>
  </si>
  <si>
    <t>toko</t>
  </si>
  <si>
    <t>PO Pack</t>
  </si>
  <si>
    <t>PO Bill</t>
  </si>
  <si>
    <t>Bought</t>
  </si>
  <si>
    <t>Price/Pack</t>
  </si>
  <si>
    <t>Bill</t>
  </si>
  <si>
    <t>KurniaMas</t>
  </si>
  <si>
    <t>Yogya</t>
  </si>
  <si>
    <t>Leaf Dill</t>
  </si>
  <si>
    <t>Jolly (isi 10)</t>
  </si>
  <si>
    <t>Rum Syrup Davinci LMK</t>
  </si>
  <si>
    <t>Vanilla Syrup Davinci LMK</t>
  </si>
  <si>
    <t>Hazelnut Syrup Davinci LMK</t>
  </si>
  <si>
    <t>Caramel Syrup Davinci LMK</t>
  </si>
  <si>
    <t>Kosong</t>
  </si>
  <si>
    <t>Bar+Ktc</t>
  </si>
  <si>
    <t>Item Baru</t>
  </si>
  <si>
    <t>Tdk jadi PO</t>
  </si>
  <si>
    <t>Dtg 10/9/22</t>
  </si>
  <si>
    <t>Prima</t>
  </si>
  <si>
    <t>Dtg 7/9/22</t>
  </si>
  <si>
    <t>Dtg 8/9/22</t>
  </si>
  <si>
    <t>Coconut Powder</t>
  </si>
  <si>
    <t>Syrup ButterScotch</t>
  </si>
  <si>
    <t>600ml/btl Kurnia Mas</t>
  </si>
  <si>
    <t>130gr KurniaMas</t>
  </si>
  <si>
    <t>Kurnia Mas (mahal)</t>
  </si>
  <si>
    <t>Pasar</t>
  </si>
  <si>
    <t>1,7kg</t>
  </si>
  <si>
    <t>Dtg 14/9/22</t>
  </si>
  <si>
    <t>Dtg 16/9/22</t>
  </si>
  <si>
    <t>SuperKita KurniaMas</t>
  </si>
  <si>
    <t xml:space="preserve">840ml </t>
  </si>
  <si>
    <t>KurniaMas (mahal)</t>
  </si>
  <si>
    <t>Grya</t>
  </si>
  <si>
    <t>5Lt</t>
  </si>
  <si>
    <t>9kg</t>
  </si>
  <si>
    <t>Bar/Ktc</t>
  </si>
  <si>
    <t>Dtg 22/9/22</t>
  </si>
  <si>
    <t>Dtg 21/9/22</t>
  </si>
  <si>
    <t>@16000</t>
  </si>
  <si>
    <t>Hersheys 680gr</t>
  </si>
  <si>
    <t>isi 10Roll</t>
  </si>
  <si>
    <t>50gr KurniaMas</t>
  </si>
  <si>
    <t>Amidis</t>
  </si>
  <si>
    <t xml:space="preserve"> History Juli 2022</t>
  </si>
  <si>
    <t>Urgent</t>
  </si>
  <si>
    <t>3Pcs</t>
  </si>
  <si>
    <t>Blackcurrent Puree Health Today</t>
  </si>
  <si>
    <t>Dtg 6/7/22</t>
  </si>
  <si>
    <t>Yoa</t>
  </si>
  <si>
    <t>Dtg 8/7/22</t>
  </si>
  <si>
    <t>A Cecep Ktc</t>
  </si>
  <si>
    <t>Direct 1kg</t>
  </si>
  <si>
    <t>B5</t>
  </si>
  <si>
    <t>Plastik Bening 15x30</t>
  </si>
  <si>
    <t>Ready 8/7/22</t>
  </si>
  <si>
    <t>Blueberry Syrup Toffico</t>
  </si>
  <si>
    <t>Tidak Jadi PO</t>
  </si>
  <si>
    <t>Batre AAA</t>
  </si>
  <si>
    <t>A Cecep</t>
  </si>
  <si>
    <t>2Pcs</t>
  </si>
  <si>
    <t>Sovia</t>
  </si>
  <si>
    <t>14/7/2022</t>
  </si>
  <si>
    <t>14/72022</t>
  </si>
  <si>
    <t>Daun Mint</t>
  </si>
  <si>
    <t>Ktc</t>
  </si>
  <si>
    <t>17/7/22</t>
  </si>
  <si>
    <t>Direct Urgent</t>
  </si>
  <si>
    <t>Direct / 500gr</t>
  </si>
  <si>
    <t>Fortune</t>
  </si>
  <si>
    <t>Kamis</t>
  </si>
  <si>
    <t>SOS</t>
  </si>
  <si>
    <t>( 1Bar / 1Ktc )</t>
  </si>
  <si>
    <t>kamis 28/7/22</t>
  </si>
  <si>
    <t>Rabu 27/7/2022</t>
  </si>
  <si>
    <t>Cempaka</t>
  </si>
  <si>
    <t xml:space="preserve"> History Mei 2022</t>
  </si>
  <si>
    <t>Juni 2022</t>
  </si>
  <si>
    <t>Pasar(sedotan Hitam)</t>
  </si>
  <si>
    <t>Pichu</t>
  </si>
  <si>
    <t>Beras Rojo lele</t>
  </si>
  <si>
    <t>Gula Pasir Premium</t>
  </si>
  <si>
    <t>100gr</t>
  </si>
  <si>
    <t>/Kg</t>
  </si>
  <si>
    <t>Diskon member</t>
  </si>
  <si>
    <t>Minyak Goreng Bimoli</t>
  </si>
  <si>
    <t>tdk jadi PO</t>
  </si>
  <si>
    <t>Diskon Member</t>
  </si>
  <si>
    <t>kosong</t>
  </si>
  <si>
    <t>Griya</t>
  </si>
  <si>
    <t>BISS</t>
  </si>
  <si>
    <t xml:space="preserve">Galon </t>
  </si>
  <si>
    <t>Di Kirim 24/6/22</t>
  </si>
  <si>
    <t>Tambah 2Pack Tutup</t>
  </si>
  <si>
    <t>Cup Saos</t>
  </si>
  <si>
    <t>yogya</t>
  </si>
  <si>
    <t>Cartidge 745 Black</t>
  </si>
  <si>
    <t>Solasi Bening</t>
  </si>
  <si>
    <t>Amplop</t>
  </si>
  <si>
    <t xml:space="preserve"> TipX Kertas</t>
  </si>
  <si>
    <t>Gunting Sedang</t>
  </si>
  <si>
    <t>kartu Empat Dimensi</t>
  </si>
  <si>
    <t>Solasi Kertas</t>
  </si>
  <si>
    <t>Tidak PO</t>
  </si>
  <si>
    <t>Leaf Oregano Koepoe</t>
  </si>
  <si>
    <t>Wortel</t>
  </si>
  <si>
    <t>Jagung Manis</t>
  </si>
  <si>
    <t>Strawberry Syrup Mardjan 460ml</t>
  </si>
  <si>
    <t>Gula Putih Curah Kiloan</t>
  </si>
  <si>
    <t>Thai Tea Chatramue</t>
  </si>
  <si>
    <t>Gula Putih Gulaku Sachet</t>
  </si>
  <si>
    <t>Stok Habis</t>
  </si>
  <si>
    <t>Mushroom Champignon</t>
  </si>
  <si>
    <t>Lettuce Lororosa</t>
  </si>
  <si>
    <t>Red Cabbage</t>
  </si>
  <si>
    <t>Minyak Goreng Sania 1 Pack</t>
  </si>
  <si>
    <t>Carrot</t>
  </si>
  <si>
    <t>Chicken Breast</t>
  </si>
  <si>
    <t>Chicken Egg</t>
  </si>
  <si>
    <t>Chicken Minched</t>
  </si>
  <si>
    <t>Beef Minched</t>
  </si>
  <si>
    <t>Plastik Bening 10x17</t>
  </si>
  <si>
    <t>RV in 2pck @202000</t>
  </si>
  <si>
    <t>Gula Pasir Lampung</t>
  </si>
  <si>
    <t>Plastik Bening 10 x 17</t>
  </si>
  <si>
    <t>Minyak Goreng Rose Brand</t>
  </si>
  <si>
    <t>Borma (Sovia2Lt)</t>
  </si>
  <si>
    <t>Paper Kalita Wave Suji</t>
  </si>
  <si>
    <t>disc 15%(Yogya)</t>
  </si>
  <si>
    <t>Ade Widia</t>
  </si>
  <si>
    <t xml:space="preserve">Gula Putih Gulaku </t>
  </si>
  <si>
    <t>Disc 15% (Yogya)</t>
  </si>
  <si>
    <t>Sudah di tgl 22</t>
  </si>
  <si>
    <t>Disc 15%(Yogya)</t>
  </si>
  <si>
    <t>1Kg ukuran @40000</t>
  </si>
  <si>
    <t>tambahan 2crt 250ml @30300</t>
  </si>
  <si>
    <t>12Kg</t>
  </si>
  <si>
    <t>Direct Lin Plastik</t>
  </si>
  <si>
    <t>gak bisa pesan 1pcs</t>
  </si>
  <si>
    <t>struk nya hari selasa 31/5/22</t>
  </si>
  <si>
    <t>Aroma Jaya</t>
  </si>
  <si>
    <t>Hold sampai awal bulan</t>
  </si>
  <si>
    <t>masuk 30/5/22</t>
  </si>
  <si>
    <t>Eden Fram</t>
  </si>
  <si>
    <t>sudah di 27/5/22</t>
  </si>
  <si>
    <t>Kebutuhan Bahan Baku</t>
  </si>
  <si>
    <t>Nama Barang</t>
  </si>
  <si>
    <t>Harga Eden</t>
  </si>
  <si>
    <t>Harga Aroma Jaya</t>
  </si>
  <si>
    <t>Sukanda</t>
  </si>
  <si>
    <t>Fatarindo</t>
  </si>
  <si>
    <t>Kopiku</t>
  </si>
  <si>
    <t>Sentosa</t>
  </si>
  <si>
    <t>Dilco</t>
  </si>
  <si>
    <t>Cocoa Granule Dark Brown 1Kg</t>
  </si>
  <si>
    <t>Single Origin 65k</t>
  </si>
  <si>
    <t>Single Origin 120k Import</t>
  </si>
  <si>
    <t>Popcorn Syrup Toffico</t>
  </si>
  <si>
    <t>Pasar Cihapit (Pak Tono)</t>
  </si>
  <si>
    <t>Lokal</t>
  </si>
  <si>
    <t>Cabe Kering</t>
  </si>
  <si>
    <t>French Bread Bariton</t>
  </si>
  <si>
    <t>La Fonte Spagethi</t>
  </si>
  <si>
    <t>RSB</t>
  </si>
  <si>
    <t>Beras Rojolele</t>
  </si>
  <si>
    <t>Delmonte Extra Hot (Sambal)</t>
  </si>
  <si>
    <t>Sawung</t>
  </si>
  <si>
    <t>Leaf Bay Koepoe</t>
  </si>
  <si>
    <t>serai</t>
  </si>
  <si>
    <t xml:space="preserve">Kecap Asin ABC </t>
  </si>
  <si>
    <t>Botol Kaca 250ml</t>
  </si>
  <si>
    <t>Shoppee</t>
  </si>
  <si>
    <t>Lingga Jaya</t>
  </si>
  <si>
    <t>TokoPedia</t>
  </si>
  <si>
    <t>Geraldi</t>
  </si>
  <si>
    <t>Potato Whole</t>
  </si>
  <si>
    <t>Leaf Endive</t>
  </si>
  <si>
    <t>Ribs</t>
  </si>
  <si>
    <t>Pasar  Cihapit</t>
  </si>
  <si>
    <t>Ade Widya</t>
  </si>
  <si>
    <t>Toko Cjihapit</t>
  </si>
  <si>
    <t>Trash Bag Tulip 80X120 (0,6)</t>
  </si>
  <si>
    <t>Pala Rempah</t>
  </si>
  <si>
    <t>Krupuk Emping</t>
  </si>
  <si>
    <t>Plastik Bening 10X20</t>
  </si>
  <si>
    <t>Kresek Tulip 24</t>
  </si>
  <si>
    <t>Kresek Tulip 15</t>
  </si>
  <si>
    <t>Hand Sanitizer Lifebuoy</t>
  </si>
  <si>
    <t>Toko Tjihapit</t>
  </si>
  <si>
    <t>Daun Fennel</t>
  </si>
  <si>
    <t>Botol Kaca 1 L</t>
  </si>
  <si>
    <t>Mie Atom</t>
  </si>
  <si>
    <t>Kol Putih ( 0,8 - 1,3 Kg)</t>
  </si>
  <si>
    <t>Kulit Lumpia (180gr)</t>
  </si>
  <si>
    <t>Candle Nut</t>
  </si>
  <si>
    <t>Terasi</t>
  </si>
  <si>
    <t>Pasar cihapit</t>
  </si>
  <si>
    <t>Calamary</t>
  </si>
  <si>
    <t>plastik sealer</t>
  </si>
  <si>
    <t xml:space="preserve"> History April 2022</t>
  </si>
  <si>
    <t>ada promo / PO 4 pack</t>
  </si>
  <si>
    <t>tidak sesuai PO</t>
  </si>
  <si>
    <t>Kantong Kresek PE 24</t>
  </si>
  <si>
    <t>Kantong Kresek PE 15</t>
  </si>
  <si>
    <t>Chicken Wing</t>
  </si>
  <si>
    <t>Chilli Flake</t>
  </si>
  <si>
    <t>Tomato Sauce Delmonte</t>
  </si>
  <si>
    <t>Breadcrumb</t>
  </si>
  <si>
    <t>Blackpepper Whole</t>
  </si>
  <si>
    <t>Trash Bag 80 x 120</t>
  </si>
  <si>
    <t>Lemongrass</t>
  </si>
  <si>
    <t>Sausage Bratwurst Max</t>
  </si>
  <si>
    <t>masuk 1 kg</t>
  </si>
  <si>
    <t>Chilli Rawit</t>
  </si>
  <si>
    <t>masuk 0.8</t>
  </si>
  <si>
    <t>Tamarind</t>
  </si>
  <si>
    <t xml:space="preserve"> History Maret 2022</t>
  </si>
  <si>
    <t>Gr</t>
  </si>
  <si>
    <t>beda harga / surplus Rp. 18.000,-</t>
  </si>
  <si>
    <t>beda harga / surplus Rp. 15.000,-</t>
  </si>
  <si>
    <t>beda harga / selisih Rp. 1.000,-</t>
  </si>
  <si>
    <t>beda harga / selisih Rp. 2.000,-</t>
  </si>
  <si>
    <t>beda harga / selisih Rp. 4.000,-</t>
  </si>
  <si>
    <t>tidak sesuai PO / beda harga / surplus Rp. 1.500,- / masuk 0.25gr</t>
  </si>
  <si>
    <t>beda harga / selisih Rp. 15.000,-</t>
  </si>
  <si>
    <t>beda harga / surplus Rp. 500,-</t>
  </si>
  <si>
    <t>beda harga / surplus Rp. 5.000,-</t>
  </si>
  <si>
    <t>beda harga / selisih Rp. 3.000,-</t>
  </si>
  <si>
    <t>tidak sesuai PO / beda harga / surplus Rp. 17.760,- / masuk 0.4gr</t>
  </si>
  <si>
    <t>beda harga / surplus Rp. 1.000,-</t>
  </si>
  <si>
    <t>beda harga / surplus Rp. 2.000,-</t>
  </si>
  <si>
    <t>beda harga / surplus Rp. 10.000,-</t>
  </si>
  <si>
    <t>beda harga / selisih Rp. 5.000,-</t>
  </si>
  <si>
    <t>beda harga / selisih Rp. 8.000,-</t>
  </si>
  <si>
    <t>beda harga / surplus Rp. 2.500,-</t>
  </si>
  <si>
    <t>beda harga / selisih Rp. 11.000,-</t>
  </si>
  <si>
    <t>tidak sesuai PO / beda harga / surplus Rp. 17.000,- / masuk hrsnya 10 pack</t>
  </si>
  <si>
    <t>tidak sesuai PO / beda harga / surplus Rp. 17.000,- / masuk 2 pack</t>
  </si>
  <si>
    <t>Tidak sesuai PO</t>
  </si>
  <si>
    <t>masuk 3</t>
  </si>
  <si>
    <t>masuk 2 jrg</t>
  </si>
  <si>
    <t>masuk 1</t>
  </si>
  <si>
    <t>masuk 2</t>
  </si>
  <si>
    <t>masuk 0.3 gr</t>
  </si>
  <si>
    <t>masuk 1.8 kg</t>
  </si>
  <si>
    <t>masuk 0.2</t>
  </si>
  <si>
    <t>History Desember 2021</t>
  </si>
  <si>
    <t>Notes</t>
  </si>
  <si>
    <t>Week 1 + Daily PO</t>
  </si>
  <si>
    <t>Inject Direct 6.650.000</t>
  </si>
  <si>
    <t>Inject Supplier 516.000</t>
  </si>
  <si>
    <t>beda harga</t>
  </si>
  <si>
    <t>Swallow colour balls Rp. 11.300,-</t>
  </si>
  <si>
    <t>tambahan 3 kg argani = @130.000 = 390.000</t>
  </si>
  <si>
    <t>Belum Beli</t>
  </si>
  <si>
    <t>Belum Datang</t>
  </si>
  <si>
    <t>1 dus = 6pack 1pack=2200gr</t>
  </si>
  <si>
    <t>Beras Pandan Sari</t>
  </si>
  <si>
    <t>beda merek</t>
  </si>
  <si>
    <t>hoco</t>
  </si>
  <si>
    <t>Mayonaise Gourmet</t>
  </si>
  <si>
    <t>double input</t>
  </si>
  <si>
    <t>Z</t>
  </si>
  <si>
    <t>Daily PO</t>
  </si>
  <si>
    <t>gajadi</t>
  </si>
  <si>
    <t>1pack = 50 pcs</t>
  </si>
  <si>
    <t>2 in 1 isi 2roll 4700</t>
  </si>
  <si>
    <t>Week 2 + Daily PO</t>
  </si>
  <si>
    <t>60pcs 136.320</t>
  </si>
  <si>
    <t>1pack harga 95</t>
  </si>
  <si>
    <t>Leaf Lime</t>
  </si>
  <si>
    <t>beda harga / belanja di tgl 14</t>
  </si>
  <si>
    <t>supplier</t>
  </si>
  <si>
    <t>double belanja</t>
  </si>
  <si>
    <t>Leaf Salam</t>
  </si>
  <si>
    <t>beda harga / beda merk</t>
  </si>
  <si>
    <t xml:space="preserve"> </t>
  </si>
  <si>
    <t>tidak ada bon / beda harga</t>
  </si>
  <si>
    <t>tidak ada bon / tidak sesuai po</t>
  </si>
  <si>
    <t xml:space="preserve"> History Januari 2022</t>
  </si>
  <si>
    <t>beda harga / harga btl selisih Rp. 7.200,-</t>
  </si>
  <si>
    <t>beda harga / harga pck selisih Rp. 550,-</t>
  </si>
  <si>
    <t>beda harga / harga pck selisih Rp. 1.100,-</t>
  </si>
  <si>
    <t>beda harga / selisih Rp. 6.000,-</t>
  </si>
  <si>
    <t>beda harga / harga kg selisih Rp. 20.000,- / beda barang masuk 1.1kg</t>
  </si>
  <si>
    <t>beda harga / harga kg selisih Rp. 8.000,-</t>
  </si>
  <si>
    <t>beda harga / harga kg selisih Rp. 36.000,-</t>
  </si>
  <si>
    <t>beda harga / selisih Rp. 7.000,-</t>
  </si>
  <si>
    <t>beda harga / harga kg selisih Rp. 8.200,-</t>
  </si>
  <si>
    <t>beda harga / selisih Rp. 800,-</t>
  </si>
  <si>
    <t>beda harga / harga kg selisih Rp. 2.000,- / tidak ada bon</t>
  </si>
  <si>
    <t>beda harga / harga kg selisih Rp. 4.000,- / tidak ada bon</t>
  </si>
  <si>
    <t>tidak ada bon</t>
  </si>
  <si>
    <t>beda harga / harga pck selisih Rp. 18.500,- / tidak ada bon</t>
  </si>
  <si>
    <t>beda harga / harga kg selisih Rp. 10.000,- / tidak ada bon</t>
  </si>
  <si>
    <t xml:space="preserve">beda harga / harga btl selisih Rp. 17.000,- </t>
  </si>
  <si>
    <t>beda harga / harga pcs selisih Rp. 550,-</t>
  </si>
  <si>
    <t>beda harga / harga pcs selisih Rp. 7.550,- / beda ukuran gr</t>
  </si>
  <si>
    <t xml:space="preserve">beda harga / harga kg selisih Rp. 2.000,- </t>
  </si>
  <si>
    <t>beda harga / harga kg selisih Rp. 8.000,- / beda barang masuk 3kg</t>
  </si>
  <si>
    <t xml:space="preserve">beda harga / harga kg selisih Rp. 5.000,an </t>
  </si>
  <si>
    <t xml:space="preserve">beda harga / harga kg selisih Rp. 3.000,- </t>
  </si>
  <si>
    <t>beda harga / harga kg selisih Rp. 62.000,- / beda barang masuk 0.3gr</t>
  </si>
  <si>
    <t>beda harga / harga kg selisih Rp. 3.000,- / beda barang masuk 1.5gr</t>
  </si>
  <si>
    <t>beda harga / harga kg selisih Rp. 16.000,- / beda barang masuk 0.5gr</t>
  </si>
  <si>
    <t xml:space="preserve">beda harga / selisih Rp. 1.000,- </t>
  </si>
  <si>
    <t>beda harga / harga kg selisih Rp. ......,- /</t>
  </si>
  <si>
    <t>beda harga / harga lt selisih Rp. 9.000,-</t>
  </si>
  <si>
    <t>beda harga / harga kg selisih Rp. ......,- / beda ukuran gr</t>
  </si>
  <si>
    <t xml:space="preserve">beda harga / harga pcs selisih Rp. 500,- </t>
  </si>
  <si>
    <t>beda harga / harga pcs selisih Rp. 300,-</t>
  </si>
  <si>
    <t>beda harga / harga pcs selisih Rp. 4.400,- / jumlah pcs beda</t>
  </si>
  <si>
    <t>beda harga / harga kg selisih Rp. 2.000,-</t>
  </si>
  <si>
    <t>beda harga / harga pcs selisih Rp. 3.000,-</t>
  </si>
  <si>
    <t>beda harga / harga klg selisih Rp. 500,-</t>
  </si>
  <si>
    <t>beda harga / harga klg selisih Rp. 1.000,-</t>
  </si>
  <si>
    <t>beda harga / harga klg selisih Rp. 2.500,-</t>
  </si>
  <si>
    <t xml:space="preserve">beda harga / harga lt selisih Rp. 1.400,- </t>
  </si>
  <si>
    <t xml:space="preserve">beda harga / harga pcs selisih Rp. 1.100,- </t>
  </si>
  <si>
    <t xml:space="preserve">beda harga / harga kg selisih Rp. 12.000,- </t>
  </si>
  <si>
    <t>beda harga / harga kg selisih Rp. 2.000,- / beda barang masuk 250gr</t>
  </si>
  <si>
    <t>beda harga / harga kg selisih Rp. 2.000,- / beda barang masuk 300gr</t>
  </si>
  <si>
    <t xml:space="preserve">beda harga / harga kg selisih Rp. 1.000,- </t>
  </si>
  <si>
    <t xml:space="preserve">beda harga / harga kg selisih Rp. 4.000,- </t>
  </si>
  <si>
    <t>beda barang masuk 138gr</t>
  </si>
  <si>
    <t>beda harga / harga kg selisih Rp. 2.000,- / beda barang masuk 500gr</t>
  </si>
  <si>
    <t>beda harga / harga kg selisih Rp. 3.000,- / beda PO</t>
  </si>
  <si>
    <t xml:space="preserve">beda harga / harga kg selisih Rp. 5.000,- </t>
  </si>
  <si>
    <t>beda harga / harga kg selisih Rp. 10.200,- / beda tempat belanja</t>
  </si>
  <si>
    <t xml:space="preserve">beda harga / harga kg selisih Rp. 500,- </t>
  </si>
  <si>
    <t xml:space="preserve">beda harga / harga pcs selisih Rp. 1.000,- </t>
  </si>
  <si>
    <t>beda harga / harga pcs selisih Rp. 600,- / beda merk</t>
  </si>
  <si>
    <t>beda harga / harga pcs selisih Rp. 7.450,- / beda merk</t>
  </si>
  <si>
    <t xml:space="preserve">beda harga / harga pack selisih Rp. 2.500,- </t>
  </si>
  <si>
    <t xml:space="preserve">beda harga / harga kg selisih Rp. 42.000,- </t>
  </si>
  <si>
    <t xml:space="preserve">beda harga / harga kg selisih Rp. 16.000,- </t>
  </si>
  <si>
    <t xml:space="preserve">beda harga / harga kg selisih Rp. 1.300,- </t>
  </si>
  <si>
    <t>beda harga / harga pcs selisih Rp. .......,- / jumlah pcs beda</t>
  </si>
  <si>
    <t>beda harga / harga pck selisih Rp. 1.400,-</t>
  </si>
  <si>
    <t>beda harga / harga pck selisih Rp. 1.000,-</t>
  </si>
  <si>
    <t>tgl12</t>
  </si>
  <si>
    <t>tgl 12 ada leave dill 3pack</t>
  </si>
  <si>
    <t>beda harga / harga pck selisih Rp. 500,-</t>
  </si>
  <si>
    <t>beda harga / harga  selisih Rp. 5.600,- / harga berubah</t>
  </si>
  <si>
    <t>beda harga / harga  selisih Rp. 1.450,- / beda tempat belanja</t>
  </si>
  <si>
    <t xml:space="preserve">beda harga / harga  selisih Rp. 2.500,- </t>
  </si>
  <si>
    <t>beda harga / harga  selisih Rp. 11.000,- / beda tempat belanja</t>
  </si>
  <si>
    <t>beda harga / harga  selisih + Rp. 1.000,- / beda barang masuk 250gr</t>
  </si>
  <si>
    <t>beda harga / harga  selisih Rp. 10.000,-</t>
  </si>
  <si>
    <t xml:space="preserve">beda harga / harga selisih Rp. 6.000,- </t>
  </si>
  <si>
    <t xml:space="preserve">beda harga / harga selisih + Rp. 500,- </t>
  </si>
  <si>
    <t xml:space="preserve">beda harga / harga selisih Rp. 2.000,- </t>
  </si>
  <si>
    <t xml:space="preserve">beda harga / harga  selisih Rp. 2.100,- </t>
  </si>
  <si>
    <t>beda harga / harga  selisih + Rp. 23.851,- / beda tempat belanja</t>
  </si>
  <si>
    <t xml:space="preserve">beda harga / harga selisih + Rp. 1.221,- </t>
  </si>
  <si>
    <t xml:space="preserve">belanja tidak sesuai PO </t>
  </si>
  <si>
    <t>beda harga / harga  selisih + Rp. 18.100,- / beda tempat belanja</t>
  </si>
  <si>
    <t>beda harga / harga  selisih Rp. 2.976,- / beda tempat belanja</t>
  </si>
  <si>
    <t xml:space="preserve">beda harga / harga selisih Rp. 3.000,- </t>
  </si>
  <si>
    <t xml:space="preserve">beda harga / harga selisih Rp. 8.000,- </t>
  </si>
  <si>
    <t xml:space="preserve">beda harga / harga selisih Rp. 10.000,- </t>
  </si>
  <si>
    <t>beda harga / harga kg selisih Rp. 5.000,- / tidak sesuai PO</t>
  </si>
  <si>
    <t>beda harga / harga selisih Rp. 20.000,-</t>
  </si>
  <si>
    <t>beda harga / harga kg surplus Rp. 3.000,- / tidak sesuai PO</t>
  </si>
  <si>
    <t>beda harga / harga surplus Rp. 3.000,-</t>
  </si>
  <si>
    <t>beda harga / harga selisih Rp. 1.000,-</t>
  </si>
  <si>
    <t>beda harga / harga pcs selisih Rp. 1.000,-</t>
  </si>
  <si>
    <t>beda harga / harga selisih Rp. 6.000,-</t>
  </si>
  <si>
    <t>beda harga / harga selisih Rp. 12.000,-</t>
  </si>
  <si>
    <t>beda harga / harga selisih Rp. 16.000,-</t>
  </si>
  <si>
    <t>beda harga / harga surplus Rp. 1.000,-</t>
  </si>
  <si>
    <t>beda harga / harga selisih Rp. 3.000,-</t>
  </si>
  <si>
    <t>beda harga / harga selisih Rp. 2.000,-</t>
  </si>
  <si>
    <t>tdiak sesuai PO</t>
  </si>
  <si>
    <t>beda harga / harga surplus Rp. 1.500,-</t>
  </si>
  <si>
    <t>beda harga / harga btl selisih Rp. 1.000,-</t>
  </si>
  <si>
    <t>beda harga / harga kg selisih Rp. 5.000,-</t>
  </si>
  <si>
    <t>beda harga / harga selisih Rp. 7.400,-</t>
  </si>
  <si>
    <t>Belanja tidak sesuai merk</t>
  </si>
  <si>
    <t>beda harga / harga surplus Rp. 1.300,-</t>
  </si>
  <si>
    <t>beda harga / harga selisih Rp. 600,-</t>
  </si>
  <si>
    <t>beda harga / harga selisih Rp. 4.300,-</t>
  </si>
  <si>
    <t>beda harga / harga surplus Rp. 20.000,-</t>
  </si>
  <si>
    <t>beda harga / harga selisih Rp. 4.000,-</t>
  </si>
  <si>
    <t>beda harga / harga selisih Rp. 8.000,-</t>
  </si>
  <si>
    <t>beda harga / harga surplus Rp. 2.500,-</t>
  </si>
  <si>
    <t>beda harga / harga surplus Rp. 4.100,-</t>
  </si>
  <si>
    <t>Tidak Sesuai PO</t>
  </si>
  <si>
    <t>beda harga / harga surplus Rp. 500,-</t>
  </si>
  <si>
    <t>beda harga / harga selisih Rp. 500,-</t>
  </si>
  <si>
    <t>beda harga / harga surplus Rp. 5.200,-</t>
  </si>
  <si>
    <t>beda harga / harga selisih Rp. 10.000,-</t>
  </si>
  <si>
    <t>beda harga / harga surplus Rp. 30.000,-</t>
  </si>
  <si>
    <t>Tidak seusai PO</t>
  </si>
  <si>
    <t>beda harga / harga selisih Rp. 19.500,- / Tidak sesuai PO</t>
  </si>
  <si>
    <t>beda berat</t>
  </si>
  <si>
    <t>Tidak ada bon</t>
  </si>
  <si>
    <t xml:space="preserve"> History Februari 2022</t>
  </si>
  <si>
    <t>beda harga / surplus Rp. 1.700,-</t>
  </si>
  <si>
    <t>beda harga / surplus Rp. 3.300,-</t>
  </si>
  <si>
    <t>beda harga / selisih Rp. 120.000,- / salah info</t>
  </si>
  <si>
    <t>tidak sesuai PO / beda harga / selisih Rp. 37.500,-</t>
  </si>
  <si>
    <t>beda harga / surplus Rp. 8.000,-</t>
  </si>
  <si>
    <t>beda harga / surplus Rp. 9.000,-</t>
  </si>
  <si>
    <t>beda harga / selisih Rp. 7.100,-</t>
  </si>
  <si>
    <t>beda harga / surplus Rp. 3.500,-</t>
  </si>
  <si>
    <t>tidak sesuai PO / beda harga / surplus Rp. 13.620,-</t>
  </si>
  <si>
    <t>tidak sesuai PO / beda harga / surplus Rp. 20.797,-</t>
  </si>
  <si>
    <t>beda harga / selisih Rp. 500,-</t>
  </si>
  <si>
    <t>tidak sesuai PO / beda harga / surplus Rp. 15.900,-</t>
  </si>
  <si>
    <t>tidak sesuai PO / beda harga / surplus Rp. 16.675,-</t>
  </si>
  <si>
    <t>beda harga / surplus Rp. 1.705,-</t>
  </si>
  <si>
    <t>tidak sesuai PO / beda harga / selisih Rp. 13.200,-</t>
  </si>
  <si>
    <t>beda harga / surplus Rp. 1.300,-</t>
  </si>
  <si>
    <t>tidak sesuai PO / beda harga / surplus Rp. 4.010,-</t>
  </si>
  <si>
    <t>beda harga / selisih Rp. 40.000,- / salah info</t>
  </si>
  <si>
    <t>beda harga / surplus Rp. 14.000,-</t>
  </si>
  <si>
    <t>beda harga / surplus Rp. 12.000,-</t>
  </si>
  <si>
    <t>tidak sesuai PO / beda harga / surplus Rp. 4.500,-</t>
  </si>
  <si>
    <t>tidak sesuai PO / beda harga / surplus Rp. 8.640,-</t>
  </si>
  <si>
    <t>beda harga / selisih Rp. 1.500,-</t>
  </si>
  <si>
    <t>beda harga / surplus Rp. 814,-</t>
  </si>
  <si>
    <t>beda harga / selisih Rp. 560,-</t>
  </si>
  <si>
    <t>beda harga / selisih Rp. 14.000,-</t>
  </si>
  <si>
    <t>tidak sesuai PO / beda harga / surplus Rp. 23.100,-</t>
  </si>
  <si>
    <t>tidak sesuai PO / beda harga / surplus Rp. 7.391,-</t>
  </si>
  <si>
    <t>beda harga / selisih Rp. 3.300,-</t>
  </si>
  <si>
    <t>tidak sesuai PO / beda harga / surplus Rp. 1.700,-</t>
  </si>
  <si>
    <t>tidak sesuai PO / beda harga / surplus Rp. 3.450,-</t>
  </si>
  <si>
    <t>beda harga / surplus Rp. 24.000,-</t>
  </si>
  <si>
    <t>beda harga / surplus Rp. 3.000,-</t>
  </si>
  <si>
    <t>beda harga / selisih Rp. 1.600,-</t>
  </si>
  <si>
    <t>tidak sesuai PO / beda harga / surplus Rp. 22.500,-</t>
  </si>
  <si>
    <t>tidak sesuai PO / beda harga / surplus Rp. 10.560,-</t>
  </si>
  <si>
    <t>tidak sesuai PO / beda harga / surplus Rp. 52.740,-</t>
  </si>
  <si>
    <t>tidak sesuai PO / beda harga / surplus Rp. 60.000,-</t>
  </si>
  <si>
    <t>tidak sesuai PO / beda harga / surplus Rp. 11.232,-</t>
  </si>
  <si>
    <t>tidak sesuai PO / beda harga / surplus Rp. 13.000,-</t>
  </si>
  <si>
    <t>tidak sesuai PO / beda harga / selisih Rp. 1.800,-</t>
  </si>
  <si>
    <t>tidak sesuai PO / beda harga / selisih Rp. 17.000,-</t>
  </si>
  <si>
    <t>tidak sesuai PO / beda harga / surplus Rp. 45.200,-</t>
  </si>
  <si>
    <t>tidak sesuai PO / beda harga / surplus Rp. 14.400,-</t>
  </si>
  <si>
    <t>tidak sesuai PO / beda harga / selisih Rp. 9.295,-</t>
  </si>
  <si>
    <t>tidak sesuai PO / beda harga / surplus Rp. 3.700,-</t>
  </si>
  <si>
    <t>tidak sesuai PO / beda harga / surplus Rp. 3.500,-</t>
  </si>
  <si>
    <t>beda harga / selisih Rp. 10.000,-</t>
  </si>
  <si>
    <t>beda harga / selisih Rp. 23.000,-</t>
  </si>
  <si>
    <t>beda harga / selisih Rp. 14.060,-</t>
  </si>
  <si>
    <t>tidak sesuai PO / beda harga / surplus Rp. 4.100,-</t>
  </si>
  <si>
    <t>tidak sesuai PO / beda harga / surplus Rp. 4.000,-</t>
  </si>
  <si>
    <t>tidak sesuai PO / beda harga / surplus Rp. 4.800,-</t>
  </si>
  <si>
    <t>tidak sesuai PO / beda harga / selisih Rp. 1.600,-</t>
  </si>
  <si>
    <t>tidak sesuai PO / beda harga / surplus Rp. 32.000,-</t>
  </si>
  <si>
    <t>tidak sesuai PO / beda harga / surplus Rp. 25.000,-</t>
  </si>
  <si>
    <t>tidak sesuai PO / beda harga / selisih Rp. 4.000,-</t>
  </si>
  <si>
    <t>tidak sesuai PO / beda harga / surplus Rp. 1.100,-</t>
  </si>
  <si>
    <t>tidak sesuai PO / beda harga / selisih Rp. 12.000,-</t>
  </si>
  <si>
    <t>tidak sesuai PO / beda harga / selisih Rp. 19.060,-</t>
  </si>
  <si>
    <t>tidak sesuai PO / beda harga / selisih Rp. 9.200,-</t>
  </si>
  <si>
    <t>tidak sesuai PO / beda harga / surplus Rp. 7.854,-</t>
  </si>
  <si>
    <t>tidak sesuai PO / beda harga / surplus Rp. 19.700,-</t>
  </si>
  <si>
    <t>tidak sesuai PO / beda harga / surplus Rp. 40.000,-</t>
  </si>
  <si>
    <t>beda harga / surplus Rp. 16.000,-</t>
  </si>
  <si>
    <t>beda harga / surplus Rp. 20.000,-</t>
  </si>
  <si>
    <t>tidak sesuai PO / beda harga / surplus Rp. 15.000,-</t>
  </si>
  <si>
    <t>tidak sesuai PO / beda harga / selisih Rp. 10.460,-</t>
  </si>
  <si>
    <t>beda harga / surplus Rp. 4.100,-</t>
  </si>
  <si>
    <t>beda harga / surplus Rp. 7.500,-</t>
  </si>
  <si>
    <t>tidak sesuai PO / beda harga / surplus Rp. 9.600,-</t>
  </si>
  <si>
    <t>beda harga / surplus Rp. 40.000,-</t>
  </si>
  <si>
    <t>beda harga / surplus Rp. 21.000,-</t>
  </si>
  <si>
    <t>masuk 0.25 kg / beda harga / selisih Rp. 900,-</t>
  </si>
  <si>
    <t>beda harga / surplus Rp. 2.100,-</t>
  </si>
  <si>
    <t>masuk 0.58 kg / beda harga / selisih Rp. 8.000,-</t>
  </si>
  <si>
    <t>masuk 2 kg / beda harga / selisih Rp. 8.000,-</t>
  </si>
  <si>
    <t>tidak sesuai PO / beda harga / surplus Rp. 63.640,-</t>
  </si>
  <si>
    <t>tidak sesuai PO / beda harga / surplus Rp. 43.500,-</t>
  </si>
  <si>
    <t>masuk 0.3 kg / beda harga / surplus Rp. 2.000,-</t>
  </si>
  <si>
    <t>tidak sesuai PO / beda harga / selisih Rp. 2.000,-</t>
  </si>
  <si>
    <t>#REF!</t>
  </si>
  <si>
    <t xml:space="preserve"> Syrup Rum</t>
  </si>
  <si>
    <t xml:space="preserve"> Syrup Hazelnut</t>
  </si>
  <si>
    <t xml:space="preserve"> Syrup Caramel</t>
  </si>
  <si>
    <t xml:space="preserve"> Syrup Vanilla</t>
  </si>
  <si>
    <t>Fettucini</t>
  </si>
  <si>
    <t>Macaroni</t>
  </si>
  <si>
    <t>Gula pasir</t>
  </si>
  <si>
    <t>UHT</t>
  </si>
  <si>
    <t xml:space="preserve">Rum Syrup </t>
  </si>
  <si>
    <t xml:space="preserve">Vanilla Syrup </t>
  </si>
  <si>
    <t xml:space="preserve">Hazelnut Syrup </t>
  </si>
  <si>
    <t xml:space="preserve">Caramel Syrup </t>
  </si>
  <si>
    <t>Ice Cream Vanilla</t>
  </si>
  <si>
    <t>Freshmilk</t>
  </si>
  <si>
    <t>Minyak Goreng</t>
  </si>
  <si>
    <t>Mentega Curah</t>
  </si>
  <si>
    <t>Pasta Spaghetti</t>
  </si>
  <si>
    <t xml:space="preserve">Spaghetti Sauce </t>
  </si>
  <si>
    <t xml:space="preserve">Smoke Barbeque Sauce </t>
  </si>
  <si>
    <t>Pineapple Juice</t>
  </si>
  <si>
    <t>Pomegranete Juice</t>
  </si>
  <si>
    <t>Strawberry Syrup</t>
  </si>
  <si>
    <t>Lemon Syrup 460ml</t>
  </si>
  <si>
    <t>Peach Syrup</t>
  </si>
  <si>
    <t>Green Apple Syrup</t>
  </si>
  <si>
    <t>Blue Lagoon Syrup</t>
  </si>
  <si>
    <t>Syrup Salted Caramel</t>
  </si>
  <si>
    <t>Strawberry Puree</t>
  </si>
  <si>
    <t>Taro Powder</t>
  </si>
  <si>
    <t>Red Velvet Powder</t>
  </si>
  <si>
    <t>Mint Syrup</t>
  </si>
  <si>
    <t>Kiwi Puree</t>
  </si>
  <si>
    <t>Tissue Pop Up</t>
  </si>
  <si>
    <t>Tissue Multifold Lush</t>
  </si>
  <si>
    <t>Full Arabika</t>
  </si>
  <si>
    <t>Syrup Rum</t>
  </si>
  <si>
    <t>Syrup Hazelnut</t>
  </si>
  <si>
    <t>Syrup Caramel</t>
  </si>
  <si>
    <t>Syrup Vanilla</t>
  </si>
  <si>
    <t>Whip Cream</t>
  </si>
  <si>
    <t>Green Tea Powder</t>
  </si>
  <si>
    <t>Sweet Matcha Powder</t>
  </si>
  <si>
    <t>Premium Tea Strawberry Orange</t>
  </si>
  <si>
    <t xml:space="preserve">Terasi </t>
  </si>
  <si>
    <t>Lychee</t>
  </si>
  <si>
    <t>Dark Chocolate</t>
  </si>
  <si>
    <t>Matcha Latte</t>
  </si>
  <si>
    <t>Charcoal</t>
  </si>
  <si>
    <t>Bumbu Ayam Goreng</t>
  </si>
  <si>
    <t>Syrup Tiramisu</t>
  </si>
  <si>
    <t>Syrup Raspberry</t>
  </si>
  <si>
    <t>Powder CheeseCake</t>
  </si>
  <si>
    <t>Powder Yogurt</t>
  </si>
  <si>
    <t>Powder Lemon Tea</t>
  </si>
  <si>
    <t>Puree Mango Tango</t>
  </si>
  <si>
    <t>Gula Palm</t>
  </si>
  <si>
    <t>Beans</t>
  </si>
  <si>
    <t>Dari</t>
  </si>
  <si>
    <t>Beans Blend 50:50</t>
  </si>
  <si>
    <t xml:space="preserve">Cuka </t>
  </si>
  <si>
    <t>Risoles Mozzarella</t>
  </si>
  <si>
    <t>Baking Powder</t>
  </si>
  <si>
    <t>Soda Kue</t>
  </si>
  <si>
    <t>Garlic Powder</t>
  </si>
  <si>
    <t>Smoked Beef</t>
  </si>
  <si>
    <t>Sosis</t>
  </si>
  <si>
    <t>Tea Whity Rose</t>
  </si>
  <si>
    <t>Chrysantemum</t>
  </si>
  <si>
    <t>Kecap Manis</t>
  </si>
  <si>
    <t>Powder Chicken</t>
  </si>
  <si>
    <t>Mayonaise</t>
  </si>
  <si>
    <t>Tepung</t>
  </si>
  <si>
    <t>Cooking Cream</t>
  </si>
  <si>
    <t>Lemon</t>
  </si>
  <si>
    <t>Orange</t>
  </si>
  <si>
    <t>SKM</t>
  </si>
  <si>
    <t>Thai Black Tea 400 gr</t>
  </si>
  <si>
    <t>Gula Hijau</t>
  </si>
  <si>
    <t>Air Galon</t>
  </si>
  <si>
    <t>Air Mineral Water 600ml</t>
  </si>
  <si>
    <t>Susu Evaporasi</t>
  </si>
  <si>
    <t>Soy Milk</t>
  </si>
  <si>
    <t>Soda Botol</t>
  </si>
  <si>
    <t>Powder Chocolate</t>
  </si>
  <si>
    <t>Beef Powder</t>
  </si>
  <si>
    <t>Gula hijau</t>
  </si>
  <si>
    <t>Chocolate Topping</t>
  </si>
  <si>
    <t>Chilli Sauce</t>
  </si>
  <si>
    <t>Kecap Asin 150ml</t>
  </si>
  <si>
    <t>Mozzarella Cheese</t>
  </si>
  <si>
    <t xml:space="preserve">Hazelnut Latte Hot </t>
  </si>
  <si>
    <t>Hazelnut Latte Ice</t>
  </si>
  <si>
    <t>Choconutt Ice</t>
  </si>
  <si>
    <t>Red Velvet Hot</t>
  </si>
  <si>
    <t>Red Velvet Ice</t>
  </si>
  <si>
    <t>French press</t>
  </si>
  <si>
    <t>Tubruk</t>
  </si>
  <si>
    <t>Cappucino Hot</t>
  </si>
  <si>
    <t>Cappucino Ice</t>
  </si>
  <si>
    <t>Butterscotch Latte Ice</t>
  </si>
  <si>
    <t>Butterscotch Latte 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</si>
</sst>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Rp]#,##0"/>
    <numFmt numFmtId="165" formatCode="0.0%"/>
    <numFmt numFmtId="166" formatCode="ddd\,\ d\ mmmm\ yy"/>
    <numFmt numFmtId="167" formatCode="ddd&quot;, &quot;d&quot; &quot;mmm&quot; &quot;yy"/>
    <numFmt numFmtId="168" formatCode="m/d/yy"/>
  </numFmts>
  <fonts count="23">
    <font>
      <sz val="10"/>
      <color rgb="FF000000"/>
      <name val="Arial"/>
      <scheme val="minor"/>
    </font>
    <font>
      <b/>
      <sz val="14"/>
      <color theme="1"/>
      <name val="Arial"/>
      <family val="2"/>
      <scheme val="minor"/>
    </font>
    <font>
      <b/>
      <sz val="10"/>
      <color rgb="FF000000"/>
      <name val="Arial"/>
      <family val="2"/>
    </font>
    <font>
      <b/>
      <sz val="10"/>
      <color theme="1"/>
      <name val="Arial"/>
      <family val="2"/>
    </font>
    <font>
      <sz val="10"/>
      <color theme="1"/>
      <name val="Arial"/>
      <family val="2"/>
    </font>
    <font>
      <sz val="10"/>
      <color rgb="FF000000"/>
      <name val="Arial"/>
      <family val="2"/>
    </font>
    <font>
      <i/>
      <sz val="10"/>
      <color theme="1"/>
      <name val="Arial"/>
      <family val="2"/>
    </font>
    <font>
      <u/>
      <sz val="10"/>
      <color rgb="FF1155CC"/>
      <name val="Arial"/>
      <family val="2"/>
    </font>
    <font>
      <b/>
      <i/>
      <sz val="10"/>
      <color theme="1"/>
      <name val="Arial"/>
      <family val="2"/>
    </font>
    <font>
      <b/>
      <sz val="14"/>
      <color theme="1"/>
      <name val="Arial"/>
      <family val="2"/>
    </font>
    <font>
      <sz val="9"/>
      <color rgb="FF000000"/>
      <name val="&quot;Google Sans Mono&quot;"/>
    </font>
    <font>
      <sz val="10"/>
      <name val="Arial"/>
      <family val="2"/>
    </font>
    <font>
      <sz val="10"/>
      <color theme="1"/>
      <name val="Arial"/>
      <family val="2"/>
      <scheme val="minor"/>
    </font>
    <font>
      <sz val="10"/>
      <color theme="1"/>
      <name val="Arial"/>
      <family val="2"/>
    </font>
    <font>
      <sz val="10"/>
      <color rgb="FF000000"/>
      <name val="Arial"/>
      <family val="2"/>
    </font>
    <font>
      <sz val="11"/>
      <color theme="1"/>
      <name val="Arial"/>
      <family val="2"/>
    </font>
    <font>
      <u/>
      <sz val="10"/>
      <color rgb="FF1155CC"/>
      <name val="Arial"/>
      <family val="2"/>
    </font>
    <font>
      <u/>
      <sz val="10"/>
      <color rgb="FF1155CC"/>
      <name val="Arial"/>
      <family val="2"/>
    </font>
    <font>
      <b/>
      <sz val="18"/>
      <color theme="1"/>
      <name val="Arial"/>
      <family val="2"/>
    </font>
    <font>
      <b/>
      <sz val="10"/>
      <color theme="1"/>
      <name val="Arial"/>
      <family val="2"/>
      <scheme val="minor"/>
    </font>
    <font>
      <sz val="8"/>
      <color rgb="FF000000"/>
      <name val="Arial"/>
      <family val="2"/>
    </font>
    <font>
      <b/>
      <sz val="12"/>
      <color theme="1"/>
      <name val="Arial"/>
      <family val="2"/>
      <scheme val="minor"/>
    </font>
    <font>
      <sz val="10"/>
      <color rgb="FF000000"/>
      <name val="Arial"/>
      <family val="2"/>
      <scheme val="minor"/>
    </font>
  </fonts>
  <fills count="37">
    <fill>
      <patternFill patternType="none"/>
    </fill>
    <fill>
      <patternFill patternType="gray125"/>
    </fill>
    <fill>
      <patternFill patternType="solid">
        <fgColor rgb="FFFFF2CC"/>
        <bgColor rgb="FFFFF2CC"/>
      </patternFill>
    </fill>
    <fill>
      <patternFill patternType="solid">
        <fgColor rgb="FF93C47D"/>
        <bgColor rgb="FF93C47D"/>
      </patternFill>
    </fill>
    <fill>
      <patternFill patternType="solid">
        <fgColor rgb="FFFFFF00"/>
        <bgColor rgb="FFFFFF00"/>
      </patternFill>
    </fill>
    <fill>
      <patternFill patternType="solid">
        <fgColor rgb="FFF4CCCC"/>
        <bgColor rgb="FFF4CCCC"/>
      </patternFill>
    </fill>
    <fill>
      <patternFill patternType="solid">
        <fgColor rgb="FFE2EFDA"/>
        <bgColor rgb="FFE2EFDA"/>
      </patternFill>
    </fill>
    <fill>
      <patternFill patternType="solid">
        <fgColor rgb="FFD9EAD3"/>
        <bgColor rgb="FFD9EAD3"/>
      </patternFill>
    </fill>
    <fill>
      <patternFill patternType="solid">
        <fgColor rgb="FFFF0000"/>
        <bgColor rgb="FFFF0000"/>
      </patternFill>
    </fill>
    <fill>
      <patternFill patternType="solid">
        <fgColor rgb="FFEAD1DC"/>
        <bgColor rgb="FFEAD1DC"/>
      </patternFill>
    </fill>
    <fill>
      <patternFill patternType="solid">
        <fgColor rgb="FFA4C2F4"/>
        <bgColor rgb="FFA4C2F4"/>
      </patternFill>
    </fill>
    <fill>
      <patternFill patternType="solid">
        <fgColor rgb="FFE6B8AF"/>
        <bgColor rgb="FFE6B8AF"/>
      </patternFill>
    </fill>
    <fill>
      <patternFill patternType="solid">
        <fgColor rgb="FF9FC5E8"/>
        <bgColor rgb="FF9FC5E8"/>
      </patternFill>
    </fill>
    <fill>
      <patternFill patternType="solid">
        <fgColor rgb="FFB6D7A8"/>
        <bgColor rgb="FFB6D7A8"/>
      </patternFill>
    </fill>
    <fill>
      <patternFill patternType="solid">
        <fgColor rgb="FFFFE599"/>
        <bgColor rgb="FFFFE599"/>
      </patternFill>
    </fill>
    <fill>
      <patternFill patternType="solid">
        <fgColor rgb="FFC9DAF8"/>
        <bgColor rgb="FFC9DAF8"/>
      </patternFill>
    </fill>
    <fill>
      <patternFill patternType="solid">
        <fgColor rgb="FFEFEFEF"/>
        <bgColor rgb="FFEFEFEF"/>
      </patternFill>
    </fill>
    <fill>
      <patternFill patternType="solid">
        <fgColor rgb="FF000000"/>
        <bgColor rgb="FF000000"/>
      </patternFill>
    </fill>
    <fill>
      <patternFill patternType="solid">
        <fgColor rgb="FFFFFFFF"/>
        <bgColor rgb="FFFFFFFF"/>
      </patternFill>
    </fill>
    <fill>
      <patternFill patternType="solid">
        <fgColor rgb="FF00FF00"/>
        <bgColor rgb="FF00FF00"/>
      </patternFill>
    </fill>
    <fill>
      <patternFill patternType="solid">
        <fgColor rgb="FFD9D2E9"/>
        <bgColor rgb="FFD9D2E9"/>
      </patternFill>
    </fill>
    <fill>
      <patternFill patternType="solid">
        <fgColor rgb="FFEA9999"/>
        <bgColor rgb="FFEA9999"/>
      </patternFill>
    </fill>
    <fill>
      <patternFill patternType="solid">
        <fgColor rgb="FFFF00FF"/>
        <bgColor rgb="FFFF00FF"/>
      </patternFill>
    </fill>
    <fill>
      <patternFill patternType="solid">
        <fgColor rgb="FFD0E0E3"/>
        <bgColor rgb="FFD0E0E3"/>
      </patternFill>
    </fill>
    <fill>
      <patternFill patternType="solid">
        <fgColor rgb="FFF6B26B"/>
        <bgColor rgb="FFF6B26B"/>
      </patternFill>
    </fill>
    <fill>
      <patternFill patternType="solid">
        <fgColor rgb="FFB7B7B7"/>
        <bgColor rgb="FFB7B7B7"/>
      </patternFill>
    </fill>
    <fill>
      <patternFill patternType="solid">
        <fgColor rgb="FFCFE2F3"/>
        <bgColor rgb="FFCFE2F3"/>
      </patternFill>
    </fill>
    <fill>
      <patternFill patternType="solid">
        <fgColor rgb="FFF9CB9C"/>
        <bgColor rgb="FFF9CB9C"/>
      </patternFill>
    </fill>
    <fill>
      <patternFill patternType="solid">
        <fgColor rgb="FFE06666"/>
        <bgColor rgb="FFE06666"/>
      </patternFill>
    </fill>
    <fill>
      <patternFill patternType="solid">
        <fgColor theme="9"/>
        <bgColor theme="9"/>
      </patternFill>
    </fill>
    <fill>
      <patternFill patternType="solid">
        <fgColor theme="6"/>
        <bgColor theme="6"/>
      </patternFill>
    </fill>
    <fill>
      <patternFill patternType="solid">
        <fgColor theme="1"/>
        <bgColor theme="1"/>
      </patternFill>
    </fill>
    <fill>
      <patternFill patternType="solid">
        <fgColor theme="0"/>
        <bgColor theme="0"/>
      </patternFill>
    </fill>
    <fill>
      <patternFill patternType="solid">
        <fgColor rgb="FF980000"/>
        <bgColor rgb="FF980000"/>
      </patternFill>
    </fill>
    <fill>
      <patternFill patternType="solid">
        <fgColor rgb="FF0000FF"/>
        <bgColor rgb="FF0000FF"/>
      </patternFill>
    </fill>
    <fill>
      <patternFill patternType="solid">
        <fgColor rgb="FFFF9900"/>
        <bgColor rgb="FFFF9900"/>
      </patternFill>
    </fill>
    <fill>
      <patternFill patternType="solid">
        <fgColor theme="5"/>
        <bgColor theme="5"/>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ck">
        <color rgb="FF000000"/>
      </bottom>
      <diagonal/>
    </border>
    <border>
      <left style="thick">
        <color rgb="FF000000"/>
      </left>
      <right style="thin">
        <color rgb="FF000000"/>
      </right>
      <top/>
      <bottom style="thin">
        <color rgb="FF000000"/>
      </bottom>
      <diagonal/>
    </border>
    <border>
      <left/>
      <right style="thick">
        <color rgb="FF000000"/>
      </right>
      <top/>
      <bottom style="thin">
        <color rgb="FF000000"/>
      </bottom>
      <diagonal/>
    </border>
    <border>
      <left/>
      <right/>
      <top/>
      <bottom style="thin">
        <color rgb="FF000000"/>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ck">
        <color rgb="FF000000"/>
      </right>
      <top/>
      <bottom style="thick">
        <color rgb="FF000000"/>
      </bottom>
      <diagonal/>
    </border>
    <border>
      <left/>
      <right/>
      <top style="thin">
        <color rgb="FF000000"/>
      </top>
      <bottom style="thin">
        <color rgb="FF000000"/>
      </bottom>
      <diagonal/>
    </border>
    <border>
      <left style="double">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style="thin">
        <color rgb="FF000000"/>
      </right>
      <top/>
      <bottom style="thick">
        <color rgb="FF000000"/>
      </bottom>
      <diagonal/>
    </border>
    <border>
      <left style="double">
        <color rgb="FF000000"/>
      </left>
      <right style="thin">
        <color rgb="FF000000"/>
      </right>
      <top/>
      <bottom style="thick">
        <color rgb="FF000000"/>
      </bottom>
      <diagonal/>
    </border>
    <border>
      <left style="thick">
        <color rgb="FF000000"/>
      </left>
      <right style="thin">
        <color rgb="FF000000"/>
      </right>
      <top/>
      <bottom style="thick">
        <color rgb="FF000000"/>
      </bottom>
      <diagonal/>
    </border>
    <border>
      <left style="double">
        <color rgb="FF000000"/>
      </left>
      <right style="thin">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ck">
        <color rgb="FF000000"/>
      </bottom>
      <diagonal/>
    </border>
    <border>
      <left/>
      <right style="thin">
        <color rgb="FF000000"/>
      </right>
      <top style="thin">
        <color rgb="FF000000"/>
      </top>
      <bottom style="thick">
        <color rgb="FF000000"/>
      </bottom>
      <diagonal/>
    </border>
    <border>
      <left/>
      <right/>
      <top style="thin">
        <color rgb="FF000000"/>
      </top>
      <bottom style="thick">
        <color rgb="FF000000"/>
      </bottom>
      <diagonal/>
    </border>
    <border>
      <left style="double">
        <color rgb="FF000000"/>
      </left>
      <right style="thin">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style="thin">
        <color rgb="FF000000"/>
      </right>
      <top style="thin">
        <color rgb="FF000000"/>
      </top>
      <bottom style="thick">
        <color rgb="FF000000"/>
      </bottom>
      <diagonal/>
    </border>
    <border>
      <left/>
      <right/>
      <top/>
      <bottom/>
      <diagonal/>
    </border>
    <border>
      <left style="thick">
        <color rgb="FF000000"/>
      </left>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s>
  <cellStyleXfs count="1">
    <xf numFmtId="0" fontId="0" fillId="0" borderId="0"/>
  </cellStyleXfs>
  <cellXfs count="433">
    <xf numFmtId="0" fontId="0" fillId="0" borderId="0" xfId="0"/>
    <xf numFmtId="0" fontId="1"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3" fillId="0" borderId="1" xfId="0" applyFont="1" applyBorder="1"/>
    <xf numFmtId="3" fontId="3" fillId="3" borderId="0" xfId="0" applyNumberFormat="1" applyFont="1" applyFill="1" applyAlignment="1">
      <alignment horizontal="center"/>
    </xf>
    <xf numFmtId="3" fontId="3" fillId="3" borderId="1" xfId="0" applyNumberFormat="1" applyFont="1" applyFill="1" applyBorder="1" applyAlignment="1">
      <alignment horizontal="center"/>
    </xf>
    <xf numFmtId="3" fontId="3" fillId="3" borderId="1" xfId="0" applyNumberFormat="1" applyFont="1" applyFill="1" applyBorder="1" applyAlignment="1">
      <alignment horizontal="center" vertical="center"/>
    </xf>
    <xf numFmtId="164" fontId="3" fillId="3" borderId="1" xfId="0" applyNumberFormat="1" applyFont="1" applyFill="1" applyBorder="1" applyAlignment="1">
      <alignment wrapText="1"/>
    </xf>
    <xf numFmtId="0" fontId="5" fillId="4" borderId="1" xfId="0" applyFont="1" applyFill="1" applyBorder="1"/>
    <xf numFmtId="0" fontId="3" fillId="4" borderId="1" xfId="0" applyFont="1" applyFill="1" applyBorder="1"/>
    <xf numFmtId="0" fontId="4" fillId="4" borderId="1" xfId="0" quotePrefix="1" applyFont="1" applyFill="1" applyBorder="1" applyAlignment="1">
      <alignment horizontal="right"/>
    </xf>
    <xf numFmtId="0" fontId="4" fillId="4" borderId="1" xfId="0" applyFont="1" applyFill="1" applyBorder="1"/>
    <xf numFmtId="164" fontId="5" fillId="4" borderId="1" xfId="0" applyNumberFormat="1" applyFont="1" applyFill="1" applyBorder="1" applyAlignment="1">
      <alignment horizontal="right"/>
    </xf>
    <xf numFmtId="164" fontId="4" fillId="4" borderId="1" xfId="0" applyNumberFormat="1" applyFont="1" applyFill="1" applyBorder="1" applyAlignment="1">
      <alignment horizontal="right"/>
    </xf>
    <xf numFmtId="3" fontId="4" fillId="4" borderId="1" xfId="0" applyNumberFormat="1" applyFont="1" applyFill="1" applyBorder="1" applyAlignment="1">
      <alignment horizontal="right"/>
    </xf>
    <xf numFmtId="0" fontId="4" fillId="4" borderId="1" xfId="0" applyFont="1" applyFill="1" applyBorder="1" applyAlignment="1">
      <alignment horizontal="center"/>
    </xf>
    <xf numFmtId="0" fontId="4" fillId="0" borderId="1" xfId="0" applyFont="1" applyBorder="1"/>
    <xf numFmtId="0" fontId="4" fillId="5" borderId="1" xfId="0" applyFont="1" applyFill="1" applyBorder="1"/>
    <xf numFmtId="0" fontId="6" fillId="2" borderId="1" xfId="0" applyFont="1" applyFill="1" applyBorder="1"/>
    <xf numFmtId="0" fontId="4" fillId="6" borderId="1" xfId="0" applyFont="1" applyFill="1" applyBorder="1"/>
    <xf numFmtId="0" fontId="4" fillId="7" borderId="1" xfId="0" applyFont="1" applyFill="1" applyBorder="1"/>
    <xf numFmtId="0" fontId="4" fillId="2" borderId="1" xfId="0" applyFont="1" applyFill="1" applyBorder="1"/>
    <xf numFmtId="0" fontId="4" fillId="2" borderId="1" xfId="0" quotePrefix="1" applyFont="1" applyFill="1" applyBorder="1"/>
    <xf numFmtId="0" fontId="3" fillId="8" borderId="1" xfId="0" applyFont="1" applyFill="1" applyBorder="1"/>
    <xf numFmtId="0" fontId="4" fillId="4" borderId="1" xfId="0" applyFont="1" applyFill="1" applyBorder="1" applyAlignment="1">
      <alignment horizontal="right"/>
    </xf>
    <xf numFmtId="164" fontId="4" fillId="4" borderId="2" xfId="0" applyNumberFormat="1" applyFont="1" applyFill="1" applyBorder="1"/>
    <xf numFmtId="0" fontId="6" fillId="9" borderId="1" xfId="0" applyFont="1" applyFill="1" applyBorder="1"/>
    <xf numFmtId="0" fontId="4" fillId="10" borderId="1" xfId="0" applyFont="1" applyFill="1" applyBorder="1"/>
    <xf numFmtId="0" fontId="4" fillId="2" borderId="2" xfId="0" applyFont="1" applyFill="1" applyBorder="1"/>
    <xf numFmtId="0" fontId="4" fillId="2" borderId="2" xfId="0" quotePrefix="1" applyFont="1" applyFill="1" applyBorder="1"/>
    <xf numFmtId="0" fontId="4" fillId="7" borderId="1" xfId="0" quotePrefix="1" applyFont="1" applyFill="1" applyBorder="1"/>
    <xf numFmtId="0" fontId="7" fillId="7" borderId="1" xfId="0" applyFont="1" applyFill="1" applyBorder="1"/>
    <xf numFmtId="0" fontId="6" fillId="7" borderId="1" xfId="0" applyFont="1" applyFill="1" applyBorder="1"/>
    <xf numFmtId="0" fontId="6" fillId="11" borderId="1" xfId="0" applyFont="1" applyFill="1" applyBorder="1"/>
    <xf numFmtId="0" fontId="8" fillId="12" borderId="1" xfId="0" applyFont="1" applyFill="1" applyBorder="1"/>
    <xf numFmtId="0" fontId="5" fillId="13" borderId="1" xfId="0" applyFont="1" applyFill="1" applyBorder="1"/>
    <xf numFmtId="0" fontId="3" fillId="13" borderId="1" xfId="0" applyFont="1" applyFill="1" applyBorder="1"/>
    <xf numFmtId="0" fontId="4" fillId="13" borderId="1" xfId="0" applyFont="1" applyFill="1" applyBorder="1" applyAlignment="1">
      <alignment horizontal="right"/>
    </xf>
    <xf numFmtId="0" fontId="4" fillId="13" borderId="1" xfId="0" applyFont="1" applyFill="1" applyBorder="1"/>
    <xf numFmtId="164" fontId="5" fillId="13" borderId="1" xfId="0" applyNumberFormat="1" applyFont="1" applyFill="1" applyBorder="1" applyAlignment="1">
      <alignment horizontal="right"/>
    </xf>
    <xf numFmtId="164" fontId="4" fillId="13" borderId="1" xfId="0" applyNumberFormat="1" applyFont="1" applyFill="1" applyBorder="1" applyAlignment="1">
      <alignment horizontal="right"/>
    </xf>
    <xf numFmtId="3" fontId="4" fillId="13" borderId="1" xfId="0" applyNumberFormat="1" applyFont="1" applyFill="1" applyBorder="1" applyAlignment="1">
      <alignment horizontal="right"/>
    </xf>
    <xf numFmtId="0" fontId="4" fillId="13" borderId="1" xfId="0" applyFont="1" applyFill="1" applyBorder="1" applyAlignment="1">
      <alignment horizontal="center"/>
    </xf>
    <xf numFmtId="164" fontId="4" fillId="13" borderId="1" xfId="0" applyNumberFormat="1" applyFont="1" applyFill="1" applyBorder="1"/>
    <xf numFmtId="0" fontId="4" fillId="14" borderId="1" xfId="0" applyFont="1" applyFill="1" applyBorder="1" applyAlignment="1">
      <alignment horizontal="right"/>
    </xf>
    <xf numFmtId="0" fontId="4" fillId="14" borderId="1" xfId="0" applyFont="1" applyFill="1" applyBorder="1"/>
    <xf numFmtId="164" fontId="4" fillId="14" borderId="1" xfId="0" applyNumberFormat="1" applyFont="1" applyFill="1" applyBorder="1" applyAlignment="1">
      <alignment horizontal="right"/>
    </xf>
    <xf numFmtId="164" fontId="4" fillId="14" borderId="1" xfId="0" applyNumberFormat="1" applyFont="1" applyFill="1" applyBorder="1"/>
    <xf numFmtId="3" fontId="4" fillId="14" borderId="1" xfId="0" applyNumberFormat="1" applyFont="1" applyFill="1" applyBorder="1" applyAlignment="1">
      <alignment horizontal="right"/>
    </xf>
    <xf numFmtId="0" fontId="4" fillId="14" borderId="1" xfId="0" applyFont="1" applyFill="1" applyBorder="1" applyAlignment="1">
      <alignment horizontal="center"/>
    </xf>
    <xf numFmtId="0" fontId="4" fillId="15" borderId="1" xfId="0" applyFont="1" applyFill="1" applyBorder="1"/>
    <xf numFmtId="0" fontId="3" fillId="14" borderId="1" xfId="0" applyFont="1" applyFill="1" applyBorder="1"/>
    <xf numFmtId="0" fontId="4" fillId="15" borderId="1" xfId="0" quotePrefix="1" applyFont="1" applyFill="1" applyBorder="1"/>
    <xf numFmtId="0" fontId="4" fillId="16" borderId="1" xfId="0" applyFont="1" applyFill="1" applyBorder="1" applyAlignment="1">
      <alignment horizontal="right"/>
    </xf>
    <xf numFmtId="0" fontId="3" fillId="16" borderId="1" xfId="0" applyFont="1" applyFill="1" applyBorder="1"/>
    <xf numFmtId="0" fontId="4" fillId="16" borderId="1" xfId="0" applyFont="1" applyFill="1" applyBorder="1"/>
    <xf numFmtId="164" fontId="4" fillId="16" borderId="1" xfId="0" applyNumberFormat="1" applyFont="1" applyFill="1" applyBorder="1" applyAlignment="1">
      <alignment horizontal="right"/>
    </xf>
    <xf numFmtId="3" fontId="4" fillId="16" borderId="1" xfId="0" applyNumberFormat="1" applyFont="1" applyFill="1" applyBorder="1" applyAlignment="1">
      <alignment horizontal="right"/>
    </xf>
    <xf numFmtId="0" fontId="4" fillId="16" borderId="1" xfId="0" applyFont="1" applyFill="1" applyBorder="1" applyAlignment="1">
      <alignment horizontal="center"/>
    </xf>
    <xf numFmtId="0" fontId="4" fillId="6" borderId="1" xfId="0" applyFont="1" applyFill="1" applyBorder="1" applyAlignment="1">
      <alignment horizontal="right"/>
    </xf>
    <xf numFmtId="0" fontId="4" fillId="6" borderId="1" xfId="0" applyFont="1" applyFill="1" applyBorder="1" applyAlignment="1">
      <alignment horizontal="center"/>
    </xf>
    <xf numFmtId="0" fontId="4" fillId="15" borderId="1" xfId="0" applyFont="1" applyFill="1" applyBorder="1" applyAlignment="1">
      <alignment horizontal="right"/>
    </xf>
    <xf numFmtId="0" fontId="3" fillId="15" borderId="1" xfId="0" applyFont="1" applyFill="1" applyBorder="1"/>
    <xf numFmtId="0" fontId="4" fillId="15" borderId="2" xfId="0" applyFont="1" applyFill="1" applyBorder="1" applyAlignment="1">
      <alignment horizontal="right"/>
    </xf>
    <xf numFmtId="0" fontId="4" fillId="15" borderId="2" xfId="0" applyFont="1" applyFill="1" applyBorder="1"/>
    <xf numFmtId="164" fontId="4" fillId="15" borderId="2" xfId="0" applyNumberFormat="1" applyFont="1" applyFill="1" applyBorder="1" applyAlignment="1">
      <alignment horizontal="right"/>
    </xf>
    <xf numFmtId="0" fontId="4" fillId="15" borderId="2" xfId="0" applyFont="1" applyFill="1" applyBorder="1" applyAlignment="1">
      <alignment horizontal="center"/>
    </xf>
    <xf numFmtId="3" fontId="4" fillId="15" borderId="2" xfId="0" applyNumberFormat="1" applyFont="1" applyFill="1" applyBorder="1" applyAlignment="1">
      <alignment horizontal="right"/>
    </xf>
    <xf numFmtId="0" fontId="3" fillId="15" borderId="2" xfId="0" applyFont="1" applyFill="1" applyBorder="1"/>
    <xf numFmtId="0" fontId="4" fillId="6" borderId="3" xfId="0" applyFont="1" applyFill="1" applyBorder="1" applyAlignment="1">
      <alignment horizontal="right"/>
    </xf>
    <xf numFmtId="0" fontId="4" fillId="7" borderId="4" xfId="0" applyFont="1" applyFill="1" applyBorder="1"/>
    <xf numFmtId="0" fontId="4" fillId="6" borderId="4" xfId="0" applyFont="1" applyFill="1" applyBorder="1" applyAlignment="1">
      <alignment horizontal="right"/>
    </xf>
    <xf numFmtId="0" fontId="4" fillId="6" borderId="4" xfId="0" applyFont="1" applyFill="1" applyBorder="1"/>
    <xf numFmtId="164" fontId="4" fillId="6" borderId="4" xfId="0" applyNumberFormat="1" applyFont="1" applyFill="1" applyBorder="1" applyAlignment="1">
      <alignment horizontal="right"/>
    </xf>
    <xf numFmtId="164" fontId="4" fillId="6" borderId="4" xfId="0" applyNumberFormat="1" applyFont="1" applyFill="1" applyBorder="1"/>
    <xf numFmtId="0" fontId="4" fillId="6" borderId="4" xfId="0" applyFont="1" applyFill="1" applyBorder="1" applyAlignment="1">
      <alignment horizontal="center"/>
    </xf>
    <xf numFmtId="0" fontId="4" fillId="4" borderId="4" xfId="0" applyFont="1" applyFill="1" applyBorder="1"/>
    <xf numFmtId="0" fontId="4" fillId="17" borderId="0" xfId="0" applyFont="1" applyFill="1"/>
    <xf numFmtId="0" fontId="9" fillId="0" borderId="0" xfId="0" applyFont="1"/>
    <xf numFmtId="9" fontId="4" fillId="0" borderId="0" xfId="0" applyNumberFormat="1" applyFont="1"/>
    <xf numFmtId="0" fontId="4" fillId="0" borderId="5" xfId="0" applyFont="1" applyBorder="1"/>
    <xf numFmtId="0" fontId="10" fillId="18" borderId="0" xfId="0" applyFont="1" applyFill="1"/>
    <xf numFmtId="9" fontId="3" fillId="0" borderId="5" xfId="0" applyNumberFormat="1" applyFont="1" applyBorder="1" applyAlignment="1">
      <alignment horizontal="center"/>
    </xf>
    <xf numFmtId="0" fontId="4" fillId="0" borderId="5" xfId="0" applyFont="1" applyBorder="1" applyAlignment="1">
      <alignment horizontal="center"/>
    </xf>
    <xf numFmtId="0" fontId="4" fillId="3" borderId="6" xfId="0" applyFont="1" applyFill="1" applyBorder="1"/>
    <xf numFmtId="0" fontId="4" fillId="3" borderId="4" xfId="0" applyFont="1" applyFill="1" applyBorder="1"/>
    <xf numFmtId="3" fontId="4" fillId="3" borderId="4" xfId="0" applyNumberFormat="1" applyFont="1" applyFill="1" applyBorder="1"/>
    <xf numFmtId="3" fontId="4" fillId="3" borderId="7" xfId="0" applyNumberFormat="1" applyFont="1" applyFill="1" applyBorder="1"/>
    <xf numFmtId="0" fontId="4" fillId="0" borderId="8" xfId="0" applyFont="1" applyBorder="1"/>
    <xf numFmtId="0" fontId="3" fillId="3" borderId="6" xfId="0" applyFont="1" applyFill="1" applyBorder="1" applyAlignment="1">
      <alignment horizontal="center"/>
    </xf>
    <xf numFmtId="0" fontId="3" fillId="3" borderId="4" xfId="0" applyFont="1" applyFill="1" applyBorder="1" applyAlignment="1">
      <alignment horizontal="center"/>
    </xf>
    <xf numFmtId="3" fontId="3" fillId="3" borderId="4" xfId="0" applyNumberFormat="1" applyFont="1" applyFill="1" applyBorder="1" applyAlignment="1">
      <alignment horizontal="center"/>
    </xf>
    <xf numFmtId="3" fontId="3" fillId="3" borderId="7" xfId="0" applyNumberFormat="1" applyFont="1" applyFill="1" applyBorder="1" applyAlignment="1">
      <alignment horizontal="center"/>
    </xf>
    <xf numFmtId="0" fontId="3" fillId="0" borderId="4" xfId="0" applyFont="1" applyBorder="1"/>
    <xf numFmtId="0" fontId="3" fillId="0" borderId="4" xfId="0" applyFont="1" applyBorder="1" applyAlignment="1">
      <alignment horizontal="center"/>
    </xf>
    <xf numFmtId="0" fontId="4" fillId="7" borderId="6" xfId="0" applyFont="1" applyFill="1" applyBorder="1" applyAlignment="1">
      <alignment horizontal="right"/>
    </xf>
    <xf numFmtId="0" fontId="4" fillId="19" borderId="1" xfId="0" applyFont="1" applyFill="1" applyBorder="1"/>
    <xf numFmtId="0" fontId="4" fillId="7" borderId="1" xfId="0" applyFont="1" applyFill="1" applyBorder="1" applyAlignment="1">
      <alignment horizontal="left"/>
    </xf>
    <xf numFmtId="164" fontId="4" fillId="5" borderId="7" xfId="0" applyNumberFormat="1" applyFont="1" applyFill="1" applyBorder="1" applyAlignment="1">
      <alignment horizontal="right"/>
    </xf>
    <xf numFmtId="164" fontId="4" fillId="19" borderId="4" xfId="0" applyNumberFormat="1" applyFont="1" applyFill="1" applyBorder="1" applyAlignment="1">
      <alignment horizontal="right"/>
    </xf>
    <xf numFmtId="10" fontId="4" fillId="2" borderId="4" xfId="0" applyNumberFormat="1" applyFont="1" applyFill="1" applyBorder="1" applyAlignment="1">
      <alignment horizontal="right"/>
    </xf>
    <xf numFmtId="164" fontId="4" fillId="20" borderId="7" xfId="0" applyNumberFormat="1" applyFont="1" applyFill="1" applyBorder="1" applyAlignment="1">
      <alignment horizontal="right"/>
    </xf>
    <xf numFmtId="164" fontId="4" fillId="21" borderId="4" xfId="0" applyNumberFormat="1" applyFont="1" applyFill="1" applyBorder="1" applyAlignment="1">
      <alignment horizontal="right"/>
    </xf>
    <xf numFmtId="10" fontId="4" fillId="21" borderId="4" xfId="0" applyNumberFormat="1" applyFont="1" applyFill="1" applyBorder="1" applyAlignment="1">
      <alignment horizontal="right"/>
    </xf>
    <xf numFmtId="164" fontId="4" fillId="21" borderId="7" xfId="0" applyNumberFormat="1" applyFont="1" applyFill="1" applyBorder="1" applyAlignment="1">
      <alignment horizontal="right"/>
    </xf>
    <xf numFmtId="164" fontId="4" fillId="0" borderId="8" xfId="0" applyNumberFormat="1" applyFont="1" applyBorder="1"/>
    <xf numFmtId="0" fontId="4" fillId="0" borderId="4" xfId="0" applyFont="1" applyBorder="1"/>
    <xf numFmtId="164" fontId="12" fillId="0" borderId="0" xfId="0" applyNumberFormat="1" applyFont="1"/>
    <xf numFmtId="164" fontId="12" fillId="8" borderId="0" xfId="0" applyNumberFormat="1" applyFont="1" applyFill="1"/>
    <xf numFmtId="0" fontId="4" fillId="4" borderId="1" xfId="0" applyFont="1" applyFill="1" applyBorder="1" applyAlignment="1">
      <alignment horizontal="left"/>
    </xf>
    <xf numFmtId="164" fontId="4" fillId="8" borderId="4" xfId="0" applyNumberFormat="1" applyFont="1" applyFill="1" applyBorder="1" applyAlignment="1">
      <alignment horizontal="right"/>
    </xf>
    <xf numFmtId="10" fontId="4" fillId="8" borderId="4" xfId="0" applyNumberFormat="1" applyFont="1" applyFill="1" applyBorder="1" applyAlignment="1">
      <alignment horizontal="right"/>
    </xf>
    <xf numFmtId="164" fontId="4" fillId="8" borderId="7" xfId="0" applyNumberFormat="1" applyFont="1" applyFill="1" applyBorder="1" applyAlignment="1">
      <alignment horizontal="right"/>
    </xf>
    <xf numFmtId="0" fontId="12" fillId="22" borderId="0" xfId="0" applyFont="1" applyFill="1"/>
    <xf numFmtId="164" fontId="4" fillId="23" borderId="4" xfId="0" applyNumberFormat="1" applyFont="1" applyFill="1" applyBorder="1" applyAlignment="1">
      <alignment horizontal="right"/>
    </xf>
    <xf numFmtId="164" fontId="4" fillId="8" borderId="4" xfId="0" applyNumberFormat="1" applyFont="1" applyFill="1" applyBorder="1"/>
    <xf numFmtId="164" fontId="4" fillId="7" borderId="4" xfId="0" applyNumberFormat="1" applyFont="1" applyFill="1" applyBorder="1"/>
    <xf numFmtId="10" fontId="4" fillId="7" borderId="4" xfId="0" applyNumberFormat="1" applyFont="1" applyFill="1" applyBorder="1"/>
    <xf numFmtId="10" fontId="4" fillId="5" borderId="7" xfId="0" applyNumberFormat="1" applyFont="1" applyFill="1" applyBorder="1"/>
    <xf numFmtId="164" fontId="4" fillId="0" borderId="0" xfId="0" applyNumberFormat="1" applyFont="1"/>
    <xf numFmtId="10" fontId="4" fillId="7" borderId="1" xfId="0" applyNumberFormat="1" applyFont="1" applyFill="1" applyBorder="1"/>
    <xf numFmtId="164" fontId="4" fillId="8" borderId="0" xfId="0" applyNumberFormat="1" applyFont="1" applyFill="1"/>
    <xf numFmtId="164" fontId="4" fillId="5" borderId="7" xfId="0" applyNumberFormat="1" applyFont="1" applyFill="1" applyBorder="1"/>
    <xf numFmtId="164" fontId="4" fillId="23" borderId="4" xfId="0" applyNumberFormat="1" applyFont="1" applyFill="1" applyBorder="1"/>
    <xf numFmtId="10" fontId="4" fillId="2" borderId="4" xfId="0" applyNumberFormat="1" applyFont="1" applyFill="1" applyBorder="1"/>
    <xf numFmtId="164" fontId="4" fillId="20" borderId="7" xfId="0" applyNumberFormat="1" applyFont="1" applyFill="1" applyBorder="1"/>
    <xf numFmtId="164" fontId="4" fillId="21" borderId="4" xfId="0" applyNumberFormat="1" applyFont="1" applyFill="1" applyBorder="1"/>
    <xf numFmtId="10" fontId="4" fillId="21" borderId="4" xfId="0" applyNumberFormat="1" applyFont="1" applyFill="1" applyBorder="1"/>
    <xf numFmtId="164" fontId="4" fillId="21" borderId="7" xfId="0" applyNumberFormat="1" applyFont="1" applyFill="1" applyBorder="1"/>
    <xf numFmtId="164" fontId="4" fillId="7" borderId="1" xfId="0" applyNumberFormat="1" applyFont="1" applyFill="1" applyBorder="1"/>
    <xf numFmtId="0" fontId="12" fillId="0" borderId="0" xfId="0" applyFont="1"/>
    <xf numFmtId="0" fontId="3" fillId="3" borderId="3" xfId="0" applyFont="1" applyFill="1" applyBorder="1" applyAlignment="1">
      <alignment horizontal="center"/>
    </xf>
    <xf numFmtId="0" fontId="3" fillId="4" borderId="0" xfId="0" applyFont="1" applyFill="1" applyAlignment="1">
      <alignment horizontal="right"/>
    </xf>
    <xf numFmtId="0" fontId="3" fillId="7" borderId="0" xfId="0" applyFont="1" applyFill="1"/>
    <xf numFmtId="3" fontId="4" fillId="7" borderId="0" xfId="0" applyNumberFormat="1" applyFont="1" applyFill="1"/>
    <xf numFmtId="0" fontId="4" fillId="7" borderId="0" xfId="0" applyFont="1" applyFill="1"/>
    <xf numFmtId="164" fontId="3" fillId="7" borderId="0" xfId="0" applyNumberFormat="1" applyFont="1" applyFill="1" applyAlignment="1">
      <alignment horizontal="right"/>
    </xf>
    <xf numFmtId="9" fontId="3" fillId="7" borderId="0" xfId="0" applyNumberFormat="1" applyFont="1" applyFill="1" applyAlignment="1">
      <alignment horizontal="right"/>
    </xf>
    <xf numFmtId="164" fontId="3" fillId="7" borderId="9" xfId="0" applyNumberFormat="1" applyFont="1" applyFill="1" applyBorder="1" applyAlignment="1">
      <alignment horizontal="center"/>
    </xf>
    <xf numFmtId="0" fontId="4" fillId="0" borderId="10" xfId="0" applyFont="1" applyBorder="1"/>
    <xf numFmtId="3" fontId="13" fillId="0" borderId="0" xfId="0" applyNumberFormat="1" applyFont="1" applyAlignment="1">
      <alignment horizontal="right"/>
    </xf>
    <xf numFmtId="164" fontId="14" fillId="18" borderId="0" xfId="0" applyNumberFormat="1" applyFont="1" applyFill="1"/>
    <xf numFmtId="164" fontId="4" fillId="0" borderId="0" xfId="0" applyNumberFormat="1" applyFont="1" applyAlignment="1">
      <alignment horizontal="right"/>
    </xf>
    <xf numFmtId="3" fontId="4" fillId="0" borderId="0" xfId="0" applyNumberFormat="1" applyFont="1"/>
    <xf numFmtId="3" fontId="4" fillId="0" borderId="0" xfId="0" applyNumberFormat="1" applyFont="1" applyAlignment="1">
      <alignment horizontal="right"/>
    </xf>
    <xf numFmtId="0" fontId="4" fillId="4" borderId="0" xfId="0" applyFont="1" applyFill="1"/>
    <xf numFmtId="0" fontId="4" fillId="0" borderId="11" xfId="0" applyFont="1" applyBorder="1"/>
    <xf numFmtId="3" fontId="4" fillId="0" borderId="8" xfId="0" applyNumberFormat="1" applyFont="1" applyBorder="1" applyAlignment="1">
      <alignment horizontal="right"/>
    </xf>
    <xf numFmtId="164" fontId="4" fillId="0" borderId="8" xfId="0" applyNumberFormat="1" applyFont="1" applyBorder="1" applyAlignment="1">
      <alignment horizontal="right"/>
    </xf>
    <xf numFmtId="3" fontId="4" fillId="0" borderId="8" xfId="0" applyNumberFormat="1" applyFont="1" applyBorder="1"/>
    <xf numFmtId="0" fontId="3" fillId="7" borderId="9" xfId="0" applyFont="1" applyFill="1" applyBorder="1"/>
    <xf numFmtId="3" fontId="4" fillId="7" borderId="9" xfId="0" applyNumberFormat="1" applyFont="1" applyFill="1" applyBorder="1"/>
    <xf numFmtId="0" fontId="4" fillId="7" borderId="9" xfId="0" applyFont="1" applyFill="1" applyBorder="1"/>
    <xf numFmtId="164" fontId="3" fillId="7" borderId="9" xfId="0" applyNumberFormat="1" applyFont="1" applyFill="1" applyBorder="1" applyAlignment="1">
      <alignment horizontal="right"/>
    </xf>
    <xf numFmtId="0" fontId="3" fillId="4" borderId="9" xfId="0" applyFont="1" applyFill="1" applyBorder="1" applyAlignment="1">
      <alignment horizontal="right"/>
    </xf>
    <xf numFmtId="0" fontId="3" fillId="4" borderId="9" xfId="0" applyFont="1" applyFill="1" applyBorder="1"/>
    <xf numFmtId="164" fontId="4" fillId="18" borderId="0" xfId="0" applyNumberFormat="1" applyFont="1" applyFill="1" applyAlignment="1">
      <alignment horizontal="right"/>
    </xf>
    <xf numFmtId="164" fontId="4" fillId="18" borderId="0" xfId="0" applyNumberFormat="1" applyFont="1" applyFill="1"/>
    <xf numFmtId="0" fontId="3" fillId="7" borderId="0" xfId="0" applyFont="1" applyFill="1" applyAlignment="1">
      <alignment horizontal="right"/>
    </xf>
    <xf numFmtId="0" fontId="3" fillId="7" borderId="9" xfId="0" applyFont="1" applyFill="1" applyBorder="1" applyAlignment="1">
      <alignment horizontal="right"/>
    </xf>
    <xf numFmtId="3" fontId="15" fillId="0" borderId="0" xfId="0" applyNumberFormat="1" applyFont="1" applyAlignment="1">
      <alignment horizontal="right"/>
    </xf>
    <xf numFmtId="0" fontId="3" fillId="8" borderId="9" xfId="0" applyFont="1" applyFill="1" applyBorder="1"/>
    <xf numFmtId="0" fontId="4" fillId="18" borderId="0" xfId="0" applyFont="1" applyFill="1"/>
    <xf numFmtId="3" fontId="4" fillId="18" borderId="0" xfId="0" applyNumberFormat="1" applyFont="1" applyFill="1" applyAlignment="1">
      <alignment horizontal="right"/>
    </xf>
    <xf numFmtId="0" fontId="4" fillId="0" borderId="0" xfId="0" applyFont="1" applyAlignment="1">
      <alignment horizontal="right"/>
    </xf>
    <xf numFmtId="3" fontId="4" fillId="18" borderId="0" xfId="0" applyNumberFormat="1" applyFont="1" applyFill="1"/>
    <xf numFmtId="4" fontId="3" fillId="7" borderId="12" xfId="0" applyNumberFormat="1" applyFont="1" applyFill="1" applyBorder="1" applyAlignment="1">
      <alignment horizontal="right"/>
    </xf>
    <xf numFmtId="0" fontId="3" fillId="7" borderId="13" xfId="0" applyFont="1" applyFill="1" applyBorder="1" applyAlignment="1">
      <alignment horizontal="right"/>
    </xf>
    <xf numFmtId="3" fontId="3" fillId="7" borderId="9" xfId="0" applyNumberFormat="1" applyFont="1" applyFill="1" applyBorder="1" applyAlignment="1">
      <alignment horizontal="right"/>
    </xf>
    <xf numFmtId="9" fontId="3" fillId="7" borderId="9" xfId="0" applyNumberFormat="1" applyFont="1" applyFill="1" applyBorder="1" applyAlignment="1">
      <alignment horizontal="right"/>
    </xf>
    <xf numFmtId="4" fontId="3" fillId="7" borderId="14" xfId="0" applyNumberFormat="1" applyFont="1" applyFill="1" applyBorder="1" applyAlignment="1">
      <alignment horizontal="right"/>
    </xf>
    <xf numFmtId="0" fontId="4" fillId="0" borderId="12" xfId="0" applyFont="1" applyBorder="1"/>
    <xf numFmtId="165" fontId="4" fillId="0" borderId="12" xfId="0" applyNumberFormat="1" applyFont="1" applyBorder="1"/>
    <xf numFmtId="0" fontId="3" fillId="4" borderId="13" xfId="0" applyFont="1" applyFill="1" applyBorder="1" applyAlignment="1">
      <alignment horizontal="right"/>
    </xf>
    <xf numFmtId="3" fontId="3" fillId="7" borderId="14" xfId="0" applyNumberFormat="1" applyFont="1" applyFill="1" applyBorder="1" applyAlignment="1">
      <alignment horizontal="right"/>
    </xf>
    <xf numFmtId="4" fontId="4" fillId="0" borderId="0" xfId="0" applyNumberFormat="1" applyFont="1"/>
    <xf numFmtId="9" fontId="4" fillId="0" borderId="8" xfId="0" applyNumberFormat="1" applyFont="1" applyBorder="1"/>
    <xf numFmtId="4" fontId="4" fillId="0" borderId="8" xfId="0" applyNumberFormat="1" applyFont="1" applyBorder="1"/>
    <xf numFmtId="3" fontId="3" fillId="7" borderId="0" xfId="0" applyNumberFormat="1" applyFont="1" applyFill="1" applyAlignment="1">
      <alignment horizontal="right"/>
    </xf>
    <xf numFmtId="0" fontId="3" fillId="7" borderId="0" xfId="0" applyFont="1" applyFill="1" applyAlignment="1">
      <alignment horizontal="center"/>
    </xf>
    <xf numFmtId="0" fontId="3" fillId="7" borderId="10" xfId="0" applyFont="1" applyFill="1" applyBorder="1" applyAlignment="1">
      <alignment horizontal="right"/>
    </xf>
    <xf numFmtId="0" fontId="3" fillId="4" borderId="10" xfId="0" applyFont="1" applyFill="1" applyBorder="1" applyAlignment="1">
      <alignment horizontal="right"/>
    </xf>
    <xf numFmtId="164" fontId="3" fillId="7" borderId="0" xfId="0" applyNumberFormat="1" applyFont="1" applyFill="1"/>
    <xf numFmtId="0" fontId="4" fillId="0" borderId="0" xfId="0" applyFont="1" applyAlignment="1">
      <alignment horizontal="center"/>
    </xf>
    <xf numFmtId="164" fontId="4" fillId="7" borderId="0" xfId="0" applyNumberFormat="1" applyFont="1" applyFill="1"/>
    <xf numFmtId="0" fontId="3" fillId="3" borderId="1" xfId="0" applyFont="1" applyFill="1" applyBorder="1" applyAlignment="1">
      <alignment horizontal="center"/>
    </xf>
    <xf numFmtId="0" fontId="3" fillId="19" borderId="13" xfId="0" applyFont="1" applyFill="1" applyBorder="1" applyAlignment="1">
      <alignment horizontal="right"/>
    </xf>
    <xf numFmtId="164" fontId="3" fillId="7" borderId="0" xfId="0" applyNumberFormat="1" applyFont="1" applyFill="1" applyAlignment="1">
      <alignment horizontal="center"/>
    </xf>
    <xf numFmtId="0" fontId="12" fillId="4" borderId="0" xfId="0" applyFont="1" applyFill="1"/>
    <xf numFmtId="0" fontId="12" fillId="4" borderId="0" xfId="0" applyFont="1" applyFill="1" applyAlignment="1">
      <alignment horizontal="center"/>
    </xf>
    <xf numFmtId="0" fontId="12" fillId="7" borderId="9" xfId="0" applyFont="1" applyFill="1" applyBorder="1"/>
    <xf numFmtId="0" fontId="12" fillId="8" borderId="9" xfId="0" applyFont="1" applyFill="1" applyBorder="1"/>
    <xf numFmtId="0" fontId="3" fillId="24" borderId="13" xfId="0" applyFont="1" applyFill="1" applyBorder="1" applyAlignment="1">
      <alignment horizontal="right"/>
    </xf>
    <xf numFmtId="0" fontId="3" fillId="24" borderId="0" xfId="0" applyFont="1" applyFill="1"/>
    <xf numFmtId="3" fontId="4" fillId="24" borderId="0" xfId="0" applyNumberFormat="1" applyFont="1" applyFill="1"/>
    <xf numFmtId="3" fontId="4" fillId="24" borderId="9" xfId="0" applyNumberFormat="1" applyFont="1" applyFill="1" applyBorder="1"/>
    <xf numFmtId="164" fontId="3" fillId="24" borderId="0" xfId="0" applyNumberFormat="1" applyFont="1" applyFill="1" applyAlignment="1">
      <alignment horizontal="right"/>
    </xf>
    <xf numFmtId="9" fontId="3" fillId="24" borderId="0" xfId="0" applyNumberFormat="1" applyFont="1" applyFill="1" applyAlignment="1">
      <alignment horizontal="right"/>
    </xf>
    <xf numFmtId="0" fontId="4" fillId="14" borderId="10" xfId="0" applyFont="1" applyFill="1" applyBorder="1"/>
    <xf numFmtId="0" fontId="4" fillId="14" borderId="0" xfId="0" applyFont="1" applyFill="1"/>
    <xf numFmtId="3" fontId="4" fillId="14" borderId="0" xfId="0" applyNumberFormat="1" applyFont="1" applyFill="1" applyAlignment="1">
      <alignment horizontal="right"/>
    </xf>
    <xf numFmtId="164" fontId="4" fillId="14" borderId="0" xfId="0" applyNumberFormat="1" applyFont="1" applyFill="1" applyAlignment="1">
      <alignment horizontal="right"/>
    </xf>
    <xf numFmtId="3" fontId="4" fillId="14" borderId="0" xfId="0" applyNumberFormat="1" applyFont="1" applyFill="1"/>
    <xf numFmtId="0" fontId="4" fillId="14" borderId="8" xfId="0" applyFont="1" applyFill="1" applyBorder="1"/>
    <xf numFmtId="3" fontId="4" fillId="14" borderId="8" xfId="0" applyNumberFormat="1" applyFont="1" applyFill="1" applyBorder="1" applyAlignment="1">
      <alignment horizontal="right"/>
    </xf>
    <xf numFmtId="164" fontId="4" fillId="14" borderId="8" xfId="0" applyNumberFormat="1" applyFont="1" applyFill="1" applyBorder="1" applyAlignment="1">
      <alignment horizontal="right"/>
    </xf>
    <xf numFmtId="0" fontId="4" fillId="14" borderId="11" xfId="0" applyFont="1" applyFill="1" applyBorder="1"/>
    <xf numFmtId="3" fontId="4" fillId="14" borderId="8" xfId="0" applyNumberFormat="1" applyFont="1" applyFill="1" applyBorder="1"/>
    <xf numFmtId="0" fontId="3" fillId="8" borderId="13" xfId="0" applyFont="1" applyFill="1" applyBorder="1" applyAlignment="1">
      <alignment horizontal="right"/>
    </xf>
    <xf numFmtId="3" fontId="4" fillId="8" borderId="9" xfId="0" applyNumberFormat="1" applyFont="1" applyFill="1" applyBorder="1"/>
    <xf numFmtId="3" fontId="3" fillId="8" borderId="9" xfId="0" applyNumberFormat="1" applyFont="1" applyFill="1" applyBorder="1" applyAlignment="1">
      <alignment horizontal="right"/>
    </xf>
    <xf numFmtId="164" fontId="3" fillId="8" borderId="9" xfId="0" applyNumberFormat="1" applyFont="1" applyFill="1" applyBorder="1" applyAlignment="1">
      <alignment horizontal="right"/>
    </xf>
    <xf numFmtId="9" fontId="3" fillId="8" borderId="9" xfId="0" applyNumberFormat="1" applyFont="1" applyFill="1" applyBorder="1" applyAlignment="1">
      <alignment horizontal="right"/>
    </xf>
    <xf numFmtId="4" fontId="3" fillId="8" borderId="14" xfId="0" applyNumberFormat="1" applyFont="1" applyFill="1" applyBorder="1" applyAlignment="1">
      <alignment horizontal="right"/>
    </xf>
    <xf numFmtId="0" fontId="4" fillId="0" borderId="15" xfId="0" applyFont="1" applyBorder="1" applyAlignment="1">
      <alignment horizontal="center"/>
    </xf>
    <xf numFmtId="0" fontId="4" fillId="4" borderId="2" xfId="0" applyFont="1" applyFill="1" applyBorder="1" applyAlignment="1">
      <alignment horizontal="center"/>
    </xf>
    <xf numFmtId="0" fontId="4" fillId="4" borderId="16" xfId="0" applyFont="1" applyFill="1" applyBorder="1" applyAlignment="1">
      <alignment horizontal="center"/>
    </xf>
    <xf numFmtId="0" fontId="4" fillId="4" borderId="19" xfId="0" applyFont="1" applyFill="1" applyBorder="1" applyAlignment="1">
      <alignment horizontal="center"/>
    </xf>
    <xf numFmtId="0" fontId="3" fillId="25" borderId="20" xfId="0" applyFont="1" applyFill="1" applyBorder="1" applyAlignment="1">
      <alignment horizontal="center" vertical="center" wrapText="1"/>
    </xf>
    <xf numFmtId="0" fontId="3" fillId="25" borderId="5" xfId="0" applyFont="1" applyFill="1" applyBorder="1" applyAlignment="1">
      <alignment horizontal="center" vertical="center" wrapText="1"/>
    </xf>
    <xf numFmtId="0" fontId="3" fillId="25" borderId="21" xfId="0" applyFont="1" applyFill="1" applyBorder="1" applyAlignment="1">
      <alignment horizontal="center" vertical="center" wrapText="1"/>
    </xf>
    <xf numFmtId="0" fontId="3" fillId="25" borderId="15" xfId="0" applyFont="1" applyFill="1" applyBorder="1" applyAlignment="1">
      <alignment horizontal="center" vertical="center" wrapText="1"/>
    </xf>
    <xf numFmtId="0" fontId="3" fillId="25" borderId="22" xfId="0" applyFont="1" applyFill="1" applyBorder="1" applyAlignment="1">
      <alignment horizontal="center" vertical="center" wrapText="1"/>
    </xf>
    <xf numFmtId="0" fontId="4" fillId="13" borderId="3" xfId="0" applyFont="1" applyFill="1" applyBorder="1"/>
    <xf numFmtId="0" fontId="4" fillId="13" borderId="4" xfId="0" applyFont="1" applyFill="1" applyBorder="1"/>
    <xf numFmtId="164" fontId="4" fillId="13" borderId="4" xfId="0" applyNumberFormat="1" applyFont="1" applyFill="1" applyBorder="1"/>
    <xf numFmtId="3" fontId="4" fillId="13" borderId="4" xfId="0" applyNumberFormat="1" applyFont="1" applyFill="1" applyBorder="1" applyAlignment="1">
      <alignment horizontal="right"/>
    </xf>
    <xf numFmtId="3" fontId="4" fillId="13" borderId="4" xfId="0" applyNumberFormat="1" applyFont="1" applyFill="1" applyBorder="1"/>
    <xf numFmtId="164" fontId="4" fillId="13" borderId="8" xfId="0" applyNumberFormat="1" applyFont="1" applyFill="1" applyBorder="1" applyAlignment="1">
      <alignment horizontal="right"/>
    </xf>
    <xf numFmtId="4" fontId="4" fillId="13" borderId="23" xfId="0" applyNumberFormat="1" applyFont="1" applyFill="1" applyBorder="1"/>
    <xf numFmtId="0" fontId="4" fillId="13" borderId="7" xfId="0" applyFont="1" applyFill="1" applyBorder="1"/>
    <xf numFmtId="0" fontId="4" fillId="13" borderId="8" xfId="0" applyFont="1" applyFill="1" applyBorder="1"/>
    <xf numFmtId="4" fontId="4" fillId="13" borderId="6" xfId="0" applyNumberFormat="1" applyFont="1" applyFill="1" applyBorder="1"/>
    <xf numFmtId="164" fontId="4" fillId="13" borderId="8" xfId="0" applyNumberFormat="1" applyFont="1" applyFill="1" applyBorder="1"/>
    <xf numFmtId="0" fontId="4" fillId="26" borderId="3" xfId="0" applyFont="1" applyFill="1" applyBorder="1"/>
    <xf numFmtId="0" fontId="4" fillId="26" borderId="4" xfId="0" applyFont="1" applyFill="1" applyBorder="1"/>
    <xf numFmtId="164" fontId="4" fillId="26" borderId="4" xfId="0" applyNumberFormat="1" applyFont="1" applyFill="1" applyBorder="1"/>
    <xf numFmtId="0" fontId="4" fillId="26" borderId="4" xfId="0" applyFont="1" applyFill="1" applyBorder="1" applyAlignment="1">
      <alignment horizontal="right"/>
    </xf>
    <xf numFmtId="3" fontId="4" fillId="26" borderId="4" xfId="0" applyNumberFormat="1" applyFont="1" applyFill="1" applyBorder="1" applyAlignment="1">
      <alignment horizontal="right"/>
    </xf>
    <xf numFmtId="3" fontId="4" fillId="26" borderId="4" xfId="0" applyNumberFormat="1" applyFont="1" applyFill="1" applyBorder="1"/>
    <xf numFmtId="164" fontId="4" fillId="26" borderId="4" xfId="0" applyNumberFormat="1" applyFont="1" applyFill="1" applyBorder="1" applyAlignment="1">
      <alignment horizontal="right"/>
    </xf>
    <xf numFmtId="164" fontId="4" fillId="26" borderId="8" xfId="0" applyNumberFormat="1" applyFont="1" applyFill="1" applyBorder="1" applyAlignment="1">
      <alignment horizontal="right"/>
    </xf>
    <xf numFmtId="4" fontId="4" fillId="26" borderId="23" xfId="0" applyNumberFormat="1" applyFont="1" applyFill="1" applyBorder="1"/>
    <xf numFmtId="0" fontId="4" fillId="26" borderId="7" xfId="0" applyFont="1" applyFill="1" applyBorder="1"/>
    <xf numFmtId="0" fontId="4" fillId="26" borderId="8" xfId="0" applyFont="1" applyFill="1" applyBorder="1"/>
    <xf numFmtId="4" fontId="4" fillId="26" borderId="6" xfId="0" applyNumberFormat="1" applyFont="1" applyFill="1" applyBorder="1"/>
    <xf numFmtId="4" fontId="16" fillId="26" borderId="23" xfId="0" applyNumberFormat="1" applyFont="1" applyFill="1" applyBorder="1"/>
    <xf numFmtId="4" fontId="17" fillId="26" borderId="6" xfId="0" applyNumberFormat="1" applyFont="1" applyFill="1" applyBorder="1"/>
    <xf numFmtId="0" fontId="4" fillId="27" borderId="3" xfId="0" applyFont="1" applyFill="1" applyBorder="1"/>
    <xf numFmtId="0" fontId="4" fillId="27" borderId="4" xfId="0" applyFont="1" applyFill="1" applyBorder="1"/>
    <xf numFmtId="164" fontId="4" fillId="27" borderId="4" xfId="0" applyNumberFormat="1" applyFont="1" applyFill="1" applyBorder="1"/>
    <xf numFmtId="0" fontId="4" fillId="27" borderId="4" xfId="0" applyFont="1" applyFill="1" applyBorder="1" applyAlignment="1">
      <alignment horizontal="right"/>
    </xf>
    <xf numFmtId="3" fontId="4" fillId="27" borderId="4" xfId="0" applyNumberFormat="1" applyFont="1" applyFill="1" applyBorder="1" applyAlignment="1">
      <alignment horizontal="right"/>
    </xf>
    <xf numFmtId="3" fontId="4" fillId="27" borderId="4" xfId="0" applyNumberFormat="1" applyFont="1" applyFill="1" applyBorder="1"/>
    <xf numFmtId="164" fontId="4" fillId="27" borderId="4" xfId="0" applyNumberFormat="1" applyFont="1" applyFill="1" applyBorder="1" applyAlignment="1">
      <alignment horizontal="right"/>
    </xf>
    <xf numFmtId="164" fontId="4" fillId="27" borderId="8" xfId="0" applyNumberFormat="1" applyFont="1" applyFill="1" applyBorder="1" applyAlignment="1">
      <alignment horizontal="right"/>
    </xf>
    <xf numFmtId="4" fontId="4" fillId="27" borderId="23" xfId="0" applyNumberFormat="1" applyFont="1" applyFill="1" applyBorder="1"/>
    <xf numFmtId="0" fontId="4" fillId="27" borderId="7" xfId="0" applyFont="1" applyFill="1" applyBorder="1"/>
    <xf numFmtId="0" fontId="4" fillId="27" borderId="8" xfId="0" applyFont="1" applyFill="1" applyBorder="1"/>
    <xf numFmtId="4" fontId="4" fillId="27" borderId="6" xfId="0" applyNumberFormat="1" applyFont="1" applyFill="1" applyBorder="1"/>
    <xf numFmtId="0" fontId="4" fillId="9" borderId="3" xfId="0" applyFont="1" applyFill="1" applyBorder="1"/>
    <xf numFmtId="0" fontId="4" fillId="9" borderId="4" xfId="0" applyFont="1" applyFill="1" applyBorder="1"/>
    <xf numFmtId="164" fontId="4" fillId="9" borderId="4" xfId="0" applyNumberFormat="1" applyFont="1" applyFill="1" applyBorder="1"/>
    <xf numFmtId="0" fontId="4" fillId="9" borderId="4" xfId="0" applyFont="1" applyFill="1" applyBorder="1" applyAlignment="1">
      <alignment horizontal="right"/>
    </xf>
    <xf numFmtId="3" fontId="4" fillId="9" borderId="4" xfId="0" applyNumberFormat="1" applyFont="1" applyFill="1" applyBorder="1" applyAlignment="1">
      <alignment horizontal="right"/>
    </xf>
    <xf numFmtId="3" fontId="4" fillId="9" borderId="4" xfId="0" applyNumberFormat="1" applyFont="1" applyFill="1" applyBorder="1"/>
    <xf numFmtId="164" fontId="4" fillId="9" borderId="4" xfId="0" applyNumberFormat="1" applyFont="1" applyFill="1" applyBorder="1" applyAlignment="1">
      <alignment horizontal="right"/>
    </xf>
    <xf numFmtId="164" fontId="4" fillId="9" borderId="8" xfId="0" applyNumberFormat="1" applyFont="1" applyFill="1" applyBorder="1" applyAlignment="1">
      <alignment horizontal="right"/>
    </xf>
    <xf numFmtId="4" fontId="4" fillId="9" borderId="23" xfId="0" applyNumberFormat="1" applyFont="1" applyFill="1" applyBorder="1"/>
    <xf numFmtId="0" fontId="4" fillId="9" borderId="7" xfId="0" applyFont="1" applyFill="1" applyBorder="1"/>
    <xf numFmtId="0" fontId="4" fillId="9" borderId="8" xfId="0" applyFont="1" applyFill="1" applyBorder="1"/>
    <xf numFmtId="4" fontId="4" fillId="9" borderId="6" xfId="0" applyNumberFormat="1" applyFont="1" applyFill="1" applyBorder="1"/>
    <xf numFmtId="0" fontId="4" fillId="9" borderId="1" xfId="0" applyFont="1" applyFill="1" applyBorder="1"/>
    <xf numFmtId="164" fontId="4" fillId="9" borderId="2" xfId="0" applyNumberFormat="1" applyFont="1" applyFill="1" applyBorder="1"/>
    <xf numFmtId="0" fontId="4" fillId="9" borderId="2" xfId="0" applyFont="1" applyFill="1" applyBorder="1" applyAlignment="1">
      <alignment horizontal="right"/>
    </xf>
    <xf numFmtId="0" fontId="4" fillId="9" borderId="2" xfId="0" applyFont="1" applyFill="1" applyBorder="1"/>
    <xf numFmtId="3" fontId="4" fillId="9" borderId="2" xfId="0" applyNumberFormat="1" applyFont="1" applyFill="1" applyBorder="1" applyAlignment="1">
      <alignment horizontal="right"/>
    </xf>
    <xf numFmtId="3" fontId="4" fillId="9" borderId="2" xfId="0" applyNumberFormat="1" applyFont="1" applyFill="1" applyBorder="1"/>
    <xf numFmtId="164" fontId="4" fillId="9" borderId="2" xfId="0" applyNumberFormat="1" applyFont="1" applyFill="1" applyBorder="1" applyAlignment="1">
      <alignment horizontal="right"/>
    </xf>
    <xf numFmtId="164" fontId="4" fillId="9" borderId="16" xfId="0" applyNumberFormat="1" applyFont="1" applyFill="1" applyBorder="1" applyAlignment="1">
      <alignment horizontal="right"/>
    </xf>
    <xf numFmtId="4" fontId="4" fillId="9" borderId="24" xfId="0" applyNumberFormat="1" applyFont="1" applyFill="1" applyBorder="1"/>
    <xf numFmtId="0" fontId="4" fillId="9" borderId="18" xfId="0" applyFont="1" applyFill="1" applyBorder="1"/>
    <xf numFmtId="0" fontId="4" fillId="9" borderId="16" xfId="0" applyFont="1" applyFill="1" applyBorder="1"/>
    <xf numFmtId="4" fontId="4" fillId="9" borderId="19" xfId="0" applyNumberFormat="1" applyFont="1" applyFill="1" applyBorder="1"/>
    <xf numFmtId="0" fontId="4" fillId="9" borderId="25" xfId="0" applyFont="1" applyFill="1" applyBorder="1"/>
    <xf numFmtId="164" fontId="4" fillId="9" borderId="26" xfId="0" applyNumberFormat="1" applyFont="1" applyFill="1" applyBorder="1"/>
    <xf numFmtId="0" fontId="4" fillId="9" borderId="26" xfId="0" applyFont="1" applyFill="1" applyBorder="1" applyAlignment="1">
      <alignment horizontal="right"/>
    </xf>
    <xf numFmtId="0" fontId="4" fillId="9" borderId="26" xfId="0" applyFont="1" applyFill="1" applyBorder="1"/>
    <xf numFmtId="3" fontId="4" fillId="9" borderId="26" xfId="0" applyNumberFormat="1" applyFont="1" applyFill="1" applyBorder="1" applyAlignment="1">
      <alignment horizontal="right"/>
    </xf>
    <xf numFmtId="3" fontId="4" fillId="9" borderId="26" xfId="0" applyNumberFormat="1" applyFont="1" applyFill="1" applyBorder="1"/>
    <xf numFmtId="164" fontId="4" fillId="9" borderId="26" xfId="0" applyNumberFormat="1" applyFont="1" applyFill="1" applyBorder="1" applyAlignment="1">
      <alignment horizontal="right"/>
    </xf>
    <xf numFmtId="164" fontId="4" fillId="9" borderId="27" xfId="0" applyNumberFormat="1" applyFont="1" applyFill="1" applyBorder="1" applyAlignment="1">
      <alignment horizontal="right"/>
    </xf>
    <xf numFmtId="4" fontId="4" fillId="9" borderId="28" xfId="0" applyNumberFormat="1" applyFont="1" applyFill="1" applyBorder="1"/>
    <xf numFmtId="0" fontId="4" fillId="9" borderId="29" xfId="0" applyFont="1" applyFill="1" applyBorder="1"/>
    <xf numFmtId="0" fontId="4" fillId="9" borderId="27" xfId="0" applyFont="1" applyFill="1" applyBorder="1"/>
    <xf numFmtId="4" fontId="4" fillId="9" borderId="30" xfId="0" applyNumberFormat="1" applyFont="1" applyFill="1" applyBorder="1"/>
    <xf numFmtId="0" fontId="4" fillId="17" borderId="4" xfId="0" applyFont="1" applyFill="1" applyBorder="1"/>
    <xf numFmtId="0" fontId="4" fillId="17" borderId="8" xfId="0" applyFont="1" applyFill="1" applyBorder="1"/>
    <xf numFmtId="0" fontId="4" fillId="17" borderId="23" xfId="0" applyFont="1" applyFill="1" applyBorder="1"/>
    <xf numFmtId="0" fontId="4" fillId="17" borderId="7" xfId="0" applyFont="1" applyFill="1" applyBorder="1"/>
    <xf numFmtId="0" fontId="4" fillId="17" borderId="6" xfId="0" applyFont="1" applyFill="1" applyBorder="1"/>
    <xf numFmtId="0" fontId="18" fillId="0" borderId="31" xfId="0" applyFont="1" applyBorder="1"/>
    <xf numFmtId="164" fontId="3" fillId="21" borderId="33" xfId="0" applyNumberFormat="1" applyFont="1" applyFill="1" applyBorder="1" applyAlignment="1">
      <alignment horizontal="center" wrapText="1"/>
    </xf>
    <xf numFmtId="0" fontId="19" fillId="0" borderId="1" xfId="0" applyFont="1" applyBorder="1" applyAlignment="1">
      <alignment horizontal="center"/>
    </xf>
    <xf numFmtId="0" fontId="19" fillId="0" borderId="34" xfId="0" applyFont="1" applyBorder="1"/>
    <xf numFmtId="0" fontId="19" fillId="29" borderId="19" xfId="0" applyFont="1" applyFill="1" applyBorder="1"/>
    <xf numFmtId="0" fontId="19" fillId="29" borderId="1" xfId="0" applyFont="1" applyFill="1" applyBorder="1"/>
    <xf numFmtId="0" fontId="19" fillId="29" borderId="33" xfId="0" applyFont="1" applyFill="1" applyBorder="1"/>
    <xf numFmtId="0" fontId="19" fillId="7" borderId="16" xfId="0" applyFont="1" applyFill="1" applyBorder="1" applyAlignment="1">
      <alignment horizontal="center"/>
    </xf>
    <xf numFmtId="0" fontId="19" fillId="30" borderId="19" xfId="0" applyFont="1" applyFill="1" applyBorder="1" applyAlignment="1">
      <alignment horizontal="center"/>
    </xf>
    <xf numFmtId="0" fontId="19" fillId="30" borderId="1" xfId="0" applyFont="1" applyFill="1" applyBorder="1" applyAlignment="1">
      <alignment horizontal="center"/>
    </xf>
    <xf numFmtId="0" fontId="19" fillId="30" borderId="33" xfId="0" applyFont="1" applyFill="1" applyBorder="1" applyAlignment="1">
      <alignment horizontal="center"/>
    </xf>
    <xf numFmtId="0" fontId="19" fillId="29" borderId="2" xfId="0" applyFont="1" applyFill="1" applyBorder="1" applyAlignment="1">
      <alignment horizontal="center"/>
    </xf>
    <xf numFmtId="0" fontId="4" fillId="6" borderId="0" xfId="0" applyFont="1" applyFill="1"/>
    <xf numFmtId="0" fontId="12" fillId="0" borderId="1" xfId="0" applyFont="1" applyBorder="1"/>
    <xf numFmtId="0" fontId="12" fillId="0" borderId="34" xfId="0" applyFont="1" applyBorder="1"/>
    <xf numFmtId="0" fontId="12" fillId="29" borderId="24" xfId="0" applyFont="1" applyFill="1" applyBorder="1"/>
    <xf numFmtId="164" fontId="12" fillId="29" borderId="16" xfId="0" applyNumberFormat="1" applyFont="1" applyFill="1" applyBorder="1"/>
    <xf numFmtId="164" fontId="12" fillId="29" borderId="35" xfId="0" applyNumberFormat="1" applyFont="1" applyFill="1" applyBorder="1"/>
    <xf numFmtId="164" fontId="12" fillId="7" borderId="16" xfId="0" applyNumberFormat="1" applyFont="1" applyFill="1" applyBorder="1"/>
    <xf numFmtId="0" fontId="12" fillId="30" borderId="19" xfId="0" applyFont="1" applyFill="1" applyBorder="1"/>
    <xf numFmtId="0" fontId="12" fillId="30" borderId="1" xfId="0" applyFont="1" applyFill="1" applyBorder="1"/>
    <xf numFmtId="0" fontId="12" fillId="30" borderId="33" xfId="0" applyFont="1" applyFill="1" applyBorder="1"/>
    <xf numFmtId="0" fontId="12" fillId="0" borderId="2" xfId="0" applyFont="1" applyBorder="1" applyAlignment="1">
      <alignment horizontal="left"/>
    </xf>
    <xf numFmtId="164" fontId="12" fillId="30" borderId="1" xfId="0" applyNumberFormat="1" applyFont="1" applyFill="1" applyBorder="1"/>
    <xf numFmtId="164" fontId="12" fillId="30" borderId="33" xfId="0" applyNumberFormat="1" applyFont="1" applyFill="1" applyBorder="1"/>
    <xf numFmtId="0" fontId="4" fillId="0" borderId="1" xfId="0" applyFont="1" applyBorder="1" applyAlignment="1">
      <alignment horizontal="right"/>
    </xf>
    <xf numFmtId="0" fontId="12" fillId="31" borderId="34" xfId="0" applyFont="1" applyFill="1" applyBorder="1"/>
    <xf numFmtId="0" fontId="4" fillId="7" borderId="1" xfId="0" applyFont="1" applyFill="1" applyBorder="1" applyAlignment="1">
      <alignment horizontal="right"/>
    </xf>
    <xf numFmtId="0" fontId="14" fillId="6" borderId="1" xfId="0" applyFont="1" applyFill="1" applyBorder="1" applyAlignment="1">
      <alignment horizontal="left"/>
    </xf>
    <xf numFmtId="0" fontId="4" fillId="11" borderId="1" xfId="0" applyFont="1" applyFill="1" applyBorder="1"/>
    <xf numFmtId="0" fontId="4" fillId="11" borderId="1" xfId="0" applyFont="1" applyFill="1" applyBorder="1" applyAlignment="1">
      <alignment horizontal="right"/>
    </xf>
    <xf numFmtId="0" fontId="4" fillId="32" borderId="1" xfId="0" applyFont="1" applyFill="1" applyBorder="1"/>
    <xf numFmtId="0" fontId="4" fillId="32" borderId="1" xfId="0" applyFont="1" applyFill="1" applyBorder="1" applyAlignment="1">
      <alignment horizontal="right"/>
    </xf>
    <xf numFmtId="0" fontId="12" fillId="32" borderId="1" xfId="0" applyFont="1" applyFill="1" applyBorder="1"/>
    <xf numFmtId="0" fontId="12" fillId="32" borderId="34" xfId="0" applyFont="1" applyFill="1" applyBorder="1"/>
    <xf numFmtId="0" fontId="12" fillId="32" borderId="24" xfId="0" applyFont="1" applyFill="1" applyBorder="1"/>
    <xf numFmtId="164" fontId="12" fillId="32" borderId="16" xfId="0" applyNumberFormat="1" applyFont="1" applyFill="1" applyBorder="1"/>
    <xf numFmtId="164" fontId="12" fillId="32" borderId="35" xfId="0" applyNumberFormat="1" applyFont="1" applyFill="1" applyBorder="1"/>
    <xf numFmtId="0" fontId="12" fillId="32" borderId="19" xfId="0" applyFont="1" applyFill="1" applyBorder="1"/>
    <xf numFmtId="164" fontId="12" fillId="32" borderId="1" xfId="0" applyNumberFormat="1" applyFont="1" applyFill="1" applyBorder="1"/>
    <xf numFmtId="0" fontId="12" fillId="32" borderId="33" xfId="0" applyFont="1" applyFill="1" applyBorder="1"/>
    <xf numFmtId="0" fontId="4" fillId="33" borderId="1" xfId="0" applyFont="1" applyFill="1" applyBorder="1"/>
    <xf numFmtId="0" fontId="4" fillId="33" borderId="1" xfId="0" applyFont="1" applyFill="1" applyBorder="1" applyAlignment="1">
      <alignment horizontal="right"/>
    </xf>
    <xf numFmtId="0" fontId="12" fillId="33" borderId="1" xfId="0" applyFont="1" applyFill="1" applyBorder="1"/>
    <xf numFmtId="0" fontId="12" fillId="33" borderId="34" xfId="0" applyFont="1" applyFill="1" applyBorder="1"/>
    <xf numFmtId="0" fontId="4" fillId="33" borderId="0" xfId="0" applyFont="1" applyFill="1"/>
    <xf numFmtId="0" fontId="18" fillId="0" borderId="0" xfId="0" applyFont="1"/>
    <xf numFmtId="168" fontId="12" fillId="0" borderId="2" xfId="0" applyNumberFormat="1" applyFont="1" applyBorder="1" applyAlignment="1">
      <alignment horizontal="left"/>
    </xf>
    <xf numFmtId="0" fontId="4" fillId="8" borderId="1" xfId="0" applyFont="1" applyFill="1" applyBorder="1"/>
    <xf numFmtId="0" fontId="4" fillId="8" borderId="1" xfId="0" applyFont="1" applyFill="1" applyBorder="1" applyAlignment="1">
      <alignment horizontal="right"/>
    </xf>
    <xf numFmtId="0" fontId="12" fillId="8" borderId="1" xfId="0" applyFont="1" applyFill="1" applyBorder="1"/>
    <xf numFmtId="0" fontId="12" fillId="29" borderId="16" xfId="0" applyFont="1" applyFill="1" applyBorder="1"/>
    <xf numFmtId="0" fontId="14" fillId="6" borderId="0" xfId="0" applyFont="1" applyFill="1" applyAlignment="1">
      <alignment horizontal="left"/>
    </xf>
    <xf numFmtId="0" fontId="20" fillId="6" borderId="0" xfId="0" applyFont="1" applyFill="1" applyAlignment="1">
      <alignment horizontal="left"/>
    </xf>
    <xf numFmtId="3" fontId="12" fillId="30" borderId="19" xfId="0" applyNumberFormat="1" applyFont="1" applyFill="1" applyBorder="1"/>
    <xf numFmtId="0" fontId="12" fillId="0" borderId="1" xfId="0" applyFont="1" applyBorder="1" applyAlignment="1">
      <alignment horizontal="center"/>
    </xf>
    <xf numFmtId="0" fontId="12" fillId="0" borderId="0" xfId="0" applyFont="1" applyAlignment="1">
      <alignment vertical="center"/>
    </xf>
    <xf numFmtId="0" fontId="4" fillId="0" borderId="1" xfId="0" applyFont="1" applyBorder="1" applyAlignment="1">
      <alignment horizontal="center"/>
    </xf>
    <xf numFmtId="164" fontId="12" fillId="0" borderId="1" xfId="0" applyNumberFormat="1" applyFont="1" applyBorder="1"/>
    <xf numFmtId="0" fontId="4" fillId="18" borderId="1" xfId="0" applyFont="1" applyFill="1" applyBorder="1" applyAlignment="1">
      <alignment horizontal="right"/>
    </xf>
    <xf numFmtId="0" fontId="4" fillId="18" borderId="1" xfId="0" applyFont="1" applyFill="1" applyBorder="1" applyAlignment="1">
      <alignment horizontal="center"/>
    </xf>
    <xf numFmtId="0" fontId="4" fillId="32" borderId="1" xfId="0" applyFont="1" applyFill="1" applyBorder="1" applyAlignment="1">
      <alignment horizontal="center"/>
    </xf>
    <xf numFmtId="0" fontId="12" fillId="32" borderId="0" xfId="0" applyFont="1" applyFill="1"/>
    <xf numFmtId="0" fontId="12" fillId="4" borderId="1" xfId="0" applyFont="1" applyFill="1" applyBorder="1"/>
    <xf numFmtId="164" fontId="12" fillId="4" borderId="1" xfId="0" applyNumberFormat="1" applyFont="1" applyFill="1" applyBorder="1"/>
    <xf numFmtId="0" fontId="4" fillId="8" borderId="1" xfId="0" applyFont="1" applyFill="1" applyBorder="1" applyAlignment="1">
      <alignment horizontal="center"/>
    </xf>
    <xf numFmtId="164" fontId="12" fillId="8" borderId="1" xfId="0" applyNumberFormat="1" applyFont="1" applyFill="1" applyBorder="1"/>
    <xf numFmtId="0" fontId="12" fillId="22" borderId="33" xfId="0" applyFont="1" applyFill="1" applyBorder="1"/>
    <xf numFmtId="0" fontId="12" fillId="4" borderId="33" xfId="0" applyFont="1" applyFill="1" applyBorder="1"/>
    <xf numFmtId="0" fontId="12" fillId="29" borderId="19" xfId="0" applyFont="1" applyFill="1" applyBorder="1"/>
    <xf numFmtId="0" fontId="12" fillId="29" borderId="1" xfId="0" applyFont="1" applyFill="1" applyBorder="1"/>
    <xf numFmtId="0" fontId="12" fillId="29" borderId="33" xfId="0" applyFont="1" applyFill="1" applyBorder="1"/>
    <xf numFmtId="164" fontId="12" fillId="34" borderId="16" xfId="0" applyNumberFormat="1" applyFont="1" applyFill="1" applyBorder="1"/>
    <xf numFmtId="0" fontId="12" fillId="34" borderId="19" xfId="0" applyFont="1" applyFill="1" applyBorder="1"/>
    <xf numFmtId="0" fontId="12" fillId="34" borderId="1" xfId="0" applyFont="1" applyFill="1" applyBorder="1"/>
    <xf numFmtId="0" fontId="12" fillId="34" borderId="33" xfId="0" applyFont="1" applyFill="1" applyBorder="1"/>
    <xf numFmtId="0" fontId="12" fillId="8" borderId="33" xfId="0" applyFont="1" applyFill="1" applyBorder="1"/>
    <xf numFmtId="0" fontId="12" fillId="19" borderId="33" xfId="0" applyFont="1" applyFill="1" applyBorder="1"/>
    <xf numFmtId="0" fontId="12" fillId="25" borderId="2" xfId="0" applyFont="1" applyFill="1" applyBorder="1" applyAlignment="1">
      <alignment horizontal="left"/>
    </xf>
    <xf numFmtId="0" fontId="19" fillId="29" borderId="16" xfId="0" applyFont="1" applyFill="1" applyBorder="1" applyAlignment="1">
      <alignment horizontal="center"/>
    </xf>
    <xf numFmtId="0" fontId="19" fillId="29" borderId="19" xfId="0" applyFont="1" applyFill="1" applyBorder="1" applyAlignment="1">
      <alignment horizontal="center"/>
    </xf>
    <xf numFmtId="0" fontId="19" fillId="29" borderId="1" xfId="0" applyFont="1" applyFill="1" applyBorder="1" applyAlignment="1">
      <alignment horizontal="center"/>
    </xf>
    <xf numFmtId="0" fontId="19" fillId="29" borderId="33" xfId="0" applyFont="1" applyFill="1" applyBorder="1" applyAlignment="1">
      <alignment horizontal="center"/>
    </xf>
    <xf numFmtId="0" fontId="12" fillId="31" borderId="1" xfId="0" applyFont="1" applyFill="1" applyBorder="1"/>
    <xf numFmtId="0" fontId="12" fillId="31" borderId="19" xfId="0" applyFont="1" applyFill="1" applyBorder="1"/>
    <xf numFmtId="0" fontId="12" fillId="31" borderId="33" xfId="0" applyFont="1" applyFill="1" applyBorder="1"/>
    <xf numFmtId="0" fontId="12" fillId="31" borderId="16" xfId="0" applyFont="1" applyFill="1" applyBorder="1"/>
    <xf numFmtId="0" fontId="12" fillId="31" borderId="2" xfId="0" applyFont="1" applyFill="1" applyBorder="1"/>
    <xf numFmtId="164" fontId="12" fillId="29" borderId="1" xfId="0" applyNumberFormat="1" applyFont="1" applyFill="1" applyBorder="1"/>
    <xf numFmtId="164" fontId="12" fillId="29" borderId="33" xfId="0" applyNumberFormat="1" applyFont="1" applyFill="1" applyBorder="1"/>
    <xf numFmtId="164" fontId="12" fillId="4" borderId="16" xfId="0" applyNumberFormat="1" applyFont="1" applyFill="1" applyBorder="1"/>
    <xf numFmtId="0" fontId="12" fillId="6" borderId="2" xfId="0" applyFont="1" applyFill="1" applyBorder="1"/>
    <xf numFmtId="164" fontId="12" fillId="35" borderId="16" xfId="0" applyNumberFormat="1" applyFont="1" applyFill="1" applyBorder="1"/>
    <xf numFmtId="0" fontId="12" fillId="0" borderId="2" xfId="0" applyFont="1" applyBorder="1"/>
    <xf numFmtId="0" fontId="12" fillId="36" borderId="33" xfId="0" applyFont="1" applyFill="1" applyBorder="1"/>
    <xf numFmtId="0" fontId="12" fillId="8" borderId="34" xfId="0" applyFont="1" applyFill="1" applyBorder="1"/>
    <xf numFmtId="0" fontId="12" fillId="8" borderId="19" xfId="0" applyFont="1" applyFill="1" applyBorder="1"/>
    <xf numFmtId="164" fontId="12" fillId="8" borderId="33" xfId="0" applyNumberFormat="1" applyFont="1" applyFill="1" applyBorder="1"/>
    <xf numFmtId="164" fontId="12" fillId="8" borderId="16" xfId="0" applyNumberFormat="1" applyFont="1" applyFill="1" applyBorder="1"/>
    <xf numFmtId="0" fontId="12" fillId="8" borderId="2" xfId="0" applyFont="1" applyFill="1" applyBorder="1"/>
    <xf numFmtId="0" fontId="12" fillId="6" borderId="2" xfId="0" applyFont="1" applyFill="1" applyBorder="1" applyAlignment="1">
      <alignment horizontal="left"/>
    </xf>
    <xf numFmtId="0" fontId="12" fillId="0" borderId="19" xfId="0" applyFont="1" applyBorder="1"/>
    <xf numFmtId="0" fontId="12" fillId="0" borderId="33" xfId="0" applyFont="1" applyBorder="1"/>
    <xf numFmtId="0" fontId="12" fillId="0" borderId="16" xfId="0" applyFont="1" applyBorder="1"/>
    <xf numFmtId="0" fontId="12" fillId="6" borderId="0" xfId="0" applyFont="1" applyFill="1"/>
    <xf numFmtId="1" fontId="12" fillId="8" borderId="33" xfId="0" applyNumberFormat="1" applyFont="1" applyFill="1" applyBorder="1"/>
    <xf numFmtId="0" fontId="12" fillId="4" borderId="19" xfId="0" applyFont="1" applyFill="1" applyBorder="1"/>
    <xf numFmtId="167" fontId="3" fillId="0" borderId="0" xfId="0" applyNumberFormat="1" applyFont="1" applyAlignment="1">
      <alignment horizontal="center" wrapText="1"/>
    </xf>
    <xf numFmtId="0" fontId="12" fillId="35" borderId="33" xfId="0" applyFont="1" applyFill="1" applyBorder="1"/>
    <xf numFmtId="164" fontId="12" fillId="22" borderId="16" xfId="0" applyNumberFormat="1" applyFont="1" applyFill="1" applyBorder="1"/>
    <xf numFmtId="0" fontId="12" fillId="22" borderId="19" xfId="0" applyFont="1" applyFill="1" applyBorder="1"/>
    <xf numFmtId="0" fontId="12" fillId="22" borderId="1" xfId="0" applyFont="1" applyFill="1" applyBorder="1"/>
    <xf numFmtId="0" fontId="19" fillId="29" borderId="0" xfId="0" applyFont="1" applyFill="1" applyAlignment="1">
      <alignment horizontal="center"/>
    </xf>
    <xf numFmtId="0" fontId="12" fillId="0" borderId="0" xfId="0" applyFont="1" applyAlignment="1">
      <alignment horizontal="left"/>
    </xf>
    <xf numFmtId="1" fontId="12" fillId="22" borderId="33" xfId="0" applyNumberFormat="1" applyFont="1" applyFill="1" applyBorder="1"/>
    <xf numFmtId="0" fontId="9" fillId="0" borderId="0" xfId="0" applyFont="1"/>
    <xf numFmtId="0" fontId="0" fillId="0" borderId="0" xfId="0"/>
    <xf numFmtId="3" fontId="3" fillId="3" borderId="8" xfId="0" applyNumberFormat="1" applyFont="1" applyFill="1" applyBorder="1" applyAlignment="1">
      <alignment horizontal="center"/>
    </xf>
    <xf numFmtId="0" fontId="11" fillId="0" borderId="8" xfId="0" applyFont="1" applyBorder="1"/>
    <xf numFmtId="0" fontId="11" fillId="0" borderId="7" xfId="0" applyFont="1" applyBorder="1"/>
    <xf numFmtId="0" fontId="9" fillId="4" borderId="17" xfId="0" applyFont="1" applyFill="1" applyBorder="1" applyAlignment="1">
      <alignment horizontal="center"/>
    </xf>
    <xf numFmtId="0" fontId="11" fillId="0" borderId="18" xfId="0" applyFont="1" applyBorder="1"/>
    <xf numFmtId="0" fontId="3" fillId="21" borderId="32" xfId="0" applyFont="1" applyFill="1" applyBorder="1" applyAlignment="1">
      <alignment horizontal="center" wrapText="1"/>
    </xf>
    <xf numFmtId="0" fontId="11" fillId="0" borderId="2" xfId="0" applyFont="1" applyBorder="1"/>
    <xf numFmtId="166" fontId="3" fillId="28" borderId="32" xfId="0" applyNumberFormat="1" applyFont="1" applyFill="1" applyBorder="1" applyAlignment="1">
      <alignment horizontal="center" wrapText="1"/>
    </xf>
    <xf numFmtId="0" fontId="11" fillId="0" borderId="16" xfId="0" applyFont="1" applyBorder="1"/>
    <xf numFmtId="167" fontId="3" fillId="28" borderId="32" xfId="0" applyNumberFormat="1" applyFont="1" applyFill="1" applyBorder="1" applyAlignment="1">
      <alignment horizontal="center" wrapText="1"/>
    </xf>
    <xf numFmtId="0" fontId="21" fillId="0" borderId="0" xfId="0" applyFont="1" applyAlignment="1">
      <alignment horizontal="center" vertical="center"/>
    </xf>
    <xf numFmtId="0" fontId="12" fillId="0" borderId="34" xfId="0" applyFont="1" applyBorder="1" applyAlignment="1">
      <alignment horizontal="center"/>
    </xf>
    <xf numFmtId="167" fontId="3" fillId="0" borderId="32"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atabase%20Bahan%20&amp;%20Alat%20(Terupdat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Bahan &amp; Alat (Terupdat"/>
    </sheetNames>
    <sheetDataSet>
      <sheetData sheetId="0" refreshError="1"/>
    </sheetDataSet>
  </externalBook>
</externalLink>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tokopedia.com/vplas/etalase/tmt_4682"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873"/>
  <sheetViews>
    <sheetView workbookViewId="0">
      <pane xSplit="2" ySplit="6" topLeftCell="C7" activePane="bottomRight" state="frozen"/>
      <selection pane="topRight" activeCell="C1" sqref="C1"/>
      <selection pane="bottomLeft" activeCell="A7" sqref="A7"/>
      <selection pane="bottomRight" activeCell="D95" sqref="D95"/>
    </sheetView>
  </sheetViews>
  <sheetFormatPr baseColWidth="10" defaultColWidth="12.6640625" defaultRowHeight="15.75" customHeight="1"/>
  <cols>
    <col min="1" max="1" width="5" customWidth="1"/>
    <col min="2" max="2" width="38" customWidth="1"/>
    <col min="3" max="3" width="5.1640625" customWidth="1"/>
    <col min="4" max="4" width="9.83203125" customWidth="1"/>
    <col min="5" max="5" width="16.6640625" customWidth="1"/>
    <col min="6" max="6" width="10.33203125" customWidth="1"/>
    <col min="8" max="8" width="11.1640625" customWidth="1"/>
    <col min="9" max="9" width="9" bestFit="1" customWidth="1"/>
    <col min="10" max="10" width="7.1640625" customWidth="1"/>
    <col min="11" max="11" width="8.1640625" customWidth="1"/>
    <col min="12" max="12" width="19.1640625" customWidth="1"/>
    <col min="13" max="13" width="14.1640625" customWidth="1"/>
    <col min="14" max="14" width="13.1640625" customWidth="1"/>
    <col min="15" max="15" width="2.6640625" customWidth="1"/>
    <col min="16" max="16" width="14.1640625" customWidth="1"/>
    <col min="17" max="17" width="3.6640625" customWidth="1"/>
    <col min="18" max="18" width="20.33203125" customWidth="1"/>
    <col min="19" max="19" width="4.5" customWidth="1"/>
    <col min="20" max="20" width="17.6640625" customWidth="1"/>
    <col min="21" max="21" width="4.33203125" customWidth="1"/>
    <col min="22" max="22" width="23.1640625" customWidth="1"/>
    <col min="23" max="23" width="6.1640625" customWidth="1"/>
    <col min="24" max="24" width="4.1640625" customWidth="1"/>
    <col min="25" max="25" width="10.83203125" customWidth="1"/>
    <col min="26" max="26" width="4.1640625" customWidth="1"/>
    <col min="27" max="27" width="10.83203125" customWidth="1"/>
    <col min="28" max="28" width="4" customWidth="1"/>
    <col min="29" max="29" width="23.6640625" customWidth="1"/>
    <col min="30" max="30" width="10.1640625" customWidth="1"/>
    <col min="31" max="31" width="9.33203125" customWidth="1"/>
    <col min="32" max="32" width="12.6640625" customWidth="1"/>
    <col min="33" max="33" width="11.6640625" customWidth="1"/>
    <col min="34" max="34" width="26.5" customWidth="1"/>
  </cols>
  <sheetData>
    <row r="1" spans="1:34" ht="18">
      <c r="A1" s="1" t="s">
        <v>0</v>
      </c>
    </row>
    <row r="2" spans="1:34" ht="18">
      <c r="A2" s="1" t="s">
        <v>1</v>
      </c>
    </row>
    <row r="3" spans="1:34" ht="18">
      <c r="A3" s="1" t="s">
        <v>2</v>
      </c>
    </row>
    <row r="5" spans="1:34" ht="15.75" customHeight="1">
      <c r="A5" s="2"/>
      <c r="B5" s="2">
        <v>1</v>
      </c>
      <c r="C5" s="2">
        <v>2</v>
      </c>
      <c r="D5" s="2">
        <v>3</v>
      </c>
      <c r="E5" s="2">
        <v>4</v>
      </c>
      <c r="F5" s="2">
        <v>5</v>
      </c>
      <c r="G5" s="2">
        <v>6</v>
      </c>
      <c r="H5" s="2">
        <v>7</v>
      </c>
      <c r="I5" s="2">
        <v>8</v>
      </c>
      <c r="J5" s="2">
        <v>9</v>
      </c>
      <c r="K5" s="2">
        <v>10</v>
      </c>
      <c r="L5" s="2">
        <v>11</v>
      </c>
      <c r="M5" s="2">
        <v>12</v>
      </c>
      <c r="N5" s="2">
        <v>13</v>
      </c>
      <c r="P5" s="3"/>
      <c r="Q5" s="4"/>
      <c r="R5" s="3"/>
    </row>
    <row r="6" spans="1:34" ht="15.75" customHeight="1">
      <c r="A6" s="2" t="s">
        <v>3</v>
      </c>
      <c r="B6" s="2" t="s">
        <v>4</v>
      </c>
      <c r="C6" s="2" t="s">
        <v>5</v>
      </c>
      <c r="D6" s="2" t="s">
        <v>6</v>
      </c>
      <c r="E6" s="2" t="s">
        <v>7</v>
      </c>
      <c r="F6" s="2" t="s">
        <v>8</v>
      </c>
      <c r="G6" s="2" t="s">
        <v>9</v>
      </c>
      <c r="H6" s="2" t="s">
        <v>10</v>
      </c>
      <c r="I6" s="2" t="s">
        <v>11</v>
      </c>
      <c r="J6" s="2" t="s">
        <v>12</v>
      </c>
      <c r="K6" s="2" t="s">
        <v>13</v>
      </c>
      <c r="L6" s="2" t="s">
        <v>14</v>
      </c>
      <c r="M6" s="2" t="s">
        <v>15</v>
      </c>
      <c r="N6" s="2" t="s">
        <v>16</v>
      </c>
      <c r="P6" s="5" t="s">
        <v>6</v>
      </c>
      <c r="Q6" s="4"/>
      <c r="R6" s="5" t="s">
        <v>17</v>
      </c>
      <c r="T6" s="5" t="s">
        <v>18</v>
      </c>
      <c r="V6" s="6" t="s">
        <v>19</v>
      </c>
      <c r="W6" s="7" t="s">
        <v>20</v>
      </c>
      <c r="Y6" s="8" t="s">
        <v>21</v>
      </c>
      <c r="AA6" s="8" t="s">
        <v>10</v>
      </c>
      <c r="AC6" s="9" t="s">
        <v>14</v>
      </c>
      <c r="AD6" s="9" t="s">
        <v>22</v>
      </c>
      <c r="AE6" s="9" t="s">
        <v>23</v>
      </c>
      <c r="AF6" s="9" t="s">
        <v>24</v>
      </c>
      <c r="AG6" s="9" t="s">
        <v>15</v>
      </c>
      <c r="AH6" s="9" t="s">
        <v>25</v>
      </c>
    </row>
    <row r="7" spans="1:34" ht="15.75" customHeight="1">
      <c r="A7" s="10">
        <v>1</v>
      </c>
      <c r="B7" s="11" t="s">
        <v>26</v>
      </c>
      <c r="C7" s="12" t="s">
        <v>27</v>
      </c>
      <c r="D7" s="13" t="s">
        <v>28</v>
      </c>
      <c r="E7" s="13" t="s">
        <v>29</v>
      </c>
      <c r="F7" s="13"/>
      <c r="G7" s="14">
        <f>VLOOKUP(B7,'Production Kitchen'!$B$5:$L$1029,10,FALSE)</f>
        <v>321.82692307692309</v>
      </c>
      <c r="H7" s="15"/>
      <c r="I7" s="16">
        <v>1</v>
      </c>
      <c r="J7" s="17" t="s">
        <v>30</v>
      </c>
      <c r="K7" s="15">
        <f t="shared" ref="K7:K261" si="0">G7/I7</f>
        <v>321.82692307692309</v>
      </c>
      <c r="L7" s="13"/>
      <c r="M7" s="13"/>
      <c r="N7" s="18"/>
      <c r="P7" s="19" t="s">
        <v>31</v>
      </c>
      <c r="Q7" s="4"/>
      <c r="R7" s="20" t="s">
        <v>32</v>
      </c>
      <c r="T7" s="21" t="s">
        <v>33</v>
      </c>
      <c r="V7" s="22" t="s">
        <v>2071</v>
      </c>
      <c r="W7" s="22" t="s">
        <v>34</v>
      </c>
      <c r="Y7" s="22" t="s">
        <v>35</v>
      </c>
      <c r="AA7" s="22" t="s">
        <v>36</v>
      </c>
      <c r="AC7" s="23" t="s">
        <v>37</v>
      </c>
      <c r="AD7" s="23" t="s">
        <v>38</v>
      </c>
      <c r="AE7" s="23"/>
      <c r="AF7" s="24" t="s">
        <v>39</v>
      </c>
      <c r="AG7" s="23" t="s">
        <v>40</v>
      </c>
      <c r="AH7" s="23" t="s">
        <v>41</v>
      </c>
    </row>
    <row r="8" spans="1:34" ht="15.75" customHeight="1">
      <c r="A8" s="10">
        <f t="shared" ref="A8:A262" si="1">A7+1</f>
        <v>2</v>
      </c>
      <c r="B8" s="25" t="s">
        <v>42</v>
      </c>
      <c r="C8" s="12" t="s">
        <v>43</v>
      </c>
      <c r="D8" s="13" t="s">
        <v>28</v>
      </c>
      <c r="E8" s="13" t="s">
        <v>29</v>
      </c>
      <c r="F8" s="13"/>
      <c r="G8" s="14">
        <f>VLOOKUP(B8,'Production Kitchen'!$B$5:$L$1029,10,FALSE)</f>
        <v>450.70666666666671</v>
      </c>
      <c r="H8" s="15"/>
      <c r="I8" s="26">
        <v>1</v>
      </c>
      <c r="J8" s="17" t="s">
        <v>44</v>
      </c>
      <c r="K8" s="15">
        <f t="shared" si="0"/>
        <v>450.70666666666671</v>
      </c>
      <c r="L8" s="13"/>
      <c r="M8" s="13"/>
      <c r="N8" s="18"/>
      <c r="P8" s="19" t="s">
        <v>45</v>
      </c>
      <c r="Q8" s="4"/>
      <c r="R8" s="20" t="s">
        <v>46</v>
      </c>
      <c r="T8" s="21" t="s">
        <v>47</v>
      </c>
      <c r="V8" s="22" t="s">
        <v>2072</v>
      </c>
      <c r="W8" s="22" t="s">
        <v>48</v>
      </c>
      <c r="Y8" s="22" t="s">
        <v>49</v>
      </c>
      <c r="AA8" s="22" t="s">
        <v>50</v>
      </c>
      <c r="AC8" s="23" t="s">
        <v>51</v>
      </c>
      <c r="AD8" s="23"/>
      <c r="AE8" s="23"/>
      <c r="AF8" s="23"/>
      <c r="AG8" s="23" t="s">
        <v>40</v>
      </c>
      <c r="AH8" s="23" t="s">
        <v>52</v>
      </c>
    </row>
    <row r="9" spans="1:34" ht="15.75" customHeight="1">
      <c r="A9" s="10">
        <f t="shared" si="1"/>
        <v>3</v>
      </c>
      <c r="B9" s="11" t="s">
        <v>53</v>
      </c>
      <c r="C9" s="12" t="s">
        <v>54</v>
      </c>
      <c r="D9" s="13" t="s">
        <v>28</v>
      </c>
      <c r="E9" s="13" t="s">
        <v>29</v>
      </c>
      <c r="F9" s="13"/>
      <c r="G9" s="14">
        <f>VLOOKUP(B9,'Production Kitchen'!$B$5:$L$1029,10,FALSE)</f>
        <v>5583.6769999999997</v>
      </c>
      <c r="H9" s="15"/>
      <c r="I9" s="26">
        <v>1</v>
      </c>
      <c r="J9" s="17" t="s">
        <v>55</v>
      </c>
      <c r="K9" s="15">
        <f t="shared" si="0"/>
        <v>5583.6769999999997</v>
      </c>
      <c r="L9" s="13"/>
      <c r="M9" s="13"/>
      <c r="N9" s="18"/>
      <c r="P9" s="19" t="s">
        <v>56</v>
      </c>
      <c r="Q9" s="4"/>
      <c r="R9" s="20" t="s">
        <v>57</v>
      </c>
      <c r="T9" s="21" t="s">
        <v>58</v>
      </c>
      <c r="V9" s="22" t="s">
        <v>59</v>
      </c>
      <c r="W9" s="22" t="s">
        <v>60</v>
      </c>
      <c r="Y9" s="22" t="s">
        <v>61</v>
      </c>
      <c r="AA9" s="22" t="s">
        <v>62</v>
      </c>
      <c r="AC9" s="23" t="s">
        <v>63</v>
      </c>
      <c r="AD9" s="23" t="s">
        <v>64</v>
      </c>
      <c r="AE9" s="23"/>
      <c r="AF9" s="24" t="s">
        <v>65</v>
      </c>
      <c r="AG9" s="23" t="s">
        <v>40</v>
      </c>
      <c r="AH9" s="23" t="s">
        <v>66</v>
      </c>
    </row>
    <row r="10" spans="1:34" ht="15.75" customHeight="1">
      <c r="A10" s="10">
        <f t="shared" si="1"/>
        <v>4</v>
      </c>
      <c r="B10" s="11" t="s">
        <v>67</v>
      </c>
      <c r="C10" s="12" t="s">
        <v>68</v>
      </c>
      <c r="D10" s="13" t="s">
        <v>28</v>
      </c>
      <c r="E10" s="13" t="s">
        <v>29</v>
      </c>
      <c r="F10" s="13"/>
      <c r="G10" s="14">
        <f>VLOOKUP(B10,'Production Kitchen'!$B$5:$L$1029,10,FALSE)</f>
        <v>1363.1870614035086</v>
      </c>
      <c r="H10" s="15"/>
      <c r="I10" s="16">
        <v>1</v>
      </c>
      <c r="J10" s="17" t="s">
        <v>44</v>
      </c>
      <c r="K10" s="15">
        <f t="shared" si="0"/>
        <v>1363.1870614035086</v>
      </c>
      <c r="L10" s="13"/>
      <c r="M10" s="13"/>
      <c r="N10" s="18"/>
      <c r="P10" s="19" t="s">
        <v>69</v>
      </c>
      <c r="Q10" s="4"/>
      <c r="R10" s="20" t="s">
        <v>70</v>
      </c>
      <c r="T10" s="21" t="s">
        <v>71</v>
      </c>
      <c r="V10" s="22" t="s">
        <v>72</v>
      </c>
      <c r="W10" s="22" t="s">
        <v>73</v>
      </c>
      <c r="Y10" s="22" t="s">
        <v>74</v>
      </c>
      <c r="AA10" s="22" t="s">
        <v>75</v>
      </c>
      <c r="AC10" s="23" t="s">
        <v>76</v>
      </c>
      <c r="AD10" s="23"/>
      <c r="AE10" s="23"/>
      <c r="AF10" s="24" t="s">
        <v>77</v>
      </c>
      <c r="AG10" s="23" t="s">
        <v>40</v>
      </c>
      <c r="AH10" s="23"/>
    </row>
    <row r="11" spans="1:34" ht="15.75" customHeight="1">
      <c r="A11" s="10">
        <f t="shared" si="1"/>
        <v>5</v>
      </c>
      <c r="B11" s="11" t="s">
        <v>78</v>
      </c>
      <c r="C11" s="12" t="s">
        <v>79</v>
      </c>
      <c r="D11" s="13" t="s">
        <v>28</v>
      </c>
      <c r="E11" s="13" t="s">
        <v>29</v>
      </c>
      <c r="F11" s="13"/>
      <c r="G11" s="14">
        <f>VLOOKUP(B11,'Production Kitchen'!$B$5:$L$1029,10,FALSE)</f>
        <v>5764.8066666666673</v>
      </c>
      <c r="H11" s="15"/>
      <c r="I11" s="16">
        <v>1</v>
      </c>
      <c r="J11" s="17" t="s">
        <v>80</v>
      </c>
      <c r="K11" s="15">
        <f t="shared" si="0"/>
        <v>5764.8066666666673</v>
      </c>
      <c r="L11" s="13"/>
      <c r="M11" s="13"/>
      <c r="N11" s="18"/>
      <c r="P11" s="19" t="s">
        <v>81</v>
      </c>
      <c r="Q11" s="4"/>
      <c r="R11" s="20" t="s">
        <v>82</v>
      </c>
      <c r="T11" s="21" t="s">
        <v>83</v>
      </c>
      <c r="V11" s="22" t="s">
        <v>84</v>
      </c>
      <c r="W11" s="22" t="s">
        <v>85</v>
      </c>
      <c r="Y11" s="22" t="s">
        <v>86</v>
      </c>
      <c r="AA11" s="22" t="s">
        <v>87</v>
      </c>
      <c r="AC11" s="23" t="s">
        <v>88</v>
      </c>
      <c r="AD11" s="23"/>
      <c r="AE11" s="23"/>
      <c r="AF11" s="23"/>
      <c r="AG11" s="23" t="s">
        <v>40</v>
      </c>
      <c r="AH11" s="23"/>
    </row>
    <row r="12" spans="1:34" ht="15.75" customHeight="1">
      <c r="A12" s="10">
        <f t="shared" si="1"/>
        <v>6</v>
      </c>
      <c r="B12" s="11" t="s">
        <v>89</v>
      </c>
      <c r="C12" s="12" t="s">
        <v>90</v>
      </c>
      <c r="D12" s="13" t="s">
        <v>28</v>
      </c>
      <c r="E12" s="13" t="s">
        <v>29</v>
      </c>
      <c r="F12" s="13"/>
      <c r="G12" s="14">
        <f>VLOOKUP(B12,'Production Kitchen'!$B$5:$L$1029,10,FALSE)</f>
        <v>4952.75</v>
      </c>
      <c r="H12" s="15"/>
      <c r="I12" s="16">
        <v>1</v>
      </c>
      <c r="J12" s="17" t="s">
        <v>44</v>
      </c>
      <c r="K12" s="15">
        <f t="shared" si="0"/>
        <v>4952.75</v>
      </c>
      <c r="L12" s="13"/>
      <c r="M12" s="13"/>
      <c r="N12" s="18"/>
      <c r="P12" s="19" t="s">
        <v>91</v>
      </c>
      <c r="Q12" s="4"/>
      <c r="R12" s="20" t="s">
        <v>92</v>
      </c>
      <c r="T12" s="21" t="s">
        <v>93</v>
      </c>
      <c r="V12" s="22" t="s">
        <v>94</v>
      </c>
      <c r="W12" s="22" t="s">
        <v>95</v>
      </c>
      <c r="Y12" s="22" t="s">
        <v>96</v>
      </c>
      <c r="AA12" s="22" t="s">
        <v>97</v>
      </c>
      <c r="AC12" s="23" t="s">
        <v>98</v>
      </c>
      <c r="AD12" s="23" t="s">
        <v>99</v>
      </c>
      <c r="AE12" s="23"/>
      <c r="AF12" s="24" t="s">
        <v>100</v>
      </c>
      <c r="AG12" s="23" t="s">
        <v>40</v>
      </c>
      <c r="AH12" s="23"/>
    </row>
    <row r="13" spans="1:34" ht="15.75" customHeight="1">
      <c r="A13" s="10">
        <f t="shared" si="1"/>
        <v>7</v>
      </c>
      <c r="B13" s="11" t="s">
        <v>101</v>
      </c>
      <c r="C13" s="12" t="s">
        <v>102</v>
      </c>
      <c r="D13" s="13" t="s">
        <v>28</v>
      </c>
      <c r="E13" s="13" t="s">
        <v>29</v>
      </c>
      <c r="F13" s="13"/>
      <c r="G13" s="14">
        <f>VLOOKUP(B13,'Production Kitchen'!$B$5:$L$1029,10,FALSE)</f>
        <v>537.32380952380959</v>
      </c>
      <c r="H13" s="15"/>
      <c r="I13" s="16">
        <v>1</v>
      </c>
      <c r="J13" s="17" t="s">
        <v>103</v>
      </c>
      <c r="K13" s="15">
        <f t="shared" si="0"/>
        <v>537.32380952380959</v>
      </c>
      <c r="L13" s="13"/>
      <c r="M13" s="13"/>
      <c r="N13" s="18"/>
      <c r="P13" s="19" t="s">
        <v>28</v>
      </c>
      <c r="Q13" s="4"/>
      <c r="R13" s="20" t="s">
        <v>29</v>
      </c>
      <c r="T13" s="21" t="s">
        <v>104</v>
      </c>
      <c r="V13" s="22" t="s">
        <v>105</v>
      </c>
      <c r="W13" s="22" t="s">
        <v>106</v>
      </c>
      <c r="Y13" s="22" t="s">
        <v>107</v>
      </c>
      <c r="AA13" s="22" t="s">
        <v>108</v>
      </c>
      <c r="AC13" s="23" t="s">
        <v>109</v>
      </c>
      <c r="AD13" s="23" t="s">
        <v>110</v>
      </c>
      <c r="AE13" s="23"/>
      <c r="AF13" s="24" t="s">
        <v>111</v>
      </c>
      <c r="AG13" s="23" t="s">
        <v>40</v>
      </c>
      <c r="AH13" s="23"/>
    </row>
    <row r="14" spans="1:34" ht="15.75" customHeight="1">
      <c r="A14" s="10">
        <f t="shared" si="1"/>
        <v>8</v>
      </c>
      <c r="B14" s="11" t="s">
        <v>112</v>
      </c>
      <c r="C14" s="12" t="s">
        <v>113</v>
      </c>
      <c r="D14" s="13" t="s">
        <v>28</v>
      </c>
      <c r="E14" s="13" t="s">
        <v>29</v>
      </c>
      <c r="F14" s="13"/>
      <c r="G14" s="14">
        <f>VLOOKUP(B14,'Production Kitchen'!$B$5:$L$1029,10,FALSE)</f>
        <v>2300.1407407407405</v>
      </c>
      <c r="H14" s="15"/>
      <c r="I14" s="16">
        <v>1</v>
      </c>
      <c r="J14" s="17" t="s">
        <v>114</v>
      </c>
      <c r="K14" s="15">
        <f t="shared" si="0"/>
        <v>2300.1407407407405</v>
      </c>
      <c r="L14" s="13"/>
      <c r="M14" s="13"/>
      <c r="N14" s="18"/>
      <c r="P14" s="19" t="s">
        <v>115</v>
      </c>
      <c r="Q14" s="4"/>
      <c r="R14" s="20" t="s">
        <v>116</v>
      </c>
      <c r="T14" s="21" t="s">
        <v>117</v>
      </c>
      <c r="V14" s="22" t="s">
        <v>118</v>
      </c>
      <c r="W14" s="22" t="s">
        <v>119</v>
      </c>
      <c r="Y14" s="22" t="s">
        <v>120</v>
      </c>
      <c r="AA14" s="22" t="s">
        <v>121</v>
      </c>
      <c r="AC14" s="23" t="s">
        <v>122</v>
      </c>
      <c r="AD14" s="23" t="s">
        <v>123</v>
      </c>
      <c r="AE14" s="23"/>
      <c r="AF14" s="24" t="s">
        <v>124</v>
      </c>
      <c r="AG14" s="23" t="s">
        <v>40</v>
      </c>
      <c r="AH14" s="23"/>
    </row>
    <row r="15" spans="1:34" ht="15.75" customHeight="1">
      <c r="A15" s="10">
        <f t="shared" si="1"/>
        <v>9</v>
      </c>
      <c r="B15" s="11" t="s">
        <v>125</v>
      </c>
      <c r="C15" s="12" t="s">
        <v>126</v>
      </c>
      <c r="D15" s="13" t="s">
        <v>28</v>
      </c>
      <c r="E15" s="13" t="s">
        <v>29</v>
      </c>
      <c r="F15" s="13"/>
      <c r="G15" s="14">
        <f>VLOOKUP(B15,'Production Kitchen'!$B$5:$L$1029,10,FALSE)</f>
        <v>1883.9883333333335</v>
      </c>
      <c r="H15" s="15"/>
      <c r="I15" s="16">
        <v>1</v>
      </c>
      <c r="J15" s="17" t="s">
        <v>44</v>
      </c>
      <c r="K15" s="15">
        <f t="shared" si="0"/>
        <v>1883.9883333333335</v>
      </c>
      <c r="L15" s="13"/>
      <c r="M15" s="13"/>
      <c r="N15" s="18"/>
      <c r="P15" s="19" t="s">
        <v>127</v>
      </c>
      <c r="Q15" s="4"/>
      <c r="R15" s="20" t="s">
        <v>128</v>
      </c>
      <c r="T15" s="21" t="s">
        <v>129</v>
      </c>
      <c r="V15" s="22" t="s">
        <v>2064</v>
      </c>
      <c r="W15" s="22" t="s">
        <v>130</v>
      </c>
      <c r="Y15" s="22" t="s">
        <v>131</v>
      </c>
      <c r="AA15" s="22" t="s">
        <v>132</v>
      </c>
      <c r="AC15" s="23" t="s">
        <v>133</v>
      </c>
      <c r="AD15" s="23"/>
      <c r="AE15" s="23"/>
      <c r="AF15" s="24" t="s">
        <v>134</v>
      </c>
      <c r="AG15" s="23" t="s">
        <v>40</v>
      </c>
      <c r="AH15" s="23" t="s">
        <v>135</v>
      </c>
    </row>
    <row r="16" spans="1:34" ht="15.75" customHeight="1">
      <c r="A16" s="10">
        <f t="shared" si="1"/>
        <v>10</v>
      </c>
      <c r="B16" s="11" t="s">
        <v>136</v>
      </c>
      <c r="C16" s="12" t="s">
        <v>137</v>
      </c>
      <c r="D16" s="13" t="s">
        <v>28</v>
      </c>
      <c r="E16" s="13" t="s">
        <v>29</v>
      </c>
      <c r="F16" s="13"/>
      <c r="G16" s="14">
        <f>VLOOKUP(B16,'Production Kitchen'!$B$5:$L$1029,10,FALSE)</f>
        <v>320.99736842105267</v>
      </c>
      <c r="H16" s="15"/>
      <c r="I16" s="16">
        <v>1</v>
      </c>
      <c r="J16" s="17" t="s">
        <v>138</v>
      </c>
      <c r="K16" s="15">
        <f t="shared" si="0"/>
        <v>320.99736842105267</v>
      </c>
      <c r="L16" s="13"/>
      <c r="M16" s="13"/>
      <c r="N16" s="18"/>
      <c r="P16" s="4"/>
      <c r="Q16" s="4"/>
      <c r="R16" s="20" t="s">
        <v>139</v>
      </c>
      <c r="T16" s="21" t="s">
        <v>140</v>
      </c>
      <c r="V16" s="22" t="s">
        <v>2065</v>
      </c>
      <c r="W16" s="22" t="s">
        <v>141</v>
      </c>
      <c r="Y16" s="22" t="s">
        <v>142</v>
      </c>
      <c r="AA16" s="22" t="s">
        <v>143</v>
      </c>
      <c r="AC16" s="23" t="s">
        <v>144</v>
      </c>
      <c r="AD16" s="23"/>
      <c r="AE16" s="23"/>
      <c r="AF16" s="23"/>
      <c r="AG16" s="23" t="s">
        <v>40</v>
      </c>
      <c r="AH16" s="23"/>
    </row>
    <row r="17" spans="1:34" ht="15.75" customHeight="1">
      <c r="A17" s="10">
        <f t="shared" si="1"/>
        <v>11</v>
      </c>
      <c r="B17" s="11" t="s">
        <v>145</v>
      </c>
      <c r="C17" s="12" t="s">
        <v>146</v>
      </c>
      <c r="D17" s="13" t="s">
        <v>28</v>
      </c>
      <c r="E17" s="13" t="s">
        <v>29</v>
      </c>
      <c r="F17" s="13"/>
      <c r="G17" s="14">
        <f>VLOOKUP(B17,'Production Kitchen'!$B$5:$L$1029,10,FALSE)</f>
        <v>2108.7128654970761</v>
      </c>
      <c r="H17" s="15"/>
      <c r="I17" s="16">
        <v>1</v>
      </c>
      <c r="J17" s="17" t="s">
        <v>138</v>
      </c>
      <c r="K17" s="15">
        <f t="shared" si="0"/>
        <v>2108.7128654970761</v>
      </c>
      <c r="L17" s="13"/>
      <c r="M17" s="13"/>
      <c r="N17" s="18"/>
      <c r="P17" s="4"/>
      <c r="Q17" s="4"/>
      <c r="R17" s="20" t="s">
        <v>147</v>
      </c>
      <c r="T17" s="21" t="s">
        <v>148</v>
      </c>
      <c r="V17" s="22" t="s">
        <v>149</v>
      </c>
      <c r="W17" s="22" t="s">
        <v>150</v>
      </c>
      <c r="Y17" s="22" t="s">
        <v>151</v>
      </c>
      <c r="AC17" s="23" t="s">
        <v>152</v>
      </c>
      <c r="AD17" s="23"/>
      <c r="AE17" s="23"/>
      <c r="AF17" s="23"/>
      <c r="AG17" s="23" t="s">
        <v>40</v>
      </c>
      <c r="AH17" s="23"/>
    </row>
    <row r="18" spans="1:34" ht="15.75" customHeight="1">
      <c r="A18" s="10">
        <f t="shared" si="1"/>
        <v>12</v>
      </c>
      <c r="B18" s="25" t="s">
        <v>153</v>
      </c>
      <c r="C18" s="12" t="s">
        <v>154</v>
      </c>
      <c r="D18" s="13" t="s">
        <v>28</v>
      </c>
      <c r="E18" s="13" t="s">
        <v>29</v>
      </c>
      <c r="F18" s="13"/>
      <c r="G18" s="14">
        <f>VLOOKUP(B18,'Production Kitchen'!$B$5:$L$1029,10,FALSE)</f>
        <v>4554</v>
      </c>
      <c r="H18" s="15"/>
      <c r="I18" s="16">
        <v>1</v>
      </c>
      <c r="J18" s="17" t="s">
        <v>138</v>
      </c>
      <c r="K18" s="15">
        <f t="shared" si="0"/>
        <v>4554</v>
      </c>
      <c r="L18" s="13"/>
      <c r="M18" s="13"/>
      <c r="N18" s="18"/>
      <c r="P18" s="4"/>
      <c r="Q18" s="4"/>
      <c r="R18" s="20" t="s">
        <v>155</v>
      </c>
      <c r="T18" s="21" t="s">
        <v>156</v>
      </c>
      <c r="V18" s="22" t="s">
        <v>157</v>
      </c>
      <c r="W18" s="22" t="s">
        <v>158</v>
      </c>
      <c r="Y18" s="22" t="s">
        <v>159</v>
      </c>
      <c r="AC18" s="23" t="s">
        <v>160</v>
      </c>
      <c r="AD18" s="23"/>
      <c r="AE18" s="23"/>
      <c r="AF18" s="24" t="s">
        <v>161</v>
      </c>
      <c r="AG18" s="23" t="s">
        <v>40</v>
      </c>
      <c r="AH18" s="23"/>
    </row>
    <row r="19" spans="1:34" ht="15.75" customHeight="1">
      <c r="A19" s="10">
        <f t="shared" si="1"/>
        <v>13</v>
      </c>
      <c r="B19" s="25" t="s">
        <v>162</v>
      </c>
      <c r="C19" s="12" t="s">
        <v>163</v>
      </c>
      <c r="D19" s="13" t="s">
        <v>28</v>
      </c>
      <c r="E19" s="13" t="s">
        <v>29</v>
      </c>
      <c r="F19" s="13"/>
      <c r="G19" s="27">
        <f>VLOOKUP(B19,'Menu Kitchen'!$B$5:$K$2098,8,FALSE)</f>
        <v>3809.2312499999998</v>
      </c>
      <c r="H19" s="15"/>
      <c r="I19" s="16">
        <v>1</v>
      </c>
      <c r="J19" s="17" t="s">
        <v>138</v>
      </c>
      <c r="K19" s="15">
        <f t="shared" si="0"/>
        <v>3809.2312499999998</v>
      </c>
      <c r="L19" s="13"/>
      <c r="M19" s="13"/>
      <c r="N19" s="18"/>
      <c r="P19" s="4"/>
      <c r="Q19" s="4"/>
      <c r="R19" s="20" t="s">
        <v>164</v>
      </c>
      <c r="T19" s="21" t="s">
        <v>165</v>
      </c>
      <c r="V19" s="22" t="s">
        <v>166</v>
      </c>
      <c r="W19" s="22" t="s">
        <v>167</v>
      </c>
      <c r="Y19" s="22" t="s">
        <v>168</v>
      </c>
      <c r="AC19" s="23" t="s">
        <v>169</v>
      </c>
      <c r="AD19" s="23" t="s">
        <v>170</v>
      </c>
      <c r="AE19" s="23"/>
      <c r="AF19" s="24" t="s">
        <v>171</v>
      </c>
      <c r="AG19" s="23" t="s">
        <v>172</v>
      </c>
      <c r="AH19" s="23"/>
    </row>
    <row r="20" spans="1:34" ht="15.75" customHeight="1">
      <c r="A20" s="10">
        <f t="shared" si="1"/>
        <v>14</v>
      </c>
      <c r="B20" s="11" t="s">
        <v>173</v>
      </c>
      <c r="C20" s="12" t="s">
        <v>174</v>
      </c>
      <c r="D20" s="13" t="s">
        <v>28</v>
      </c>
      <c r="E20" s="13" t="s">
        <v>29</v>
      </c>
      <c r="F20" s="13"/>
      <c r="G20" s="14">
        <f>VLOOKUP(B20,'Production Kitchen'!$B$5:$L$1029,10,FALSE)</f>
        <v>814.81481481481478</v>
      </c>
      <c r="H20" s="15"/>
      <c r="I20" s="16">
        <v>1</v>
      </c>
      <c r="J20" s="17" t="s">
        <v>80</v>
      </c>
      <c r="K20" s="15">
        <f t="shared" si="0"/>
        <v>814.81481481481478</v>
      </c>
      <c r="L20" s="13"/>
      <c r="M20" s="13"/>
      <c r="N20" s="18"/>
      <c r="P20" s="4"/>
      <c r="Q20" s="4"/>
      <c r="R20" s="28" t="s">
        <v>175</v>
      </c>
      <c r="T20" s="21" t="s">
        <v>92</v>
      </c>
      <c r="V20" s="29" t="s">
        <v>176</v>
      </c>
      <c r="W20" s="22" t="s">
        <v>177</v>
      </c>
      <c r="Y20" s="22" t="s">
        <v>178</v>
      </c>
      <c r="AC20" s="23" t="s">
        <v>179</v>
      </c>
      <c r="AD20" s="23" t="s">
        <v>180</v>
      </c>
      <c r="AE20" s="23"/>
      <c r="AF20" s="24" t="s">
        <v>181</v>
      </c>
      <c r="AG20" s="23" t="s">
        <v>172</v>
      </c>
      <c r="AH20" s="23"/>
    </row>
    <row r="21" spans="1:34" ht="15.75" customHeight="1">
      <c r="A21" s="10">
        <f t="shared" si="1"/>
        <v>15</v>
      </c>
      <c r="B21" s="25" t="s">
        <v>182</v>
      </c>
      <c r="C21" s="12" t="s">
        <v>183</v>
      </c>
      <c r="D21" s="13" t="s">
        <v>28</v>
      </c>
      <c r="E21" s="13" t="s">
        <v>29</v>
      </c>
      <c r="F21" s="13"/>
      <c r="G21" s="27">
        <f>VLOOKUP(B21,'Menu Kitchen'!$B$5:$K$2098,8,FALSE)</f>
        <v>5258.4812499999998</v>
      </c>
      <c r="H21" s="15"/>
      <c r="I21" s="16">
        <v>1</v>
      </c>
      <c r="J21" s="17" t="s">
        <v>138</v>
      </c>
      <c r="K21" s="15">
        <f t="shared" si="0"/>
        <v>5258.4812499999998</v>
      </c>
      <c r="L21" s="13"/>
      <c r="M21" s="13"/>
      <c r="N21" s="18"/>
      <c r="P21" s="4"/>
      <c r="Q21" s="4"/>
      <c r="R21" s="28" t="s">
        <v>184</v>
      </c>
      <c r="T21" s="21" t="s">
        <v>116</v>
      </c>
      <c r="V21" s="22" t="s">
        <v>185</v>
      </c>
      <c r="W21" s="22" t="s">
        <v>186</v>
      </c>
      <c r="Y21" s="22" t="s">
        <v>187</v>
      </c>
      <c r="AC21" s="23" t="s">
        <v>188</v>
      </c>
      <c r="AD21" s="23" t="s">
        <v>189</v>
      </c>
      <c r="AE21" s="23"/>
      <c r="AF21" s="24" t="s">
        <v>190</v>
      </c>
      <c r="AG21" s="23" t="s">
        <v>40</v>
      </c>
      <c r="AH21" s="23"/>
    </row>
    <row r="22" spans="1:34" ht="15.75" customHeight="1">
      <c r="A22" s="10">
        <f t="shared" si="1"/>
        <v>16</v>
      </c>
      <c r="B22" s="25" t="s">
        <v>191</v>
      </c>
      <c r="C22" s="12" t="s">
        <v>192</v>
      </c>
      <c r="D22" s="13" t="s">
        <v>28</v>
      </c>
      <c r="E22" s="13" t="s">
        <v>29</v>
      </c>
      <c r="F22" s="13"/>
      <c r="G22" s="14">
        <f>VLOOKUP(B22,'Production Kitchen'!$B$5:$L$1029,10,FALSE)</f>
        <v>1773.7815826330534</v>
      </c>
      <c r="H22" s="15"/>
      <c r="I22" s="16">
        <v>1</v>
      </c>
      <c r="J22" s="17" t="s">
        <v>138</v>
      </c>
      <c r="K22" s="15">
        <f t="shared" si="0"/>
        <v>1773.7815826330534</v>
      </c>
      <c r="L22" s="13"/>
      <c r="M22" s="13"/>
      <c r="N22" s="18"/>
      <c r="P22" s="4"/>
      <c r="Q22" s="4"/>
      <c r="R22" s="28" t="s">
        <v>193</v>
      </c>
      <c r="T22" s="21" t="s">
        <v>29</v>
      </c>
      <c r="V22" s="29" t="s">
        <v>194</v>
      </c>
      <c r="W22" s="22" t="s">
        <v>195</v>
      </c>
      <c r="AC22" s="23" t="s">
        <v>196</v>
      </c>
      <c r="AD22" s="23" t="s">
        <v>197</v>
      </c>
      <c r="AE22" s="23"/>
      <c r="AF22" s="24" t="s">
        <v>198</v>
      </c>
      <c r="AG22" s="23" t="s">
        <v>40</v>
      </c>
      <c r="AH22" s="23"/>
    </row>
    <row r="23" spans="1:34" ht="15.75" customHeight="1">
      <c r="A23" s="10">
        <f t="shared" si="1"/>
        <v>17</v>
      </c>
      <c r="B23" s="11" t="s">
        <v>199</v>
      </c>
      <c r="C23" s="12" t="s">
        <v>200</v>
      </c>
      <c r="D23" s="13" t="s">
        <v>28</v>
      </c>
      <c r="E23" s="13" t="s">
        <v>29</v>
      </c>
      <c r="F23" s="13"/>
      <c r="G23" s="14">
        <f>VLOOKUP(B23,'Production Kitchen'!$B$5:$L$1029,10,FALSE)</f>
        <v>2959</v>
      </c>
      <c r="H23" s="15"/>
      <c r="I23" s="16">
        <v>1</v>
      </c>
      <c r="J23" s="17" t="s">
        <v>138</v>
      </c>
      <c r="K23" s="15">
        <f t="shared" si="0"/>
        <v>2959</v>
      </c>
      <c r="L23" s="13"/>
      <c r="M23" s="13"/>
      <c r="N23" s="18"/>
      <c r="P23" s="4"/>
      <c r="Q23" s="4"/>
      <c r="R23" s="28" t="s">
        <v>201</v>
      </c>
      <c r="T23" s="21"/>
      <c r="V23" s="22" t="s">
        <v>202</v>
      </c>
      <c r="W23" s="22" t="s">
        <v>203</v>
      </c>
      <c r="AC23" s="23" t="s">
        <v>204</v>
      </c>
      <c r="AD23" s="23" t="s">
        <v>205</v>
      </c>
      <c r="AE23" s="23"/>
      <c r="AF23" s="24" t="s">
        <v>206</v>
      </c>
      <c r="AG23" s="23" t="s">
        <v>40</v>
      </c>
      <c r="AH23" s="23"/>
    </row>
    <row r="24" spans="1:34" ht="15.75" customHeight="1">
      <c r="A24" s="10">
        <f t="shared" si="1"/>
        <v>18</v>
      </c>
      <c r="B24" s="11" t="s">
        <v>207</v>
      </c>
      <c r="C24" s="12" t="s">
        <v>208</v>
      </c>
      <c r="D24" s="13" t="s">
        <v>28</v>
      </c>
      <c r="E24" s="13" t="s">
        <v>29</v>
      </c>
      <c r="F24" s="13"/>
      <c r="G24" s="14">
        <f>VLOOKUP(B24,'Production Kitchen'!$B$5:$L$1029,10,FALSE)</f>
        <v>1593.8512949039266</v>
      </c>
      <c r="H24" s="15"/>
      <c r="I24" s="16">
        <v>1</v>
      </c>
      <c r="J24" s="17" t="s">
        <v>138</v>
      </c>
      <c r="K24" s="15">
        <f t="shared" si="0"/>
        <v>1593.8512949039266</v>
      </c>
      <c r="L24" s="13"/>
      <c r="M24" s="13"/>
      <c r="N24" s="18"/>
      <c r="P24" s="4"/>
      <c r="Q24" s="4"/>
      <c r="R24" s="28" t="s">
        <v>209</v>
      </c>
      <c r="T24" s="21"/>
      <c r="V24" s="22" t="s">
        <v>210</v>
      </c>
      <c r="W24" s="22" t="s">
        <v>211</v>
      </c>
      <c r="AC24" s="23" t="s">
        <v>212</v>
      </c>
      <c r="AD24" s="23" t="s">
        <v>213</v>
      </c>
      <c r="AE24" s="23"/>
      <c r="AF24" s="24" t="s">
        <v>214</v>
      </c>
      <c r="AG24" s="23" t="s">
        <v>40</v>
      </c>
      <c r="AH24" s="23"/>
    </row>
    <row r="25" spans="1:34" ht="15.75" customHeight="1">
      <c r="A25" s="10">
        <f t="shared" si="1"/>
        <v>19</v>
      </c>
      <c r="B25" s="25" t="s">
        <v>215</v>
      </c>
      <c r="C25" s="26" t="s">
        <v>216</v>
      </c>
      <c r="D25" s="13" t="s">
        <v>28</v>
      </c>
      <c r="E25" s="13" t="s">
        <v>29</v>
      </c>
      <c r="F25" s="13"/>
      <c r="G25" s="14">
        <f>VLOOKUP(B25,'Production Kitchen'!$B$5:$L$1029,10,FALSE)</f>
        <v>1890.9278752436649</v>
      </c>
      <c r="H25" s="15"/>
      <c r="I25" s="16">
        <v>1</v>
      </c>
      <c r="J25" s="17" t="s">
        <v>138</v>
      </c>
      <c r="K25" s="15">
        <f t="shared" si="0"/>
        <v>1890.9278752436649</v>
      </c>
      <c r="L25" s="13"/>
      <c r="M25" s="13"/>
      <c r="N25" s="18"/>
      <c r="P25" s="4"/>
      <c r="Q25" s="4"/>
      <c r="R25" s="28" t="s">
        <v>217</v>
      </c>
      <c r="T25" s="21"/>
      <c r="V25" s="22" t="s">
        <v>2066</v>
      </c>
      <c r="W25" s="22" t="s">
        <v>218</v>
      </c>
      <c r="AC25" s="23" t="s">
        <v>219</v>
      </c>
      <c r="AD25" s="30" t="s">
        <v>220</v>
      </c>
      <c r="AE25" s="30"/>
      <c r="AF25" s="31" t="s">
        <v>221</v>
      </c>
      <c r="AG25" s="30" t="s">
        <v>40</v>
      </c>
      <c r="AH25" s="30"/>
    </row>
    <row r="26" spans="1:34" ht="15.75" customHeight="1">
      <c r="A26" s="10">
        <f t="shared" si="1"/>
        <v>20</v>
      </c>
      <c r="B26" s="25" t="s">
        <v>222</v>
      </c>
      <c r="C26" s="26" t="s">
        <v>223</v>
      </c>
      <c r="D26" s="13" t="s">
        <v>28</v>
      </c>
      <c r="E26" s="13" t="s">
        <v>29</v>
      </c>
      <c r="F26" s="13"/>
      <c r="G26" s="14">
        <f>VLOOKUP(B26,'Production Kitchen'!$B$5:$L$1029,10,FALSE)</f>
        <v>5.3734892787524364</v>
      </c>
      <c r="H26" s="15"/>
      <c r="I26" s="16">
        <v>1</v>
      </c>
      <c r="J26" s="17" t="s">
        <v>138</v>
      </c>
      <c r="K26" s="15">
        <f t="shared" si="0"/>
        <v>5.3734892787524364</v>
      </c>
      <c r="L26" s="13"/>
      <c r="M26" s="13"/>
      <c r="N26" s="18"/>
      <c r="P26" s="4"/>
      <c r="Q26" s="4"/>
      <c r="R26" s="28" t="s">
        <v>224</v>
      </c>
      <c r="T26" s="21"/>
      <c r="V26" s="22" t="s">
        <v>225</v>
      </c>
      <c r="W26" s="22" t="s">
        <v>226</v>
      </c>
      <c r="AC26" s="22" t="s">
        <v>227</v>
      </c>
      <c r="AD26" s="22"/>
      <c r="AE26" s="22"/>
      <c r="AF26" s="32" t="s">
        <v>228</v>
      </c>
      <c r="AG26" s="22" t="s">
        <v>172</v>
      </c>
      <c r="AH26" s="22"/>
    </row>
    <row r="27" spans="1:34" ht="15.75" customHeight="1">
      <c r="A27" s="10">
        <f t="shared" si="1"/>
        <v>21</v>
      </c>
      <c r="B27" s="25" t="s">
        <v>229</v>
      </c>
      <c r="C27" s="26" t="s">
        <v>230</v>
      </c>
      <c r="D27" s="13" t="s">
        <v>28</v>
      </c>
      <c r="E27" s="13" t="s">
        <v>29</v>
      </c>
      <c r="F27" s="13"/>
      <c r="G27" s="14">
        <f>VLOOKUP(B27,'Production Kitchen'!$B$5:$L$1029,10,FALSE)</f>
        <v>8819.8395767195761</v>
      </c>
      <c r="H27" s="15"/>
      <c r="I27" s="16">
        <v>1</v>
      </c>
      <c r="J27" s="17" t="s">
        <v>103</v>
      </c>
      <c r="K27" s="15">
        <f t="shared" si="0"/>
        <v>8819.8395767195761</v>
      </c>
      <c r="L27" s="13"/>
      <c r="M27" s="13"/>
      <c r="N27" s="18"/>
      <c r="P27" s="4"/>
      <c r="Q27" s="4"/>
      <c r="R27" s="28" t="s">
        <v>231</v>
      </c>
      <c r="T27" s="21"/>
      <c r="V27" s="22" t="s">
        <v>232</v>
      </c>
      <c r="W27" s="22" t="s">
        <v>233</v>
      </c>
      <c r="AC27" s="22" t="s">
        <v>234</v>
      </c>
      <c r="AD27" s="22"/>
      <c r="AE27" s="22"/>
      <c r="AF27" s="32" t="s">
        <v>235</v>
      </c>
      <c r="AG27" s="22" t="s">
        <v>172</v>
      </c>
      <c r="AH27" s="22"/>
    </row>
    <row r="28" spans="1:34" ht="15.75" customHeight="1">
      <c r="A28" s="10">
        <f t="shared" si="1"/>
        <v>22</v>
      </c>
      <c r="B28" s="11" t="s">
        <v>236</v>
      </c>
      <c r="C28" s="26" t="s">
        <v>237</v>
      </c>
      <c r="D28" s="13" t="s">
        <v>28</v>
      </c>
      <c r="E28" s="13" t="s">
        <v>29</v>
      </c>
      <c r="F28" s="13"/>
      <c r="G28" s="14">
        <f>VLOOKUP(B28,'Production Kitchen'!$B$5:$L$1029,10,FALSE)</f>
        <v>500.46873684210522</v>
      </c>
      <c r="H28" s="15"/>
      <c r="I28" s="16">
        <v>1</v>
      </c>
      <c r="J28" s="17" t="s">
        <v>138</v>
      </c>
      <c r="K28" s="15">
        <f t="shared" si="0"/>
        <v>500.46873684210522</v>
      </c>
      <c r="L28" s="13"/>
      <c r="M28" s="13"/>
      <c r="N28" s="18"/>
      <c r="P28" s="4"/>
      <c r="Q28" s="4"/>
      <c r="R28" s="28" t="s">
        <v>238</v>
      </c>
      <c r="T28" s="21"/>
      <c r="V28" s="22" t="s">
        <v>239</v>
      </c>
      <c r="W28" s="22" t="s">
        <v>240</v>
      </c>
      <c r="AC28" s="22" t="s">
        <v>241</v>
      </c>
      <c r="AD28" s="22"/>
      <c r="AE28" s="33" t="s">
        <v>242</v>
      </c>
      <c r="AF28" s="22"/>
      <c r="AG28" s="22" t="s">
        <v>172</v>
      </c>
      <c r="AH28" s="22"/>
    </row>
    <row r="29" spans="1:34" ht="15.75" customHeight="1">
      <c r="A29" s="10">
        <f t="shared" si="1"/>
        <v>23</v>
      </c>
      <c r="B29" s="11" t="s">
        <v>243</v>
      </c>
      <c r="C29" s="26" t="s">
        <v>244</v>
      </c>
      <c r="D29" s="13" t="s">
        <v>28</v>
      </c>
      <c r="E29" s="13" t="s">
        <v>29</v>
      </c>
      <c r="F29" s="13"/>
      <c r="G29" s="14">
        <f>VLOOKUP(B29,'Production Kitchen'!$B$5:$L$1029,10,FALSE)</f>
        <v>1601.7222222222222</v>
      </c>
      <c r="H29" s="15"/>
      <c r="I29" s="16">
        <v>1</v>
      </c>
      <c r="J29" s="17" t="s">
        <v>114</v>
      </c>
      <c r="K29" s="15">
        <f t="shared" si="0"/>
        <v>1601.7222222222222</v>
      </c>
      <c r="L29" s="13"/>
      <c r="M29" s="13"/>
      <c r="N29" s="18"/>
      <c r="P29" s="4"/>
      <c r="Q29" s="4"/>
      <c r="R29" s="28" t="s">
        <v>245</v>
      </c>
      <c r="T29" s="21"/>
      <c r="V29" s="22" t="s">
        <v>246</v>
      </c>
      <c r="W29" s="22" t="s">
        <v>247</v>
      </c>
      <c r="AC29" s="22" t="s">
        <v>248</v>
      </c>
      <c r="AD29" s="22" t="s">
        <v>249</v>
      </c>
      <c r="AE29" s="22"/>
      <c r="AF29" s="32" t="s">
        <v>250</v>
      </c>
      <c r="AG29" s="22" t="s">
        <v>40</v>
      </c>
      <c r="AH29" s="22"/>
    </row>
    <row r="30" spans="1:34" ht="15.75" customHeight="1">
      <c r="A30" s="10">
        <f t="shared" si="1"/>
        <v>24</v>
      </c>
      <c r="B30" s="11" t="s">
        <v>251</v>
      </c>
      <c r="C30" s="26" t="s">
        <v>252</v>
      </c>
      <c r="D30" s="13" t="s">
        <v>28</v>
      </c>
      <c r="E30" s="13" t="s">
        <v>29</v>
      </c>
      <c r="F30" s="13"/>
      <c r="G30" s="14">
        <f>VLOOKUP(B30,'Production Kitchen'!$B$5:$L$1029,10,FALSE)</f>
        <v>1093.9890710382513</v>
      </c>
      <c r="H30" s="15"/>
      <c r="I30" s="16">
        <v>1</v>
      </c>
      <c r="J30" s="17" t="s">
        <v>103</v>
      </c>
      <c r="K30" s="15">
        <f t="shared" si="0"/>
        <v>1093.9890710382513</v>
      </c>
      <c r="L30" s="13"/>
      <c r="M30" s="13"/>
      <c r="N30" s="18"/>
      <c r="P30" s="4"/>
      <c r="Q30" s="4"/>
      <c r="R30" s="34" t="s">
        <v>253</v>
      </c>
      <c r="T30" s="21" t="s">
        <v>127</v>
      </c>
      <c r="V30" s="22" t="s">
        <v>254</v>
      </c>
      <c r="W30" s="22" t="s">
        <v>255</v>
      </c>
      <c r="AC30" s="22" t="s">
        <v>256</v>
      </c>
      <c r="AD30" s="22" t="s">
        <v>257</v>
      </c>
      <c r="AE30" s="22"/>
      <c r="AF30" s="32" t="s">
        <v>258</v>
      </c>
      <c r="AG30" s="22" t="s">
        <v>172</v>
      </c>
      <c r="AH30" s="22"/>
    </row>
    <row r="31" spans="1:34" ht="15.75" customHeight="1">
      <c r="A31" s="10">
        <f t="shared" si="1"/>
        <v>25</v>
      </c>
      <c r="B31" s="11" t="s">
        <v>259</v>
      </c>
      <c r="C31" s="26" t="s">
        <v>260</v>
      </c>
      <c r="D31" s="13" t="s">
        <v>28</v>
      </c>
      <c r="E31" s="13" t="s">
        <v>29</v>
      </c>
      <c r="F31" s="13"/>
      <c r="G31" s="14">
        <f>VLOOKUP(B31,'Production Kitchen'!$B$5:$L$1029,10,FALSE)</f>
        <v>1114.5894736842106</v>
      </c>
      <c r="H31" s="15"/>
      <c r="I31" s="16">
        <v>1</v>
      </c>
      <c r="J31" s="17" t="s">
        <v>138</v>
      </c>
      <c r="K31" s="15">
        <f t="shared" si="0"/>
        <v>1114.5894736842106</v>
      </c>
      <c r="L31" s="13"/>
      <c r="M31" s="13"/>
      <c r="N31" s="18"/>
      <c r="P31" s="4"/>
      <c r="Q31" s="4"/>
      <c r="R31" s="35" t="s">
        <v>261</v>
      </c>
      <c r="V31" s="22" t="s">
        <v>262</v>
      </c>
      <c r="W31" s="22" t="s">
        <v>263</v>
      </c>
      <c r="AC31" s="22" t="s">
        <v>264</v>
      </c>
      <c r="AD31" s="22" t="s">
        <v>265</v>
      </c>
      <c r="AE31" s="22"/>
      <c r="AF31" s="32" t="s">
        <v>266</v>
      </c>
      <c r="AG31" s="22" t="s">
        <v>172</v>
      </c>
      <c r="AH31" s="22"/>
    </row>
    <row r="32" spans="1:34" ht="15.75" customHeight="1">
      <c r="A32" s="10">
        <f t="shared" si="1"/>
        <v>26</v>
      </c>
      <c r="B32" s="11" t="s">
        <v>267</v>
      </c>
      <c r="C32" s="26" t="s">
        <v>268</v>
      </c>
      <c r="D32" s="13" t="s">
        <v>28</v>
      </c>
      <c r="E32" s="13" t="s">
        <v>29</v>
      </c>
      <c r="F32" s="13"/>
      <c r="G32" s="14">
        <f>VLOOKUP(B32,'Production Kitchen'!$B$5:$L$1029,10,FALSE)</f>
        <v>58.987500000000004</v>
      </c>
      <c r="H32" s="15"/>
      <c r="I32" s="16">
        <v>1</v>
      </c>
      <c r="J32" s="17" t="s">
        <v>103</v>
      </c>
      <c r="K32" s="15">
        <f t="shared" si="0"/>
        <v>58.987500000000004</v>
      </c>
      <c r="L32" s="13"/>
      <c r="M32" s="13"/>
      <c r="N32" s="18"/>
      <c r="P32" s="4"/>
      <c r="Q32" s="4"/>
      <c r="R32" s="35" t="s">
        <v>269</v>
      </c>
      <c r="V32" s="22" t="s">
        <v>270</v>
      </c>
      <c r="W32" s="22" t="s">
        <v>271</v>
      </c>
      <c r="AC32" s="22" t="s">
        <v>272</v>
      </c>
      <c r="AD32" s="22"/>
      <c r="AE32" s="22"/>
      <c r="AF32" s="32" t="s">
        <v>273</v>
      </c>
      <c r="AG32" s="22" t="s">
        <v>172</v>
      </c>
      <c r="AH32" s="22" t="s">
        <v>274</v>
      </c>
    </row>
    <row r="33" spans="1:34" ht="15.75" customHeight="1">
      <c r="A33" s="10">
        <f t="shared" si="1"/>
        <v>27</v>
      </c>
      <c r="B33" s="11" t="s">
        <v>275</v>
      </c>
      <c r="C33" s="26" t="s">
        <v>276</v>
      </c>
      <c r="D33" s="13" t="s">
        <v>28</v>
      </c>
      <c r="E33" s="13" t="s">
        <v>29</v>
      </c>
      <c r="F33" s="13"/>
      <c r="G33" s="14">
        <f>VLOOKUP(B33,'Production Kitchen'!$B$5:$L$1029,10,FALSE)</f>
        <v>4805.2124999999996</v>
      </c>
      <c r="H33" s="15"/>
      <c r="I33" s="16">
        <v>1</v>
      </c>
      <c r="J33" s="17" t="s">
        <v>138</v>
      </c>
      <c r="K33" s="15">
        <f t="shared" si="0"/>
        <v>4805.2124999999996</v>
      </c>
      <c r="L33" s="13"/>
      <c r="M33" s="13"/>
      <c r="N33" s="18"/>
      <c r="P33" s="4"/>
      <c r="Q33" s="4"/>
      <c r="R33" s="35" t="s">
        <v>277</v>
      </c>
      <c r="V33" s="22" t="s">
        <v>793</v>
      </c>
      <c r="W33" s="22" t="s">
        <v>278</v>
      </c>
      <c r="AC33" s="22" t="s">
        <v>279</v>
      </c>
      <c r="AD33" s="22"/>
      <c r="AE33" s="22" t="s">
        <v>280</v>
      </c>
      <c r="AF33" s="32" t="s">
        <v>281</v>
      </c>
      <c r="AG33" s="22" t="s">
        <v>172</v>
      </c>
      <c r="AH33" s="22"/>
    </row>
    <row r="34" spans="1:34" ht="15.75" customHeight="1">
      <c r="A34" s="10">
        <f t="shared" si="1"/>
        <v>28</v>
      </c>
      <c r="B34" s="25" t="s">
        <v>282</v>
      </c>
      <c r="C34" s="26" t="s">
        <v>283</v>
      </c>
      <c r="D34" s="13" t="s">
        <v>28</v>
      </c>
      <c r="E34" s="13" t="s">
        <v>29</v>
      </c>
      <c r="F34" s="13"/>
      <c r="G34" s="14">
        <f>VLOOKUP(B34,'Production Kitchen'!$B$5:$L$1029,10,FALSE)</f>
        <v>2570.7586666666666</v>
      </c>
      <c r="H34" s="15"/>
      <c r="I34" s="16">
        <v>1</v>
      </c>
      <c r="J34" s="17" t="s">
        <v>114</v>
      </c>
      <c r="K34" s="15">
        <f t="shared" si="0"/>
        <v>2570.7586666666666</v>
      </c>
      <c r="L34" s="13"/>
      <c r="M34" s="13"/>
      <c r="N34" s="18"/>
      <c r="P34" s="4"/>
      <c r="Q34" s="4"/>
      <c r="R34" s="36" t="s">
        <v>284</v>
      </c>
      <c r="V34" s="22" t="s">
        <v>797</v>
      </c>
      <c r="W34" s="22" t="s">
        <v>285</v>
      </c>
      <c r="AC34" s="19" t="s">
        <v>286</v>
      </c>
      <c r="AD34" s="19"/>
      <c r="AE34" s="19"/>
      <c r="AF34" s="19"/>
      <c r="AG34" s="19" t="s">
        <v>287</v>
      </c>
      <c r="AH34" s="19"/>
    </row>
    <row r="35" spans="1:34" ht="15.75" customHeight="1">
      <c r="A35" s="10">
        <f t="shared" si="1"/>
        <v>29</v>
      </c>
      <c r="B35" s="11" t="s">
        <v>288</v>
      </c>
      <c r="C35" s="26" t="s">
        <v>289</v>
      </c>
      <c r="D35" s="13" t="s">
        <v>28</v>
      </c>
      <c r="E35" s="13" t="s">
        <v>29</v>
      </c>
      <c r="F35" s="13"/>
      <c r="G35" s="14">
        <f>VLOOKUP(B35,'Production Kitchen'!$B$5:$L$1029,10,FALSE)</f>
        <v>6194.8333333333339</v>
      </c>
      <c r="H35" s="15"/>
      <c r="I35" s="16">
        <v>1</v>
      </c>
      <c r="J35" s="17" t="s">
        <v>114</v>
      </c>
      <c r="K35" s="15">
        <f t="shared" si="0"/>
        <v>6194.8333333333339</v>
      </c>
      <c r="L35" s="13"/>
      <c r="M35" s="13"/>
      <c r="N35" s="18"/>
      <c r="P35" s="4"/>
      <c r="Q35" s="4"/>
      <c r="R35" s="36" t="s">
        <v>290</v>
      </c>
      <c r="V35" s="22" t="s">
        <v>2067</v>
      </c>
      <c r="W35" s="22" t="s">
        <v>291</v>
      </c>
      <c r="AC35" s="19" t="s">
        <v>292</v>
      </c>
      <c r="AD35" s="19"/>
      <c r="AE35" s="19"/>
      <c r="AF35" s="19"/>
      <c r="AG35" s="19" t="s">
        <v>287</v>
      </c>
      <c r="AH35" s="19"/>
    </row>
    <row r="36" spans="1:34" ht="15.75" customHeight="1">
      <c r="A36" s="10">
        <f t="shared" si="1"/>
        <v>30</v>
      </c>
      <c r="B36" s="11" t="s">
        <v>293</v>
      </c>
      <c r="C36" s="26" t="s">
        <v>294</v>
      </c>
      <c r="D36" s="13" t="s">
        <v>28</v>
      </c>
      <c r="E36" s="13" t="s">
        <v>29</v>
      </c>
      <c r="F36" s="13"/>
      <c r="G36" s="14">
        <f>VLOOKUP(B36,'Production Kitchen'!$B$5:$L$1029,10,FALSE)</f>
        <v>864.65116279069764</v>
      </c>
      <c r="H36" s="15"/>
      <c r="I36" s="16">
        <v>1</v>
      </c>
      <c r="J36" s="17" t="s">
        <v>114</v>
      </c>
      <c r="K36" s="15">
        <f t="shared" si="0"/>
        <v>864.65116279069764</v>
      </c>
      <c r="L36" s="13"/>
      <c r="M36" s="13"/>
      <c r="N36" s="18"/>
      <c r="P36" s="4"/>
      <c r="Q36" s="4"/>
      <c r="R36" s="36" t="s">
        <v>295</v>
      </c>
      <c r="V36" s="22" t="s">
        <v>2068</v>
      </c>
      <c r="W36" s="22" t="s">
        <v>296</v>
      </c>
      <c r="AC36" s="19" t="s">
        <v>297</v>
      </c>
      <c r="AD36" s="19"/>
      <c r="AE36" s="19"/>
      <c r="AF36" s="19"/>
      <c r="AG36" s="19" t="s">
        <v>287</v>
      </c>
      <c r="AH36" s="19"/>
    </row>
    <row r="37" spans="1:34" ht="15.75" customHeight="1">
      <c r="A37" s="10">
        <f t="shared" si="1"/>
        <v>31</v>
      </c>
      <c r="B37" s="11" t="s">
        <v>298</v>
      </c>
      <c r="C37" s="26" t="s">
        <v>299</v>
      </c>
      <c r="D37" s="13" t="s">
        <v>28</v>
      </c>
      <c r="E37" s="13" t="s">
        <v>29</v>
      </c>
      <c r="F37" s="13"/>
      <c r="G37" s="14">
        <f>VLOOKUP(B37,'Production Kitchen'!$B$5:$L$1029,10,FALSE)</f>
        <v>5399.9</v>
      </c>
      <c r="H37" s="15"/>
      <c r="I37" s="16">
        <v>1</v>
      </c>
      <c r="J37" s="17" t="s">
        <v>114</v>
      </c>
      <c r="K37" s="15">
        <f t="shared" si="0"/>
        <v>5399.9</v>
      </c>
      <c r="L37" s="13"/>
      <c r="M37" s="13"/>
      <c r="N37" s="18"/>
      <c r="P37" s="4"/>
      <c r="Q37" s="4"/>
      <c r="R37" s="36" t="s">
        <v>300</v>
      </c>
      <c r="V37" s="22" t="s">
        <v>301</v>
      </c>
      <c r="W37" s="22" t="s">
        <v>302</v>
      </c>
      <c r="AC37" s="19" t="s">
        <v>303</v>
      </c>
      <c r="AD37" s="19"/>
      <c r="AE37" s="19"/>
      <c r="AF37" s="19"/>
      <c r="AG37" s="19" t="s">
        <v>287</v>
      </c>
      <c r="AH37" s="19"/>
    </row>
    <row r="38" spans="1:34" ht="15.75" customHeight="1">
      <c r="A38" s="10">
        <f t="shared" si="1"/>
        <v>32</v>
      </c>
      <c r="B38" s="11" t="s">
        <v>304</v>
      </c>
      <c r="C38" s="26" t="s">
        <v>305</v>
      </c>
      <c r="D38" s="13" t="s">
        <v>28</v>
      </c>
      <c r="E38" s="13" t="s">
        <v>29</v>
      </c>
      <c r="F38" s="13"/>
      <c r="G38" s="14">
        <f>VLOOKUP(B38,'Production Kitchen'!$B$5:$L$1029,10,FALSE)</f>
        <v>65.385652709359604</v>
      </c>
      <c r="H38" s="15"/>
      <c r="I38" s="16">
        <v>1</v>
      </c>
      <c r="J38" s="17" t="s">
        <v>306</v>
      </c>
      <c r="K38" s="15">
        <f t="shared" si="0"/>
        <v>65.385652709359604</v>
      </c>
      <c r="L38" s="13"/>
      <c r="M38" s="13"/>
      <c r="N38" s="18"/>
      <c r="P38" s="4"/>
      <c r="Q38" s="4"/>
      <c r="R38" s="36" t="s">
        <v>307</v>
      </c>
      <c r="V38" s="22" t="s">
        <v>308</v>
      </c>
      <c r="W38" s="22" t="s">
        <v>309</v>
      </c>
      <c r="AC38" s="19" t="s">
        <v>310</v>
      </c>
      <c r="AD38" s="19"/>
      <c r="AE38" s="19"/>
      <c r="AF38" s="19"/>
      <c r="AG38" s="19" t="s">
        <v>287</v>
      </c>
      <c r="AH38" s="19"/>
    </row>
    <row r="39" spans="1:34" ht="15.75" customHeight="1">
      <c r="A39" s="10">
        <f t="shared" si="1"/>
        <v>33</v>
      </c>
      <c r="B39" s="11" t="s">
        <v>311</v>
      </c>
      <c r="C39" s="26" t="s">
        <v>312</v>
      </c>
      <c r="D39" s="13" t="s">
        <v>28</v>
      </c>
      <c r="E39" s="13" t="s">
        <v>29</v>
      </c>
      <c r="F39" s="13"/>
      <c r="G39" s="14">
        <f>VLOOKUP(B39,'Production Kitchen'!$B$5:$L$1029,10,FALSE)</f>
        <v>8481</v>
      </c>
      <c r="H39" s="15"/>
      <c r="I39" s="16">
        <v>1</v>
      </c>
      <c r="J39" s="17" t="s">
        <v>306</v>
      </c>
      <c r="K39" s="15">
        <f t="shared" si="0"/>
        <v>8481</v>
      </c>
      <c r="L39" s="13"/>
      <c r="M39" s="13"/>
      <c r="N39" s="18"/>
      <c r="P39" s="4"/>
      <c r="Q39" s="4"/>
      <c r="R39" s="36" t="s">
        <v>313</v>
      </c>
      <c r="V39" s="22" t="s">
        <v>314</v>
      </c>
      <c r="W39" s="22" t="s">
        <v>315</v>
      </c>
      <c r="AC39" s="19" t="s">
        <v>316</v>
      </c>
      <c r="AD39" s="19"/>
      <c r="AE39" s="19"/>
      <c r="AF39" s="19"/>
      <c r="AG39" s="19" t="s">
        <v>287</v>
      </c>
      <c r="AH39" s="19"/>
    </row>
    <row r="40" spans="1:34" ht="15.75" customHeight="1">
      <c r="A40" s="10">
        <f t="shared" si="1"/>
        <v>34</v>
      </c>
      <c r="B40" s="11" t="s">
        <v>317</v>
      </c>
      <c r="C40" s="26" t="s">
        <v>318</v>
      </c>
      <c r="D40" s="13" t="s">
        <v>28</v>
      </c>
      <c r="E40" s="13" t="s">
        <v>29</v>
      </c>
      <c r="F40" s="13"/>
      <c r="G40" s="14">
        <f>VLOOKUP(B40,'Production Kitchen'!$B$5:$L$1029,10,FALSE)</f>
        <v>766.22624736842113</v>
      </c>
      <c r="H40" s="15"/>
      <c r="I40" s="16">
        <v>1</v>
      </c>
      <c r="J40" s="17" t="s">
        <v>306</v>
      </c>
      <c r="K40" s="15">
        <f t="shared" si="0"/>
        <v>766.22624736842113</v>
      </c>
      <c r="L40" s="13"/>
      <c r="M40" s="13"/>
      <c r="N40" s="18"/>
      <c r="P40" s="4"/>
      <c r="Q40" s="4"/>
      <c r="R40" s="36" t="s">
        <v>127</v>
      </c>
      <c r="V40" s="22" t="s">
        <v>319</v>
      </c>
      <c r="W40" s="22" t="s">
        <v>320</v>
      </c>
      <c r="AC40" s="19" t="s">
        <v>321</v>
      </c>
      <c r="AD40" s="19"/>
      <c r="AE40" s="19"/>
      <c r="AF40" s="19"/>
      <c r="AG40" s="19" t="s">
        <v>287</v>
      </c>
      <c r="AH40" s="19"/>
    </row>
    <row r="41" spans="1:34" ht="15.75" customHeight="1">
      <c r="A41" s="10">
        <f t="shared" si="1"/>
        <v>35</v>
      </c>
      <c r="B41" s="11" t="s">
        <v>322</v>
      </c>
      <c r="C41" s="26" t="s">
        <v>323</v>
      </c>
      <c r="D41" s="13" t="s">
        <v>28</v>
      </c>
      <c r="E41" s="13" t="s">
        <v>29</v>
      </c>
      <c r="F41" s="13"/>
      <c r="G41" s="14">
        <f>VLOOKUP(B41,'Production Kitchen'!$B$5:$L$1029,10,FALSE)</f>
        <v>275</v>
      </c>
      <c r="H41" s="15"/>
      <c r="I41" s="16">
        <v>1</v>
      </c>
      <c r="J41" s="17" t="s">
        <v>306</v>
      </c>
      <c r="K41" s="15">
        <f t="shared" si="0"/>
        <v>275</v>
      </c>
      <c r="L41" s="13"/>
      <c r="M41" s="13"/>
      <c r="N41" s="18"/>
      <c r="P41" s="4"/>
      <c r="Q41" s="4"/>
      <c r="V41" s="22" t="s">
        <v>324</v>
      </c>
      <c r="W41" s="22" t="s">
        <v>325</v>
      </c>
      <c r="AC41" s="19" t="s">
        <v>326</v>
      </c>
      <c r="AD41" s="19"/>
      <c r="AE41" s="19"/>
      <c r="AF41" s="19"/>
      <c r="AG41" s="19" t="s">
        <v>287</v>
      </c>
      <c r="AH41" s="19"/>
    </row>
    <row r="42" spans="1:34" ht="15.75" customHeight="1">
      <c r="A42" s="37">
        <f t="shared" si="1"/>
        <v>36</v>
      </c>
      <c r="B42" s="38" t="s">
        <v>327</v>
      </c>
      <c r="C42" s="39" t="s">
        <v>328</v>
      </c>
      <c r="D42" s="40" t="s">
        <v>28</v>
      </c>
      <c r="E42" s="40" t="s">
        <v>29</v>
      </c>
      <c r="F42" s="40"/>
      <c r="G42" s="41">
        <f>VLOOKUP(B42,'Production Kitchen'!$B$5:$L$1029,10,FALSE)</f>
        <v>1620.3421595707248</v>
      </c>
      <c r="H42" s="42"/>
      <c r="I42" s="43">
        <v>1</v>
      </c>
      <c r="J42" s="44" t="s">
        <v>306</v>
      </c>
      <c r="K42" s="42">
        <f t="shared" si="0"/>
        <v>1620.3421595707248</v>
      </c>
      <c r="L42" s="40"/>
      <c r="M42" s="40"/>
      <c r="N42" s="18"/>
      <c r="P42" s="4"/>
      <c r="Q42" s="4"/>
      <c r="V42" s="22" t="s">
        <v>329</v>
      </c>
      <c r="W42" s="22" t="s">
        <v>330</v>
      </c>
      <c r="AC42" s="19" t="s">
        <v>331</v>
      </c>
      <c r="AD42" s="19"/>
      <c r="AE42" s="19"/>
      <c r="AF42" s="19"/>
      <c r="AG42" s="19" t="s">
        <v>287</v>
      </c>
      <c r="AH42" s="19"/>
    </row>
    <row r="43" spans="1:34" ht="15.75" customHeight="1">
      <c r="A43" s="37">
        <f t="shared" si="1"/>
        <v>37</v>
      </c>
      <c r="B43" s="38" t="s">
        <v>332</v>
      </c>
      <c r="C43" s="39" t="s">
        <v>333</v>
      </c>
      <c r="D43" s="40" t="s">
        <v>28</v>
      </c>
      <c r="E43" s="40" t="s">
        <v>29</v>
      </c>
      <c r="F43" s="40"/>
      <c r="G43" s="41">
        <f>VLOOKUP(B43,'Production Kitchen'!$B$5:$L$1029,10,FALSE)</f>
        <v>1296.7193489326767</v>
      </c>
      <c r="H43" s="42"/>
      <c r="I43" s="43">
        <v>1</v>
      </c>
      <c r="J43" s="44" t="s">
        <v>306</v>
      </c>
      <c r="K43" s="42">
        <f t="shared" si="0"/>
        <v>1296.7193489326767</v>
      </c>
      <c r="L43" s="40"/>
      <c r="M43" s="40"/>
      <c r="N43" s="18"/>
      <c r="P43" s="4"/>
      <c r="V43" s="29" t="s">
        <v>334</v>
      </c>
      <c r="W43" s="22" t="s">
        <v>335</v>
      </c>
      <c r="AC43" s="19" t="s">
        <v>336</v>
      </c>
      <c r="AD43" s="19"/>
      <c r="AE43" s="19"/>
      <c r="AF43" s="19"/>
      <c r="AG43" s="19" t="s">
        <v>287</v>
      </c>
      <c r="AH43" s="19"/>
    </row>
    <row r="44" spans="1:34" ht="15.75" customHeight="1">
      <c r="A44" s="37">
        <f t="shared" si="1"/>
        <v>38</v>
      </c>
      <c r="B44" s="38" t="s">
        <v>337</v>
      </c>
      <c r="C44" s="39" t="s">
        <v>338</v>
      </c>
      <c r="D44" s="40" t="s">
        <v>28</v>
      </c>
      <c r="E44" s="40" t="s">
        <v>29</v>
      </c>
      <c r="F44" s="40"/>
      <c r="G44" s="41">
        <f>VLOOKUP(B44,'Production Kitchen'!$B$5:$L$1029,10,FALSE)</f>
        <v>1053.4386978653531</v>
      </c>
      <c r="H44" s="42"/>
      <c r="I44" s="43">
        <v>1</v>
      </c>
      <c r="J44" s="44" t="s">
        <v>306</v>
      </c>
      <c r="K44" s="42">
        <f t="shared" si="0"/>
        <v>1053.4386978653531</v>
      </c>
      <c r="L44" s="40"/>
      <c r="M44" s="40"/>
      <c r="N44" s="18"/>
      <c r="P44" s="4"/>
      <c r="V44" s="22" t="s">
        <v>339</v>
      </c>
      <c r="W44" s="22" t="s">
        <v>340</v>
      </c>
      <c r="AC44" s="19" t="s">
        <v>341</v>
      </c>
      <c r="AD44" s="19"/>
      <c r="AE44" s="19"/>
      <c r="AF44" s="19"/>
      <c r="AG44" s="19" t="s">
        <v>287</v>
      </c>
      <c r="AH44" s="19"/>
    </row>
    <row r="45" spans="1:34" ht="15.75" customHeight="1">
      <c r="A45" s="37">
        <f t="shared" si="1"/>
        <v>39</v>
      </c>
      <c r="B45" s="38" t="s">
        <v>342</v>
      </c>
      <c r="C45" s="39" t="s">
        <v>343</v>
      </c>
      <c r="D45" s="40" t="s">
        <v>28</v>
      </c>
      <c r="E45" s="40" t="s">
        <v>29</v>
      </c>
      <c r="F45" s="40"/>
      <c r="G45" s="41">
        <f>VLOOKUP(B45,'Production Kitchen'!$B$5:$L$1029,10,FALSE)</f>
        <v>797.86044495609337</v>
      </c>
      <c r="H45" s="42"/>
      <c r="I45" s="43">
        <v>1</v>
      </c>
      <c r="J45" s="44" t="s">
        <v>306</v>
      </c>
      <c r="K45" s="42">
        <f t="shared" si="0"/>
        <v>797.86044495609337</v>
      </c>
      <c r="L45" s="40"/>
      <c r="M45" s="40"/>
      <c r="N45" s="18"/>
      <c r="V45" s="22" t="s">
        <v>344</v>
      </c>
      <c r="W45" s="22" t="s">
        <v>345</v>
      </c>
      <c r="AC45" s="19" t="s">
        <v>346</v>
      </c>
      <c r="AD45" s="19"/>
      <c r="AE45" s="19"/>
      <c r="AF45" s="19"/>
      <c r="AG45" s="19" t="s">
        <v>287</v>
      </c>
      <c r="AH45" s="19"/>
    </row>
    <row r="46" spans="1:34" ht="15.75" customHeight="1">
      <c r="A46" s="37">
        <f t="shared" si="1"/>
        <v>40</v>
      </c>
      <c r="B46" s="38" t="s">
        <v>347</v>
      </c>
      <c r="C46" s="39" t="s">
        <v>348</v>
      </c>
      <c r="D46" s="40" t="s">
        <v>28</v>
      </c>
      <c r="E46" s="40" t="s">
        <v>29</v>
      </c>
      <c r="F46" s="40"/>
      <c r="G46" s="41">
        <f>VLOOKUP(B46,'Production Kitchen'!$B$5:$L$1029,10,FALSE)</f>
        <v>1341.4338092406999</v>
      </c>
      <c r="H46" s="42"/>
      <c r="I46" s="43">
        <v>1</v>
      </c>
      <c r="J46" s="44" t="s">
        <v>306</v>
      </c>
      <c r="K46" s="42">
        <f t="shared" si="0"/>
        <v>1341.4338092406999</v>
      </c>
      <c r="L46" s="40"/>
      <c r="M46" s="40"/>
      <c r="N46" s="18"/>
      <c r="V46" s="22" t="s">
        <v>349</v>
      </c>
      <c r="W46" s="22" t="s">
        <v>350</v>
      </c>
      <c r="AC46" s="19" t="s">
        <v>351</v>
      </c>
      <c r="AD46" s="19"/>
      <c r="AE46" s="19"/>
      <c r="AF46" s="19"/>
      <c r="AG46" s="19" t="s">
        <v>287</v>
      </c>
      <c r="AH46" s="19"/>
    </row>
    <row r="47" spans="1:34" ht="15.75" customHeight="1">
      <c r="A47" s="37">
        <f t="shared" si="1"/>
        <v>41</v>
      </c>
      <c r="B47" s="38" t="s">
        <v>352</v>
      </c>
      <c r="C47" s="39" t="s">
        <v>353</v>
      </c>
      <c r="D47" s="40" t="s">
        <v>28</v>
      </c>
      <c r="E47" s="40" t="s">
        <v>29</v>
      </c>
      <c r="F47" s="40"/>
      <c r="G47" s="41">
        <f>VLOOKUP(B47,'Production Kitchen'!$B$5:$L$1029,10,FALSE)</f>
        <v>1193.8487792487686</v>
      </c>
      <c r="H47" s="42"/>
      <c r="I47" s="43">
        <v>1</v>
      </c>
      <c r="J47" s="44" t="s">
        <v>306</v>
      </c>
      <c r="K47" s="42">
        <f t="shared" si="0"/>
        <v>1193.8487792487686</v>
      </c>
      <c r="L47" s="40"/>
      <c r="M47" s="40"/>
      <c r="N47" s="18"/>
      <c r="V47" s="22" t="s">
        <v>2069</v>
      </c>
      <c r="W47" s="22" t="s">
        <v>354</v>
      </c>
      <c r="AC47" s="19" t="s">
        <v>355</v>
      </c>
      <c r="AD47" s="19"/>
      <c r="AE47" s="19"/>
      <c r="AF47" s="19"/>
      <c r="AG47" s="19" t="s">
        <v>287</v>
      </c>
      <c r="AH47" s="19"/>
    </row>
    <row r="48" spans="1:34" ht="15.75" customHeight="1">
      <c r="A48" s="39">
        <f t="shared" si="1"/>
        <v>42</v>
      </c>
      <c r="B48" s="38" t="s">
        <v>356</v>
      </c>
      <c r="C48" s="39" t="s">
        <v>357</v>
      </c>
      <c r="D48" s="40" t="s">
        <v>28</v>
      </c>
      <c r="E48" s="40" t="s">
        <v>29</v>
      </c>
      <c r="F48" s="40"/>
      <c r="G48" s="42">
        <f>VLOOKUP(B48,'Production Kitchen'!$B$5:$L$1029,10,FALSE)</f>
        <v>501.69300779967159</v>
      </c>
      <c r="H48" s="45"/>
      <c r="I48" s="43">
        <v>1</v>
      </c>
      <c r="J48" s="44" t="s">
        <v>306</v>
      </c>
      <c r="K48" s="42">
        <f t="shared" si="0"/>
        <v>501.69300779967159</v>
      </c>
      <c r="L48" s="40"/>
      <c r="M48" s="40"/>
      <c r="N48" s="18"/>
      <c r="V48" s="22" t="s">
        <v>358</v>
      </c>
      <c r="W48" s="22" t="s">
        <v>359</v>
      </c>
      <c r="AC48" s="19" t="s">
        <v>360</v>
      </c>
      <c r="AD48" s="19"/>
      <c r="AE48" s="19"/>
      <c r="AF48" s="19"/>
      <c r="AG48" s="19" t="s">
        <v>287</v>
      </c>
      <c r="AH48" s="19"/>
    </row>
    <row r="49" spans="1:34" ht="15.75" customHeight="1">
      <c r="A49" s="46">
        <f t="shared" si="1"/>
        <v>43</v>
      </c>
      <c r="B49" s="25" t="s">
        <v>361</v>
      </c>
      <c r="C49" s="46" t="s">
        <v>312</v>
      </c>
      <c r="D49" s="47" t="s">
        <v>81</v>
      </c>
      <c r="E49" s="47" t="s">
        <v>92</v>
      </c>
      <c r="F49" s="47"/>
      <c r="G49" s="48">
        <f>VLOOKUP(B49,'Production Bar'!$B$5:$L$1000,10,FALSE)</f>
        <v>31.271842105263158</v>
      </c>
      <c r="H49" s="49"/>
      <c r="I49" s="50">
        <v>1</v>
      </c>
      <c r="J49" s="51" t="s">
        <v>114</v>
      </c>
      <c r="K49" s="48">
        <f t="shared" si="0"/>
        <v>31.271842105263158</v>
      </c>
      <c r="L49" s="47"/>
      <c r="M49" s="47"/>
      <c r="N49" s="18"/>
      <c r="V49" s="22" t="s">
        <v>362</v>
      </c>
      <c r="W49" s="22" t="s">
        <v>363</v>
      </c>
      <c r="AC49" s="52" t="s">
        <v>364</v>
      </c>
      <c r="AD49" s="52"/>
      <c r="AE49" s="52"/>
      <c r="AF49" s="52"/>
      <c r="AG49" s="52" t="s">
        <v>287</v>
      </c>
      <c r="AH49" s="52"/>
    </row>
    <row r="50" spans="1:34" ht="15.75" customHeight="1">
      <c r="A50" s="46">
        <f t="shared" si="1"/>
        <v>44</v>
      </c>
      <c r="B50" s="53" t="s">
        <v>365</v>
      </c>
      <c r="C50" s="46" t="s">
        <v>318</v>
      </c>
      <c r="D50" s="47" t="s">
        <v>81</v>
      </c>
      <c r="E50" s="47" t="s">
        <v>92</v>
      </c>
      <c r="F50" s="47"/>
      <c r="G50" s="48">
        <f>VLOOKUP(B50,'Production Bar'!$B$5:$L$1000,10,FALSE)</f>
        <v>3915.9157894736845</v>
      </c>
      <c r="H50" s="49"/>
      <c r="I50" s="50">
        <v>1</v>
      </c>
      <c r="J50" s="51" t="s">
        <v>366</v>
      </c>
      <c r="K50" s="48">
        <f t="shared" si="0"/>
        <v>3915.9157894736845</v>
      </c>
      <c r="L50" s="47"/>
      <c r="M50" s="47"/>
      <c r="N50" s="18"/>
      <c r="V50" s="22" t="s">
        <v>367</v>
      </c>
      <c r="W50" s="22" t="s">
        <v>368</v>
      </c>
      <c r="AC50" s="52" t="s">
        <v>369</v>
      </c>
      <c r="AD50" s="52"/>
      <c r="AE50" s="52"/>
      <c r="AF50" s="54" t="s">
        <v>370</v>
      </c>
      <c r="AG50" s="52" t="s">
        <v>287</v>
      </c>
      <c r="AH50" s="52"/>
    </row>
    <row r="51" spans="1:34" ht="15.75" customHeight="1">
      <c r="A51" s="46">
        <f t="shared" si="1"/>
        <v>45</v>
      </c>
      <c r="B51" s="53" t="s">
        <v>371</v>
      </c>
      <c r="C51" s="46" t="s">
        <v>323</v>
      </c>
      <c r="D51" s="47" t="s">
        <v>81</v>
      </c>
      <c r="E51" s="47" t="s">
        <v>92</v>
      </c>
      <c r="F51" s="47"/>
      <c r="G51" s="48">
        <f>VLOOKUP(B51,'Production Bar'!$B$5:$L$1000,10,FALSE)</f>
        <v>17.411842105263158</v>
      </c>
      <c r="H51" s="49"/>
      <c r="I51" s="50">
        <v>1</v>
      </c>
      <c r="J51" s="51" t="s">
        <v>80</v>
      </c>
      <c r="K51" s="48">
        <f t="shared" si="0"/>
        <v>17.411842105263158</v>
      </c>
      <c r="L51" s="47"/>
      <c r="M51" s="47"/>
      <c r="N51" s="18"/>
      <c r="V51" s="22" t="s">
        <v>2070</v>
      </c>
      <c r="W51" s="22" t="s">
        <v>372</v>
      </c>
      <c r="AC51" s="52" t="s">
        <v>373</v>
      </c>
      <c r="AD51" s="52"/>
      <c r="AE51" s="52"/>
      <c r="AF51" s="52"/>
      <c r="AG51" s="52" t="s">
        <v>287</v>
      </c>
      <c r="AH51" s="52"/>
    </row>
    <row r="52" spans="1:34" ht="15.75" customHeight="1">
      <c r="A52" s="46">
        <f t="shared" si="1"/>
        <v>46</v>
      </c>
      <c r="B52" s="53" t="s">
        <v>374</v>
      </c>
      <c r="C52" s="46" t="s">
        <v>375</v>
      </c>
      <c r="D52" s="47" t="s">
        <v>81</v>
      </c>
      <c r="E52" s="47" t="s">
        <v>92</v>
      </c>
      <c r="F52" s="47"/>
      <c r="G52" s="48">
        <f>VLOOKUP(B52,'Production Bar'!$B$5:$L$1000,10,FALSE)</f>
        <v>23.865947368421054</v>
      </c>
      <c r="H52" s="49"/>
      <c r="I52" s="50">
        <v>1</v>
      </c>
      <c r="J52" s="51" t="s">
        <v>138</v>
      </c>
      <c r="K52" s="48">
        <f t="shared" si="0"/>
        <v>23.865947368421054</v>
      </c>
      <c r="L52" s="47"/>
      <c r="M52" s="47"/>
      <c r="N52" s="18"/>
      <c r="V52" s="22" t="s">
        <v>376</v>
      </c>
      <c r="W52" s="22" t="s">
        <v>377</v>
      </c>
    </row>
    <row r="53" spans="1:34" ht="15.75" customHeight="1">
      <c r="A53" s="46">
        <f t="shared" si="1"/>
        <v>47</v>
      </c>
      <c r="B53" s="53" t="s">
        <v>378</v>
      </c>
      <c r="C53" s="46" t="s">
        <v>379</v>
      </c>
      <c r="D53" s="47" t="s">
        <v>81</v>
      </c>
      <c r="E53" s="47" t="s">
        <v>92</v>
      </c>
      <c r="F53" s="47"/>
      <c r="G53" s="48">
        <f>VLOOKUP(B53,'Production Bar'!$B$5:$L$1000,10,FALSE)</f>
        <v>15.983578947368422</v>
      </c>
      <c r="H53" s="49"/>
      <c r="I53" s="50">
        <v>1</v>
      </c>
      <c r="J53" s="51" t="s">
        <v>30</v>
      </c>
      <c r="K53" s="48">
        <f t="shared" si="0"/>
        <v>15.983578947368422</v>
      </c>
      <c r="L53" s="47"/>
      <c r="M53" s="47"/>
      <c r="N53" s="18"/>
      <c r="V53" s="22" t="s">
        <v>380</v>
      </c>
      <c r="W53" s="22" t="s">
        <v>381</v>
      </c>
    </row>
    <row r="54" spans="1:34" ht="15.75" customHeight="1">
      <c r="A54" s="46">
        <f t="shared" si="1"/>
        <v>48</v>
      </c>
      <c r="B54" s="53" t="s">
        <v>382</v>
      </c>
      <c r="C54" s="46" t="s">
        <v>383</v>
      </c>
      <c r="D54" s="47" t="s">
        <v>81</v>
      </c>
      <c r="E54" s="47" t="s">
        <v>92</v>
      </c>
      <c r="F54" s="47"/>
      <c r="G54" s="48">
        <f>VLOOKUP(B54,'Production Bar'!$B$5:$L$1000,10,FALSE)</f>
        <v>1.1915701754385966</v>
      </c>
      <c r="H54" s="49"/>
      <c r="I54" s="50">
        <v>1</v>
      </c>
      <c r="J54" s="51" t="s">
        <v>30</v>
      </c>
      <c r="K54" s="48">
        <f t="shared" si="0"/>
        <v>1.1915701754385966</v>
      </c>
      <c r="L54" s="47"/>
      <c r="M54" s="47"/>
      <c r="N54" s="18"/>
      <c r="V54" s="29" t="s">
        <v>384</v>
      </c>
      <c r="W54" s="22" t="s">
        <v>385</v>
      </c>
    </row>
    <row r="55" spans="1:34" ht="15.75" customHeight="1">
      <c r="A55" s="46">
        <f t="shared" si="1"/>
        <v>49</v>
      </c>
      <c r="B55" s="53" t="s">
        <v>386</v>
      </c>
      <c r="C55" s="46" t="s">
        <v>387</v>
      </c>
      <c r="D55" s="47" t="s">
        <v>81</v>
      </c>
      <c r="E55" s="47" t="s">
        <v>92</v>
      </c>
      <c r="F55" s="47"/>
      <c r="G55" s="48">
        <f>VLOOKUP(B55,'Production Bar'!$B$5:$L$1000,10,FALSE)</f>
        <v>130.68541189931352</v>
      </c>
      <c r="H55" s="49"/>
      <c r="I55" s="50">
        <v>1</v>
      </c>
      <c r="J55" s="51" t="s">
        <v>30</v>
      </c>
      <c r="K55" s="48">
        <f t="shared" si="0"/>
        <v>130.68541189931352</v>
      </c>
      <c r="L55" s="47"/>
      <c r="M55" s="47"/>
      <c r="N55" s="18"/>
      <c r="V55" s="22" t="s">
        <v>388</v>
      </c>
      <c r="W55" s="22" t="s">
        <v>389</v>
      </c>
    </row>
    <row r="56" spans="1:34" ht="15.75" customHeight="1">
      <c r="A56" s="46">
        <f t="shared" si="1"/>
        <v>50</v>
      </c>
      <c r="B56" s="53" t="s">
        <v>390</v>
      </c>
      <c r="C56" s="46" t="s">
        <v>391</v>
      </c>
      <c r="D56" s="47" t="s">
        <v>81</v>
      </c>
      <c r="E56" s="47" t="s">
        <v>92</v>
      </c>
      <c r="F56" s="47"/>
      <c r="G56" s="48">
        <f>VLOOKUP(B56,'Production Bar'!$B$5:$L$1000,10,FALSE)</f>
        <v>41.000862812769633</v>
      </c>
      <c r="H56" s="49"/>
      <c r="I56" s="50">
        <v>1</v>
      </c>
      <c r="J56" s="51" t="s">
        <v>30</v>
      </c>
      <c r="K56" s="48">
        <f t="shared" si="0"/>
        <v>41.000862812769633</v>
      </c>
      <c r="L56" s="47"/>
      <c r="M56" s="47"/>
      <c r="N56" s="18"/>
      <c r="V56" s="22" t="s">
        <v>392</v>
      </c>
      <c r="W56" s="22" t="s">
        <v>393</v>
      </c>
    </row>
    <row r="57" spans="1:34" ht="15.75" customHeight="1">
      <c r="A57" s="46">
        <f t="shared" si="1"/>
        <v>51</v>
      </c>
      <c r="B57" s="53" t="s">
        <v>394</v>
      </c>
      <c r="C57" s="46" t="s">
        <v>395</v>
      </c>
      <c r="D57" s="47" t="s">
        <v>81</v>
      </c>
      <c r="E57" s="47" t="s">
        <v>92</v>
      </c>
      <c r="F57" s="47"/>
      <c r="G57" s="48">
        <f>VLOOKUP(B57,'Production Bar'!$B$5:$L$1000,10,FALSE)</f>
        <v>95.743421052631575</v>
      </c>
      <c r="H57" s="49"/>
      <c r="I57" s="50">
        <v>1</v>
      </c>
      <c r="J57" s="51" t="s">
        <v>30</v>
      </c>
      <c r="K57" s="48">
        <f t="shared" si="0"/>
        <v>95.743421052631575</v>
      </c>
      <c r="L57" s="47"/>
      <c r="M57" s="47"/>
      <c r="N57" s="18"/>
      <c r="V57" s="22" t="s">
        <v>396</v>
      </c>
      <c r="W57" s="22" t="s">
        <v>397</v>
      </c>
    </row>
    <row r="58" spans="1:34" ht="13">
      <c r="A58" s="46">
        <f t="shared" si="1"/>
        <v>52</v>
      </c>
      <c r="B58" s="53" t="s">
        <v>398</v>
      </c>
      <c r="C58" s="46" t="s">
        <v>399</v>
      </c>
      <c r="D58" s="47" t="s">
        <v>81</v>
      </c>
      <c r="E58" s="47" t="s">
        <v>92</v>
      </c>
      <c r="F58" s="47"/>
      <c r="G58" s="48">
        <f>VLOOKUP(B58,'Production Bar'!$B$5:$L$1000,10,FALSE)</f>
        <v>39.132046783625732</v>
      </c>
      <c r="H58" s="49"/>
      <c r="I58" s="50">
        <v>1</v>
      </c>
      <c r="J58" s="51" t="s">
        <v>30</v>
      </c>
      <c r="K58" s="48">
        <f t="shared" si="0"/>
        <v>39.132046783625732</v>
      </c>
      <c r="L58" s="47"/>
      <c r="M58" s="47"/>
      <c r="N58" s="18"/>
      <c r="V58" s="22" t="s">
        <v>400</v>
      </c>
      <c r="W58" s="22" t="s">
        <v>401</v>
      </c>
    </row>
    <row r="59" spans="1:34" ht="13">
      <c r="A59" s="46">
        <f t="shared" si="1"/>
        <v>53</v>
      </c>
      <c r="B59" s="53" t="s">
        <v>402</v>
      </c>
      <c r="C59" s="46" t="s">
        <v>403</v>
      </c>
      <c r="D59" s="47" t="s">
        <v>81</v>
      </c>
      <c r="E59" s="47" t="s">
        <v>92</v>
      </c>
      <c r="F59" s="47"/>
      <c r="G59" s="48">
        <f>VLOOKUP(B59,'Production Bar'!$B$5:$L$1000,10,FALSE)</f>
        <v>39.132046783625732</v>
      </c>
      <c r="H59" s="49"/>
      <c r="I59" s="50">
        <v>1</v>
      </c>
      <c r="J59" s="51" t="s">
        <v>30</v>
      </c>
      <c r="K59" s="48">
        <f t="shared" si="0"/>
        <v>39.132046783625732</v>
      </c>
      <c r="L59" s="47"/>
      <c r="M59" s="47"/>
      <c r="N59" s="18"/>
      <c r="V59" s="22" t="s">
        <v>404</v>
      </c>
      <c r="W59" s="22" t="s">
        <v>405</v>
      </c>
    </row>
    <row r="60" spans="1:34" ht="13">
      <c r="A60" s="46">
        <f t="shared" si="1"/>
        <v>54</v>
      </c>
      <c r="B60" s="53" t="s">
        <v>406</v>
      </c>
      <c r="C60" s="46"/>
      <c r="D60" s="47" t="s">
        <v>81</v>
      </c>
      <c r="E60" s="47" t="s">
        <v>92</v>
      </c>
      <c r="F60" s="47"/>
      <c r="G60" s="48">
        <f>VLOOKUP(B60,'Production Bar'!$B$5:$L$1000,10,FALSE)</f>
        <v>4472.9473684210525</v>
      </c>
      <c r="H60" s="49"/>
      <c r="I60" s="50">
        <v>1</v>
      </c>
      <c r="J60" s="51" t="s">
        <v>30</v>
      </c>
      <c r="K60" s="48">
        <f t="shared" si="0"/>
        <v>4472.9473684210525</v>
      </c>
      <c r="L60" s="47"/>
      <c r="M60" s="47"/>
      <c r="N60" s="18"/>
      <c r="V60" s="29" t="s">
        <v>407</v>
      </c>
      <c r="W60" s="22" t="s">
        <v>408</v>
      </c>
    </row>
    <row r="61" spans="1:34" ht="13">
      <c r="A61" s="46">
        <f t="shared" si="1"/>
        <v>55</v>
      </c>
      <c r="B61" s="53" t="s">
        <v>409</v>
      </c>
      <c r="C61" s="46"/>
      <c r="D61" s="47" t="s">
        <v>81</v>
      </c>
      <c r="E61" s="47" t="s">
        <v>92</v>
      </c>
      <c r="F61" s="47"/>
      <c r="G61" s="48">
        <f>VLOOKUP(B61,'Production Bar'!$B$5:$L$1000,10,FALSE)</f>
        <v>1164.1184210526314</v>
      </c>
      <c r="H61" s="49"/>
      <c r="I61" s="50">
        <v>1</v>
      </c>
      <c r="J61" s="51" t="s">
        <v>366</v>
      </c>
      <c r="K61" s="48">
        <f t="shared" si="0"/>
        <v>1164.1184210526314</v>
      </c>
      <c r="L61" s="47"/>
      <c r="M61" s="47"/>
      <c r="N61" s="18"/>
      <c r="V61" s="22" t="s">
        <v>410</v>
      </c>
      <c r="W61" s="22" t="s">
        <v>411</v>
      </c>
    </row>
    <row r="62" spans="1:34" ht="13">
      <c r="A62" s="55">
        <f t="shared" si="1"/>
        <v>56</v>
      </c>
      <c r="B62" s="56" t="s">
        <v>412</v>
      </c>
      <c r="C62" s="55" t="s">
        <v>413</v>
      </c>
      <c r="D62" s="57" t="s">
        <v>28</v>
      </c>
      <c r="E62" s="57" t="s">
        <v>29</v>
      </c>
      <c r="F62" s="57"/>
      <c r="G62" s="58">
        <f>VLOOKUP(B62,'Production Kitchen'!$B$5:$L$1029,10,FALSE)</f>
        <v>1057.9833611111112</v>
      </c>
      <c r="H62" s="21"/>
      <c r="I62" s="59">
        <v>1</v>
      </c>
      <c r="J62" s="60" t="s">
        <v>366</v>
      </c>
      <c r="K62" s="58">
        <f t="shared" si="0"/>
        <v>1057.9833611111112</v>
      </c>
      <c r="L62" s="57"/>
      <c r="M62" s="57"/>
      <c r="N62" s="57"/>
      <c r="V62" s="29" t="s">
        <v>414</v>
      </c>
      <c r="W62" s="22" t="s">
        <v>415</v>
      </c>
    </row>
    <row r="63" spans="1:34" ht="13">
      <c r="A63" s="55">
        <f t="shared" si="1"/>
        <v>57</v>
      </c>
      <c r="B63" s="56" t="s">
        <v>416</v>
      </c>
      <c r="C63" s="55" t="s">
        <v>417</v>
      </c>
      <c r="D63" s="57" t="s">
        <v>28</v>
      </c>
      <c r="E63" s="57" t="s">
        <v>29</v>
      </c>
      <c r="F63" s="57"/>
      <c r="G63" s="58">
        <f>VLOOKUP(B63,'Production Kitchen'!$B$5:$L$1029,10,FALSE)</f>
        <v>1145.4508421052631</v>
      </c>
      <c r="H63" s="21"/>
      <c r="I63" s="59">
        <v>1</v>
      </c>
      <c r="J63" s="60" t="s">
        <v>366</v>
      </c>
      <c r="K63" s="58">
        <f t="shared" si="0"/>
        <v>1145.4508421052631</v>
      </c>
      <c r="L63" s="57"/>
      <c r="M63" s="57"/>
      <c r="N63" s="57"/>
      <c r="V63" s="22" t="s">
        <v>418</v>
      </c>
      <c r="W63" s="22" t="s">
        <v>419</v>
      </c>
    </row>
    <row r="64" spans="1:34" ht="13">
      <c r="A64" s="55">
        <f t="shared" si="1"/>
        <v>58</v>
      </c>
      <c r="B64" s="56" t="s">
        <v>420</v>
      </c>
      <c r="C64" s="55" t="s">
        <v>421</v>
      </c>
      <c r="D64" s="57" t="s">
        <v>28</v>
      </c>
      <c r="E64" s="57" t="s">
        <v>29</v>
      </c>
      <c r="F64" s="57"/>
      <c r="G64" s="58">
        <f>VLOOKUP(B64,'Production Kitchen'!$B$5:$L$1029,10,FALSE)</f>
        <v>3541.34466374269</v>
      </c>
      <c r="H64" s="21"/>
      <c r="I64" s="59">
        <v>1</v>
      </c>
      <c r="J64" s="60" t="s">
        <v>366</v>
      </c>
      <c r="K64" s="58">
        <f t="shared" si="0"/>
        <v>3541.34466374269</v>
      </c>
      <c r="L64" s="57"/>
      <c r="M64" s="57"/>
      <c r="N64" s="57"/>
      <c r="V64" s="22" t="s">
        <v>422</v>
      </c>
      <c r="W64" s="22" t="s">
        <v>423</v>
      </c>
    </row>
    <row r="65" spans="1:23" ht="13">
      <c r="A65" s="55">
        <f t="shared" si="1"/>
        <v>59</v>
      </c>
      <c r="B65" s="56" t="s">
        <v>424</v>
      </c>
      <c r="C65" s="55" t="s">
        <v>425</v>
      </c>
      <c r="D65" s="57" t="s">
        <v>28</v>
      </c>
      <c r="E65" s="57" t="s">
        <v>29</v>
      </c>
      <c r="F65" s="57"/>
      <c r="G65" s="58">
        <f>VLOOKUP(B65,'Production Kitchen'!$B$5:$L$1029,10,FALSE)</f>
        <v>5105.2375000000002</v>
      </c>
      <c r="H65" s="21"/>
      <c r="I65" s="59">
        <v>1</v>
      </c>
      <c r="J65" s="60" t="s">
        <v>366</v>
      </c>
      <c r="K65" s="58">
        <f t="shared" si="0"/>
        <v>5105.2375000000002</v>
      </c>
      <c r="L65" s="57"/>
      <c r="M65" s="57"/>
      <c r="N65" s="57"/>
      <c r="V65" s="22" t="s">
        <v>426</v>
      </c>
      <c r="W65" s="22" t="s">
        <v>427</v>
      </c>
    </row>
    <row r="66" spans="1:23" ht="13">
      <c r="A66" s="55">
        <f t="shared" si="1"/>
        <v>60</v>
      </c>
      <c r="B66" s="56" t="s">
        <v>428</v>
      </c>
      <c r="C66" s="55" t="s">
        <v>429</v>
      </c>
      <c r="D66" s="57" t="s">
        <v>28</v>
      </c>
      <c r="E66" s="57" t="s">
        <v>29</v>
      </c>
      <c r="F66" s="57"/>
      <c r="G66" s="58">
        <f>VLOOKUP(B66,'Production Kitchen'!$B$5:$L$1029,10,FALSE)</f>
        <v>12471.82894736842</v>
      </c>
      <c r="H66" s="21"/>
      <c r="I66" s="59">
        <v>1</v>
      </c>
      <c r="J66" s="60" t="s">
        <v>366</v>
      </c>
      <c r="K66" s="58">
        <f t="shared" si="0"/>
        <v>12471.82894736842</v>
      </c>
      <c r="L66" s="57"/>
      <c r="M66" s="57"/>
      <c r="N66" s="57"/>
      <c r="V66" s="22" t="s">
        <v>430</v>
      </c>
      <c r="W66" s="22" t="s">
        <v>431</v>
      </c>
    </row>
    <row r="67" spans="1:23" ht="13">
      <c r="A67" s="55">
        <f t="shared" si="1"/>
        <v>61</v>
      </c>
      <c r="B67" s="56" t="s">
        <v>432</v>
      </c>
      <c r="C67" s="55" t="s">
        <v>433</v>
      </c>
      <c r="D67" s="57" t="s">
        <v>28</v>
      </c>
      <c r="E67" s="57" t="s">
        <v>29</v>
      </c>
      <c r="F67" s="57"/>
      <c r="G67" s="58">
        <f>VLOOKUP(B67,'Production Kitchen'!$B$5:$L$1029,10,FALSE)</f>
        <v>8171.2583333333341</v>
      </c>
      <c r="H67" s="21"/>
      <c r="I67" s="59">
        <v>1</v>
      </c>
      <c r="J67" s="60" t="s">
        <v>366</v>
      </c>
      <c r="K67" s="58">
        <f t="shared" si="0"/>
        <v>8171.2583333333341</v>
      </c>
      <c r="L67" s="57"/>
      <c r="M67" s="57"/>
      <c r="N67" s="57"/>
      <c r="V67" s="22" t="s">
        <v>434</v>
      </c>
      <c r="W67" s="22" t="s">
        <v>435</v>
      </c>
    </row>
    <row r="68" spans="1:23" ht="13">
      <c r="A68" s="55">
        <f t="shared" si="1"/>
        <v>62</v>
      </c>
      <c r="B68" s="56" t="s">
        <v>436</v>
      </c>
      <c r="C68" s="55" t="s">
        <v>437</v>
      </c>
      <c r="D68" s="57" t="s">
        <v>28</v>
      </c>
      <c r="E68" s="57" t="s">
        <v>29</v>
      </c>
      <c r="F68" s="57"/>
      <c r="G68" s="58">
        <f>VLOOKUP(B68,'Production Kitchen'!$B$5:$L$1029,10,FALSE)</f>
        <v>1281.8666666666668</v>
      </c>
      <c r="H68" s="21"/>
      <c r="I68" s="59">
        <v>1</v>
      </c>
      <c r="J68" s="60" t="s">
        <v>366</v>
      </c>
      <c r="K68" s="58">
        <f t="shared" si="0"/>
        <v>1281.8666666666668</v>
      </c>
      <c r="L68" s="57"/>
      <c r="M68" s="57"/>
      <c r="N68" s="57"/>
      <c r="V68" s="22" t="s">
        <v>438</v>
      </c>
      <c r="W68" s="22" t="s">
        <v>439</v>
      </c>
    </row>
    <row r="69" spans="1:23" ht="13">
      <c r="A69" s="61">
        <f t="shared" si="1"/>
        <v>63</v>
      </c>
      <c r="B69" s="56" t="s">
        <v>440</v>
      </c>
      <c r="C69" s="55" t="s">
        <v>441</v>
      </c>
      <c r="D69" s="57" t="s">
        <v>28</v>
      </c>
      <c r="E69" s="57" t="s">
        <v>29</v>
      </c>
      <c r="F69" s="57"/>
      <c r="G69" s="58">
        <f>VLOOKUP(B69,'Production Kitchen'!$B$5:$L$1029,10,FALSE)</f>
        <v>1766.6427364864865</v>
      </c>
      <c r="H69" s="62" t="s">
        <v>138</v>
      </c>
      <c r="I69" s="59">
        <v>16</v>
      </c>
      <c r="J69" s="60" t="s">
        <v>366</v>
      </c>
      <c r="K69" s="58">
        <f t="shared" si="0"/>
        <v>110.4151710304054</v>
      </c>
      <c r="L69" s="57"/>
      <c r="M69" s="57"/>
      <c r="N69" s="57"/>
      <c r="V69" s="22" t="s">
        <v>442</v>
      </c>
      <c r="W69" s="22" t="s">
        <v>443</v>
      </c>
    </row>
    <row r="70" spans="1:23" ht="13">
      <c r="A70" s="63">
        <f t="shared" si="1"/>
        <v>64</v>
      </c>
      <c r="B70" s="64" t="s">
        <v>444</v>
      </c>
      <c r="C70" s="65" t="s">
        <v>445</v>
      </c>
      <c r="D70" s="66" t="s">
        <v>28</v>
      </c>
      <c r="E70" s="66" t="s">
        <v>29</v>
      </c>
      <c r="F70" s="66"/>
      <c r="G70" s="67">
        <f>VLOOKUP(B70,'Production Kitchen'!$B$5:$L$1029,10,FALSE)</f>
        <v>6786.0952500000003</v>
      </c>
      <c r="H70" s="68" t="s">
        <v>138</v>
      </c>
      <c r="I70" s="69">
        <v>1</v>
      </c>
      <c r="J70" s="68" t="s">
        <v>366</v>
      </c>
      <c r="K70" s="67">
        <f t="shared" si="0"/>
        <v>6786.0952500000003</v>
      </c>
      <c r="L70" s="57"/>
      <c r="M70" s="66"/>
      <c r="N70" s="66"/>
      <c r="V70" s="22" t="s">
        <v>446</v>
      </c>
      <c r="W70" s="22" t="s">
        <v>447</v>
      </c>
    </row>
    <row r="71" spans="1:23" ht="13">
      <c r="A71" s="63">
        <f t="shared" si="1"/>
        <v>65</v>
      </c>
      <c r="B71" s="70" t="s">
        <v>448</v>
      </c>
      <c r="C71" s="65" t="s">
        <v>449</v>
      </c>
      <c r="D71" s="66" t="s">
        <v>28</v>
      </c>
      <c r="E71" s="66" t="s">
        <v>29</v>
      </c>
      <c r="F71" s="66"/>
      <c r="G71" s="67">
        <f>VLOOKUP(B71,'Production Kitchen'!$B$5:$L$1029,10,FALSE)</f>
        <v>8376.39</v>
      </c>
      <c r="H71" s="68" t="s">
        <v>138</v>
      </c>
      <c r="I71" s="69">
        <v>1</v>
      </c>
      <c r="J71" s="68" t="s">
        <v>366</v>
      </c>
      <c r="K71" s="67">
        <f t="shared" si="0"/>
        <v>8376.39</v>
      </c>
      <c r="L71" s="57"/>
      <c r="M71" s="66"/>
      <c r="N71" s="66"/>
      <c r="V71" s="22" t="s">
        <v>450</v>
      </c>
      <c r="W71" s="22" t="s">
        <v>451</v>
      </c>
    </row>
    <row r="72" spans="1:23" ht="13">
      <c r="A72" s="63">
        <f t="shared" si="1"/>
        <v>66</v>
      </c>
      <c r="B72" s="70" t="s">
        <v>452</v>
      </c>
      <c r="C72" s="65" t="s">
        <v>453</v>
      </c>
      <c r="D72" s="66" t="s">
        <v>28</v>
      </c>
      <c r="E72" s="66" t="s">
        <v>29</v>
      </c>
      <c r="F72" s="66"/>
      <c r="G72" s="67">
        <f>VLOOKUP(B72,'Production Kitchen'!$B$5:$L$1029,10,FALSE)</f>
        <v>1937.4473684210527</v>
      </c>
      <c r="H72" s="68" t="s">
        <v>138</v>
      </c>
      <c r="I72" s="69">
        <v>1</v>
      </c>
      <c r="J72" s="68" t="s">
        <v>366</v>
      </c>
      <c r="K72" s="67">
        <f t="shared" si="0"/>
        <v>1937.4473684210527</v>
      </c>
      <c r="L72" s="57"/>
      <c r="M72" s="66"/>
      <c r="N72" s="66"/>
      <c r="V72" s="22" t="s">
        <v>454</v>
      </c>
      <c r="W72" s="22" t="s">
        <v>455</v>
      </c>
    </row>
    <row r="73" spans="1:23" ht="13">
      <c r="A73" s="63">
        <f t="shared" si="1"/>
        <v>67</v>
      </c>
      <c r="B73" s="70" t="s">
        <v>456</v>
      </c>
      <c r="C73" s="65" t="s">
        <v>457</v>
      </c>
      <c r="D73" s="66" t="s">
        <v>28</v>
      </c>
      <c r="E73" s="66" t="s">
        <v>29</v>
      </c>
      <c r="F73" s="66"/>
      <c r="G73" s="67">
        <f>VLOOKUP(B73,'Production Kitchen'!$B$5:$L$1029,10,FALSE)</f>
        <v>5406.6692307692301</v>
      </c>
      <c r="H73" s="68" t="s">
        <v>138</v>
      </c>
      <c r="I73" s="69">
        <v>1</v>
      </c>
      <c r="J73" s="68" t="s">
        <v>366</v>
      </c>
      <c r="K73" s="67">
        <f t="shared" si="0"/>
        <v>5406.6692307692301</v>
      </c>
      <c r="L73" s="57"/>
      <c r="M73" s="66"/>
      <c r="N73" s="66"/>
      <c r="V73" s="22" t="s">
        <v>458</v>
      </c>
      <c r="W73" s="22" t="s">
        <v>459</v>
      </c>
    </row>
    <row r="74" spans="1:23" ht="13">
      <c r="A74" s="63">
        <f t="shared" si="1"/>
        <v>68</v>
      </c>
      <c r="B74" s="70" t="s">
        <v>460</v>
      </c>
      <c r="C74" s="65" t="s">
        <v>461</v>
      </c>
      <c r="D74" s="66" t="s">
        <v>28</v>
      </c>
      <c r="E74" s="66" t="s">
        <v>29</v>
      </c>
      <c r="F74" s="66"/>
      <c r="G74" s="67">
        <f>VLOOKUP(B74,'Menu Kitchen'!$B$5:$K$2098,8,FALSE)</f>
        <v>11772.644385705102</v>
      </c>
      <c r="H74" s="68" t="s">
        <v>138</v>
      </c>
      <c r="I74" s="69">
        <v>1</v>
      </c>
      <c r="J74" s="68" t="s">
        <v>366</v>
      </c>
      <c r="K74" s="67">
        <f t="shared" si="0"/>
        <v>11772.644385705102</v>
      </c>
      <c r="L74" s="57"/>
      <c r="M74" s="66"/>
      <c r="N74" s="66"/>
      <c r="V74" s="22" t="s">
        <v>462</v>
      </c>
      <c r="W74" s="22" t="s">
        <v>463</v>
      </c>
    </row>
    <row r="75" spans="1:23" ht="13">
      <c r="A75" s="63">
        <f t="shared" si="1"/>
        <v>69</v>
      </c>
      <c r="B75" s="70" t="s">
        <v>464</v>
      </c>
      <c r="C75" s="65" t="s">
        <v>465</v>
      </c>
      <c r="D75" s="66" t="s">
        <v>28</v>
      </c>
      <c r="E75" s="66" t="s">
        <v>29</v>
      </c>
      <c r="F75" s="66"/>
      <c r="G75" s="67">
        <f>VLOOKUP(B75,'Production Kitchen'!$B$5:$L$1029,10,FALSE)</f>
        <v>5345.3888888888896</v>
      </c>
      <c r="H75" s="68" t="s">
        <v>138</v>
      </c>
      <c r="I75" s="69">
        <v>1</v>
      </c>
      <c r="J75" s="68" t="s">
        <v>366</v>
      </c>
      <c r="K75" s="67">
        <f t="shared" si="0"/>
        <v>5345.3888888888896</v>
      </c>
      <c r="L75" s="57"/>
      <c r="M75" s="66"/>
      <c r="N75" s="66"/>
      <c r="V75" s="22" t="s">
        <v>466</v>
      </c>
      <c r="W75" s="22" t="s">
        <v>467</v>
      </c>
    </row>
    <row r="76" spans="1:23" ht="13">
      <c r="A76" s="63">
        <f t="shared" si="1"/>
        <v>70</v>
      </c>
      <c r="B76" s="70" t="s">
        <v>468</v>
      </c>
      <c r="C76" s="65" t="s">
        <v>469</v>
      </c>
      <c r="D76" s="66" t="s">
        <v>28</v>
      </c>
      <c r="E76" s="66" t="s">
        <v>29</v>
      </c>
      <c r="F76" s="66"/>
      <c r="G76" s="67">
        <f>VLOOKUP(B76,'Production Kitchen'!$B$5:$L$1029,10,FALSE)</f>
        <v>10028.912300000002</v>
      </c>
      <c r="H76" s="68" t="s">
        <v>138</v>
      </c>
      <c r="I76" s="69">
        <v>1</v>
      </c>
      <c r="J76" s="68" t="s">
        <v>366</v>
      </c>
      <c r="K76" s="67">
        <f t="shared" si="0"/>
        <v>10028.912300000002</v>
      </c>
      <c r="L76" s="57"/>
      <c r="M76" s="66"/>
      <c r="N76" s="66"/>
      <c r="V76" s="22" t="s">
        <v>470</v>
      </c>
      <c r="W76" s="22" t="s">
        <v>471</v>
      </c>
    </row>
    <row r="77" spans="1:23" ht="13">
      <c r="A77" s="63">
        <f t="shared" si="1"/>
        <v>71</v>
      </c>
      <c r="B77" s="70" t="s">
        <v>472</v>
      </c>
      <c r="C77" s="65" t="s">
        <v>473</v>
      </c>
      <c r="D77" s="66" t="s">
        <v>28</v>
      </c>
      <c r="E77" s="66" t="s">
        <v>29</v>
      </c>
      <c r="F77" s="66"/>
      <c r="G77" s="67">
        <f>VLOOKUP(B77,'Production Kitchen'!$B$5:$L$1029,10,FALSE)</f>
        <v>1080.9784615384615</v>
      </c>
      <c r="H77" s="68" t="s">
        <v>138</v>
      </c>
      <c r="I77" s="69">
        <v>1</v>
      </c>
      <c r="J77" s="68" t="s">
        <v>366</v>
      </c>
      <c r="K77" s="67">
        <f t="shared" si="0"/>
        <v>1080.9784615384615</v>
      </c>
      <c r="L77" s="57"/>
      <c r="M77" s="66"/>
      <c r="N77" s="66"/>
      <c r="V77" s="22" t="s">
        <v>474</v>
      </c>
      <c r="W77" s="22" t="s">
        <v>475</v>
      </c>
    </row>
    <row r="78" spans="1:23" ht="13">
      <c r="A78" s="63">
        <f t="shared" si="1"/>
        <v>72</v>
      </c>
      <c r="B78" s="70" t="s">
        <v>476</v>
      </c>
      <c r="C78" s="65" t="s">
        <v>477</v>
      </c>
      <c r="D78" s="66" t="s">
        <v>28</v>
      </c>
      <c r="E78" s="66" t="s">
        <v>29</v>
      </c>
      <c r="F78" s="66"/>
      <c r="G78" s="67">
        <f>VLOOKUP(B78,'Production Kitchen'!$B$5:$L$1029,10,FALSE)</f>
        <v>1188.7298412698412</v>
      </c>
      <c r="H78" s="68" t="s">
        <v>138</v>
      </c>
      <c r="I78" s="69">
        <v>1</v>
      </c>
      <c r="J78" s="68" t="s">
        <v>366</v>
      </c>
      <c r="K78" s="67">
        <f t="shared" si="0"/>
        <v>1188.7298412698412</v>
      </c>
      <c r="L78" s="57"/>
      <c r="M78" s="66"/>
      <c r="N78" s="66"/>
      <c r="V78" s="22" t="s">
        <v>478</v>
      </c>
      <c r="W78" s="22" t="s">
        <v>479</v>
      </c>
    </row>
    <row r="79" spans="1:23" ht="13">
      <c r="A79" s="63">
        <f t="shared" si="1"/>
        <v>73</v>
      </c>
      <c r="B79" s="70" t="s">
        <v>480</v>
      </c>
      <c r="C79" s="65" t="s">
        <v>481</v>
      </c>
      <c r="D79" s="66" t="s">
        <v>28</v>
      </c>
      <c r="E79" s="66" t="s">
        <v>29</v>
      </c>
      <c r="F79" s="66"/>
      <c r="G79" s="67">
        <f>VLOOKUP(B79,'Production Kitchen'!$B$5:$L$1029,10,FALSE)</f>
        <v>10853.333333333332</v>
      </c>
      <c r="H79" s="68" t="s">
        <v>138</v>
      </c>
      <c r="I79" s="69">
        <v>1</v>
      </c>
      <c r="J79" s="68" t="s">
        <v>366</v>
      </c>
      <c r="K79" s="67">
        <f t="shared" si="0"/>
        <v>10853.333333333332</v>
      </c>
      <c r="L79" s="57"/>
      <c r="M79" s="66"/>
      <c r="N79" s="66"/>
      <c r="V79" s="22" t="s">
        <v>482</v>
      </c>
      <c r="W79" s="22" t="s">
        <v>483</v>
      </c>
    </row>
    <row r="80" spans="1:23" ht="13">
      <c r="A80" s="63">
        <f t="shared" si="1"/>
        <v>74</v>
      </c>
      <c r="B80" s="70" t="s">
        <v>484</v>
      </c>
      <c r="C80" s="65" t="s">
        <v>485</v>
      </c>
      <c r="D80" s="66" t="s">
        <v>28</v>
      </c>
      <c r="E80" s="66" t="s">
        <v>29</v>
      </c>
      <c r="F80" s="66"/>
      <c r="G80" s="67">
        <f>VLOOKUP(B80,'Production Kitchen'!$B$5:$L$1029,10,FALSE)</f>
        <v>554.29</v>
      </c>
      <c r="H80" s="68" t="s">
        <v>138</v>
      </c>
      <c r="I80" s="69">
        <v>1</v>
      </c>
      <c r="J80" s="68" t="s">
        <v>366</v>
      </c>
      <c r="K80" s="67">
        <f t="shared" si="0"/>
        <v>554.29</v>
      </c>
      <c r="L80" s="57"/>
      <c r="M80" s="66"/>
      <c r="N80" s="66"/>
      <c r="V80" s="22" t="s">
        <v>486</v>
      </c>
      <c r="W80" s="22" t="s">
        <v>487</v>
      </c>
    </row>
    <row r="81" spans="1:23" ht="13">
      <c r="A81" s="63">
        <f t="shared" si="1"/>
        <v>75</v>
      </c>
      <c r="B81" s="70" t="s">
        <v>488</v>
      </c>
      <c r="C81" s="65" t="s">
        <v>489</v>
      </c>
      <c r="D81" s="66" t="s">
        <v>28</v>
      </c>
      <c r="E81" s="66" t="s">
        <v>29</v>
      </c>
      <c r="F81" s="66"/>
      <c r="G81" s="67">
        <f>VLOOKUP(B81,'Production Kitchen'!$B$5:$L$1029,10,FALSE)</f>
        <v>1892.814814814815</v>
      </c>
      <c r="H81" s="68" t="s">
        <v>138</v>
      </c>
      <c r="I81" s="69">
        <v>1</v>
      </c>
      <c r="J81" s="68" t="s">
        <v>366</v>
      </c>
      <c r="K81" s="67">
        <f t="shared" si="0"/>
        <v>1892.814814814815</v>
      </c>
      <c r="L81" s="57"/>
      <c r="M81" s="66"/>
      <c r="N81" s="66"/>
      <c r="V81" s="22" t="s">
        <v>490</v>
      </c>
      <c r="W81" s="22" t="s">
        <v>491</v>
      </c>
    </row>
    <row r="82" spans="1:23" ht="13">
      <c r="A82" s="63">
        <f t="shared" si="1"/>
        <v>76</v>
      </c>
      <c r="B82" s="70" t="s">
        <v>492</v>
      </c>
      <c r="C82" s="65" t="s">
        <v>493</v>
      </c>
      <c r="D82" s="66" t="s">
        <v>28</v>
      </c>
      <c r="E82" s="66" t="s">
        <v>29</v>
      </c>
      <c r="F82" s="66"/>
      <c r="G82" s="67">
        <f>VLOOKUP(B82,'Production Kitchen'!$B$5:$L$1029,10,FALSE)</f>
        <v>8794.6375000000007</v>
      </c>
      <c r="H82" s="68" t="s">
        <v>138</v>
      </c>
      <c r="I82" s="69">
        <v>1</v>
      </c>
      <c r="J82" s="68" t="s">
        <v>366</v>
      </c>
      <c r="K82" s="67">
        <f t="shared" si="0"/>
        <v>8794.6375000000007</v>
      </c>
      <c r="L82" s="57"/>
      <c r="M82" s="66"/>
      <c r="N82" s="66"/>
      <c r="V82" s="22" t="s">
        <v>494</v>
      </c>
      <c r="W82" s="22" t="s">
        <v>495</v>
      </c>
    </row>
    <row r="83" spans="1:23" ht="13">
      <c r="A83" s="63">
        <f t="shared" si="1"/>
        <v>77</v>
      </c>
      <c r="B83" s="70" t="s">
        <v>496</v>
      </c>
      <c r="C83" s="65" t="s">
        <v>497</v>
      </c>
      <c r="D83" s="66" t="s">
        <v>28</v>
      </c>
      <c r="E83" s="66" t="s">
        <v>29</v>
      </c>
      <c r="F83" s="66"/>
      <c r="G83" s="67">
        <f>VLOOKUP(B83,'Production Kitchen'!$B$5:$L$1029,10,FALSE)</f>
        <v>941.17833333333328</v>
      </c>
      <c r="H83" s="68" t="s">
        <v>138</v>
      </c>
      <c r="I83" s="69">
        <v>1</v>
      </c>
      <c r="J83" s="68" t="s">
        <v>366</v>
      </c>
      <c r="K83" s="67">
        <f t="shared" si="0"/>
        <v>941.17833333333328</v>
      </c>
      <c r="L83" s="57"/>
      <c r="M83" s="66"/>
      <c r="N83" s="66"/>
      <c r="V83" s="22" t="s">
        <v>498</v>
      </c>
      <c r="W83" s="22" t="s">
        <v>499</v>
      </c>
    </row>
    <row r="84" spans="1:23" ht="13">
      <c r="A84" s="63">
        <f t="shared" si="1"/>
        <v>78</v>
      </c>
      <c r="B84" s="70" t="s">
        <v>500</v>
      </c>
      <c r="C84" s="65" t="s">
        <v>501</v>
      </c>
      <c r="D84" s="66" t="s">
        <v>28</v>
      </c>
      <c r="E84" s="66" t="s">
        <v>29</v>
      </c>
      <c r="F84" s="66"/>
      <c r="G84" s="67">
        <f>VLOOKUP(B84,'Production Kitchen'!$B$5:$L$1029,10,FALSE)</f>
        <v>1295.4333333333334</v>
      </c>
      <c r="H84" s="68" t="s">
        <v>138</v>
      </c>
      <c r="I84" s="69">
        <v>1</v>
      </c>
      <c r="J84" s="68" t="s">
        <v>366</v>
      </c>
      <c r="K84" s="67">
        <f t="shared" si="0"/>
        <v>1295.4333333333334</v>
      </c>
      <c r="L84" s="57"/>
      <c r="M84" s="66"/>
      <c r="N84" s="66"/>
      <c r="V84" s="22" t="s">
        <v>502</v>
      </c>
      <c r="W84" s="22" t="s">
        <v>503</v>
      </c>
    </row>
    <row r="85" spans="1:23" ht="13">
      <c r="A85" s="63">
        <f t="shared" si="1"/>
        <v>79</v>
      </c>
      <c r="B85" s="70" t="s">
        <v>504</v>
      </c>
      <c r="C85" s="65" t="s">
        <v>505</v>
      </c>
      <c r="D85" s="66" t="s">
        <v>28</v>
      </c>
      <c r="E85" s="66" t="s">
        <v>29</v>
      </c>
      <c r="F85" s="66"/>
      <c r="G85" s="67">
        <f>VLOOKUP(B85,'Production Kitchen'!$B$5:$L$1029,10,FALSE)</f>
        <v>969.76</v>
      </c>
      <c r="H85" s="68" t="s">
        <v>138</v>
      </c>
      <c r="I85" s="69">
        <v>1</v>
      </c>
      <c r="J85" s="68" t="s">
        <v>366</v>
      </c>
      <c r="K85" s="67">
        <f t="shared" si="0"/>
        <v>969.76</v>
      </c>
      <c r="L85" s="57"/>
      <c r="M85" s="66"/>
      <c r="N85" s="66"/>
      <c r="V85" s="22" t="s">
        <v>506</v>
      </c>
      <c r="W85" s="22" t="s">
        <v>507</v>
      </c>
    </row>
    <row r="86" spans="1:23" ht="13">
      <c r="A86" s="63">
        <f t="shared" si="1"/>
        <v>80</v>
      </c>
      <c r="B86" s="70" t="s">
        <v>508</v>
      </c>
      <c r="C86" s="65" t="s">
        <v>509</v>
      </c>
      <c r="D86" s="66" t="s">
        <v>28</v>
      </c>
      <c r="E86" s="66" t="s">
        <v>29</v>
      </c>
      <c r="F86" s="66"/>
      <c r="G86" s="67">
        <f>VLOOKUP(B86,'Production Kitchen'!$B$5:$L$1029,10,FALSE)</f>
        <v>640.91789473684219</v>
      </c>
      <c r="H86" s="68" t="s">
        <v>138</v>
      </c>
      <c r="I86" s="69">
        <v>1</v>
      </c>
      <c r="J86" s="68" t="s">
        <v>366</v>
      </c>
      <c r="K86" s="67">
        <f t="shared" si="0"/>
        <v>640.91789473684219</v>
      </c>
      <c r="L86" s="57"/>
      <c r="M86" s="66"/>
      <c r="N86" s="66"/>
      <c r="V86" s="22" t="s">
        <v>510</v>
      </c>
      <c r="W86" s="22" t="s">
        <v>511</v>
      </c>
    </row>
    <row r="87" spans="1:23" ht="13">
      <c r="A87" s="63">
        <f t="shared" si="1"/>
        <v>81</v>
      </c>
      <c r="B87" s="70" t="s">
        <v>512</v>
      </c>
      <c r="C87" s="65" t="s">
        <v>513</v>
      </c>
      <c r="D87" s="66" t="s">
        <v>28</v>
      </c>
      <c r="E87" s="66" t="s">
        <v>29</v>
      </c>
      <c r="F87" s="66"/>
      <c r="G87" s="67">
        <f>VLOOKUP(B87,'Production Kitchen'!$B$5:$L$1029,10,FALSE)</f>
        <v>5500.7158730158726</v>
      </c>
      <c r="H87" s="68" t="s">
        <v>138</v>
      </c>
      <c r="I87" s="69">
        <v>1</v>
      </c>
      <c r="J87" s="68" t="s">
        <v>366</v>
      </c>
      <c r="K87" s="67">
        <f t="shared" si="0"/>
        <v>5500.7158730158726</v>
      </c>
      <c r="L87" s="57"/>
      <c r="M87" s="66"/>
      <c r="N87" s="66"/>
      <c r="V87" s="22" t="s">
        <v>514</v>
      </c>
      <c r="W87" s="22" t="s">
        <v>515</v>
      </c>
    </row>
    <row r="88" spans="1:23" ht="13">
      <c r="A88" s="63">
        <f t="shared" si="1"/>
        <v>82</v>
      </c>
      <c r="B88" s="70" t="s">
        <v>516</v>
      </c>
      <c r="C88" s="65" t="s">
        <v>513</v>
      </c>
      <c r="D88" s="66" t="s">
        <v>28</v>
      </c>
      <c r="E88" s="66" t="s">
        <v>29</v>
      </c>
      <c r="F88" s="66"/>
      <c r="G88" s="67">
        <f>VLOOKUP(B88,'Production Kitchen'!$B$5:$L$1029,10,FALSE)</f>
        <v>1629.2222222222222</v>
      </c>
      <c r="H88" s="68" t="s">
        <v>138</v>
      </c>
      <c r="I88" s="69">
        <v>1</v>
      </c>
      <c r="J88" s="68" t="s">
        <v>366</v>
      </c>
      <c r="K88" s="67">
        <f t="shared" si="0"/>
        <v>1629.2222222222222</v>
      </c>
      <c r="L88" s="57"/>
      <c r="M88" s="66"/>
      <c r="N88" s="66"/>
      <c r="V88" s="22" t="s">
        <v>517</v>
      </c>
      <c r="W88" s="22" t="s">
        <v>518</v>
      </c>
    </row>
    <row r="89" spans="1:23" ht="13">
      <c r="A89" s="71">
        <f t="shared" si="1"/>
        <v>83</v>
      </c>
      <c r="B89" s="72" t="s">
        <v>2051</v>
      </c>
      <c r="C89" s="73" t="s">
        <v>520</v>
      </c>
      <c r="D89" s="74" t="s">
        <v>81</v>
      </c>
      <c r="E89" s="74" t="s">
        <v>82</v>
      </c>
      <c r="F89" s="74" t="s">
        <v>120</v>
      </c>
      <c r="G89" s="75">
        <v>17500</v>
      </c>
      <c r="H89" s="76" t="s">
        <v>36</v>
      </c>
      <c r="I89" s="73">
        <v>1000</v>
      </c>
      <c r="J89" s="77" t="s">
        <v>138</v>
      </c>
      <c r="K89" s="75">
        <f t="shared" si="0"/>
        <v>17.5</v>
      </c>
      <c r="L89" s="74" t="s">
        <v>264</v>
      </c>
      <c r="M89" s="74" t="str">
        <f t="shared" ref="M89:M343" si="2">VLOOKUP(L89,$AC$7:$AG$51,5,FALSE)</f>
        <v>Distributor</v>
      </c>
      <c r="N89" s="74" t="s">
        <v>521</v>
      </c>
      <c r="V89" s="22" t="s">
        <v>522</v>
      </c>
      <c r="W89" s="22" t="s">
        <v>523</v>
      </c>
    </row>
    <row r="90" spans="1:23" ht="13">
      <c r="A90" s="71">
        <f t="shared" si="1"/>
        <v>84</v>
      </c>
      <c r="B90" s="72" t="s">
        <v>2052</v>
      </c>
      <c r="C90" s="73" t="s">
        <v>525</v>
      </c>
      <c r="D90" s="74" t="s">
        <v>115</v>
      </c>
      <c r="E90" s="74" t="s">
        <v>155</v>
      </c>
      <c r="F90" s="74" t="s">
        <v>96</v>
      </c>
      <c r="G90" s="75">
        <v>12600</v>
      </c>
      <c r="H90" s="76" t="s">
        <v>108</v>
      </c>
      <c r="I90" s="73">
        <v>19000</v>
      </c>
      <c r="J90" s="77" t="s">
        <v>30</v>
      </c>
      <c r="K90" s="75">
        <f t="shared" si="0"/>
        <v>0.66315789473684206</v>
      </c>
      <c r="L90" s="74" t="s">
        <v>51</v>
      </c>
      <c r="M90" s="74" t="str">
        <f t="shared" si="2"/>
        <v>Supplier</v>
      </c>
      <c r="N90" s="74" t="s">
        <v>521</v>
      </c>
      <c r="V90" s="22" t="s">
        <v>526</v>
      </c>
      <c r="W90" s="22" t="s">
        <v>527</v>
      </c>
    </row>
    <row r="91" spans="1:23" ht="13">
      <c r="A91" s="71">
        <f t="shared" si="1"/>
        <v>85</v>
      </c>
      <c r="B91" s="72" t="s">
        <v>2054</v>
      </c>
      <c r="C91" s="73" t="s">
        <v>529</v>
      </c>
      <c r="D91" s="74" t="s">
        <v>81</v>
      </c>
      <c r="E91" s="74" t="s">
        <v>32</v>
      </c>
      <c r="F91" s="74" t="s">
        <v>74</v>
      </c>
      <c r="G91" s="75">
        <v>17000</v>
      </c>
      <c r="H91" s="76" t="s">
        <v>50</v>
      </c>
      <c r="I91" s="73">
        <v>380</v>
      </c>
      <c r="J91" s="77" t="s">
        <v>30</v>
      </c>
      <c r="K91" s="75">
        <f t="shared" si="0"/>
        <v>44.736842105263158</v>
      </c>
      <c r="L91" s="74" t="s">
        <v>264</v>
      </c>
      <c r="M91" s="74" t="str">
        <f t="shared" si="2"/>
        <v>Distributor</v>
      </c>
      <c r="N91" s="74" t="s">
        <v>521</v>
      </c>
      <c r="V91" s="22" t="s">
        <v>530</v>
      </c>
      <c r="W91" s="22" t="s">
        <v>531</v>
      </c>
    </row>
    <row r="92" spans="1:23" ht="13">
      <c r="A92" s="71">
        <f t="shared" si="1"/>
        <v>86</v>
      </c>
      <c r="B92" s="72" t="s">
        <v>2050</v>
      </c>
      <c r="C92" s="73" t="s">
        <v>533</v>
      </c>
      <c r="D92" s="74" t="s">
        <v>81</v>
      </c>
      <c r="E92" s="74" t="s">
        <v>46</v>
      </c>
      <c r="F92" s="74" t="s">
        <v>86</v>
      </c>
      <c r="G92" s="75">
        <v>56000</v>
      </c>
      <c r="H92" s="76" t="s">
        <v>62</v>
      </c>
      <c r="I92" s="73">
        <v>400</v>
      </c>
      <c r="J92" s="77" t="s">
        <v>138</v>
      </c>
      <c r="K92" s="75">
        <f t="shared" si="0"/>
        <v>140</v>
      </c>
      <c r="L92" s="74" t="s">
        <v>264</v>
      </c>
      <c r="M92" s="74" t="str">
        <f t="shared" si="2"/>
        <v>Distributor</v>
      </c>
      <c r="N92" s="74" t="s">
        <v>521</v>
      </c>
      <c r="V92" s="22" t="s">
        <v>534</v>
      </c>
      <c r="W92" s="22" t="s">
        <v>535</v>
      </c>
    </row>
    <row r="93" spans="1:23" ht="13">
      <c r="A93" s="71">
        <f t="shared" si="1"/>
        <v>87</v>
      </c>
      <c r="B93" s="72" t="s">
        <v>536</v>
      </c>
      <c r="C93" s="73" t="s">
        <v>537</v>
      </c>
      <c r="D93" s="74" t="s">
        <v>81</v>
      </c>
      <c r="E93" s="74" t="s">
        <v>46</v>
      </c>
      <c r="F93" s="74" t="s">
        <v>168</v>
      </c>
      <c r="G93" s="75">
        <v>21000</v>
      </c>
      <c r="H93" s="76" t="s">
        <v>62</v>
      </c>
      <c r="I93" s="73">
        <v>100</v>
      </c>
      <c r="J93" s="77" t="s">
        <v>138</v>
      </c>
      <c r="K93" s="75">
        <f t="shared" si="0"/>
        <v>210</v>
      </c>
      <c r="L93" s="74" t="s">
        <v>264</v>
      </c>
      <c r="M93" s="74" t="str">
        <f t="shared" si="2"/>
        <v>Distributor</v>
      </c>
      <c r="N93" s="74" t="s">
        <v>521</v>
      </c>
      <c r="V93" s="22" t="s">
        <v>538</v>
      </c>
      <c r="W93" s="22" t="s">
        <v>539</v>
      </c>
    </row>
    <row r="94" spans="1:23" ht="13">
      <c r="A94" s="71">
        <f t="shared" si="1"/>
        <v>88</v>
      </c>
      <c r="B94" s="72" t="s">
        <v>540</v>
      </c>
      <c r="C94" s="73" t="s">
        <v>541</v>
      </c>
      <c r="D94" s="74" t="s">
        <v>81</v>
      </c>
      <c r="E94" s="74" t="s">
        <v>32</v>
      </c>
      <c r="F94" s="74" t="s">
        <v>35</v>
      </c>
      <c r="G94" s="75">
        <v>170000</v>
      </c>
      <c r="H94" s="76" t="s">
        <v>36</v>
      </c>
      <c r="I94" s="73">
        <v>1000</v>
      </c>
      <c r="J94" s="77" t="s">
        <v>138</v>
      </c>
      <c r="K94" s="75">
        <f t="shared" si="0"/>
        <v>170</v>
      </c>
      <c r="L94" s="74" t="s">
        <v>122</v>
      </c>
      <c r="M94" s="74" t="str">
        <f t="shared" si="2"/>
        <v>Supplier</v>
      </c>
      <c r="N94" s="74" t="s">
        <v>521</v>
      </c>
      <c r="V94" s="22" t="s">
        <v>542</v>
      </c>
      <c r="W94" s="22" t="s">
        <v>543</v>
      </c>
    </row>
    <row r="95" spans="1:23" ht="13">
      <c r="A95" s="71">
        <f t="shared" si="1"/>
        <v>89</v>
      </c>
      <c r="B95" s="72" t="s">
        <v>2055</v>
      </c>
      <c r="C95" s="73" t="s">
        <v>545</v>
      </c>
      <c r="D95" s="74" t="s">
        <v>81</v>
      </c>
      <c r="E95" s="74" t="s">
        <v>82</v>
      </c>
      <c r="F95" s="74" t="s">
        <v>74</v>
      </c>
      <c r="G95" s="75">
        <v>25650</v>
      </c>
      <c r="H95" s="76" t="s">
        <v>62</v>
      </c>
      <c r="I95" s="73">
        <v>1000</v>
      </c>
      <c r="J95" s="77" t="s">
        <v>30</v>
      </c>
      <c r="K95" s="75">
        <f t="shared" si="0"/>
        <v>25.65</v>
      </c>
      <c r="L95" s="74" t="s">
        <v>346</v>
      </c>
      <c r="M95" s="74" t="str">
        <f t="shared" si="2"/>
        <v>Direct</v>
      </c>
      <c r="N95" s="74" t="s">
        <v>521</v>
      </c>
      <c r="V95" s="22" t="s">
        <v>546</v>
      </c>
      <c r="W95" s="22" t="s">
        <v>547</v>
      </c>
    </row>
    <row r="96" spans="1:23" ht="13">
      <c r="A96" s="71">
        <f t="shared" si="1"/>
        <v>90</v>
      </c>
      <c r="B96" s="72" t="s">
        <v>1986</v>
      </c>
      <c r="C96" s="73" t="s">
        <v>549</v>
      </c>
      <c r="D96" s="74" t="s">
        <v>115</v>
      </c>
      <c r="E96" s="74" t="s">
        <v>155</v>
      </c>
      <c r="F96" s="74" t="s">
        <v>120</v>
      </c>
      <c r="G96" s="75">
        <v>171440</v>
      </c>
      <c r="H96" s="76" t="s">
        <v>87</v>
      </c>
      <c r="I96" s="73">
        <v>8000</v>
      </c>
      <c r="J96" s="77" t="s">
        <v>138</v>
      </c>
      <c r="K96" s="75">
        <f t="shared" si="0"/>
        <v>21.43</v>
      </c>
      <c r="L96" s="74" t="s">
        <v>37</v>
      </c>
      <c r="M96" s="74" t="str">
        <f t="shared" si="2"/>
        <v>Supplier</v>
      </c>
      <c r="N96" s="74" t="s">
        <v>521</v>
      </c>
      <c r="V96" s="22" t="s">
        <v>550</v>
      </c>
      <c r="W96" s="22" t="s">
        <v>551</v>
      </c>
    </row>
    <row r="97" spans="1:23" ht="13">
      <c r="A97" s="71">
        <f t="shared" si="1"/>
        <v>91</v>
      </c>
      <c r="B97" s="72" t="s">
        <v>2056</v>
      </c>
      <c r="C97" s="73" t="s">
        <v>553</v>
      </c>
      <c r="D97" s="74" t="s">
        <v>81</v>
      </c>
      <c r="E97" s="74" t="s">
        <v>82</v>
      </c>
      <c r="F97" s="74" t="s">
        <v>96</v>
      </c>
      <c r="G97" s="75">
        <v>32500</v>
      </c>
      <c r="H97" s="76" t="s">
        <v>121</v>
      </c>
      <c r="I97" s="73">
        <f>250*12</f>
        <v>3000</v>
      </c>
      <c r="J97" s="77" t="s">
        <v>30</v>
      </c>
      <c r="K97" s="75">
        <f t="shared" si="0"/>
        <v>10.833333333333334</v>
      </c>
      <c r="L97" s="74" t="s">
        <v>63</v>
      </c>
      <c r="M97" s="74" t="str">
        <f t="shared" si="2"/>
        <v>Supplier</v>
      </c>
      <c r="N97" s="74" t="s">
        <v>521</v>
      </c>
      <c r="V97" s="29" t="s">
        <v>554</v>
      </c>
      <c r="W97" s="22" t="s">
        <v>555</v>
      </c>
    </row>
    <row r="98" spans="1:23" ht="13">
      <c r="A98" s="71">
        <f t="shared" si="1"/>
        <v>92</v>
      </c>
      <c r="B98" s="72" t="s">
        <v>1982</v>
      </c>
      <c r="C98" s="73" t="s">
        <v>556</v>
      </c>
      <c r="D98" s="74" t="s">
        <v>81</v>
      </c>
      <c r="E98" s="74" t="s">
        <v>32</v>
      </c>
      <c r="F98" s="74" t="s">
        <v>61</v>
      </c>
      <c r="G98" s="75">
        <v>145000</v>
      </c>
      <c r="H98" s="76" t="s">
        <v>97</v>
      </c>
      <c r="I98" s="73">
        <v>750</v>
      </c>
      <c r="J98" s="77" t="s">
        <v>30</v>
      </c>
      <c r="K98" s="75">
        <f t="shared" si="0"/>
        <v>193.33333333333334</v>
      </c>
      <c r="L98" s="74" t="s">
        <v>219</v>
      </c>
      <c r="M98" s="74" t="str">
        <f t="shared" si="2"/>
        <v>Supplier</v>
      </c>
      <c r="N98" s="74" t="s">
        <v>521</v>
      </c>
      <c r="V98" s="22" t="s">
        <v>557</v>
      </c>
      <c r="W98" s="22" t="s">
        <v>558</v>
      </c>
    </row>
    <row r="99" spans="1:23" ht="13">
      <c r="A99" s="71">
        <f t="shared" si="1"/>
        <v>93</v>
      </c>
      <c r="B99" s="72" t="s">
        <v>2000</v>
      </c>
      <c r="C99" s="73" t="s">
        <v>559</v>
      </c>
      <c r="D99" s="74" t="s">
        <v>81</v>
      </c>
      <c r="E99" s="74" t="s">
        <v>46</v>
      </c>
      <c r="F99" s="74" t="s">
        <v>61</v>
      </c>
      <c r="G99" s="75">
        <v>95000</v>
      </c>
      <c r="H99" s="76" t="s">
        <v>97</v>
      </c>
      <c r="I99" s="73">
        <v>750</v>
      </c>
      <c r="J99" s="77" t="s">
        <v>30</v>
      </c>
      <c r="K99" s="75">
        <f t="shared" si="0"/>
        <v>126.66666666666667</v>
      </c>
      <c r="L99" s="74" t="s">
        <v>98</v>
      </c>
      <c r="M99" s="74" t="str">
        <f t="shared" si="2"/>
        <v>Supplier</v>
      </c>
      <c r="N99" s="74" t="s">
        <v>521</v>
      </c>
      <c r="V99" s="22" t="s">
        <v>560</v>
      </c>
      <c r="W99" s="22" t="s">
        <v>561</v>
      </c>
    </row>
    <row r="100" spans="1:23" ht="13">
      <c r="A100" s="71">
        <f t="shared" si="1"/>
        <v>94</v>
      </c>
      <c r="B100" s="72" t="s">
        <v>2001</v>
      </c>
      <c r="C100" s="73" t="s">
        <v>563</v>
      </c>
      <c r="D100" s="74" t="s">
        <v>81</v>
      </c>
      <c r="E100" s="74" t="s">
        <v>46</v>
      </c>
      <c r="F100" s="74" t="s">
        <v>61</v>
      </c>
      <c r="G100" s="75">
        <v>216450</v>
      </c>
      <c r="H100" s="76" t="s">
        <v>97</v>
      </c>
      <c r="I100" s="73">
        <v>2000</v>
      </c>
      <c r="J100" s="77" t="s">
        <v>138</v>
      </c>
      <c r="K100" s="75">
        <f t="shared" si="0"/>
        <v>108.22499999999999</v>
      </c>
      <c r="L100" s="74" t="s">
        <v>98</v>
      </c>
      <c r="M100" s="74" t="str">
        <f t="shared" si="2"/>
        <v>Supplier</v>
      </c>
      <c r="N100" s="74" t="s">
        <v>521</v>
      </c>
      <c r="V100" s="22" t="s">
        <v>564</v>
      </c>
      <c r="W100" s="22" t="s">
        <v>565</v>
      </c>
    </row>
    <row r="101" spans="1:23" ht="13">
      <c r="A101" s="71">
        <f t="shared" si="1"/>
        <v>95</v>
      </c>
      <c r="B101" s="72" t="s">
        <v>2002</v>
      </c>
      <c r="C101" s="73" t="s">
        <v>567</v>
      </c>
      <c r="D101" s="74" t="s">
        <v>81</v>
      </c>
      <c r="E101" s="74" t="s">
        <v>46</v>
      </c>
      <c r="F101" s="74" t="s">
        <v>49</v>
      </c>
      <c r="G101" s="75">
        <v>150000</v>
      </c>
      <c r="H101" s="76" t="s">
        <v>62</v>
      </c>
      <c r="I101" s="73">
        <v>1000</v>
      </c>
      <c r="J101" s="77" t="s">
        <v>138</v>
      </c>
      <c r="K101" s="75">
        <f t="shared" si="0"/>
        <v>150</v>
      </c>
      <c r="L101" s="74" t="s">
        <v>98</v>
      </c>
      <c r="M101" s="74" t="str">
        <f t="shared" si="2"/>
        <v>Supplier</v>
      </c>
      <c r="N101" s="74" t="s">
        <v>521</v>
      </c>
      <c r="V101" s="22" t="s">
        <v>568</v>
      </c>
      <c r="W101" s="22" t="s">
        <v>569</v>
      </c>
    </row>
    <row r="102" spans="1:23" ht="13">
      <c r="A102" s="71">
        <f t="shared" si="1"/>
        <v>96</v>
      </c>
      <c r="B102" s="72" t="s">
        <v>2003</v>
      </c>
      <c r="C102" s="73" t="s">
        <v>571</v>
      </c>
      <c r="D102" s="74" t="s">
        <v>81</v>
      </c>
      <c r="E102" s="74" t="s">
        <v>46</v>
      </c>
      <c r="F102" s="74" t="s">
        <v>49</v>
      </c>
      <c r="G102" s="75">
        <v>150000</v>
      </c>
      <c r="H102" s="76" t="s">
        <v>62</v>
      </c>
      <c r="I102" s="73">
        <v>1000</v>
      </c>
      <c r="J102" s="77" t="s">
        <v>138</v>
      </c>
      <c r="K102" s="75">
        <f t="shared" si="0"/>
        <v>150</v>
      </c>
      <c r="L102" s="74" t="s">
        <v>98</v>
      </c>
      <c r="M102" s="74" t="str">
        <f t="shared" si="2"/>
        <v>Supplier</v>
      </c>
      <c r="N102" s="74" t="s">
        <v>521</v>
      </c>
      <c r="V102" s="22" t="s">
        <v>572</v>
      </c>
      <c r="W102" s="22" t="s">
        <v>573</v>
      </c>
    </row>
    <row r="103" spans="1:23" ht="13">
      <c r="A103" s="71">
        <f t="shared" si="1"/>
        <v>97</v>
      </c>
      <c r="B103" s="72" t="s">
        <v>2014</v>
      </c>
      <c r="C103" s="73" t="s">
        <v>575</v>
      </c>
      <c r="D103" s="74" t="s">
        <v>81</v>
      </c>
      <c r="E103" s="74" t="s">
        <v>46</v>
      </c>
      <c r="F103" s="74" t="s">
        <v>49</v>
      </c>
      <c r="G103" s="75">
        <v>170000</v>
      </c>
      <c r="H103" s="76" t="s">
        <v>62</v>
      </c>
      <c r="I103" s="73">
        <v>1000</v>
      </c>
      <c r="J103" s="77" t="s">
        <v>138</v>
      </c>
      <c r="K103" s="75">
        <f t="shared" si="0"/>
        <v>170</v>
      </c>
      <c r="L103" s="74" t="s">
        <v>109</v>
      </c>
      <c r="M103" s="74" t="str">
        <f t="shared" si="2"/>
        <v>Supplier</v>
      </c>
      <c r="N103" s="74" t="s">
        <v>521</v>
      </c>
      <c r="V103" s="22" t="s">
        <v>576</v>
      </c>
      <c r="W103" s="22" t="s">
        <v>577</v>
      </c>
    </row>
    <row r="104" spans="1:23" ht="13">
      <c r="A104" s="71">
        <f t="shared" si="1"/>
        <v>98</v>
      </c>
      <c r="B104" s="72" t="s">
        <v>2057</v>
      </c>
      <c r="C104" s="73" t="s">
        <v>579</v>
      </c>
      <c r="D104" s="74" t="s">
        <v>81</v>
      </c>
      <c r="E104" s="74" t="s">
        <v>46</v>
      </c>
      <c r="F104" s="74" t="s">
        <v>49</v>
      </c>
      <c r="G104" s="75">
        <v>220000</v>
      </c>
      <c r="H104" s="76" t="s">
        <v>62</v>
      </c>
      <c r="I104" s="73">
        <v>1000</v>
      </c>
      <c r="J104" s="77" t="s">
        <v>138</v>
      </c>
      <c r="K104" s="75">
        <f t="shared" si="0"/>
        <v>220</v>
      </c>
      <c r="L104" s="74" t="s">
        <v>109</v>
      </c>
      <c r="M104" s="74" t="str">
        <f t="shared" si="2"/>
        <v>Supplier</v>
      </c>
      <c r="N104" s="74" t="s">
        <v>521</v>
      </c>
      <c r="V104" s="22" t="s">
        <v>580</v>
      </c>
      <c r="W104" s="22" t="s">
        <v>581</v>
      </c>
    </row>
    <row r="105" spans="1:23" ht="13">
      <c r="A105" s="71">
        <f t="shared" si="1"/>
        <v>99</v>
      </c>
      <c r="B105" s="72" t="s">
        <v>582</v>
      </c>
      <c r="C105" s="73" t="s">
        <v>583</v>
      </c>
      <c r="D105" s="74" t="s">
        <v>81</v>
      </c>
      <c r="E105" s="74" t="s">
        <v>46</v>
      </c>
      <c r="F105" s="74" t="s">
        <v>49</v>
      </c>
      <c r="G105" s="75">
        <v>120000</v>
      </c>
      <c r="H105" s="76" t="s">
        <v>62</v>
      </c>
      <c r="I105" s="73">
        <v>1000</v>
      </c>
      <c r="J105" s="77" t="s">
        <v>138</v>
      </c>
      <c r="K105" s="75">
        <f t="shared" si="0"/>
        <v>120</v>
      </c>
      <c r="L105" s="74" t="s">
        <v>109</v>
      </c>
      <c r="M105" s="74" t="str">
        <f t="shared" si="2"/>
        <v>Supplier</v>
      </c>
      <c r="N105" s="74" t="s">
        <v>521</v>
      </c>
      <c r="V105" s="22" t="s">
        <v>584</v>
      </c>
      <c r="W105" s="22" t="s">
        <v>585</v>
      </c>
    </row>
    <row r="106" spans="1:23" ht="13">
      <c r="A106" s="71">
        <f t="shared" si="1"/>
        <v>100</v>
      </c>
      <c r="B106" s="72" t="s">
        <v>586</v>
      </c>
      <c r="C106" s="73" t="s">
        <v>587</v>
      </c>
      <c r="D106" s="74" t="s">
        <v>81</v>
      </c>
      <c r="E106" s="74" t="s">
        <v>82</v>
      </c>
      <c r="F106" s="74" t="s">
        <v>120</v>
      </c>
      <c r="G106" s="75">
        <v>8500</v>
      </c>
      <c r="H106" s="76" t="s">
        <v>62</v>
      </c>
      <c r="I106" s="73">
        <v>20</v>
      </c>
      <c r="J106" s="77" t="s">
        <v>306</v>
      </c>
      <c r="K106" s="75">
        <f t="shared" si="0"/>
        <v>425</v>
      </c>
      <c r="L106" s="74" t="s">
        <v>355</v>
      </c>
      <c r="M106" s="74" t="str">
        <f t="shared" si="2"/>
        <v>Direct</v>
      </c>
      <c r="N106" s="74" t="s">
        <v>521</v>
      </c>
      <c r="V106" s="22" t="s">
        <v>588</v>
      </c>
      <c r="W106" s="22" t="s">
        <v>589</v>
      </c>
    </row>
    <row r="107" spans="1:23" ht="13">
      <c r="A107" s="71">
        <f t="shared" si="1"/>
        <v>101</v>
      </c>
      <c r="B107" s="72" t="s">
        <v>590</v>
      </c>
      <c r="C107" s="73" t="s">
        <v>591</v>
      </c>
      <c r="D107" s="74" t="s">
        <v>81</v>
      </c>
      <c r="E107" s="74" t="s">
        <v>32</v>
      </c>
      <c r="F107" s="74" t="s">
        <v>35</v>
      </c>
      <c r="G107" s="75">
        <v>85000</v>
      </c>
      <c r="H107" s="76" t="s">
        <v>62</v>
      </c>
      <c r="I107" s="73">
        <v>200</v>
      </c>
      <c r="J107" s="77" t="s">
        <v>138</v>
      </c>
      <c r="K107" s="75">
        <f t="shared" si="0"/>
        <v>425</v>
      </c>
      <c r="L107" s="74" t="s">
        <v>122</v>
      </c>
      <c r="M107" s="74" t="str">
        <f t="shared" si="2"/>
        <v>Supplier</v>
      </c>
      <c r="N107" s="74" t="s">
        <v>521</v>
      </c>
      <c r="V107" s="22" t="s">
        <v>592</v>
      </c>
      <c r="W107" s="22" t="s">
        <v>593</v>
      </c>
    </row>
    <row r="108" spans="1:23" ht="13">
      <c r="A108" s="71">
        <f t="shared" si="1"/>
        <v>102</v>
      </c>
      <c r="B108" s="72" t="s">
        <v>594</v>
      </c>
      <c r="C108" s="73" t="s">
        <v>595</v>
      </c>
      <c r="D108" s="74" t="s">
        <v>81</v>
      </c>
      <c r="E108" s="74" t="s">
        <v>32</v>
      </c>
      <c r="F108" s="74" t="s">
        <v>35</v>
      </c>
      <c r="G108" s="75">
        <v>75000</v>
      </c>
      <c r="H108" s="76" t="s">
        <v>62</v>
      </c>
      <c r="I108" s="73">
        <v>200</v>
      </c>
      <c r="J108" s="77" t="s">
        <v>138</v>
      </c>
      <c r="K108" s="75">
        <f t="shared" si="0"/>
        <v>375</v>
      </c>
      <c r="L108" s="74" t="s">
        <v>122</v>
      </c>
      <c r="M108" s="74" t="str">
        <f t="shared" si="2"/>
        <v>Supplier</v>
      </c>
      <c r="N108" s="74" t="s">
        <v>521</v>
      </c>
      <c r="V108" s="22" t="s">
        <v>596</v>
      </c>
      <c r="W108" s="22" t="s">
        <v>597</v>
      </c>
    </row>
    <row r="109" spans="1:23" ht="13">
      <c r="A109" s="71">
        <f t="shared" si="1"/>
        <v>103</v>
      </c>
      <c r="B109" s="72" t="s">
        <v>598</v>
      </c>
      <c r="C109" s="73" t="s">
        <v>599</v>
      </c>
      <c r="D109" s="74" t="s">
        <v>81</v>
      </c>
      <c r="E109" s="74" t="s">
        <v>32</v>
      </c>
      <c r="F109" s="74" t="s">
        <v>35</v>
      </c>
      <c r="G109" s="75">
        <v>140000</v>
      </c>
      <c r="H109" s="76" t="s">
        <v>62</v>
      </c>
      <c r="I109" s="73">
        <v>200</v>
      </c>
      <c r="J109" s="77" t="s">
        <v>138</v>
      </c>
      <c r="K109" s="75">
        <f t="shared" si="0"/>
        <v>700</v>
      </c>
      <c r="L109" s="74" t="s">
        <v>122</v>
      </c>
      <c r="M109" s="74" t="str">
        <f t="shared" si="2"/>
        <v>Supplier</v>
      </c>
      <c r="N109" s="74" t="s">
        <v>521</v>
      </c>
      <c r="V109" s="22" t="s">
        <v>600</v>
      </c>
      <c r="W109" s="22" t="s">
        <v>601</v>
      </c>
    </row>
    <row r="110" spans="1:23" ht="13">
      <c r="A110" s="71">
        <f t="shared" si="1"/>
        <v>104</v>
      </c>
      <c r="B110" s="72" t="s">
        <v>602</v>
      </c>
      <c r="C110" s="73" t="s">
        <v>603</v>
      </c>
      <c r="D110" s="74" t="s">
        <v>81</v>
      </c>
      <c r="E110" s="74" t="s">
        <v>32</v>
      </c>
      <c r="F110" s="74" t="s">
        <v>35</v>
      </c>
      <c r="G110" s="75">
        <v>100000</v>
      </c>
      <c r="H110" s="76" t="s">
        <v>62</v>
      </c>
      <c r="I110" s="73">
        <v>200</v>
      </c>
      <c r="J110" s="77" t="s">
        <v>138</v>
      </c>
      <c r="K110" s="75">
        <f t="shared" si="0"/>
        <v>500</v>
      </c>
      <c r="L110" s="74" t="s">
        <v>122</v>
      </c>
      <c r="M110" s="74" t="str">
        <f t="shared" si="2"/>
        <v>Supplier</v>
      </c>
      <c r="N110" s="74" t="s">
        <v>521</v>
      </c>
      <c r="V110" s="22" t="s">
        <v>604</v>
      </c>
      <c r="W110" s="22" t="s">
        <v>605</v>
      </c>
    </row>
    <row r="111" spans="1:23" ht="13">
      <c r="A111" s="71">
        <f t="shared" si="1"/>
        <v>105</v>
      </c>
      <c r="B111" s="72" t="s">
        <v>606</v>
      </c>
      <c r="C111" s="73" t="s">
        <v>607</v>
      </c>
      <c r="D111" s="74" t="s">
        <v>81</v>
      </c>
      <c r="E111" s="74" t="s">
        <v>32</v>
      </c>
      <c r="F111" s="74" t="s">
        <v>35</v>
      </c>
      <c r="G111" s="75">
        <v>150000</v>
      </c>
      <c r="H111" s="76" t="s">
        <v>62</v>
      </c>
      <c r="I111" s="73">
        <v>200</v>
      </c>
      <c r="J111" s="77" t="s">
        <v>138</v>
      </c>
      <c r="K111" s="75">
        <f t="shared" si="0"/>
        <v>750</v>
      </c>
      <c r="L111" s="74" t="s">
        <v>122</v>
      </c>
      <c r="M111" s="74" t="str">
        <f t="shared" si="2"/>
        <v>Supplier</v>
      </c>
      <c r="N111" s="74" t="s">
        <v>521</v>
      </c>
      <c r="V111" s="22" t="s">
        <v>608</v>
      </c>
      <c r="W111" s="22" t="s">
        <v>609</v>
      </c>
    </row>
    <row r="112" spans="1:23" ht="13">
      <c r="A112" s="71">
        <f t="shared" si="1"/>
        <v>106</v>
      </c>
      <c r="B112" s="72" t="s">
        <v>610</v>
      </c>
      <c r="C112" s="73" t="s">
        <v>611</v>
      </c>
      <c r="D112" s="74" t="s">
        <v>81</v>
      </c>
      <c r="E112" s="74" t="s">
        <v>46</v>
      </c>
      <c r="F112" s="74" t="s">
        <v>120</v>
      </c>
      <c r="G112" s="75">
        <v>56000</v>
      </c>
      <c r="H112" s="76" t="s">
        <v>62</v>
      </c>
      <c r="I112" s="73">
        <v>50</v>
      </c>
      <c r="J112" s="77" t="s">
        <v>306</v>
      </c>
      <c r="K112" s="75">
        <f t="shared" si="0"/>
        <v>1120</v>
      </c>
      <c r="L112" s="74" t="s">
        <v>369</v>
      </c>
      <c r="M112" s="74" t="str">
        <f t="shared" si="2"/>
        <v>Direct</v>
      </c>
      <c r="N112" s="74" t="s">
        <v>521</v>
      </c>
      <c r="V112" s="22" t="s">
        <v>612</v>
      </c>
      <c r="W112" s="22" t="s">
        <v>613</v>
      </c>
    </row>
    <row r="113" spans="1:23" ht="13">
      <c r="A113" s="71">
        <f t="shared" si="1"/>
        <v>107</v>
      </c>
      <c r="B113" s="72" t="s">
        <v>1983</v>
      </c>
      <c r="C113" s="73" t="s">
        <v>614</v>
      </c>
      <c r="D113" s="74" t="s">
        <v>81</v>
      </c>
      <c r="E113" s="74" t="s">
        <v>32</v>
      </c>
      <c r="F113" s="74" t="s">
        <v>61</v>
      </c>
      <c r="G113" s="75">
        <v>145000</v>
      </c>
      <c r="H113" s="76" t="s">
        <v>97</v>
      </c>
      <c r="I113" s="73">
        <v>750</v>
      </c>
      <c r="J113" s="77" t="s">
        <v>30</v>
      </c>
      <c r="K113" s="75">
        <f t="shared" si="0"/>
        <v>193.33333333333334</v>
      </c>
      <c r="L113" s="74" t="s">
        <v>219</v>
      </c>
      <c r="M113" s="74" t="str">
        <f t="shared" si="2"/>
        <v>Supplier</v>
      </c>
      <c r="N113" s="74" t="s">
        <v>521</v>
      </c>
      <c r="V113" s="22" t="s">
        <v>615</v>
      </c>
      <c r="W113" s="22" t="s">
        <v>616</v>
      </c>
    </row>
    <row r="114" spans="1:23" ht="13">
      <c r="A114" s="71">
        <f t="shared" si="1"/>
        <v>108</v>
      </c>
      <c r="B114" s="72" t="s">
        <v>1984</v>
      </c>
      <c r="C114" s="73" t="s">
        <v>617</v>
      </c>
      <c r="D114" s="74" t="s">
        <v>81</v>
      </c>
      <c r="E114" s="74" t="s">
        <v>46</v>
      </c>
      <c r="F114" s="74" t="s">
        <v>61</v>
      </c>
      <c r="G114" s="75">
        <v>145000</v>
      </c>
      <c r="H114" s="76" t="s">
        <v>97</v>
      </c>
      <c r="I114" s="73">
        <v>750</v>
      </c>
      <c r="J114" s="77" t="s">
        <v>30</v>
      </c>
      <c r="K114" s="75">
        <f t="shared" si="0"/>
        <v>193.33333333333334</v>
      </c>
      <c r="L114" s="74" t="s">
        <v>219</v>
      </c>
      <c r="M114" s="74" t="str">
        <f t="shared" si="2"/>
        <v>Supplier</v>
      </c>
      <c r="N114" s="74" t="s">
        <v>521</v>
      </c>
      <c r="V114" s="22" t="s">
        <v>618</v>
      </c>
      <c r="W114" s="22" t="s">
        <v>619</v>
      </c>
    </row>
    <row r="115" spans="1:23" ht="13">
      <c r="A115" s="71">
        <f t="shared" si="1"/>
        <v>109</v>
      </c>
      <c r="B115" s="72" t="s">
        <v>1985</v>
      </c>
      <c r="C115" s="73" t="s">
        <v>620</v>
      </c>
      <c r="D115" s="74" t="s">
        <v>81</v>
      </c>
      <c r="E115" s="74" t="s">
        <v>46</v>
      </c>
      <c r="F115" s="74" t="s">
        <v>61</v>
      </c>
      <c r="G115" s="75">
        <v>145000</v>
      </c>
      <c r="H115" s="76" t="s">
        <v>97</v>
      </c>
      <c r="I115" s="73">
        <v>750</v>
      </c>
      <c r="J115" s="77" t="s">
        <v>30</v>
      </c>
      <c r="K115" s="75">
        <f t="shared" si="0"/>
        <v>193.33333333333334</v>
      </c>
      <c r="L115" s="74" t="s">
        <v>219</v>
      </c>
      <c r="M115" s="74" t="str">
        <f t="shared" si="2"/>
        <v>Supplier</v>
      </c>
      <c r="N115" s="74" t="s">
        <v>521</v>
      </c>
      <c r="V115" s="22" t="s">
        <v>621</v>
      </c>
      <c r="W115" s="22" t="s">
        <v>622</v>
      </c>
    </row>
    <row r="116" spans="1:23" ht="13">
      <c r="A116" s="71">
        <f t="shared" si="1"/>
        <v>110</v>
      </c>
      <c r="B116" s="72" t="s">
        <v>1981</v>
      </c>
      <c r="C116" s="73" t="s">
        <v>624</v>
      </c>
      <c r="D116" s="74" t="s">
        <v>115</v>
      </c>
      <c r="E116" s="74" t="s">
        <v>155</v>
      </c>
      <c r="F116" s="74" t="s">
        <v>74</v>
      </c>
      <c r="G116" s="75">
        <v>205132</v>
      </c>
      <c r="H116" s="76" t="s">
        <v>143</v>
      </c>
      <c r="I116" s="73">
        <v>12000</v>
      </c>
      <c r="J116" s="77" t="s">
        <v>30</v>
      </c>
      <c r="K116" s="75">
        <f t="shared" si="0"/>
        <v>17.094333333333335</v>
      </c>
      <c r="L116" s="74" t="s">
        <v>37</v>
      </c>
      <c r="M116" s="74" t="str">
        <f t="shared" si="2"/>
        <v>Supplier</v>
      </c>
      <c r="N116" s="74" t="s">
        <v>521</v>
      </c>
      <c r="V116" s="22" t="s">
        <v>625</v>
      </c>
      <c r="W116" s="22" t="s">
        <v>626</v>
      </c>
    </row>
    <row r="117" spans="1:23" ht="13">
      <c r="A117" s="71">
        <f t="shared" si="1"/>
        <v>111</v>
      </c>
      <c r="B117" s="72" t="s">
        <v>627</v>
      </c>
      <c r="C117" s="73" t="s">
        <v>628</v>
      </c>
      <c r="D117" s="74" t="s">
        <v>81</v>
      </c>
      <c r="E117" s="74" t="s">
        <v>46</v>
      </c>
      <c r="F117" s="74" t="s">
        <v>107</v>
      </c>
      <c r="G117" s="75">
        <v>35550</v>
      </c>
      <c r="H117" s="76" t="s">
        <v>36</v>
      </c>
      <c r="I117" s="73">
        <v>1000</v>
      </c>
      <c r="J117" s="77" t="s">
        <v>138</v>
      </c>
      <c r="K117" s="75">
        <f t="shared" si="0"/>
        <v>35.549999999999997</v>
      </c>
      <c r="L117" s="74" t="s">
        <v>297</v>
      </c>
      <c r="M117" s="74" t="str">
        <f t="shared" si="2"/>
        <v>Direct</v>
      </c>
      <c r="N117" s="74" t="s">
        <v>521</v>
      </c>
      <c r="V117" s="22" t="s">
        <v>629</v>
      </c>
      <c r="W117" s="22" t="s">
        <v>630</v>
      </c>
    </row>
    <row r="118" spans="1:23" ht="13">
      <c r="A118" s="71">
        <f t="shared" si="1"/>
        <v>112</v>
      </c>
      <c r="B118" s="72" t="s">
        <v>631</v>
      </c>
      <c r="C118" s="73" t="s">
        <v>632</v>
      </c>
      <c r="D118" s="74" t="s">
        <v>81</v>
      </c>
      <c r="E118" s="74" t="s">
        <v>46</v>
      </c>
      <c r="F118" s="74" t="s">
        <v>107</v>
      </c>
      <c r="G118" s="75">
        <v>18000</v>
      </c>
      <c r="H118" s="76" t="s">
        <v>36</v>
      </c>
      <c r="I118" s="73">
        <v>1000</v>
      </c>
      <c r="J118" s="77" t="s">
        <v>138</v>
      </c>
      <c r="K118" s="75">
        <f t="shared" si="0"/>
        <v>18</v>
      </c>
      <c r="L118" s="74" t="s">
        <v>297</v>
      </c>
      <c r="M118" s="74" t="str">
        <f t="shared" si="2"/>
        <v>Direct</v>
      </c>
      <c r="N118" s="74" t="s">
        <v>521</v>
      </c>
      <c r="V118" s="22" t="s">
        <v>633</v>
      </c>
      <c r="W118" s="22" t="s">
        <v>634</v>
      </c>
    </row>
    <row r="119" spans="1:23" ht="13">
      <c r="A119" s="71">
        <f t="shared" si="1"/>
        <v>113</v>
      </c>
      <c r="B119" s="72" t="s">
        <v>2049</v>
      </c>
      <c r="C119" s="73" t="s">
        <v>636</v>
      </c>
      <c r="D119" s="74" t="s">
        <v>81</v>
      </c>
      <c r="E119" s="74" t="s">
        <v>82</v>
      </c>
      <c r="F119" s="74" t="s">
        <v>74</v>
      </c>
      <c r="G119" s="75">
        <v>12000</v>
      </c>
      <c r="H119" s="76" t="s">
        <v>50</v>
      </c>
      <c r="I119" s="73">
        <v>370</v>
      </c>
      <c r="J119" s="77" t="s">
        <v>138</v>
      </c>
      <c r="K119" s="75">
        <f t="shared" si="0"/>
        <v>32.432432432432435</v>
      </c>
      <c r="L119" s="74" t="s">
        <v>264</v>
      </c>
      <c r="M119" s="74" t="str">
        <f t="shared" si="2"/>
        <v>Distributor</v>
      </c>
      <c r="N119" s="74" t="s">
        <v>521</v>
      </c>
      <c r="V119" s="22" t="s">
        <v>637</v>
      </c>
      <c r="W119" s="22" t="s">
        <v>638</v>
      </c>
    </row>
    <row r="120" spans="1:23" ht="13">
      <c r="A120" s="71">
        <f t="shared" si="1"/>
        <v>114</v>
      </c>
      <c r="B120" s="72" t="s">
        <v>639</v>
      </c>
      <c r="C120" s="73" t="s">
        <v>640</v>
      </c>
      <c r="D120" s="74" t="s">
        <v>28</v>
      </c>
      <c r="E120" s="74" t="s">
        <v>57</v>
      </c>
      <c r="F120" s="74" t="s">
        <v>142</v>
      </c>
      <c r="G120" s="75">
        <v>145000</v>
      </c>
      <c r="H120" s="76" t="s">
        <v>36</v>
      </c>
      <c r="I120" s="73">
        <v>1000</v>
      </c>
      <c r="J120" s="77" t="s">
        <v>138</v>
      </c>
      <c r="K120" s="75">
        <f t="shared" si="0"/>
        <v>145</v>
      </c>
      <c r="L120" s="74" t="s">
        <v>188</v>
      </c>
      <c r="M120" s="74" t="str">
        <f t="shared" si="2"/>
        <v>Supplier</v>
      </c>
      <c r="N120" s="74" t="s">
        <v>521</v>
      </c>
      <c r="V120" s="22" t="s">
        <v>641</v>
      </c>
      <c r="W120" s="22" t="s">
        <v>642</v>
      </c>
    </row>
    <row r="121" spans="1:23" ht="13">
      <c r="A121" s="71">
        <f t="shared" si="1"/>
        <v>115</v>
      </c>
      <c r="B121" s="72" t="s">
        <v>643</v>
      </c>
      <c r="C121" s="73" t="s">
        <v>644</v>
      </c>
      <c r="D121" s="74" t="s">
        <v>28</v>
      </c>
      <c r="E121" s="74" t="s">
        <v>57</v>
      </c>
      <c r="F121" s="74" t="s">
        <v>168</v>
      </c>
      <c r="G121" s="75">
        <v>17000</v>
      </c>
      <c r="H121" s="76" t="s">
        <v>36</v>
      </c>
      <c r="I121" s="73">
        <v>1000</v>
      </c>
      <c r="J121" s="77" t="s">
        <v>138</v>
      </c>
      <c r="K121" s="75">
        <f t="shared" si="0"/>
        <v>17</v>
      </c>
      <c r="L121" s="74" t="s">
        <v>264</v>
      </c>
      <c r="M121" s="74" t="str">
        <f t="shared" si="2"/>
        <v>Distributor</v>
      </c>
      <c r="N121" s="74" t="s">
        <v>521</v>
      </c>
      <c r="V121" s="22" t="s">
        <v>645</v>
      </c>
      <c r="W121" s="22" t="s">
        <v>646</v>
      </c>
    </row>
    <row r="122" spans="1:23" ht="13">
      <c r="A122" s="71">
        <f t="shared" si="1"/>
        <v>116</v>
      </c>
      <c r="B122" s="72" t="s">
        <v>647</v>
      </c>
      <c r="C122" s="73" t="s">
        <v>648</v>
      </c>
      <c r="D122" s="74" t="s">
        <v>81</v>
      </c>
      <c r="E122" s="74" t="s">
        <v>82</v>
      </c>
      <c r="F122" s="74" t="s">
        <v>120</v>
      </c>
      <c r="G122" s="75">
        <v>65000</v>
      </c>
      <c r="H122" s="76" t="s">
        <v>75</v>
      </c>
      <c r="I122" s="73">
        <v>250</v>
      </c>
      <c r="J122" s="77" t="s">
        <v>306</v>
      </c>
      <c r="K122" s="75">
        <f t="shared" si="0"/>
        <v>260</v>
      </c>
      <c r="L122" s="74" t="s">
        <v>355</v>
      </c>
      <c r="M122" s="74" t="str">
        <f t="shared" si="2"/>
        <v>Direct</v>
      </c>
      <c r="N122" s="74" t="s">
        <v>521</v>
      </c>
      <c r="V122" s="22" t="s">
        <v>649</v>
      </c>
      <c r="W122" s="22" t="s">
        <v>650</v>
      </c>
    </row>
    <row r="123" spans="1:23" ht="13">
      <c r="A123" s="71">
        <f t="shared" si="1"/>
        <v>117</v>
      </c>
      <c r="B123" s="72" t="s">
        <v>651</v>
      </c>
      <c r="C123" s="73" t="s">
        <v>652</v>
      </c>
      <c r="D123" s="74" t="s">
        <v>28</v>
      </c>
      <c r="E123" s="74" t="s">
        <v>57</v>
      </c>
      <c r="F123" s="74" t="s">
        <v>151</v>
      </c>
      <c r="G123" s="75">
        <v>18000</v>
      </c>
      <c r="H123" s="76" t="s">
        <v>36</v>
      </c>
      <c r="I123" s="73">
        <v>1000</v>
      </c>
      <c r="J123" s="77" t="s">
        <v>138</v>
      </c>
      <c r="K123" s="75">
        <f t="shared" si="0"/>
        <v>18</v>
      </c>
      <c r="L123" s="74" t="s">
        <v>169</v>
      </c>
      <c r="M123" s="74" t="str">
        <f t="shared" si="2"/>
        <v>Distributor</v>
      </c>
      <c r="N123" s="74" t="s">
        <v>521</v>
      </c>
      <c r="V123" s="22" t="s">
        <v>653</v>
      </c>
      <c r="W123" s="22" t="s">
        <v>654</v>
      </c>
    </row>
    <row r="124" spans="1:23" ht="13">
      <c r="A124" s="71">
        <f t="shared" si="1"/>
        <v>118</v>
      </c>
      <c r="B124" s="72" t="s">
        <v>655</v>
      </c>
      <c r="C124" s="73" t="s">
        <v>656</v>
      </c>
      <c r="D124" s="74" t="s">
        <v>28</v>
      </c>
      <c r="E124" s="74" t="s">
        <v>57</v>
      </c>
      <c r="F124" s="74" t="s">
        <v>142</v>
      </c>
      <c r="G124" s="75">
        <v>50000</v>
      </c>
      <c r="H124" s="76" t="s">
        <v>36</v>
      </c>
      <c r="I124" s="73">
        <v>1000</v>
      </c>
      <c r="J124" s="77" t="s">
        <v>138</v>
      </c>
      <c r="K124" s="75">
        <f t="shared" si="0"/>
        <v>50</v>
      </c>
      <c r="L124" s="74" t="s">
        <v>373</v>
      </c>
      <c r="M124" s="74" t="str">
        <f t="shared" si="2"/>
        <v>Direct</v>
      </c>
      <c r="N124" s="74" t="s">
        <v>521</v>
      </c>
      <c r="V124" s="22" t="s">
        <v>657</v>
      </c>
      <c r="W124" s="22" t="s">
        <v>658</v>
      </c>
    </row>
    <row r="125" spans="1:23" ht="13">
      <c r="A125" s="71">
        <f t="shared" si="1"/>
        <v>119</v>
      </c>
      <c r="B125" s="72" t="s">
        <v>659</v>
      </c>
      <c r="C125" s="73" t="s">
        <v>660</v>
      </c>
      <c r="D125" s="74" t="s">
        <v>28</v>
      </c>
      <c r="E125" s="74" t="s">
        <v>57</v>
      </c>
      <c r="F125" s="74" t="s">
        <v>168</v>
      </c>
      <c r="G125" s="75">
        <v>28000</v>
      </c>
      <c r="H125" s="76" t="s">
        <v>36</v>
      </c>
      <c r="I125" s="73">
        <v>15</v>
      </c>
      <c r="J125" s="77" t="s">
        <v>306</v>
      </c>
      <c r="K125" s="75">
        <f t="shared" si="0"/>
        <v>1866.6666666666667</v>
      </c>
      <c r="L125" s="74" t="s">
        <v>179</v>
      </c>
      <c r="M125" s="74" t="str">
        <f t="shared" si="2"/>
        <v>Distributor</v>
      </c>
      <c r="N125" s="74" t="s">
        <v>521</v>
      </c>
      <c r="V125" s="22" t="s">
        <v>661</v>
      </c>
      <c r="W125" s="22" t="s">
        <v>662</v>
      </c>
    </row>
    <row r="126" spans="1:23" ht="13">
      <c r="A126" s="71">
        <f t="shared" si="1"/>
        <v>120</v>
      </c>
      <c r="B126" s="72" t="s">
        <v>663</v>
      </c>
      <c r="C126" s="73" t="s">
        <v>664</v>
      </c>
      <c r="D126" s="74" t="s">
        <v>28</v>
      </c>
      <c r="E126" s="74" t="s">
        <v>57</v>
      </c>
      <c r="F126" s="74" t="s">
        <v>142</v>
      </c>
      <c r="G126" s="75">
        <v>45000</v>
      </c>
      <c r="H126" s="76" t="s">
        <v>36</v>
      </c>
      <c r="I126" s="73">
        <v>1000</v>
      </c>
      <c r="J126" s="77" t="s">
        <v>138</v>
      </c>
      <c r="K126" s="75">
        <f t="shared" si="0"/>
        <v>45</v>
      </c>
      <c r="L126" s="74" t="s">
        <v>373</v>
      </c>
      <c r="M126" s="74" t="str">
        <f t="shared" si="2"/>
        <v>Direct</v>
      </c>
      <c r="N126" s="74" t="s">
        <v>521</v>
      </c>
      <c r="V126" s="22" t="s">
        <v>665</v>
      </c>
      <c r="W126" s="22" t="s">
        <v>666</v>
      </c>
    </row>
    <row r="127" spans="1:23" ht="13">
      <c r="A127" s="71">
        <f t="shared" si="1"/>
        <v>121</v>
      </c>
      <c r="B127" s="72" t="s">
        <v>667</v>
      </c>
      <c r="C127" s="73" t="s">
        <v>668</v>
      </c>
      <c r="D127" s="74" t="s">
        <v>28</v>
      </c>
      <c r="E127" s="74" t="s">
        <v>57</v>
      </c>
      <c r="F127" s="74" t="s">
        <v>151</v>
      </c>
      <c r="G127" s="75">
        <v>161600</v>
      </c>
      <c r="H127" s="76" t="s">
        <v>36</v>
      </c>
      <c r="I127" s="73">
        <v>1000</v>
      </c>
      <c r="J127" s="77" t="s">
        <v>138</v>
      </c>
      <c r="K127" s="75">
        <f t="shared" si="0"/>
        <v>161.6</v>
      </c>
      <c r="L127" s="74" t="s">
        <v>169</v>
      </c>
      <c r="M127" s="74" t="str">
        <f t="shared" si="2"/>
        <v>Distributor</v>
      </c>
      <c r="N127" s="74" t="s">
        <v>521</v>
      </c>
      <c r="V127" s="22" t="s">
        <v>669</v>
      </c>
      <c r="W127" s="22" t="s">
        <v>670</v>
      </c>
    </row>
    <row r="128" spans="1:23" ht="13">
      <c r="A128" s="71">
        <f t="shared" si="1"/>
        <v>122</v>
      </c>
      <c r="B128" s="72" t="s">
        <v>671</v>
      </c>
      <c r="C128" s="73" t="s">
        <v>672</v>
      </c>
      <c r="D128" s="74" t="s">
        <v>28</v>
      </c>
      <c r="E128" s="74" t="s">
        <v>57</v>
      </c>
      <c r="F128" s="74" t="s">
        <v>151</v>
      </c>
      <c r="G128" s="75">
        <v>50000</v>
      </c>
      <c r="H128" s="76" t="s">
        <v>36</v>
      </c>
      <c r="I128" s="73">
        <v>1000</v>
      </c>
      <c r="J128" s="77" t="s">
        <v>138</v>
      </c>
      <c r="K128" s="75">
        <f t="shared" si="0"/>
        <v>50</v>
      </c>
      <c r="L128" s="74" t="s">
        <v>169</v>
      </c>
      <c r="M128" s="74" t="str">
        <f t="shared" si="2"/>
        <v>Distributor</v>
      </c>
      <c r="N128" s="74" t="s">
        <v>521</v>
      </c>
      <c r="V128" s="22" t="s">
        <v>673</v>
      </c>
      <c r="W128" s="22" t="s">
        <v>674</v>
      </c>
    </row>
    <row r="129" spans="1:23" ht="13">
      <c r="A129" s="71">
        <f t="shared" si="1"/>
        <v>123</v>
      </c>
      <c r="B129" s="72" t="s">
        <v>675</v>
      </c>
      <c r="C129" s="73" t="s">
        <v>676</v>
      </c>
      <c r="D129" s="74" t="s">
        <v>28</v>
      </c>
      <c r="E129" s="74" t="s">
        <v>57</v>
      </c>
      <c r="F129" s="74" t="s">
        <v>168</v>
      </c>
      <c r="G129" s="75">
        <v>13500</v>
      </c>
      <c r="H129" s="76" t="s">
        <v>62</v>
      </c>
      <c r="I129" s="73">
        <v>20</v>
      </c>
      <c r="J129" s="77" t="s">
        <v>677</v>
      </c>
      <c r="K129" s="75">
        <f t="shared" si="0"/>
        <v>675</v>
      </c>
      <c r="L129" s="74" t="s">
        <v>321</v>
      </c>
      <c r="M129" s="74" t="str">
        <f t="shared" si="2"/>
        <v>Direct</v>
      </c>
      <c r="N129" s="74" t="s">
        <v>521</v>
      </c>
      <c r="V129" s="22" t="s">
        <v>678</v>
      </c>
      <c r="W129" s="22" t="s">
        <v>679</v>
      </c>
    </row>
    <row r="130" spans="1:23" ht="13">
      <c r="A130" s="71">
        <f t="shared" si="1"/>
        <v>124</v>
      </c>
      <c r="B130" s="72" t="s">
        <v>2047</v>
      </c>
      <c r="C130" s="73" t="s">
        <v>681</v>
      </c>
      <c r="D130" s="74" t="s">
        <v>115</v>
      </c>
      <c r="E130" s="74" t="s">
        <v>155</v>
      </c>
      <c r="F130" s="74" t="s">
        <v>61</v>
      </c>
      <c r="G130" s="75">
        <v>35000</v>
      </c>
      <c r="H130" s="76" t="s">
        <v>97</v>
      </c>
      <c r="I130" s="73">
        <v>330</v>
      </c>
      <c r="J130" s="77" t="s">
        <v>30</v>
      </c>
      <c r="K130" s="75">
        <f t="shared" si="0"/>
        <v>106.06060606060606</v>
      </c>
      <c r="L130" s="74" t="s">
        <v>264</v>
      </c>
      <c r="M130" s="74" t="str">
        <f t="shared" si="2"/>
        <v>Distributor</v>
      </c>
      <c r="N130" s="74" t="s">
        <v>521</v>
      </c>
      <c r="V130" s="22" t="s">
        <v>682</v>
      </c>
      <c r="W130" s="22" t="s">
        <v>683</v>
      </c>
    </row>
    <row r="131" spans="1:23" ht="13">
      <c r="A131" s="71">
        <f t="shared" si="1"/>
        <v>125</v>
      </c>
      <c r="B131" s="72" t="s">
        <v>2048</v>
      </c>
      <c r="C131" s="73" t="s">
        <v>685</v>
      </c>
      <c r="D131" s="74" t="s">
        <v>81</v>
      </c>
      <c r="E131" s="74" t="s">
        <v>82</v>
      </c>
      <c r="F131" s="74" t="s">
        <v>61</v>
      </c>
      <c r="G131" s="75">
        <v>35000</v>
      </c>
      <c r="H131" s="76" t="s">
        <v>97</v>
      </c>
      <c r="I131" s="73">
        <v>330</v>
      </c>
      <c r="J131" s="77" t="s">
        <v>30</v>
      </c>
      <c r="K131" s="75">
        <f t="shared" si="0"/>
        <v>106.06060606060606</v>
      </c>
      <c r="L131" s="74" t="s">
        <v>264</v>
      </c>
      <c r="M131" s="74" t="str">
        <f t="shared" si="2"/>
        <v>Distributor</v>
      </c>
      <c r="N131" s="74" t="s">
        <v>521</v>
      </c>
      <c r="V131" s="22" t="s">
        <v>686</v>
      </c>
      <c r="W131" s="22" t="s">
        <v>687</v>
      </c>
    </row>
    <row r="132" spans="1:23" ht="13">
      <c r="A132" s="71">
        <f t="shared" si="1"/>
        <v>126</v>
      </c>
      <c r="B132" s="72" t="s">
        <v>2046</v>
      </c>
      <c r="C132" s="73" t="s">
        <v>689</v>
      </c>
      <c r="D132" s="74" t="s">
        <v>28</v>
      </c>
      <c r="E132" s="74" t="s">
        <v>57</v>
      </c>
      <c r="F132" s="74" t="s">
        <v>168</v>
      </c>
      <c r="G132" s="75">
        <v>66000</v>
      </c>
      <c r="H132" s="76" t="s">
        <v>62</v>
      </c>
      <c r="I132" s="73">
        <v>1000</v>
      </c>
      <c r="J132" s="77" t="s">
        <v>30</v>
      </c>
      <c r="K132" s="75">
        <f t="shared" si="0"/>
        <v>66</v>
      </c>
      <c r="L132" s="74" t="s">
        <v>264</v>
      </c>
      <c r="M132" s="74" t="str">
        <f t="shared" si="2"/>
        <v>Distributor</v>
      </c>
      <c r="N132" s="74" t="s">
        <v>521</v>
      </c>
      <c r="V132" s="22" t="s">
        <v>690</v>
      </c>
      <c r="W132" s="22" t="s">
        <v>691</v>
      </c>
    </row>
    <row r="133" spans="1:23" ht="13">
      <c r="A133" s="71">
        <f t="shared" si="1"/>
        <v>127</v>
      </c>
      <c r="B133" s="72" t="s">
        <v>2019</v>
      </c>
      <c r="C133" s="73" t="s">
        <v>693</v>
      </c>
      <c r="D133" s="74" t="s">
        <v>28</v>
      </c>
      <c r="E133" s="74" t="s">
        <v>57</v>
      </c>
      <c r="F133" s="74" t="s">
        <v>168</v>
      </c>
      <c r="G133" s="75">
        <v>56000</v>
      </c>
      <c r="H133" s="76" t="s">
        <v>62</v>
      </c>
      <c r="I133" s="73">
        <v>1000</v>
      </c>
      <c r="J133" s="77" t="s">
        <v>138</v>
      </c>
      <c r="K133" s="75">
        <f t="shared" si="0"/>
        <v>56</v>
      </c>
      <c r="L133" s="74" t="s">
        <v>264</v>
      </c>
      <c r="M133" s="74" t="str">
        <f t="shared" si="2"/>
        <v>Distributor</v>
      </c>
      <c r="N133" s="74" t="s">
        <v>521</v>
      </c>
      <c r="V133" s="22" t="s">
        <v>694</v>
      </c>
      <c r="W133" s="22" t="s">
        <v>695</v>
      </c>
    </row>
    <row r="134" spans="1:23" ht="13">
      <c r="A134" s="71">
        <f t="shared" si="1"/>
        <v>128</v>
      </c>
      <c r="B134" s="72" t="s">
        <v>2045</v>
      </c>
      <c r="C134" s="73" t="s">
        <v>697</v>
      </c>
      <c r="D134" s="74" t="s">
        <v>28</v>
      </c>
      <c r="E134" s="74" t="s">
        <v>57</v>
      </c>
      <c r="F134" s="74" t="s">
        <v>168</v>
      </c>
      <c r="G134" s="75">
        <v>14250</v>
      </c>
      <c r="H134" s="76" t="s">
        <v>62</v>
      </c>
      <c r="I134" s="73">
        <v>1000</v>
      </c>
      <c r="J134" s="77" t="s">
        <v>138</v>
      </c>
      <c r="K134" s="75">
        <f t="shared" si="0"/>
        <v>14.25</v>
      </c>
      <c r="L134" s="74" t="s">
        <v>264</v>
      </c>
      <c r="M134" s="74" t="str">
        <f t="shared" si="2"/>
        <v>Distributor</v>
      </c>
      <c r="N134" s="74" t="s">
        <v>521</v>
      </c>
      <c r="V134" s="22" t="s">
        <v>698</v>
      </c>
      <c r="W134" s="22" t="s">
        <v>699</v>
      </c>
    </row>
    <row r="135" spans="1:23" ht="13">
      <c r="A135" s="71">
        <f t="shared" si="1"/>
        <v>129</v>
      </c>
      <c r="B135" s="78" t="s">
        <v>700</v>
      </c>
      <c r="C135" s="73" t="s">
        <v>701</v>
      </c>
      <c r="D135" s="74" t="s">
        <v>28</v>
      </c>
      <c r="E135" s="74" t="s">
        <v>57</v>
      </c>
      <c r="F135" s="74" t="s">
        <v>168</v>
      </c>
      <c r="G135" s="75">
        <v>19000</v>
      </c>
      <c r="H135" s="76" t="s">
        <v>62</v>
      </c>
      <c r="I135" s="73">
        <v>10</v>
      </c>
      <c r="J135" s="77" t="s">
        <v>306</v>
      </c>
      <c r="K135" s="75">
        <f t="shared" si="0"/>
        <v>1900</v>
      </c>
      <c r="L135" s="74" t="s">
        <v>321</v>
      </c>
      <c r="M135" s="74" t="str">
        <f t="shared" si="2"/>
        <v>Direct</v>
      </c>
      <c r="N135" s="74" t="s">
        <v>521</v>
      </c>
      <c r="V135" s="22" t="s">
        <v>702</v>
      </c>
      <c r="W135" s="22" t="s">
        <v>703</v>
      </c>
    </row>
    <row r="136" spans="1:23" ht="13">
      <c r="A136" s="71">
        <f t="shared" si="1"/>
        <v>130</v>
      </c>
      <c r="B136" s="72" t="s">
        <v>1987</v>
      </c>
      <c r="C136" s="73" t="s">
        <v>705</v>
      </c>
      <c r="D136" s="74" t="s">
        <v>81</v>
      </c>
      <c r="E136" s="74" t="s">
        <v>82</v>
      </c>
      <c r="F136" s="74" t="s">
        <v>74</v>
      </c>
      <c r="G136" s="75">
        <v>210000</v>
      </c>
      <c r="H136" s="76" t="s">
        <v>143</v>
      </c>
      <c r="I136" s="73">
        <f>950*12</f>
        <v>11400</v>
      </c>
      <c r="J136" s="77" t="s">
        <v>30</v>
      </c>
      <c r="K136" s="75">
        <f t="shared" si="0"/>
        <v>18.421052631578949</v>
      </c>
      <c r="L136" s="74" t="s">
        <v>37</v>
      </c>
      <c r="M136" s="74" t="str">
        <f t="shared" si="2"/>
        <v>Supplier</v>
      </c>
      <c r="N136" s="74" t="s">
        <v>521</v>
      </c>
      <c r="V136" s="22" t="s">
        <v>706</v>
      </c>
      <c r="W136" s="22" t="s">
        <v>707</v>
      </c>
    </row>
    <row r="137" spans="1:23" ht="13">
      <c r="A137" s="71">
        <f t="shared" si="1"/>
        <v>131</v>
      </c>
      <c r="B137" s="72" t="s">
        <v>1988</v>
      </c>
      <c r="C137" s="73" t="s">
        <v>709</v>
      </c>
      <c r="D137" s="74" t="s">
        <v>28</v>
      </c>
      <c r="E137" s="74" t="s">
        <v>57</v>
      </c>
      <c r="F137" s="74" t="s">
        <v>168</v>
      </c>
      <c r="G137" s="75">
        <v>292000</v>
      </c>
      <c r="H137" s="76" t="s">
        <v>143</v>
      </c>
      <c r="I137" s="73">
        <v>18000</v>
      </c>
      <c r="J137" s="77" t="s">
        <v>30</v>
      </c>
      <c r="K137" s="75">
        <f t="shared" si="0"/>
        <v>16.222222222222221</v>
      </c>
      <c r="L137" s="74" t="s">
        <v>264</v>
      </c>
      <c r="M137" s="74" t="str">
        <f t="shared" si="2"/>
        <v>Distributor</v>
      </c>
      <c r="N137" s="74" t="s">
        <v>521</v>
      </c>
      <c r="V137" s="22" t="s">
        <v>710</v>
      </c>
      <c r="W137" s="22" t="s">
        <v>711</v>
      </c>
    </row>
    <row r="138" spans="1:23" ht="13">
      <c r="A138" s="71">
        <f t="shared" si="1"/>
        <v>132</v>
      </c>
      <c r="B138" s="72" t="s">
        <v>712</v>
      </c>
      <c r="C138" s="73" t="s">
        <v>713</v>
      </c>
      <c r="D138" s="74" t="s">
        <v>28</v>
      </c>
      <c r="E138" s="74" t="s">
        <v>57</v>
      </c>
      <c r="F138" s="74" t="s">
        <v>151</v>
      </c>
      <c r="G138" s="75">
        <v>40000</v>
      </c>
      <c r="H138" s="76" t="s">
        <v>36</v>
      </c>
      <c r="I138" s="73">
        <v>1000</v>
      </c>
      <c r="J138" s="77" t="s">
        <v>138</v>
      </c>
      <c r="K138" s="75">
        <f t="shared" si="0"/>
        <v>40</v>
      </c>
      <c r="L138" s="74" t="s">
        <v>169</v>
      </c>
      <c r="M138" s="74" t="str">
        <f t="shared" si="2"/>
        <v>Distributor</v>
      </c>
      <c r="N138" s="74" t="s">
        <v>521</v>
      </c>
      <c r="V138" s="22" t="s">
        <v>714</v>
      </c>
      <c r="W138" s="22" t="s">
        <v>715</v>
      </c>
    </row>
    <row r="139" spans="1:23" ht="13">
      <c r="A139" s="71">
        <f t="shared" si="1"/>
        <v>133</v>
      </c>
      <c r="B139" s="72" t="s">
        <v>716</v>
      </c>
      <c r="C139" s="73" t="s">
        <v>717</v>
      </c>
      <c r="D139" s="74" t="s">
        <v>28</v>
      </c>
      <c r="E139" s="74" t="s">
        <v>57</v>
      </c>
      <c r="F139" s="74" t="s">
        <v>151</v>
      </c>
      <c r="G139" s="75">
        <v>45000</v>
      </c>
      <c r="H139" s="76" t="s">
        <v>36</v>
      </c>
      <c r="I139" s="73">
        <v>1000</v>
      </c>
      <c r="J139" s="77" t="s">
        <v>138</v>
      </c>
      <c r="K139" s="75">
        <f t="shared" si="0"/>
        <v>45</v>
      </c>
      <c r="L139" s="74" t="s">
        <v>169</v>
      </c>
      <c r="M139" s="74" t="str">
        <f t="shared" si="2"/>
        <v>Distributor</v>
      </c>
      <c r="N139" s="74" t="s">
        <v>521</v>
      </c>
      <c r="V139" s="22" t="s">
        <v>718</v>
      </c>
      <c r="W139" s="22" t="s">
        <v>719</v>
      </c>
    </row>
    <row r="140" spans="1:23" ht="13">
      <c r="A140" s="71">
        <f t="shared" si="1"/>
        <v>134</v>
      </c>
      <c r="B140" s="72" t="s">
        <v>720</v>
      </c>
      <c r="C140" s="73" t="s">
        <v>721</v>
      </c>
      <c r="D140" s="74" t="s">
        <v>28</v>
      </c>
      <c r="E140" s="74" t="s">
        <v>57</v>
      </c>
      <c r="F140" s="74" t="s">
        <v>151</v>
      </c>
      <c r="G140" s="75">
        <v>28000</v>
      </c>
      <c r="H140" s="76" t="s">
        <v>62</v>
      </c>
      <c r="I140" s="73">
        <v>100</v>
      </c>
      <c r="J140" s="77" t="s">
        <v>138</v>
      </c>
      <c r="K140" s="75">
        <f t="shared" si="0"/>
        <v>280</v>
      </c>
      <c r="L140" s="74" t="s">
        <v>264</v>
      </c>
      <c r="M140" s="74" t="str">
        <f t="shared" si="2"/>
        <v>Distributor</v>
      </c>
      <c r="N140" s="74" t="s">
        <v>521</v>
      </c>
      <c r="V140" s="22" t="s">
        <v>722</v>
      </c>
      <c r="W140" s="22" t="s">
        <v>723</v>
      </c>
    </row>
    <row r="141" spans="1:23" ht="13">
      <c r="A141" s="71">
        <f t="shared" si="1"/>
        <v>135</v>
      </c>
      <c r="B141" s="72" t="s">
        <v>1989</v>
      </c>
      <c r="C141" s="73" t="s">
        <v>725</v>
      </c>
      <c r="D141" s="74" t="s">
        <v>28</v>
      </c>
      <c r="E141" s="74" t="s">
        <v>57</v>
      </c>
      <c r="F141" s="74" t="s">
        <v>168</v>
      </c>
      <c r="G141" s="75">
        <v>39000</v>
      </c>
      <c r="H141" s="76" t="s">
        <v>62</v>
      </c>
      <c r="I141" s="73">
        <v>1000</v>
      </c>
      <c r="J141" s="77" t="s">
        <v>138</v>
      </c>
      <c r="K141" s="75">
        <f t="shared" si="0"/>
        <v>39</v>
      </c>
      <c r="L141" s="74" t="s">
        <v>355</v>
      </c>
      <c r="M141" s="74" t="str">
        <f t="shared" si="2"/>
        <v>Direct</v>
      </c>
      <c r="N141" s="74" t="s">
        <v>521</v>
      </c>
      <c r="V141" s="13" t="s">
        <v>726</v>
      </c>
      <c r="W141" s="22" t="s">
        <v>727</v>
      </c>
    </row>
    <row r="142" spans="1:23" ht="13">
      <c r="A142" s="71">
        <f t="shared" si="1"/>
        <v>136</v>
      </c>
      <c r="B142" s="72" t="s">
        <v>2044</v>
      </c>
      <c r="C142" s="73" t="s">
        <v>729</v>
      </c>
      <c r="D142" s="74" t="s">
        <v>28</v>
      </c>
      <c r="E142" s="74" t="s">
        <v>57</v>
      </c>
      <c r="F142" s="74" t="s">
        <v>168</v>
      </c>
      <c r="G142" s="75">
        <v>27500</v>
      </c>
      <c r="H142" s="76" t="s">
        <v>62</v>
      </c>
      <c r="I142" s="73">
        <v>1000</v>
      </c>
      <c r="J142" s="77" t="s">
        <v>138</v>
      </c>
      <c r="K142" s="75">
        <f t="shared" si="0"/>
        <v>27.5</v>
      </c>
      <c r="L142" s="74" t="s">
        <v>264</v>
      </c>
      <c r="M142" s="74" t="str">
        <f t="shared" si="2"/>
        <v>Distributor</v>
      </c>
      <c r="N142" s="74" t="s">
        <v>521</v>
      </c>
      <c r="V142" s="13" t="s">
        <v>730</v>
      </c>
      <c r="W142" s="22" t="s">
        <v>731</v>
      </c>
    </row>
    <row r="143" spans="1:23" ht="13">
      <c r="A143" s="71">
        <f t="shared" si="1"/>
        <v>137</v>
      </c>
      <c r="B143" s="72" t="s">
        <v>732</v>
      </c>
      <c r="C143" s="73" t="s">
        <v>733</v>
      </c>
      <c r="D143" s="74" t="s">
        <v>28</v>
      </c>
      <c r="E143" s="74" t="s">
        <v>57</v>
      </c>
      <c r="F143" s="74" t="s">
        <v>151</v>
      </c>
      <c r="G143" s="75">
        <v>40000</v>
      </c>
      <c r="H143" s="76" t="s">
        <v>36</v>
      </c>
      <c r="I143" s="73">
        <v>1000</v>
      </c>
      <c r="J143" s="77" t="s">
        <v>138</v>
      </c>
      <c r="K143" s="75">
        <f t="shared" si="0"/>
        <v>40</v>
      </c>
      <c r="L143" s="74" t="s">
        <v>169</v>
      </c>
      <c r="M143" s="74" t="str">
        <f t="shared" si="2"/>
        <v>Distributor</v>
      </c>
      <c r="N143" s="74" t="s">
        <v>521</v>
      </c>
      <c r="V143" s="22" t="s">
        <v>162</v>
      </c>
      <c r="W143" s="22" t="s">
        <v>734</v>
      </c>
    </row>
    <row r="144" spans="1:23" ht="13">
      <c r="A144" s="71">
        <f t="shared" si="1"/>
        <v>138</v>
      </c>
      <c r="B144" s="72" t="s">
        <v>735</v>
      </c>
      <c r="C144" s="73" t="s">
        <v>736</v>
      </c>
      <c r="D144" s="74" t="s">
        <v>28</v>
      </c>
      <c r="E144" s="74" t="s">
        <v>57</v>
      </c>
      <c r="F144" s="74" t="s">
        <v>168</v>
      </c>
      <c r="G144" s="75">
        <v>52500</v>
      </c>
      <c r="H144" s="76" t="s">
        <v>97</v>
      </c>
      <c r="I144" s="73">
        <v>700</v>
      </c>
      <c r="J144" s="77" t="s">
        <v>138</v>
      </c>
      <c r="K144" s="75">
        <f t="shared" si="0"/>
        <v>75</v>
      </c>
      <c r="L144" s="74" t="s">
        <v>355</v>
      </c>
      <c r="M144" s="74" t="str">
        <f t="shared" si="2"/>
        <v>Direct</v>
      </c>
      <c r="N144" s="74" t="s">
        <v>521</v>
      </c>
      <c r="V144" s="22" t="s">
        <v>737</v>
      </c>
      <c r="W144" s="22" t="s">
        <v>738</v>
      </c>
    </row>
    <row r="145" spans="1:23" ht="13">
      <c r="A145" s="71">
        <f t="shared" si="1"/>
        <v>139</v>
      </c>
      <c r="B145" s="72" t="s">
        <v>739</v>
      </c>
      <c r="C145" s="73" t="s">
        <v>740</v>
      </c>
      <c r="D145" s="74" t="s">
        <v>81</v>
      </c>
      <c r="E145" s="74" t="s">
        <v>32</v>
      </c>
      <c r="F145" s="74" t="s">
        <v>120</v>
      </c>
      <c r="G145" s="75">
        <v>120000</v>
      </c>
      <c r="H145" s="76" t="s">
        <v>62</v>
      </c>
      <c r="I145" s="73">
        <v>100</v>
      </c>
      <c r="J145" s="77" t="s">
        <v>741</v>
      </c>
      <c r="K145" s="75">
        <f t="shared" si="0"/>
        <v>1200</v>
      </c>
      <c r="L145" s="74" t="s">
        <v>279</v>
      </c>
      <c r="M145" s="74" t="str">
        <f t="shared" si="2"/>
        <v>Distributor</v>
      </c>
      <c r="N145" s="74" t="s">
        <v>521</v>
      </c>
      <c r="V145" s="22" t="s">
        <v>742</v>
      </c>
      <c r="W145" s="22" t="s">
        <v>743</v>
      </c>
    </row>
    <row r="146" spans="1:23" ht="13">
      <c r="A146" s="71">
        <f t="shared" si="1"/>
        <v>140</v>
      </c>
      <c r="B146" s="72" t="s">
        <v>744</v>
      </c>
      <c r="C146" s="73" t="s">
        <v>745</v>
      </c>
      <c r="D146" s="74" t="s">
        <v>28</v>
      </c>
      <c r="E146" s="74" t="s">
        <v>57</v>
      </c>
      <c r="F146" s="74" t="s">
        <v>151</v>
      </c>
      <c r="G146" s="75">
        <v>58600</v>
      </c>
      <c r="H146" s="76" t="s">
        <v>36</v>
      </c>
      <c r="I146" s="73">
        <v>1000</v>
      </c>
      <c r="J146" s="77" t="s">
        <v>138</v>
      </c>
      <c r="K146" s="75">
        <f t="shared" si="0"/>
        <v>58.6</v>
      </c>
      <c r="L146" s="74" t="s">
        <v>169</v>
      </c>
      <c r="M146" s="74" t="str">
        <f t="shared" si="2"/>
        <v>Distributor</v>
      </c>
      <c r="N146" s="74" t="s">
        <v>521</v>
      </c>
      <c r="V146" s="22" t="s">
        <v>746</v>
      </c>
      <c r="W146" s="22" t="s">
        <v>747</v>
      </c>
    </row>
    <row r="147" spans="1:23" ht="13">
      <c r="A147" s="71">
        <f t="shared" si="1"/>
        <v>141</v>
      </c>
      <c r="B147" s="72" t="s">
        <v>1990</v>
      </c>
      <c r="C147" s="73" t="s">
        <v>749</v>
      </c>
      <c r="D147" s="74" t="s">
        <v>28</v>
      </c>
      <c r="E147" s="74" t="s">
        <v>57</v>
      </c>
      <c r="F147" s="74" t="s">
        <v>168</v>
      </c>
      <c r="G147" s="75">
        <v>27500</v>
      </c>
      <c r="H147" s="76" t="s">
        <v>62</v>
      </c>
      <c r="I147" s="73">
        <v>1000</v>
      </c>
      <c r="J147" s="77" t="s">
        <v>138</v>
      </c>
      <c r="K147" s="75">
        <f t="shared" si="0"/>
        <v>27.5</v>
      </c>
      <c r="L147" s="74" t="s">
        <v>264</v>
      </c>
      <c r="M147" s="74" t="str">
        <f t="shared" si="2"/>
        <v>Distributor</v>
      </c>
      <c r="N147" s="74" t="s">
        <v>521</v>
      </c>
      <c r="V147" s="22" t="s">
        <v>750</v>
      </c>
      <c r="W147" s="22" t="s">
        <v>751</v>
      </c>
    </row>
    <row r="148" spans="1:23" ht="13">
      <c r="A148" s="71">
        <f t="shared" si="1"/>
        <v>142</v>
      </c>
      <c r="B148" s="72" t="s">
        <v>2043</v>
      </c>
      <c r="C148" s="73" t="s">
        <v>753</v>
      </c>
      <c r="D148" s="74" t="s">
        <v>28</v>
      </c>
      <c r="E148" s="74" t="s">
        <v>57</v>
      </c>
      <c r="F148" s="74" t="s">
        <v>168</v>
      </c>
      <c r="G148" s="75">
        <v>38500</v>
      </c>
      <c r="H148" s="76" t="s">
        <v>62</v>
      </c>
      <c r="I148" s="73">
        <v>1000</v>
      </c>
      <c r="J148" s="77" t="s">
        <v>138</v>
      </c>
      <c r="K148" s="75">
        <f t="shared" si="0"/>
        <v>38.5</v>
      </c>
      <c r="L148" s="74" t="s">
        <v>264</v>
      </c>
      <c r="M148" s="74" t="str">
        <f t="shared" si="2"/>
        <v>Distributor</v>
      </c>
      <c r="N148" s="74" t="s">
        <v>521</v>
      </c>
      <c r="V148" s="22" t="s">
        <v>754</v>
      </c>
      <c r="W148" s="22" t="s">
        <v>755</v>
      </c>
    </row>
    <row r="149" spans="1:23" ht="13">
      <c r="A149" s="71">
        <f t="shared" si="1"/>
        <v>143</v>
      </c>
      <c r="B149" s="72" t="s">
        <v>756</v>
      </c>
      <c r="C149" s="73" t="s">
        <v>757</v>
      </c>
      <c r="D149" s="74" t="s">
        <v>28</v>
      </c>
      <c r="E149" s="74" t="s">
        <v>57</v>
      </c>
      <c r="F149" s="74" t="s">
        <v>168</v>
      </c>
      <c r="G149" s="75">
        <v>35900</v>
      </c>
      <c r="H149" s="76" t="s">
        <v>62</v>
      </c>
      <c r="I149" s="73">
        <v>700</v>
      </c>
      <c r="J149" s="77" t="s">
        <v>138</v>
      </c>
      <c r="K149" s="75">
        <f t="shared" si="0"/>
        <v>51.285714285714285</v>
      </c>
      <c r="L149" s="74" t="s">
        <v>321</v>
      </c>
      <c r="M149" s="74" t="str">
        <f t="shared" si="2"/>
        <v>Direct</v>
      </c>
      <c r="N149" s="74"/>
      <c r="V149" s="22" t="s">
        <v>758</v>
      </c>
      <c r="W149" s="22" t="s">
        <v>759</v>
      </c>
    </row>
    <row r="150" spans="1:23" ht="13">
      <c r="A150" s="71">
        <f t="shared" si="1"/>
        <v>144</v>
      </c>
      <c r="B150" s="72" t="s">
        <v>760</v>
      </c>
      <c r="C150" s="73" t="s">
        <v>761</v>
      </c>
      <c r="D150" s="74" t="s">
        <v>28</v>
      </c>
      <c r="E150" s="74" t="s">
        <v>57</v>
      </c>
      <c r="F150" s="74" t="s">
        <v>168</v>
      </c>
      <c r="G150" s="75">
        <v>364000</v>
      </c>
      <c r="H150" s="76" t="s">
        <v>62</v>
      </c>
      <c r="I150" s="73">
        <v>25000</v>
      </c>
      <c r="J150" s="77" t="s">
        <v>138</v>
      </c>
      <c r="K150" s="75">
        <f t="shared" si="0"/>
        <v>14.56</v>
      </c>
      <c r="L150" s="74" t="s">
        <v>179</v>
      </c>
      <c r="M150" s="74" t="str">
        <f t="shared" si="2"/>
        <v>Distributor</v>
      </c>
      <c r="N150" s="74" t="s">
        <v>521</v>
      </c>
      <c r="V150" s="22" t="s">
        <v>762</v>
      </c>
      <c r="W150" s="22" t="s">
        <v>763</v>
      </c>
    </row>
    <row r="151" spans="1:23" ht="13">
      <c r="A151" s="71">
        <f t="shared" si="1"/>
        <v>145</v>
      </c>
      <c r="B151" s="72" t="s">
        <v>764</v>
      </c>
      <c r="C151" s="73" t="s">
        <v>765</v>
      </c>
      <c r="D151" s="74" t="s">
        <v>28</v>
      </c>
      <c r="E151" s="74" t="s">
        <v>57</v>
      </c>
      <c r="F151" s="74" t="s">
        <v>168</v>
      </c>
      <c r="G151" s="75">
        <v>7500</v>
      </c>
      <c r="H151" s="76" t="s">
        <v>62</v>
      </c>
      <c r="I151" s="73">
        <v>500</v>
      </c>
      <c r="J151" s="77" t="s">
        <v>138</v>
      </c>
      <c r="K151" s="75">
        <f t="shared" si="0"/>
        <v>15</v>
      </c>
      <c r="L151" s="74" t="s">
        <v>264</v>
      </c>
      <c r="M151" s="74" t="str">
        <f t="shared" si="2"/>
        <v>Distributor</v>
      </c>
      <c r="N151" s="74" t="s">
        <v>521</v>
      </c>
      <c r="V151" s="22" t="s">
        <v>766</v>
      </c>
      <c r="W151" s="22" t="s">
        <v>759</v>
      </c>
    </row>
    <row r="152" spans="1:23" ht="13">
      <c r="A152" s="71">
        <f t="shared" si="1"/>
        <v>146</v>
      </c>
      <c r="B152" s="72" t="s">
        <v>2061</v>
      </c>
      <c r="C152" s="73" t="s">
        <v>768</v>
      </c>
      <c r="D152" s="74" t="s">
        <v>28</v>
      </c>
      <c r="E152" s="74" t="s">
        <v>57</v>
      </c>
      <c r="F152" s="74" t="s">
        <v>168</v>
      </c>
      <c r="G152" s="75">
        <v>22200</v>
      </c>
      <c r="H152" s="76" t="s">
        <v>62</v>
      </c>
      <c r="I152" s="73">
        <v>1000</v>
      </c>
      <c r="J152" s="77" t="s">
        <v>138</v>
      </c>
      <c r="K152" s="75">
        <f t="shared" si="0"/>
        <v>22.2</v>
      </c>
      <c r="L152" s="74" t="s">
        <v>264</v>
      </c>
      <c r="M152" s="74" t="str">
        <f t="shared" si="2"/>
        <v>Distributor</v>
      </c>
      <c r="N152" s="74" t="s">
        <v>521</v>
      </c>
      <c r="V152" s="22" t="s">
        <v>769</v>
      </c>
      <c r="W152" s="22" t="s">
        <v>763</v>
      </c>
    </row>
    <row r="153" spans="1:23" ht="13">
      <c r="A153" s="71">
        <f t="shared" si="1"/>
        <v>147</v>
      </c>
      <c r="B153" s="72" t="s">
        <v>2060</v>
      </c>
      <c r="C153" s="73" t="s">
        <v>771</v>
      </c>
      <c r="D153" s="74" t="s">
        <v>28</v>
      </c>
      <c r="E153" s="74" t="s">
        <v>57</v>
      </c>
      <c r="F153" s="74" t="s">
        <v>168</v>
      </c>
      <c r="G153" s="75">
        <v>26000</v>
      </c>
      <c r="H153" s="76" t="s">
        <v>97</v>
      </c>
      <c r="I153" s="73">
        <v>350</v>
      </c>
      <c r="J153" s="77" t="s">
        <v>138</v>
      </c>
      <c r="K153" s="75">
        <f t="shared" si="0"/>
        <v>74.285714285714292</v>
      </c>
      <c r="L153" s="74" t="s">
        <v>355</v>
      </c>
      <c r="M153" s="74" t="str">
        <f t="shared" si="2"/>
        <v>Direct</v>
      </c>
      <c r="N153" s="74" t="s">
        <v>521</v>
      </c>
      <c r="V153" s="22" t="s">
        <v>772</v>
      </c>
      <c r="W153" s="22" t="s">
        <v>759</v>
      </c>
    </row>
    <row r="154" spans="1:23" ht="13">
      <c r="A154" s="71">
        <f t="shared" si="1"/>
        <v>148</v>
      </c>
      <c r="B154" s="72" t="s">
        <v>1074</v>
      </c>
      <c r="C154" s="73" t="s">
        <v>774</v>
      </c>
      <c r="D154" s="74" t="s">
        <v>28</v>
      </c>
      <c r="E154" s="74" t="s">
        <v>57</v>
      </c>
      <c r="F154" s="74" t="s">
        <v>168</v>
      </c>
      <c r="G154" s="75">
        <v>16500</v>
      </c>
      <c r="H154" s="76" t="s">
        <v>62</v>
      </c>
      <c r="I154" s="73">
        <v>1000</v>
      </c>
      <c r="J154" s="77" t="s">
        <v>138</v>
      </c>
      <c r="K154" s="75">
        <f t="shared" si="0"/>
        <v>16.5</v>
      </c>
      <c r="L154" s="74" t="s">
        <v>264</v>
      </c>
      <c r="M154" s="74" t="str">
        <f t="shared" si="2"/>
        <v>Distributor</v>
      </c>
      <c r="N154" s="74" t="s">
        <v>521</v>
      </c>
      <c r="V154" s="22" t="s">
        <v>775</v>
      </c>
      <c r="W154" s="22" t="s">
        <v>763</v>
      </c>
    </row>
    <row r="155" spans="1:23" ht="13">
      <c r="A155" s="71">
        <f t="shared" si="1"/>
        <v>149</v>
      </c>
      <c r="B155" s="72" t="s">
        <v>2039</v>
      </c>
      <c r="C155" s="73" t="s">
        <v>777</v>
      </c>
      <c r="D155" s="74" t="s">
        <v>28</v>
      </c>
      <c r="E155" s="74" t="s">
        <v>57</v>
      </c>
      <c r="F155" s="74" t="s">
        <v>142</v>
      </c>
      <c r="G155" s="75">
        <v>28000</v>
      </c>
      <c r="H155" s="76" t="s">
        <v>62</v>
      </c>
      <c r="I155" s="73">
        <v>6</v>
      </c>
      <c r="J155" s="77" t="s">
        <v>306</v>
      </c>
      <c r="K155" s="75">
        <f t="shared" si="0"/>
        <v>4666.666666666667</v>
      </c>
      <c r="L155" s="74" t="s">
        <v>321</v>
      </c>
      <c r="M155" s="74" t="str">
        <f t="shared" si="2"/>
        <v>Direct</v>
      </c>
      <c r="N155" s="74"/>
      <c r="V155" s="22" t="s">
        <v>778</v>
      </c>
      <c r="W155" s="22" t="s">
        <v>759</v>
      </c>
    </row>
    <row r="156" spans="1:23" ht="13">
      <c r="A156" s="71">
        <f t="shared" si="1"/>
        <v>150</v>
      </c>
      <c r="B156" s="72" t="s">
        <v>2038</v>
      </c>
      <c r="C156" s="73" t="s">
        <v>780</v>
      </c>
      <c r="D156" s="74" t="s">
        <v>28</v>
      </c>
      <c r="E156" s="74" t="s">
        <v>57</v>
      </c>
      <c r="F156" s="74" t="s">
        <v>142</v>
      </c>
      <c r="G156" s="75">
        <v>43000</v>
      </c>
      <c r="H156" s="76" t="s">
        <v>62</v>
      </c>
      <c r="I156" s="73">
        <v>500</v>
      </c>
      <c r="J156" s="77" t="s">
        <v>138</v>
      </c>
      <c r="K156" s="75">
        <f t="shared" si="0"/>
        <v>86</v>
      </c>
      <c r="L156" s="74" t="s">
        <v>321</v>
      </c>
      <c r="M156" s="74" t="str">
        <f t="shared" si="2"/>
        <v>Direct</v>
      </c>
      <c r="N156" s="74"/>
      <c r="V156" s="22" t="s">
        <v>781</v>
      </c>
      <c r="W156" s="22" t="s">
        <v>763</v>
      </c>
    </row>
    <row r="157" spans="1:23" ht="13">
      <c r="A157" s="71">
        <f t="shared" si="1"/>
        <v>151</v>
      </c>
      <c r="B157" s="72" t="s">
        <v>782</v>
      </c>
      <c r="C157" s="73" t="s">
        <v>783</v>
      </c>
      <c r="D157" s="74" t="s">
        <v>81</v>
      </c>
      <c r="E157" s="74" t="s">
        <v>46</v>
      </c>
      <c r="F157" s="74" t="s">
        <v>107</v>
      </c>
      <c r="G157" s="75">
        <v>25000</v>
      </c>
      <c r="H157" s="76" t="s">
        <v>62</v>
      </c>
      <c r="I157" s="73">
        <v>500</v>
      </c>
      <c r="J157" s="77" t="s">
        <v>138</v>
      </c>
      <c r="K157" s="75">
        <f t="shared" si="0"/>
        <v>50</v>
      </c>
      <c r="L157" s="74" t="s">
        <v>373</v>
      </c>
      <c r="M157" s="74" t="str">
        <f t="shared" si="2"/>
        <v>Direct</v>
      </c>
      <c r="N157" s="74" t="s">
        <v>521</v>
      </c>
      <c r="V157" s="22" t="s">
        <v>784</v>
      </c>
      <c r="W157" s="22" t="s">
        <v>759</v>
      </c>
    </row>
    <row r="158" spans="1:23" ht="13">
      <c r="A158" s="71">
        <f t="shared" si="1"/>
        <v>152</v>
      </c>
      <c r="B158" s="72" t="s">
        <v>2042</v>
      </c>
      <c r="C158" s="73" t="s">
        <v>786</v>
      </c>
      <c r="D158" s="74" t="s">
        <v>28</v>
      </c>
      <c r="E158" s="74" t="s">
        <v>57</v>
      </c>
      <c r="F158" s="74" t="s">
        <v>168</v>
      </c>
      <c r="G158" s="75">
        <v>46500</v>
      </c>
      <c r="H158" s="76" t="s">
        <v>62</v>
      </c>
      <c r="I158" s="73">
        <v>1600</v>
      </c>
      <c r="J158" s="77" t="s">
        <v>138</v>
      </c>
      <c r="K158" s="75">
        <f t="shared" si="0"/>
        <v>29.0625</v>
      </c>
      <c r="L158" s="74" t="s">
        <v>264</v>
      </c>
      <c r="M158" s="74" t="str">
        <f t="shared" si="2"/>
        <v>Distributor</v>
      </c>
      <c r="N158" s="74" t="s">
        <v>521</v>
      </c>
      <c r="V158" s="22" t="s">
        <v>182</v>
      </c>
      <c r="W158" s="22" t="s">
        <v>763</v>
      </c>
    </row>
    <row r="159" spans="1:23" ht="13">
      <c r="A159" s="71">
        <f t="shared" si="1"/>
        <v>153</v>
      </c>
      <c r="B159" s="72" t="s">
        <v>1995</v>
      </c>
      <c r="C159" s="73" t="s">
        <v>788</v>
      </c>
      <c r="D159" s="74" t="s">
        <v>81</v>
      </c>
      <c r="E159" s="74" t="s">
        <v>46</v>
      </c>
      <c r="F159" s="74" t="s">
        <v>61</v>
      </c>
      <c r="G159" s="75">
        <v>21250</v>
      </c>
      <c r="H159" s="76" t="s">
        <v>97</v>
      </c>
      <c r="I159" s="73">
        <v>460</v>
      </c>
      <c r="J159" s="77" t="s">
        <v>30</v>
      </c>
      <c r="K159" s="75">
        <f t="shared" si="0"/>
        <v>46.195652173913047</v>
      </c>
      <c r="L159" s="74" t="s">
        <v>264</v>
      </c>
      <c r="M159" s="74" t="str">
        <f t="shared" si="2"/>
        <v>Distributor</v>
      </c>
      <c r="N159" s="74" t="s">
        <v>521</v>
      </c>
      <c r="V159" s="22" t="s">
        <v>789</v>
      </c>
      <c r="W159" s="22" t="s">
        <v>790</v>
      </c>
    </row>
    <row r="160" spans="1:23" ht="13">
      <c r="A160" s="71">
        <f t="shared" si="1"/>
        <v>154</v>
      </c>
      <c r="B160" s="72" t="s">
        <v>2040</v>
      </c>
      <c r="C160" s="73" t="s">
        <v>792</v>
      </c>
      <c r="D160" s="74" t="s">
        <v>81</v>
      </c>
      <c r="E160" s="74" t="s">
        <v>46</v>
      </c>
      <c r="F160" s="74" t="s">
        <v>86</v>
      </c>
      <c r="G160" s="75">
        <v>365000</v>
      </c>
      <c r="H160" s="76" t="s">
        <v>75</v>
      </c>
      <c r="I160" s="73">
        <v>180</v>
      </c>
      <c r="J160" s="77" t="s">
        <v>138</v>
      </c>
      <c r="K160" s="75">
        <f t="shared" si="0"/>
        <v>2027.7777777777778</v>
      </c>
      <c r="L160" s="74" t="s">
        <v>133</v>
      </c>
      <c r="M160" s="74" t="str">
        <f t="shared" si="2"/>
        <v>Supplier</v>
      </c>
      <c r="N160" s="74"/>
      <c r="V160" s="22" t="s">
        <v>793</v>
      </c>
      <c r="W160" s="22" t="s">
        <v>794</v>
      </c>
    </row>
    <row r="161" spans="1:23" ht="13">
      <c r="A161" s="71">
        <f t="shared" si="1"/>
        <v>155</v>
      </c>
      <c r="B161" s="72" t="s">
        <v>795</v>
      </c>
      <c r="C161" s="73" t="s">
        <v>796</v>
      </c>
      <c r="D161" s="74" t="s">
        <v>28</v>
      </c>
      <c r="E161" s="74" t="s">
        <v>57</v>
      </c>
      <c r="F161" s="74" t="s">
        <v>168</v>
      </c>
      <c r="G161" s="75">
        <v>8000</v>
      </c>
      <c r="H161" s="76" t="s">
        <v>62</v>
      </c>
      <c r="I161" s="73">
        <v>10</v>
      </c>
      <c r="J161" s="77" t="s">
        <v>677</v>
      </c>
      <c r="K161" s="75">
        <f t="shared" si="0"/>
        <v>800</v>
      </c>
      <c r="L161" s="74" t="s">
        <v>373</v>
      </c>
      <c r="M161" s="74" t="str">
        <f t="shared" si="2"/>
        <v>Direct</v>
      </c>
      <c r="N161" s="74" t="s">
        <v>521</v>
      </c>
      <c r="V161" s="22" t="s">
        <v>797</v>
      </c>
      <c r="W161" s="22" t="s">
        <v>798</v>
      </c>
    </row>
    <row r="162" spans="1:23" ht="13">
      <c r="A162" s="71">
        <f t="shared" si="1"/>
        <v>156</v>
      </c>
      <c r="B162" s="72" t="s">
        <v>799</v>
      </c>
      <c r="C162" s="73" t="s">
        <v>800</v>
      </c>
      <c r="D162" s="74" t="s">
        <v>28</v>
      </c>
      <c r="E162" s="74" t="s">
        <v>57</v>
      </c>
      <c r="F162" s="74" t="s">
        <v>168</v>
      </c>
      <c r="G162" s="75">
        <v>90000</v>
      </c>
      <c r="H162" s="76" t="s">
        <v>36</v>
      </c>
      <c r="I162" s="73">
        <v>1000</v>
      </c>
      <c r="J162" s="77" t="s">
        <v>138</v>
      </c>
      <c r="K162" s="75">
        <f t="shared" si="0"/>
        <v>90</v>
      </c>
      <c r="L162" s="74" t="s">
        <v>264</v>
      </c>
      <c r="M162" s="74" t="str">
        <f t="shared" si="2"/>
        <v>Distributor</v>
      </c>
      <c r="N162" s="74" t="s">
        <v>521</v>
      </c>
      <c r="V162" s="22" t="s">
        <v>801</v>
      </c>
      <c r="W162" s="22" t="s">
        <v>802</v>
      </c>
    </row>
    <row r="163" spans="1:23" ht="13">
      <c r="A163" s="71">
        <f t="shared" si="1"/>
        <v>157</v>
      </c>
      <c r="B163" s="72" t="s">
        <v>2035</v>
      </c>
      <c r="C163" s="73" t="s">
        <v>804</v>
      </c>
      <c r="D163" s="74" t="s">
        <v>28</v>
      </c>
      <c r="E163" s="74" t="s">
        <v>57</v>
      </c>
      <c r="F163" s="74" t="s">
        <v>168</v>
      </c>
      <c r="G163" s="75">
        <v>8900</v>
      </c>
      <c r="H163" s="76" t="s">
        <v>97</v>
      </c>
      <c r="I163" s="73">
        <v>60</v>
      </c>
      <c r="J163" s="77" t="s">
        <v>138</v>
      </c>
      <c r="K163" s="75">
        <f t="shared" si="0"/>
        <v>148.33333333333334</v>
      </c>
      <c r="L163" s="74" t="s">
        <v>355</v>
      </c>
      <c r="M163" s="74" t="str">
        <f t="shared" si="2"/>
        <v>Direct</v>
      </c>
      <c r="N163" s="74" t="s">
        <v>521</v>
      </c>
      <c r="V163" s="22" t="s">
        <v>805</v>
      </c>
      <c r="W163" s="22" t="s">
        <v>806</v>
      </c>
    </row>
    <row r="164" spans="1:23" ht="13">
      <c r="A164" s="71">
        <f t="shared" si="1"/>
        <v>158</v>
      </c>
      <c r="B164" s="72" t="s">
        <v>2036</v>
      </c>
      <c r="C164" s="73" t="s">
        <v>808</v>
      </c>
      <c r="D164" s="74" t="s">
        <v>28</v>
      </c>
      <c r="E164" s="74" t="s">
        <v>57</v>
      </c>
      <c r="F164" s="74" t="s">
        <v>168</v>
      </c>
      <c r="G164" s="75">
        <v>5000</v>
      </c>
      <c r="H164" s="76" t="s">
        <v>97</v>
      </c>
      <c r="I164" s="73">
        <v>60</v>
      </c>
      <c r="J164" s="77" t="s">
        <v>138</v>
      </c>
      <c r="K164" s="75">
        <f t="shared" si="0"/>
        <v>83.333333333333329</v>
      </c>
      <c r="L164" s="74" t="s">
        <v>297</v>
      </c>
      <c r="M164" s="74" t="str">
        <f t="shared" si="2"/>
        <v>Direct</v>
      </c>
      <c r="N164" s="74" t="s">
        <v>521</v>
      </c>
      <c r="V164" s="22" t="s">
        <v>809</v>
      </c>
      <c r="W164" s="22" t="s">
        <v>810</v>
      </c>
    </row>
    <row r="165" spans="1:23" ht="13">
      <c r="A165" s="71">
        <f t="shared" si="1"/>
        <v>159</v>
      </c>
      <c r="B165" s="72" t="s">
        <v>811</v>
      </c>
      <c r="C165" s="73" t="s">
        <v>812</v>
      </c>
      <c r="D165" s="74" t="s">
        <v>28</v>
      </c>
      <c r="E165" s="74" t="s">
        <v>57</v>
      </c>
      <c r="F165" s="74" t="s">
        <v>168</v>
      </c>
      <c r="G165" s="75">
        <v>38000</v>
      </c>
      <c r="H165" s="76" t="s">
        <v>62</v>
      </c>
      <c r="I165" s="73">
        <v>100</v>
      </c>
      <c r="J165" s="77" t="s">
        <v>138</v>
      </c>
      <c r="K165" s="75">
        <f t="shared" si="0"/>
        <v>380</v>
      </c>
      <c r="L165" s="74" t="s">
        <v>264</v>
      </c>
      <c r="M165" s="74" t="str">
        <f t="shared" si="2"/>
        <v>Distributor</v>
      </c>
      <c r="N165" s="74" t="s">
        <v>521</v>
      </c>
      <c r="V165" s="23" t="s">
        <v>813</v>
      </c>
      <c r="W165" s="22" t="s">
        <v>814</v>
      </c>
    </row>
    <row r="166" spans="1:23" ht="13">
      <c r="A166" s="71">
        <f t="shared" si="1"/>
        <v>160</v>
      </c>
      <c r="B166" s="72" t="s">
        <v>815</v>
      </c>
      <c r="C166" s="73" t="s">
        <v>816</v>
      </c>
      <c r="D166" s="74" t="s">
        <v>28</v>
      </c>
      <c r="E166" s="74" t="s">
        <v>57</v>
      </c>
      <c r="F166" s="74" t="s">
        <v>151</v>
      </c>
      <c r="G166" s="75">
        <v>12000</v>
      </c>
      <c r="H166" s="76" t="s">
        <v>36</v>
      </c>
      <c r="I166" s="73">
        <v>1000</v>
      </c>
      <c r="J166" s="77" t="s">
        <v>138</v>
      </c>
      <c r="K166" s="75">
        <f t="shared" si="0"/>
        <v>12</v>
      </c>
      <c r="L166" s="74" t="s">
        <v>169</v>
      </c>
      <c r="M166" s="74" t="str">
        <f t="shared" si="2"/>
        <v>Distributor</v>
      </c>
      <c r="N166" s="74" t="s">
        <v>521</v>
      </c>
      <c r="V166" s="23" t="s">
        <v>817</v>
      </c>
      <c r="W166" s="22" t="s">
        <v>818</v>
      </c>
    </row>
    <row r="167" spans="1:23" ht="13">
      <c r="A167" s="71">
        <f t="shared" si="1"/>
        <v>161</v>
      </c>
      <c r="B167" s="72" t="s">
        <v>819</v>
      </c>
      <c r="C167" s="73" t="s">
        <v>820</v>
      </c>
      <c r="D167" s="74" t="s">
        <v>28</v>
      </c>
      <c r="E167" s="74" t="s">
        <v>57</v>
      </c>
      <c r="F167" s="74" t="s">
        <v>151</v>
      </c>
      <c r="G167" s="75">
        <v>13000</v>
      </c>
      <c r="H167" s="76" t="s">
        <v>36</v>
      </c>
      <c r="I167" s="73">
        <v>1000</v>
      </c>
      <c r="J167" s="77" t="s">
        <v>138</v>
      </c>
      <c r="K167" s="75">
        <f t="shared" si="0"/>
        <v>13</v>
      </c>
      <c r="L167" s="74" t="s">
        <v>169</v>
      </c>
      <c r="M167" s="74" t="str">
        <f t="shared" si="2"/>
        <v>Distributor</v>
      </c>
      <c r="N167" s="74" t="s">
        <v>521</v>
      </c>
      <c r="V167" s="23" t="s">
        <v>821</v>
      </c>
      <c r="W167" s="22" t="s">
        <v>822</v>
      </c>
    </row>
    <row r="168" spans="1:23" ht="13">
      <c r="A168" s="71">
        <f t="shared" si="1"/>
        <v>162</v>
      </c>
      <c r="B168" s="72" t="s">
        <v>2062</v>
      </c>
      <c r="C168" s="73" t="s">
        <v>824</v>
      </c>
      <c r="D168" s="74" t="s">
        <v>28</v>
      </c>
      <c r="E168" s="74" t="s">
        <v>57</v>
      </c>
      <c r="F168" s="74" t="s">
        <v>168</v>
      </c>
      <c r="G168" s="75">
        <v>13000</v>
      </c>
      <c r="H168" s="76" t="s">
        <v>97</v>
      </c>
      <c r="I168" s="73">
        <v>150</v>
      </c>
      <c r="J168" s="77" t="s">
        <v>138</v>
      </c>
      <c r="K168" s="75">
        <f t="shared" si="0"/>
        <v>86.666666666666671</v>
      </c>
      <c r="L168" s="74" t="s">
        <v>264</v>
      </c>
      <c r="M168" s="74" t="str">
        <f t="shared" si="2"/>
        <v>Distributor</v>
      </c>
      <c r="N168" s="74" t="s">
        <v>521</v>
      </c>
      <c r="V168" s="23" t="s">
        <v>825</v>
      </c>
      <c r="W168" s="22" t="s">
        <v>826</v>
      </c>
    </row>
    <row r="169" spans="1:23" ht="13">
      <c r="A169" s="71">
        <f t="shared" si="1"/>
        <v>163</v>
      </c>
      <c r="B169" s="72" t="s">
        <v>827</v>
      </c>
      <c r="C169" s="73" t="s">
        <v>828</v>
      </c>
      <c r="D169" s="74" t="s">
        <v>28</v>
      </c>
      <c r="E169" s="74" t="s">
        <v>57</v>
      </c>
      <c r="F169" s="74" t="s">
        <v>151</v>
      </c>
      <c r="G169" s="75">
        <v>12000</v>
      </c>
      <c r="H169" s="76" t="s">
        <v>36</v>
      </c>
      <c r="I169" s="73">
        <v>1000</v>
      </c>
      <c r="J169" s="77" t="s">
        <v>138</v>
      </c>
      <c r="K169" s="75">
        <f t="shared" si="0"/>
        <v>12</v>
      </c>
      <c r="L169" s="74" t="s">
        <v>169</v>
      </c>
      <c r="M169" s="74" t="str">
        <f t="shared" si="2"/>
        <v>Distributor</v>
      </c>
      <c r="N169" s="74" t="s">
        <v>521</v>
      </c>
      <c r="V169" s="23" t="s">
        <v>829</v>
      </c>
      <c r="W169" s="22" t="s">
        <v>830</v>
      </c>
    </row>
    <row r="170" spans="1:23" ht="13">
      <c r="A170" s="71">
        <f t="shared" si="1"/>
        <v>164</v>
      </c>
      <c r="B170" s="72" t="s">
        <v>831</v>
      </c>
      <c r="C170" s="73" t="s">
        <v>832</v>
      </c>
      <c r="D170" s="74" t="s">
        <v>28</v>
      </c>
      <c r="E170" s="74" t="s">
        <v>57</v>
      </c>
      <c r="F170" s="74" t="s">
        <v>168</v>
      </c>
      <c r="G170" s="75">
        <v>21250</v>
      </c>
      <c r="H170" s="76" t="s">
        <v>36</v>
      </c>
      <c r="I170" s="73">
        <v>1000</v>
      </c>
      <c r="J170" s="77" t="s">
        <v>138</v>
      </c>
      <c r="K170" s="75">
        <f t="shared" si="0"/>
        <v>21.25</v>
      </c>
      <c r="L170" s="74" t="s">
        <v>264</v>
      </c>
      <c r="M170" s="74" t="str">
        <f t="shared" si="2"/>
        <v>Distributor</v>
      </c>
      <c r="N170" s="74" t="s">
        <v>521</v>
      </c>
      <c r="V170" s="23" t="s">
        <v>833</v>
      </c>
      <c r="W170" s="22" t="s">
        <v>834</v>
      </c>
    </row>
    <row r="171" spans="1:23" ht="13">
      <c r="A171" s="71">
        <f t="shared" si="1"/>
        <v>165</v>
      </c>
      <c r="B171" s="78" t="s">
        <v>835</v>
      </c>
      <c r="C171" s="73" t="s">
        <v>836</v>
      </c>
      <c r="D171" s="74" t="s">
        <v>28</v>
      </c>
      <c r="E171" s="74" t="s">
        <v>57</v>
      </c>
      <c r="F171" s="74" t="s">
        <v>168</v>
      </c>
      <c r="G171" s="75">
        <v>11000</v>
      </c>
      <c r="H171" s="76" t="s">
        <v>62</v>
      </c>
      <c r="I171" s="73">
        <v>250</v>
      </c>
      <c r="J171" s="77" t="s">
        <v>138</v>
      </c>
      <c r="K171" s="75">
        <f t="shared" si="0"/>
        <v>44</v>
      </c>
      <c r="L171" s="74" t="s">
        <v>227</v>
      </c>
      <c r="M171" s="74" t="str">
        <f t="shared" si="2"/>
        <v>Distributor</v>
      </c>
      <c r="N171" s="74" t="s">
        <v>521</v>
      </c>
      <c r="V171" s="23" t="s">
        <v>837</v>
      </c>
      <c r="W171" s="22" t="s">
        <v>838</v>
      </c>
    </row>
    <row r="172" spans="1:23" ht="13">
      <c r="A172" s="71">
        <f t="shared" si="1"/>
        <v>166</v>
      </c>
      <c r="B172" s="72" t="s">
        <v>839</v>
      </c>
      <c r="C172" s="73" t="s">
        <v>840</v>
      </c>
      <c r="D172" s="74" t="s">
        <v>81</v>
      </c>
      <c r="E172" s="74" t="s">
        <v>128</v>
      </c>
      <c r="F172" s="74" t="s">
        <v>131</v>
      </c>
      <c r="G172" s="75">
        <v>500</v>
      </c>
      <c r="H172" s="76" t="s">
        <v>62</v>
      </c>
      <c r="I172" s="73">
        <v>1</v>
      </c>
      <c r="J172" s="77" t="s">
        <v>306</v>
      </c>
      <c r="K172" s="75">
        <f t="shared" si="0"/>
        <v>500</v>
      </c>
      <c r="L172" s="74" t="s">
        <v>212</v>
      </c>
      <c r="M172" s="74" t="str">
        <f t="shared" si="2"/>
        <v>Supplier</v>
      </c>
      <c r="N172" s="74" t="s">
        <v>521</v>
      </c>
      <c r="V172" s="23" t="s">
        <v>841</v>
      </c>
      <c r="W172" s="22" t="s">
        <v>842</v>
      </c>
    </row>
    <row r="173" spans="1:23" ht="13">
      <c r="A173" s="71">
        <f t="shared" si="1"/>
        <v>167</v>
      </c>
      <c r="B173" s="72" t="s">
        <v>843</v>
      </c>
      <c r="C173" s="73" t="s">
        <v>844</v>
      </c>
      <c r="D173" s="74" t="s">
        <v>81</v>
      </c>
      <c r="E173" s="74" t="s">
        <v>128</v>
      </c>
      <c r="F173" s="74" t="s">
        <v>131</v>
      </c>
      <c r="G173" s="75">
        <v>28000</v>
      </c>
      <c r="H173" s="76" t="s">
        <v>62</v>
      </c>
      <c r="I173" s="73">
        <v>50</v>
      </c>
      <c r="J173" s="77" t="s">
        <v>306</v>
      </c>
      <c r="K173" s="75">
        <f t="shared" si="0"/>
        <v>560</v>
      </c>
      <c r="L173" s="74" t="s">
        <v>212</v>
      </c>
      <c r="M173" s="74" t="str">
        <f t="shared" si="2"/>
        <v>Supplier</v>
      </c>
      <c r="N173" s="74" t="s">
        <v>521</v>
      </c>
      <c r="V173" s="23" t="s">
        <v>845</v>
      </c>
      <c r="W173" s="22" t="s">
        <v>846</v>
      </c>
    </row>
    <row r="174" spans="1:23" ht="13">
      <c r="A174" s="71">
        <f t="shared" si="1"/>
        <v>168</v>
      </c>
      <c r="B174" s="72" t="s">
        <v>847</v>
      </c>
      <c r="C174" s="73" t="s">
        <v>848</v>
      </c>
      <c r="D174" s="74" t="s">
        <v>81</v>
      </c>
      <c r="E174" s="74" t="s">
        <v>46</v>
      </c>
      <c r="F174" s="74" t="s">
        <v>86</v>
      </c>
      <c r="G174" s="75">
        <v>51250</v>
      </c>
      <c r="H174" s="76" t="s">
        <v>75</v>
      </c>
      <c r="I174" s="73">
        <v>750</v>
      </c>
      <c r="J174" s="77" t="s">
        <v>138</v>
      </c>
      <c r="K174" s="75">
        <f t="shared" si="0"/>
        <v>68.333333333333329</v>
      </c>
      <c r="L174" s="74" t="s">
        <v>331</v>
      </c>
      <c r="M174" s="74" t="str">
        <f t="shared" si="2"/>
        <v>Direct</v>
      </c>
      <c r="N174" s="74"/>
      <c r="V174" s="23" t="s">
        <v>849</v>
      </c>
      <c r="W174" s="22" t="s">
        <v>850</v>
      </c>
    </row>
    <row r="175" spans="1:23" ht="13">
      <c r="A175" s="71">
        <f t="shared" si="1"/>
        <v>169</v>
      </c>
      <c r="B175" s="72" t="s">
        <v>2053</v>
      </c>
      <c r="C175" s="73" t="s">
        <v>852</v>
      </c>
      <c r="D175" s="74" t="s">
        <v>81</v>
      </c>
      <c r="E175" s="74" t="s">
        <v>46</v>
      </c>
      <c r="F175" s="74" t="s">
        <v>96</v>
      </c>
      <c r="G175" s="75">
        <v>32500</v>
      </c>
      <c r="H175" s="76" t="s">
        <v>143</v>
      </c>
      <c r="I175" s="73">
        <v>24</v>
      </c>
      <c r="J175" s="77" t="s">
        <v>853</v>
      </c>
      <c r="K175" s="75">
        <f t="shared" si="0"/>
        <v>1354.1666666666667</v>
      </c>
      <c r="L175" s="74" t="s">
        <v>51</v>
      </c>
      <c r="M175" s="74" t="str">
        <f t="shared" si="2"/>
        <v>Supplier</v>
      </c>
      <c r="N175" s="74" t="s">
        <v>854</v>
      </c>
      <c r="V175" s="23" t="s">
        <v>855</v>
      </c>
      <c r="W175" s="22" t="s">
        <v>856</v>
      </c>
    </row>
    <row r="176" spans="1:23" ht="13">
      <c r="A176" s="71">
        <f t="shared" si="1"/>
        <v>170</v>
      </c>
      <c r="B176" s="72" t="s">
        <v>857</v>
      </c>
      <c r="C176" s="73" t="s">
        <v>858</v>
      </c>
      <c r="D176" s="74" t="s">
        <v>81</v>
      </c>
      <c r="E176" s="74" t="s">
        <v>32</v>
      </c>
      <c r="F176" s="74" t="s">
        <v>120</v>
      </c>
      <c r="G176" s="75">
        <v>85000</v>
      </c>
      <c r="H176" s="76" t="s">
        <v>62</v>
      </c>
      <c r="I176" s="73">
        <v>100</v>
      </c>
      <c r="J176" s="77" t="s">
        <v>859</v>
      </c>
      <c r="K176" s="75">
        <f t="shared" si="0"/>
        <v>850</v>
      </c>
      <c r="L176" s="74" t="s">
        <v>279</v>
      </c>
      <c r="M176" s="74" t="str">
        <f t="shared" si="2"/>
        <v>Distributor</v>
      </c>
      <c r="N176" s="74"/>
      <c r="V176" s="23" t="s">
        <v>860</v>
      </c>
      <c r="W176" s="22" t="s">
        <v>861</v>
      </c>
    </row>
    <row r="177" spans="1:23" ht="13">
      <c r="A177" s="71">
        <f t="shared" si="1"/>
        <v>171</v>
      </c>
      <c r="B177" s="72" t="s">
        <v>862</v>
      </c>
      <c r="C177" s="73" t="s">
        <v>863</v>
      </c>
      <c r="D177" s="74" t="s">
        <v>81</v>
      </c>
      <c r="E177" s="74" t="s">
        <v>32</v>
      </c>
      <c r="F177" s="74" t="s">
        <v>120</v>
      </c>
      <c r="G177" s="75">
        <v>85000</v>
      </c>
      <c r="H177" s="76" t="s">
        <v>62</v>
      </c>
      <c r="I177" s="73">
        <v>100</v>
      </c>
      <c r="J177" s="77" t="s">
        <v>859</v>
      </c>
      <c r="K177" s="75">
        <f t="shared" si="0"/>
        <v>850</v>
      </c>
      <c r="L177" s="74" t="s">
        <v>279</v>
      </c>
      <c r="M177" s="74" t="str">
        <f t="shared" si="2"/>
        <v>Distributor</v>
      </c>
      <c r="N177" s="74"/>
      <c r="V177" s="23" t="s">
        <v>864</v>
      </c>
      <c r="W177" s="22" t="s">
        <v>865</v>
      </c>
    </row>
    <row r="178" spans="1:23" ht="13">
      <c r="A178" s="71">
        <f t="shared" si="1"/>
        <v>172</v>
      </c>
      <c r="B178" s="72" t="s">
        <v>866</v>
      </c>
      <c r="C178" s="73" t="s">
        <v>867</v>
      </c>
      <c r="D178" s="74" t="s">
        <v>28</v>
      </c>
      <c r="E178" s="74" t="s">
        <v>139</v>
      </c>
      <c r="F178" s="74" t="s">
        <v>178</v>
      </c>
      <c r="G178" s="75">
        <v>77000</v>
      </c>
      <c r="H178" s="76" t="s">
        <v>62</v>
      </c>
      <c r="I178" s="73">
        <v>25</v>
      </c>
      <c r="J178" s="77" t="s">
        <v>306</v>
      </c>
      <c r="K178" s="75">
        <f t="shared" si="0"/>
        <v>3080</v>
      </c>
      <c r="L178" s="74" t="s">
        <v>279</v>
      </c>
      <c r="M178" s="74" t="str">
        <f t="shared" si="2"/>
        <v>Distributor</v>
      </c>
      <c r="N178" s="74"/>
      <c r="V178" s="23" t="s">
        <v>868</v>
      </c>
      <c r="W178" s="22" t="s">
        <v>869</v>
      </c>
    </row>
    <row r="179" spans="1:23" ht="13">
      <c r="A179" s="71">
        <f t="shared" si="1"/>
        <v>173</v>
      </c>
      <c r="B179" s="72" t="s">
        <v>2034</v>
      </c>
      <c r="C179" s="73" t="s">
        <v>871</v>
      </c>
      <c r="D179" s="74" t="s">
        <v>28</v>
      </c>
      <c r="E179" s="74" t="s">
        <v>57</v>
      </c>
      <c r="F179" s="74" t="s">
        <v>168</v>
      </c>
      <c r="G179" s="75">
        <v>5000</v>
      </c>
      <c r="H179" s="76" t="s">
        <v>62</v>
      </c>
      <c r="I179" s="73">
        <v>1</v>
      </c>
      <c r="J179" s="77" t="s">
        <v>306</v>
      </c>
      <c r="K179" s="75">
        <f t="shared" si="0"/>
        <v>5000</v>
      </c>
      <c r="L179" s="74" t="s">
        <v>144</v>
      </c>
      <c r="M179" s="74" t="str">
        <f t="shared" si="2"/>
        <v>Supplier</v>
      </c>
      <c r="N179" s="74" t="s">
        <v>521</v>
      </c>
      <c r="V179" s="22" t="s">
        <v>872</v>
      </c>
      <c r="W179" s="22" t="s">
        <v>873</v>
      </c>
    </row>
    <row r="180" spans="1:23" ht="13">
      <c r="A180" s="71">
        <f t="shared" si="1"/>
        <v>174</v>
      </c>
      <c r="B180" s="72" t="s">
        <v>874</v>
      </c>
      <c r="C180" s="73" t="s">
        <v>875</v>
      </c>
      <c r="D180" s="74" t="s">
        <v>28</v>
      </c>
      <c r="E180" s="74" t="s">
        <v>57</v>
      </c>
      <c r="F180" s="74" t="s">
        <v>168</v>
      </c>
      <c r="G180" s="75">
        <v>21000</v>
      </c>
      <c r="H180" s="76" t="s">
        <v>62</v>
      </c>
      <c r="I180" s="73">
        <v>10</v>
      </c>
      <c r="J180" s="77" t="s">
        <v>306</v>
      </c>
      <c r="K180" s="75">
        <f t="shared" si="0"/>
        <v>2100</v>
      </c>
      <c r="L180" s="74" t="s">
        <v>321</v>
      </c>
      <c r="M180" s="74" t="str">
        <f t="shared" si="2"/>
        <v>Direct</v>
      </c>
      <c r="N180" s="74"/>
      <c r="V180" s="13" t="s">
        <v>460</v>
      </c>
      <c r="W180" s="22" t="s">
        <v>876</v>
      </c>
    </row>
    <row r="181" spans="1:23" ht="13">
      <c r="A181" s="71">
        <f t="shared" si="1"/>
        <v>175</v>
      </c>
      <c r="B181" s="72" t="s">
        <v>877</v>
      </c>
      <c r="C181" s="73" t="s">
        <v>878</v>
      </c>
      <c r="D181" s="74" t="s">
        <v>81</v>
      </c>
      <c r="E181" s="74" t="s">
        <v>32</v>
      </c>
      <c r="F181" s="74" t="s">
        <v>120</v>
      </c>
      <c r="G181" s="75">
        <v>35000</v>
      </c>
      <c r="H181" s="76" t="s">
        <v>62</v>
      </c>
      <c r="I181" s="73">
        <v>40</v>
      </c>
      <c r="J181" s="77" t="s">
        <v>306</v>
      </c>
      <c r="K181" s="75">
        <f t="shared" si="0"/>
        <v>875</v>
      </c>
      <c r="L181" s="74" t="s">
        <v>279</v>
      </c>
      <c r="M181" s="74" t="str">
        <f t="shared" si="2"/>
        <v>Distributor</v>
      </c>
      <c r="N181" s="74"/>
      <c r="V181" s="22" t="s">
        <v>327</v>
      </c>
      <c r="W181" s="22" t="s">
        <v>328</v>
      </c>
    </row>
    <row r="182" spans="1:23" ht="13">
      <c r="A182" s="71">
        <f t="shared" si="1"/>
        <v>176</v>
      </c>
      <c r="B182" s="72" t="s">
        <v>2058</v>
      </c>
      <c r="C182" s="73" t="s">
        <v>880</v>
      </c>
      <c r="D182" s="74" t="s">
        <v>28</v>
      </c>
      <c r="E182" s="74" t="s">
        <v>57</v>
      </c>
      <c r="F182" s="74" t="s">
        <v>168</v>
      </c>
      <c r="G182" s="75">
        <v>38000</v>
      </c>
      <c r="H182" s="76" t="s">
        <v>62</v>
      </c>
      <c r="I182" s="73">
        <v>1000</v>
      </c>
      <c r="J182" s="77" t="s">
        <v>138</v>
      </c>
      <c r="K182" s="75">
        <f t="shared" si="0"/>
        <v>38</v>
      </c>
      <c r="L182" s="74" t="s">
        <v>264</v>
      </c>
      <c r="M182" s="74" t="str">
        <f t="shared" si="2"/>
        <v>Distributor</v>
      </c>
      <c r="N182" s="74" t="s">
        <v>521</v>
      </c>
      <c r="V182" s="22" t="s">
        <v>332</v>
      </c>
      <c r="W182" s="22" t="s">
        <v>333</v>
      </c>
    </row>
    <row r="183" spans="1:23" ht="13">
      <c r="A183" s="71">
        <f t="shared" si="1"/>
        <v>177</v>
      </c>
      <c r="B183" s="72" t="s">
        <v>881</v>
      </c>
      <c r="C183" s="73" t="s">
        <v>882</v>
      </c>
      <c r="D183" s="74" t="s">
        <v>28</v>
      </c>
      <c r="E183" s="74" t="s">
        <v>57</v>
      </c>
      <c r="F183" s="74" t="s">
        <v>142</v>
      </c>
      <c r="G183" s="75">
        <v>69000</v>
      </c>
      <c r="H183" s="76" t="s">
        <v>36</v>
      </c>
      <c r="I183" s="73">
        <v>1000</v>
      </c>
      <c r="J183" s="77" t="s">
        <v>138</v>
      </c>
      <c r="K183" s="75">
        <f t="shared" si="0"/>
        <v>69</v>
      </c>
      <c r="L183" s="74" t="s">
        <v>303</v>
      </c>
      <c r="M183" s="74" t="str">
        <f t="shared" si="2"/>
        <v>Direct</v>
      </c>
      <c r="N183" s="74" t="s">
        <v>521</v>
      </c>
      <c r="V183" s="22" t="s">
        <v>337</v>
      </c>
      <c r="W183" s="22" t="s">
        <v>338</v>
      </c>
    </row>
    <row r="184" spans="1:23" ht="13">
      <c r="A184" s="71">
        <f t="shared" si="1"/>
        <v>178</v>
      </c>
      <c r="B184" s="72" t="s">
        <v>883</v>
      </c>
      <c r="C184" s="73" t="s">
        <v>884</v>
      </c>
      <c r="D184" s="74" t="s">
        <v>28</v>
      </c>
      <c r="E184" s="74" t="s">
        <v>57</v>
      </c>
      <c r="F184" s="74" t="s">
        <v>142</v>
      </c>
      <c r="G184" s="75">
        <v>156222</v>
      </c>
      <c r="H184" s="76" t="s">
        <v>36</v>
      </c>
      <c r="I184" s="73">
        <v>1000</v>
      </c>
      <c r="J184" s="77" t="s">
        <v>138</v>
      </c>
      <c r="K184" s="75">
        <f t="shared" si="0"/>
        <v>156.22200000000001</v>
      </c>
      <c r="L184" s="74" t="s">
        <v>303</v>
      </c>
      <c r="M184" s="74" t="str">
        <f t="shared" si="2"/>
        <v>Direct</v>
      </c>
      <c r="N184" s="74" t="s">
        <v>521</v>
      </c>
      <c r="V184" s="22" t="s">
        <v>342</v>
      </c>
      <c r="W184" s="22" t="s">
        <v>343</v>
      </c>
    </row>
    <row r="185" spans="1:23" ht="13">
      <c r="A185" s="71">
        <f t="shared" si="1"/>
        <v>179</v>
      </c>
      <c r="B185" s="72" t="s">
        <v>885</v>
      </c>
      <c r="C185" s="73" t="s">
        <v>886</v>
      </c>
      <c r="D185" s="74" t="s">
        <v>28</v>
      </c>
      <c r="E185" s="74" t="s">
        <v>57</v>
      </c>
      <c r="F185" s="74" t="s">
        <v>151</v>
      </c>
      <c r="G185" s="75">
        <v>30500</v>
      </c>
      <c r="H185" s="76" t="s">
        <v>36</v>
      </c>
      <c r="I185" s="73">
        <v>1000</v>
      </c>
      <c r="J185" s="77" t="s">
        <v>138</v>
      </c>
      <c r="K185" s="75">
        <f t="shared" si="0"/>
        <v>30.5</v>
      </c>
      <c r="L185" s="74" t="s">
        <v>169</v>
      </c>
      <c r="M185" s="74" t="str">
        <f t="shared" si="2"/>
        <v>Distributor</v>
      </c>
      <c r="N185" s="74" t="s">
        <v>521</v>
      </c>
      <c r="V185" s="22" t="s">
        <v>347</v>
      </c>
      <c r="W185" s="22" t="s">
        <v>348</v>
      </c>
    </row>
    <row r="186" spans="1:23" ht="13">
      <c r="A186" s="71">
        <f t="shared" si="1"/>
        <v>180</v>
      </c>
      <c r="B186" s="72" t="s">
        <v>887</v>
      </c>
      <c r="C186" s="73" t="s">
        <v>888</v>
      </c>
      <c r="D186" s="74" t="s">
        <v>28</v>
      </c>
      <c r="E186" s="74" t="s">
        <v>57</v>
      </c>
      <c r="F186" s="74" t="s">
        <v>168</v>
      </c>
      <c r="G186" s="75">
        <v>13000</v>
      </c>
      <c r="H186" s="76" t="s">
        <v>36</v>
      </c>
      <c r="I186" s="73">
        <v>500</v>
      </c>
      <c r="J186" s="77" t="s">
        <v>138</v>
      </c>
      <c r="K186" s="75">
        <f t="shared" si="0"/>
        <v>26</v>
      </c>
      <c r="L186" s="74" t="s">
        <v>264</v>
      </c>
      <c r="M186" s="74" t="str">
        <f t="shared" si="2"/>
        <v>Distributor</v>
      </c>
      <c r="N186" s="74" t="s">
        <v>521</v>
      </c>
      <c r="V186" s="22" t="s">
        <v>352</v>
      </c>
      <c r="W186" s="22" t="s">
        <v>353</v>
      </c>
    </row>
    <row r="187" spans="1:23" ht="13">
      <c r="A187" s="71">
        <f t="shared" si="1"/>
        <v>181</v>
      </c>
      <c r="B187" s="72" t="s">
        <v>889</v>
      </c>
      <c r="C187" s="73" t="s">
        <v>890</v>
      </c>
      <c r="D187" s="74" t="s">
        <v>28</v>
      </c>
      <c r="E187" s="74" t="s">
        <v>57</v>
      </c>
      <c r="F187" s="74" t="s">
        <v>168</v>
      </c>
      <c r="G187" s="75">
        <v>22000</v>
      </c>
      <c r="H187" s="76" t="s">
        <v>62</v>
      </c>
      <c r="I187" s="73">
        <v>10</v>
      </c>
      <c r="J187" s="77" t="s">
        <v>891</v>
      </c>
      <c r="K187" s="75">
        <f t="shared" si="0"/>
        <v>2200</v>
      </c>
      <c r="L187" s="74" t="s">
        <v>303</v>
      </c>
      <c r="M187" s="74" t="str">
        <f t="shared" si="2"/>
        <v>Direct</v>
      </c>
      <c r="N187" s="74" t="s">
        <v>521</v>
      </c>
      <c r="V187" s="22" t="s">
        <v>356</v>
      </c>
      <c r="W187" s="22" t="s">
        <v>357</v>
      </c>
    </row>
    <row r="188" spans="1:23" ht="13">
      <c r="A188" s="71">
        <f t="shared" si="1"/>
        <v>182</v>
      </c>
      <c r="B188" s="72" t="s">
        <v>2063</v>
      </c>
      <c r="C188" s="73" t="s">
        <v>893</v>
      </c>
      <c r="D188" s="74" t="s">
        <v>28</v>
      </c>
      <c r="E188" s="74" t="s">
        <v>57</v>
      </c>
      <c r="F188" s="74" t="s">
        <v>168</v>
      </c>
      <c r="G188" s="75">
        <v>108000</v>
      </c>
      <c r="H188" s="76" t="s">
        <v>36</v>
      </c>
      <c r="I188" s="73">
        <v>1000</v>
      </c>
      <c r="J188" s="77" t="s">
        <v>138</v>
      </c>
      <c r="K188" s="75">
        <f t="shared" si="0"/>
        <v>108</v>
      </c>
      <c r="L188" s="74" t="s">
        <v>248</v>
      </c>
      <c r="M188" s="74" t="str">
        <f t="shared" si="2"/>
        <v>Supplier</v>
      </c>
      <c r="N188" s="74" t="s">
        <v>521</v>
      </c>
      <c r="V188" s="40" t="s">
        <v>894</v>
      </c>
      <c r="W188" s="40" t="s">
        <v>520</v>
      </c>
    </row>
    <row r="189" spans="1:23" ht="13">
      <c r="A189" s="71">
        <f t="shared" si="1"/>
        <v>183</v>
      </c>
      <c r="B189" s="72" t="s">
        <v>895</v>
      </c>
      <c r="C189" s="73" t="s">
        <v>896</v>
      </c>
      <c r="D189" s="74" t="s">
        <v>28</v>
      </c>
      <c r="E189" s="74" t="s">
        <v>57</v>
      </c>
      <c r="F189" s="74" t="s">
        <v>168</v>
      </c>
      <c r="G189" s="75">
        <v>25600</v>
      </c>
      <c r="H189" s="76" t="s">
        <v>62</v>
      </c>
      <c r="I189" s="73">
        <v>100</v>
      </c>
      <c r="J189" s="77" t="s">
        <v>138</v>
      </c>
      <c r="K189" s="75">
        <f t="shared" si="0"/>
        <v>256</v>
      </c>
      <c r="L189" s="74" t="s">
        <v>169</v>
      </c>
      <c r="M189" s="74" t="str">
        <f t="shared" si="2"/>
        <v>Distributor</v>
      </c>
      <c r="N189" s="74" t="s">
        <v>521</v>
      </c>
      <c r="V189" s="40" t="s">
        <v>897</v>
      </c>
      <c r="W189" s="40" t="s">
        <v>525</v>
      </c>
    </row>
    <row r="190" spans="1:23" ht="13">
      <c r="A190" s="71">
        <f t="shared" si="1"/>
        <v>184</v>
      </c>
      <c r="B190" s="72" t="s">
        <v>898</v>
      </c>
      <c r="C190" s="73" t="s">
        <v>899</v>
      </c>
      <c r="D190" s="74" t="s">
        <v>28</v>
      </c>
      <c r="E190" s="74" t="s">
        <v>57</v>
      </c>
      <c r="F190" s="74" t="s">
        <v>151</v>
      </c>
      <c r="G190" s="75">
        <v>64200</v>
      </c>
      <c r="H190" s="76" t="s">
        <v>36</v>
      </c>
      <c r="I190" s="73">
        <v>1000</v>
      </c>
      <c r="J190" s="77" t="s">
        <v>138</v>
      </c>
      <c r="K190" s="75">
        <f t="shared" si="0"/>
        <v>64.2</v>
      </c>
      <c r="L190" s="74" t="s">
        <v>169</v>
      </c>
      <c r="M190" s="74" t="str">
        <f t="shared" si="2"/>
        <v>Distributor</v>
      </c>
      <c r="N190" s="74" t="s">
        <v>521</v>
      </c>
      <c r="V190" s="40" t="s">
        <v>900</v>
      </c>
      <c r="W190" s="40" t="s">
        <v>529</v>
      </c>
    </row>
    <row r="191" spans="1:23" ht="13">
      <c r="A191" s="71">
        <f t="shared" si="1"/>
        <v>185</v>
      </c>
      <c r="B191" s="72" t="s">
        <v>901</v>
      </c>
      <c r="C191" s="73" t="s">
        <v>902</v>
      </c>
      <c r="D191" s="74" t="s">
        <v>28</v>
      </c>
      <c r="E191" s="74" t="s">
        <v>57</v>
      </c>
      <c r="F191" s="74" t="s">
        <v>151</v>
      </c>
      <c r="G191" s="75">
        <v>12000</v>
      </c>
      <c r="H191" s="76" t="s">
        <v>36</v>
      </c>
      <c r="I191" s="73">
        <v>1000</v>
      </c>
      <c r="J191" s="77" t="s">
        <v>138</v>
      </c>
      <c r="K191" s="75">
        <f t="shared" si="0"/>
        <v>12</v>
      </c>
      <c r="L191" s="74" t="s">
        <v>169</v>
      </c>
      <c r="M191" s="74" t="str">
        <f t="shared" si="2"/>
        <v>Distributor</v>
      </c>
      <c r="N191" s="74" t="s">
        <v>521</v>
      </c>
      <c r="V191" s="40" t="s">
        <v>903</v>
      </c>
      <c r="W191" s="40" t="s">
        <v>533</v>
      </c>
    </row>
    <row r="192" spans="1:23" ht="13">
      <c r="A192" s="71">
        <f t="shared" si="1"/>
        <v>186</v>
      </c>
      <c r="B192" s="72" t="s">
        <v>904</v>
      </c>
      <c r="C192" s="73" t="s">
        <v>905</v>
      </c>
      <c r="D192" s="74" t="s">
        <v>56</v>
      </c>
      <c r="E192" s="74" t="s">
        <v>217</v>
      </c>
      <c r="F192" s="74" t="s">
        <v>187</v>
      </c>
      <c r="G192" s="75">
        <v>3500</v>
      </c>
      <c r="H192" s="76" t="s">
        <v>62</v>
      </c>
      <c r="I192" s="73">
        <v>1</v>
      </c>
      <c r="J192" s="77" t="s">
        <v>306</v>
      </c>
      <c r="K192" s="75">
        <f t="shared" si="0"/>
        <v>3500</v>
      </c>
      <c r="L192" s="74" t="s">
        <v>264</v>
      </c>
      <c r="M192" s="74" t="str">
        <f t="shared" si="2"/>
        <v>Distributor</v>
      </c>
      <c r="N192" s="74" t="s">
        <v>521</v>
      </c>
      <c r="V192" s="40" t="s">
        <v>906</v>
      </c>
      <c r="W192" s="40" t="s">
        <v>537</v>
      </c>
    </row>
    <row r="193" spans="1:23" ht="13">
      <c r="A193" s="71">
        <f t="shared" si="1"/>
        <v>187</v>
      </c>
      <c r="B193" s="72" t="s">
        <v>907</v>
      </c>
      <c r="C193" s="73" t="s">
        <v>908</v>
      </c>
      <c r="D193" s="74" t="s">
        <v>28</v>
      </c>
      <c r="E193" s="74" t="s">
        <v>57</v>
      </c>
      <c r="F193" s="74" t="s">
        <v>151</v>
      </c>
      <c r="G193" s="75">
        <v>10000</v>
      </c>
      <c r="H193" s="76" t="s">
        <v>36</v>
      </c>
      <c r="I193" s="73">
        <v>500</v>
      </c>
      <c r="J193" s="77" t="s">
        <v>138</v>
      </c>
      <c r="K193" s="75">
        <f t="shared" si="0"/>
        <v>20</v>
      </c>
      <c r="L193" s="74" t="s">
        <v>169</v>
      </c>
      <c r="M193" s="74" t="str">
        <f t="shared" si="2"/>
        <v>Distributor</v>
      </c>
      <c r="N193" s="74" t="s">
        <v>521</v>
      </c>
      <c r="V193" s="40" t="s">
        <v>909</v>
      </c>
      <c r="W193" s="40" t="s">
        <v>541</v>
      </c>
    </row>
    <row r="194" spans="1:23" ht="13">
      <c r="A194" s="71">
        <f t="shared" si="1"/>
        <v>188</v>
      </c>
      <c r="B194" s="72" t="s">
        <v>910</v>
      </c>
      <c r="C194" s="73" t="s">
        <v>911</v>
      </c>
      <c r="D194" s="74" t="s">
        <v>28</v>
      </c>
      <c r="E194" s="74" t="s">
        <v>57</v>
      </c>
      <c r="F194" s="74" t="s">
        <v>168</v>
      </c>
      <c r="G194" s="75">
        <v>16900</v>
      </c>
      <c r="H194" s="76" t="s">
        <v>62</v>
      </c>
      <c r="I194" s="73">
        <v>10</v>
      </c>
      <c r="J194" s="77" t="s">
        <v>306</v>
      </c>
      <c r="K194" s="75">
        <f t="shared" si="0"/>
        <v>1690</v>
      </c>
      <c r="L194" s="74" t="s">
        <v>310</v>
      </c>
      <c r="M194" s="74" t="str">
        <f t="shared" si="2"/>
        <v>Direct</v>
      </c>
      <c r="N194" s="74" t="s">
        <v>521</v>
      </c>
      <c r="V194" s="40" t="s">
        <v>912</v>
      </c>
      <c r="W194" s="40" t="s">
        <v>545</v>
      </c>
    </row>
    <row r="195" spans="1:23" ht="13">
      <c r="A195" s="71">
        <f t="shared" si="1"/>
        <v>189</v>
      </c>
      <c r="B195" s="72" t="s">
        <v>913</v>
      </c>
      <c r="C195" s="73" t="s">
        <v>914</v>
      </c>
      <c r="D195" s="74" t="s">
        <v>28</v>
      </c>
      <c r="E195" s="74" t="s">
        <v>57</v>
      </c>
      <c r="F195" s="74" t="s">
        <v>151</v>
      </c>
      <c r="G195" s="75">
        <v>8650</v>
      </c>
      <c r="H195" s="76" t="s">
        <v>62</v>
      </c>
      <c r="I195" s="73">
        <v>20</v>
      </c>
      <c r="J195" s="77" t="s">
        <v>138</v>
      </c>
      <c r="K195" s="75">
        <f t="shared" si="0"/>
        <v>432.5</v>
      </c>
      <c r="L195" s="74" t="s">
        <v>346</v>
      </c>
      <c r="M195" s="74" t="str">
        <f t="shared" si="2"/>
        <v>Direct</v>
      </c>
      <c r="N195" s="74" t="s">
        <v>521</v>
      </c>
      <c r="V195" s="40" t="s">
        <v>915</v>
      </c>
      <c r="W195" s="40" t="s">
        <v>549</v>
      </c>
    </row>
    <row r="196" spans="1:23" ht="13">
      <c r="A196" s="71">
        <f t="shared" si="1"/>
        <v>190</v>
      </c>
      <c r="B196" s="72" t="s">
        <v>916</v>
      </c>
      <c r="C196" s="73" t="s">
        <v>917</v>
      </c>
      <c r="D196" s="74" t="s">
        <v>28</v>
      </c>
      <c r="E196" s="74" t="s">
        <v>57</v>
      </c>
      <c r="F196" s="74" t="s">
        <v>142</v>
      </c>
      <c r="G196" s="75">
        <v>50000</v>
      </c>
      <c r="H196" s="76" t="s">
        <v>36</v>
      </c>
      <c r="I196" s="73">
        <v>1000</v>
      </c>
      <c r="J196" s="77" t="s">
        <v>138</v>
      </c>
      <c r="K196" s="75">
        <f t="shared" si="0"/>
        <v>50</v>
      </c>
      <c r="L196" s="74" t="s">
        <v>373</v>
      </c>
      <c r="M196" s="74" t="str">
        <f t="shared" si="2"/>
        <v>Direct</v>
      </c>
      <c r="N196" s="74" t="s">
        <v>521</v>
      </c>
      <c r="V196" s="40" t="s">
        <v>918</v>
      </c>
      <c r="W196" s="40" t="s">
        <v>553</v>
      </c>
    </row>
    <row r="197" spans="1:23" ht="13">
      <c r="A197" s="71">
        <f t="shared" si="1"/>
        <v>191</v>
      </c>
      <c r="B197" s="72" t="s">
        <v>919</v>
      </c>
      <c r="C197" s="73" t="s">
        <v>920</v>
      </c>
      <c r="D197" s="74" t="s">
        <v>28</v>
      </c>
      <c r="E197" s="74" t="s">
        <v>57</v>
      </c>
      <c r="F197" s="74" t="s">
        <v>151</v>
      </c>
      <c r="G197" s="75">
        <v>50000</v>
      </c>
      <c r="H197" s="76" t="s">
        <v>62</v>
      </c>
      <c r="I197" s="73">
        <v>1000</v>
      </c>
      <c r="J197" s="77" t="s">
        <v>138</v>
      </c>
      <c r="K197" s="75">
        <f t="shared" si="0"/>
        <v>50</v>
      </c>
      <c r="L197" s="74" t="s">
        <v>169</v>
      </c>
      <c r="M197" s="74" t="str">
        <f t="shared" si="2"/>
        <v>Distributor</v>
      </c>
      <c r="N197" s="74" t="s">
        <v>521</v>
      </c>
      <c r="V197" s="40" t="s">
        <v>921</v>
      </c>
      <c r="W197" s="40" t="s">
        <v>556</v>
      </c>
    </row>
    <row r="198" spans="1:23" ht="13">
      <c r="A198" s="71">
        <f t="shared" si="1"/>
        <v>192</v>
      </c>
      <c r="B198" s="72" t="s">
        <v>922</v>
      </c>
      <c r="C198" s="73" t="s">
        <v>923</v>
      </c>
      <c r="D198" s="74" t="s">
        <v>28</v>
      </c>
      <c r="E198" s="74" t="s">
        <v>57</v>
      </c>
      <c r="F198" s="74" t="s">
        <v>151</v>
      </c>
      <c r="G198" s="75">
        <v>41400</v>
      </c>
      <c r="H198" s="76" t="s">
        <v>62</v>
      </c>
      <c r="I198" s="73">
        <v>400</v>
      </c>
      <c r="J198" s="77" t="s">
        <v>138</v>
      </c>
      <c r="K198" s="75">
        <f t="shared" si="0"/>
        <v>103.5</v>
      </c>
      <c r="L198" s="74" t="s">
        <v>169</v>
      </c>
      <c r="M198" s="74" t="str">
        <f t="shared" si="2"/>
        <v>Distributor</v>
      </c>
      <c r="N198" s="74" t="s">
        <v>521</v>
      </c>
      <c r="V198" s="40" t="s">
        <v>924</v>
      </c>
      <c r="W198" s="40" t="s">
        <v>556</v>
      </c>
    </row>
    <row r="199" spans="1:23" ht="13">
      <c r="A199" s="71">
        <f t="shared" si="1"/>
        <v>193</v>
      </c>
      <c r="B199" s="72" t="s">
        <v>925</v>
      </c>
      <c r="C199" s="73" t="s">
        <v>926</v>
      </c>
      <c r="D199" s="74" t="s">
        <v>28</v>
      </c>
      <c r="E199" s="74" t="s">
        <v>57</v>
      </c>
      <c r="F199" s="74" t="s">
        <v>168</v>
      </c>
      <c r="G199" s="75">
        <v>39738</v>
      </c>
      <c r="H199" s="76" t="s">
        <v>36</v>
      </c>
      <c r="I199" s="73">
        <v>1000</v>
      </c>
      <c r="J199" s="77" t="s">
        <v>138</v>
      </c>
      <c r="K199" s="75">
        <f t="shared" si="0"/>
        <v>39.738</v>
      </c>
      <c r="L199" s="74" t="s">
        <v>37</v>
      </c>
      <c r="M199" s="74" t="str">
        <f t="shared" si="2"/>
        <v>Supplier</v>
      </c>
      <c r="N199" s="74" t="s">
        <v>521</v>
      </c>
      <c r="V199" s="40" t="s">
        <v>927</v>
      </c>
      <c r="W199" s="40" t="s">
        <v>559</v>
      </c>
    </row>
    <row r="200" spans="1:23" ht="13">
      <c r="A200" s="71">
        <f t="shared" si="1"/>
        <v>194</v>
      </c>
      <c r="B200" s="72" t="s">
        <v>928</v>
      </c>
      <c r="C200" s="73" t="s">
        <v>929</v>
      </c>
      <c r="D200" s="74" t="s">
        <v>28</v>
      </c>
      <c r="E200" s="74" t="s">
        <v>57</v>
      </c>
      <c r="F200" s="74" t="s">
        <v>142</v>
      </c>
      <c r="G200" s="75">
        <v>28000</v>
      </c>
      <c r="H200" s="76" t="s">
        <v>36</v>
      </c>
      <c r="I200" s="73">
        <v>1000</v>
      </c>
      <c r="J200" s="77" t="s">
        <v>138</v>
      </c>
      <c r="K200" s="75">
        <f t="shared" si="0"/>
        <v>28</v>
      </c>
      <c r="L200" s="74" t="s">
        <v>373</v>
      </c>
      <c r="M200" s="74" t="str">
        <f t="shared" si="2"/>
        <v>Direct</v>
      </c>
      <c r="N200" s="74" t="s">
        <v>521</v>
      </c>
      <c r="V200" s="40" t="s">
        <v>930</v>
      </c>
      <c r="W200" s="40" t="s">
        <v>563</v>
      </c>
    </row>
    <row r="201" spans="1:23" ht="13">
      <c r="A201" s="71">
        <f t="shared" si="1"/>
        <v>195</v>
      </c>
      <c r="B201" s="72" t="s">
        <v>931</v>
      </c>
      <c r="C201" s="73" t="s">
        <v>932</v>
      </c>
      <c r="D201" s="74" t="s">
        <v>28</v>
      </c>
      <c r="E201" s="74" t="s">
        <v>57</v>
      </c>
      <c r="F201" s="74" t="s">
        <v>168</v>
      </c>
      <c r="G201" s="75">
        <v>92000</v>
      </c>
      <c r="H201" s="76" t="s">
        <v>36</v>
      </c>
      <c r="I201" s="73">
        <v>5000</v>
      </c>
      <c r="J201" s="77" t="s">
        <v>138</v>
      </c>
      <c r="K201" s="75">
        <f t="shared" si="0"/>
        <v>18.399999999999999</v>
      </c>
      <c r="L201" s="74" t="s">
        <v>264</v>
      </c>
      <c r="M201" s="74" t="str">
        <f t="shared" si="2"/>
        <v>Distributor</v>
      </c>
      <c r="N201" s="74" t="s">
        <v>521</v>
      </c>
      <c r="V201" s="40" t="s">
        <v>933</v>
      </c>
      <c r="W201" s="40" t="s">
        <v>567</v>
      </c>
    </row>
    <row r="202" spans="1:23" ht="13">
      <c r="A202" s="71">
        <f t="shared" si="1"/>
        <v>196</v>
      </c>
      <c r="B202" s="72" t="s">
        <v>1991</v>
      </c>
      <c r="C202" s="73" t="s">
        <v>935</v>
      </c>
      <c r="D202" s="74" t="s">
        <v>28</v>
      </c>
      <c r="E202" s="74" t="s">
        <v>57</v>
      </c>
      <c r="F202" s="74" t="s">
        <v>168</v>
      </c>
      <c r="G202" s="75">
        <v>8600</v>
      </c>
      <c r="H202" s="76" t="s">
        <v>62</v>
      </c>
      <c r="I202" s="73">
        <v>250</v>
      </c>
      <c r="J202" s="77" t="s">
        <v>138</v>
      </c>
      <c r="K202" s="75">
        <f t="shared" si="0"/>
        <v>34.4</v>
      </c>
      <c r="L202" s="74" t="s">
        <v>264</v>
      </c>
      <c r="M202" s="74" t="str">
        <f t="shared" si="2"/>
        <v>Distributor</v>
      </c>
      <c r="N202" s="74" t="s">
        <v>521</v>
      </c>
      <c r="V202" s="40" t="s">
        <v>936</v>
      </c>
      <c r="W202" s="40" t="s">
        <v>571</v>
      </c>
    </row>
    <row r="203" spans="1:23" ht="13">
      <c r="A203" s="71">
        <f t="shared" si="1"/>
        <v>197</v>
      </c>
      <c r="B203" s="72" t="s">
        <v>937</v>
      </c>
      <c r="C203" s="73" t="s">
        <v>938</v>
      </c>
      <c r="D203" s="74" t="s">
        <v>28</v>
      </c>
      <c r="E203" s="74" t="s">
        <v>57</v>
      </c>
      <c r="F203" s="74" t="s">
        <v>159</v>
      </c>
      <c r="G203" s="75">
        <v>8500</v>
      </c>
      <c r="H203" s="76" t="s">
        <v>62</v>
      </c>
      <c r="I203" s="73">
        <v>20</v>
      </c>
      <c r="J203" s="77" t="s">
        <v>306</v>
      </c>
      <c r="K203" s="75">
        <f t="shared" si="0"/>
        <v>425</v>
      </c>
      <c r="L203" s="74" t="s">
        <v>297</v>
      </c>
      <c r="M203" s="74" t="str">
        <f t="shared" si="2"/>
        <v>Direct</v>
      </c>
      <c r="N203" s="74" t="s">
        <v>521</v>
      </c>
      <c r="V203" s="40" t="s">
        <v>939</v>
      </c>
      <c r="W203" s="40" t="s">
        <v>575</v>
      </c>
    </row>
    <row r="204" spans="1:23" ht="13">
      <c r="A204" s="71">
        <f t="shared" si="1"/>
        <v>198</v>
      </c>
      <c r="B204" s="72" t="s">
        <v>940</v>
      </c>
      <c r="C204" s="73" t="s">
        <v>941</v>
      </c>
      <c r="D204" s="74" t="s">
        <v>28</v>
      </c>
      <c r="E204" s="74" t="s">
        <v>57</v>
      </c>
      <c r="F204" s="74" t="s">
        <v>168</v>
      </c>
      <c r="G204" s="75">
        <v>20000</v>
      </c>
      <c r="H204" s="76" t="s">
        <v>62</v>
      </c>
      <c r="I204" s="73">
        <v>100</v>
      </c>
      <c r="J204" s="77" t="s">
        <v>138</v>
      </c>
      <c r="K204" s="75">
        <f t="shared" si="0"/>
        <v>200</v>
      </c>
      <c r="L204" s="74" t="s">
        <v>355</v>
      </c>
      <c r="M204" s="74" t="str">
        <f t="shared" si="2"/>
        <v>Direct</v>
      </c>
      <c r="N204" s="74"/>
      <c r="V204" s="40" t="s">
        <v>942</v>
      </c>
      <c r="W204" s="40" t="s">
        <v>579</v>
      </c>
    </row>
    <row r="205" spans="1:23" ht="13">
      <c r="A205" s="71">
        <f t="shared" si="1"/>
        <v>199</v>
      </c>
      <c r="B205" s="72" t="s">
        <v>1992</v>
      </c>
      <c r="C205" s="73" t="s">
        <v>944</v>
      </c>
      <c r="D205" s="74" t="s">
        <v>28</v>
      </c>
      <c r="E205" s="74" t="s">
        <v>57</v>
      </c>
      <c r="F205" s="74" t="s">
        <v>168</v>
      </c>
      <c r="G205" s="75">
        <v>8600</v>
      </c>
      <c r="H205" s="76" t="s">
        <v>62</v>
      </c>
      <c r="I205" s="73">
        <v>250</v>
      </c>
      <c r="J205" s="77" t="s">
        <v>138</v>
      </c>
      <c r="K205" s="75">
        <f t="shared" si="0"/>
        <v>34.4</v>
      </c>
      <c r="L205" s="74" t="s">
        <v>264</v>
      </c>
      <c r="M205" s="74" t="str">
        <f t="shared" si="2"/>
        <v>Distributor</v>
      </c>
      <c r="N205" s="74" t="s">
        <v>521</v>
      </c>
      <c r="V205" s="40" t="s">
        <v>945</v>
      </c>
      <c r="W205" s="40" t="s">
        <v>583</v>
      </c>
    </row>
    <row r="206" spans="1:23" ht="13">
      <c r="A206" s="71">
        <f t="shared" si="1"/>
        <v>200</v>
      </c>
      <c r="B206" s="72" t="s">
        <v>2041</v>
      </c>
      <c r="C206" s="73" t="s">
        <v>947</v>
      </c>
      <c r="D206" s="74" t="s">
        <v>81</v>
      </c>
      <c r="E206" s="74" t="s">
        <v>46</v>
      </c>
      <c r="F206" s="74" t="s">
        <v>86</v>
      </c>
      <c r="G206" s="75">
        <v>460000</v>
      </c>
      <c r="H206" s="76" t="s">
        <v>75</v>
      </c>
      <c r="I206" s="73">
        <v>250</v>
      </c>
      <c r="J206" s="77" t="s">
        <v>138</v>
      </c>
      <c r="K206" s="75">
        <f t="shared" si="0"/>
        <v>1840</v>
      </c>
      <c r="L206" s="74" t="s">
        <v>133</v>
      </c>
      <c r="M206" s="74" t="str">
        <f t="shared" si="2"/>
        <v>Supplier</v>
      </c>
      <c r="N206" s="74"/>
      <c r="V206" s="40" t="s">
        <v>948</v>
      </c>
      <c r="W206" s="40" t="s">
        <v>587</v>
      </c>
    </row>
    <row r="207" spans="1:23" ht="13">
      <c r="A207" s="71">
        <f t="shared" si="1"/>
        <v>201</v>
      </c>
      <c r="B207" s="72" t="s">
        <v>1993</v>
      </c>
      <c r="C207" s="73" t="s">
        <v>950</v>
      </c>
      <c r="D207" s="74" t="s">
        <v>81</v>
      </c>
      <c r="E207" s="74" t="s">
        <v>46</v>
      </c>
      <c r="F207" s="74" t="s">
        <v>61</v>
      </c>
      <c r="G207" s="75">
        <v>29500</v>
      </c>
      <c r="H207" s="76" t="s">
        <v>97</v>
      </c>
      <c r="I207" s="73">
        <v>1000</v>
      </c>
      <c r="J207" s="77" t="s">
        <v>30</v>
      </c>
      <c r="K207" s="75">
        <f t="shared" si="0"/>
        <v>29.5</v>
      </c>
      <c r="L207" s="74" t="s">
        <v>355</v>
      </c>
      <c r="M207" s="74" t="str">
        <f t="shared" si="2"/>
        <v>Direct</v>
      </c>
      <c r="N207" s="74"/>
      <c r="V207" s="40" t="s">
        <v>951</v>
      </c>
      <c r="W207" s="40" t="s">
        <v>591</v>
      </c>
    </row>
    <row r="208" spans="1:23" ht="13">
      <c r="A208" s="71">
        <f t="shared" si="1"/>
        <v>202</v>
      </c>
      <c r="B208" s="72" t="s">
        <v>1994</v>
      </c>
      <c r="C208" s="73" t="s">
        <v>953</v>
      </c>
      <c r="D208" s="74" t="s">
        <v>81</v>
      </c>
      <c r="E208" s="74" t="s">
        <v>46</v>
      </c>
      <c r="F208" s="74" t="s">
        <v>61</v>
      </c>
      <c r="G208" s="75">
        <v>29500</v>
      </c>
      <c r="H208" s="76" t="s">
        <v>97</v>
      </c>
      <c r="I208" s="73">
        <v>1000</v>
      </c>
      <c r="J208" s="77" t="s">
        <v>30</v>
      </c>
      <c r="K208" s="75">
        <f t="shared" si="0"/>
        <v>29.5</v>
      </c>
      <c r="L208" s="74" t="s">
        <v>355</v>
      </c>
      <c r="M208" s="74" t="str">
        <f t="shared" si="2"/>
        <v>Direct</v>
      </c>
      <c r="N208" s="74"/>
      <c r="V208" s="40" t="s">
        <v>954</v>
      </c>
      <c r="W208" s="40" t="s">
        <v>595</v>
      </c>
    </row>
    <row r="209" spans="1:23" ht="13">
      <c r="A209" s="71">
        <f t="shared" si="1"/>
        <v>203</v>
      </c>
      <c r="B209" s="72" t="s">
        <v>1996</v>
      </c>
      <c r="C209" s="73" t="s">
        <v>956</v>
      </c>
      <c r="D209" s="74" t="s">
        <v>81</v>
      </c>
      <c r="E209" s="74" t="s">
        <v>46</v>
      </c>
      <c r="F209" s="74" t="s">
        <v>61</v>
      </c>
      <c r="G209" s="75">
        <v>21250</v>
      </c>
      <c r="H209" s="76" t="s">
        <v>97</v>
      </c>
      <c r="I209" s="73">
        <v>460</v>
      </c>
      <c r="J209" s="77" t="s">
        <v>30</v>
      </c>
      <c r="K209" s="75">
        <f t="shared" si="0"/>
        <v>46.195652173913047</v>
      </c>
      <c r="L209" s="74" t="s">
        <v>264</v>
      </c>
      <c r="M209" s="74" t="str">
        <f t="shared" si="2"/>
        <v>Distributor</v>
      </c>
      <c r="N209" s="74" t="s">
        <v>521</v>
      </c>
      <c r="V209" s="40" t="s">
        <v>957</v>
      </c>
      <c r="W209" s="40" t="s">
        <v>599</v>
      </c>
    </row>
    <row r="210" spans="1:23" ht="13">
      <c r="A210" s="71">
        <f t="shared" si="1"/>
        <v>204</v>
      </c>
      <c r="B210" s="72" t="s">
        <v>1997</v>
      </c>
      <c r="C210" s="73" t="s">
        <v>959</v>
      </c>
      <c r="D210" s="74" t="s">
        <v>81</v>
      </c>
      <c r="E210" s="74" t="s">
        <v>46</v>
      </c>
      <c r="F210" s="74" t="s">
        <v>61</v>
      </c>
      <c r="G210" s="75">
        <v>140500</v>
      </c>
      <c r="H210" s="76" t="s">
        <v>97</v>
      </c>
      <c r="I210" s="73">
        <v>700</v>
      </c>
      <c r="J210" s="77" t="s">
        <v>30</v>
      </c>
      <c r="K210" s="75">
        <f t="shared" si="0"/>
        <v>200.71428571428572</v>
      </c>
      <c r="L210" s="74" t="s">
        <v>355</v>
      </c>
      <c r="M210" s="74" t="str">
        <f t="shared" si="2"/>
        <v>Direct</v>
      </c>
      <c r="N210" s="74"/>
      <c r="V210" s="40" t="s">
        <v>960</v>
      </c>
      <c r="W210" s="40" t="s">
        <v>603</v>
      </c>
    </row>
    <row r="211" spans="1:23" ht="13">
      <c r="A211" s="71">
        <f t="shared" si="1"/>
        <v>205</v>
      </c>
      <c r="B211" s="72" t="s">
        <v>2004</v>
      </c>
      <c r="C211" s="73" t="s">
        <v>962</v>
      </c>
      <c r="D211" s="74" t="s">
        <v>81</v>
      </c>
      <c r="E211" s="74" t="s">
        <v>46</v>
      </c>
      <c r="F211" s="74" t="s">
        <v>61</v>
      </c>
      <c r="G211" s="75">
        <v>95000</v>
      </c>
      <c r="H211" s="76" t="s">
        <v>97</v>
      </c>
      <c r="I211" s="73">
        <v>750</v>
      </c>
      <c r="J211" s="77" t="s">
        <v>30</v>
      </c>
      <c r="K211" s="75">
        <f t="shared" si="0"/>
        <v>126.66666666666667</v>
      </c>
      <c r="L211" s="74" t="s">
        <v>98</v>
      </c>
      <c r="M211" s="74" t="str">
        <f t="shared" si="2"/>
        <v>Supplier</v>
      </c>
      <c r="N211" s="74" t="s">
        <v>521</v>
      </c>
      <c r="V211" s="40" t="s">
        <v>963</v>
      </c>
      <c r="W211" s="40" t="s">
        <v>607</v>
      </c>
    </row>
    <row r="212" spans="1:23" ht="13">
      <c r="A212" s="71">
        <f t="shared" si="1"/>
        <v>206</v>
      </c>
      <c r="B212" s="72" t="s">
        <v>1998</v>
      </c>
      <c r="C212" s="73" t="s">
        <v>965</v>
      </c>
      <c r="D212" s="74" t="s">
        <v>81</v>
      </c>
      <c r="E212" s="74" t="s">
        <v>46</v>
      </c>
      <c r="F212" s="74" t="s">
        <v>61</v>
      </c>
      <c r="G212" s="75">
        <v>140500</v>
      </c>
      <c r="H212" s="76" t="s">
        <v>97</v>
      </c>
      <c r="I212" s="73">
        <v>700</v>
      </c>
      <c r="J212" s="77" t="s">
        <v>30</v>
      </c>
      <c r="K212" s="75">
        <f t="shared" si="0"/>
        <v>200.71428571428572</v>
      </c>
      <c r="L212" s="74" t="s">
        <v>355</v>
      </c>
      <c r="M212" s="74" t="str">
        <f t="shared" si="2"/>
        <v>Direct</v>
      </c>
      <c r="N212" s="74"/>
      <c r="V212" s="40" t="s">
        <v>966</v>
      </c>
      <c r="W212" s="40" t="s">
        <v>611</v>
      </c>
    </row>
    <row r="213" spans="1:23" ht="13">
      <c r="A213" s="71">
        <f t="shared" si="1"/>
        <v>207</v>
      </c>
      <c r="B213" s="72" t="s">
        <v>1999</v>
      </c>
      <c r="C213" s="73" t="s">
        <v>968</v>
      </c>
      <c r="D213" s="74" t="s">
        <v>81</v>
      </c>
      <c r="E213" s="74" t="s">
        <v>46</v>
      </c>
      <c r="F213" s="74" t="s">
        <v>61</v>
      </c>
      <c r="G213" s="75">
        <v>140500</v>
      </c>
      <c r="H213" s="76" t="s">
        <v>97</v>
      </c>
      <c r="I213" s="73">
        <v>700</v>
      </c>
      <c r="J213" s="77" t="s">
        <v>30</v>
      </c>
      <c r="K213" s="75">
        <f t="shared" si="0"/>
        <v>200.71428571428572</v>
      </c>
      <c r="L213" s="74" t="s">
        <v>355</v>
      </c>
      <c r="M213" s="74" t="str">
        <f t="shared" si="2"/>
        <v>Direct</v>
      </c>
      <c r="N213" s="74"/>
      <c r="V213" s="40" t="s">
        <v>969</v>
      </c>
      <c r="W213" s="40" t="s">
        <v>614</v>
      </c>
    </row>
    <row r="214" spans="1:23" ht="13">
      <c r="A214" s="71">
        <f t="shared" si="1"/>
        <v>208</v>
      </c>
      <c r="B214" s="72" t="s">
        <v>970</v>
      </c>
      <c r="C214" s="73" t="s">
        <v>971</v>
      </c>
      <c r="D214" s="74" t="s">
        <v>81</v>
      </c>
      <c r="E214" s="74" t="s">
        <v>46</v>
      </c>
      <c r="F214" s="74" t="s">
        <v>86</v>
      </c>
      <c r="G214" s="75">
        <v>21000</v>
      </c>
      <c r="H214" s="76" t="s">
        <v>75</v>
      </c>
      <c r="I214" s="73">
        <v>35</v>
      </c>
      <c r="J214" s="77" t="s">
        <v>138</v>
      </c>
      <c r="K214" s="75">
        <f t="shared" si="0"/>
        <v>600</v>
      </c>
      <c r="L214" s="74" t="s">
        <v>331</v>
      </c>
      <c r="M214" s="74" t="str">
        <f t="shared" si="2"/>
        <v>Direct</v>
      </c>
      <c r="N214" s="74" t="s">
        <v>521</v>
      </c>
      <c r="V214" s="40" t="s">
        <v>972</v>
      </c>
      <c r="W214" s="40" t="s">
        <v>617</v>
      </c>
    </row>
    <row r="215" spans="1:23" ht="13">
      <c r="A215" s="71">
        <f t="shared" si="1"/>
        <v>209</v>
      </c>
      <c r="B215" s="72" t="s">
        <v>2005</v>
      </c>
      <c r="C215" s="73" t="s">
        <v>974</v>
      </c>
      <c r="D215" s="74" t="s">
        <v>81</v>
      </c>
      <c r="E215" s="74" t="s">
        <v>46</v>
      </c>
      <c r="F215" s="74" t="s">
        <v>61</v>
      </c>
      <c r="G215" s="75">
        <v>195000</v>
      </c>
      <c r="H215" s="76" t="s">
        <v>97</v>
      </c>
      <c r="I215" s="73">
        <v>2000</v>
      </c>
      <c r="J215" s="77" t="s">
        <v>138</v>
      </c>
      <c r="K215" s="75">
        <f t="shared" si="0"/>
        <v>97.5</v>
      </c>
      <c r="L215" s="74" t="s">
        <v>98</v>
      </c>
      <c r="M215" s="74" t="str">
        <f t="shared" si="2"/>
        <v>Supplier</v>
      </c>
      <c r="N215" s="74" t="s">
        <v>521</v>
      </c>
      <c r="V215" s="40" t="s">
        <v>975</v>
      </c>
      <c r="W215" s="40" t="s">
        <v>620</v>
      </c>
    </row>
    <row r="216" spans="1:23" ht="13">
      <c r="A216" s="71">
        <f t="shared" si="1"/>
        <v>210</v>
      </c>
      <c r="B216" s="72" t="s">
        <v>976</v>
      </c>
      <c r="C216" s="73" t="s">
        <v>977</v>
      </c>
      <c r="D216" s="74" t="s">
        <v>81</v>
      </c>
      <c r="E216" s="74" t="s">
        <v>128</v>
      </c>
      <c r="F216" s="74" t="s">
        <v>131</v>
      </c>
      <c r="G216" s="75">
        <v>30000</v>
      </c>
      <c r="H216" s="76" t="s">
        <v>62</v>
      </c>
      <c r="I216" s="73">
        <v>300</v>
      </c>
      <c r="J216" s="77" t="s">
        <v>306</v>
      </c>
      <c r="K216" s="75">
        <f t="shared" si="0"/>
        <v>100</v>
      </c>
      <c r="L216" s="74" t="s">
        <v>355</v>
      </c>
      <c r="M216" s="74" t="str">
        <f t="shared" si="2"/>
        <v>Direct</v>
      </c>
      <c r="N216" s="74"/>
      <c r="V216" s="40" t="s">
        <v>978</v>
      </c>
      <c r="W216" s="40" t="s">
        <v>624</v>
      </c>
    </row>
    <row r="217" spans="1:23" ht="13">
      <c r="A217" s="71">
        <f t="shared" si="1"/>
        <v>211</v>
      </c>
      <c r="B217" s="72" t="s">
        <v>979</v>
      </c>
      <c r="C217" s="73" t="s">
        <v>980</v>
      </c>
      <c r="D217" s="74" t="s">
        <v>81</v>
      </c>
      <c r="E217" s="74" t="s">
        <v>128</v>
      </c>
      <c r="F217" s="74" t="s">
        <v>131</v>
      </c>
      <c r="G217" s="75">
        <v>27000</v>
      </c>
      <c r="H217" s="76" t="s">
        <v>62</v>
      </c>
      <c r="I217" s="73">
        <v>100</v>
      </c>
      <c r="J217" s="77" t="s">
        <v>306</v>
      </c>
      <c r="K217" s="75">
        <f t="shared" si="0"/>
        <v>270</v>
      </c>
      <c r="L217" s="74" t="s">
        <v>227</v>
      </c>
      <c r="M217" s="74" t="str">
        <f t="shared" si="2"/>
        <v>Distributor</v>
      </c>
      <c r="N217" s="74"/>
      <c r="V217" s="40" t="s">
        <v>981</v>
      </c>
      <c r="W217" s="40" t="s">
        <v>628</v>
      </c>
    </row>
    <row r="218" spans="1:23" ht="13">
      <c r="A218" s="71">
        <f t="shared" si="1"/>
        <v>212</v>
      </c>
      <c r="B218" s="72" t="s">
        <v>982</v>
      </c>
      <c r="C218" s="73" t="s">
        <v>983</v>
      </c>
      <c r="D218" s="74" t="s">
        <v>56</v>
      </c>
      <c r="E218" s="74" t="s">
        <v>217</v>
      </c>
      <c r="F218" s="74" t="s">
        <v>187</v>
      </c>
      <c r="G218" s="75">
        <v>18000</v>
      </c>
      <c r="H218" s="76" t="s">
        <v>62</v>
      </c>
      <c r="I218" s="73">
        <v>12</v>
      </c>
      <c r="J218" s="77" t="s">
        <v>306</v>
      </c>
      <c r="K218" s="75">
        <f t="shared" si="0"/>
        <v>1500</v>
      </c>
      <c r="L218" s="74" t="s">
        <v>264</v>
      </c>
      <c r="M218" s="74" t="str">
        <f t="shared" si="2"/>
        <v>Distributor</v>
      </c>
      <c r="N218" s="74" t="s">
        <v>521</v>
      </c>
      <c r="V218" s="40" t="s">
        <v>984</v>
      </c>
      <c r="W218" s="40" t="s">
        <v>632</v>
      </c>
    </row>
    <row r="219" spans="1:23" ht="13">
      <c r="A219" s="71">
        <f t="shared" si="1"/>
        <v>213</v>
      </c>
      <c r="B219" s="72" t="s">
        <v>985</v>
      </c>
      <c r="C219" s="73" t="s">
        <v>986</v>
      </c>
      <c r="D219" s="74" t="s">
        <v>81</v>
      </c>
      <c r="E219" s="74" t="s">
        <v>217</v>
      </c>
      <c r="F219" s="74" t="s">
        <v>187</v>
      </c>
      <c r="G219" s="75">
        <v>150000</v>
      </c>
      <c r="H219" s="76" t="s">
        <v>62</v>
      </c>
      <c r="I219" s="73">
        <v>500</v>
      </c>
      <c r="J219" s="77" t="s">
        <v>138</v>
      </c>
      <c r="K219" s="75">
        <f t="shared" si="0"/>
        <v>300</v>
      </c>
      <c r="L219" s="74" t="s">
        <v>331</v>
      </c>
      <c r="M219" s="74" t="str">
        <f t="shared" si="2"/>
        <v>Direct</v>
      </c>
      <c r="N219" s="74"/>
      <c r="V219" s="40" t="s">
        <v>2073</v>
      </c>
      <c r="W219" s="40" t="s">
        <v>636</v>
      </c>
    </row>
    <row r="220" spans="1:23" ht="13">
      <c r="A220" s="71">
        <f t="shared" si="1"/>
        <v>214</v>
      </c>
      <c r="B220" s="72" t="s">
        <v>987</v>
      </c>
      <c r="C220" s="73" t="s">
        <v>988</v>
      </c>
      <c r="D220" s="74" t="s">
        <v>56</v>
      </c>
      <c r="E220" s="74" t="s">
        <v>217</v>
      </c>
      <c r="F220" s="74" t="s">
        <v>187</v>
      </c>
      <c r="G220" s="75">
        <v>30938</v>
      </c>
      <c r="H220" s="76" t="s">
        <v>62</v>
      </c>
      <c r="I220" s="73">
        <v>1700</v>
      </c>
      <c r="J220" s="77" t="s">
        <v>138</v>
      </c>
      <c r="K220" s="75">
        <f t="shared" si="0"/>
        <v>18.198823529411765</v>
      </c>
      <c r="L220" s="74" t="s">
        <v>297</v>
      </c>
      <c r="M220" s="74" t="str">
        <f t="shared" si="2"/>
        <v>Direct</v>
      </c>
      <c r="N220" s="74" t="s">
        <v>521</v>
      </c>
      <c r="V220" s="40" t="s">
        <v>2074</v>
      </c>
      <c r="W220" s="40" t="s">
        <v>636</v>
      </c>
    </row>
    <row r="221" spans="1:23" ht="13">
      <c r="A221" s="71">
        <f t="shared" si="1"/>
        <v>215</v>
      </c>
      <c r="B221" s="72" t="s">
        <v>989</v>
      </c>
      <c r="C221" s="73" t="s">
        <v>990</v>
      </c>
      <c r="D221" s="74" t="s">
        <v>56</v>
      </c>
      <c r="E221" s="74" t="s">
        <v>217</v>
      </c>
      <c r="F221" s="74" t="s">
        <v>187</v>
      </c>
      <c r="G221" s="75">
        <v>54500</v>
      </c>
      <c r="H221" s="76" t="s">
        <v>62</v>
      </c>
      <c r="I221" s="73">
        <v>5000</v>
      </c>
      <c r="J221" s="77" t="s">
        <v>30</v>
      </c>
      <c r="K221" s="75">
        <f t="shared" si="0"/>
        <v>10.9</v>
      </c>
      <c r="L221" s="74" t="s">
        <v>355</v>
      </c>
      <c r="M221" s="74" t="str">
        <f t="shared" si="2"/>
        <v>Direct</v>
      </c>
      <c r="N221" s="74" t="s">
        <v>521</v>
      </c>
      <c r="V221" s="40" t="s">
        <v>991</v>
      </c>
      <c r="W221" s="40" t="s">
        <v>640</v>
      </c>
    </row>
    <row r="222" spans="1:23" ht="13">
      <c r="A222" s="71">
        <f t="shared" si="1"/>
        <v>216</v>
      </c>
      <c r="B222" s="72" t="s">
        <v>2006</v>
      </c>
      <c r="C222" s="73" t="s">
        <v>993</v>
      </c>
      <c r="D222" s="74" t="s">
        <v>56</v>
      </c>
      <c r="E222" s="74" t="s">
        <v>217</v>
      </c>
      <c r="F222" s="74" t="s">
        <v>187</v>
      </c>
      <c r="G222" s="75">
        <v>170000</v>
      </c>
      <c r="H222" s="76" t="s">
        <v>143</v>
      </c>
      <c r="I222" s="73">
        <v>60</v>
      </c>
      <c r="J222" s="77" t="s">
        <v>741</v>
      </c>
      <c r="K222" s="75">
        <f t="shared" si="0"/>
        <v>2833.3333333333335</v>
      </c>
      <c r="L222" s="74" t="s">
        <v>98</v>
      </c>
      <c r="M222" s="74" t="str">
        <f t="shared" si="2"/>
        <v>Supplier</v>
      </c>
      <c r="N222" s="74" t="s">
        <v>521</v>
      </c>
      <c r="V222" s="40" t="s">
        <v>994</v>
      </c>
      <c r="W222" s="40" t="s">
        <v>644</v>
      </c>
    </row>
    <row r="223" spans="1:23" ht="13">
      <c r="A223" s="71">
        <f t="shared" si="1"/>
        <v>217</v>
      </c>
      <c r="B223" s="72" t="s">
        <v>2007</v>
      </c>
      <c r="C223" s="73" t="s">
        <v>996</v>
      </c>
      <c r="D223" s="74" t="s">
        <v>56</v>
      </c>
      <c r="E223" s="74" t="s">
        <v>217</v>
      </c>
      <c r="F223" s="74" t="s">
        <v>187</v>
      </c>
      <c r="G223" s="75">
        <v>385740</v>
      </c>
      <c r="H223" s="76" t="s">
        <v>143</v>
      </c>
      <c r="I223" s="73">
        <v>50</v>
      </c>
      <c r="J223" s="77" t="s">
        <v>741</v>
      </c>
      <c r="K223" s="75">
        <f t="shared" si="0"/>
        <v>7714.8</v>
      </c>
      <c r="L223" s="74" t="s">
        <v>98</v>
      </c>
      <c r="M223" s="74" t="str">
        <f t="shared" si="2"/>
        <v>Supplier</v>
      </c>
      <c r="N223" s="74" t="s">
        <v>521</v>
      </c>
      <c r="V223" s="40" t="s">
        <v>997</v>
      </c>
      <c r="W223" s="40" t="s">
        <v>648</v>
      </c>
    </row>
    <row r="224" spans="1:23" ht="13">
      <c r="A224" s="71">
        <f t="shared" si="1"/>
        <v>218</v>
      </c>
      <c r="B224" s="72" t="s">
        <v>998</v>
      </c>
      <c r="C224" s="73" t="s">
        <v>999</v>
      </c>
      <c r="D224" s="74" t="s">
        <v>28</v>
      </c>
      <c r="E224" s="74" t="s">
        <v>57</v>
      </c>
      <c r="F224" s="74" t="s">
        <v>151</v>
      </c>
      <c r="G224" s="75">
        <v>15000</v>
      </c>
      <c r="H224" s="76" t="s">
        <v>62</v>
      </c>
      <c r="I224" s="73">
        <v>250</v>
      </c>
      <c r="J224" s="77" t="s">
        <v>138</v>
      </c>
      <c r="K224" s="75">
        <f t="shared" si="0"/>
        <v>60</v>
      </c>
      <c r="L224" s="74" t="s">
        <v>169</v>
      </c>
      <c r="M224" s="74" t="str">
        <f t="shared" si="2"/>
        <v>Distributor</v>
      </c>
      <c r="N224" s="74" t="s">
        <v>521</v>
      </c>
      <c r="V224" s="40" t="s">
        <v>906</v>
      </c>
      <c r="W224" s="40" t="s">
        <v>652</v>
      </c>
    </row>
    <row r="225" spans="1:23" ht="13">
      <c r="A225" s="71">
        <f t="shared" si="1"/>
        <v>219</v>
      </c>
      <c r="B225" s="72" t="s">
        <v>1000</v>
      </c>
      <c r="C225" s="73" t="s">
        <v>1001</v>
      </c>
      <c r="D225" s="74" t="s">
        <v>28</v>
      </c>
      <c r="E225" s="74" t="s">
        <v>57</v>
      </c>
      <c r="F225" s="74" t="s">
        <v>168</v>
      </c>
      <c r="G225" s="75">
        <v>44500</v>
      </c>
      <c r="H225" s="76" t="s">
        <v>62</v>
      </c>
      <c r="I225" s="73">
        <v>1000</v>
      </c>
      <c r="J225" s="77" t="s">
        <v>138</v>
      </c>
      <c r="K225" s="75">
        <f t="shared" si="0"/>
        <v>44.5</v>
      </c>
      <c r="L225" s="74" t="s">
        <v>264</v>
      </c>
      <c r="M225" s="74" t="str">
        <f t="shared" si="2"/>
        <v>Distributor</v>
      </c>
      <c r="N225" s="74" t="s">
        <v>521</v>
      </c>
      <c r="V225" s="40" t="s">
        <v>909</v>
      </c>
      <c r="W225" s="40" t="s">
        <v>656</v>
      </c>
    </row>
    <row r="226" spans="1:23" ht="13">
      <c r="A226" s="71">
        <f t="shared" si="1"/>
        <v>220</v>
      </c>
      <c r="B226" s="72" t="s">
        <v>1002</v>
      </c>
      <c r="C226" s="73" t="s">
        <v>1003</v>
      </c>
      <c r="D226" s="74" t="s">
        <v>28</v>
      </c>
      <c r="E226" s="74" t="s">
        <v>57</v>
      </c>
      <c r="F226" s="74" t="s">
        <v>168</v>
      </c>
      <c r="G226" s="75">
        <v>20500</v>
      </c>
      <c r="H226" s="76" t="s">
        <v>36</v>
      </c>
      <c r="I226" s="73">
        <v>1000</v>
      </c>
      <c r="J226" s="77" t="s">
        <v>138</v>
      </c>
      <c r="K226" s="75">
        <f t="shared" si="0"/>
        <v>20.5</v>
      </c>
      <c r="L226" s="74" t="s">
        <v>264</v>
      </c>
      <c r="M226" s="74" t="str">
        <f t="shared" si="2"/>
        <v>Distributor</v>
      </c>
      <c r="N226" s="74" t="s">
        <v>521</v>
      </c>
      <c r="V226" s="40" t="s">
        <v>1004</v>
      </c>
      <c r="W226" s="40" t="s">
        <v>660</v>
      </c>
    </row>
    <row r="227" spans="1:23" ht="13">
      <c r="A227" s="71">
        <f t="shared" si="1"/>
        <v>221</v>
      </c>
      <c r="B227" s="72" t="s">
        <v>1005</v>
      </c>
      <c r="C227" s="73" t="s">
        <v>1006</v>
      </c>
      <c r="D227" s="74" t="s">
        <v>28</v>
      </c>
      <c r="E227" s="74" t="s">
        <v>57</v>
      </c>
      <c r="F227" s="74" t="s">
        <v>168</v>
      </c>
      <c r="G227" s="75">
        <v>24000</v>
      </c>
      <c r="H227" s="76" t="s">
        <v>62</v>
      </c>
      <c r="I227" s="73">
        <v>100</v>
      </c>
      <c r="J227" s="77" t="s">
        <v>138</v>
      </c>
      <c r="K227" s="75">
        <f t="shared" si="0"/>
        <v>240</v>
      </c>
      <c r="L227" s="74" t="s">
        <v>355</v>
      </c>
      <c r="M227" s="74" t="str">
        <f t="shared" si="2"/>
        <v>Direct</v>
      </c>
      <c r="N227" s="74" t="s">
        <v>521</v>
      </c>
      <c r="V227" s="40" t="s">
        <v>1007</v>
      </c>
      <c r="W227" s="40" t="s">
        <v>664</v>
      </c>
    </row>
    <row r="228" spans="1:23" ht="13">
      <c r="A228" s="71">
        <f t="shared" si="1"/>
        <v>222</v>
      </c>
      <c r="B228" s="72" t="s">
        <v>2037</v>
      </c>
      <c r="C228" s="73" t="s">
        <v>1009</v>
      </c>
      <c r="D228" s="74" t="s">
        <v>28</v>
      </c>
      <c r="E228" s="74" t="s">
        <v>57</v>
      </c>
      <c r="F228" s="74" t="s">
        <v>168</v>
      </c>
      <c r="G228" s="75">
        <v>14000</v>
      </c>
      <c r="H228" s="76" t="s">
        <v>62</v>
      </c>
      <c r="I228" s="73">
        <v>130</v>
      </c>
      <c r="J228" s="77" t="s">
        <v>138</v>
      </c>
      <c r="K228" s="75">
        <f t="shared" si="0"/>
        <v>107.69230769230769</v>
      </c>
      <c r="L228" s="74" t="s">
        <v>355</v>
      </c>
      <c r="M228" s="74" t="str">
        <f t="shared" si="2"/>
        <v>Direct</v>
      </c>
      <c r="N228" s="74" t="s">
        <v>521</v>
      </c>
      <c r="V228" s="40" t="s">
        <v>1010</v>
      </c>
      <c r="W228" s="40" t="s">
        <v>668</v>
      </c>
    </row>
    <row r="229" spans="1:23" ht="13">
      <c r="A229" s="71">
        <f t="shared" si="1"/>
        <v>223</v>
      </c>
      <c r="B229" s="72" t="s">
        <v>1011</v>
      </c>
      <c r="C229" s="73" t="s">
        <v>1012</v>
      </c>
      <c r="D229" s="74" t="s">
        <v>28</v>
      </c>
      <c r="E229" s="74" t="s">
        <v>139</v>
      </c>
      <c r="F229" s="74" t="s">
        <v>187</v>
      </c>
      <c r="G229" s="75">
        <v>10000</v>
      </c>
      <c r="H229" s="76" t="s">
        <v>62</v>
      </c>
      <c r="I229" s="73">
        <v>50</v>
      </c>
      <c r="J229" s="77" t="s">
        <v>306</v>
      </c>
      <c r="K229" s="75">
        <f t="shared" si="0"/>
        <v>200</v>
      </c>
      <c r="L229" s="74" t="s">
        <v>264</v>
      </c>
      <c r="M229" s="74" t="str">
        <f t="shared" si="2"/>
        <v>Distributor</v>
      </c>
      <c r="N229" s="74" t="s">
        <v>521</v>
      </c>
      <c r="V229" s="40" t="s">
        <v>1013</v>
      </c>
      <c r="W229" s="40" t="s">
        <v>672</v>
      </c>
    </row>
    <row r="230" spans="1:23" ht="13">
      <c r="A230" s="71">
        <f t="shared" si="1"/>
        <v>224</v>
      </c>
      <c r="B230" s="72" t="s">
        <v>1014</v>
      </c>
      <c r="C230" s="73" t="s">
        <v>1015</v>
      </c>
      <c r="D230" s="74" t="s">
        <v>28</v>
      </c>
      <c r="E230" s="74" t="s">
        <v>139</v>
      </c>
      <c r="F230" s="74" t="s">
        <v>178</v>
      </c>
      <c r="G230" s="75">
        <v>10000</v>
      </c>
      <c r="H230" s="76" t="s">
        <v>62</v>
      </c>
      <c r="I230" s="73">
        <v>50</v>
      </c>
      <c r="J230" s="77" t="s">
        <v>306</v>
      </c>
      <c r="K230" s="75">
        <f t="shared" si="0"/>
        <v>200</v>
      </c>
      <c r="L230" s="74" t="s">
        <v>264</v>
      </c>
      <c r="M230" s="74" t="str">
        <f t="shared" si="2"/>
        <v>Distributor</v>
      </c>
      <c r="N230" s="74" t="s">
        <v>521</v>
      </c>
      <c r="V230" s="40" t="s">
        <v>1016</v>
      </c>
      <c r="W230" s="40" t="s">
        <v>676</v>
      </c>
    </row>
    <row r="231" spans="1:23" ht="13">
      <c r="A231" s="71">
        <f t="shared" si="1"/>
        <v>225</v>
      </c>
      <c r="B231" s="72" t="s">
        <v>1017</v>
      </c>
      <c r="C231" s="73" t="s">
        <v>1018</v>
      </c>
      <c r="D231" s="74" t="s">
        <v>56</v>
      </c>
      <c r="E231" s="74" t="s">
        <v>217</v>
      </c>
      <c r="F231" s="74" t="s">
        <v>187</v>
      </c>
      <c r="G231" s="75">
        <v>2800</v>
      </c>
      <c r="H231" s="76" t="s">
        <v>62</v>
      </c>
      <c r="I231" s="73">
        <v>1</v>
      </c>
      <c r="J231" s="77" t="s">
        <v>306</v>
      </c>
      <c r="K231" s="75">
        <f t="shared" si="0"/>
        <v>2800</v>
      </c>
      <c r="L231" s="74" t="s">
        <v>264</v>
      </c>
      <c r="M231" s="74" t="str">
        <f t="shared" si="2"/>
        <v>Distributor</v>
      </c>
      <c r="N231" s="74" t="s">
        <v>521</v>
      </c>
      <c r="V231" s="40" t="s">
        <v>1019</v>
      </c>
      <c r="W231" s="40" t="s">
        <v>681</v>
      </c>
    </row>
    <row r="232" spans="1:23" ht="13">
      <c r="A232" s="71">
        <f t="shared" si="1"/>
        <v>226</v>
      </c>
      <c r="B232" s="72" t="s">
        <v>1020</v>
      </c>
      <c r="C232" s="73" t="s">
        <v>1021</v>
      </c>
      <c r="D232" s="74" t="s">
        <v>28</v>
      </c>
      <c r="E232" s="74" t="s">
        <v>57</v>
      </c>
      <c r="F232" s="74" t="s">
        <v>151</v>
      </c>
      <c r="G232" s="75">
        <v>24000</v>
      </c>
      <c r="H232" s="76" t="s">
        <v>36</v>
      </c>
      <c r="I232" s="73">
        <v>1000</v>
      </c>
      <c r="J232" s="77" t="s">
        <v>138</v>
      </c>
      <c r="K232" s="75">
        <f t="shared" si="0"/>
        <v>24</v>
      </c>
      <c r="L232" s="74" t="s">
        <v>169</v>
      </c>
      <c r="M232" s="74" t="str">
        <f t="shared" si="2"/>
        <v>Distributor</v>
      </c>
      <c r="N232" s="74" t="s">
        <v>521</v>
      </c>
      <c r="V232" s="40" t="s">
        <v>1022</v>
      </c>
      <c r="W232" s="40" t="s">
        <v>685</v>
      </c>
    </row>
    <row r="233" spans="1:23" ht="13">
      <c r="A233" s="71">
        <f t="shared" si="1"/>
        <v>227</v>
      </c>
      <c r="B233" s="72" t="s">
        <v>1023</v>
      </c>
      <c r="C233" s="73" t="s">
        <v>1024</v>
      </c>
      <c r="D233" s="74" t="s">
        <v>81</v>
      </c>
      <c r="E233" s="74" t="s">
        <v>128</v>
      </c>
      <c r="F233" s="74" t="s">
        <v>178</v>
      </c>
      <c r="G233" s="75">
        <v>20000</v>
      </c>
      <c r="H233" s="76" t="s">
        <v>62</v>
      </c>
      <c r="I233" s="73">
        <v>500</v>
      </c>
      <c r="J233" s="77" t="s">
        <v>138</v>
      </c>
      <c r="K233" s="75">
        <f t="shared" si="0"/>
        <v>40</v>
      </c>
      <c r="L233" s="74" t="s">
        <v>264</v>
      </c>
      <c r="M233" s="74" t="str">
        <f t="shared" si="2"/>
        <v>Distributor</v>
      </c>
      <c r="N233" s="74" t="s">
        <v>521</v>
      </c>
      <c r="V233" s="22" t="s">
        <v>1025</v>
      </c>
      <c r="W233" s="22" t="s">
        <v>1026</v>
      </c>
    </row>
    <row r="234" spans="1:23" ht="13">
      <c r="A234" s="71">
        <f t="shared" si="1"/>
        <v>228</v>
      </c>
      <c r="B234" s="72" t="s">
        <v>1027</v>
      </c>
      <c r="C234" s="73" t="s">
        <v>1028</v>
      </c>
      <c r="D234" s="74" t="s">
        <v>81</v>
      </c>
      <c r="E234" s="74" t="s">
        <v>128</v>
      </c>
      <c r="F234" s="74" t="s">
        <v>131</v>
      </c>
      <c r="G234" s="75">
        <v>20000</v>
      </c>
      <c r="H234" s="76" t="s">
        <v>62</v>
      </c>
      <c r="I234" s="73">
        <v>250</v>
      </c>
      <c r="J234" s="77" t="s">
        <v>138</v>
      </c>
      <c r="K234" s="75">
        <f t="shared" si="0"/>
        <v>80</v>
      </c>
      <c r="L234" s="74" t="s">
        <v>264</v>
      </c>
      <c r="M234" s="74" t="str">
        <f t="shared" si="2"/>
        <v>Distributor</v>
      </c>
      <c r="N234" s="74" t="s">
        <v>521</v>
      </c>
      <c r="V234" s="22" t="s">
        <v>1029</v>
      </c>
      <c r="W234" s="22" t="s">
        <v>1026</v>
      </c>
    </row>
    <row r="235" spans="1:23" ht="13">
      <c r="A235" s="71">
        <f t="shared" si="1"/>
        <v>229</v>
      </c>
      <c r="B235" s="72" t="s">
        <v>1030</v>
      </c>
      <c r="C235" s="73" t="s">
        <v>1031</v>
      </c>
      <c r="D235" s="74" t="s">
        <v>28</v>
      </c>
      <c r="E235" s="74" t="s">
        <v>139</v>
      </c>
      <c r="F235" s="74" t="s">
        <v>178</v>
      </c>
      <c r="G235" s="75">
        <v>5000</v>
      </c>
      <c r="H235" s="76" t="s">
        <v>62</v>
      </c>
      <c r="I235" s="73">
        <v>25</v>
      </c>
      <c r="J235" s="77" t="s">
        <v>306</v>
      </c>
      <c r="K235" s="75">
        <f t="shared" si="0"/>
        <v>200</v>
      </c>
      <c r="L235" s="74" t="s">
        <v>264</v>
      </c>
      <c r="M235" s="74" t="str">
        <f t="shared" si="2"/>
        <v>Distributor</v>
      </c>
      <c r="N235" s="74" t="s">
        <v>521</v>
      </c>
      <c r="V235" s="22" t="s">
        <v>1032</v>
      </c>
      <c r="W235" s="22" t="s">
        <v>1026</v>
      </c>
    </row>
    <row r="236" spans="1:23" ht="13">
      <c r="A236" s="71">
        <f t="shared" si="1"/>
        <v>230</v>
      </c>
      <c r="B236" s="72" t="s">
        <v>1033</v>
      </c>
      <c r="C236" s="73" t="s">
        <v>1034</v>
      </c>
      <c r="D236" s="74" t="s">
        <v>28</v>
      </c>
      <c r="E236" s="74" t="s">
        <v>139</v>
      </c>
      <c r="F236" s="74" t="s">
        <v>178</v>
      </c>
      <c r="G236" s="75">
        <v>5000</v>
      </c>
      <c r="H236" s="76" t="s">
        <v>62</v>
      </c>
      <c r="I236" s="73">
        <v>25</v>
      </c>
      <c r="J236" s="77" t="s">
        <v>306</v>
      </c>
      <c r="K236" s="75">
        <f t="shared" si="0"/>
        <v>200</v>
      </c>
      <c r="L236" s="74" t="s">
        <v>264</v>
      </c>
      <c r="M236" s="74" t="str">
        <f t="shared" si="2"/>
        <v>Distributor</v>
      </c>
      <c r="N236" s="74" t="s">
        <v>521</v>
      </c>
    </row>
    <row r="237" spans="1:23" ht="13">
      <c r="A237" s="71">
        <f t="shared" si="1"/>
        <v>231</v>
      </c>
      <c r="B237" s="72" t="s">
        <v>1980</v>
      </c>
      <c r="C237" s="73" t="s">
        <v>1036</v>
      </c>
      <c r="D237" s="74" t="s">
        <v>28</v>
      </c>
      <c r="E237" s="74" t="s">
        <v>57</v>
      </c>
      <c r="F237" s="74" t="s">
        <v>168</v>
      </c>
      <c r="G237" s="75">
        <v>17500</v>
      </c>
      <c r="H237" s="76" t="s">
        <v>62</v>
      </c>
      <c r="I237" s="73">
        <v>1000</v>
      </c>
      <c r="J237" s="77" t="s">
        <v>138</v>
      </c>
      <c r="K237" s="75">
        <f t="shared" si="0"/>
        <v>17.5</v>
      </c>
      <c r="L237" s="74" t="s">
        <v>297</v>
      </c>
      <c r="M237" s="74" t="str">
        <f t="shared" si="2"/>
        <v>Direct</v>
      </c>
      <c r="N237" s="74" t="s">
        <v>521</v>
      </c>
    </row>
    <row r="238" spans="1:23" ht="13">
      <c r="A238" s="71">
        <f t="shared" si="1"/>
        <v>232</v>
      </c>
      <c r="B238" s="72" t="s">
        <v>1037</v>
      </c>
      <c r="C238" s="73" t="s">
        <v>1038</v>
      </c>
      <c r="D238" s="74" t="s">
        <v>56</v>
      </c>
      <c r="E238" s="74" t="s">
        <v>217</v>
      </c>
      <c r="F238" s="74" t="s">
        <v>187</v>
      </c>
      <c r="G238" s="75">
        <v>6000</v>
      </c>
      <c r="H238" s="76" t="s">
        <v>97</v>
      </c>
      <c r="I238" s="73">
        <v>600</v>
      </c>
      <c r="J238" s="77" t="s">
        <v>30</v>
      </c>
      <c r="K238" s="75">
        <f t="shared" si="0"/>
        <v>10</v>
      </c>
      <c r="L238" s="74" t="s">
        <v>355</v>
      </c>
      <c r="M238" s="74" t="str">
        <f t="shared" si="2"/>
        <v>Direct</v>
      </c>
      <c r="N238" s="74" t="s">
        <v>521</v>
      </c>
    </row>
    <row r="239" spans="1:23" ht="13">
      <c r="A239" s="71">
        <f t="shared" si="1"/>
        <v>233</v>
      </c>
      <c r="B239" s="72" t="s">
        <v>1039</v>
      </c>
      <c r="C239" s="73" t="s">
        <v>1040</v>
      </c>
      <c r="D239" s="74" t="s">
        <v>28</v>
      </c>
      <c r="E239" s="74" t="s">
        <v>57</v>
      </c>
      <c r="F239" s="74" t="s">
        <v>168</v>
      </c>
      <c r="G239" s="75">
        <v>12500</v>
      </c>
      <c r="H239" s="76" t="s">
        <v>62</v>
      </c>
      <c r="I239" s="73">
        <v>170</v>
      </c>
      <c r="J239" s="77" t="s">
        <v>138</v>
      </c>
      <c r="K239" s="75">
        <f t="shared" si="0"/>
        <v>73.529411764705884</v>
      </c>
      <c r="L239" s="74" t="s">
        <v>355</v>
      </c>
      <c r="M239" s="74" t="str">
        <f t="shared" si="2"/>
        <v>Direct</v>
      </c>
      <c r="N239" s="74" t="s">
        <v>521</v>
      </c>
    </row>
    <row r="240" spans="1:23" ht="13">
      <c r="A240" s="71">
        <f t="shared" si="1"/>
        <v>234</v>
      </c>
      <c r="B240" s="72" t="s">
        <v>1041</v>
      </c>
      <c r="C240" s="73" t="s">
        <v>1042</v>
      </c>
      <c r="D240" s="74" t="s">
        <v>56</v>
      </c>
      <c r="E240" s="74" t="s">
        <v>217</v>
      </c>
      <c r="F240" s="74" t="s">
        <v>187</v>
      </c>
      <c r="G240" s="75">
        <v>35600</v>
      </c>
      <c r="H240" s="76" t="s">
        <v>62</v>
      </c>
      <c r="I240" s="73">
        <v>1</v>
      </c>
      <c r="J240" s="77" t="s">
        <v>741</v>
      </c>
      <c r="K240" s="75">
        <f t="shared" si="0"/>
        <v>35600</v>
      </c>
      <c r="L240" s="74" t="s">
        <v>297</v>
      </c>
      <c r="M240" s="74" t="str">
        <f t="shared" si="2"/>
        <v>Direct</v>
      </c>
      <c r="N240" s="74" t="s">
        <v>521</v>
      </c>
    </row>
    <row r="241" spans="1:14" ht="13">
      <c r="A241" s="71">
        <f t="shared" si="1"/>
        <v>235</v>
      </c>
      <c r="B241" s="72" t="s">
        <v>1043</v>
      </c>
      <c r="C241" s="73" t="s">
        <v>1044</v>
      </c>
      <c r="D241" s="74" t="s">
        <v>56</v>
      </c>
      <c r="E241" s="74" t="s">
        <v>217</v>
      </c>
      <c r="F241" s="74" t="s">
        <v>187</v>
      </c>
      <c r="G241" s="75">
        <v>32200</v>
      </c>
      <c r="H241" s="76" t="s">
        <v>50</v>
      </c>
      <c r="I241" s="73">
        <v>1</v>
      </c>
      <c r="J241" s="77" t="s">
        <v>1045</v>
      </c>
      <c r="K241" s="75">
        <f t="shared" si="0"/>
        <v>32200</v>
      </c>
      <c r="L241" s="74" t="s">
        <v>297</v>
      </c>
      <c r="M241" s="74" t="str">
        <f t="shared" si="2"/>
        <v>Direct</v>
      </c>
      <c r="N241" s="74" t="s">
        <v>521</v>
      </c>
    </row>
    <row r="242" spans="1:14" ht="13">
      <c r="A242" s="71">
        <f t="shared" si="1"/>
        <v>236</v>
      </c>
      <c r="B242" s="72" t="s">
        <v>1046</v>
      </c>
      <c r="C242" s="73" t="s">
        <v>1047</v>
      </c>
      <c r="D242" s="74" t="s">
        <v>28</v>
      </c>
      <c r="E242" s="74" t="s">
        <v>139</v>
      </c>
      <c r="F242" s="74" t="s">
        <v>178</v>
      </c>
      <c r="G242" s="75">
        <v>135000</v>
      </c>
      <c r="H242" s="76" t="s">
        <v>62</v>
      </c>
      <c r="I242" s="73">
        <v>1</v>
      </c>
      <c r="J242" s="77" t="s">
        <v>741</v>
      </c>
      <c r="K242" s="75">
        <f t="shared" si="0"/>
        <v>135000</v>
      </c>
      <c r="L242" s="74" t="s">
        <v>227</v>
      </c>
      <c r="M242" s="74" t="str">
        <f t="shared" si="2"/>
        <v>Distributor</v>
      </c>
      <c r="N242" s="74"/>
    </row>
    <row r="243" spans="1:14" ht="13">
      <c r="A243" s="71">
        <f t="shared" si="1"/>
        <v>237</v>
      </c>
      <c r="B243" s="72" t="s">
        <v>1048</v>
      </c>
      <c r="C243" s="73" t="s">
        <v>1049</v>
      </c>
      <c r="D243" s="74" t="s">
        <v>28</v>
      </c>
      <c r="E243" s="74" t="s">
        <v>57</v>
      </c>
      <c r="F243" s="74" t="s">
        <v>168</v>
      </c>
      <c r="G243" s="75">
        <v>7500</v>
      </c>
      <c r="H243" s="76" t="s">
        <v>62</v>
      </c>
      <c r="I243" s="73">
        <v>100</v>
      </c>
      <c r="J243" s="77" t="s">
        <v>138</v>
      </c>
      <c r="K243" s="75">
        <f t="shared" si="0"/>
        <v>75</v>
      </c>
      <c r="L243" s="74" t="s">
        <v>373</v>
      </c>
      <c r="M243" s="74" t="str">
        <f t="shared" si="2"/>
        <v>Direct</v>
      </c>
      <c r="N243" s="74" t="s">
        <v>521</v>
      </c>
    </row>
    <row r="244" spans="1:14" ht="13">
      <c r="A244" s="71">
        <f t="shared" si="1"/>
        <v>238</v>
      </c>
      <c r="B244" s="72" t="s">
        <v>1050</v>
      </c>
      <c r="C244" s="73" t="s">
        <v>1051</v>
      </c>
      <c r="D244" s="74" t="s">
        <v>28</v>
      </c>
      <c r="E244" s="74" t="s">
        <v>57</v>
      </c>
      <c r="F244" s="74" t="s">
        <v>151</v>
      </c>
      <c r="G244" s="75">
        <v>19600</v>
      </c>
      <c r="H244" s="76" t="s">
        <v>36</v>
      </c>
      <c r="I244" s="73">
        <v>1000</v>
      </c>
      <c r="J244" s="77" t="s">
        <v>138</v>
      </c>
      <c r="K244" s="75">
        <f t="shared" si="0"/>
        <v>19.600000000000001</v>
      </c>
      <c r="L244" s="74" t="s">
        <v>169</v>
      </c>
      <c r="M244" s="74" t="str">
        <f t="shared" si="2"/>
        <v>Distributor</v>
      </c>
      <c r="N244" s="74" t="s">
        <v>521</v>
      </c>
    </row>
    <row r="245" spans="1:14" ht="13">
      <c r="A245" s="71">
        <f t="shared" si="1"/>
        <v>239</v>
      </c>
      <c r="B245" s="72" t="s">
        <v>1052</v>
      </c>
      <c r="C245" s="73" t="s">
        <v>1053</v>
      </c>
      <c r="D245" s="74" t="s">
        <v>28</v>
      </c>
      <c r="E245" s="74" t="s">
        <v>57</v>
      </c>
      <c r="F245" s="74" t="s">
        <v>168</v>
      </c>
      <c r="G245" s="75">
        <v>6500</v>
      </c>
      <c r="H245" s="76" t="s">
        <v>62</v>
      </c>
      <c r="I245" s="73">
        <v>500</v>
      </c>
      <c r="J245" s="77" t="s">
        <v>138</v>
      </c>
      <c r="K245" s="75">
        <f t="shared" si="0"/>
        <v>13</v>
      </c>
      <c r="L245" s="74" t="s">
        <v>264</v>
      </c>
      <c r="M245" s="74" t="str">
        <f t="shared" si="2"/>
        <v>Distributor</v>
      </c>
      <c r="N245" s="74"/>
    </row>
    <row r="246" spans="1:14" ht="13">
      <c r="A246" s="71">
        <f t="shared" si="1"/>
        <v>240</v>
      </c>
      <c r="B246" s="72" t="s">
        <v>1054</v>
      </c>
      <c r="C246" s="73" t="s">
        <v>1055</v>
      </c>
      <c r="D246" s="74" t="s">
        <v>81</v>
      </c>
      <c r="E246" s="74" t="s">
        <v>32</v>
      </c>
      <c r="F246" s="74" t="s">
        <v>35</v>
      </c>
      <c r="G246" s="75">
        <v>190000</v>
      </c>
      <c r="H246" s="76" t="s">
        <v>36</v>
      </c>
      <c r="I246" s="73">
        <v>1000</v>
      </c>
      <c r="J246" s="77" t="s">
        <v>138</v>
      </c>
      <c r="K246" s="75">
        <f t="shared" si="0"/>
        <v>190</v>
      </c>
      <c r="L246" s="74" t="s">
        <v>122</v>
      </c>
      <c r="M246" s="74" t="str">
        <f t="shared" si="2"/>
        <v>Supplier</v>
      </c>
      <c r="N246" s="74" t="s">
        <v>521</v>
      </c>
    </row>
    <row r="247" spans="1:14" ht="13">
      <c r="A247" s="71">
        <f t="shared" si="1"/>
        <v>241</v>
      </c>
      <c r="B247" s="72" t="s">
        <v>1056</v>
      </c>
      <c r="C247" s="73" t="s">
        <v>1057</v>
      </c>
      <c r="D247" s="74" t="s">
        <v>81</v>
      </c>
      <c r="E247" s="74" t="s">
        <v>46</v>
      </c>
      <c r="F247" s="74" t="s">
        <v>120</v>
      </c>
      <c r="G247" s="75">
        <v>35000</v>
      </c>
      <c r="H247" s="76" t="s">
        <v>62</v>
      </c>
      <c r="I247" s="73">
        <v>1000</v>
      </c>
      <c r="J247" s="77" t="s">
        <v>138</v>
      </c>
      <c r="K247" s="75">
        <f t="shared" si="0"/>
        <v>35</v>
      </c>
      <c r="L247" s="74" t="s">
        <v>373</v>
      </c>
      <c r="M247" s="74" t="str">
        <f t="shared" si="2"/>
        <v>Direct</v>
      </c>
      <c r="N247" s="74" t="s">
        <v>521</v>
      </c>
    </row>
    <row r="248" spans="1:14" ht="13">
      <c r="A248" s="71">
        <f t="shared" si="1"/>
        <v>242</v>
      </c>
      <c r="B248" s="72" t="s">
        <v>1058</v>
      </c>
      <c r="C248" s="73" t="s">
        <v>1059</v>
      </c>
      <c r="D248" s="74" t="s">
        <v>28</v>
      </c>
      <c r="E248" s="74" t="s">
        <v>57</v>
      </c>
      <c r="F248" s="74" t="s">
        <v>168</v>
      </c>
      <c r="G248" s="75">
        <v>22500</v>
      </c>
      <c r="H248" s="76" t="s">
        <v>62</v>
      </c>
      <c r="I248" s="73">
        <v>500</v>
      </c>
      <c r="J248" s="77" t="s">
        <v>138</v>
      </c>
      <c r="K248" s="75">
        <f t="shared" si="0"/>
        <v>45</v>
      </c>
      <c r="L248" s="74" t="s">
        <v>264</v>
      </c>
      <c r="M248" s="74" t="str">
        <f t="shared" si="2"/>
        <v>Distributor</v>
      </c>
      <c r="N248" s="74" t="s">
        <v>521</v>
      </c>
    </row>
    <row r="249" spans="1:14" ht="13">
      <c r="A249" s="71">
        <f t="shared" si="1"/>
        <v>243</v>
      </c>
      <c r="B249" s="72" t="s">
        <v>1060</v>
      </c>
      <c r="C249" s="73" t="s">
        <v>1061</v>
      </c>
      <c r="D249" s="74" t="s">
        <v>28</v>
      </c>
      <c r="E249" s="74" t="s">
        <v>57</v>
      </c>
      <c r="F249" s="74" t="s">
        <v>168</v>
      </c>
      <c r="G249" s="75">
        <v>36500</v>
      </c>
      <c r="H249" s="76" t="s">
        <v>97</v>
      </c>
      <c r="I249" s="73">
        <v>600</v>
      </c>
      <c r="J249" s="77" t="s">
        <v>30</v>
      </c>
      <c r="K249" s="75">
        <f t="shared" si="0"/>
        <v>60.833333333333336</v>
      </c>
      <c r="L249" s="74" t="s">
        <v>264</v>
      </c>
      <c r="M249" s="74" t="str">
        <f t="shared" si="2"/>
        <v>Distributor</v>
      </c>
      <c r="N249" s="74" t="s">
        <v>521</v>
      </c>
    </row>
    <row r="250" spans="1:14" ht="13">
      <c r="A250" s="71">
        <f t="shared" si="1"/>
        <v>244</v>
      </c>
      <c r="B250" s="72" t="s">
        <v>1062</v>
      </c>
      <c r="C250" s="73" t="s">
        <v>1063</v>
      </c>
      <c r="D250" s="74" t="s">
        <v>28</v>
      </c>
      <c r="E250" s="74" t="s">
        <v>57</v>
      </c>
      <c r="F250" s="74" t="s">
        <v>151</v>
      </c>
      <c r="G250" s="75">
        <v>53000</v>
      </c>
      <c r="H250" s="76" t="s">
        <v>36</v>
      </c>
      <c r="I250" s="73">
        <v>1000</v>
      </c>
      <c r="J250" s="77" t="s">
        <v>138</v>
      </c>
      <c r="K250" s="75">
        <f t="shared" si="0"/>
        <v>53</v>
      </c>
      <c r="L250" s="74" t="s">
        <v>169</v>
      </c>
      <c r="M250" s="74" t="str">
        <f t="shared" si="2"/>
        <v>Distributor</v>
      </c>
      <c r="N250" s="74" t="s">
        <v>521</v>
      </c>
    </row>
    <row r="251" spans="1:14" ht="13">
      <c r="A251" s="71">
        <f t="shared" si="1"/>
        <v>245</v>
      </c>
      <c r="B251" s="72" t="s">
        <v>1064</v>
      </c>
      <c r="C251" s="73" t="s">
        <v>1065</v>
      </c>
      <c r="D251" s="74" t="s">
        <v>28</v>
      </c>
      <c r="E251" s="74" t="s">
        <v>57</v>
      </c>
      <c r="F251" s="74" t="s">
        <v>151</v>
      </c>
      <c r="G251" s="75">
        <v>37700</v>
      </c>
      <c r="H251" s="76" t="s">
        <v>36</v>
      </c>
      <c r="I251" s="73">
        <v>1000</v>
      </c>
      <c r="J251" s="77" t="s">
        <v>138</v>
      </c>
      <c r="K251" s="75">
        <f t="shared" si="0"/>
        <v>37.700000000000003</v>
      </c>
      <c r="L251" s="74" t="s">
        <v>169</v>
      </c>
      <c r="M251" s="74" t="str">
        <f t="shared" si="2"/>
        <v>Distributor</v>
      </c>
      <c r="N251" s="74" t="s">
        <v>521</v>
      </c>
    </row>
    <row r="252" spans="1:14" ht="13">
      <c r="A252" s="71">
        <f t="shared" si="1"/>
        <v>246</v>
      </c>
      <c r="B252" s="72" t="s">
        <v>1066</v>
      </c>
      <c r="C252" s="73" t="s">
        <v>1067</v>
      </c>
      <c r="D252" s="74" t="s">
        <v>28</v>
      </c>
      <c r="E252" s="74" t="s">
        <v>57</v>
      </c>
      <c r="F252" s="74" t="s">
        <v>151</v>
      </c>
      <c r="G252" s="75">
        <v>16000</v>
      </c>
      <c r="H252" s="76" t="s">
        <v>36</v>
      </c>
      <c r="I252" s="73">
        <v>1000</v>
      </c>
      <c r="J252" s="77" t="s">
        <v>138</v>
      </c>
      <c r="K252" s="75">
        <f t="shared" si="0"/>
        <v>16</v>
      </c>
      <c r="L252" s="74" t="s">
        <v>169</v>
      </c>
      <c r="M252" s="74" t="str">
        <f t="shared" si="2"/>
        <v>Distributor</v>
      </c>
      <c r="N252" s="74" t="s">
        <v>521</v>
      </c>
    </row>
    <row r="253" spans="1:14" ht="13">
      <c r="A253" s="71">
        <f t="shared" si="1"/>
        <v>247</v>
      </c>
      <c r="B253" s="72" t="s">
        <v>1978</v>
      </c>
      <c r="C253" s="73" t="s">
        <v>1069</v>
      </c>
      <c r="D253" s="74" t="s">
        <v>28</v>
      </c>
      <c r="E253" s="74" t="s">
        <v>57</v>
      </c>
      <c r="F253" s="74" t="s">
        <v>168</v>
      </c>
      <c r="G253" s="75">
        <v>23500</v>
      </c>
      <c r="H253" s="76" t="s">
        <v>62</v>
      </c>
      <c r="I253" s="73">
        <v>750</v>
      </c>
      <c r="J253" s="77" t="s">
        <v>138</v>
      </c>
      <c r="K253" s="75">
        <f t="shared" si="0"/>
        <v>31.333333333333332</v>
      </c>
      <c r="L253" s="74" t="s">
        <v>264</v>
      </c>
      <c r="M253" s="74" t="str">
        <f t="shared" si="2"/>
        <v>Distributor</v>
      </c>
      <c r="N253" s="74" t="s">
        <v>521</v>
      </c>
    </row>
    <row r="254" spans="1:14" ht="13">
      <c r="A254" s="71">
        <f t="shared" si="1"/>
        <v>248</v>
      </c>
      <c r="B254" s="72" t="s">
        <v>1070</v>
      </c>
      <c r="C254" s="73" t="s">
        <v>1071</v>
      </c>
      <c r="D254" s="74" t="s">
        <v>28</v>
      </c>
      <c r="E254" s="74" t="s">
        <v>57</v>
      </c>
      <c r="F254" s="74" t="s">
        <v>168</v>
      </c>
      <c r="G254" s="75">
        <v>4000</v>
      </c>
      <c r="H254" s="76" t="s">
        <v>62</v>
      </c>
      <c r="I254" s="73">
        <v>1</v>
      </c>
      <c r="J254" s="77" t="s">
        <v>306</v>
      </c>
      <c r="K254" s="75">
        <f t="shared" si="0"/>
        <v>4000</v>
      </c>
      <c r="L254" s="74" t="s">
        <v>355</v>
      </c>
      <c r="M254" s="74" t="str">
        <f t="shared" si="2"/>
        <v>Direct</v>
      </c>
      <c r="N254" s="74" t="s">
        <v>521</v>
      </c>
    </row>
    <row r="255" spans="1:14" ht="13">
      <c r="A255" s="71">
        <f t="shared" si="1"/>
        <v>249</v>
      </c>
      <c r="B255" s="72" t="s">
        <v>1979</v>
      </c>
      <c r="C255" s="73" t="s">
        <v>1073</v>
      </c>
      <c r="D255" s="74" t="s">
        <v>28</v>
      </c>
      <c r="E255" s="74" t="s">
        <v>57</v>
      </c>
      <c r="F255" s="74" t="s">
        <v>168</v>
      </c>
      <c r="G255" s="75">
        <v>18000</v>
      </c>
      <c r="H255" s="76" t="s">
        <v>62</v>
      </c>
      <c r="I255" s="73">
        <v>500</v>
      </c>
      <c r="J255" s="77" t="s">
        <v>138</v>
      </c>
      <c r="K255" s="75">
        <f t="shared" si="0"/>
        <v>36</v>
      </c>
      <c r="L255" s="74" t="s">
        <v>264</v>
      </c>
      <c r="M255" s="74" t="str">
        <f t="shared" si="2"/>
        <v>Distributor</v>
      </c>
      <c r="N255" s="74" t="s">
        <v>521</v>
      </c>
    </row>
    <row r="256" spans="1:14" ht="13">
      <c r="A256" s="71">
        <f t="shared" si="1"/>
        <v>250</v>
      </c>
      <c r="B256" s="72" t="s">
        <v>1074</v>
      </c>
      <c r="C256" s="73" t="s">
        <v>1075</v>
      </c>
      <c r="D256" s="74" t="s">
        <v>28</v>
      </c>
      <c r="E256" s="74" t="s">
        <v>57</v>
      </c>
      <c r="F256" s="74" t="s">
        <v>151</v>
      </c>
      <c r="G256" s="75">
        <v>25000</v>
      </c>
      <c r="H256" s="76" t="s">
        <v>36</v>
      </c>
      <c r="I256" s="73">
        <v>1000</v>
      </c>
      <c r="J256" s="77" t="s">
        <v>138</v>
      </c>
      <c r="K256" s="75">
        <f t="shared" si="0"/>
        <v>25</v>
      </c>
      <c r="L256" s="74" t="s">
        <v>169</v>
      </c>
      <c r="M256" s="74" t="str">
        <f t="shared" si="2"/>
        <v>Distributor</v>
      </c>
      <c r="N256" s="74" t="s">
        <v>521</v>
      </c>
    </row>
    <row r="257" spans="1:14" ht="13">
      <c r="A257" s="71">
        <f t="shared" si="1"/>
        <v>251</v>
      </c>
      <c r="B257" s="72" t="s">
        <v>1076</v>
      </c>
      <c r="C257" s="73" t="s">
        <v>1077</v>
      </c>
      <c r="D257" s="74" t="s">
        <v>28</v>
      </c>
      <c r="E257" s="74" t="s">
        <v>57</v>
      </c>
      <c r="F257" s="74" t="s">
        <v>151</v>
      </c>
      <c r="G257" s="75">
        <v>10000</v>
      </c>
      <c r="H257" s="76" t="s">
        <v>36</v>
      </c>
      <c r="I257" s="73">
        <v>1000</v>
      </c>
      <c r="J257" s="77" t="s">
        <v>138</v>
      </c>
      <c r="K257" s="75">
        <f t="shared" si="0"/>
        <v>10</v>
      </c>
      <c r="L257" s="74" t="s">
        <v>169</v>
      </c>
      <c r="M257" s="74" t="str">
        <f t="shared" si="2"/>
        <v>Distributor</v>
      </c>
      <c r="N257" s="74" t="s">
        <v>521</v>
      </c>
    </row>
    <row r="258" spans="1:14" ht="13">
      <c r="A258" s="71">
        <f t="shared" si="1"/>
        <v>252</v>
      </c>
      <c r="B258" s="72" t="s">
        <v>1078</v>
      </c>
      <c r="C258" s="73" t="s">
        <v>1079</v>
      </c>
      <c r="D258" s="74" t="s">
        <v>81</v>
      </c>
      <c r="E258" s="74" t="s">
        <v>46</v>
      </c>
      <c r="F258" s="74" t="s">
        <v>61</v>
      </c>
      <c r="G258" s="75">
        <v>95000</v>
      </c>
      <c r="H258" s="76" t="s">
        <v>97</v>
      </c>
      <c r="I258" s="73">
        <v>750</v>
      </c>
      <c r="J258" s="77" t="s">
        <v>30</v>
      </c>
      <c r="K258" s="75">
        <f t="shared" si="0"/>
        <v>126.66666666666667</v>
      </c>
      <c r="L258" s="74" t="s">
        <v>98</v>
      </c>
      <c r="M258" s="74" t="str">
        <f t="shared" si="2"/>
        <v>Supplier</v>
      </c>
      <c r="N258" s="74" t="s">
        <v>521</v>
      </c>
    </row>
    <row r="259" spans="1:14" ht="13">
      <c r="A259" s="71">
        <f t="shared" si="1"/>
        <v>253</v>
      </c>
      <c r="B259" s="72" t="s">
        <v>1080</v>
      </c>
      <c r="C259" s="73" t="s">
        <v>1081</v>
      </c>
      <c r="D259" s="74" t="s">
        <v>28</v>
      </c>
      <c r="E259" s="74" t="s">
        <v>57</v>
      </c>
      <c r="F259" s="74" t="s">
        <v>142</v>
      </c>
      <c r="G259" s="75">
        <v>37000</v>
      </c>
      <c r="H259" s="76" t="s">
        <v>36</v>
      </c>
      <c r="I259" s="73">
        <v>1000</v>
      </c>
      <c r="J259" s="77" t="s">
        <v>138</v>
      </c>
      <c r="K259" s="75">
        <f t="shared" si="0"/>
        <v>37</v>
      </c>
      <c r="L259" s="74" t="s">
        <v>303</v>
      </c>
      <c r="M259" s="74" t="str">
        <f t="shared" si="2"/>
        <v>Direct</v>
      </c>
      <c r="N259" s="74" t="s">
        <v>854</v>
      </c>
    </row>
    <row r="260" spans="1:14" ht="13">
      <c r="A260" s="71">
        <f t="shared" si="1"/>
        <v>254</v>
      </c>
      <c r="B260" s="72" t="s">
        <v>1082</v>
      </c>
      <c r="C260" s="73" t="s">
        <v>1083</v>
      </c>
      <c r="D260" s="74" t="s">
        <v>81</v>
      </c>
      <c r="E260" s="74" t="s">
        <v>46</v>
      </c>
      <c r="F260" s="74" t="s">
        <v>120</v>
      </c>
      <c r="G260" s="75">
        <v>15000</v>
      </c>
      <c r="H260" s="76" t="s">
        <v>62</v>
      </c>
      <c r="I260" s="73">
        <v>10</v>
      </c>
      <c r="J260" s="77" t="s">
        <v>306</v>
      </c>
      <c r="K260" s="75">
        <f t="shared" si="0"/>
        <v>1500</v>
      </c>
      <c r="L260" s="74" t="s">
        <v>303</v>
      </c>
      <c r="M260" s="74" t="str">
        <f t="shared" si="2"/>
        <v>Direct</v>
      </c>
      <c r="N260" s="74" t="s">
        <v>521</v>
      </c>
    </row>
    <row r="261" spans="1:14" ht="13">
      <c r="A261" s="71">
        <f t="shared" si="1"/>
        <v>255</v>
      </c>
      <c r="B261" s="72" t="s">
        <v>1084</v>
      </c>
      <c r="C261" s="73" t="s">
        <v>1085</v>
      </c>
      <c r="D261" s="74" t="s">
        <v>81</v>
      </c>
      <c r="E261" s="74" t="s">
        <v>46</v>
      </c>
      <c r="F261" s="74" t="s">
        <v>120</v>
      </c>
      <c r="G261" s="76"/>
      <c r="H261" s="76" t="s">
        <v>97</v>
      </c>
      <c r="I261" s="73">
        <v>700</v>
      </c>
      <c r="J261" s="77" t="s">
        <v>138</v>
      </c>
      <c r="K261" s="75">
        <f t="shared" si="0"/>
        <v>0</v>
      </c>
      <c r="L261" s="74" t="s">
        <v>297</v>
      </c>
      <c r="M261" s="74" t="str">
        <f t="shared" si="2"/>
        <v>Direct</v>
      </c>
      <c r="N261" s="74" t="s">
        <v>854</v>
      </c>
    </row>
    <row r="262" spans="1:14" ht="13">
      <c r="A262" s="71">
        <f t="shared" si="1"/>
        <v>256</v>
      </c>
      <c r="B262" s="72" t="s">
        <v>1086</v>
      </c>
      <c r="C262" s="73" t="s">
        <v>1087</v>
      </c>
      <c r="D262" s="74" t="s">
        <v>81</v>
      </c>
      <c r="E262" s="74" t="s">
        <v>46</v>
      </c>
      <c r="F262" s="74" t="s">
        <v>74</v>
      </c>
      <c r="G262" s="75">
        <v>75000</v>
      </c>
      <c r="H262" s="76" t="s">
        <v>62</v>
      </c>
      <c r="I262" s="73">
        <v>1000</v>
      </c>
      <c r="J262" s="77" t="s">
        <v>138</v>
      </c>
      <c r="K262" s="75">
        <f t="shared" ref="K262:K402" si="3">G262/I262</f>
        <v>75</v>
      </c>
      <c r="L262" s="74" t="s">
        <v>355</v>
      </c>
      <c r="M262" s="74" t="str">
        <f t="shared" si="2"/>
        <v>Direct</v>
      </c>
      <c r="N262" s="74" t="s">
        <v>521</v>
      </c>
    </row>
    <row r="263" spans="1:14" ht="13">
      <c r="A263" s="71">
        <f t="shared" ref="A263:A401" si="4">A262+1</f>
        <v>257</v>
      </c>
      <c r="B263" s="72" t="s">
        <v>1088</v>
      </c>
      <c r="C263" s="73" t="s">
        <v>1089</v>
      </c>
      <c r="D263" s="74" t="s">
        <v>81</v>
      </c>
      <c r="E263" s="74" t="s">
        <v>128</v>
      </c>
      <c r="F263" s="74" t="s">
        <v>131</v>
      </c>
      <c r="G263" s="75">
        <v>12000</v>
      </c>
      <c r="H263" s="76" t="s">
        <v>62</v>
      </c>
      <c r="I263" s="73">
        <v>15</v>
      </c>
      <c r="J263" s="77" t="s">
        <v>306</v>
      </c>
      <c r="K263" s="75">
        <f t="shared" si="3"/>
        <v>800</v>
      </c>
      <c r="L263" s="74" t="s">
        <v>336</v>
      </c>
      <c r="M263" s="74" t="str">
        <f t="shared" si="2"/>
        <v>Direct</v>
      </c>
      <c r="N263" s="74"/>
    </row>
    <row r="264" spans="1:14" ht="13">
      <c r="A264" s="71">
        <f t="shared" si="4"/>
        <v>258</v>
      </c>
      <c r="B264" s="72" t="s">
        <v>1090</v>
      </c>
      <c r="C264" s="73" t="s">
        <v>1091</v>
      </c>
      <c r="D264" s="74" t="s">
        <v>81</v>
      </c>
      <c r="E264" s="74" t="s">
        <v>46</v>
      </c>
      <c r="F264" s="74" t="s">
        <v>86</v>
      </c>
      <c r="G264" s="75">
        <v>275000</v>
      </c>
      <c r="H264" s="76" t="s">
        <v>36</v>
      </c>
      <c r="I264" s="73">
        <v>180</v>
      </c>
      <c r="J264" s="77" t="s">
        <v>138</v>
      </c>
      <c r="K264" s="75">
        <f t="shared" si="3"/>
        <v>1527.7777777777778</v>
      </c>
      <c r="L264" s="74" t="s">
        <v>133</v>
      </c>
      <c r="M264" s="74" t="str">
        <f t="shared" si="2"/>
        <v>Supplier</v>
      </c>
      <c r="N264" s="74"/>
    </row>
    <row r="265" spans="1:14" ht="13">
      <c r="A265" s="71">
        <f t="shared" si="4"/>
        <v>259</v>
      </c>
      <c r="B265" s="72" t="s">
        <v>1092</v>
      </c>
      <c r="C265" s="73" t="s">
        <v>1093</v>
      </c>
      <c r="D265" s="74" t="s">
        <v>115</v>
      </c>
      <c r="E265" s="74" t="s">
        <v>175</v>
      </c>
      <c r="F265" s="74" t="s">
        <v>187</v>
      </c>
      <c r="G265" s="75">
        <v>16000</v>
      </c>
      <c r="H265" s="76" t="s">
        <v>62</v>
      </c>
      <c r="I265" s="73">
        <v>1</v>
      </c>
      <c r="J265" s="77" t="s">
        <v>306</v>
      </c>
      <c r="K265" s="75">
        <f t="shared" si="3"/>
        <v>16000</v>
      </c>
      <c r="L265" s="74" t="s">
        <v>373</v>
      </c>
      <c r="M265" s="74" t="str">
        <f t="shared" si="2"/>
        <v>Direct</v>
      </c>
      <c r="N265" s="74"/>
    </row>
    <row r="266" spans="1:14" ht="13">
      <c r="A266" s="71">
        <f t="shared" si="4"/>
        <v>260</v>
      </c>
      <c r="B266" s="72" t="s">
        <v>1094</v>
      </c>
      <c r="C266" s="73" t="s">
        <v>1095</v>
      </c>
      <c r="D266" s="74" t="s">
        <v>56</v>
      </c>
      <c r="E266" s="74" t="s">
        <v>217</v>
      </c>
      <c r="F266" s="74" t="s">
        <v>187</v>
      </c>
      <c r="G266" s="75">
        <v>21533</v>
      </c>
      <c r="H266" s="76" t="s">
        <v>62</v>
      </c>
      <c r="I266" s="73">
        <v>1</v>
      </c>
      <c r="J266" s="77" t="s">
        <v>306</v>
      </c>
      <c r="K266" s="75">
        <f t="shared" si="3"/>
        <v>21533</v>
      </c>
      <c r="L266" s="74" t="s">
        <v>297</v>
      </c>
      <c r="M266" s="74" t="str">
        <f t="shared" si="2"/>
        <v>Direct</v>
      </c>
      <c r="N266" s="74" t="s">
        <v>521</v>
      </c>
    </row>
    <row r="267" spans="1:14" ht="13">
      <c r="A267" s="71">
        <f t="shared" si="4"/>
        <v>261</v>
      </c>
      <c r="B267" s="72" t="s">
        <v>1096</v>
      </c>
      <c r="C267" s="73" t="s">
        <v>1097</v>
      </c>
      <c r="D267" s="74" t="s">
        <v>56</v>
      </c>
      <c r="E267" s="74" t="s">
        <v>217</v>
      </c>
      <c r="F267" s="74" t="s">
        <v>187</v>
      </c>
      <c r="G267" s="75">
        <v>27000</v>
      </c>
      <c r="H267" s="76" t="s">
        <v>62</v>
      </c>
      <c r="I267" s="73">
        <v>10</v>
      </c>
      <c r="J267" s="77" t="s">
        <v>1098</v>
      </c>
      <c r="K267" s="75">
        <f t="shared" si="3"/>
        <v>2700</v>
      </c>
      <c r="L267" s="74" t="s">
        <v>355</v>
      </c>
      <c r="M267" s="74" t="str">
        <f t="shared" si="2"/>
        <v>Direct</v>
      </c>
      <c r="N267" s="74"/>
    </row>
    <row r="268" spans="1:14" ht="13">
      <c r="A268" s="71">
        <f t="shared" si="4"/>
        <v>262</v>
      </c>
      <c r="B268" s="72" t="s">
        <v>1099</v>
      </c>
      <c r="C268" s="73" t="s">
        <v>1100</v>
      </c>
      <c r="D268" s="74" t="s">
        <v>81</v>
      </c>
      <c r="E268" s="74" t="s">
        <v>46</v>
      </c>
      <c r="F268" s="74" t="s">
        <v>49</v>
      </c>
      <c r="G268" s="75">
        <v>130000</v>
      </c>
      <c r="H268" s="76" t="s">
        <v>36</v>
      </c>
      <c r="I268" s="73">
        <v>1000</v>
      </c>
      <c r="J268" s="77" t="s">
        <v>138</v>
      </c>
      <c r="K268" s="75">
        <f t="shared" si="3"/>
        <v>130</v>
      </c>
      <c r="L268" s="74" t="s">
        <v>160</v>
      </c>
      <c r="M268" s="74" t="str">
        <f t="shared" si="2"/>
        <v>Supplier</v>
      </c>
      <c r="N268" s="74"/>
    </row>
    <row r="269" spans="1:14" ht="13">
      <c r="A269" s="71">
        <f t="shared" si="4"/>
        <v>263</v>
      </c>
      <c r="B269" s="72" t="s">
        <v>1101</v>
      </c>
      <c r="C269" s="73" t="s">
        <v>1102</v>
      </c>
      <c r="D269" s="74" t="s">
        <v>56</v>
      </c>
      <c r="E269" s="74" t="s">
        <v>175</v>
      </c>
      <c r="F269" s="74" t="s">
        <v>187</v>
      </c>
      <c r="G269" s="75">
        <v>17000</v>
      </c>
      <c r="H269" s="76" t="s">
        <v>62</v>
      </c>
      <c r="I269" s="73">
        <v>14</v>
      </c>
      <c r="J269" s="77" t="s">
        <v>306</v>
      </c>
      <c r="K269" s="75">
        <f t="shared" si="3"/>
        <v>1214.2857142857142</v>
      </c>
      <c r="L269" s="74" t="s">
        <v>346</v>
      </c>
      <c r="M269" s="74" t="str">
        <f t="shared" si="2"/>
        <v>Direct</v>
      </c>
      <c r="N269" s="74" t="s">
        <v>521</v>
      </c>
    </row>
    <row r="270" spans="1:14" ht="13">
      <c r="A270" s="71">
        <f t="shared" si="4"/>
        <v>264</v>
      </c>
      <c r="B270" s="72" t="s">
        <v>1103</v>
      </c>
      <c r="C270" s="73" t="s">
        <v>1104</v>
      </c>
      <c r="D270" s="74" t="s">
        <v>28</v>
      </c>
      <c r="E270" s="74" t="s">
        <v>139</v>
      </c>
      <c r="F270" s="74" t="s">
        <v>178</v>
      </c>
      <c r="G270" s="75">
        <v>1040</v>
      </c>
      <c r="H270" s="76" t="s">
        <v>62</v>
      </c>
      <c r="I270" s="73">
        <v>1</v>
      </c>
      <c r="J270" s="77" t="s">
        <v>306</v>
      </c>
      <c r="K270" s="75">
        <f t="shared" si="3"/>
        <v>1040</v>
      </c>
      <c r="L270" s="74" t="s">
        <v>264</v>
      </c>
      <c r="M270" s="74" t="str">
        <f t="shared" si="2"/>
        <v>Distributor</v>
      </c>
      <c r="N270" s="74" t="s">
        <v>1105</v>
      </c>
    </row>
    <row r="271" spans="1:14" ht="13">
      <c r="A271" s="71">
        <f t="shared" si="4"/>
        <v>265</v>
      </c>
      <c r="B271" s="72" t="s">
        <v>1106</v>
      </c>
      <c r="C271" s="73" t="s">
        <v>1107</v>
      </c>
      <c r="D271" s="74" t="s">
        <v>81</v>
      </c>
      <c r="E271" s="74" t="s">
        <v>128</v>
      </c>
      <c r="F271" s="74" t="s">
        <v>131</v>
      </c>
      <c r="G271" s="75">
        <v>65000</v>
      </c>
      <c r="H271" s="76" t="s">
        <v>62</v>
      </c>
      <c r="I271" s="73">
        <v>1</v>
      </c>
      <c r="J271" s="77" t="s">
        <v>1098</v>
      </c>
      <c r="K271" s="75">
        <f t="shared" si="3"/>
        <v>65000</v>
      </c>
      <c r="L271" s="74" t="s">
        <v>264</v>
      </c>
      <c r="M271" s="74" t="str">
        <f t="shared" si="2"/>
        <v>Distributor</v>
      </c>
      <c r="N271" s="74" t="s">
        <v>521</v>
      </c>
    </row>
    <row r="272" spans="1:14" ht="13">
      <c r="A272" s="71">
        <f t="shared" si="4"/>
        <v>266</v>
      </c>
      <c r="B272" s="72" t="s">
        <v>1108</v>
      </c>
      <c r="C272" s="73" t="s">
        <v>1109</v>
      </c>
      <c r="D272" s="74" t="s">
        <v>81</v>
      </c>
      <c r="E272" s="74" t="s">
        <v>82</v>
      </c>
      <c r="F272" s="74" t="s">
        <v>120</v>
      </c>
      <c r="G272" s="75">
        <v>70000</v>
      </c>
      <c r="H272" s="76" t="s">
        <v>62</v>
      </c>
      <c r="I272" s="73">
        <v>50</v>
      </c>
      <c r="J272" s="77" t="s">
        <v>306</v>
      </c>
      <c r="K272" s="75">
        <f t="shared" si="3"/>
        <v>1400</v>
      </c>
      <c r="L272" s="74" t="s">
        <v>373</v>
      </c>
      <c r="M272" s="74" t="str">
        <f t="shared" si="2"/>
        <v>Direct</v>
      </c>
      <c r="N272" s="74" t="s">
        <v>521</v>
      </c>
    </row>
    <row r="273" spans="1:14" ht="13">
      <c r="A273" s="71">
        <f t="shared" si="4"/>
        <v>267</v>
      </c>
      <c r="B273" s="72" t="s">
        <v>1110</v>
      </c>
      <c r="C273" s="73" t="s">
        <v>1111</v>
      </c>
      <c r="D273" s="74" t="s">
        <v>81</v>
      </c>
      <c r="E273" s="74" t="s">
        <v>82</v>
      </c>
      <c r="F273" s="74" t="s">
        <v>120</v>
      </c>
      <c r="G273" s="75">
        <v>56000</v>
      </c>
      <c r="H273" s="76" t="s">
        <v>62</v>
      </c>
      <c r="I273" s="73">
        <v>50</v>
      </c>
      <c r="J273" s="77" t="s">
        <v>306</v>
      </c>
      <c r="K273" s="75">
        <f t="shared" si="3"/>
        <v>1120</v>
      </c>
      <c r="L273" s="74" t="s">
        <v>369</v>
      </c>
      <c r="M273" s="74" t="str">
        <f t="shared" si="2"/>
        <v>Direct</v>
      </c>
      <c r="N273" s="74" t="s">
        <v>521</v>
      </c>
    </row>
    <row r="274" spans="1:14" ht="13">
      <c r="A274" s="71">
        <f t="shared" si="4"/>
        <v>268</v>
      </c>
      <c r="B274" s="72" t="s">
        <v>1112</v>
      </c>
      <c r="C274" s="73" t="s">
        <v>1113</v>
      </c>
      <c r="D274" s="74" t="s">
        <v>28</v>
      </c>
      <c r="E274" s="74" t="s">
        <v>57</v>
      </c>
      <c r="F274" s="74" t="s">
        <v>187</v>
      </c>
      <c r="G274" s="75">
        <v>197000</v>
      </c>
      <c r="H274" s="76" t="s">
        <v>132</v>
      </c>
      <c r="I274" s="73">
        <v>1</v>
      </c>
      <c r="J274" s="77" t="s">
        <v>306</v>
      </c>
      <c r="K274" s="75">
        <f t="shared" si="3"/>
        <v>197000</v>
      </c>
      <c r="L274" s="74" t="s">
        <v>272</v>
      </c>
      <c r="M274" s="74" t="str">
        <f t="shared" si="2"/>
        <v>Distributor</v>
      </c>
      <c r="N274" s="74" t="s">
        <v>521</v>
      </c>
    </row>
    <row r="275" spans="1:14" ht="13">
      <c r="A275" s="71">
        <f t="shared" si="4"/>
        <v>269</v>
      </c>
      <c r="B275" s="72" t="s">
        <v>1114</v>
      </c>
      <c r="C275" s="73" t="s">
        <v>1115</v>
      </c>
      <c r="D275" s="74" t="s">
        <v>56</v>
      </c>
      <c r="E275" s="74" t="s">
        <v>217</v>
      </c>
      <c r="F275" s="74" t="s">
        <v>187</v>
      </c>
      <c r="G275" s="75">
        <v>22000</v>
      </c>
      <c r="H275" s="76" t="s">
        <v>62</v>
      </c>
      <c r="I275" s="73">
        <v>500</v>
      </c>
      <c r="J275" s="77" t="s">
        <v>859</v>
      </c>
      <c r="K275" s="75">
        <f t="shared" si="3"/>
        <v>44</v>
      </c>
      <c r="L275" s="74" t="s">
        <v>373</v>
      </c>
      <c r="M275" s="74" t="str">
        <f t="shared" si="2"/>
        <v>Direct</v>
      </c>
      <c r="N275" s="74"/>
    </row>
    <row r="276" spans="1:14" ht="13">
      <c r="A276" s="71">
        <f t="shared" si="4"/>
        <v>270</v>
      </c>
      <c r="B276" s="72" t="s">
        <v>1116</v>
      </c>
      <c r="C276" s="73" t="s">
        <v>1117</v>
      </c>
      <c r="D276" s="74" t="s">
        <v>28</v>
      </c>
      <c r="E276" s="74" t="s">
        <v>217</v>
      </c>
      <c r="F276" s="74" t="s">
        <v>187</v>
      </c>
      <c r="G276" s="75">
        <v>16500</v>
      </c>
      <c r="H276" s="76" t="s">
        <v>62</v>
      </c>
      <c r="I276" s="73">
        <v>1</v>
      </c>
      <c r="J276" s="77" t="s">
        <v>741</v>
      </c>
      <c r="K276" s="75">
        <f t="shared" si="3"/>
        <v>16500</v>
      </c>
      <c r="L276" s="74" t="s">
        <v>373</v>
      </c>
      <c r="M276" s="74" t="str">
        <f t="shared" si="2"/>
        <v>Direct</v>
      </c>
      <c r="N276" s="74" t="s">
        <v>1118</v>
      </c>
    </row>
    <row r="277" spans="1:14" ht="13">
      <c r="A277" s="71">
        <f t="shared" si="4"/>
        <v>271</v>
      </c>
      <c r="B277" s="72" t="s">
        <v>1119</v>
      </c>
      <c r="C277" s="73" t="s">
        <v>1120</v>
      </c>
      <c r="D277" s="74" t="s">
        <v>28</v>
      </c>
      <c r="E277" s="74" t="s">
        <v>57</v>
      </c>
      <c r="F277" s="74" t="s">
        <v>187</v>
      </c>
      <c r="G277" s="75">
        <v>18000</v>
      </c>
      <c r="H277" s="76" t="s">
        <v>132</v>
      </c>
      <c r="I277" s="73">
        <v>1</v>
      </c>
      <c r="J277" s="77" t="s">
        <v>859</v>
      </c>
      <c r="K277" s="75">
        <f t="shared" si="3"/>
        <v>18000</v>
      </c>
      <c r="L277" s="74" t="s">
        <v>373</v>
      </c>
      <c r="M277" s="74" t="str">
        <f t="shared" si="2"/>
        <v>Direct</v>
      </c>
      <c r="N277" s="74"/>
    </row>
    <row r="278" spans="1:14" ht="13">
      <c r="A278" s="71">
        <f t="shared" si="4"/>
        <v>272</v>
      </c>
      <c r="B278" s="72" t="s">
        <v>1121</v>
      </c>
      <c r="C278" s="73" t="s">
        <v>1122</v>
      </c>
      <c r="D278" s="74" t="s">
        <v>28</v>
      </c>
      <c r="E278" s="74" t="s">
        <v>57</v>
      </c>
      <c r="F278" s="74" t="s">
        <v>168</v>
      </c>
      <c r="G278" s="75">
        <v>9000</v>
      </c>
      <c r="H278" s="76" t="s">
        <v>62</v>
      </c>
      <c r="I278" s="73">
        <v>1</v>
      </c>
      <c r="J278" s="77" t="s">
        <v>306</v>
      </c>
      <c r="K278" s="75">
        <f t="shared" si="3"/>
        <v>9000</v>
      </c>
      <c r="L278" s="74" t="s">
        <v>373</v>
      </c>
      <c r="M278" s="74" t="str">
        <f t="shared" si="2"/>
        <v>Direct</v>
      </c>
      <c r="N278" s="74"/>
    </row>
    <row r="279" spans="1:14" ht="13">
      <c r="A279" s="71">
        <f t="shared" si="4"/>
        <v>273</v>
      </c>
      <c r="B279" s="72" t="s">
        <v>1123</v>
      </c>
      <c r="C279" s="73" t="s">
        <v>1124</v>
      </c>
      <c r="D279" s="74" t="s">
        <v>28</v>
      </c>
      <c r="E279" s="74" t="s">
        <v>57</v>
      </c>
      <c r="F279" s="74" t="s">
        <v>168</v>
      </c>
      <c r="G279" s="75">
        <v>36500</v>
      </c>
      <c r="H279" s="76" t="s">
        <v>97</v>
      </c>
      <c r="I279" s="73">
        <v>600</v>
      </c>
      <c r="J279" s="77" t="s">
        <v>30</v>
      </c>
      <c r="K279" s="75">
        <f t="shared" si="3"/>
        <v>60.833333333333336</v>
      </c>
      <c r="L279" s="74" t="s">
        <v>373</v>
      </c>
      <c r="M279" s="74" t="str">
        <f t="shared" si="2"/>
        <v>Direct</v>
      </c>
      <c r="N279" s="74"/>
    </row>
    <row r="280" spans="1:14" ht="13">
      <c r="A280" s="71">
        <f t="shared" si="4"/>
        <v>274</v>
      </c>
      <c r="B280" s="72" t="s">
        <v>1125</v>
      </c>
      <c r="C280" s="73" t="s">
        <v>1126</v>
      </c>
      <c r="D280" s="74" t="s">
        <v>28</v>
      </c>
      <c r="E280" s="74" t="s">
        <v>57</v>
      </c>
      <c r="F280" s="74" t="s">
        <v>142</v>
      </c>
      <c r="G280" s="75">
        <v>127000</v>
      </c>
      <c r="H280" s="76" t="s">
        <v>36</v>
      </c>
      <c r="I280" s="73">
        <v>1000</v>
      </c>
      <c r="J280" s="77" t="s">
        <v>138</v>
      </c>
      <c r="K280" s="75">
        <f t="shared" si="3"/>
        <v>127</v>
      </c>
      <c r="L280" s="74" t="s">
        <v>373</v>
      </c>
      <c r="M280" s="74" t="str">
        <f t="shared" si="2"/>
        <v>Direct</v>
      </c>
      <c r="N280" s="74"/>
    </row>
    <row r="281" spans="1:14" ht="13">
      <c r="A281" s="71">
        <f t="shared" si="4"/>
        <v>275</v>
      </c>
      <c r="B281" s="72" t="s">
        <v>1127</v>
      </c>
      <c r="C281" s="73" t="s">
        <v>1128</v>
      </c>
      <c r="D281" s="74" t="s">
        <v>28</v>
      </c>
      <c r="E281" s="74" t="s">
        <v>57</v>
      </c>
      <c r="F281" s="74" t="s">
        <v>142</v>
      </c>
      <c r="G281" s="75">
        <v>43000</v>
      </c>
      <c r="H281" s="76" t="s">
        <v>36</v>
      </c>
      <c r="I281" s="73">
        <v>1000</v>
      </c>
      <c r="J281" s="77" t="s">
        <v>138</v>
      </c>
      <c r="K281" s="75">
        <f t="shared" si="3"/>
        <v>43</v>
      </c>
      <c r="L281" s="74" t="s">
        <v>373</v>
      </c>
      <c r="M281" s="74" t="str">
        <f t="shared" si="2"/>
        <v>Direct</v>
      </c>
      <c r="N281" s="74"/>
    </row>
    <row r="282" spans="1:14" ht="13">
      <c r="A282" s="71">
        <f t="shared" si="4"/>
        <v>276</v>
      </c>
      <c r="B282" s="72" t="s">
        <v>1129</v>
      </c>
      <c r="C282" s="73" t="s">
        <v>1130</v>
      </c>
      <c r="D282" s="74" t="s">
        <v>28</v>
      </c>
      <c r="E282" s="74" t="s">
        <v>57</v>
      </c>
      <c r="F282" s="74" t="s">
        <v>142</v>
      </c>
      <c r="G282" s="75">
        <v>60000</v>
      </c>
      <c r="H282" s="76" t="s">
        <v>36</v>
      </c>
      <c r="I282" s="73">
        <v>1000</v>
      </c>
      <c r="J282" s="77" t="s">
        <v>138</v>
      </c>
      <c r="K282" s="75">
        <f t="shared" si="3"/>
        <v>60</v>
      </c>
      <c r="L282" s="74" t="s">
        <v>373</v>
      </c>
      <c r="M282" s="74" t="str">
        <f t="shared" si="2"/>
        <v>Direct</v>
      </c>
      <c r="N282" s="74"/>
    </row>
    <row r="283" spans="1:14" ht="13">
      <c r="A283" s="71">
        <f t="shared" si="4"/>
        <v>277</v>
      </c>
      <c r="B283" s="72" t="s">
        <v>1131</v>
      </c>
      <c r="C283" s="73" t="s">
        <v>1132</v>
      </c>
      <c r="D283" s="74" t="s">
        <v>28</v>
      </c>
      <c r="E283" s="74" t="s">
        <v>57</v>
      </c>
      <c r="F283" s="74" t="s">
        <v>142</v>
      </c>
      <c r="G283" s="75">
        <v>112000</v>
      </c>
      <c r="H283" s="76" t="s">
        <v>36</v>
      </c>
      <c r="I283" s="73">
        <v>1000</v>
      </c>
      <c r="J283" s="77" t="s">
        <v>138</v>
      </c>
      <c r="K283" s="75">
        <f t="shared" si="3"/>
        <v>112</v>
      </c>
      <c r="L283" s="74" t="s">
        <v>373</v>
      </c>
      <c r="M283" s="74" t="str">
        <f t="shared" si="2"/>
        <v>Direct</v>
      </c>
      <c r="N283" s="74"/>
    </row>
    <row r="284" spans="1:14" ht="13">
      <c r="A284" s="71">
        <f t="shared" si="4"/>
        <v>278</v>
      </c>
      <c r="B284" s="72" t="s">
        <v>1064</v>
      </c>
      <c r="C284" s="73" t="s">
        <v>1133</v>
      </c>
      <c r="D284" s="74" t="s">
        <v>28</v>
      </c>
      <c r="E284" s="74" t="s">
        <v>57</v>
      </c>
      <c r="F284" s="74" t="s">
        <v>151</v>
      </c>
      <c r="G284" s="75">
        <v>33000</v>
      </c>
      <c r="H284" s="76" t="s">
        <v>36</v>
      </c>
      <c r="I284" s="73">
        <v>1000</v>
      </c>
      <c r="J284" s="77" t="s">
        <v>138</v>
      </c>
      <c r="K284" s="75">
        <f t="shared" si="3"/>
        <v>33</v>
      </c>
      <c r="L284" s="74" t="s">
        <v>373</v>
      </c>
      <c r="M284" s="74" t="str">
        <f t="shared" si="2"/>
        <v>Direct</v>
      </c>
      <c r="N284" s="74"/>
    </row>
    <row r="285" spans="1:14" ht="13">
      <c r="A285" s="71">
        <f t="shared" si="4"/>
        <v>279</v>
      </c>
      <c r="B285" s="72" t="s">
        <v>1134</v>
      </c>
      <c r="C285" s="73" t="s">
        <v>1135</v>
      </c>
      <c r="D285" s="74" t="s">
        <v>28</v>
      </c>
      <c r="E285" s="74" t="s">
        <v>57</v>
      </c>
      <c r="F285" s="74" t="s">
        <v>151</v>
      </c>
      <c r="G285" s="75">
        <v>40000</v>
      </c>
      <c r="H285" s="76" t="s">
        <v>36</v>
      </c>
      <c r="I285" s="73">
        <v>1000</v>
      </c>
      <c r="J285" s="77" t="s">
        <v>138</v>
      </c>
      <c r="K285" s="75">
        <f t="shared" si="3"/>
        <v>40</v>
      </c>
      <c r="L285" s="74" t="s">
        <v>373</v>
      </c>
      <c r="M285" s="74" t="str">
        <f t="shared" si="2"/>
        <v>Direct</v>
      </c>
      <c r="N285" s="74"/>
    </row>
    <row r="286" spans="1:14" ht="13">
      <c r="A286" s="71">
        <f t="shared" si="4"/>
        <v>280</v>
      </c>
      <c r="B286" s="72" t="s">
        <v>1136</v>
      </c>
      <c r="C286" s="73" t="s">
        <v>1137</v>
      </c>
      <c r="D286" s="74" t="s">
        <v>28</v>
      </c>
      <c r="E286" s="74" t="s">
        <v>57</v>
      </c>
      <c r="F286" s="74" t="s">
        <v>151</v>
      </c>
      <c r="G286" s="75">
        <v>27000</v>
      </c>
      <c r="H286" s="76" t="s">
        <v>36</v>
      </c>
      <c r="I286" s="73">
        <v>1000</v>
      </c>
      <c r="J286" s="77" t="s">
        <v>138</v>
      </c>
      <c r="K286" s="75">
        <f t="shared" si="3"/>
        <v>27</v>
      </c>
      <c r="L286" s="74" t="s">
        <v>373</v>
      </c>
      <c r="M286" s="74" t="str">
        <f t="shared" si="2"/>
        <v>Direct</v>
      </c>
      <c r="N286" s="74"/>
    </row>
    <row r="287" spans="1:14" ht="13">
      <c r="A287" s="71">
        <f t="shared" si="4"/>
        <v>281</v>
      </c>
      <c r="B287" s="72" t="s">
        <v>1138</v>
      </c>
      <c r="C287" s="73" t="s">
        <v>1139</v>
      </c>
      <c r="D287" s="74" t="s">
        <v>28</v>
      </c>
      <c r="E287" s="74" t="s">
        <v>57</v>
      </c>
      <c r="F287" s="74" t="s">
        <v>151</v>
      </c>
      <c r="G287" s="75">
        <v>42000</v>
      </c>
      <c r="H287" s="76" t="s">
        <v>36</v>
      </c>
      <c r="I287" s="73">
        <v>1000</v>
      </c>
      <c r="J287" s="77" t="s">
        <v>138</v>
      </c>
      <c r="K287" s="75">
        <f t="shared" si="3"/>
        <v>42</v>
      </c>
      <c r="L287" s="74" t="s">
        <v>373</v>
      </c>
      <c r="M287" s="74" t="str">
        <f t="shared" si="2"/>
        <v>Direct</v>
      </c>
      <c r="N287" s="74"/>
    </row>
    <row r="288" spans="1:14" ht="13">
      <c r="A288" s="71">
        <f t="shared" si="4"/>
        <v>282</v>
      </c>
      <c r="B288" s="72" t="s">
        <v>1140</v>
      </c>
      <c r="C288" s="73" t="s">
        <v>1141</v>
      </c>
      <c r="D288" s="74" t="s">
        <v>28</v>
      </c>
      <c r="E288" s="74" t="s">
        <v>57</v>
      </c>
      <c r="F288" s="74" t="s">
        <v>151</v>
      </c>
      <c r="G288" s="75">
        <v>11000</v>
      </c>
      <c r="H288" s="76" t="s">
        <v>36</v>
      </c>
      <c r="I288" s="73">
        <v>1000</v>
      </c>
      <c r="J288" s="77" t="s">
        <v>138</v>
      </c>
      <c r="K288" s="75">
        <f t="shared" si="3"/>
        <v>11</v>
      </c>
      <c r="L288" s="74" t="s">
        <v>373</v>
      </c>
      <c r="M288" s="74" t="str">
        <f t="shared" si="2"/>
        <v>Direct</v>
      </c>
      <c r="N288" s="74"/>
    </row>
    <row r="289" spans="1:14" ht="13">
      <c r="A289" s="71">
        <f t="shared" si="4"/>
        <v>283</v>
      </c>
      <c r="B289" s="72" t="s">
        <v>1142</v>
      </c>
      <c r="C289" s="73" t="s">
        <v>1143</v>
      </c>
      <c r="D289" s="74" t="s">
        <v>28</v>
      </c>
      <c r="E289" s="74" t="s">
        <v>57</v>
      </c>
      <c r="F289" s="74" t="s">
        <v>151</v>
      </c>
      <c r="G289" s="75">
        <v>14000</v>
      </c>
      <c r="H289" s="76" t="s">
        <v>36</v>
      </c>
      <c r="I289" s="73">
        <v>1000</v>
      </c>
      <c r="J289" s="77" t="s">
        <v>138</v>
      </c>
      <c r="K289" s="75">
        <f t="shared" si="3"/>
        <v>14</v>
      </c>
      <c r="L289" s="74" t="s">
        <v>373</v>
      </c>
      <c r="M289" s="74" t="str">
        <f t="shared" si="2"/>
        <v>Direct</v>
      </c>
      <c r="N289" s="74"/>
    </row>
    <row r="290" spans="1:14" ht="13">
      <c r="A290" s="71">
        <f t="shared" si="4"/>
        <v>284</v>
      </c>
      <c r="B290" s="72" t="s">
        <v>1144</v>
      </c>
      <c r="C290" s="73" t="s">
        <v>1145</v>
      </c>
      <c r="D290" s="74" t="s">
        <v>28</v>
      </c>
      <c r="E290" s="74" t="s">
        <v>57</v>
      </c>
      <c r="F290" s="74" t="s">
        <v>151</v>
      </c>
      <c r="G290" s="75">
        <v>12000</v>
      </c>
      <c r="H290" s="76" t="s">
        <v>36</v>
      </c>
      <c r="I290" s="73">
        <v>1000</v>
      </c>
      <c r="J290" s="77" t="s">
        <v>138</v>
      </c>
      <c r="K290" s="75">
        <f t="shared" si="3"/>
        <v>12</v>
      </c>
      <c r="L290" s="74" t="s">
        <v>373</v>
      </c>
      <c r="M290" s="74" t="str">
        <f t="shared" si="2"/>
        <v>Direct</v>
      </c>
      <c r="N290" s="74"/>
    </row>
    <row r="291" spans="1:14" ht="13">
      <c r="A291" s="71">
        <f t="shared" si="4"/>
        <v>285</v>
      </c>
      <c r="B291" s="72" t="s">
        <v>1146</v>
      </c>
      <c r="C291" s="73" t="s">
        <v>1147</v>
      </c>
      <c r="D291" s="74" t="s">
        <v>28</v>
      </c>
      <c r="E291" s="74" t="s">
        <v>57</v>
      </c>
      <c r="F291" s="74" t="s">
        <v>151</v>
      </c>
      <c r="G291" s="75">
        <v>25000</v>
      </c>
      <c r="H291" s="76" t="s">
        <v>36</v>
      </c>
      <c r="I291" s="73">
        <v>1000</v>
      </c>
      <c r="J291" s="77" t="s">
        <v>138</v>
      </c>
      <c r="K291" s="75">
        <f t="shared" si="3"/>
        <v>25</v>
      </c>
      <c r="L291" s="74" t="s">
        <v>373</v>
      </c>
      <c r="M291" s="74" t="str">
        <f t="shared" si="2"/>
        <v>Direct</v>
      </c>
      <c r="N291" s="74"/>
    </row>
    <row r="292" spans="1:14" ht="13">
      <c r="A292" s="71">
        <f t="shared" si="4"/>
        <v>286</v>
      </c>
      <c r="B292" s="72" t="s">
        <v>1148</v>
      </c>
      <c r="C292" s="73" t="s">
        <v>1149</v>
      </c>
      <c r="D292" s="74" t="s">
        <v>28</v>
      </c>
      <c r="E292" s="74" t="s">
        <v>57</v>
      </c>
      <c r="F292" s="74" t="s">
        <v>168</v>
      </c>
      <c r="G292" s="75">
        <v>40000</v>
      </c>
      <c r="H292" s="76" t="s">
        <v>36</v>
      </c>
      <c r="I292" s="73">
        <v>1000</v>
      </c>
      <c r="J292" s="77" t="s">
        <v>138</v>
      </c>
      <c r="K292" s="75">
        <f t="shared" si="3"/>
        <v>40</v>
      </c>
      <c r="L292" s="74" t="s">
        <v>373</v>
      </c>
      <c r="M292" s="74" t="str">
        <f t="shared" si="2"/>
        <v>Direct</v>
      </c>
      <c r="N292" s="74"/>
    </row>
    <row r="293" spans="1:14" ht="13">
      <c r="A293" s="71">
        <f t="shared" si="4"/>
        <v>287</v>
      </c>
      <c r="B293" s="72" t="s">
        <v>1150</v>
      </c>
      <c r="C293" s="73" t="s">
        <v>1151</v>
      </c>
      <c r="D293" s="74" t="s">
        <v>28</v>
      </c>
      <c r="E293" s="74" t="s">
        <v>57</v>
      </c>
      <c r="F293" s="74" t="s">
        <v>168</v>
      </c>
      <c r="G293" s="75">
        <v>75000</v>
      </c>
      <c r="H293" s="76" t="s">
        <v>36</v>
      </c>
      <c r="I293" s="73">
        <v>1000</v>
      </c>
      <c r="J293" s="77" t="s">
        <v>138</v>
      </c>
      <c r="K293" s="75">
        <f t="shared" si="3"/>
        <v>75</v>
      </c>
      <c r="L293" s="74" t="s">
        <v>373</v>
      </c>
      <c r="M293" s="74" t="str">
        <f t="shared" si="2"/>
        <v>Direct</v>
      </c>
      <c r="N293" s="74"/>
    </row>
    <row r="294" spans="1:14" ht="13">
      <c r="A294" s="71">
        <f t="shared" si="4"/>
        <v>288</v>
      </c>
      <c r="B294" s="72" t="s">
        <v>1152</v>
      </c>
      <c r="C294" s="73" t="s">
        <v>1153</v>
      </c>
      <c r="D294" s="74" t="s">
        <v>28</v>
      </c>
      <c r="E294" s="74" t="s">
        <v>57</v>
      </c>
      <c r="F294" s="74" t="s">
        <v>151</v>
      </c>
      <c r="G294" s="75">
        <v>13000</v>
      </c>
      <c r="H294" s="76" t="s">
        <v>36</v>
      </c>
      <c r="I294" s="73">
        <v>1000</v>
      </c>
      <c r="J294" s="77" t="s">
        <v>138</v>
      </c>
      <c r="K294" s="75">
        <f t="shared" si="3"/>
        <v>13</v>
      </c>
      <c r="L294" s="74" t="s">
        <v>373</v>
      </c>
      <c r="M294" s="74" t="str">
        <f t="shared" si="2"/>
        <v>Direct</v>
      </c>
      <c r="N294" s="74"/>
    </row>
    <row r="295" spans="1:14" ht="13">
      <c r="A295" s="71">
        <f t="shared" si="4"/>
        <v>289</v>
      </c>
      <c r="B295" s="72" t="s">
        <v>1154</v>
      </c>
      <c r="C295" s="73" t="s">
        <v>1155</v>
      </c>
      <c r="D295" s="74" t="s">
        <v>28</v>
      </c>
      <c r="E295" s="74" t="s">
        <v>57</v>
      </c>
      <c r="F295" s="74" t="s">
        <v>178</v>
      </c>
      <c r="G295" s="75">
        <v>10000</v>
      </c>
      <c r="H295" s="76" t="s">
        <v>62</v>
      </c>
      <c r="I295" s="73">
        <v>500</v>
      </c>
      <c r="J295" s="77" t="s">
        <v>138</v>
      </c>
      <c r="K295" s="75">
        <f t="shared" si="3"/>
        <v>20</v>
      </c>
      <c r="L295" s="74" t="s">
        <v>373</v>
      </c>
      <c r="M295" s="74" t="str">
        <f t="shared" si="2"/>
        <v>Direct</v>
      </c>
      <c r="N295" s="74"/>
    </row>
    <row r="296" spans="1:14" ht="13">
      <c r="A296" s="71">
        <f t="shared" si="4"/>
        <v>290</v>
      </c>
      <c r="B296" s="72" t="s">
        <v>1156</v>
      </c>
      <c r="C296" s="73" t="s">
        <v>1157</v>
      </c>
      <c r="D296" s="74" t="s">
        <v>28</v>
      </c>
      <c r="E296" s="74" t="s">
        <v>57</v>
      </c>
      <c r="F296" s="74" t="s">
        <v>168</v>
      </c>
      <c r="G296" s="75">
        <v>42500</v>
      </c>
      <c r="H296" s="76" t="s">
        <v>62</v>
      </c>
      <c r="I296" s="73">
        <v>170</v>
      </c>
      <c r="J296" s="77" t="s">
        <v>138</v>
      </c>
      <c r="K296" s="75">
        <f t="shared" si="3"/>
        <v>250</v>
      </c>
      <c r="L296" s="74" t="s">
        <v>355</v>
      </c>
      <c r="M296" s="74" t="str">
        <f t="shared" si="2"/>
        <v>Direct</v>
      </c>
      <c r="N296" s="74"/>
    </row>
    <row r="297" spans="1:14" ht="13">
      <c r="A297" s="71">
        <f t="shared" si="4"/>
        <v>291</v>
      </c>
      <c r="B297" s="72" t="s">
        <v>1158</v>
      </c>
      <c r="C297" s="73" t="s">
        <v>1159</v>
      </c>
      <c r="D297" s="74" t="s">
        <v>81</v>
      </c>
      <c r="E297" s="74" t="s">
        <v>82</v>
      </c>
      <c r="F297" s="74" t="s">
        <v>120</v>
      </c>
      <c r="G297" s="75">
        <v>20000</v>
      </c>
      <c r="H297" s="76" t="s">
        <v>62</v>
      </c>
      <c r="I297" s="73">
        <v>100</v>
      </c>
      <c r="J297" s="77" t="s">
        <v>138</v>
      </c>
      <c r="K297" s="75">
        <f t="shared" si="3"/>
        <v>200</v>
      </c>
      <c r="L297" s="74" t="s">
        <v>326</v>
      </c>
      <c r="M297" s="74" t="str">
        <f t="shared" si="2"/>
        <v>Direct</v>
      </c>
      <c r="N297" s="74"/>
    </row>
    <row r="298" spans="1:14" ht="13">
      <c r="A298" s="71">
        <f t="shared" si="4"/>
        <v>292</v>
      </c>
      <c r="B298" s="72" t="s">
        <v>1160</v>
      </c>
      <c r="C298" s="73" t="s">
        <v>1161</v>
      </c>
      <c r="D298" s="74" t="s">
        <v>81</v>
      </c>
      <c r="E298" s="74" t="s">
        <v>82</v>
      </c>
      <c r="F298" s="74" t="s">
        <v>120</v>
      </c>
      <c r="G298" s="75">
        <v>20000</v>
      </c>
      <c r="H298" s="76" t="s">
        <v>62</v>
      </c>
      <c r="I298" s="73">
        <v>100</v>
      </c>
      <c r="J298" s="77" t="s">
        <v>138</v>
      </c>
      <c r="K298" s="75">
        <f t="shared" si="3"/>
        <v>200</v>
      </c>
      <c r="L298" s="74" t="s">
        <v>326</v>
      </c>
      <c r="M298" s="74" t="str">
        <f t="shared" si="2"/>
        <v>Direct</v>
      </c>
      <c r="N298" s="74"/>
    </row>
    <row r="299" spans="1:14" ht="13">
      <c r="A299" s="71">
        <f t="shared" si="4"/>
        <v>293</v>
      </c>
      <c r="B299" s="72" t="s">
        <v>1162</v>
      </c>
      <c r="C299" s="73" t="s">
        <v>1163</v>
      </c>
      <c r="D299" s="74" t="s">
        <v>81</v>
      </c>
      <c r="E299" s="74" t="s">
        <v>82</v>
      </c>
      <c r="F299" s="74" t="s">
        <v>120</v>
      </c>
      <c r="G299" s="75">
        <v>20000</v>
      </c>
      <c r="H299" s="76" t="s">
        <v>62</v>
      </c>
      <c r="I299" s="73">
        <v>100</v>
      </c>
      <c r="J299" s="77" t="s">
        <v>138</v>
      </c>
      <c r="K299" s="75">
        <f t="shared" si="3"/>
        <v>200</v>
      </c>
      <c r="L299" s="74" t="s">
        <v>326</v>
      </c>
      <c r="M299" s="74" t="str">
        <f t="shared" si="2"/>
        <v>Direct</v>
      </c>
      <c r="N299" s="74"/>
    </row>
    <row r="300" spans="1:14" ht="13">
      <c r="A300" s="71">
        <f t="shared" si="4"/>
        <v>294</v>
      </c>
      <c r="B300" s="72" t="s">
        <v>1164</v>
      </c>
      <c r="C300" s="73" t="s">
        <v>1165</v>
      </c>
      <c r="D300" s="74" t="s">
        <v>81</v>
      </c>
      <c r="E300" s="74" t="s">
        <v>128</v>
      </c>
      <c r="F300" s="74" t="s">
        <v>131</v>
      </c>
      <c r="G300" s="75">
        <v>32000</v>
      </c>
      <c r="H300" s="76" t="s">
        <v>62</v>
      </c>
      <c r="I300" s="73">
        <v>100</v>
      </c>
      <c r="J300" s="77" t="s">
        <v>306</v>
      </c>
      <c r="K300" s="75">
        <f t="shared" si="3"/>
        <v>320</v>
      </c>
      <c r="L300" s="74" t="s">
        <v>326</v>
      </c>
      <c r="M300" s="74" t="str">
        <f t="shared" si="2"/>
        <v>Direct</v>
      </c>
      <c r="N300" s="74"/>
    </row>
    <row r="301" spans="1:14" ht="13">
      <c r="A301" s="71">
        <f t="shared" si="4"/>
        <v>295</v>
      </c>
      <c r="B301" s="72" t="s">
        <v>2009</v>
      </c>
      <c r="C301" s="73" t="s">
        <v>1166</v>
      </c>
      <c r="D301" s="74" t="s">
        <v>81</v>
      </c>
      <c r="E301" s="74" t="s">
        <v>32</v>
      </c>
      <c r="F301" s="74" t="s">
        <v>61</v>
      </c>
      <c r="G301" s="75">
        <v>140500</v>
      </c>
      <c r="H301" s="76" t="s">
        <v>97</v>
      </c>
      <c r="I301" s="73">
        <v>700</v>
      </c>
      <c r="J301" s="77" t="s">
        <v>30</v>
      </c>
      <c r="K301" s="75">
        <f t="shared" si="3"/>
        <v>200.71428571428572</v>
      </c>
      <c r="L301" s="74" t="s">
        <v>355</v>
      </c>
      <c r="M301" s="74" t="str">
        <f t="shared" si="2"/>
        <v>Direct</v>
      </c>
      <c r="N301" s="74"/>
    </row>
    <row r="302" spans="1:14" ht="13">
      <c r="A302" s="71">
        <f t="shared" si="4"/>
        <v>296</v>
      </c>
      <c r="B302" s="72" t="s">
        <v>2010</v>
      </c>
      <c r="C302" s="73" t="s">
        <v>1167</v>
      </c>
      <c r="D302" s="74" t="s">
        <v>81</v>
      </c>
      <c r="E302" s="74" t="s">
        <v>32</v>
      </c>
      <c r="F302" s="74" t="s">
        <v>61</v>
      </c>
      <c r="G302" s="75">
        <v>140500</v>
      </c>
      <c r="H302" s="76" t="s">
        <v>97</v>
      </c>
      <c r="I302" s="73">
        <v>700</v>
      </c>
      <c r="J302" s="77" t="s">
        <v>30</v>
      </c>
      <c r="K302" s="75">
        <f t="shared" si="3"/>
        <v>200.71428571428572</v>
      </c>
      <c r="L302" s="74" t="s">
        <v>355</v>
      </c>
      <c r="M302" s="74" t="str">
        <f t="shared" si="2"/>
        <v>Direct</v>
      </c>
      <c r="N302" s="74"/>
    </row>
    <row r="303" spans="1:14" ht="13">
      <c r="A303" s="71">
        <f t="shared" si="4"/>
        <v>297</v>
      </c>
      <c r="B303" s="72" t="s">
        <v>2011</v>
      </c>
      <c r="C303" s="73" t="s">
        <v>1168</v>
      </c>
      <c r="D303" s="74" t="s">
        <v>81</v>
      </c>
      <c r="E303" s="74" t="s">
        <v>32</v>
      </c>
      <c r="F303" s="74" t="s">
        <v>61</v>
      </c>
      <c r="G303" s="75">
        <v>140500</v>
      </c>
      <c r="H303" s="76" t="s">
        <v>97</v>
      </c>
      <c r="I303" s="73">
        <v>700</v>
      </c>
      <c r="J303" s="77" t="s">
        <v>30</v>
      </c>
      <c r="K303" s="75">
        <f t="shared" si="3"/>
        <v>200.71428571428572</v>
      </c>
      <c r="L303" s="74" t="s">
        <v>355</v>
      </c>
      <c r="M303" s="74" t="str">
        <f t="shared" si="2"/>
        <v>Direct</v>
      </c>
      <c r="N303" s="74"/>
    </row>
    <row r="304" spans="1:14" ht="13">
      <c r="A304" s="71">
        <f t="shared" si="4"/>
        <v>298</v>
      </c>
      <c r="B304" s="72" t="s">
        <v>2012</v>
      </c>
      <c r="C304" s="73" t="s">
        <v>1169</v>
      </c>
      <c r="D304" s="74" t="s">
        <v>81</v>
      </c>
      <c r="E304" s="74" t="s">
        <v>32</v>
      </c>
      <c r="F304" s="74" t="s">
        <v>61</v>
      </c>
      <c r="G304" s="75">
        <v>140500</v>
      </c>
      <c r="H304" s="76" t="s">
        <v>97</v>
      </c>
      <c r="I304" s="73">
        <v>700</v>
      </c>
      <c r="J304" s="77" t="s">
        <v>30</v>
      </c>
      <c r="K304" s="75">
        <f t="shared" si="3"/>
        <v>200.71428571428572</v>
      </c>
      <c r="L304" s="74" t="s">
        <v>355</v>
      </c>
      <c r="M304" s="74" t="str">
        <f t="shared" si="2"/>
        <v>Direct</v>
      </c>
      <c r="N304" s="74"/>
    </row>
    <row r="305" spans="1:14" ht="13">
      <c r="A305" s="71">
        <f t="shared" si="4"/>
        <v>299</v>
      </c>
      <c r="B305" s="72" t="s">
        <v>1170</v>
      </c>
      <c r="C305" s="73" t="s">
        <v>1171</v>
      </c>
      <c r="D305" s="74" t="s">
        <v>81</v>
      </c>
      <c r="E305" s="74" t="s">
        <v>82</v>
      </c>
      <c r="F305" s="74" t="s">
        <v>120</v>
      </c>
      <c r="G305" s="75">
        <v>55000</v>
      </c>
      <c r="H305" s="76" t="s">
        <v>62</v>
      </c>
      <c r="I305" s="73">
        <v>95</v>
      </c>
      <c r="J305" s="77" t="s">
        <v>306</v>
      </c>
      <c r="K305" s="75">
        <f t="shared" si="3"/>
        <v>578.9473684210526</v>
      </c>
      <c r="L305" s="74" t="s">
        <v>373</v>
      </c>
      <c r="M305" s="74" t="str">
        <f t="shared" si="2"/>
        <v>Direct</v>
      </c>
      <c r="N305" s="74"/>
    </row>
    <row r="306" spans="1:14" ht="13">
      <c r="A306" s="71">
        <f t="shared" si="4"/>
        <v>300</v>
      </c>
      <c r="B306" s="72" t="s">
        <v>1172</v>
      </c>
      <c r="C306" s="73" t="s">
        <v>1173</v>
      </c>
      <c r="D306" s="74" t="s">
        <v>81</v>
      </c>
      <c r="E306" s="74" t="s">
        <v>82</v>
      </c>
      <c r="F306" s="74" t="s">
        <v>120</v>
      </c>
      <c r="G306" s="75">
        <v>65000</v>
      </c>
      <c r="H306" s="76" t="s">
        <v>62</v>
      </c>
      <c r="I306" s="73">
        <v>40</v>
      </c>
      <c r="J306" s="77" t="s">
        <v>306</v>
      </c>
      <c r="K306" s="75">
        <f t="shared" si="3"/>
        <v>1625</v>
      </c>
      <c r="L306" s="74" t="s">
        <v>373</v>
      </c>
      <c r="M306" s="74" t="str">
        <f t="shared" si="2"/>
        <v>Direct</v>
      </c>
      <c r="N306" s="74"/>
    </row>
    <row r="307" spans="1:14" ht="13">
      <c r="A307" s="71">
        <f t="shared" si="4"/>
        <v>301</v>
      </c>
      <c r="B307" s="72" t="s">
        <v>1174</v>
      </c>
      <c r="C307" s="73" t="s">
        <v>1175</v>
      </c>
      <c r="D307" s="74" t="s">
        <v>81</v>
      </c>
      <c r="E307" s="74" t="s">
        <v>82</v>
      </c>
      <c r="F307" s="74" t="s">
        <v>120</v>
      </c>
      <c r="G307" s="75">
        <v>65000</v>
      </c>
      <c r="H307" s="76" t="s">
        <v>62</v>
      </c>
      <c r="I307" s="73">
        <v>38</v>
      </c>
      <c r="J307" s="77" t="s">
        <v>306</v>
      </c>
      <c r="K307" s="75">
        <f t="shared" si="3"/>
        <v>1710.5263157894738</v>
      </c>
      <c r="L307" s="74" t="s">
        <v>373</v>
      </c>
      <c r="M307" s="74" t="str">
        <f t="shared" si="2"/>
        <v>Direct</v>
      </c>
      <c r="N307" s="74"/>
    </row>
    <row r="308" spans="1:14" ht="13">
      <c r="A308" s="71">
        <f t="shared" si="4"/>
        <v>302</v>
      </c>
      <c r="B308" s="72" t="s">
        <v>2008</v>
      </c>
      <c r="C308" s="73" t="s">
        <v>1176</v>
      </c>
      <c r="D308" s="74" t="s">
        <v>81</v>
      </c>
      <c r="E308" s="74" t="s">
        <v>32</v>
      </c>
      <c r="F308" s="74" t="s">
        <v>35</v>
      </c>
      <c r="G308" s="75">
        <v>230000</v>
      </c>
      <c r="H308" s="76" t="s">
        <v>62</v>
      </c>
      <c r="I308" s="73">
        <v>1000</v>
      </c>
      <c r="J308" s="77" t="s">
        <v>138</v>
      </c>
      <c r="K308" s="75">
        <f t="shared" si="3"/>
        <v>230</v>
      </c>
      <c r="L308" s="74" t="s">
        <v>122</v>
      </c>
      <c r="M308" s="74" t="str">
        <f t="shared" si="2"/>
        <v>Supplier</v>
      </c>
      <c r="N308" s="74"/>
    </row>
    <row r="309" spans="1:14" ht="13">
      <c r="A309" s="71">
        <f t="shared" si="4"/>
        <v>303</v>
      </c>
      <c r="B309" s="72" t="s">
        <v>2030</v>
      </c>
      <c r="C309" s="73" t="s">
        <v>1177</v>
      </c>
      <c r="D309" s="74" t="s">
        <v>81</v>
      </c>
      <c r="E309" s="74" t="s">
        <v>32</v>
      </c>
      <c r="F309" s="74" t="s">
        <v>35</v>
      </c>
      <c r="G309" s="75">
        <v>195000</v>
      </c>
      <c r="H309" s="76" t="s">
        <v>62</v>
      </c>
      <c r="I309" s="73">
        <v>1000</v>
      </c>
      <c r="J309" s="77" t="s">
        <v>138</v>
      </c>
      <c r="K309" s="75">
        <f t="shared" si="3"/>
        <v>195</v>
      </c>
      <c r="L309" s="74" t="s">
        <v>373</v>
      </c>
      <c r="M309" s="74" t="str">
        <f t="shared" si="2"/>
        <v>Direct</v>
      </c>
      <c r="N309" s="74" t="s">
        <v>2031</v>
      </c>
    </row>
    <row r="310" spans="1:14" ht="13">
      <c r="A310" s="71">
        <f t="shared" si="4"/>
        <v>304</v>
      </c>
      <c r="B310" s="72" t="s">
        <v>1178</v>
      </c>
      <c r="C310" s="73" t="s">
        <v>1179</v>
      </c>
      <c r="D310" s="74" t="s">
        <v>81</v>
      </c>
      <c r="E310" s="74" t="s">
        <v>46</v>
      </c>
      <c r="F310" s="74" t="s">
        <v>49</v>
      </c>
      <c r="G310" s="75">
        <v>220000</v>
      </c>
      <c r="H310" s="76" t="s">
        <v>62</v>
      </c>
      <c r="I310" s="73">
        <v>1000</v>
      </c>
      <c r="J310" s="77" t="s">
        <v>138</v>
      </c>
      <c r="K310" s="75">
        <f t="shared" si="3"/>
        <v>220</v>
      </c>
      <c r="L310" s="74" t="s">
        <v>109</v>
      </c>
      <c r="M310" s="74" t="str">
        <f t="shared" si="2"/>
        <v>Supplier</v>
      </c>
      <c r="N310" s="74" t="s">
        <v>521</v>
      </c>
    </row>
    <row r="311" spans="1:14" ht="13">
      <c r="A311" s="71">
        <f t="shared" si="4"/>
        <v>305</v>
      </c>
      <c r="B311" s="72" t="s">
        <v>1180</v>
      </c>
      <c r="C311" s="73" t="s">
        <v>1181</v>
      </c>
      <c r="D311" s="74" t="s">
        <v>81</v>
      </c>
      <c r="E311" s="74" t="s">
        <v>46</v>
      </c>
      <c r="F311" s="74" t="s">
        <v>49</v>
      </c>
      <c r="G311" s="75">
        <v>220000</v>
      </c>
      <c r="H311" s="76" t="s">
        <v>62</v>
      </c>
      <c r="I311" s="73">
        <v>1000</v>
      </c>
      <c r="J311" s="77" t="s">
        <v>138</v>
      </c>
      <c r="K311" s="75">
        <f t="shared" si="3"/>
        <v>220</v>
      </c>
      <c r="L311" s="74" t="s">
        <v>109</v>
      </c>
      <c r="M311" s="74" t="str">
        <f t="shared" si="2"/>
        <v>Supplier</v>
      </c>
      <c r="N311" s="74" t="s">
        <v>521</v>
      </c>
    </row>
    <row r="312" spans="1:14" ht="13">
      <c r="A312" s="71">
        <f t="shared" si="4"/>
        <v>306</v>
      </c>
      <c r="B312" s="72" t="s">
        <v>1182</v>
      </c>
      <c r="C312" s="73" t="s">
        <v>1183</v>
      </c>
      <c r="D312" s="74" t="s">
        <v>81</v>
      </c>
      <c r="E312" s="74" t="s">
        <v>46</v>
      </c>
      <c r="F312" s="74" t="s">
        <v>49</v>
      </c>
      <c r="G312" s="75">
        <v>220000</v>
      </c>
      <c r="H312" s="76" t="s">
        <v>62</v>
      </c>
      <c r="I312" s="73">
        <v>1000</v>
      </c>
      <c r="J312" s="77" t="s">
        <v>138</v>
      </c>
      <c r="K312" s="75">
        <f t="shared" si="3"/>
        <v>220</v>
      </c>
      <c r="L312" s="74" t="s">
        <v>109</v>
      </c>
      <c r="M312" s="74" t="str">
        <f t="shared" si="2"/>
        <v>Supplier</v>
      </c>
      <c r="N312" s="74" t="s">
        <v>521</v>
      </c>
    </row>
    <row r="313" spans="1:14" ht="13">
      <c r="A313" s="71">
        <f t="shared" si="4"/>
        <v>307</v>
      </c>
      <c r="B313" s="72" t="s">
        <v>1184</v>
      </c>
      <c r="C313" s="73" t="s">
        <v>1185</v>
      </c>
      <c r="D313" s="74" t="s">
        <v>81</v>
      </c>
      <c r="E313" s="74" t="s">
        <v>46</v>
      </c>
      <c r="F313" s="74" t="s">
        <v>49</v>
      </c>
      <c r="G313" s="75">
        <v>220000</v>
      </c>
      <c r="H313" s="76" t="s">
        <v>62</v>
      </c>
      <c r="I313" s="73">
        <v>1000</v>
      </c>
      <c r="J313" s="77" t="s">
        <v>138</v>
      </c>
      <c r="K313" s="75">
        <f t="shared" si="3"/>
        <v>220</v>
      </c>
      <c r="L313" s="74" t="s">
        <v>109</v>
      </c>
      <c r="M313" s="74" t="str">
        <f t="shared" si="2"/>
        <v>Supplier</v>
      </c>
      <c r="N313" s="74" t="s">
        <v>521</v>
      </c>
    </row>
    <row r="314" spans="1:14" ht="13">
      <c r="A314" s="71">
        <f t="shared" si="4"/>
        <v>308</v>
      </c>
      <c r="B314" s="72" t="s">
        <v>2015</v>
      </c>
      <c r="C314" s="73" t="s">
        <v>1186</v>
      </c>
      <c r="D314" s="74" t="s">
        <v>81</v>
      </c>
      <c r="E314" s="74" t="s">
        <v>46</v>
      </c>
      <c r="F314" s="74" t="s">
        <v>49</v>
      </c>
      <c r="G314" s="75">
        <v>220000</v>
      </c>
      <c r="H314" s="76" t="s">
        <v>62</v>
      </c>
      <c r="I314" s="73">
        <v>1000</v>
      </c>
      <c r="J314" s="77" t="s">
        <v>138</v>
      </c>
      <c r="K314" s="75">
        <f t="shared" si="3"/>
        <v>220</v>
      </c>
      <c r="L314" s="74" t="s">
        <v>109</v>
      </c>
      <c r="M314" s="74" t="str">
        <f t="shared" si="2"/>
        <v>Supplier</v>
      </c>
      <c r="N314" s="74" t="s">
        <v>521</v>
      </c>
    </row>
    <row r="315" spans="1:14" ht="13">
      <c r="A315" s="71">
        <f t="shared" si="4"/>
        <v>309</v>
      </c>
      <c r="B315" s="72" t="s">
        <v>2016</v>
      </c>
      <c r="C315" s="73" t="s">
        <v>1187</v>
      </c>
      <c r="D315" s="74" t="s">
        <v>81</v>
      </c>
      <c r="E315" s="74" t="s">
        <v>46</v>
      </c>
      <c r="F315" s="74" t="s">
        <v>86</v>
      </c>
      <c r="G315" s="75">
        <v>40000</v>
      </c>
      <c r="H315" s="76" t="s">
        <v>62</v>
      </c>
      <c r="I315" s="73">
        <v>30</v>
      </c>
      <c r="J315" s="77" t="s">
        <v>138</v>
      </c>
      <c r="K315" s="75">
        <f t="shared" si="3"/>
        <v>1333.3333333333333</v>
      </c>
      <c r="L315" s="74" t="s">
        <v>109</v>
      </c>
      <c r="M315" s="74" t="str">
        <f t="shared" si="2"/>
        <v>Supplier</v>
      </c>
      <c r="N315" s="74" t="s">
        <v>521</v>
      </c>
    </row>
    <row r="316" spans="1:14" ht="13">
      <c r="A316" s="71">
        <f t="shared" si="4"/>
        <v>310</v>
      </c>
      <c r="B316" s="72" t="s">
        <v>789</v>
      </c>
      <c r="C316" s="73" t="s">
        <v>1188</v>
      </c>
      <c r="D316" s="74" t="s">
        <v>81</v>
      </c>
      <c r="E316" s="74" t="s">
        <v>46</v>
      </c>
      <c r="F316" s="74" t="s">
        <v>86</v>
      </c>
      <c r="G316" s="75">
        <v>40000</v>
      </c>
      <c r="H316" s="76" t="s">
        <v>62</v>
      </c>
      <c r="I316" s="73">
        <v>30</v>
      </c>
      <c r="J316" s="77" t="s">
        <v>138</v>
      </c>
      <c r="K316" s="75">
        <f t="shared" si="3"/>
        <v>1333.3333333333333</v>
      </c>
      <c r="L316" s="74" t="s">
        <v>109</v>
      </c>
      <c r="M316" s="74" t="str">
        <f t="shared" si="2"/>
        <v>Supplier</v>
      </c>
      <c r="N316" s="74" t="s">
        <v>521</v>
      </c>
    </row>
    <row r="317" spans="1:14" ht="13">
      <c r="A317" s="71">
        <f t="shared" si="4"/>
        <v>311</v>
      </c>
      <c r="B317" s="72" t="s">
        <v>1189</v>
      </c>
      <c r="C317" s="73" t="s">
        <v>1190</v>
      </c>
      <c r="D317" s="74" t="s">
        <v>81</v>
      </c>
      <c r="E317" s="74" t="s">
        <v>46</v>
      </c>
      <c r="F317" s="74" t="s">
        <v>120</v>
      </c>
      <c r="G317" s="75">
        <v>42000</v>
      </c>
      <c r="H317" s="76" t="s">
        <v>97</v>
      </c>
      <c r="I317" s="73">
        <v>1000</v>
      </c>
      <c r="J317" s="77" t="s">
        <v>30</v>
      </c>
      <c r="K317" s="75">
        <f t="shared" si="3"/>
        <v>42</v>
      </c>
      <c r="L317" s="74" t="s">
        <v>109</v>
      </c>
      <c r="M317" s="74" t="str">
        <f t="shared" si="2"/>
        <v>Supplier</v>
      </c>
      <c r="N317" s="74"/>
    </row>
    <row r="318" spans="1:14" ht="13">
      <c r="A318" s="71">
        <f t="shared" si="4"/>
        <v>312</v>
      </c>
      <c r="B318" s="72" t="s">
        <v>2013</v>
      </c>
      <c r="C318" s="73" t="s">
        <v>1191</v>
      </c>
      <c r="D318" s="74" t="s">
        <v>81</v>
      </c>
      <c r="E318" s="74" t="s">
        <v>46</v>
      </c>
      <c r="F318" s="74" t="s">
        <v>120</v>
      </c>
      <c r="G318" s="75">
        <v>40000</v>
      </c>
      <c r="H318" s="76" t="s">
        <v>62</v>
      </c>
      <c r="I318" s="73">
        <v>1000</v>
      </c>
      <c r="J318" s="77" t="s">
        <v>30</v>
      </c>
      <c r="K318" s="75">
        <f t="shared" si="3"/>
        <v>40</v>
      </c>
      <c r="L318" s="74" t="s">
        <v>37</v>
      </c>
      <c r="M318" s="74" t="str">
        <f t="shared" si="2"/>
        <v>Supplier</v>
      </c>
      <c r="N318" s="74"/>
    </row>
    <row r="319" spans="1:14" ht="13">
      <c r="A319" s="71">
        <f t="shared" si="4"/>
        <v>313</v>
      </c>
      <c r="B319" s="72" t="s">
        <v>1974</v>
      </c>
      <c r="C319" s="73" t="s">
        <v>1192</v>
      </c>
      <c r="D319" s="74" t="s">
        <v>81</v>
      </c>
      <c r="E319" s="74" t="s">
        <v>32</v>
      </c>
      <c r="F319" s="74" t="s">
        <v>61</v>
      </c>
      <c r="G319" s="75">
        <v>105000</v>
      </c>
      <c r="H319" s="76" t="s">
        <v>97</v>
      </c>
      <c r="I319" s="73">
        <v>750</v>
      </c>
      <c r="J319" s="77" t="s">
        <v>30</v>
      </c>
      <c r="K319" s="75">
        <f t="shared" si="3"/>
        <v>140</v>
      </c>
      <c r="L319" s="74" t="s">
        <v>373</v>
      </c>
      <c r="M319" s="74" t="str">
        <f t="shared" si="2"/>
        <v>Direct</v>
      </c>
      <c r="N319" s="74"/>
    </row>
    <row r="320" spans="1:14" ht="13">
      <c r="A320" s="71">
        <f t="shared" si="4"/>
        <v>314</v>
      </c>
      <c r="B320" s="72" t="s">
        <v>1975</v>
      </c>
      <c r="C320" s="73" t="s">
        <v>1193</v>
      </c>
      <c r="D320" s="74" t="s">
        <v>81</v>
      </c>
      <c r="E320" s="74" t="s">
        <v>32</v>
      </c>
      <c r="F320" s="74" t="s">
        <v>61</v>
      </c>
      <c r="G320" s="75">
        <v>105000</v>
      </c>
      <c r="H320" s="76" t="s">
        <v>97</v>
      </c>
      <c r="I320" s="73">
        <v>750</v>
      </c>
      <c r="J320" s="77" t="s">
        <v>30</v>
      </c>
      <c r="K320" s="75">
        <f t="shared" si="3"/>
        <v>140</v>
      </c>
      <c r="L320" s="74" t="s">
        <v>373</v>
      </c>
      <c r="M320" s="74" t="str">
        <f t="shared" si="2"/>
        <v>Direct</v>
      </c>
      <c r="N320" s="74"/>
    </row>
    <row r="321" spans="1:14" ht="13">
      <c r="A321" s="71">
        <f t="shared" si="4"/>
        <v>315</v>
      </c>
      <c r="B321" s="72" t="s">
        <v>1976</v>
      </c>
      <c r="C321" s="73" t="s">
        <v>1194</v>
      </c>
      <c r="D321" s="74" t="s">
        <v>81</v>
      </c>
      <c r="E321" s="74" t="s">
        <v>32</v>
      </c>
      <c r="F321" s="74" t="s">
        <v>61</v>
      </c>
      <c r="G321" s="75">
        <v>105000</v>
      </c>
      <c r="H321" s="76" t="s">
        <v>97</v>
      </c>
      <c r="I321" s="73">
        <v>750</v>
      </c>
      <c r="J321" s="77" t="s">
        <v>30</v>
      </c>
      <c r="K321" s="75">
        <f t="shared" si="3"/>
        <v>140</v>
      </c>
      <c r="L321" s="74" t="s">
        <v>373</v>
      </c>
      <c r="M321" s="74" t="str">
        <f t="shared" si="2"/>
        <v>Direct</v>
      </c>
      <c r="N321" s="74"/>
    </row>
    <row r="322" spans="1:14" ht="13">
      <c r="A322" s="71">
        <f t="shared" si="4"/>
        <v>316</v>
      </c>
      <c r="B322" s="72" t="s">
        <v>1977</v>
      </c>
      <c r="C322" s="73" t="s">
        <v>1195</v>
      </c>
      <c r="D322" s="74" t="s">
        <v>81</v>
      </c>
      <c r="E322" s="74" t="s">
        <v>32</v>
      </c>
      <c r="F322" s="74" t="s">
        <v>61</v>
      </c>
      <c r="G322" s="75">
        <v>105000</v>
      </c>
      <c r="H322" s="76" t="s">
        <v>97</v>
      </c>
      <c r="I322" s="73">
        <v>750</v>
      </c>
      <c r="J322" s="77" t="s">
        <v>30</v>
      </c>
      <c r="K322" s="75">
        <f t="shared" si="3"/>
        <v>140</v>
      </c>
      <c r="L322" s="74" t="s">
        <v>373</v>
      </c>
      <c r="M322" s="74" t="str">
        <f t="shared" si="2"/>
        <v>Direct</v>
      </c>
      <c r="N322" s="74"/>
    </row>
    <row r="323" spans="1:14" ht="13">
      <c r="A323" s="71">
        <f t="shared" si="4"/>
        <v>317</v>
      </c>
      <c r="B323" s="72" t="s">
        <v>1196</v>
      </c>
      <c r="C323" s="73" t="s">
        <v>1197</v>
      </c>
      <c r="D323" s="74" t="s">
        <v>81</v>
      </c>
      <c r="E323" s="74" t="s">
        <v>46</v>
      </c>
      <c r="F323" s="74" t="s">
        <v>120</v>
      </c>
      <c r="G323" s="75">
        <v>10000</v>
      </c>
      <c r="H323" s="76" t="s">
        <v>62</v>
      </c>
      <c r="I323" s="73">
        <v>100</v>
      </c>
      <c r="J323" s="77" t="s">
        <v>138</v>
      </c>
      <c r="K323" s="75">
        <f t="shared" si="3"/>
        <v>100</v>
      </c>
      <c r="L323" s="74" t="s">
        <v>227</v>
      </c>
      <c r="M323" s="74" t="str">
        <f t="shared" si="2"/>
        <v>Distributor</v>
      </c>
      <c r="N323" s="74"/>
    </row>
    <row r="324" spans="1:14" ht="13">
      <c r="A324" s="71">
        <f t="shared" si="4"/>
        <v>318</v>
      </c>
      <c r="B324" s="72" t="s">
        <v>1198</v>
      </c>
      <c r="C324" s="73" t="s">
        <v>1199</v>
      </c>
      <c r="D324" s="74" t="s">
        <v>28</v>
      </c>
      <c r="E324" s="74" t="s">
        <v>139</v>
      </c>
      <c r="F324" s="74" t="s">
        <v>178</v>
      </c>
      <c r="G324" s="75">
        <v>2900</v>
      </c>
      <c r="H324" s="76" t="s">
        <v>62</v>
      </c>
      <c r="I324" s="73">
        <v>1</v>
      </c>
      <c r="J324" s="77" t="s">
        <v>306</v>
      </c>
      <c r="K324" s="75">
        <f t="shared" si="3"/>
        <v>2900</v>
      </c>
      <c r="L324" s="74" t="s">
        <v>373</v>
      </c>
      <c r="M324" s="74" t="str">
        <f t="shared" si="2"/>
        <v>Direct</v>
      </c>
      <c r="N324" s="74" t="s">
        <v>1105</v>
      </c>
    </row>
    <row r="325" spans="1:14" ht="13">
      <c r="A325" s="71">
        <f t="shared" si="4"/>
        <v>319</v>
      </c>
      <c r="B325" s="72" t="s">
        <v>1200</v>
      </c>
      <c r="C325" s="73" t="s">
        <v>1201</v>
      </c>
      <c r="D325" s="74" t="s">
        <v>81</v>
      </c>
      <c r="E325" s="74"/>
      <c r="F325" s="74" t="s">
        <v>120</v>
      </c>
      <c r="G325" s="75">
        <v>15000</v>
      </c>
      <c r="H325" s="76" t="s">
        <v>62</v>
      </c>
      <c r="I325" s="73">
        <v>1000</v>
      </c>
      <c r="J325" s="77" t="s">
        <v>138</v>
      </c>
      <c r="K325" s="75">
        <f t="shared" si="3"/>
        <v>15</v>
      </c>
      <c r="L325" s="74" t="s">
        <v>373</v>
      </c>
      <c r="M325" s="74" t="str">
        <f t="shared" si="2"/>
        <v>Direct</v>
      </c>
      <c r="N325" s="74"/>
    </row>
    <row r="326" spans="1:14" ht="13">
      <c r="A326" s="71">
        <f t="shared" si="4"/>
        <v>320</v>
      </c>
      <c r="B326" s="72" t="s">
        <v>1202</v>
      </c>
      <c r="C326" s="73" t="s">
        <v>1203</v>
      </c>
      <c r="D326" s="74" t="s">
        <v>81</v>
      </c>
      <c r="E326" s="74" t="s">
        <v>46</v>
      </c>
      <c r="F326" s="74" t="s">
        <v>61</v>
      </c>
      <c r="G326" s="75">
        <v>140000</v>
      </c>
      <c r="H326" s="76" t="s">
        <v>97</v>
      </c>
      <c r="I326" s="73">
        <v>700</v>
      </c>
      <c r="J326" s="77" t="s">
        <v>30</v>
      </c>
      <c r="K326" s="75">
        <f t="shared" si="3"/>
        <v>200</v>
      </c>
      <c r="L326" s="74" t="s">
        <v>373</v>
      </c>
      <c r="M326" s="74" t="str">
        <f t="shared" si="2"/>
        <v>Direct</v>
      </c>
      <c r="N326" s="74"/>
    </row>
    <row r="327" spans="1:14" ht="13">
      <c r="A327" s="71">
        <f t="shared" si="4"/>
        <v>321</v>
      </c>
      <c r="B327" s="72" t="s">
        <v>1204</v>
      </c>
      <c r="C327" s="73" t="s">
        <v>1205</v>
      </c>
      <c r="D327" s="74" t="s">
        <v>81</v>
      </c>
      <c r="E327" s="74" t="s">
        <v>46</v>
      </c>
      <c r="F327" s="74" t="s">
        <v>120</v>
      </c>
      <c r="G327" s="75">
        <v>27000</v>
      </c>
      <c r="H327" s="76" t="s">
        <v>62</v>
      </c>
      <c r="I327" s="73">
        <v>20</v>
      </c>
      <c r="J327" s="77" t="s">
        <v>306</v>
      </c>
      <c r="K327" s="75">
        <f t="shared" si="3"/>
        <v>1350</v>
      </c>
      <c r="L327" s="74" t="s">
        <v>264</v>
      </c>
      <c r="M327" s="74" t="str">
        <f t="shared" si="2"/>
        <v>Distributor</v>
      </c>
      <c r="N327" s="74"/>
    </row>
    <row r="328" spans="1:14" ht="13">
      <c r="A328" s="71">
        <f t="shared" si="4"/>
        <v>322</v>
      </c>
      <c r="B328" s="72" t="s">
        <v>2033</v>
      </c>
      <c r="C328" s="73" t="s">
        <v>1206</v>
      </c>
      <c r="D328" s="74" t="s">
        <v>28</v>
      </c>
      <c r="E328" s="74" t="s">
        <v>57</v>
      </c>
      <c r="F328" s="74" t="s">
        <v>168</v>
      </c>
      <c r="G328" s="75">
        <v>17000</v>
      </c>
      <c r="H328" s="76" t="s">
        <v>97</v>
      </c>
      <c r="I328" s="73">
        <v>650</v>
      </c>
      <c r="J328" s="77" t="s">
        <v>30</v>
      </c>
      <c r="K328" s="75">
        <f t="shared" si="3"/>
        <v>26.153846153846153</v>
      </c>
      <c r="L328" s="74" t="s">
        <v>373</v>
      </c>
      <c r="M328" s="74" t="str">
        <f t="shared" si="2"/>
        <v>Direct</v>
      </c>
      <c r="N328" s="74"/>
    </row>
    <row r="329" spans="1:14" ht="13">
      <c r="A329" s="71">
        <f t="shared" si="4"/>
        <v>323</v>
      </c>
      <c r="B329" s="72" t="s">
        <v>1207</v>
      </c>
      <c r="C329" s="73" t="s">
        <v>1208</v>
      </c>
      <c r="D329" s="74" t="s">
        <v>28</v>
      </c>
      <c r="E329" s="74" t="s">
        <v>139</v>
      </c>
      <c r="F329" s="74" t="s">
        <v>178</v>
      </c>
      <c r="G329" s="75">
        <v>100000</v>
      </c>
      <c r="H329" s="76" t="s">
        <v>62</v>
      </c>
      <c r="I329" s="73">
        <v>24</v>
      </c>
      <c r="J329" s="77" t="s">
        <v>859</v>
      </c>
      <c r="K329" s="75">
        <f t="shared" si="3"/>
        <v>4166.666666666667</v>
      </c>
      <c r="L329" s="74" t="s">
        <v>373</v>
      </c>
      <c r="M329" s="74" t="str">
        <f t="shared" si="2"/>
        <v>Direct</v>
      </c>
      <c r="N329" s="74"/>
    </row>
    <row r="330" spans="1:14" ht="13">
      <c r="A330" s="71">
        <f t="shared" si="4"/>
        <v>324</v>
      </c>
      <c r="B330" s="72" t="s">
        <v>1209</v>
      </c>
      <c r="C330" s="73" t="s">
        <v>1210</v>
      </c>
      <c r="D330" s="74" t="s">
        <v>28</v>
      </c>
      <c r="E330" s="74" t="s">
        <v>139</v>
      </c>
      <c r="F330" s="74" t="s">
        <v>178</v>
      </c>
      <c r="G330" s="75">
        <v>3600</v>
      </c>
      <c r="H330" s="76" t="s">
        <v>62</v>
      </c>
      <c r="I330" s="73">
        <v>100</v>
      </c>
      <c r="J330" s="77" t="s">
        <v>859</v>
      </c>
      <c r="K330" s="75">
        <f t="shared" si="3"/>
        <v>36</v>
      </c>
      <c r="L330" s="74" t="s">
        <v>264</v>
      </c>
      <c r="M330" s="74" t="str">
        <f t="shared" si="2"/>
        <v>Distributor</v>
      </c>
      <c r="N330" s="74"/>
    </row>
    <row r="331" spans="1:14" ht="13">
      <c r="A331" s="71">
        <f t="shared" si="4"/>
        <v>325</v>
      </c>
      <c r="B331" s="72" t="s">
        <v>1211</v>
      </c>
      <c r="C331" s="73" t="s">
        <v>1212</v>
      </c>
      <c r="D331" s="74" t="s">
        <v>28</v>
      </c>
      <c r="E331" s="74" t="s">
        <v>139</v>
      </c>
      <c r="F331" s="74" t="s">
        <v>178</v>
      </c>
      <c r="G331" s="75">
        <v>15000</v>
      </c>
      <c r="H331" s="76" t="s">
        <v>62</v>
      </c>
      <c r="I331" s="73">
        <v>1000</v>
      </c>
      <c r="J331" s="77" t="s">
        <v>30</v>
      </c>
      <c r="K331" s="75">
        <f t="shared" si="3"/>
        <v>15</v>
      </c>
      <c r="L331" s="74" t="s">
        <v>248</v>
      </c>
      <c r="M331" s="74" t="str">
        <f t="shared" si="2"/>
        <v>Supplier</v>
      </c>
      <c r="N331" s="74"/>
    </row>
    <row r="332" spans="1:14" ht="13">
      <c r="A332" s="71">
        <f t="shared" si="4"/>
        <v>326</v>
      </c>
      <c r="B332" s="72" t="s">
        <v>1213</v>
      </c>
      <c r="C332" s="73" t="s">
        <v>1214</v>
      </c>
      <c r="D332" s="74" t="s">
        <v>81</v>
      </c>
      <c r="E332" s="74" t="s">
        <v>82</v>
      </c>
      <c r="F332" s="74" t="s">
        <v>49</v>
      </c>
      <c r="G332" s="75">
        <v>220000</v>
      </c>
      <c r="H332" s="76" t="s">
        <v>62</v>
      </c>
      <c r="I332" s="73">
        <v>1000</v>
      </c>
      <c r="J332" s="77" t="s">
        <v>138</v>
      </c>
      <c r="K332" s="75">
        <f t="shared" si="3"/>
        <v>220</v>
      </c>
      <c r="L332" s="74" t="s">
        <v>109</v>
      </c>
      <c r="M332" s="74" t="str">
        <f t="shared" si="2"/>
        <v>Supplier</v>
      </c>
      <c r="N332" s="74"/>
    </row>
    <row r="333" spans="1:14" ht="13">
      <c r="A333" s="71">
        <f t="shared" si="4"/>
        <v>327</v>
      </c>
      <c r="B333" s="72" t="s">
        <v>1215</v>
      </c>
      <c r="C333" s="73" t="s">
        <v>1216</v>
      </c>
      <c r="D333" s="74" t="s">
        <v>81</v>
      </c>
      <c r="E333" s="74" t="s">
        <v>82</v>
      </c>
      <c r="F333" s="74" t="s">
        <v>86</v>
      </c>
      <c r="G333" s="75">
        <v>40000</v>
      </c>
      <c r="H333" s="76" t="s">
        <v>62</v>
      </c>
      <c r="I333" s="73">
        <v>30</v>
      </c>
      <c r="J333" s="77" t="s">
        <v>138</v>
      </c>
      <c r="K333" s="75">
        <f t="shared" si="3"/>
        <v>1333.3333333333333</v>
      </c>
      <c r="L333" s="74" t="s">
        <v>109</v>
      </c>
      <c r="M333" s="74" t="str">
        <f t="shared" si="2"/>
        <v>Supplier</v>
      </c>
      <c r="N333" s="74"/>
    </row>
    <row r="334" spans="1:14" ht="13">
      <c r="A334" s="71">
        <f t="shared" si="4"/>
        <v>328</v>
      </c>
      <c r="B334" s="72" t="s">
        <v>1217</v>
      </c>
      <c r="C334" s="73" t="s">
        <v>1218</v>
      </c>
      <c r="D334" s="74" t="s">
        <v>81</v>
      </c>
      <c r="E334" s="74" t="s">
        <v>82</v>
      </c>
      <c r="F334" s="74" t="s">
        <v>61</v>
      </c>
      <c r="G334" s="75">
        <v>111000</v>
      </c>
      <c r="H334" s="76" t="s">
        <v>97</v>
      </c>
      <c r="I334" s="73">
        <v>760</v>
      </c>
      <c r="J334" s="77" t="s">
        <v>30</v>
      </c>
      <c r="K334" s="75">
        <f t="shared" si="3"/>
        <v>146.05263157894737</v>
      </c>
      <c r="L334" s="74" t="s">
        <v>331</v>
      </c>
      <c r="M334" s="74" t="str">
        <f t="shared" si="2"/>
        <v>Direct</v>
      </c>
      <c r="N334" s="74"/>
    </row>
    <row r="335" spans="1:14" ht="13">
      <c r="A335" s="71">
        <f t="shared" si="4"/>
        <v>329</v>
      </c>
      <c r="B335" s="72" t="s">
        <v>1219</v>
      </c>
      <c r="C335" s="73" t="s">
        <v>1220</v>
      </c>
      <c r="D335" s="74" t="s">
        <v>81</v>
      </c>
      <c r="E335" s="74" t="s">
        <v>82</v>
      </c>
      <c r="F335" s="74" t="s">
        <v>61</v>
      </c>
      <c r="G335" s="75">
        <v>111000</v>
      </c>
      <c r="H335" s="76" t="s">
        <v>97</v>
      </c>
      <c r="I335" s="73">
        <v>760</v>
      </c>
      <c r="J335" s="77" t="s">
        <v>30</v>
      </c>
      <c r="K335" s="75">
        <f t="shared" si="3"/>
        <v>146.05263157894737</v>
      </c>
      <c r="L335" s="74" t="s">
        <v>331</v>
      </c>
      <c r="M335" s="74" t="str">
        <f t="shared" si="2"/>
        <v>Direct</v>
      </c>
      <c r="N335" s="74"/>
    </row>
    <row r="336" spans="1:14" ht="13">
      <c r="A336" s="71">
        <f t="shared" si="4"/>
        <v>330</v>
      </c>
      <c r="B336" s="72" t="s">
        <v>1221</v>
      </c>
      <c r="C336" s="73" t="s">
        <v>1222</v>
      </c>
      <c r="D336" s="74" t="s">
        <v>81</v>
      </c>
      <c r="E336" s="74" t="s">
        <v>82</v>
      </c>
      <c r="F336" s="74" t="s">
        <v>61</v>
      </c>
      <c r="G336" s="75">
        <v>111000</v>
      </c>
      <c r="H336" s="76" t="s">
        <v>97</v>
      </c>
      <c r="I336" s="73">
        <v>760</v>
      </c>
      <c r="J336" s="77" t="s">
        <v>30</v>
      </c>
      <c r="K336" s="75">
        <f t="shared" si="3"/>
        <v>146.05263157894737</v>
      </c>
      <c r="L336" s="74" t="s">
        <v>331</v>
      </c>
      <c r="M336" s="74" t="str">
        <f t="shared" si="2"/>
        <v>Direct</v>
      </c>
      <c r="N336" s="74"/>
    </row>
    <row r="337" spans="1:14" ht="13">
      <c r="A337" s="71">
        <f t="shared" si="4"/>
        <v>331</v>
      </c>
      <c r="B337" s="72" t="s">
        <v>1223</v>
      </c>
      <c r="C337" s="73" t="s">
        <v>1224</v>
      </c>
      <c r="D337" s="74" t="s">
        <v>81</v>
      </c>
      <c r="E337" s="74" t="s">
        <v>82</v>
      </c>
      <c r="F337" s="74" t="s">
        <v>61</v>
      </c>
      <c r="G337" s="75">
        <v>111000</v>
      </c>
      <c r="H337" s="76" t="s">
        <v>97</v>
      </c>
      <c r="I337" s="73">
        <v>760</v>
      </c>
      <c r="J337" s="77" t="s">
        <v>30</v>
      </c>
      <c r="K337" s="75">
        <f t="shared" si="3"/>
        <v>146.05263157894737</v>
      </c>
      <c r="L337" s="74" t="s">
        <v>331</v>
      </c>
      <c r="M337" s="74" t="str">
        <f t="shared" si="2"/>
        <v>Direct</v>
      </c>
      <c r="N337" s="74"/>
    </row>
    <row r="338" spans="1:14" ht="13">
      <c r="A338" s="71">
        <f t="shared" si="4"/>
        <v>332</v>
      </c>
      <c r="B338" s="72" t="s">
        <v>1225</v>
      </c>
      <c r="C338" s="73" t="s">
        <v>1226</v>
      </c>
      <c r="D338" s="74" t="s">
        <v>81</v>
      </c>
      <c r="E338" s="74" t="s">
        <v>82</v>
      </c>
      <c r="F338" s="74" t="s">
        <v>61</v>
      </c>
      <c r="G338" s="75">
        <v>111000</v>
      </c>
      <c r="H338" s="76" t="s">
        <v>97</v>
      </c>
      <c r="I338" s="73">
        <v>760</v>
      </c>
      <c r="J338" s="77" t="s">
        <v>30</v>
      </c>
      <c r="K338" s="75">
        <f t="shared" si="3"/>
        <v>146.05263157894737</v>
      </c>
      <c r="L338" s="74" t="s">
        <v>331</v>
      </c>
      <c r="M338" s="74" t="str">
        <f t="shared" si="2"/>
        <v>Direct</v>
      </c>
      <c r="N338" s="74"/>
    </row>
    <row r="339" spans="1:14" ht="13">
      <c r="A339" s="71">
        <f t="shared" si="4"/>
        <v>333</v>
      </c>
      <c r="B339" s="72" t="s">
        <v>1227</v>
      </c>
      <c r="C339" s="73" t="s">
        <v>1228</v>
      </c>
      <c r="D339" s="74" t="s">
        <v>81</v>
      </c>
      <c r="E339" s="74" t="s">
        <v>82</v>
      </c>
      <c r="F339" s="74" t="s">
        <v>61</v>
      </c>
      <c r="G339" s="75">
        <v>111000</v>
      </c>
      <c r="H339" s="76" t="s">
        <v>97</v>
      </c>
      <c r="I339" s="73">
        <v>760</v>
      </c>
      <c r="J339" s="77" t="s">
        <v>30</v>
      </c>
      <c r="K339" s="75">
        <f t="shared" si="3"/>
        <v>146.05263157894737</v>
      </c>
      <c r="L339" s="74" t="s">
        <v>331</v>
      </c>
      <c r="M339" s="74" t="str">
        <f t="shared" si="2"/>
        <v>Direct</v>
      </c>
      <c r="N339" s="74"/>
    </row>
    <row r="340" spans="1:14" ht="13">
      <c r="A340" s="71">
        <f t="shared" si="4"/>
        <v>334</v>
      </c>
      <c r="B340" s="72" t="s">
        <v>1229</v>
      </c>
      <c r="C340" s="73" t="s">
        <v>1230</v>
      </c>
      <c r="D340" s="74" t="s">
        <v>81</v>
      </c>
      <c r="E340" s="74" t="s">
        <v>82</v>
      </c>
      <c r="F340" s="74" t="s">
        <v>61</v>
      </c>
      <c r="G340" s="75">
        <v>111000</v>
      </c>
      <c r="H340" s="76" t="s">
        <v>97</v>
      </c>
      <c r="I340" s="73">
        <v>760</v>
      </c>
      <c r="J340" s="77" t="s">
        <v>30</v>
      </c>
      <c r="K340" s="75">
        <f t="shared" si="3"/>
        <v>146.05263157894737</v>
      </c>
      <c r="L340" s="74" t="s">
        <v>331</v>
      </c>
      <c r="M340" s="74" t="str">
        <f t="shared" si="2"/>
        <v>Direct</v>
      </c>
      <c r="N340" s="74"/>
    </row>
    <row r="341" spans="1:14" ht="13">
      <c r="A341" s="71">
        <f t="shared" si="4"/>
        <v>335</v>
      </c>
      <c r="B341" s="74" t="s">
        <v>1231</v>
      </c>
      <c r="C341" s="73" t="s">
        <v>1153</v>
      </c>
      <c r="D341" s="74" t="s">
        <v>28</v>
      </c>
      <c r="E341" s="74" t="s">
        <v>57</v>
      </c>
      <c r="F341" s="74" t="s">
        <v>142</v>
      </c>
      <c r="G341" s="75">
        <v>127000</v>
      </c>
      <c r="H341" s="76" t="s">
        <v>36</v>
      </c>
      <c r="I341" s="73">
        <v>1000</v>
      </c>
      <c r="J341" s="77" t="s">
        <v>138</v>
      </c>
      <c r="K341" s="75">
        <f t="shared" si="3"/>
        <v>127</v>
      </c>
      <c r="L341" s="74" t="s">
        <v>188</v>
      </c>
      <c r="M341" s="74" t="str">
        <f t="shared" si="2"/>
        <v>Supplier</v>
      </c>
      <c r="N341" s="74"/>
    </row>
    <row r="342" spans="1:14" ht="13">
      <c r="A342" s="71">
        <f t="shared" si="4"/>
        <v>336</v>
      </c>
      <c r="B342" s="72" t="s">
        <v>1232</v>
      </c>
      <c r="C342" s="73" t="s">
        <v>1155</v>
      </c>
      <c r="D342" s="74" t="s">
        <v>28</v>
      </c>
      <c r="E342" s="74" t="s">
        <v>57</v>
      </c>
      <c r="F342" s="74" t="s">
        <v>151</v>
      </c>
      <c r="G342" s="75">
        <v>20000</v>
      </c>
      <c r="H342" s="76" t="s">
        <v>36</v>
      </c>
      <c r="I342" s="73">
        <v>1000</v>
      </c>
      <c r="J342" s="77" t="s">
        <v>138</v>
      </c>
      <c r="K342" s="75">
        <f t="shared" si="3"/>
        <v>20</v>
      </c>
      <c r="L342" s="74" t="s">
        <v>373</v>
      </c>
      <c r="M342" s="74" t="str">
        <f t="shared" si="2"/>
        <v>Direct</v>
      </c>
      <c r="N342" s="74"/>
    </row>
    <row r="343" spans="1:14" ht="13">
      <c r="A343" s="71">
        <f t="shared" si="4"/>
        <v>337</v>
      </c>
      <c r="B343" s="72" t="s">
        <v>1233</v>
      </c>
      <c r="C343" s="73" t="s">
        <v>1157</v>
      </c>
      <c r="D343" s="74" t="s">
        <v>28</v>
      </c>
      <c r="E343" s="74" t="s">
        <v>57</v>
      </c>
      <c r="F343" s="74" t="s">
        <v>151</v>
      </c>
      <c r="G343" s="75">
        <v>17000</v>
      </c>
      <c r="H343" s="76" t="s">
        <v>36</v>
      </c>
      <c r="I343" s="73">
        <v>500</v>
      </c>
      <c r="J343" s="77" t="s">
        <v>138</v>
      </c>
      <c r="K343" s="75">
        <f t="shared" si="3"/>
        <v>34</v>
      </c>
      <c r="L343" s="74" t="s">
        <v>373</v>
      </c>
      <c r="M343" s="74" t="str">
        <f t="shared" si="2"/>
        <v>Direct</v>
      </c>
      <c r="N343" s="74"/>
    </row>
    <row r="344" spans="1:14" ht="13">
      <c r="A344" s="71">
        <f t="shared" si="4"/>
        <v>338</v>
      </c>
      <c r="B344" s="72" t="s">
        <v>1234</v>
      </c>
      <c r="C344" s="73" t="s">
        <v>1159</v>
      </c>
      <c r="D344" s="74" t="s">
        <v>28</v>
      </c>
      <c r="E344" s="74" t="s">
        <v>57</v>
      </c>
      <c r="F344" s="74" t="s">
        <v>151</v>
      </c>
      <c r="G344" s="75">
        <v>20000</v>
      </c>
      <c r="H344" s="76" t="s">
        <v>36</v>
      </c>
      <c r="I344" s="73">
        <v>1000</v>
      </c>
      <c r="J344" s="77" t="s">
        <v>138</v>
      </c>
      <c r="K344" s="75">
        <f t="shared" si="3"/>
        <v>20</v>
      </c>
      <c r="L344" s="74" t="s">
        <v>373</v>
      </c>
      <c r="M344" s="74" t="str">
        <f t="shared" ref="M344:M391" si="5">VLOOKUP(L344,$AC$7:$AG$51,5,FALSE)</f>
        <v>Direct</v>
      </c>
      <c r="N344" s="74"/>
    </row>
    <row r="345" spans="1:14" ht="13">
      <c r="A345" s="71">
        <f t="shared" si="4"/>
        <v>339</v>
      </c>
      <c r="B345" s="72" t="s">
        <v>1235</v>
      </c>
      <c r="C345" s="73" t="s">
        <v>1161</v>
      </c>
      <c r="D345" s="74" t="s">
        <v>28</v>
      </c>
      <c r="E345" s="74" t="s">
        <v>57</v>
      </c>
      <c r="F345" s="74" t="s">
        <v>168</v>
      </c>
      <c r="G345" s="75">
        <v>10000</v>
      </c>
      <c r="H345" s="76" t="s">
        <v>62</v>
      </c>
      <c r="I345" s="73">
        <v>1</v>
      </c>
      <c r="J345" s="77" t="s">
        <v>306</v>
      </c>
      <c r="K345" s="75">
        <f t="shared" si="3"/>
        <v>10000</v>
      </c>
      <c r="L345" s="74" t="s">
        <v>373</v>
      </c>
      <c r="M345" s="74" t="str">
        <f t="shared" si="5"/>
        <v>Direct</v>
      </c>
      <c r="N345" s="74"/>
    </row>
    <row r="346" spans="1:14" ht="13">
      <c r="A346" s="71">
        <f t="shared" si="4"/>
        <v>340</v>
      </c>
      <c r="B346" s="72" t="s">
        <v>1236</v>
      </c>
      <c r="C346" s="73" t="s">
        <v>1163</v>
      </c>
      <c r="D346" s="74" t="s">
        <v>28</v>
      </c>
      <c r="E346" s="74" t="s">
        <v>57</v>
      </c>
      <c r="F346" s="74" t="s">
        <v>168</v>
      </c>
      <c r="G346" s="75">
        <v>9000</v>
      </c>
      <c r="H346" s="76" t="s">
        <v>62</v>
      </c>
      <c r="I346" s="73">
        <v>200</v>
      </c>
      <c r="J346" s="77" t="s">
        <v>30</v>
      </c>
      <c r="K346" s="75">
        <f t="shared" si="3"/>
        <v>45</v>
      </c>
      <c r="L346" s="74" t="s">
        <v>346</v>
      </c>
      <c r="M346" s="74" t="str">
        <f t="shared" si="5"/>
        <v>Direct</v>
      </c>
      <c r="N346" s="74"/>
    </row>
    <row r="347" spans="1:14" ht="13">
      <c r="A347" s="71">
        <f t="shared" si="4"/>
        <v>341</v>
      </c>
      <c r="B347" s="72" t="s">
        <v>1237</v>
      </c>
      <c r="C347" s="73" t="s">
        <v>1165</v>
      </c>
      <c r="D347" s="74" t="s">
        <v>28</v>
      </c>
      <c r="E347" s="74" t="s">
        <v>57</v>
      </c>
      <c r="F347" s="74" t="s">
        <v>151</v>
      </c>
      <c r="G347" s="75">
        <v>20000</v>
      </c>
      <c r="H347" s="76" t="s">
        <v>36</v>
      </c>
      <c r="I347" s="73">
        <v>1000</v>
      </c>
      <c r="J347" s="77" t="s">
        <v>138</v>
      </c>
      <c r="K347" s="75">
        <f t="shared" si="3"/>
        <v>20</v>
      </c>
      <c r="L347" s="74" t="s">
        <v>373</v>
      </c>
      <c r="M347" s="74" t="str">
        <f t="shared" si="5"/>
        <v>Direct</v>
      </c>
      <c r="N347" s="74"/>
    </row>
    <row r="348" spans="1:14" ht="13">
      <c r="A348" s="71">
        <f t="shared" si="4"/>
        <v>342</v>
      </c>
      <c r="B348" s="72" t="s">
        <v>2022</v>
      </c>
      <c r="C348" s="73" t="s">
        <v>1166</v>
      </c>
      <c r="D348" s="74" t="s">
        <v>28</v>
      </c>
      <c r="E348" s="74" t="s">
        <v>57</v>
      </c>
      <c r="F348" s="74" t="s">
        <v>168</v>
      </c>
      <c r="G348" s="75">
        <v>3000</v>
      </c>
      <c r="H348" s="76" t="s">
        <v>62</v>
      </c>
      <c r="I348" s="73">
        <v>1</v>
      </c>
      <c r="J348" s="77" t="s">
        <v>306</v>
      </c>
      <c r="K348" s="75">
        <f t="shared" si="3"/>
        <v>3000</v>
      </c>
      <c r="L348" s="74" t="s">
        <v>373</v>
      </c>
      <c r="M348" s="74" t="str">
        <f t="shared" si="5"/>
        <v>Direct</v>
      </c>
      <c r="N348" s="74"/>
    </row>
    <row r="349" spans="1:14" ht="13">
      <c r="A349" s="71">
        <f t="shared" si="4"/>
        <v>343</v>
      </c>
      <c r="B349" s="72" t="s">
        <v>2017</v>
      </c>
      <c r="C349" s="73" t="s">
        <v>1167</v>
      </c>
      <c r="D349" s="74" t="s">
        <v>28</v>
      </c>
      <c r="E349" s="74" t="s">
        <v>57</v>
      </c>
      <c r="F349" s="74" t="s">
        <v>168</v>
      </c>
      <c r="G349" s="75">
        <v>200</v>
      </c>
      <c r="H349" s="76" t="s">
        <v>62</v>
      </c>
      <c r="I349" s="73">
        <v>1</v>
      </c>
      <c r="J349" s="77" t="s">
        <v>306</v>
      </c>
      <c r="K349" s="75">
        <f t="shared" si="3"/>
        <v>200</v>
      </c>
      <c r="L349" s="74" t="s">
        <v>373</v>
      </c>
      <c r="M349" s="74" t="str">
        <f t="shared" si="5"/>
        <v>Direct</v>
      </c>
      <c r="N349" s="74"/>
    </row>
    <row r="350" spans="1:14" ht="13">
      <c r="A350" s="71">
        <f t="shared" si="4"/>
        <v>344</v>
      </c>
      <c r="B350" s="72" t="s">
        <v>1238</v>
      </c>
      <c r="C350" s="73" t="s">
        <v>1167</v>
      </c>
      <c r="D350" s="74" t="s">
        <v>28</v>
      </c>
      <c r="E350" s="74" t="s">
        <v>57</v>
      </c>
      <c r="F350" s="74" t="s">
        <v>168</v>
      </c>
      <c r="G350" s="75">
        <v>6000</v>
      </c>
      <c r="H350" s="76" t="s">
        <v>62</v>
      </c>
      <c r="I350" s="73">
        <v>40</v>
      </c>
      <c r="J350" s="77" t="s">
        <v>138</v>
      </c>
      <c r="K350" s="75">
        <f t="shared" si="3"/>
        <v>150</v>
      </c>
      <c r="L350" s="74" t="s">
        <v>373</v>
      </c>
      <c r="M350" s="74" t="str">
        <f t="shared" si="5"/>
        <v>Direct</v>
      </c>
      <c r="N350" s="74"/>
    </row>
    <row r="351" spans="1:14" ht="13">
      <c r="A351" s="71">
        <f t="shared" si="4"/>
        <v>345</v>
      </c>
      <c r="B351" s="72" t="s">
        <v>1239</v>
      </c>
      <c r="C351" s="73" t="s">
        <v>1168</v>
      </c>
      <c r="D351" s="74" t="s">
        <v>28</v>
      </c>
      <c r="E351" s="74" t="s">
        <v>57</v>
      </c>
      <c r="F351" s="74" t="s">
        <v>142</v>
      </c>
      <c r="G351" s="75">
        <v>135000</v>
      </c>
      <c r="H351" s="76" t="s">
        <v>36</v>
      </c>
      <c r="I351" s="73">
        <v>1000</v>
      </c>
      <c r="J351" s="77" t="s">
        <v>138</v>
      </c>
      <c r="K351" s="75">
        <f t="shared" si="3"/>
        <v>135</v>
      </c>
      <c r="L351" s="74" t="s">
        <v>188</v>
      </c>
      <c r="M351" s="74" t="str">
        <f t="shared" si="5"/>
        <v>Supplier</v>
      </c>
      <c r="N351" s="74"/>
    </row>
    <row r="352" spans="1:14" ht="13">
      <c r="A352" s="71">
        <f t="shared" si="4"/>
        <v>346</v>
      </c>
      <c r="B352" s="72" t="s">
        <v>1240</v>
      </c>
      <c r="C352" s="73" t="s">
        <v>1169</v>
      </c>
      <c r="D352" s="74" t="s">
        <v>28</v>
      </c>
      <c r="E352" s="74" t="s">
        <v>57</v>
      </c>
      <c r="F352" s="74" t="s">
        <v>142</v>
      </c>
      <c r="G352" s="75">
        <v>85000</v>
      </c>
      <c r="H352" s="76" t="s">
        <v>36</v>
      </c>
      <c r="I352" s="73">
        <v>1000</v>
      </c>
      <c r="J352" s="77" t="s">
        <v>138</v>
      </c>
      <c r="K352" s="75">
        <f t="shared" si="3"/>
        <v>85</v>
      </c>
      <c r="L352" s="74" t="s">
        <v>188</v>
      </c>
      <c r="M352" s="74" t="str">
        <f t="shared" si="5"/>
        <v>Supplier</v>
      </c>
      <c r="N352" s="74"/>
    </row>
    <row r="353" spans="1:14" ht="13">
      <c r="A353" s="71">
        <f t="shared" si="4"/>
        <v>347</v>
      </c>
      <c r="B353" s="72" t="s">
        <v>2018</v>
      </c>
      <c r="C353" s="73" t="s">
        <v>1171</v>
      </c>
      <c r="D353" s="74" t="s">
        <v>81</v>
      </c>
      <c r="E353" s="74" t="s">
        <v>82</v>
      </c>
      <c r="F353" s="74" t="s">
        <v>61</v>
      </c>
      <c r="G353" s="75">
        <v>25000</v>
      </c>
      <c r="H353" s="76" t="s">
        <v>97</v>
      </c>
      <c r="I353" s="73">
        <v>750</v>
      </c>
      <c r="J353" s="77" t="s">
        <v>30</v>
      </c>
      <c r="K353" s="75">
        <f t="shared" si="3"/>
        <v>33.333333333333336</v>
      </c>
      <c r="L353" s="74" t="s">
        <v>264</v>
      </c>
      <c r="M353" s="74" t="str">
        <f t="shared" si="5"/>
        <v>Distributor</v>
      </c>
      <c r="N353" s="74"/>
    </row>
    <row r="354" spans="1:14" ht="13">
      <c r="A354" s="71">
        <f t="shared" si="4"/>
        <v>348</v>
      </c>
      <c r="B354" s="72" t="s">
        <v>2019</v>
      </c>
      <c r="C354" s="73" t="s">
        <v>1173</v>
      </c>
      <c r="D354" s="74" t="s">
        <v>81</v>
      </c>
      <c r="E354" s="74" t="s">
        <v>82</v>
      </c>
      <c r="F354" s="74" t="s">
        <v>49</v>
      </c>
      <c r="G354" s="75">
        <v>189000</v>
      </c>
      <c r="H354" s="76" t="s">
        <v>62</v>
      </c>
      <c r="I354" s="73">
        <v>1000</v>
      </c>
      <c r="J354" s="77" t="s">
        <v>138</v>
      </c>
      <c r="K354" s="75">
        <f t="shared" si="3"/>
        <v>189</v>
      </c>
      <c r="L354" s="74" t="s">
        <v>373</v>
      </c>
      <c r="M354" s="74" t="str">
        <f t="shared" si="5"/>
        <v>Direct</v>
      </c>
      <c r="N354" s="74" t="s">
        <v>1241</v>
      </c>
    </row>
    <row r="355" spans="1:14" ht="13">
      <c r="A355" s="71">
        <f t="shared" si="4"/>
        <v>349</v>
      </c>
      <c r="B355" s="72" t="s">
        <v>2020</v>
      </c>
      <c r="C355" s="73" t="s">
        <v>1175</v>
      </c>
      <c r="D355" s="74" t="s">
        <v>81</v>
      </c>
      <c r="E355" s="74" t="s">
        <v>82</v>
      </c>
      <c r="F355" s="74" t="s">
        <v>49</v>
      </c>
      <c r="G355" s="75">
        <v>199000</v>
      </c>
      <c r="H355" s="76" t="s">
        <v>62</v>
      </c>
      <c r="I355" s="73">
        <v>1000</v>
      </c>
      <c r="J355" s="77" t="s">
        <v>138</v>
      </c>
      <c r="K355" s="75">
        <f t="shared" si="3"/>
        <v>199</v>
      </c>
      <c r="L355" s="74" t="s">
        <v>373</v>
      </c>
      <c r="M355" s="74" t="str">
        <f t="shared" si="5"/>
        <v>Direct</v>
      </c>
      <c r="N355" s="74" t="s">
        <v>1241</v>
      </c>
    </row>
    <row r="356" spans="1:14" ht="13">
      <c r="A356" s="71">
        <f t="shared" si="4"/>
        <v>350</v>
      </c>
      <c r="B356" s="72" t="s">
        <v>2021</v>
      </c>
      <c r="C356" s="74" t="s">
        <v>1176</v>
      </c>
      <c r="D356" s="74" t="s">
        <v>81</v>
      </c>
      <c r="E356" s="74" t="s">
        <v>82</v>
      </c>
      <c r="F356" s="74" t="s">
        <v>49</v>
      </c>
      <c r="G356" s="75">
        <v>189000</v>
      </c>
      <c r="H356" s="76" t="s">
        <v>62</v>
      </c>
      <c r="I356" s="73">
        <v>1000</v>
      </c>
      <c r="J356" s="77" t="s">
        <v>138</v>
      </c>
      <c r="K356" s="75">
        <f t="shared" si="3"/>
        <v>189</v>
      </c>
      <c r="L356" s="74" t="s">
        <v>373</v>
      </c>
      <c r="M356" s="74" t="str">
        <f t="shared" si="5"/>
        <v>Direct</v>
      </c>
      <c r="N356" s="74" t="s">
        <v>1241</v>
      </c>
    </row>
    <row r="357" spans="1:14" ht="13">
      <c r="A357" s="71">
        <f t="shared" si="4"/>
        <v>351</v>
      </c>
      <c r="B357" s="72" t="s">
        <v>1242</v>
      </c>
      <c r="C357" s="74" t="s">
        <v>1177</v>
      </c>
      <c r="D357" s="74" t="s">
        <v>56</v>
      </c>
      <c r="E357" s="74" t="s">
        <v>217</v>
      </c>
      <c r="F357" s="74" t="s">
        <v>187</v>
      </c>
      <c r="G357" s="75">
        <v>22000</v>
      </c>
      <c r="H357" s="76" t="s">
        <v>62</v>
      </c>
      <c r="I357" s="73">
        <v>3</v>
      </c>
      <c r="J357" s="77" t="s">
        <v>306</v>
      </c>
      <c r="K357" s="75">
        <f t="shared" si="3"/>
        <v>7333.333333333333</v>
      </c>
      <c r="L357" s="74" t="s">
        <v>373</v>
      </c>
      <c r="M357" s="74" t="str">
        <f t="shared" si="5"/>
        <v>Direct</v>
      </c>
      <c r="N357" s="74" t="s">
        <v>1243</v>
      </c>
    </row>
    <row r="358" spans="1:14" ht="13">
      <c r="A358" s="71">
        <f t="shared" si="4"/>
        <v>352</v>
      </c>
      <c r="B358" s="72" t="s">
        <v>1244</v>
      </c>
      <c r="C358" s="74" t="s">
        <v>1179</v>
      </c>
      <c r="D358" s="74" t="s">
        <v>56</v>
      </c>
      <c r="E358" s="74" t="s">
        <v>217</v>
      </c>
      <c r="F358" s="74" t="s">
        <v>187</v>
      </c>
      <c r="G358" s="75">
        <v>38000</v>
      </c>
      <c r="H358" s="76" t="s">
        <v>62</v>
      </c>
      <c r="I358" s="73">
        <v>5000</v>
      </c>
      <c r="J358" s="77" t="s">
        <v>30</v>
      </c>
      <c r="K358" s="75">
        <f t="shared" si="3"/>
        <v>7.6</v>
      </c>
      <c r="L358" s="74" t="s">
        <v>373</v>
      </c>
      <c r="M358" s="74" t="str">
        <f t="shared" si="5"/>
        <v>Direct</v>
      </c>
      <c r="N358" s="74" t="s">
        <v>1243</v>
      </c>
    </row>
    <row r="359" spans="1:14" ht="13">
      <c r="A359" s="71">
        <f t="shared" si="4"/>
        <v>353</v>
      </c>
      <c r="B359" s="72" t="s">
        <v>1245</v>
      </c>
      <c r="C359" s="74" t="s">
        <v>1181</v>
      </c>
      <c r="D359" s="74" t="s">
        <v>28</v>
      </c>
      <c r="E359" s="74" t="s">
        <v>139</v>
      </c>
      <c r="F359" s="74" t="s">
        <v>178</v>
      </c>
      <c r="G359" s="75">
        <v>380000</v>
      </c>
      <c r="H359" s="76" t="s">
        <v>62</v>
      </c>
      <c r="I359" s="73">
        <v>1000</v>
      </c>
      <c r="J359" s="77" t="s">
        <v>306</v>
      </c>
      <c r="K359" s="75">
        <f t="shared" si="3"/>
        <v>380</v>
      </c>
      <c r="L359" s="74" t="s">
        <v>373</v>
      </c>
      <c r="M359" s="74" t="str">
        <f t="shared" si="5"/>
        <v>Direct</v>
      </c>
      <c r="N359" s="74" t="s">
        <v>1243</v>
      </c>
    </row>
    <row r="360" spans="1:14" ht="13">
      <c r="A360" s="71">
        <f t="shared" si="4"/>
        <v>354</v>
      </c>
      <c r="B360" s="72" t="s">
        <v>1246</v>
      </c>
      <c r="C360" s="74" t="s">
        <v>1183</v>
      </c>
      <c r="D360" s="74" t="s">
        <v>56</v>
      </c>
      <c r="E360" s="74" t="s">
        <v>217</v>
      </c>
      <c r="F360" s="74" t="s">
        <v>187</v>
      </c>
      <c r="G360" s="75">
        <v>12000</v>
      </c>
      <c r="H360" s="76" t="s">
        <v>62</v>
      </c>
      <c r="I360" s="73">
        <v>425</v>
      </c>
      <c r="J360" s="77" t="s">
        <v>30</v>
      </c>
      <c r="K360" s="75">
        <f t="shared" si="3"/>
        <v>28.235294117647058</v>
      </c>
      <c r="L360" s="74" t="s">
        <v>297</v>
      </c>
      <c r="M360" s="74" t="str">
        <f t="shared" si="5"/>
        <v>Direct</v>
      </c>
      <c r="N360" s="74"/>
    </row>
    <row r="361" spans="1:14" ht="13">
      <c r="A361" s="71">
        <f t="shared" si="4"/>
        <v>355</v>
      </c>
      <c r="B361" s="72" t="s">
        <v>1247</v>
      </c>
      <c r="C361" s="74" t="s">
        <v>1185</v>
      </c>
      <c r="D361" s="74" t="s">
        <v>28</v>
      </c>
      <c r="E361" s="74" t="s">
        <v>57</v>
      </c>
      <c r="F361" s="74" t="s">
        <v>168</v>
      </c>
      <c r="G361" s="75">
        <v>36000</v>
      </c>
      <c r="H361" s="76" t="s">
        <v>36</v>
      </c>
      <c r="I361" s="73">
        <v>84</v>
      </c>
      <c r="J361" s="77" t="s">
        <v>306</v>
      </c>
      <c r="K361" s="75">
        <f t="shared" si="3"/>
        <v>428.57142857142856</v>
      </c>
      <c r="L361" s="74" t="s">
        <v>373</v>
      </c>
      <c r="M361" s="74" t="str">
        <f t="shared" si="5"/>
        <v>Direct</v>
      </c>
      <c r="N361" s="74"/>
    </row>
    <row r="362" spans="1:14" ht="13">
      <c r="A362" s="71">
        <f t="shared" si="4"/>
        <v>356</v>
      </c>
      <c r="B362" s="72" t="s">
        <v>1248</v>
      </c>
      <c r="C362" s="74" t="s">
        <v>1186</v>
      </c>
      <c r="D362" s="74" t="s">
        <v>28</v>
      </c>
      <c r="E362" s="74" t="s">
        <v>57</v>
      </c>
      <c r="F362" s="74" t="s">
        <v>168</v>
      </c>
      <c r="G362" s="75">
        <v>60000</v>
      </c>
      <c r="H362" s="76" t="s">
        <v>36</v>
      </c>
      <c r="I362" s="73">
        <v>1000</v>
      </c>
      <c r="J362" s="77" t="s">
        <v>138</v>
      </c>
      <c r="K362" s="75">
        <f t="shared" si="3"/>
        <v>60</v>
      </c>
      <c r="L362" s="74" t="s">
        <v>373</v>
      </c>
      <c r="M362" s="74" t="str">
        <f t="shared" si="5"/>
        <v>Direct</v>
      </c>
      <c r="N362" s="74"/>
    </row>
    <row r="363" spans="1:14" ht="13">
      <c r="A363" s="71">
        <f t="shared" si="4"/>
        <v>357</v>
      </c>
      <c r="B363" s="72" t="s">
        <v>1249</v>
      </c>
      <c r="C363" s="74" t="s">
        <v>1187</v>
      </c>
      <c r="D363" s="74" t="s">
        <v>28</v>
      </c>
      <c r="E363" s="74" t="s">
        <v>57</v>
      </c>
      <c r="F363" s="74" t="s">
        <v>168</v>
      </c>
      <c r="G363" s="75">
        <v>18000</v>
      </c>
      <c r="H363" s="76" t="s">
        <v>36</v>
      </c>
      <c r="I363" s="73">
        <v>1000</v>
      </c>
      <c r="J363" s="77" t="s">
        <v>138</v>
      </c>
      <c r="K363" s="75">
        <f t="shared" si="3"/>
        <v>18</v>
      </c>
      <c r="L363" s="74" t="s">
        <v>373</v>
      </c>
      <c r="M363" s="74" t="str">
        <f t="shared" si="5"/>
        <v>Direct</v>
      </c>
      <c r="N363" s="74"/>
    </row>
    <row r="364" spans="1:14" ht="13">
      <c r="A364" s="71">
        <f t="shared" si="4"/>
        <v>358</v>
      </c>
      <c r="B364" s="72" t="s">
        <v>1250</v>
      </c>
      <c r="C364" s="74" t="s">
        <v>1186</v>
      </c>
      <c r="D364" s="74" t="s">
        <v>28</v>
      </c>
      <c r="E364" s="74" t="s">
        <v>57</v>
      </c>
      <c r="F364" s="74" t="s">
        <v>168</v>
      </c>
      <c r="G364" s="75">
        <v>2400</v>
      </c>
      <c r="H364" s="76" t="s">
        <v>62</v>
      </c>
      <c r="I364" s="73">
        <v>1</v>
      </c>
      <c r="J364" s="77" t="s">
        <v>306</v>
      </c>
      <c r="K364" s="75">
        <f t="shared" si="3"/>
        <v>2400</v>
      </c>
      <c r="L364" s="74" t="s">
        <v>373</v>
      </c>
      <c r="M364" s="74" t="str">
        <f t="shared" si="5"/>
        <v>Direct</v>
      </c>
      <c r="N364" s="74"/>
    </row>
    <row r="365" spans="1:14" ht="13">
      <c r="A365" s="71">
        <f t="shared" si="4"/>
        <v>359</v>
      </c>
      <c r="B365" s="72" t="s">
        <v>1251</v>
      </c>
      <c r="C365" s="74" t="s">
        <v>1186</v>
      </c>
      <c r="D365" s="74" t="s">
        <v>28</v>
      </c>
      <c r="E365" s="74" t="s">
        <v>57</v>
      </c>
      <c r="F365" s="74" t="s">
        <v>168</v>
      </c>
      <c r="G365" s="75">
        <v>22000</v>
      </c>
      <c r="H365" s="76" t="s">
        <v>36</v>
      </c>
      <c r="I365" s="73">
        <v>1000</v>
      </c>
      <c r="J365" s="77" t="s">
        <v>138</v>
      </c>
      <c r="K365" s="75">
        <f t="shared" si="3"/>
        <v>22</v>
      </c>
      <c r="L365" s="74" t="s">
        <v>188</v>
      </c>
      <c r="M365" s="74" t="str">
        <f t="shared" si="5"/>
        <v>Supplier</v>
      </c>
      <c r="N365" s="74"/>
    </row>
    <row r="366" spans="1:14" ht="13">
      <c r="A366" s="71">
        <f t="shared" si="4"/>
        <v>360</v>
      </c>
      <c r="B366" s="72" t="s">
        <v>1252</v>
      </c>
      <c r="C366" s="74" t="s">
        <v>1187</v>
      </c>
      <c r="D366" s="74" t="s">
        <v>28</v>
      </c>
      <c r="E366" s="74" t="s">
        <v>57</v>
      </c>
      <c r="F366" s="74" t="s">
        <v>142</v>
      </c>
      <c r="G366" s="75">
        <v>36500</v>
      </c>
      <c r="H366" s="76" t="s">
        <v>62</v>
      </c>
      <c r="I366" s="73">
        <v>500</v>
      </c>
      <c r="J366" s="77" t="s">
        <v>138</v>
      </c>
      <c r="K366" s="75">
        <f t="shared" si="3"/>
        <v>73</v>
      </c>
      <c r="L366" s="74" t="s">
        <v>321</v>
      </c>
      <c r="M366" s="74" t="str">
        <f t="shared" si="5"/>
        <v>Direct</v>
      </c>
      <c r="N366" s="74"/>
    </row>
    <row r="367" spans="1:14" ht="13">
      <c r="A367" s="71">
        <f t="shared" si="4"/>
        <v>361</v>
      </c>
      <c r="B367" s="72" t="s">
        <v>1253</v>
      </c>
      <c r="C367" s="74" t="s">
        <v>1188</v>
      </c>
      <c r="D367" s="74" t="s">
        <v>28</v>
      </c>
      <c r="E367" s="74" t="s">
        <v>57</v>
      </c>
      <c r="F367" s="74" t="s">
        <v>168</v>
      </c>
      <c r="G367" s="75">
        <v>19500</v>
      </c>
      <c r="H367" s="76" t="s">
        <v>62</v>
      </c>
      <c r="I367" s="73">
        <v>10</v>
      </c>
      <c r="J367" s="77" t="s">
        <v>306</v>
      </c>
      <c r="K367" s="75">
        <f t="shared" si="3"/>
        <v>1950</v>
      </c>
      <c r="L367" s="74" t="s">
        <v>321</v>
      </c>
      <c r="M367" s="74" t="str">
        <f t="shared" si="5"/>
        <v>Direct</v>
      </c>
      <c r="N367" s="74"/>
    </row>
    <row r="368" spans="1:14" ht="13">
      <c r="A368" s="71">
        <f t="shared" si="4"/>
        <v>362</v>
      </c>
      <c r="B368" s="72" t="s">
        <v>2029</v>
      </c>
      <c r="C368" s="74" t="s">
        <v>1190</v>
      </c>
      <c r="D368" s="74" t="s">
        <v>115</v>
      </c>
      <c r="E368" s="74" t="s">
        <v>155</v>
      </c>
      <c r="F368" s="74" t="s">
        <v>120</v>
      </c>
      <c r="G368" s="75">
        <v>10500</v>
      </c>
      <c r="H368" s="76" t="s">
        <v>62</v>
      </c>
      <c r="I368" s="73">
        <v>250</v>
      </c>
      <c r="J368" s="77" t="s">
        <v>138</v>
      </c>
      <c r="K368" s="75">
        <f t="shared" si="3"/>
        <v>42</v>
      </c>
      <c r="L368" s="74" t="s">
        <v>227</v>
      </c>
      <c r="M368" s="74" t="str">
        <f t="shared" si="5"/>
        <v>Distributor</v>
      </c>
      <c r="N368" s="74"/>
    </row>
    <row r="369" spans="1:14" ht="13">
      <c r="A369" s="71">
        <f t="shared" si="4"/>
        <v>363</v>
      </c>
      <c r="B369" s="72" t="s">
        <v>1254</v>
      </c>
      <c r="C369" s="74" t="s">
        <v>1191</v>
      </c>
      <c r="D369" s="74" t="s">
        <v>28</v>
      </c>
      <c r="E369" s="74" t="s">
        <v>57</v>
      </c>
      <c r="F369" s="74" t="s">
        <v>168</v>
      </c>
      <c r="G369" s="75">
        <v>16000</v>
      </c>
      <c r="H369" s="76" t="s">
        <v>62</v>
      </c>
      <c r="I369" s="73">
        <v>250</v>
      </c>
      <c r="J369" s="77" t="s">
        <v>138</v>
      </c>
      <c r="K369" s="75">
        <f t="shared" si="3"/>
        <v>64</v>
      </c>
      <c r="L369" s="74" t="s">
        <v>227</v>
      </c>
      <c r="M369" s="74" t="str">
        <f t="shared" si="5"/>
        <v>Distributor</v>
      </c>
      <c r="N369" s="74"/>
    </row>
    <row r="370" spans="1:14" ht="13">
      <c r="A370" s="71">
        <f t="shared" si="4"/>
        <v>364</v>
      </c>
      <c r="B370" s="72" t="s">
        <v>1255</v>
      </c>
      <c r="C370" s="74" t="s">
        <v>1193</v>
      </c>
      <c r="D370" s="74" t="s">
        <v>28</v>
      </c>
      <c r="E370" s="74" t="s">
        <v>57</v>
      </c>
      <c r="F370" s="74" t="s">
        <v>142</v>
      </c>
      <c r="G370" s="75">
        <v>105000</v>
      </c>
      <c r="H370" s="76" t="s">
        <v>36</v>
      </c>
      <c r="I370" s="73">
        <v>1000</v>
      </c>
      <c r="J370" s="77" t="s">
        <v>138</v>
      </c>
      <c r="K370" s="75">
        <f t="shared" si="3"/>
        <v>105</v>
      </c>
      <c r="L370" s="74" t="s">
        <v>188</v>
      </c>
      <c r="M370" s="74" t="str">
        <f t="shared" si="5"/>
        <v>Supplier</v>
      </c>
      <c r="N370" s="74"/>
    </row>
    <row r="371" spans="1:14" ht="13">
      <c r="A371" s="71">
        <f t="shared" si="4"/>
        <v>365</v>
      </c>
      <c r="B371" s="72" t="s">
        <v>1256</v>
      </c>
      <c r="C371" s="74" t="s">
        <v>1193</v>
      </c>
      <c r="D371" s="74" t="s">
        <v>28</v>
      </c>
      <c r="E371" s="74" t="s">
        <v>57</v>
      </c>
      <c r="F371" s="74" t="s">
        <v>142</v>
      </c>
      <c r="G371" s="75">
        <v>110000</v>
      </c>
      <c r="H371" s="76" t="s">
        <v>36</v>
      </c>
      <c r="I371" s="73">
        <v>1000</v>
      </c>
      <c r="J371" s="77" t="s">
        <v>138</v>
      </c>
      <c r="K371" s="75">
        <f t="shared" si="3"/>
        <v>110</v>
      </c>
      <c r="L371" s="74" t="s">
        <v>188</v>
      </c>
      <c r="M371" s="74" t="str">
        <f t="shared" si="5"/>
        <v>Supplier</v>
      </c>
      <c r="N371" s="74"/>
    </row>
    <row r="372" spans="1:14" ht="13">
      <c r="A372" s="71">
        <f t="shared" si="4"/>
        <v>366</v>
      </c>
      <c r="B372" s="72" t="s">
        <v>1257</v>
      </c>
      <c r="C372" s="74" t="s">
        <v>1194</v>
      </c>
      <c r="D372" s="74" t="s">
        <v>28</v>
      </c>
      <c r="E372" s="74" t="s">
        <v>57</v>
      </c>
      <c r="F372" s="74" t="s">
        <v>168</v>
      </c>
      <c r="G372" s="75">
        <v>30000</v>
      </c>
      <c r="H372" s="76" t="s">
        <v>36</v>
      </c>
      <c r="I372" s="73">
        <v>1000</v>
      </c>
      <c r="J372" s="77" t="s">
        <v>138</v>
      </c>
      <c r="K372" s="75">
        <f t="shared" si="3"/>
        <v>30</v>
      </c>
      <c r="L372" s="74" t="s">
        <v>188</v>
      </c>
      <c r="M372" s="74" t="str">
        <f t="shared" si="5"/>
        <v>Supplier</v>
      </c>
      <c r="N372" s="74"/>
    </row>
    <row r="373" spans="1:14" ht="13">
      <c r="A373" s="71">
        <f t="shared" si="4"/>
        <v>367</v>
      </c>
      <c r="B373" s="72" t="s">
        <v>1258</v>
      </c>
      <c r="C373" s="74" t="s">
        <v>1195</v>
      </c>
      <c r="D373" s="74" t="s">
        <v>28</v>
      </c>
      <c r="E373" s="74" t="s">
        <v>57</v>
      </c>
      <c r="F373" s="74" t="s">
        <v>151</v>
      </c>
      <c r="G373" s="75">
        <v>15000</v>
      </c>
      <c r="H373" s="76" t="s">
        <v>36</v>
      </c>
      <c r="I373" s="73">
        <v>1000</v>
      </c>
      <c r="J373" s="77" t="s">
        <v>138</v>
      </c>
      <c r="K373" s="75">
        <f t="shared" si="3"/>
        <v>15</v>
      </c>
      <c r="L373" s="74" t="s">
        <v>373</v>
      </c>
      <c r="M373" s="74" t="str">
        <f t="shared" si="5"/>
        <v>Direct</v>
      </c>
      <c r="N373" s="74"/>
    </row>
    <row r="374" spans="1:14" ht="13">
      <c r="A374" s="71">
        <f t="shared" si="4"/>
        <v>368</v>
      </c>
      <c r="B374" s="72" t="s">
        <v>1259</v>
      </c>
      <c r="C374" s="74" t="s">
        <v>1197</v>
      </c>
      <c r="D374" s="74" t="s">
        <v>28</v>
      </c>
      <c r="E374" s="74" t="s">
        <v>57</v>
      </c>
      <c r="F374" s="74" t="s">
        <v>151</v>
      </c>
      <c r="G374" s="75">
        <v>1000</v>
      </c>
      <c r="H374" s="76" t="s">
        <v>62</v>
      </c>
      <c r="I374" s="73">
        <v>10</v>
      </c>
      <c r="J374" s="77" t="s">
        <v>138</v>
      </c>
      <c r="K374" s="75">
        <f t="shared" si="3"/>
        <v>100</v>
      </c>
      <c r="L374" s="74" t="s">
        <v>373</v>
      </c>
      <c r="M374" s="74" t="str">
        <f t="shared" si="5"/>
        <v>Direct</v>
      </c>
      <c r="N374" s="74"/>
    </row>
    <row r="375" spans="1:14" ht="13">
      <c r="A375" s="71">
        <f t="shared" si="4"/>
        <v>369</v>
      </c>
      <c r="B375" s="72" t="s">
        <v>536</v>
      </c>
      <c r="C375" s="74" t="s">
        <v>1199</v>
      </c>
      <c r="D375" s="74" t="s">
        <v>28</v>
      </c>
      <c r="E375" s="74" t="s">
        <v>57</v>
      </c>
      <c r="F375" s="74" t="s">
        <v>151</v>
      </c>
      <c r="G375" s="75">
        <v>18000</v>
      </c>
      <c r="H375" s="76" t="s">
        <v>62</v>
      </c>
      <c r="I375" s="73">
        <v>100</v>
      </c>
      <c r="J375" s="77" t="s">
        <v>138</v>
      </c>
      <c r="K375" s="75">
        <f t="shared" si="3"/>
        <v>180</v>
      </c>
      <c r="L375" s="74" t="s">
        <v>373</v>
      </c>
      <c r="M375" s="74" t="str">
        <f t="shared" si="5"/>
        <v>Direct</v>
      </c>
      <c r="N375" s="74"/>
    </row>
    <row r="376" spans="1:14" ht="13">
      <c r="A376" s="71">
        <f t="shared" si="4"/>
        <v>370</v>
      </c>
      <c r="B376" s="72" t="s">
        <v>1260</v>
      </c>
      <c r="C376" s="74" t="s">
        <v>1201</v>
      </c>
      <c r="D376" s="74" t="s">
        <v>28</v>
      </c>
      <c r="E376" s="74" t="s">
        <v>57</v>
      </c>
      <c r="F376" s="74" t="s">
        <v>168</v>
      </c>
      <c r="G376" s="75">
        <v>5000</v>
      </c>
      <c r="H376" s="76" t="s">
        <v>62</v>
      </c>
      <c r="I376" s="73">
        <v>100</v>
      </c>
      <c r="J376" s="77" t="s">
        <v>138</v>
      </c>
      <c r="K376" s="75">
        <f t="shared" si="3"/>
        <v>50</v>
      </c>
      <c r="L376" s="74" t="s">
        <v>373</v>
      </c>
      <c r="M376" s="74" t="str">
        <f t="shared" si="5"/>
        <v>Direct</v>
      </c>
      <c r="N376" s="74"/>
    </row>
    <row r="377" spans="1:14" ht="13">
      <c r="A377" s="71">
        <f t="shared" si="4"/>
        <v>371</v>
      </c>
      <c r="B377" s="72" t="s">
        <v>1261</v>
      </c>
      <c r="C377" s="74" t="s">
        <v>1203</v>
      </c>
      <c r="D377" s="74" t="s">
        <v>28</v>
      </c>
      <c r="E377" s="74" t="s">
        <v>57</v>
      </c>
      <c r="F377" s="74" t="s">
        <v>168</v>
      </c>
      <c r="G377" s="75">
        <v>25000</v>
      </c>
      <c r="H377" s="76" t="s">
        <v>62</v>
      </c>
      <c r="I377" s="73">
        <v>250</v>
      </c>
      <c r="J377" s="77" t="s">
        <v>138</v>
      </c>
      <c r="K377" s="75">
        <f t="shared" si="3"/>
        <v>100</v>
      </c>
      <c r="L377" s="74" t="s">
        <v>373</v>
      </c>
      <c r="M377" s="74" t="str">
        <f t="shared" si="5"/>
        <v>Direct</v>
      </c>
      <c r="N377" s="74"/>
    </row>
    <row r="378" spans="1:14" ht="13">
      <c r="A378" s="71">
        <f t="shared" si="4"/>
        <v>372</v>
      </c>
      <c r="B378" s="72" t="s">
        <v>2023</v>
      </c>
      <c r="C378" s="74" t="s">
        <v>1205</v>
      </c>
      <c r="D378" s="74" t="s">
        <v>81</v>
      </c>
      <c r="E378" s="74" t="s">
        <v>46</v>
      </c>
      <c r="F378" s="74" t="s">
        <v>61</v>
      </c>
      <c r="G378" s="75">
        <v>105450</v>
      </c>
      <c r="H378" s="76" t="s">
        <v>97</v>
      </c>
      <c r="I378" s="73">
        <v>750</v>
      </c>
      <c r="J378" s="77" t="s">
        <v>30</v>
      </c>
      <c r="K378" s="75">
        <f t="shared" si="3"/>
        <v>140.6</v>
      </c>
      <c r="L378" s="74" t="s">
        <v>98</v>
      </c>
      <c r="M378" s="74" t="str">
        <f t="shared" si="5"/>
        <v>Supplier</v>
      </c>
      <c r="N378" s="74" t="s">
        <v>1262</v>
      </c>
    </row>
    <row r="379" spans="1:14" ht="13">
      <c r="A379" s="71">
        <f t="shared" si="4"/>
        <v>373</v>
      </c>
      <c r="B379" s="72" t="s">
        <v>2024</v>
      </c>
      <c r="C379" s="74" t="s">
        <v>1206</v>
      </c>
      <c r="D379" s="74" t="s">
        <v>81</v>
      </c>
      <c r="E379" s="74" t="s">
        <v>46</v>
      </c>
      <c r="F379" s="74" t="s">
        <v>61</v>
      </c>
      <c r="G379" s="75">
        <v>105450</v>
      </c>
      <c r="H379" s="76" t="s">
        <v>97</v>
      </c>
      <c r="I379" s="73">
        <v>750</v>
      </c>
      <c r="J379" s="77" t="s">
        <v>30</v>
      </c>
      <c r="K379" s="75">
        <f t="shared" si="3"/>
        <v>140.6</v>
      </c>
      <c r="L379" s="74" t="s">
        <v>98</v>
      </c>
      <c r="M379" s="74" t="str">
        <f t="shared" si="5"/>
        <v>Supplier</v>
      </c>
      <c r="N379" s="74" t="s">
        <v>1262</v>
      </c>
    </row>
    <row r="380" spans="1:14" ht="13">
      <c r="A380" s="71">
        <f t="shared" si="4"/>
        <v>374</v>
      </c>
      <c r="B380" s="72" t="s">
        <v>2010</v>
      </c>
      <c r="C380" s="74" t="s">
        <v>1208</v>
      </c>
      <c r="D380" s="74" t="s">
        <v>81</v>
      </c>
      <c r="E380" s="74" t="s">
        <v>46</v>
      </c>
      <c r="F380" s="74" t="s">
        <v>61</v>
      </c>
      <c r="G380" s="75">
        <v>105450</v>
      </c>
      <c r="H380" s="76" t="s">
        <v>97</v>
      </c>
      <c r="I380" s="73">
        <v>750</v>
      </c>
      <c r="J380" s="77" t="s">
        <v>30</v>
      </c>
      <c r="K380" s="75">
        <f t="shared" si="3"/>
        <v>140.6</v>
      </c>
      <c r="L380" s="74" t="s">
        <v>98</v>
      </c>
      <c r="M380" s="74" t="str">
        <f t="shared" si="5"/>
        <v>Supplier</v>
      </c>
      <c r="N380" s="74" t="s">
        <v>1262</v>
      </c>
    </row>
    <row r="381" spans="1:14" ht="13">
      <c r="A381" s="71">
        <f t="shared" si="4"/>
        <v>375</v>
      </c>
      <c r="B381" s="72" t="s">
        <v>2025</v>
      </c>
      <c r="C381" s="74"/>
      <c r="D381" s="74" t="s">
        <v>81</v>
      </c>
      <c r="E381" s="74" t="s">
        <v>46</v>
      </c>
      <c r="F381" s="74" t="s">
        <v>49</v>
      </c>
      <c r="G381" s="75">
        <v>177600</v>
      </c>
      <c r="H381" s="76" t="s">
        <v>62</v>
      </c>
      <c r="I381" s="73">
        <v>1000</v>
      </c>
      <c r="J381" s="77" t="s">
        <v>138</v>
      </c>
      <c r="K381" s="75">
        <f t="shared" si="3"/>
        <v>177.6</v>
      </c>
      <c r="L381" s="74" t="s">
        <v>98</v>
      </c>
      <c r="M381" s="74" t="str">
        <f t="shared" si="5"/>
        <v>Supplier</v>
      </c>
      <c r="N381" s="74" t="s">
        <v>1262</v>
      </c>
    </row>
    <row r="382" spans="1:14" ht="13">
      <c r="A382" s="71">
        <f t="shared" si="4"/>
        <v>376</v>
      </c>
      <c r="B382" s="72" t="s">
        <v>2026</v>
      </c>
      <c r="C382" s="74"/>
      <c r="D382" s="74" t="s">
        <v>81</v>
      </c>
      <c r="E382" s="74" t="s">
        <v>46</v>
      </c>
      <c r="F382" s="74" t="s">
        <v>49</v>
      </c>
      <c r="G382" s="75">
        <v>188700</v>
      </c>
      <c r="H382" s="76" t="s">
        <v>62</v>
      </c>
      <c r="I382" s="73">
        <v>1000</v>
      </c>
      <c r="J382" s="77" t="s">
        <v>138</v>
      </c>
      <c r="K382" s="75">
        <f t="shared" si="3"/>
        <v>188.7</v>
      </c>
      <c r="L382" s="74" t="s">
        <v>98</v>
      </c>
      <c r="M382" s="74" t="str">
        <f t="shared" si="5"/>
        <v>Supplier</v>
      </c>
      <c r="N382" s="74" t="s">
        <v>1262</v>
      </c>
    </row>
    <row r="383" spans="1:14" ht="13">
      <c r="A383" s="71">
        <f t="shared" si="4"/>
        <v>377</v>
      </c>
      <c r="B383" s="72" t="s">
        <v>2027</v>
      </c>
      <c r="C383" s="74"/>
      <c r="D383" s="74" t="s">
        <v>81</v>
      </c>
      <c r="E383" s="74" t="s">
        <v>46</v>
      </c>
      <c r="F383" s="74" t="s">
        <v>49</v>
      </c>
      <c r="G383" s="75">
        <v>88800</v>
      </c>
      <c r="H383" s="76" t="s">
        <v>62</v>
      </c>
      <c r="I383" s="73">
        <v>1000</v>
      </c>
      <c r="J383" s="77" t="s">
        <v>138</v>
      </c>
      <c r="K383" s="75">
        <f t="shared" si="3"/>
        <v>88.8</v>
      </c>
      <c r="L383" s="74" t="s">
        <v>98</v>
      </c>
      <c r="M383" s="74" t="str">
        <f t="shared" si="5"/>
        <v>Supplier</v>
      </c>
      <c r="N383" s="74" t="s">
        <v>1262</v>
      </c>
    </row>
    <row r="384" spans="1:14" ht="13">
      <c r="A384" s="71">
        <f t="shared" si="4"/>
        <v>378</v>
      </c>
      <c r="B384" s="72" t="s">
        <v>2028</v>
      </c>
      <c r="C384" s="74"/>
      <c r="D384" s="74" t="s">
        <v>81</v>
      </c>
      <c r="E384" s="74" t="s">
        <v>46</v>
      </c>
      <c r="F384" s="74" t="s">
        <v>61</v>
      </c>
      <c r="G384" s="75">
        <v>216450</v>
      </c>
      <c r="H384" s="76" t="s">
        <v>97</v>
      </c>
      <c r="I384" s="73">
        <v>2000</v>
      </c>
      <c r="J384" s="77" t="s">
        <v>30</v>
      </c>
      <c r="K384" s="75">
        <f t="shared" si="3"/>
        <v>108.22499999999999</v>
      </c>
      <c r="L384" s="74" t="s">
        <v>98</v>
      </c>
      <c r="M384" s="74" t="str">
        <f t="shared" si="5"/>
        <v>Supplier</v>
      </c>
      <c r="N384" s="74" t="s">
        <v>1262</v>
      </c>
    </row>
    <row r="385" spans="1:14" ht="13">
      <c r="A385" s="71">
        <f t="shared" si="4"/>
        <v>379</v>
      </c>
      <c r="B385" s="72" t="s">
        <v>1265</v>
      </c>
      <c r="C385" s="74"/>
      <c r="D385" s="74" t="s">
        <v>28</v>
      </c>
      <c r="E385" s="74" t="s">
        <v>57</v>
      </c>
      <c r="F385" s="74" t="s">
        <v>151</v>
      </c>
      <c r="G385" s="75">
        <v>15000</v>
      </c>
      <c r="H385" s="76" t="s">
        <v>36</v>
      </c>
      <c r="I385" s="73">
        <v>1000</v>
      </c>
      <c r="J385" s="77" t="s">
        <v>138</v>
      </c>
      <c r="K385" s="75">
        <f t="shared" si="3"/>
        <v>15</v>
      </c>
      <c r="L385" s="74" t="s">
        <v>373</v>
      </c>
      <c r="M385" s="74" t="str">
        <f t="shared" si="5"/>
        <v>Direct</v>
      </c>
      <c r="N385" s="74" t="s">
        <v>1262</v>
      </c>
    </row>
    <row r="386" spans="1:14" ht="13">
      <c r="A386" s="71">
        <f t="shared" si="4"/>
        <v>380</v>
      </c>
      <c r="B386" s="72" t="s">
        <v>1266</v>
      </c>
      <c r="C386" s="74"/>
      <c r="D386" s="74" t="s">
        <v>28</v>
      </c>
      <c r="E386" s="74" t="s">
        <v>57</v>
      </c>
      <c r="F386" s="74" t="s">
        <v>168</v>
      </c>
      <c r="G386" s="75">
        <v>36000</v>
      </c>
      <c r="H386" s="76" t="s">
        <v>36</v>
      </c>
      <c r="I386" s="73">
        <v>1000</v>
      </c>
      <c r="J386" s="77" t="s">
        <v>138</v>
      </c>
      <c r="K386" s="75">
        <f t="shared" si="3"/>
        <v>36</v>
      </c>
      <c r="L386" s="74" t="s">
        <v>373</v>
      </c>
      <c r="M386" s="74" t="str">
        <f t="shared" si="5"/>
        <v>Direct</v>
      </c>
      <c r="N386" s="74" t="s">
        <v>1262</v>
      </c>
    </row>
    <row r="387" spans="1:14" ht="13">
      <c r="A387" s="71">
        <f t="shared" si="4"/>
        <v>381</v>
      </c>
      <c r="B387" s="72" t="s">
        <v>1267</v>
      </c>
      <c r="C387" s="74"/>
      <c r="D387" s="74" t="s">
        <v>28</v>
      </c>
      <c r="E387" s="74" t="s">
        <v>57</v>
      </c>
      <c r="F387" s="74" t="s">
        <v>142</v>
      </c>
      <c r="G387" s="75">
        <v>95000</v>
      </c>
      <c r="H387" s="76" t="s">
        <v>36</v>
      </c>
      <c r="I387" s="73">
        <v>1000</v>
      </c>
      <c r="J387" s="77" t="s">
        <v>138</v>
      </c>
      <c r="K387" s="75">
        <f t="shared" si="3"/>
        <v>95</v>
      </c>
      <c r="L387" s="74" t="s">
        <v>188</v>
      </c>
      <c r="M387" s="74" t="str">
        <f t="shared" si="5"/>
        <v>Supplier</v>
      </c>
      <c r="N387" s="74" t="s">
        <v>1262</v>
      </c>
    </row>
    <row r="388" spans="1:14" ht="13">
      <c r="A388" s="71">
        <f t="shared" si="4"/>
        <v>382</v>
      </c>
      <c r="B388" s="72" t="s">
        <v>1268</v>
      </c>
      <c r="C388" s="74"/>
      <c r="D388" s="74" t="s">
        <v>28</v>
      </c>
      <c r="E388" s="74" t="s">
        <v>57</v>
      </c>
      <c r="F388" s="74" t="s">
        <v>168</v>
      </c>
      <c r="G388" s="75">
        <v>5000</v>
      </c>
      <c r="H388" s="76" t="s">
        <v>62</v>
      </c>
      <c r="I388" s="73">
        <v>200</v>
      </c>
      <c r="J388" s="77" t="s">
        <v>138</v>
      </c>
      <c r="K388" s="75">
        <f t="shared" si="3"/>
        <v>25</v>
      </c>
      <c r="L388" s="74" t="s">
        <v>373</v>
      </c>
      <c r="M388" s="74" t="str">
        <f t="shared" si="5"/>
        <v>Direct</v>
      </c>
      <c r="N388" s="74"/>
    </row>
    <row r="389" spans="1:14" ht="13">
      <c r="A389" s="71">
        <f t="shared" si="4"/>
        <v>383</v>
      </c>
      <c r="B389" s="72" t="s">
        <v>1269</v>
      </c>
      <c r="C389" s="74"/>
      <c r="D389" s="74" t="s">
        <v>28</v>
      </c>
      <c r="E389" s="74" t="s">
        <v>57</v>
      </c>
      <c r="F389" s="74" t="s">
        <v>151</v>
      </c>
      <c r="G389" s="75">
        <v>7000</v>
      </c>
      <c r="H389" s="76" t="s">
        <v>62</v>
      </c>
      <c r="I389" s="73">
        <v>250</v>
      </c>
      <c r="J389" s="77" t="s">
        <v>138</v>
      </c>
      <c r="K389" s="75">
        <f t="shared" si="3"/>
        <v>28</v>
      </c>
      <c r="L389" s="74" t="s">
        <v>373</v>
      </c>
      <c r="M389" s="74" t="str">
        <f t="shared" si="5"/>
        <v>Direct</v>
      </c>
      <c r="N389" s="74"/>
    </row>
    <row r="390" spans="1:14" ht="13">
      <c r="A390" s="71">
        <f t="shared" si="4"/>
        <v>384</v>
      </c>
      <c r="B390" s="72" t="s">
        <v>1270</v>
      </c>
      <c r="C390" s="74"/>
      <c r="D390" s="74" t="s">
        <v>28</v>
      </c>
      <c r="E390" s="74" t="s">
        <v>57</v>
      </c>
      <c r="F390" s="74" t="s">
        <v>142</v>
      </c>
      <c r="G390" s="75">
        <v>50000</v>
      </c>
      <c r="H390" s="76" t="s">
        <v>62</v>
      </c>
      <c r="I390" s="73">
        <v>50</v>
      </c>
      <c r="J390" s="77" t="s">
        <v>306</v>
      </c>
      <c r="K390" s="75">
        <f t="shared" si="3"/>
        <v>1000</v>
      </c>
      <c r="L390" s="74" t="s">
        <v>373</v>
      </c>
      <c r="M390" s="74" t="str">
        <f t="shared" si="5"/>
        <v>Direct</v>
      </c>
      <c r="N390" s="74"/>
    </row>
    <row r="391" spans="1:14" ht="13">
      <c r="A391" s="71">
        <f t="shared" si="4"/>
        <v>385</v>
      </c>
      <c r="B391" s="72" t="s">
        <v>1271</v>
      </c>
      <c r="C391" s="74"/>
      <c r="D391" s="74" t="s">
        <v>28</v>
      </c>
      <c r="E391" s="74" t="s">
        <v>57</v>
      </c>
      <c r="F391" s="74" t="s">
        <v>168</v>
      </c>
      <c r="G391" s="75">
        <v>8000</v>
      </c>
      <c r="H391" s="76" t="s">
        <v>62</v>
      </c>
      <c r="I391" s="73">
        <v>10</v>
      </c>
      <c r="J391" s="77" t="s">
        <v>306</v>
      </c>
      <c r="K391" s="75">
        <f t="shared" si="3"/>
        <v>800</v>
      </c>
      <c r="L391" s="74" t="s">
        <v>373</v>
      </c>
      <c r="M391" s="74" t="str">
        <f t="shared" si="5"/>
        <v>Direct</v>
      </c>
      <c r="N391" s="74"/>
    </row>
    <row r="392" spans="1:14" ht="13">
      <c r="A392" s="71">
        <f t="shared" si="4"/>
        <v>386</v>
      </c>
      <c r="B392" s="72" t="s">
        <v>1272</v>
      </c>
      <c r="C392" s="74"/>
      <c r="D392" s="74" t="s">
        <v>28</v>
      </c>
      <c r="E392" s="74" t="s">
        <v>57</v>
      </c>
      <c r="F392" s="74" t="s">
        <v>168</v>
      </c>
      <c r="G392" s="75">
        <v>10000</v>
      </c>
      <c r="H392" s="76" t="s">
        <v>62</v>
      </c>
      <c r="I392" s="73">
        <v>10</v>
      </c>
      <c r="J392" s="77" t="s">
        <v>306</v>
      </c>
      <c r="K392" s="75">
        <f t="shared" si="3"/>
        <v>1000</v>
      </c>
      <c r="L392" s="74" t="s">
        <v>373</v>
      </c>
      <c r="M392" s="74" t="s">
        <v>287</v>
      </c>
      <c r="N392" s="74" t="s">
        <v>326</v>
      </c>
    </row>
    <row r="393" spans="1:14" ht="13">
      <c r="A393" s="71">
        <f t="shared" si="4"/>
        <v>387</v>
      </c>
      <c r="B393" s="72" t="s">
        <v>1273</v>
      </c>
      <c r="C393" s="74"/>
      <c r="D393" s="74" t="s">
        <v>81</v>
      </c>
      <c r="E393" s="74" t="s">
        <v>82</v>
      </c>
      <c r="F393" s="74" t="s">
        <v>61</v>
      </c>
      <c r="G393" s="75">
        <v>95000</v>
      </c>
      <c r="H393" s="76" t="s">
        <v>97</v>
      </c>
      <c r="I393" s="73">
        <v>750</v>
      </c>
      <c r="J393" s="77" t="s">
        <v>30</v>
      </c>
      <c r="K393" s="75">
        <f t="shared" si="3"/>
        <v>126.66666666666667</v>
      </c>
      <c r="L393" s="74" t="s">
        <v>98</v>
      </c>
      <c r="M393" s="74" t="s">
        <v>287</v>
      </c>
      <c r="N393" s="74" t="s">
        <v>1262</v>
      </c>
    </row>
    <row r="394" spans="1:14" ht="13">
      <c r="A394" s="71">
        <f t="shared" si="4"/>
        <v>388</v>
      </c>
      <c r="B394" s="72" t="s">
        <v>1274</v>
      </c>
      <c r="C394" s="74"/>
      <c r="D394" s="74" t="s">
        <v>81</v>
      </c>
      <c r="E394" s="74" t="s">
        <v>82</v>
      </c>
      <c r="F394" s="74" t="s">
        <v>61</v>
      </c>
      <c r="G394" s="75">
        <v>95000</v>
      </c>
      <c r="H394" s="76" t="s">
        <v>97</v>
      </c>
      <c r="I394" s="73">
        <v>750</v>
      </c>
      <c r="J394" s="77" t="s">
        <v>30</v>
      </c>
      <c r="K394" s="75">
        <f t="shared" si="3"/>
        <v>126.66666666666667</v>
      </c>
      <c r="L394" s="74" t="s">
        <v>98</v>
      </c>
      <c r="M394" s="74" t="s">
        <v>287</v>
      </c>
      <c r="N394" s="74" t="s">
        <v>1262</v>
      </c>
    </row>
    <row r="395" spans="1:14" ht="13">
      <c r="A395" s="71">
        <f t="shared" si="4"/>
        <v>389</v>
      </c>
      <c r="B395" s="72" t="s">
        <v>1275</v>
      </c>
      <c r="C395" s="74"/>
      <c r="D395" s="74" t="s">
        <v>81</v>
      </c>
      <c r="E395" s="74" t="s">
        <v>82</v>
      </c>
      <c r="F395" s="74" t="s">
        <v>61</v>
      </c>
      <c r="G395" s="75">
        <v>95000</v>
      </c>
      <c r="H395" s="76" t="s">
        <v>97</v>
      </c>
      <c r="I395" s="73">
        <v>750</v>
      </c>
      <c r="J395" s="77" t="s">
        <v>30</v>
      </c>
      <c r="K395" s="75">
        <f t="shared" si="3"/>
        <v>126.66666666666667</v>
      </c>
      <c r="L395" s="74" t="s">
        <v>98</v>
      </c>
      <c r="M395" s="74" t="s">
        <v>287</v>
      </c>
      <c r="N395" s="74" t="s">
        <v>1262</v>
      </c>
    </row>
    <row r="396" spans="1:14" ht="13">
      <c r="A396" s="71">
        <f t="shared" si="4"/>
        <v>390</v>
      </c>
      <c r="B396" s="72" t="s">
        <v>1276</v>
      </c>
      <c r="C396" s="74"/>
      <c r="D396" s="74" t="s">
        <v>81</v>
      </c>
      <c r="E396" s="74" t="s">
        <v>82</v>
      </c>
      <c r="F396" s="74" t="s">
        <v>61</v>
      </c>
      <c r="G396" s="75">
        <v>95000</v>
      </c>
      <c r="H396" s="76" t="s">
        <v>97</v>
      </c>
      <c r="I396" s="73">
        <v>750</v>
      </c>
      <c r="J396" s="77" t="s">
        <v>30</v>
      </c>
      <c r="K396" s="75">
        <f t="shared" si="3"/>
        <v>126.66666666666667</v>
      </c>
      <c r="L396" s="74" t="s">
        <v>98</v>
      </c>
      <c r="M396" s="74" t="s">
        <v>287</v>
      </c>
      <c r="N396" s="74" t="s">
        <v>1262</v>
      </c>
    </row>
    <row r="397" spans="1:14" ht="13">
      <c r="A397" s="71">
        <f t="shared" si="4"/>
        <v>391</v>
      </c>
      <c r="B397" s="72" t="s">
        <v>1277</v>
      </c>
      <c r="C397" s="74"/>
      <c r="D397" s="74" t="s">
        <v>28</v>
      </c>
      <c r="E397" s="74" t="s">
        <v>57</v>
      </c>
      <c r="F397" s="74" t="s">
        <v>168</v>
      </c>
      <c r="G397" s="75">
        <v>10000</v>
      </c>
      <c r="H397" s="76" t="s">
        <v>62</v>
      </c>
      <c r="I397" s="73">
        <v>250</v>
      </c>
      <c r="J397" s="77" t="s">
        <v>138</v>
      </c>
      <c r="K397" s="75">
        <f t="shared" si="3"/>
        <v>40</v>
      </c>
      <c r="L397" s="74" t="s">
        <v>373</v>
      </c>
      <c r="M397" s="74" t="s">
        <v>287</v>
      </c>
      <c r="N397" s="74"/>
    </row>
    <row r="398" spans="1:14" ht="13">
      <c r="A398" s="71">
        <f t="shared" si="4"/>
        <v>392</v>
      </c>
      <c r="B398" s="72" t="s">
        <v>1278</v>
      </c>
      <c r="C398" s="74"/>
      <c r="D398" s="74" t="s">
        <v>28</v>
      </c>
      <c r="E398" s="74" t="s">
        <v>57</v>
      </c>
      <c r="F398" s="74" t="s">
        <v>168</v>
      </c>
      <c r="G398" s="75">
        <v>3000</v>
      </c>
      <c r="H398" s="76" t="s">
        <v>62</v>
      </c>
      <c r="I398" s="73">
        <v>1</v>
      </c>
      <c r="J398" s="77" t="s">
        <v>306</v>
      </c>
      <c r="K398" s="75">
        <f t="shared" si="3"/>
        <v>3000</v>
      </c>
      <c r="L398" s="74" t="s">
        <v>373</v>
      </c>
      <c r="M398" s="74" t="s">
        <v>287</v>
      </c>
      <c r="N398" s="74"/>
    </row>
    <row r="399" spans="1:14" ht="13">
      <c r="A399" s="71">
        <f t="shared" si="4"/>
        <v>393</v>
      </c>
      <c r="B399" s="72" t="s">
        <v>1279</v>
      </c>
      <c r="C399" s="74"/>
      <c r="D399" s="74" t="s">
        <v>28</v>
      </c>
      <c r="E399" s="74" t="s">
        <v>57</v>
      </c>
      <c r="F399" s="74" t="s">
        <v>151</v>
      </c>
      <c r="G399" s="75">
        <v>20000</v>
      </c>
      <c r="H399" s="76" t="s">
        <v>36</v>
      </c>
      <c r="I399" s="73">
        <v>1000</v>
      </c>
      <c r="J399" s="77" t="s">
        <v>138</v>
      </c>
      <c r="K399" s="75">
        <f t="shared" si="3"/>
        <v>20</v>
      </c>
      <c r="L399" s="74" t="s">
        <v>373</v>
      </c>
      <c r="M399" s="74" t="s">
        <v>287</v>
      </c>
      <c r="N399" s="74"/>
    </row>
    <row r="400" spans="1:14" ht="13">
      <c r="A400" s="71">
        <f t="shared" si="4"/>
        <v>394</v>
      </c>
      <c r="B400" s="72" t="s">
        <v>1280</v>
      </c>
      <c r="C400" s="74"/>
      <c r="D400" s="74" t="s">
        <v>28</v>
      </c>
      <c r="E400" s="74" t="s">
        <v>57</v>
      </c>
      <c r="F400" s="74" t="s">
        <v>168</v>
      </c>
      <c r="G400" s="75">
        <v>7000</v>
      </c>
      <c r="H400" s="76" t="s">
        <v>62</v>
      </c>
      <c r="I400" s="73">
        <v>1</v>
      </c>
      <c r="J400" s="77" t="s">
        <v>306</v>
      </c>
      <c r="K400" s="75">
        <f t="shared" si="3"/>
        <v>7000</v>
      </c>
      <c r="L400" s="74" t="s">
        <v>373</v>
      </c>
      <c r="M400" s="74" t="s">
        <v>287</v>
      </c>
      <c r="N400" s="74"/>
    </row>
    <row r="401" spans="1:14" ht="13">
      <c r="A401" s="71">
        <f t="shared" si="4"/>
        <v>395</v>
      </c>
      <c r="B401" s="72" t="s">
        <v>1281</v>
      </c>
      <c r="C401" s="74"/>
      <c r="D401" s="74" t="s">
        <v>28</v>
      </c>
      <c r="E401" s="74" t="s">
        <v>57</v>
      </c>
      <c r="F401" s="74" t="s">
        <v>168</v>
      </c>
      <c r="G401" s="75">
        <v>4000</v>
      </c>
      <c r="H401" s="76" t="s">
        <v>62</v>
      </c>
      <c r="I401" s="73">
        <v>10</v>
      </c>
      <c r="J401" s="77" t="s">
        <v>306</v>
      </c>
      <c r="K401" s="75">
        <f t="shared" si="3"/>
        <v>400</v>
      </c>
      <c r="L401" s="74" t="s">
        <v>373</v>
      </c>
      <c r="M401" s="74" t="s">
        <v>287</v>
      </c>
      <c r="N401" s="74"/>
    </row>
    <row r="402" spans="1:14" ht="13">
      <c r="A402" s="71">
        <v>340</v>
      </c>
      <c r="B402" s="72" t="s">
        <v>2032</v>
      </c>
      <c r="C402" s="74"/>
      <c r="D402" s="74" t="s">
        <v>81</v>
      </c>
      <c r="E402" s="74" t="s">
        <v>32</v>
      </c>
      <c r="F402" s="74" t="s">
        <v>35</v>
      </c>
      <c r="G402" s="75">
        <v>160000</v>
      </c>
      <c r="H402" s="76" t="s">
        <v>62</v>
      </c>
      <c r="I402" s="73">
        <v>1000</v>
      </c>
      <c r="J402" s="77" t="s">
        <v>138</v>
      </c>
      <c r="K402" s="75">
        <f t="shared" si="3"/>
        <v>160</v>
      </c>
      <c r="L402" s="74" t="s">
        <v>373</v>
      </c>
      <c r="M402" s="74" t="s">
        <v>287</v>
      </c>
      <c r="N402" s="74" t="s">
        <v>1282</v>
      </c>
    </row>
    <row r="403" spans="1:14" ht="13">
      <c r="A403" s="79" t="s">
        <v>1283</v>
      </c>
      <c r="B403" s="79" t="s">
        <v>1283</v>
      </c>
      <c r="C403" s="79" t="s">
        <v>1283</v>
      </c>
      <c r="D403" s="79" t="s">
        <v>1283</v>
      </c>
      <c r="E403" s="79" t="s">
        <v>1283</v>
      </c>
      <c r="F403" s="79" t="s">
        <v>1283</v>
      </c>
      <c r="G403" s="79" t="s">
        <v>1283</v>
      </c>
      <c r="H403" s="79" t="s">
        <v>1283</v>
      </c>
      <c r="I403" s="79" t="s">
        <v>1283</v>
      </c>
      <c r="J403" s="79" t="s">
        <v>1283</v>
      </c>
      <c r="K403" s="79" t="s">
        <v>1283</v>
      </c>
      <c r="L403" s="79" t="s">
        <v>1283</v>
      </c>
      <c r="M403" s="79" t="s">
        <v>1283</v>
      </c>
      <c r="N403" s="79" t="s">
        <v>1283</v>
      </c>
    </row>
    <row r="404" spans="1:14" ht="13">
      <c r="B404" s="4"/>
      <c r="C404" s="4"/>
      <c r="D404" s="4"/>
      <c r="E404" s="4"/>
      <c r="F404" s="4"/>
      <c r="G404" s="4"/>
      <c r="H404" s="4"/>
      <c r="I404" s="4"/>
      <c r="J404" s="4"/>
      <c r="K404" s="4"/>
      <c r="L404" s="4"/>
      <c r="M404" s="4"/>
      <c r="N404" s="4"/>
    </row>
    <row r="405" spans="1:14" ht="13">
      <c r="B405" s="4"/>
      <c r="C405" s="4"/>
      <c r="D405" s="4"/>
      <c r="E405" s="4"/>
      <c r="F405" s="4"/>
      <c r="G405" s="4"/>
      <c r="H405" s="4"/>
      <c r="I405" s="4"/>
      <c r="J405" s="4"/>
      <c r="K405" s="4"/>
      <c r="L405" s="4"/>
      <c r="M405" s="4"/>
      <c r="N405" s="4"/>
    </row>
    <row r="406" spans="1:14" ht="13">
      <c r="B406" s="4"/>
      <c r="C406" s="4"/>
      <c r="D406" s="4"/>
      <c r="E406" s="4"/>
      <c r="F406" s="4"/>
      <c r="G406" s="4"/>
      <c r="H406" s="4"/>
      <c r="I406" s="4"/>
      <c r="J406" s="4"/>
      <c r="K406" s="4"/>
      <c r="L406" s="4"/>
      <c r="M406" s="4"/>
      <c r="N406" s="4"/>
    </row>
    <row r="407" spans="1:14" ht="13">
      <c r="B407" s="4"/>
      <c r="C407" s="4"/>
      <c r="D407" s="4"/>
      <c r="E407" s="4"/>
      <c r="F407" s="4"/>
      <c r="G407" s="4"/>
      <c r="H407" s="4"/>
      <c r="I407" s="4"/>
      <c r="J407" s="4"/>
      <c r="K407" s="4"/>
      <c r="L407" s="4"/>
      <c r="M407" s="4"/>
      <c r="N407" s="4"/>
    </row>
    <row r="408" spans="1:14" ht="13">
      <c r="B408" s="4"/>
      <c r="C408" s="4"/>
      <c r="D408" s="4"/>
      <c r="E408" s="4"/>
      <c r="F408" s="4"/>
      <c r="G408" s="4"/>
      <c r="H408" s="4"/>
      <c r="I408" s="4"/>
      <c r="J408" s="4"/>
      <c r="K408" s="4"/>
      <c r="L408" s="4"/>
      <c r="M408" s="4"/>
      <c r="N408" s="4"/>
    </row>
    <row r="409" spans="1:14" ht="13">
      <c r="B409" s="4"/>
      <c r="C409" s="4"/>
      <c r="D409" s="4"/>
      <c r="E409" s="4"/>
      <c r="F409" s="4"/>
      <c r="G409" s="4"/>
      <c r="H409" s="4"/>
      <c r="I409" s="4"/>
      <c r="J409" s="4"/>
      <c r="K409" s="4"/>
      <c r="L409" s="4"/>
      <c r="M409" s="4"/>
      <c r="N409" s="4"/>
    </row>
    <row r="410" spans="1:14" ht="13">
      <c r="B410" s="4"/>
      <c r="C410" s="4"/>
      <c r="D410" s="4"/>
      <c r="E410" s="4"/>
      <c r="F410" s="4"/>
      <c r="G410" s="4"/>
      <c r="H410" s="4"/>
      <c r="I410" s="4"/>
      <c r="J410" s="4"/>
      <c r="K410" s="4"/>
      <c r="L410" s="4"/>
      <c r="M410" s="4"/>
      <c r="N410" s="4"/>
    </row>
    <row r="411" spans="1:14" ht="13">
      <c r="B411" s="4"/>
      <c r="C411" s="4"/>
      <c r="D411" s="4"/>
      <c r="E411" s="4"/>
      <c r="F411" s="4"/>
      <c r="G411" s="4"/>
      <c r="H411" s="4"/>
      <c r="I411" s="4"/>
      <c r="J411" s="4"/>
      <c r="K411" s="4"/>
      <c r="L411" s="4"/>
      <c r="M411" s="4"/>
      <c r="N411" s="4"/>
    </row>
    <row r="412" spans="1:14" ht="13">
      <c r="B412" s="4"/>
      <c r="C412" s="4"/>
      <c r="D412" s="4"/>
      <c r="E412" s="4"/>
      <c r="F412" s="4"/>
      <c r="G412" s="4"/>
      <c r="H412" s="4"/>
      <c r="I412" s="4"/>
      <c r="J412" s="4"/>
      <c r="K412" s="4"/>
      <c r="L412" s="4"/>
      <c r="M412" s="4"/>
      <c r="N412" s="4"/>
    </row>
    <row r="413" spans="1:14" ht="13">
      <c r="B413" s="4"/>
      <c r="C413" s="4"/>
      <c r="D413" s="4"/>
      <c r="E413" s="4"/>
      <c r="F413" s="4"/>
      <c r="G413" s="4"/>
      <c r="H413" s="4"/>
      <c r="I413" s="4"/>
      <c r="J413" s="4"/>
      <c r="K413" s="4"/>
      <c r="L413" s="4"/>
      <c r="M413" s="4"/>
      <c r="N413" s="4"/>
    </row>
    <row r="414" spans="1:14" ht="13">
      <c r="B414" s="4"/>
      <c r="C414" s="4"/>
      <c r="D414" s="4"/>
      <c r="E414" s="4"/>
      <c r="F414" s="4"/>
      <c r="G414" s="4"/>
      <c r="H414" s="4"/>
      <c r="I414" s="4"/>
      <c r="J414" s="4"/>
      <c r="K414" s="4"/>
      <c r="L414" s="4"/>
      <c r="M414" s="4"/>
      <c r="N414" s="4"/>
    </row>
    <row r="415" spans="1:14" ht="13">
      <c r="B415" s="4"/>
      <c r="C415" s="4"/>
      <c r="D415" s="4"/>
      <c r="E415" s="4"/>
      <c r="F415" s="4"/>
      <c r="G415" s="4"/>
      <c r="H415" s="4"/>
      <c r="I415" s="4"/>
      <c r="J415" s="4"/>
      <c r="K415" s="4"/>
      <c r="L415" s="4"/>
      <c r="M415" s="4"/>
      <c r="N415" s="4"/>
    </row>
    <row r="416" spans="1:14" ht="13">
      <c r="B416" s="4"/>
      <c r="C416" s="4"/>
      <c r="D416" s="4"/>
      <c r="E416" s="4"/>
      <c r="F416" s="4"/>
      <c r="G416" s="4"/>
      <c r="H416" s="4"/>
      <c r="I416" s="4"/>
      <c r="J416" s="4"/>
      <c r="K416" s="4"/>
      <c r="L416" s="4"/>
      <c r="M416" s="4"/>
      <c r="N416" s="4"/>
    </row>
    <row r="417" spans="2:14" ht="13">
      <c r="B417" s="4"/>
      <c r="C417" s="4"/>
      <c r="D417" s="4"/>
      <c r="E417" s="4"/>
      <c r="F417" s="4"/>
      <c r="G417" s="4"/>
      <c r="H417" s="4"/>
      <c r="I417" s="4"/>
      <c r="J417" s="4"/>
      <c r="K417" s="4"/>
      <c r="L417" s="4"/>
      <c r="M417" s="4"/>
      <c r="N417" s="4"/>
    </row>
    <row r="418" spans="2:14" ht="13">
      <c r="B418" s="4"/>
      <c r="C418" s="4"/>
      <c r="D418" s="4"/>
      <c r="E418" s="4"/>
      <c r="F418" s="4"/>
      <c r="G418" s="4"/>
      <c r="H418" s="4"/>
      <c r="I418" s="4"/>
      <c r="J418" s="4"/>
      <c r="K418" s="4"/>
      <c r="L418" s="4"/>
      <c r="M418" s="4"/>
      <c r="N418" s="4"/>
    </row>
    <row r="419" spans="2:14" ht="13">
      <c r="B419" s="4"/>
      <c r="C419" s="4"/>
      <c r="D419" s="4"/>
      <c r="E419" s="4"/>
      <c r="F419" s="4"/>
      <c r="G419" s="4"/>
      <c r="H419" s="4"/>
      <c r="I419" s="4"/>
      <c r="J419" s="4"/>
      <c r="K419" s="4"/>
      <c r="L419" s="4"/>
      <c r="M419" s="4"/>
      <c r="N419" s="4"/>
    </row>
    <row r="420" spans="2:14" ht="13">
      <c r="B420" s="4"/>
      <c r="C420" s="4"/>
      <c r="D420" s="4"/>
      <c r="E420" s="4"/>
      <c r="F420" s="4"/>
      <c r="G420" s="4"/>
      <c r="H420" s="4"/>
      <c r="I420" s="4"/>
      <c r="J420" s="4"/>
      <c r="K420" s="4"/>
      <c r="L420" s="4"/>
      <c r="M420" s="4"/>
      <c r="N420" s="4"/>
    </row>
    <row r="421" spans="2:14" ht="13">
      <c r="B421" s="4"/>
      <c r="C421" s="4"/>
      <c r="D421" s="4"/>
      <c r="E421" s="4"/>
      <c r="F421" s="4"/>
      <c r="G421" s="4"/>
      <c r="H421" s="4"/>
      <c r="I421" s="4"/>
      <c r="J421" s="4"/>
      <c r="K421" s="4"/>
      <c r="L421" s="4"/>
      <c r="M421" s="4"/>
      <c r="N421" s="4"/>
    </row>
    <row r="422" spans="2:14" ht="13">
      <c r="B422" s="4"/>
      <c r="C422" s="4"/>
      <c r="D422" s="4"/>
      <c r="E422" s="4"/>
      <c r="F422" s="4"/>
      <c r="G422" s="4"/>
      <c r="H422" s="4"/>
      <c r="I422" s="4"/>
      <c r="J422" s="4"/>
      <c r="K422" s="4"/>
      <c r="L422" s="4"/>
      <c r="M422" s="4"/>
      <c r="N422" s="4"/>
    </row>
    <row r="423" spans="2:14" ht="13">
      <c r="B423" s="4"/>
      <c r="C423" s="4"/>
      <c r="D423" s="4"/>
      <c r="E423" s="4"/>
      <c r="F423" s="4"/>
      <c r="G423" s="4"/>
      <c r="H423" s="4"/>
      <c r="I423" s="4"/>
      <c r="J423" s="4"/>
      <c r="K423" s="4"/>
      <c r="L423" s="4"/>
      <c r="M423" s="4"/>
      <c r="N423" s="4"/>
    </row>
    <row r="424" spans="2:14" ht="13">
      <c r="B424" s="4"/>
      <c r="C424" s="4"/>
      <c r="D424" s="4"/>
      <c r="E424" s="4"/>
      <c r="F424" s="4"/>
      <c r="G424" s="4"/>
      <c r="H424" s="4"/>
      <c r="I424" s="4"/>
      <c r="J424" s="4"/>
      <c r="K424" s="4"/>
      <c r="L424" s="4"/>
      <c r="M424" s="4"/>
      <c r="N424" s="4"/>
    </row>
    <row r="425" spans="2:14" ht="13">
      <c r="B425" s="4"/>
      <c r="C425" s="4"/>
      <c r="D425" s="4"/>
      <c r="E425" s="4"/>
      <c r="F425" s="4"/>
      <c r="G425" s="4"/>
      <c r="H425" s="4"/>
      <c r="I425" s="4"/>
      <c r="J425" s="4"/>
      <c r="K425" s="4"/>
      <c r="L425" s="4"/>
      <c r="M425" s="4"/>
      <c r="N425" s="4"/>
    </row>
    <row r="426" spans="2:14" ht="13">
      <c r="B426" s="4"/>
      <c r="C426" s="4"/>
      <c r="D426" s="4"/>
      <c r="E426" s="4"/>
      <c r="F426" s="4"/>
      <c r="G426" s="4"/>
      <c r="H426" s="4"/>
      <c r="I426" s="4"/>
      <c r="J426" s="4"/>
      <c r="K426" s="4"/>
      <c r="L426" s="4"/>
      <c r="M426" s="4"/>
      <c r="N426" s="4"/>
    </row>
    <row r="427" spans="2:14" ht="13">
      <c r="B427" s="4"/>
      <c r="C427" s="4"/>
      <c r="D427" s="4"/>
      <c r="E427" s="4"/>
      <c r="F427" s="4"/>
      <c r="G427" s="4"/>
      <c r="H427" s="4"/>
      <c r="I427" s="4"/>
      <c r="J427" s="4"/>
      <c r="K427" s="4"/>
      <c r="L427" s="4"/>
      <c r="M427" s="4"/>
      <c r="N427" s="4"/>
    </row>
    <row r="428" spans="2:14" ht="13">
      <c r="B428" s="4"/>
      <c r="C428" s="4"/>
      <c r="D428" s="4"/>
      <c r="E428" s="4"/>
      <c r="F428" s="4"/>
      <c r="G428" s="4"/>
      <c r="H428" s="4"/>
      <c r="I428" s="4"/>
      <c r="J428" s="4"/>
      <c r="K428" s="4"/>
      <c r="L428" s="4"/>
      <c r="M428" s="4"/>
      <c r="N428" s="4"/>
    </row>
    <row r="429" spans="2:14" ht="13">
      <c r="B429" s="4"/>
      <c r="C429" s="4"/>
      <c r="D429" s="4"/>
      <c r="E429" s="4"/>
      <c r="F429" s="4"/>
      <c r="G429" s="4"/>
      <c r="H429" s="4"/>
      <c r="I429" s="4"/>
      <c r="J429" s="4"/>
      <c r="K429" s="4"/>
      <c r="L429" s="4"/>
      <c r="M429" s="4"/>
      <c r="N429" s="4"/>
    </row>
    <row r="430" spans="2:14" ht="13">
      <c r="B430" s="4"/>
      <c r="C430" s="4"/>
      <c r="D430" s="4"/>
      <c r="E430" s="4"/>
      <c r="F430" s="4"/>
      <c r="G430" s="4"/>
      <c r="H430" s="4"/>
      <c r="I430" s="4"/>
      <c r="J430" s="4"/>
      <c r="K430" s="4"/>
      <c r="L430" s="4"/>
      <c r="M430" s="4"/>
      <c r="N430" s="4"/>
    </row>
    <row r="431" spans="2:14" ht="13">
      <c r="B431" s="4"/>
      <c r="C431" s="4"/>
      <c r="D431" s="4"/>
      <c r="E431" s="4"/>
      <c r="F431" s="4"/>
      <c r="G431" s="4"/>
      <c r="H431" s="4"/>
      <c r="I431" s="4"/>
      <c r="J431" s="4"/>
      <c r="K431" s="4"/>
      <c r="L431" s="4"/>
      <c r="M431" s="4"/>
      <c r="N431" s="4"/>
    </row>
    <row r="432" spans="2:14" ht="13">
      <c r="B432" s="4"/>
      <c r="C432" s="4"/>
      <c r="D432" s="4"/>
      <c r="E432" s="4"/>
      <c r="F432" s="4"/>
      <c r="G432" s="4"/>
      <c r="H432" s="4"/>
      <c r="I432" s="4"/>
      <c r="J432" s="4"/>
      <c r="K432" s="4"/>
      <c r="L432" s="4"/>
      <c r="M432" s="4"/>
      <c r="N432" s="4"/>
    </row>
    <row r="433" spans="2:14" ht="13">
      <c r="B433" s="4"/>
      <c r="C433" s="4"/>
      <c r="D433" s="4"/>
      <c r="E433" s="4"/>
      <c r="F433" s="4"/>
      <c r="G433" s="4"/>
      <c r="H433" s="4"/>
      <c r="I433" s="4"/>
      <c r="J433" s="4"/>
      <c r="K433" s="4"/>
      <c r="L433" s="4"/>
      <c r="M433" s="4"/>
      <c r="N433" s="4"/>
    </row>
    <row r="434" spans="2:14" ht="13">
      <c r="B434" s="4"/>
      <c r="C434" s="4"/>
      <c r="D434" s="4"/>
      <c r="E434" s="4"/>
      <c r="F434" s="4"/>
      <c r="G434" s="4"/>
      <c r="H434" s="4"/>
      <c r="I434" s="4"/>
      <c r="J434" s="4"/>
      <c r="K434" s="4"/>
      <c r="L434" s="4"/>
      <c r="M434" s="4"/>
      <c r="N434" s="4"/>
    </row>
    <row r="435" spans="2:14" ht="13">
      <c r="B435" s="4"/>
      <c r="C435" s="4"/>
      <c r="D435" s="4"/>
      <c r="E435" s="4"/>
      <c r="F435" s="4"/>
      <c r="G435" s="4"/>
      <c r="H435" s="4"/>
      <c r="I435" s="4"/>
      <c r="J435" s="4"/>
      <c r="K435" s="4"/>
      <c r="L435" s="4"/>
      <c r="M435" s="4"/>
      <c r="N435" s="4"/>
    </row>
    <row r="436" spans="2:14" ht="13">
      <c r="B436" s="4"/>
      <c r="C436" s="4"/>
      <c r="D436" s="4"/>
      <c r="E436" s="4"/>
      <c r="F436" s="4"/>
      <c r="G436" s="4"/>
      <c r="H436" s="4"/>
      <c r="I436" s="4"/>
      <c r="J436" s="4"/>
      <c r="K436" s="4"/>
      <c r="L436" s="4"/>
      <c r="M436" s="4"/>
      <c r="N436" s="4"/>
    </row>
    <row r="437" spans="2:14" ht="13">
      <c r="B437" s="4"/>
      <c r="C437" s="4"/>
      <c r="D437" s="4"/>
      <c r="E437" s="4"/>
      <c r="F437" s="4"/>
      <c r="G437" s="4"/>
      <c r="H437" s="4"/>
      <c r="I437" s="4"/>
      <c r="J437" s="4"/>
      <c r="K437" s="4"/>
      <c r="L437" s="4"/>
      <c r="M437" s="4"/>
      <c r="N437" s="4"/>
    </row>
    <row r="438" spans="2:14" ht="13">
      <c r="B438" s="4"/>
      <c r="C438" s="4"/>
      <c r="D438" s="4"/>
      <c r="E438" s="4"/>
      <c r="F438" s="4"/>
      <c r="G438" s="4"/>
      <c r="H438" s="4"/>
      <c r="I438" s="4"/>
      <c r="J438" s="4"/>
      <c r="K438" s="4"/>
      <c r="L438" s="4"/>
      <c r="M438" s="4"/>
      <c r="N438" s="4"/>
    </row>
    <row r="439" spans="2:14" ht="13">
      <c r="B439" s="4"/>
      <c r="C439" s="4"/>
      <c r="D439" s="4"/>
      <c r="E439" s="4"/>
      <c r="F439" s="4"/>
      <c r="G439" s="4"/>
      <c r="H439" s="4"/>
      <c r="I439" s="4"/>
      <c r="J439" s="4"/>
      <c r="K439" s="4"/>
      <c r="L439" s="4"/>
      <c r="M439" s="4"/>
      <c r="N439" s="4"/>
    </row>
    <row r="440" spans="2:14" ht="13">
      <c r="B440" s="4"/>
      <c r="C440" s="4"/>
      <c r="D440" s="4"/>
      <c r="E440" s="4"/>
      <c r="F440" s="4"/>
      <c r="G440" s="4"/>
      <c r="H440" s="4"/>
      <c r="I440" s="4"/>
      <c r="J440" s="4"/>
      <c r="K440" s="4"/>
      <c r="L440" s="4"/>
      <c r="M440" s="4"/>
      <c r="N440" s="4"/>
    </row>
    <row r="441" spans="2:14" ht="13">
      <c r="B441" s="4"/>
      <c r="C441" s="4"/>
      <c r="D441" s="4"/>
      <c r="E441" s="4"/>
      <c r="F441" s="4"/>
      <c r="G441" s="4"/>
      <c r="H441" s="4"/>
      <c r="I441" s="4"/>
      <c r="J441" s="4"/>
      <c r="K441" s="4"/>
      <c r="L441" s="4"/>
      <c r="M441" s="4"/>
      <c r="N441" s="4"/>
    </row>
    <row r="442" spans="2:14" ht="13">
      <c r="B442" s="4"/>
      <c r="C442" s="4"/>
      <c r="D442" s="4"/>
      <c r="E442" s="4"/>
      <c r="F442" s="4"/>
      <c r="G442" s="4"/>
      <c r="H442" s="4"/>
      <c r="I442" s="4"/>
      <c r="J442" s="4"/>
      <c r="K442" s="4"/>
      <c r="L442" s="4"/>
      <c r="M442" s="4"/>
      <c r="N442" s="4"/>
    </row>
    <row r="443" spans="2:14" ht="13">
      <c r="B443" s="4"/>
      <c r="C443" s="4"/>
      <c r="D443" s="4"/>
      <c r="E443" s="4"/>
      <c r="F443" s="4"/>
      <c r="G443" s="4"/>
      <c r="H443" s="4"/>
      <c r="I443" s="4"/>
      <c r="J443" s="4"/>
      <c r="K443" s="4"/>
      <c r="L443" s="4"/>
      <c r="M443" s="4"/>
      <c r="N443" s="4"/>
    </row>
    <row r="444" spans="2:14" ht="13">
      <c r="B444" s="4"/>
      <c r="C444" s="4"/>
      <c r="D444" s="4"/>
      <c r="E444" s="4"/>
      <c r="F444" s="4"/>
      <c r="G444" s="4"/>
      <c r="H444" s="4"/>
      <c r="I444" s="4"/>
      <c r="J444" s="4"/>
      <c r="K444" s="4"/>
      <c r="L444" s="4"/>
      <c r="M444" s="4"/>
      <c r="N444" s="4"/>
    </row>
    <row r="445" spans="2:14" ht="13">
      <c r="B445" s="4"/>
      <c r="C445" s="4"/>
      <c r="D445" s="4"/>
      <c r="E445" s="4"/>
      <c r="F445" s="4"/>
      <c r="G445" s="4"/>
      <c r="H445" s="4"/>
      <c r="I445" s="4"/>
      <c r="J445" s="4"/>
      <c r="K445" s="4"/>
      <c r="L445" s="4"/>
      <c r="M445" s="4"/>
      <c r="N445" s="4"/>
    </row>
    <row r="446" spans="2:14" ht="13">
      <c r="B446" s="4"/>
      <c r="C446" s="4"/>
      <c r="D446" s="4"/>
      <c r="E446" s="4"/>
      <c r="F446" s="4"/>
      <c r="G446" s="4"/>
      <c r="H446" s="4"/>
      <c r="I446" s="4"/>
      <c r="J446" s="4"/>
      <c r="K446" s="4"/>
      <c r="L446" s="4"/>
      <c r="M446" s="4"/>
      <c r="N446" s="4"/>
    </row>
    <row r="447" spans="2:14" ht="13">
      <c r="B447" s="4"/>
      <c r="C447" s="4"/>
      <c r="D447" s="4"/>
      <c r="E447" s="4"/>
      <c r="F447" s="4"/>
      <c r="G447" s="4"/>
      <c r="H447" s="4"/>
      <c r="I447" s="4"/>
      <c r="J447" s="4"/>
      <c r="K447" s="4"/>
      <c r="L447" s="4"/>
      <c r="M447" s="4"/>
      <c r="N447" s="4"/>
    </row>
    <row r="448" spans="2:14" ht="13">
      <c r="B448" s="4"/>
      <c r="C448" s="4"/>
      <c r="D448" s="4"/>
      <c r="E448" s="4"/>
      <c r="F448" s="4"/>
      <c r="G448" s="4"/>
      <c r="H448" s="4"/>
      <c r="I448" s="4"/>
      <c r="J448" s="4"/>
      <c r="K448" s="4"/>
      <c r="L448" s="4"/>
      <c r="M448" s="4"/>
      <c r="N448" s="4"/>
    </row>
    <row r="449" spans="2:14" ht="13">
      <c r="B449" s="4"/>
      <c r="C449" s="4"/>
      <c r="D449" s="4"/>
      <c r="E449" s="4"/>
      <c r="F449" s="4"/>
      <c r="G449" s="4"/>
      <c r="H449" s="4"/>
      <c r="I449" s="4"/>
      <c r="J449" s="4"/>
      <c r="K449" s="4"/>
      <c r="L449" s="4"/>
      <c r="M449" s="4"/>
      <c r="N449" s="4"/>
    </row>
    <row r="450" spans="2:14" ht="13">
      <c r="B450" s="4"/>
      <c r="C450" s="4"/>
      <c r="D450" s="4"/>
      <c r="E450" s="4"/>
      <c r="F450" s="4"/>
      <c r="G450" s="4"/>
      <c r="H450" s="4"/>
      <c r="I450" s="4"/>
      <c r="J450" s="4"/>
      <c r="K450" s="4"/>
      <c r="L450" s="4"/>
      <c r="M450" s="4"/>
      <c r="N450" s="4"/>
    </row>
    <row r="451" spans="2:14" ht="13">
      <c r="B451" s="4"/>
      <c r="C451" s="4"/>
      <c r="D451" s="4"/>
      <c r="E451" s="4"/>
      <c r="F451" s="4"/>
      <c r="G451" s="4"/>
      <c r="H451" s="4"/>
      <c r="I451" s="4"/>
      <c r="J451" s="4"/>
      <c r="K451" s="4"/>
      <c r="L451" s="4"/>
      <c r="M451" s="4"/>
      <c r="N451" s="4"/>
    </row>
    <row r="452" spans="2:14" ht="13">
      <c r="B452" s="4"/>
      <c r="C452" s="4"/>
      <c r="D452" s="4"/>
      <c r="E452" s="4"/>
      <c r="F452" s="4"/>
      <c r="G452" s="4"/>
      <c r="H452" s="4"/>
      <c r="I452" s="4"/>
      <c r="J452" s="4"/>
      <c r="K452" s="4"/>
      <c r="L452" s="4"/>
      <c r="M452" s="4"/>
      <c r="N452" s="4"/>
    </row>
    <row r="453" spans="2:14" ht="13">
      <c r="B453" s="4"/>
      <c r="C453" s="4"/>
      <c r="D453" s="4"/>
      <c r="E453" s="4"/>
      <c r="F453" s="4"/>
      <c r="G453" s="4"/>
      <c r="H453" s="4"/>
      <c r="I453" s="4"/>
      <c r="J453" s="4"/>
      <c r="K453" s="4"/>
      <c r="L453" s="4"/>
      <c r="M453" s="4"/>
      <c r="N453" s="4"/>
    </row>
    <row r="454" spans="2:14" ht="13">
      <c r="B454" s="4"/>
      <c r="C454" s="4"/>
      <c r="D454" s="4"/>
      <c r="E454" s="4"/>
      <c r="F454" s="4"/>
      <c r="G454" s="4"/>
      <c r="H454" s="4"/>
      <c r="I454" s="4"/>
      <c r="J454" s="4"/>
      <c r="K454" s="4"/>
      <c r="L454" s="4"/>
      <c r="M454" s="4"/>
      <c r="N454" s="4"/>
    </row>
    <row r="455" spans="2:14" ht="13">
      <c r="B455" s="4"/>
      <c r="C455" s="4"/>
      <c r="D455" s="4"/>
      <c r="E455" s="4"/>
      <c r="F455" s="4"/>
      <c r="G455" s="4"/>
      <c r="H455" s="4"/>
      <c r="I455" s="4"/>
      <c r="J455" s="4"/>
      <c r="K455" s="4"/>
      <c r="L455" s="4"/>
      <c r="M455" s="4"/>
      <c r="N455" s="4"/>
    </row>
    <row r="456" spans="2:14" ht="13">
      <c r="B456" s="4"/>
      <c r="C456" s="4"/>
      <c r="D456" s="4"/>
      <c r="E456" s="4"/>
      <c r="F456" s="4"/>
      <c r="G456" s="4"/>
      <c r="H456" s="4"/>
      <c r="I456" s="4"/>
      <c r="J456" s="4"/>
      <c r="K456" s="4"/>
      <c r="L456" s="4"/>
      <c r="M456" s="4"/>
      <c r="N456" s="4"/>
    </row>
    <row r="457" spans="2:14" ht="13">
      <c r="B457" s="4"/>
      <c r="C457" s="4"/>
      <c r="D457" s="4"/>
      <c r="E457" s="4"/>
      <c r="F457" s="4"/>
      <c r="G457" s="4"/>
      <c r="H457" s="4"/>
      <c r="I457" s="4"/>
      <c r="J457" s="4"/>
      <c r="K457" s="4"/>
      <c r="L457" s="4"/>
      <c r="M457" s="4"/>
      <c r="N457" s="4"/>
    </row>
    <row r="458" spans="2:14" ht="13">
      <c r="B458" s="4"/>
      <c r="C458" s="4"/>
      <c r="D458" s="4"/>
      <c r="E458" s="4"/>
      <c r="F458" s="4"/>
      <c r="G458" s="4"/>
      <c r="H458" s="4"/>
      <c r="I458" s="4"/>
      <c r="J458" s="4"/>
      <c r="K458" s="4"/>
      <c r="L458" s="4"/>
      <c r="M458" s="4"/>
      <c r="N458" s="4"/>
    </row>
    <row r="459" spans="2:14" ht="13">
      <c r="B459" s="4"/>
      <c r="C459" s="4"/>
      <c r="D459" s="4"/>
      <c r="E459" s="4"/>
      <c r="F459" s="4"/>
      <c r="G459" s="4"/>
      <c r="H459" s="4"/>
      <c r="I459" s="4"/>
      <c r="J459" s="4"/>
      <c r="K459" s="4"/>
      <c r="L459" s="4"/>
      <c r="M459" s="4"/>
      <c r="N459" s="4"/>
    </row>
    <row r="460" spans="2:14" ht="13">
      <c r="B460" s="4"/>
      <c r="C460" s="4"/>
      <c r="D460" s="4"/>
      <c r="E460" s="4"/>
      <c r="F460" s="4"/>
      <c r="G460" s="4"/>
      <c r="H460" s="4"/>
      <c r="I460" s="4"/>
      <c r="J460" s="4"/>
      <c r="K460" s="4"/>
      <c r="L460" s="4"/>
      <c r="M460" s="4"/>
      <c r="N460" s="4"/>
    </row>
    <row r="461" spans="2:14" ht="13">
      <c r="B461" s="4"/>
      <c r="C461" s="4"/>
      <c r="D461" s="4"/>
      <c r="E461" s="4"/>
      <c r="F461" s="4"/>
      <c r="G461" s="4"/>
      <c r="H461" s="4"/>
      <c r="I461" s="4"/>
      <c r="J461" s="4"/>
      <c r="K461" s="4"/>
      <c r="L461" s="4"/>
      <c r="M461" s="4"/>
      <c r="N461" s="4"/>
    </row>
    <row r="462" spans="2:14" ht="13">
      <c r="B462" s="4"/>
      <c r="C462" s="4"/>
      <c r="D462" s="4"/>
      <c r="E462" s="4"/>
      <c r="F462" s="4"/>
      <c r="G462" s="4"/>
      <c r="H462" s="4"/>
      <c r="I462" s="4"/>
      <c r="J462" s="4"/>
      <c r="K462" s="4"/>
      <c r="L462" s="4"/>
      <c r="M462" s="4"/>
      <c r="N462" s="4"/>
    </row>
    <row r="463" spans="2:14" ht="13">
      <c r="B463" s="4"/>
      <c r="C463" s="4"/>
      <c r="D463" s="4"/>
      <c r="E463" s="4"/>
      <c r="F463" s="4"/>
      <c r="G463" s="4"/>
      <c r="H463" s="4"/>
      <c r="I463" s="4"/>
      <c r="J463" s="4"/>
      <c r="K463" s="4"/>
      <c r="L463" s="4"/>
      <c r="M463" s="4"/>
      <c r="N463" s="4"/>
    </row>
    <row r="464" spans="2:14" ht="13">
      <c r="B464" s="4"/>
      <c r="C464" s="4"/>
      <c r="D464" s="4"/>
      <c r="E464" s="4"/>
      <c r="F464" s="4"/>
      <c r="G464" s="4"/>
      <c r="H464" s="4"/>
      <c r="I464" s="4"/>
      <c r="J464" s="4"/>
      <c r="K464" s="4"/>
      <c r="L464" s="4"/>
      <c r="M464" s="4"/>
      <c r="N464" s="4"/>
    </row>
    <row r="465" spans="2:14" ht="13">
      <c r="B465" s="4"/>
      <c r="C465" s="4"/>
      <c r="D465" s="4"/>
      <c r="E465" s="4"/>
      <c r="F465" s="4"/>
      <c r="G465" s="4"/>
      <c r="H465" s="4"/>
      <c r="I465" s="4"/>
      <c r="J465" s="4"/>
      <c r="K465" s="4"/>
      <c r="L465" s="4"/>
      <c r="M465" s="4"/>
      <c r="N465" s="4"/>
    </row>
    <row r="466" spans="2:14" ht="13">
      <c r="B466" s="4"/>
      <c r="C466" s="4"/>
      <c r="D466" s="4"/>
      <c r="E466" s="4"/>
      <c r="F466" s="4"/>
      <c r="G466" s="4"/>
      <c r="H466" s="4"/>
      <c r="I466" s="4"/>
      <c r="J466" s="4"/>
      <c r="K466" s="4"/>
      <c r="L466" s="4"/>
      <c r="M466" s="4"/>
      <c r="N466" s="4"/>
    </row>
    <row r="467" spans="2:14" ht="13">
      <c r="B467" s="4"/>
      <c r="C467" s="4"/>
      <c r="D467" s="4"/>
      <c r="E467" s="4"/>
      <c r="F467" s="4"/>
      <c r="G467" s="4"/>
      <c r="H467" s="4"/>
      <c r="I467" s="4"/>
      <c r="J467" s="4"/>
      <c r="K467" s="4"/>
      <c r="L467" s="4"/>
      <c r="M467" s="4"/>
      <c r="N467" s="4"/>
    </row>
    <row r="468" spans="2:14" ht="13">
      <c r="B468" s="4"/>
      <c r="C468" s="4"/>
      <c r="D468" s="4"/>
      <c r="E468" s="4"/>
      <c r="F468" s="4"/>
      <c r="G468" s="4"/>
      <c r="H468" s="4"/>
      <c r="I468" s="4"/>
      <c r="J468" s="4"/>
      <c r="K468" s="4"/>
      <c r="L468" s="4"/>
      <c r="M468" s="4"/>
      <c r="N468" s="4"/>
    </row>
    <row r="469" spans="2:14" ht="13">
      <c r="B469" s="4"/>
      <c r="C469" s="4"/>
      <c r="D469" s="4"/>
      <c r="E469" s="4"/>
      <c r="F469" s="4"/>
      <c r="G469" s="4"/>
      <c r="H469" s="4"/>
      <c r="I469" s="4"/>
      <c r="J469" s="4"/>
      <c r="K469" s="4"/>
      <c r="L469" s="4"/>
      <c r="M469" s="4"/>
      <c r="N469" s="4"/>
    </row>
    <row r="470" spans="2:14" ht="13">
      <c r="B470" s="4"/>
      <c r="C470" s="4"/>
      <c r="D470" s="4"/>
      <c r="E470" s="4"/>
      <c r="F470" s="4"/>
      <c r="G470" s="4"/>
      <c r="H470" s="4"/>
      <c r="I470" s="4"/>
      <c r="J470" s="4"/>
      <c r="K470" s="4"/>
      <c r="L470" s="4"/>
      <c r="M470" s="4"/>
      <c r="N470" s="4"/>
    </row>
    <row r="471" spans="2:14" ht="13">
      <c r="B471" s="4"/>
      <c r="C471" s="4"/>
      <c r="D471" s="4"/>
      <c r="E471" s="4"/>
      <c r="F471" s="4"/>
      <c r="G471" s="4"/>
      <c r="H471" s="4"/>
      <c r="I471" s="4"/>
      <c r="J471" s="4"/>
      <c r="K471" s="4"/>
      <c r="L471" s="4"/>
      <c r="M471" s="4"/>
      <c r="N471" s="4"/>
    </row>
    <row r="472" spans="2:14" ht="13">
      <c r="B472" s="4"/>
      <c r="C472" s="4"/>
      <c r="D472" s="4"/>
      <c r="E472" s="4"/>
      <c r="F472" s="4"/>
      <c r="G472" s="4"/>
      <c r="H472" s="4"/>
      <c r="I472" s="4"/>
      <c r="J472" s="4"/>
      <c r="K472" s="4"/>
      <c r="L472" s="4"/>
      <c r="M472" s="4"/>
      <c r="N472" s="4"/>
    </row>
    <row r="473" spans="2:14" ht="13">
      <c r="B473" s="4"/>
      <c r="C473" s="4"/>
      <c r="D473" s="4"/>
      <c r="E473" s="4"/>
      <c r="F473" s="4"/>
      <c r="G473" s="4"/>
      <c r="H473" s="4"/>
      <c r="I473" s="4"/>
      <c r="J473" s="4"/>
      <c r="K473" s="4"/>
      <c r="L473" s="4"/>
      <c r="M473" s="4"/>
      <c r="N473" s="4"/>
    </row>
    <row r="474" spans="2:14" ht="13">
      <c r="B474" s="4"/>
      <c r="C474" s="4"/>
      <c r="D474" s="4"/>
      <c r="E474" s="4"/>
      <c r="F474" s="4"/>
      <c r="G474" s="4"/>
      <c r="H474" s="4"/>
      <c r="I474" s="4"/>
      <c r="J474" s="4"/>
      <c r="K474" s="4"/>
      <c r="L474" s="4"/>
      <c r="M474" s="4"/>
      <c r="N474" s="4"/>
    </row>
    <row r="475" spans="2:14" ht="13">
      <c r="B475" s="4"/>
      <c r="C475" s="4"/>
      <c r="D475" s="4"/>
      <c r="E475" s="4"/>
      <c r="F475" s="4"/>
      <c r="G475" s="4"/>
      <c r="H475" s="4"/>
      <c r="I475" s="4"/>
      <c r="J475" s="4"/>
      <c r="K475" s="4"/>
      <c r="L475" s="4"/>
      <c r="M475" s="4"/>
      <c r="N475" s="4"/>
    </row>
    <row r="476" spans="2:14" ht="13">
      <c r="B476" s="4"/>
      <c r="C476" s="4"/>
      <c r="D476" s="4"/>
      <c r="E476" s="4"/>
      <c r="F476" s="4"/>
      <c r="G476" s="4"/>
      <c r="H476" s="4"/>
      <c r="I476" s="4"/>
      <c r="J476" s="4"/>
      <c r="K476" s="4"/>
      <c r="L476" s="4"/>
      <c r="M476" s="4"/>
      <c r="N476" s="4"/>
    </row>
    <row r="477" spans="2:14" ht="13">
      <c r="B477" s="4"/>
      <c r="C477" s="4"/>
      <c r="D477" s="4"/>
      <c r="E477" s="4"/>
      <c r="F477" s="4"/>
      <c r="G477" s="4"/>
      <c r="H477" s="4"/>
      <c r="I477" s="4"/>
      <c r="J477" s="4"/>
      <c r="K477" s="4"/>
      <c r="L477" s="4"/>
      <c r="M477" s="4"/>
      <c r="N477" s="4"/>
    </row>
    <row r="478" spans="2:14" ht="13">
      <c r="B478" s="4"/>
      <c r="C478" s="4"/>
      <c r="D478" s="4"/>
      <c r="E478" s="4"/>
      <c r="F478" s="4"/>
      <c r="G478" s="4"/>
      <c r="H478" s="4"/>
      <c r="I478" s="4"/>
      <c r="J478" s="4"/>
      <c r="K478" s="4"/>
      <c r="L478" s="4"/>
      <c r="M478" s="4"/>
      <c r="N478" s="4"/>
    </row>
    <row r="479" spans="2:14" ht="13">
      <c r="B479" s="4"/>
      <c r="C479" s="4"/>
      <c r="D479" s="4"/>
      <c r="E479" s="4"/>
      <c r="F479" s="4"/>
      <c r="G479" s="4"/>
      <c r="H479" s="4"/>
      <c r="I479" s="4"/>
      <c r="J479" s="4"/>
      <c r="K479" s="4"/>
      <c r="L479" s="4"/>
      <c r="M479" s="4"/>
      <c r="N479" s="4"/>
    </row>
    <row r="480" spans="2:14" ht="13">
      <c r="B480" s="4"/>
      <c r="C480" s="4"/>
      <c r="D480" s="4"/>
      <c r="E480" s="4"/>
      <c r="F480" s="4"/>
      <c r="G480" s="4"/>
      <c r="H480" s="4"/>
      <c r="I480" s="4"/>
      <c r="J480" s="4"/>
      <c r="K480" s="4"/>
      <c r="L480" s="4"/>
      <c r="M480" s="4"/>
      <c r="N480" s="4"/>
    </row>
    <row r="481" spans="2:14" ht="13">
      <c r="B481" s="4"/>
      <c r="C481" s="4"/>
      <c r="D481" s="4"/>
      <c r="E481" s="4"/>
      <c r="F481" s="4"/>
      <c r="G481" s="4"/>
      <c r="H481" s="4"/>
      <c r="I481" s="4"/>
      <c r="J481" s="4"/>
      <c r="K481" s="4"/>
      <c r="L481" s="4"/>
      <c r="M481" s="4"/>
      <c r="N481" s="4"/>
    </row>
    <row r="482" spans="2:14" ht="13">
      <c r="B482" s="4"/>
      <c r="C482" s="4"/>
      <c r="D482" s="4"/>
      <c r="E482" s="4"/>
      <c r="F482" s="4"/>
      <c r="G482" s="4"/>
      <c r="H482" s="4"/>
      <c r="I482" s="4"/>
      <c r="J482" s="4"/>
      <c r="K482" s="4"/>
      <c r="L482" s="4"/>
      <c r="M482" s="4"/>
      <c r="N482" s="4"/>
    </row>
    <row r="483" spans="2:14" ht="13">
      <c r="B483" s="4"/>
      <c r="C483" s="4"/>
      <c r="D483" s="4"/>
      <c r="E483" s="4"/>
      <c r="F483" s="4"/>
      <c r="G483" s="4"/>
      <c r="H483" s="4"/>
      <c r="I483" s="4"/>
      <c r="J483" s="4"/>
      <c r="K483" s="4"/>
      <c r="L483" s="4"/>
      <c r="M483" s="4"/>
      <c r="N483" s="4"/>
    </row>
    <row r="484" spans="2:14" ht="13">
      <c r="B484" s="4"/>
      <c r="C484" s="4"/>
      <c r="D484" s="4"/>
      <c r="E484" s="4"/>
      <c r="F484" s="4"/>
      <c r="G484" s="4"/>
      <c r="H484" s="4"/>
      <c r="I484" s="4"/>
      <c r="J484" s="4"/>
      <c r="K484" s="4"/>
      <c r="L484" s="4"/>
      <c r="M484" s="4"/>
      <c r="N484" s="4"/>
    </row>
    <row r="485" spans="2:14" ht="13">
      <c r="B485" s="4"/>
      <c r="C485" s="4"/>
      <c r="D485" s="4"/>
      <c r="E485" s="4"/>
      <c r="F485" s="4"/>
      <c r="G485" s="4"/>
      <c r="H485" s="4"/>
      <c r="I485" s="4"/>
      <c r="J485" s="4"/>
      <c r="K485" s="4"/>
      <c r="L485" s="4"/>
      <c r="M485" s="4"/>
      <c r="N485" s="4"/>
    </row>
    <row r="486" spans="2:14" ht="13">
      <c r="B486" s="4"/>
      <c r="C486" s="4"/>
      <c r="D486" s="4"/>
      <c r="E486" s="4"/>
      <c r="F486" s="4"/>
      <c r="G486" s="4"/>
      <c r="H486" s="4"/>
      <c r="I486" s="4"/>
      <c r="J486" s="4"/>
      <c r="K486" s="4"/>
      <c r="L486" s="4"/>
      <c r="M486" s="4"/>
      <c r="N486" s="4"/>
    </row>
    <row r="487" spans="2:14" ht="13">
      <c r="B487" s="4"/>
      <c r="C487" s="4"/>
      <c r="D487" s="4"/>
      <c r="E487" s="4"/>
      <c r="F487" s="4"/>
      <c r="G487" s="4"/>
      <c r="H487" s="4"/>
      <c r="I487" s="4"/>
      <c r="J487" s="4"/>
      <c r="K487" s="4"/>
      <c r="L487" s="4"/>
      <c r="M487" s="4"/>
      <c r="N487" s="4"/>
    </row>
    <row r="488" spans="2:14" ht="13">
      <c r="B488" s="4"/>
      <c r="C488" s="4"/>
      <c r="D488" s="4"/>
      <c r="E488" s="4"/>
      <c r="F488" s="4"/>
      <c r="G488" s="4"/>
      <c r="H488" s="4"/>
      <c r="I488" s="4"/>
      <c r="J488" s="4"/>
      <c r="K488" s="4"/>
      <c r="L488" s="4"/>
      <c r="M488" s="4"/>
      <c r="N488" s="4"/>
    </row>
    <row r="489" spans="2:14" ht="13">
      <c r="B489" s="4"/>
      <c r="C489" s="4"/>
      <c r="D489" s="4"/>
      <c r="E489" s="4"/>
      <c r="F489" s="4"/>
      <c r="G489" s="4"/>
      <c r="H489" s="4"/>
      <c r="I489" s="4"/>
      <c r="J489" s="4"/>
      <c r="K489" s="4"/>
      <c r="L489" s="4"/>
      <c r="M489" s="4"/>
      <c r="N489" s="4"/>
    </row>
    <row r="490" spans="2:14" ht="13">
      <c r="B490" s="4"/>
      <c r="C490" s="4"/>
      <c r="D490" s="4"/>
      <c r="E490" s="4"/>
      <c r="F490" s="4"/>
      <c r="G490" s="4"/>
      <c r="H490" s="4"/>
      <c r="I490" s="4"/>
      <c r="J490" s="4"/>
      <c r="K490" s="4"/>
      <c r="L490" s="4"/>
      <c r="M490" s="4"/>
      <c r="N490" s="4"/>
    </row>
    <row r="491" spans="2:14" ht="13">
      <c r="B491" s="4"/>
      <c r="C491" s="4"/>
      <c r="D491" s="4"/>
      <c r="E491" s="4"/>
      <c r="F491" s="4"/>
      <c r="G491" s="4"/>
      <c r="H491" s="4"/>
      <c r="I491" s="4"/>
      <c r="J491" s="4"/>
      <c r="K491" s="4"/>
      <c r="L491" s="4"/>
      <c r="M491" s="4"/>
      <c r="N491" s="4"/>
    </row>
    <row r="492" spans="2:14" ht="13">
      <c r="B492" s="4"/>
      <c r="C492" s="4"/>
      <c r="D492" s="4"/>
      <c r="E492" s="4"/>
      <c r="F492" s="4"/>
      <c r="G492" s="4"/>
      <c r="H492" s="4"/>
      <c r="I492" s="4"/>
      <c r="J492" s="4"/>
      <c r="K492" s="4"/>
      <c r="L492" s="4"/>
      <c r="M492" s="4"/>
      <c r="N492" s="4"/>
    </row>
    <row r="493" spans="2:14" ht="13">
      <c r="B493" s="4"/>
      <c r="C493" s="4"/>
      <c r="D493" s="4"/>
      <c r="E493" s="4"/>
      <c r="F493" s="4"/>
      <c r="G493" s="4"/>
      <c r="H493" s="4"/>
      <c r="I493" s="4"/>
      <c r="J493" s="4"/>
      <c r="K493" s="4"/>
      <c r="L493" s="4"/>
      <c r="M493" s="4"/>
      <c r="N493" s="4"/>
    </row>
    <row r="494" spans="2:14" ht="13">
      <c r="B494" s="4"/>
      <c r="C494" s="4"/>
      <c r="D494" s="4"/>
      <c r="E494" s="4"/>
      <c r="F494" s="4"/>
      <c r="G494" s="4"/>
      <c r="H494" s="4"/>
      <c r="I494" s="4"/>
      <c r="J494" s="4"/>
      <c r="K494" s="4"/>
      <c r="L494" s="4"/>
      <c r="M494" s="4"/>
      <c r="N494" s="4"/>
    </row>
    <row r="495" spans="2:14" ht="13">
      <c r="B495" s="4"/>
      <c r="C495" s="4"/>
      <c r="D495" s="4"/>
      <c r="E495" s="4"/>
      <c r="F495" s="4"/>
      <c r="G495" s="4"/>
      <c r="H495" s="4"/>
      <c r="I495" s="4"/>
      <c r="J495" s="4"/>
      <c r="K495" s="4"/>
      <c r="L495" s="4"/>
      <c r="M495" s="4"/>
      <c r="N495" s="4"/>
    </row>
    <row r="496" spans="2:14" ht="13">
      <c r="B496" s="4"/>
      <c r="C496" s="4"/>
      <c r="D496" s="4"/>
      <c r="E496" s="4"/>
      <c r="F496" s="4"/>
      <c r="G496" s="4"/>
      <c r="H496" s="4"/>
      <c r="I496" s="4"/>
      <c r="J496" s="4"/>
      <c r="K496" s="4"/>
      <c r="L496" s="4"/>
      <c r="M496" s="4"/>
      <c r="N496" s="4"/>
    </row>
    <row r="497" spans="2:14" ht="13">
      <c r="B497" s="4"/>
      <c r="C497" s="4"/>
      <c r="D497" s="4"/>
      <c r="E497" s="4"/>
      <c r="F497" s="4"/>
      <c r="G497" s="4"/>
      <c r="H497" s="4"/>
      <c r="I497" s="4"/>
      <c r="J497" s="4"/>
      <c r="K497" s="4"/>
      <c r="L497" s="4"/>
      <c r="M497" s="4"/>
      <c r="N497" s="4"/>
    </row>
    <row r="498" spans="2:14" ht="13">
      <c r="B498" s="4"/>
      <c r="C498" s="4"/>
      <c r="D498" s="4"/>
      <c r="E498" s="4"/>
      <c r="F498" s="4"/>
      <c r="G498" s="4"/>
      <c r="H498" s="4"/>
      <c r="I498" s="4"/>
      <c r="J498" s="4"/>
      <c r="K498" s="4"/>
      <c r="L498" s="4"/>
      <c r="M498" s="4"/>
      <c r="N498" s="4"/>
    </row>
    <row r="499" spans="2:14" ht="13">
      <c r="B499" s="4"/>
      <c r="C499" s="4"/>
      <c r="D499" s="4"/>
      <c r="E499" s="4"/>
      <c r="F499" s="4"/>
      <c r="G499" s="4"/>
      <c r="H499" s="4"/>
      <c r="I499" s="4"/>
      <c r="J499" s="4"/>
      <c r="K499" s="4"/>
      <c r="L499" s="4"/>
      <c r="M499" s="4"/>
      <c r="N499" s="4"/>
    </row>
    <row r="500" spans="2:14" ht="13">
      <c r="B500" s="4"/>
      <c r="C500" s="4"/>
      <c r="D500" s="4"/>
      <c r="E500" s="4"/>
      <c r="F500" s="4"/>
      <c r="G500" s="4"/>
      <c r="H500" s="4"/>
      <c r="I500" s="4"/>
      <c r="J500" s="4"/>
      <c r="K500" s="4"/>
      <c r="L500" s="4"/>
      <c r="M500" s="4"/>
      <c r="N500" s="4"/>
    </row>
    <row r="501" spans="2:14" ht="13">
      <c r="B501" s="4"/>
      <c r="C501" s="4"/>
      <c r="D501" s="4"/>
      <c r="E501" s="4"/>
      <c r="F501" s="4"/>
      <c r="G501" s="4"/>
      <c r="H501" s="4"/>
      <c r="I501" s="4"/>
      <c r="J501" s="4"/>
      <c r="K501" s="4"/>
      <c r="L501" s="4"/>
      <c r="M501" s="4"/>
      <c r="N501" s="4"/>
    </row>
    <row r="502" spans="2:14" ht="13">
      <c r="B502" s="4"/>
      <c r="C502" s="4"/>
      <c r="D502" s="4"/>
      <c r="E502" s="4"/>
      <c r="F502" s="4"/>
      <c r="G502" s="4"/>
      <c r="H502" s="4"/>
      <c r="I502" s="4"/>
      <c r="J502" s="4"/>
      <c r="K502" s="4"/>
      <c r="L502" s="4"/>
      <c r="M502" s="4"/>
      <c r="N502" s="4"/>
    </row>
    <row r="503" spans="2:14" ht="13">
      <c r="B503" s="4"/>
      <c r="C503" s="4"/>
      <c r="D503" s="4"/>
      <c r="E503" s="4"/>
      <c r="F503" s="4"/>
      <c r="G503" s="4"/>
      <c r="H503" s="4"/>
      <c r="I503" s="4"/>
      <c r="J503" s="4"/>
      <c r="K503" s="4"/>
      <c r="L503" s="4"/>
      <c r="M503" s="4"/>
      <c r="N503" s="4"/>
    </row>
    <row r="504" spans="2:14" ht="13">
      <c r="B504" s="4"/>
      <c r="C504" s="4"/>
      <c r="D504" s="4"/>
      <c r="E504" s="4"/>
      <c r="F504" s="4"/>
      <c r="G504" s="4"/>
      <c r="H504" s="4"/>
      <c r="I504" s="4"/>
      <c r="J504" s="4"/>
      <c r="K504" s="4"/>
      <c r="L504" s="4"/>
      <c r="M504" s="4"/>
      <c r="N504" s="4"/>
    </row>
    <row r="505" spans="2:14" ht="13">
      <c r="B505" s="4"/>
      <c r="C505" s="4"/>
      <c r="D505" s="4"/>
      <c r="E505" s="4"/>
      <c r="F505" s="4"/>
      <c r="G505" s="4"/>
      <c r="H505" s="4"/>
      <c r="I505" s="4"/>
      <c r="J505" s="4"/>
      <c r="K505" s="4"/>
      <c r="L505" s="4"/>
      <c r="M505" s="4"/>
      <c r="N505" s="4"/>
    </row>
    <row r="506" spans="2:14" ht="13">
      <c r="B506" s="4"/>
      <c r="C506" s="4"/>
      <c r="D506" s="4"/>
      <c r="E506" s="4"/>
      <c r="F506" s="4"/>
      <c r="G506" s="4"/>
      <c r="H506" s="4"/>
      <c r="I506" s="4"/>
      <c r="J506" s="4"/>
      <c r="K506" s="4"/>
      <c r="L506" s="4"/>
      <c r="M506" s="4"/>
      <c r="N506" s="4"/>
    </row>
    <row r="507" spans="2:14" ht="13">
      <c r="B507" s="4"/>
      <c r="C507" s="4"/>
      <c r="D507" s="4"/>
      <c r="E507" s="4"/>
      <c r="F507" s="4"/>
      <c r="G507" s="4"/>
      <c r="H507" s="4"/>
      <c r="I507" s="4"/>
      <c r="J507" s="4"/>
      <c r="K507" s="4"/>
      <c r="L507" s="4"/>
      <c r="M507" s="4"/>
      <c r="N507" s="4"/>
    </row>
    <row r="508" spans="2:14" ht="13">
      <c r="B508" s="4"/>
      <c r="C508" s="4"/>
      <c r="D508" s="4"/>
      <c r="E508" s="4"/>
      <c r="F508" s="4"/>
      <c r="G508" s="4"/>
      <c r="H508" s="4"/>
      <c r="I508" s="4"/>
      <c r="J508" s="4"/>
      <c r="K508" s="4"/>
      <c r="L508" s="4"/>
      <c r="M508" s="4"/>
      <c r="N508" s="4"/>
    </row>
    <row r="509" spans="2:14" ht="13">
      <c r="B509" s="4"/>
      <c r="C509" s="4"/>
      <c r="D509" s="4"/>
      <c r="E509" s="4"/>
      <c r="F509" s="4"/>
      <c r="G509" s="4"/>
      <c r="H509" s="4"/>
      <c r="I509" s="4"/>
      <c r="J509" s="4"/>
      <c r="K509" s="4"/>
      <c r="L509" s="4"/>
      <c r="M509" s="4"/>
      <c r="N509" s="4"/>
    </row>
    <row r="510" spans="2:14" ht="13">
      <c r="B510" s="4"/>
      <c r="C510" s="4"/>
      <c r="D510" s="4"/>
      <c r="E510" s="4"/>
      <c r="F510" s="4"/>
      <c r="G510" s="4"/>
      <c r="H510" s="4"/>
      <c r="I510" s="4"/>
      <c r="J510" s="4"/>
      <c r="K510" s="4"/>
      <c r="L510" s="4"/>
      <c r="M510" s="4"/>
      <c r="N510" s="4"/>
    </row>
    <row r="511" spans="2:14" ht="13">
      <c r="B511" s="4"/>
      <c r="C511" s="4"/>
      <c r="D511" s="4"/>
      <c r="E511" s="4"/>
      <c r="F511" s="4"/>
      <c r="G511" s="4"/>
      <c r="H511" s="4"/>
      <c r="I511" s="4"/>
      <c r="J511" s="4"/>
      <c r="K511" s="4"/>
      <c r="L511" s="4"/>
      <c r="M511" s="4"/>
      <c r="N511" s="4"/>
    </row>
    <row r="512" spans="2:14" ht="13">
      <c r="B512" s="4"/>
      <c r="C512" s="4"/>
      <c r="D512" s="4"/>
      <c r="E512" s="4"/>
      <c r="F512" s="4"/>
      <c r="G512" s="4"/>
      <c r="H512" s="4"/>
      <c r="I512" s="4"/>
      <c r="J512" s="4"/>
      <c r="K512" s="4"/>
      <c r="L512" s="4"/>
      <c r="M512" s="4"/>
      <c r="N512" s="4"/>
    </row>
    <row r="513" spans="2:14" ht="13">
      <c r="B513" s="4"/>
      <c r="C513" s="4"/>
      <c r="D513" s="4"/>
      <c r="E513" s="4"/>
      <c r="F513" s="4"/>
      <c r="G513" s="4"/>
      <c r="H513" s="4"/>
      <c r="I513" s="4"/>
      <c r="J513" s="4"/>
      <c r="K513" s="4"/>
      <c r="L513" s="4"/>
      <c r="M513" s="4"/>
      <c r="N513" s="4"/>
    </row>
    <row r="514" spans="2:14" ht="13">
      <c r="B514" s="4"/>
      <c r="C514" s="4"/>
      <c r="D514" s="4"/>
      <c r="E514" s="4"/>
      <c r="F514" s="4"/>
      <c r="G514" s="4"/>
      <c r="H514" s="4"/>
      <c r="I514" s="4"/>
      <c r="J514" s="4"/>
      <c r="K514" s="4"/>
      <c r="L514" s="4"/>
      <c r="M514" s="4"/>
      <c r="N514" s="4"/>
    </row>
    <row r="515" spans="2:14" ht="13">
      <c r="B515" s="4"/>
      <c r="C515" s="4"/>
      <c r="D515" s="4"/>
      <c r="E515" s="4"/>
      <c r="F515" s="4"/>
      <c r="G515" s="4"/>
      <c r="H515" s="4"/>
      <c r="I515" s="4"/>
      <c r="J515" s="4"/>
      <c r="K515" s="4"/>
      <c r="L515" s="4"/>
      <c r="M515" s="4"/>
      <c r="N515" s="4"/>
    </row>
    <row r="516" spans="2:14" ht="13">
      <c r="B516" s="4"/>
      <c r="C516" s="4"/>
      <c r="D516" s="4"/>
      <c r="E516" s="4"/>
      <c r="F516" s="4"/>
      <c r="G516" s="4"/>
      <c r="H516" s="4"/>
      <c r="I516" s="4"/>
      <c r="J516" s="4"/>
      <c r="K516" s="4"/>
      <c r="L516" s="4"/>
      <c r="M516" s="4"/>
      <c r="N516" s="4"/>
    </row>
    <row r="517" spans="2:14" ht="13">
      <c r="B517" s="4"/>
      <c r="C517" s="4"/>
      <c r="D517" s="4"/>
      <c r="E517" s="4"/>
      <c r="F517" s="4"/>
      <c r="G517" s="4"/>
      <c r="H517" s="4"/>
      <c r="I517" s="4"/>
      <c r="J517" s="4"/>
      <c r="K517" s="4"/>
      <c r="L517" s="4"/>
      <c r="M517" s="4"/>
      <c r="N517" s="4"/>
    </row>
    <row r="518" spans="2:14" ht="13">
      <c r="B518" s="4"/>
      <c r="C518" s="4"/>
      <c r="D518" s="4"/>
      <c r="E518" s="4"/>
      <c r="F518" s="4"/>
      <c r="G518" s="4"/>
      <c r="H518" s="4"/>
      <c r="I518" s="4"/>
      <c r="J518" s="4"/>
      <c r="K518" s="4"/>
      <c r="L518" s="4"/>
      <c r="M518" s="4"/>
      <c r="N518" s="4"/>
    </row>
    <row r="519" spans="2:14" ht="13">
      <c r="B519" s="4"/>
      <c r="C519" s="4"/>
      <c r="D519" s="4"/>
      <c r="E519" s="4"/>
      <c r="F519" s="4"/>
      <c r="G519" s="4"/>
      <c r="H519" s="4"/>
      <c r="I519" s="4"/>
      <c r="J519" s="4"/>
      <c r="K519" s="4"/>
      <c r="L519" s="4"/>
      <c r="M519" s="4"/>
      <c r="N519" s="4"/>
    </row>
    <row r="520" spans="2:14" ht="13">
      <c r="B520" s="4"/>
      <c r="C520" s="4"/>
      <c r="D520" s="4"/>
      <c r="E520" s="4"/>
      <c r="F520" s="4"/>
      <c r="G520" s="4"/>
      <c r="H520" s="4"/>
      <c r="I520" s="4"/>
      <c r="J520" s="4"/>
      <c r="K520" s="4"/>
      <c r="L520" s="4"/>
      <c r="M520" s="4"/>
      <c r="N520" s="4"/>
    </row>
    <row r="521" spans="2:14" ht="13">
      <c r="B521" s="4"/>
      <c r="C521" s="4"/>
      <c r="D521" s="4"/>
      <c r="E521" s="4"/>
      <c r="F521" s="4"/>
      <c r="G521" s="4"/>
      <c r="H521" s="4"/>
      <c r="I521" s="4"/>
      <c r="J521" s="4"/>
      <c r="K521" s="4"/>
      <c r="L521" s="4"/>
      <c r="M521" s="4"/>
      <c r="N521" s="4"/>
    </row>
    <row r="522" spans="2:14" ht="13">
      <c r="B522" s="4"/>
      <c r="C522" s="4"/>
      <c r="D522" s="4"/>
      <c r="E522" s="4"/>
      <c r="F522" s="4"/>
      <c r="G522" s="4"/>
      <c r="H522" s="4"/>
      <c r="I522" s="4"/>
      <c r="J522" s="4"/>
      <c r="K522" s="4"/>
      <c r="L522" s="4"/>
      <c r="M522" s="4"/>
      <c r="N522" s="4"/>
    </row>
    <row r="523" spans="2:14" ht="13">
      <c r="B523" s="4"/>
      <c r="C523" s="4"/>
      <c r="D523" s="4"/>
      <c r="E523" s="4"/>
      <c r="F523" s="4"/>
      <c r="G523" s="4"/>
      <c r="H523" s="4"/>
      <c r="I523" s="4"/>
      <c r="J523" s="4"/>
      <c r="K523" s="4"/>
      <c r="L523" s="4"/>
      <c r="M523" s="4"/>
      <c r="N523" s="4"/>
    </row>
    <row r="524" spans="2:14" ht="13">
      <c r="B524" s="4"/>
      <c r="C524" s="4"/>
      <c r="D524" s="4"/>
      <c r="E524" s="4"/>
      <c r="F524" s="4"/>
      <c r="G524" s="4"/>
      <c r="H524" s="4"/>
      <c r="I524" s="4"/>
      <c r="J524" s="4"/>
      <c r="K524" s="4"/>
      <c r="L524" s="4"/>
      <c r="M524" s="4"/>
      <c r="N524" s="4"/>
    </row>
    <row r="525" spans="2:14" ht="13">
      <c r="B525" s="4"/>
      <c r="C525" s="4"/>
      <c r="D525" s="4"/>
      <c r="E525" s="4"/>
      <c r="F525" s="4"/>
      <c r="G525" s="4"/>
      <c r="H525" s="4"/>
      <c r="I525" s="4"/>
      <c r="J525" s="4"/>
      <c r="K525" s="4"/>
      <c r="L525" s="4"/>
      <c r="M525" s="4"/>
      <c r="N525" s="4"/>
    </row>
    <row r="526" spans="2:14" ht="13">
      <c r="B526" s="4"/>
      <c r="C526" s="4"/>
      <c r="D526" s="4"/>
      <c r="E526" s="4"/>
      <c r="F526" s="4"/>
      <c r="G526" s="4"/>
      <c r="H526" s="4"/>
      <c r="I526" s="4"/>
      <c r="J526" s="4"/>
      <c r="K526" s="4"/>
      <c r="L526" s="4"/>
      <c r="M526" s="4"/>
      <c r="N526" s="4"/>
    </row>
    <row r="527" spans="2:14" ht="13">
      <c r="B527" s="4"/>
      <c r="C527" s="4"/>
      <c r="D527" s="4"/>
      <c r="E527" s="4"/>
      <c r="F527" s="4"/>
      <c r="G527" s="4"/>
      <c r="H527" s="4"/>
      <c r="I527" s="4"/>
      <c r="J527" s="4"/>
      <c r="K527" s="4"/>
      <c r="L527" s="4"/>
      <c r="M527" s="4"/>
      <c r="N527" s="4"/>
    </row>
    <row r="528" spans="2:14" ht="13">
      <c r="B528" s="4"/>
      <c r="C528" s="4"/>
      <c r="D528" s="4"/>
      <c r="E528" s="4"/>
      <c r="F528" s="4"/>
      <c r="G528" s="4"/>
      <c r="H528" s="4"/>
      <c r="I528" s="4"/>
      <c r="J528" s="4"/>
      <c r="K528" s="4"/>
      <c r="L528" s="4"/>
      <c r="M528" s="4"/>
      <c r="N528" s="4"/>
    </row>
    <row r="529" spans="2:14" ht="13">
      <c r="B529" s="4"/>
      <c r="C529" s="4"/>
      <c r="D529" s="4"/>
      <c r="E529" s="4"/>
      <c r="F529" s="4"/>
      <c r="G529" s="4"/>
      <c r="H529" s="4"/>
      <c r="I529" s="4"/>
      <c r="J529" s="4"/>
      <c r="K529" s="4"/>
      <c r="L529" s="4"/>
      <c r="M529" s="4"/>
      <c r="N529" s="4"/>
    </row>
    <row r="530" spans="2:14" ht="13">
      <c r="B530" s="4"/>
      <c r="C530" s="4"/>
      <c r="D530" s="4"/>
      <c r="E530" s="4"/>
      <c r="F530" s="4"/>
      <c r="G530" s="4"/>
      <c r="H530" s="4"/>
      <c r="I530" s="4"/>
      <c r="J530" s="4"/>
      <c r="K530" s="4"/>
      <c r="L530" s="4"/>
      <c r="M530" s="4"/>
      <c r="N530" s="4"/>
    </row>
    <row r="531" spans="2:14" ht="13">
      <c r="B531" s="4"/>
      <c r="C531" s="4"/>
      <c r="D531" s="4"/>
      <c r="E531" s="4"/>
      <c r="F531" s="4"/>
      <c r="G531" s="4"/>
      <c r="H531" s="4"/>
      <c r="I531" s="4"/>
      <c r="J531" s="4"/>
      <c r="K531" s="4"/>
      <c r="L531" s="4"/>
      <c r="M531" s="4"/>
      <c r="N531" s="4"/>
    </row>
    <row r="532" spans="2:14" ht="13">
      <c r="B532" s="4"/>
      <c r="C532" s="4"/>
      <c r="D532" s="4"/>
      <c r="E532" s="4"/>
      <c r="F532" s="4"/>
      <c r="G532" s="4"/>
      <c r="H532" s="4"/>
      <c r="I532" s="4"/>
      <c r="J532" s="4"/>
      <c r="K532" s="4"/>
      <c r="L532" s="4"/>
      <c r="M532" s="4"/>
      <c r="N532" s="4"/>
    </row>
    <row r="533" spans="2:14" ht="13">
      <c r="B533" s="4"/>
      <c r="C533" s="4"/>
      <c r="D533" s="4"/>
      <c r="E533" s="4"/>
      <c r="F533" s="4"/>
      <c r="G533" s="4"/>
      <c r="H533" s="4"/>
      <c r="I533" s="4"/>
      <c r="J533" s="4"/>
      <c r="K533" s="4"/>
      <c r="L533" s="4"/>
      <c r="M533" s="4"/>
      <c r="N533" s="4"/>
    </row>
    <row r="534" spans="2:14" ht="13">
      <c r="B534" s="4"/>
      <c r="C534" s="4"/>
      <c r="D534" s="4"/>
      <c r="E534" s="4"/>
      <c r="F534" s="4"/>
      <c r="G534" s="4"/>
      <c r="H534" s="4"/>
      <c r="I534" s="4"/>
      <c r="J534" s="4"/>
      <c r="K534" s="4"/>
      <c r="L534" s="4"/>
      <c r="M534" s="4"/>
      <c r="N534" s="4"/>
    </row>
    <row r="535" spans="2:14" ht="13">
      <c r="B535" s="4"/>
      <c r="C535" s="4"/>
      <c r="D535" s="4"/>
      <c r="E535" s="4"/>
      <c r="F535" s="4"/>
      <c r="G535" s="4"/>
      <c r="H535" s="4"/>
      <c r="I535" s="4"/>
      <c r="J535" s="4"/>
      <c r="K535" s="4"/>
      <c r="L535" s="4"/>
      <c r="M535" s="4"/>
      <c r="N535" s="4"/>
    </row>
    <row r="536" spans="2:14" ht="13">
      <c r="B536" s="4"/>
      <c r="C536" s="4"/>
      <c r="D536" s="4"/>
      <c r="E536" s="4"/>
      <c r="F536" s="4"/>
      <c r="G536" s="4"/>
      <c r="H536" s="4"/>
      <c r="I536" s="4"/>
      <c r="J536" s="4"/>
      <c r="K536" s="4"/>
      <c r="L536" s="4"/>
      <c r="M536" s="4"/>
      <c r="N536" s="4"/>
    </row>
    <row r="537" spans="2:14" ht="13">
      <c r="B537" s="4"/>
      <c r="C537" s="4"/>
      <c r="D537" s="4"/>
      <c r="E537" s="4"/>
      <c r="F537" s="4"/>
      <c r="G537" s="4"/>
      <c r="H537" s="4"/>
      <c r="I537" s="4"/>
      <c r="J537" s="4"/>
      <c r="K537" s="4"/>
      <c r="L537" s="4"/>
      <c r="M537" s="4"/>
      <c r="N537" s="4"/>
    </row>
    <row r="538" spans="2:14" ht="13">
      <c r="B538" s="4"/>
      <c r="C538" s="4"/>
      <c r="D538" s="4"/>
      <c r="E538" s="4"/>
      <c r="F538" s="4"/>
      <c r="G538" s="4"/>
      <c r="H538" s="4"/>
      <c r="I538" s="4"/>
      <c r="J538" s="4"/>
      <c r="K538" s="4"/>
      <c r="L538" s="4"/>
      <c r="M538" s="4"/>
      <c r="N538" s="4"/>
    </row>
    <row r="539" spans="2:14" ht="13">
      <c r="B539" s="4"/>
      <c r="C539" s="4"/>
      <c r="D539" s="4"/>
      <c r="E539" s="4"/>
      <c r="F539" s="4"/>
      <c r="G539" s="4"/>
      <c r="H539" s="4"/>
      <c r="I539" s="4"/>
      <c r="J539" s="4"/>
      <c r="K539" s="4"/>
      <c r="L539" s="4"/>
      <c r="M539" s="4"/>
      <c r="N539" s="4"/>
    </row>
    <row r="540" spans="2:14" ht="13">
      <c r="B540" s="4"/>
      <c r="C540" s="4"/>
      <c r="D540" s="4"/>
      <c r="E540" s="4"/>
      <c r="F540" s="4"/>
      <c r="G540" s="4"/>
      <c r="H540" s="4"/>
      <c r="I540" s="4"/>
      <c r="J540" s="4"/>
      <c r="K540" s="4"/>
      <c r="L540" s="4"/>
      <c r="M540" s="4"/>
      <c r="N540" s="4"/>
    </row>
    <row r="541" spans="2:14" ht="13">
      <c r="B541" s="4"/>
      <c r="C541" s="4"/>
      <c r="D541" s="4"/>
      <c r="E541" s="4"/>
      <c r="F541" s="4"/>
      <c r="G541" s="4"/>
      <c r="H541" s="4"/>
      <c r="I541" s="4"/>
      <c r="J541" s="4"/>
      <c r="K541" s="4"/>
      <c r="L541" s="4"/>
      <c r="M541" s="4"/>
      <c r="N541" s="4"/>
    </row>
    <row r="542" spans="2:14" ht="13">
      <c r="B542" s="4"/>
      <c r="C542" s="4"/>
      <c r="D542" s="4"/>
      <c r="E542" s="4"/>
      <c r="F542" s="4"/>
      <c r="G542" s="4"/>
      <c r="H542" s="4"/>
      <c r="I542" s="4"/>
      <c r="J542" s="4"/>
      <c r="K542" s="4"/>
      <c r="L542" s="4"/>
      <c r="M542" s="4"/>
      <c r="N542" s="4"/>
    </row>
    <row r="543" spans="2:14" ht="13">
      <c r="B543" s="4"/>
      <c r="C543" s="4"/>
      <c r="D543" s="4"/>
      <c r="E543" s="4"/>
      <c r="F543" s="4"/>
      <c r="G543" s="4"/>
      <c r="H543" s="4"/>
      <c r="I543" s="4"/>
      <c r="J543" s="4"/>
      <c r="K543" s="4"/>
      <c r="L543" s="4"/>
      <c r="M543" s="4"/>
      <c r="N543" s="4"/>
    </row>
    <row r="544" spans="2:14" ht="13">
      <c r="B544" s="4"/>
      <c r="C544" s="4"/>
      <c r="D544" s="4"/>
      <c r="E544" s="4"/>
      <c r="F544" s="4"/>
      <c r="G544" s="4"/>
      <c r="H544" s="4"/>
      <c r="I544" s="4"/>
      <c r="J544" s="4"/>
      <c r="K544" s="4"/>
      <c r="L544" s="4"/>
      <c r="M544" s="4"/>
      <c r="N544" s="4"/>
    </row>
    <row r="545" spans="2:14" ht="13">
      <c r="B545" s="4"/>
      <c r="C545" s="4"/>
      <c r="D545" s="4"/>
      <c r="E545" s="4"/>
      <c r="F545" s="4"/>
      <c r="G545" s="4"/>
      <c r="H545" s="4"/>
      <c r="I545" s="4"/>
      <c r="J545" s="4"/>
      <c r="K545" s="4"/>
      <c r="L545" s="4"/>
      <c r="M545" s="4"/>
      <c r="N545" s="4"/>
    </row>
    <row r="546" spans="2:14" ht="13">
      <c r="B546" s="4"/>
      <c r="C546" s="4"/>
      <c r="D546" s="4"/>
      <c r="E546" s="4"/>
      <c r="F546" s="4"/>
      <c r="G546" s="4"/>
      <c r="H546" s="4"/>
      <c r="I546" s="4"/>
      <c r="J546" s="4"/>
      <c r="K546" s="4"/>
      <c r="L546" s="4"/>
      <c r="M546" s="4"/>
      <c r="N546" s="4"/>
    </row>
    <row r="547" spans="2:14" ht="13">
      <c r="B547" s="4"/>
      <c r="C547" s="4"/>
      <c r="D547" s="4"/>
      <c r="E547" s="4"/>
      <c r="F547" s="4"/>
      <c r="G547" s="4"/>
      <c r="H547" s="4"/>
      <c r="I547" s="4"/>
      <c r="J547" s="4"/>
      <c r="K547" s="4"/>
      <c r="L547" s="4"/>
      <c r="M547" s="4"/>
      <c r="N547" s="4"/>
    </row>
    <row r="548" spans="2:14" ht="13">
      <c r="B548" s="4"/>
      <c r="C548" s="4"/>
      <c r="D548" s="4"/>
      <c r="E548" s="4"/>
      <c r="F548" s="4"/>
      <c r="G548" s="4"/>
      <c r="H548" s="4"/>
      <c r="I548" s="4"/>
      <c r="J548" s="4"/>
      <c r="K548" s="4"/>
      <c r="L548" s="4"/>
      <c r="M548" s="4"/>
      <c r="N548" s="4"/>
    </row>
    <row r="549" spans="2:14" ht="13">
      <c r="B549" s="4"/>
      <c r="C549" s="4"/>
      <c r="D549" s="4"/>
      <c r="E549" s="4"/>
      <c r="F549" s="4"/>
      <c r="G549" s="4"/>
      <c r="H549" s="4"/>
      <c r="I549" s="4"/>
      <c r="J549" s="4"/>
      <c r="K549" s="4"/>
      <c r="L549" s="4"/>
      <c r="M549" s="4"/>
      <c r="N549" s="4"/>
    </row>
    <row r="550" spans="2:14" ht="13">
      <c r="B550" s="4"/>
      <c r="C550" s="4"/>
      <c r="D550" s="4"/>
      <c r="E550" s="4"/>
      <c r="F550" s="4"/>
      <c r="G550" s="4"/>
      <c r="H550" s="4"/>
      <c r="I550" s="4"/>
      <c r="J550" s="4"/>
      <c r="K550" s="4"/>
      <c r="L550" s="4"/>
      <c r="M550" s="4"/>
      <c r="N550" s="4"/>
    </row>
    <row r="551" spans="2:14" ht="13">
      <c r="B551" s="4"/>
      <c r="C551" s="4"/>
      <c r="D551" s="4"/>
      <c r="E551" s="4"/>
      <c r="F551" s="4"/>
      <c r="G551" s="4"/>
      <c r="H551" s="4"/>
      <c r="I551" s="4"/>
      <c r="J551" s="4"/>
      <c r="K551" s="4"/>
      <c r="L551" s="4"/>
      <c r="M551" s="4"/>
      <c r="N551" s="4"/>
    </row>
    <row r="552" spans="2:14" ht="13">
      <c r="B552" s="4"/>
      <c r="C552" s="4"/>
      <c r="D552" s="4"/>
      <c r="E552" s="4"/>
      <c r="F552" s="4"/>
      <c r="G552" s="4"/>
      <c r="H552" s="4"/>
      <c r="I552" s="4"/>
      <c r="J552" s="4"/>
      <c r="K552" s="4"/>
      <c r="L552" s="4"/>
      <c r="M552" s="4"/>
      <c r="N552" s="4"/>
    </row>
    <row r="553" spans="2:14" ht="13">
      <c r="B553" s="4"/>
      <c r="C553" s="4"/>
      <c r="D553" s="4"/>
      <c r="E553" s="4"/>
      <c r="F553" s="4"/>
      <c r="G553" s="4"/>
      <c r="H553" s="4"/>
      <c r="I553" s="4"/>
      <c r="J553" s="4"/>
      <c r="K553" s="4"/>
      <c r="L553" s="4"/>
      <c r="M553" s="4"/>
      <c r="N553" s="4"/>
    </row>
    <row r="554" spans="2:14" ht="13">
      <c r="B554" s="4"/>
      <c r="C554" s="4"/>
      <c r="D554" s="4"/>
      <c r="E554" s="4"/>
      <c r="F554" s="4"/>
      <c r="G554" s="4"/>
      <c r="H554" s="4"/>
      <c r="I554" s="4"/>
      <c r="J554" s="4"/>
      <c r="K554" s="4"/>
      <c r="L554" s="4"/>
      <c r="M554" s="4"/>
      <c r="N554" s="4"/>
    </row>
    <row r="555" spans="2:14" ht="13">
      <c r="B555" s="4"/>
      <c r="C555" s="4"/>
      <c r="D555" s="4"/>
      <c r="E555" s="4"/>
      <c r="F555" s="4"/>
      <c r="G555" s="4"/>
      <c r="H555" s="4"/>
      <c r="I555" s="4"/>
      <c r="J555" s="4"/>
      <c r="K555" s="4"/>
      <c r="L555" s="4"/>
      <c r="M555" s="4"/>
      <c r="N555" s="4"/>
    </row>
    <row r="556" spans="2:14" ht="13">
      <c r="B556" s="4"/>
      <c r="C556" s="4"/>
      <c r="D556" s="4"/>
      <c r="E556" s="4"/>
      <c r="F556" s="4"/>
      <c r="G556" s="4"/>
      <c r="H556" s="4"/>
      <c r="I556" s="4"/>
      <c r="J556" s="4"/>
      <c r="K556" s="4"/>
      <c r="L556" s="4"/>
      <c r="M556" s="4"/>
      <c r="N556" s="4"/>
    </row>
    <row r="557" spans="2:14" ht="13">
      <c r="B557" s="4"/>
      <c r="C557" s="4"/>
      <c r="D557" s="4"/>
      <c r="E557" s="4"/>
      <c r="F557" s="4"/>
      <c r="G557" s="4"/>
      <c r="H557" s="4"/>
      <c r="I557" s="4"/>
      <c r="J557" s="4"/>
      <c r="K557" s="4"/>
      <c r="L557" s="4"/>
      <c r="M557" s="4"/>
      <c r="N557" s="4"/>
    </row>
    <row r="558" spans="2:14" ht="13">
      <c r="B558" s="4"/>
      <c r="C558" s="4"/>
      <c r="D558" s="4"/>
      <c r="E558" s="4"/>
      <c r="F558" s="4"/>
      <c r="G558" s="4"/>
      <c r="H558" s="4"/>
      <c r="I558" s="4"/>
      <c r="J558" s="4"/>
      <c r="K558" s="4"/>
      <c r="L558" s="4"/>
      <c r="M558" s="4"/>
      <c r="N558" s="4"/>
    </row>
    <row r="559" spans="2:14" ht="13">
      <c r="B559" s="4"/>
      <c r="C559" s="4"/>
      <c r="D559" s="4"/>
      <c r="E559" s="4"/>
      <c r="F559" s="4"/>
      <c r="G559" s="4"/>
      <c r="H559" s="4"/>
      <c r="I559" s="4"/>
      <c r="J559" s="4"/>
      <c r="K559" s="4"/>
      <c r="L559" s="4"/>
      <c r="M559" s="4"/>
      <c r="N559" s="4"/>
    </row>
    <row r="560" spans="2:14" ht="13">
      <c r="B560" s="4"/>
      <c r="C560" s="4"/>
      <c r="D560" s="4"/>
      <c r="E560" s="4"/>
      <c r="F560" s="4"/>
      <c r="G560" s="4"/>
      <c r="H560" s="4"/>
      <c r="I560" s="4"/>
      <c r="J560" s="4"/>
      <c r="K560" s="4"/>
      <c r="L560" s="4"/>
      <c r="M560" s="4"/>
      <c r="N560" s="4"/>
    </row>
    <row r="561" spans="2:14" ht="13">
      <c r="B561" s="4"/>
      <c r="C561" s="4"/>
      <c r="D561" s="4"/>
      <c r="E561" s="4"/>
      <c r="F561" s="4"/>
      <c r="G561" s="4"/>
      <c r="H561" s="4"/>
      <c r="I561" s="4"/>
      <c r="J561" s="4"/>
      <c r="K561" s="4"/>
      <c r="L561" s="4"/>
      <c r="M561" s="4"/>
      <c r="N561" s="4"/>
    </row>
    <row r="562" spans="2:14" ht="13">
      <c r="B562" s="4"/>
      <c r="C562" s="4"/>
      <c r="D562" s="4"/>
      <c r="E562" s="4"/>
      <c r="F562" s="4"/>
      <c r="G562" s="4"/>
      <c r="H562" s="4"/>
      <c r="I562" s="4"/>
      <c r="J562" s="4"/>
      <c r="K562" s="4"/>
      <c r="L562" s="4"/>
      <c r="M562" s="4"/>
      <c r="N562" s="4"/>
    </row>
    <row r="563" spans="2:14" ht="13">
      <c r="B563" s="4"/>
      <c r="C563" s="4"/>
      <c r="D563" s="4"/>
      <c r="E563" s="4"/>
      <c r="F563" s="4"/>
      <c r="G563" s="4"/>
      <c r="H563" s="4"/>
      <c r="I563" s="4"/>
      <c r="J563" s="4"/>
      <c r="K563" s="4"/>
      <c r="L563" s="4"/>
      <c r="M563" s="4"/>
      <c r="N563" s="4"/>
    </row>
    <row r="564" spans="2:14" ht="13">
      <c r="B564" s="4"/>
      <c r="C564" s="4"/>
      <c r="D564" s="4"/>
      <c r="E564" s="4"/>
      <c r="F564" s="4"/>
      <c r="G564" s="4"/>
      <c r="H564" s="4"/>
      <c r="I564" s="4"/>
      <c r="J564" s="4"/>
      <c r="K564" s="4"/>
      <c r="L564" s="4"/>
      <c r="M564" s="4"/>
      <c r="N564" s="4"/>
    </row>
    <row r="565" spans="2:14" ht="13">
      <c r="B565" s="4"/>
      <c r="C565" s="4"/>
      <c r="D565" s="4"/>
      <c r="E565" s="4"/>
      <c r="F565" s="4"/>
      <c r="G565" s="4"/>
      <c r="H565" s="4"/>
      <c r="I565" s="4"/>
      <c r="J565" s="4"/>
      <c r="K565" s="4"/>
      <c r="L565" s="4"/>
      <c r="M565" s="4"/>
      <c r="N565" s="4"/>
    </row>
    <row r="566" spans="2:14" ht="13">
      <c r="B566" s="4"/>
      <c r="C566" s="4"/>
      <c r="D566" s="4"/>
      <c r="E566" s="4"/>
      <c r="F566" s="4"/>
      <c r="G566" s="4"/>
      <c r="H566" s="4"/>
      <c r="I566" s="4"/>
      <c r="J566" s="4"/>
      <c r="K566" s="4"/>
      <c r="L566" s="4"/>
      <c r="M566" s="4"/>
      <c r="N566" s="4"/>
    </row>
    <row r="567" spans="2:14" ht="13">
      <c r="B567" s="4"/>
      <c r="C567" s="4"/>
      <c r="D567" s="4"/>
      <c r="E567" s="4"/>
      <c r="F567" s="4"/>
      <c r="G567" s="4"/>
      <c r="H567" s="4"/>
      <c r="I567" s="4"/>
      <c r="J567" s="4"/>
      <c r="K567" s="4"/>
      <c r="L567" s="4"/>
      <c r="M567" s="4"/>
      <c r="N567" s="4"/>
    </row>
    <row r="568" spans="2:14" ht="13">
      <c r="B568" s="4"/>
      <c r="C568" s="4"/>
      <c r="D568" s="4"/>
      <c r="E568" s="4"/>
      <c r="F568" s="4"/>
      <c r="G568" s="4"/>
      <c r="H568" s="4"/>
      <c r="I568" s="4"/>
      <c r="J568" s="4"/>
      <c r="K568" s="4"/>
      <c r="L568" s="4"/>
      <c r="M568" s="4"/>
      <c r="N568" s="4"/>
    </row>
    <row r="569" spans="2:14" ht="13">
      <c r="B569" s="4"/>
      <c r="C569" s="4"/>
      <c r="D569" s="4"/>
      <c r="E569" s="4"/>
      <c r="F569" s="4"/>
      <c r="G569" s="4"/>
      <c r="H569" s="4"/>
      <c r="I569" s="4"/>
      <c r="J569" s="4"/>
      <c r="K569" s="4"/>
      <c r="L569" s="4"/>
      <c r="M569" s="4"/>
      <c r="N569" s="4"/>
    </row>
    <row r="570" spans="2:14" ht="13">
      <c r="B570" s="4"/>
      <c r="C570" s="4"/>
      <c r="D570" s="4"/>
      <c r="E570" s="4"/>
      <c r="F570" s="4"/>
      <c r="G570" s="4"/>
      <c r="H570" s="4"/>
      <c r="I570" s="4"/>
      <c r="J570" s="4"/>
      <c r="K570" s="4"/>
      <c r="L570" s="4"/>
      <c r="M570" s="4"/>
      <c r="N570" s="4"/>
    </row>
    <row r="571" spans="2:14" ht="13">
      <c r="B571" s="4"/>
      <c r="C571" s="4"/>
      <c r="D571" s="4"/>
      <c r="E571" s="4"/>
      <c r="F571" s="4"/>
      <c r="G571" s="4"/>
      <c r="H571" s="4"/>
      <c r="I571" s="4"/>
      <c r="J571" s="4"/>
      <c r="K571" s="4"/>
      <c r="L571" s="4"/>
      <c r="M571" s="4"/>
      <c r="N571" s="4"/>
    </row>
    <row r="572" spans="2:14" ht="13">
      <c r="B572" s="4"/>
      <c r="C572" s="4"/>
      <c r="D572" s="4"/>
      <c r="E572" s="4"/>
      <c r="F572" s="4"/>
      <c r="G572" s="4"/>
      <c r="H572" s="4"/>
      <c r="I572" s="4"/>
      <c r="J572" s="4"/>
      <c r="K572" s="4"/>
      <c r="L572" s="4"/>
      <c r="M572" s="4"/>
      <c r="N572" s="4"/>
    </row>
    <row r="573" spans="2:14" ht="13">
      <c r="B573" s="4"/>
      <c r="C573" s="4"/>
      <c r="D573" s="4"/>
      <c r="E573" s="4"/>
      <c r="F573" s="4"/>
      <c r="G573" s="4"/>
      <c r="H573" s="4"/>
      <c r="I573" s="4"/>
      <c r="J573" s="4"/>
      <c r="K573" s="4"/>
      <c r="L573" s="4"/>
      <c r="M573" s="4"/>
      <c r="N573" s="4"/>
    </row>
    <row r="574" spans="2:14" ht="13">
      <c r="B574" s="4"/>
      <c r="C574" s="4"/>
      <c r="D574" s="4"/>
      <c r="E574" s="4"/>
      <c r="F574" s="4"/>
      <c r="G574" s="4"/>
      <c r="H574" s="4"/>
      <c r="I574" s="4"/>
      <c r="J574" s="4"/>
      <c r="K574" s="4"/>
      <c r="L574" s="4"/>
      <c r="M574" s="4"/>
      <c r="N574" s="4"/>
    </row>
    <row r="575" spans="2:14" ht="13">
      <c r="B575" s="4"/>
      <c r="C575" s="4"/>
      <c r="D575" s="4"/>
      <c r="E575" s="4"/>
      <c r="F575" s="4"/>
      <c r="G575" s="4"/>
      <c r="H575" s="4"/>
      <c r="I575" s="4"/>
      <c r="J575" s="4"/>
      <c r="K575" s="4"/>
      <c r="L575" s="4"/>
      <c r="M575" s="4"/>
      <c r="N575" s="4"/>
    </row>
    <row r="576" spans="2:14" ht="13">
      <c r="B576" s="4"/>
      <c r="C576" s="4"/>
      <c r="D576" s="4"/>
      <c r="E576" s="4"/>
      <c r="F576" s="4"/>
      <c r="G576" s="4"/>
      <c r="H576" s="4"/>
      <c r="I576" s="4"/>
      <c r="J576" s="4"/>
      <c r="K576" s="4"/>
      <c r="L576" s="4"/>
      <c r="M576" s="4"/>
      <c r="N576" s="4"/>
    </row>
    <row r="577" spans="2:14" ht="13">
      <c r="B577" s="4"/>
      <c r="C577" s="4"/>
      <c r="D577" s="4"/>
      <c r="E577" s="4"/>
      <c r="F577" s="4"/>
      <c r="G577" s="4"/>
      <c r="H577" s="4"/>
      <c r="I577" s="4"/>
      <c r="J577" s="4"/>
      <c r="K577" s="4"/>
      <c r="L577" s="4"/>
      <c r="M577" s="4"/>
      <c r="N577" s="4"/>
    </row>
    <row r="578" spans="2:14" ht="13">
      <c r="B578" s="4"/>
      <c r="C578" s="4"/>
      <c r="D578" s="4"/>
      <c r="E578" s="4"/>
      <c r="F578" s="4"/>
      <c r="G578" s="4"/>
      <c r="H578" s="4"/>
      <c r="I578" s="4"/>
      <c r="J578" s="4"/>
      <c r="K578" s="4"/>
      <c r="L578" s="4"/>
      <c r="M578" s="4"/>
      <c r="N578" s="4"/>
    </row>
    <row r="579" spans="2:14" ht="13">
      <c r="B579" s="4"/>
      <c r="C579" s="4"/>
      <c r="D579" s="4"/>
      <c r="E579" s="4"/>
      <c r="F579" s="4"/>
      <c r="G579" s="4"/>
      <c r="H579" s="4"/>
      <c r="I579" s="4"/>
      <c r="J579" s="4"/>
      <c r="K579" s="4"/>
      <c r="L579" s="4"/>
      <c r="M579" s="4"/>
      <c r="N579" s="4"/>
    </row>
    <row r="580" spans="2:14" ht="13">
      <c r="B580" s="4"/>
      <c r="C580" s="4"/>
      <c r="D580" s="4"/>
      <c r="E580" s="4"/>
      <c r="F580" s="4"/>
      <c r="G580" s="4"/>
      <c r="H580" s="4"/>
      <c r="I580" s="4"/>
      <c r="J580" s="4"/>
      <c r="K580" s="4"/>
      <c r="L580" s="4"/>
      <c r="M580" s="4"/>
      <c r="N580" s="4"/>
    </row>
    <row r="581" spans="2:14" ht="13">
      <c r="B581" s="4"/>
      <c r="C581" s="4"/>
      <c r="D581" s="4"/>
      <c r="E581" s="4"/>
      <c r="F581" s="4"/>
      <c r="G581" s="4"/>
      <c r="H581" s="4"/>
      <c r="I581" s="4"/>
      <c r="J581" s="4"/>
      <c r="K581" s="4"/>
      <c r="L581" s="4"/>
      <c r="M581" s="4"/>
      <c r="N581" s="4"/>
    </row>
    <row r="582" spans="2:14" ht="13">
      <c r="B582" s="4"/>
      <c r="C582" s="4"/>
      <c r="D582" s="4"/>
      <c r="E582" s="4"/>
      <c r="F582" s="4"/>
      <c r="G582" s="4"/>
      <c r="H582" s="4"/>
      <c r="I582" s="4"/>
      <c r="J582" s="4"/>
      <c r="K582" s="4"/>
      <c r="L582" s="4"/>
      <c r="M582" s="4"/>
      <c r="N582" s="4"/>
    </row>
    <row r="583" spans="2:14" ht="13">
      <c r="B583" s="4"/>
      <c r="C583" s="4"/>
      <c r="D583" s="4"/>
      <c r="E583" s="4"/>
      <c r="F583" s="4"/>
      <c r="G583" s="4"/>
      <c r="H583" s="4"/>
      <c r="I583" s="4"/>
      <c r="J583" s="4"/>
      <c r="K583" s="4"/>
      <c r="L583" s="4"/>
      <c r="M583" s="4"/>
      <c r="N583" s="4"/>
    </row>
    <row r="584" spans="2:14" ht="13">
      <c r="B584" s="4"/>
      <c r="C584" s="4"/>
      <c r="D584" s="4"/>
      <c r="E584" s="4"/>
      <c r="F584" s="4"/>
      <c r="G584" s="4"/>
      <c r="H584" s="4"/>
      <c r="I584" s="4"/>
      <c r="J584" s="4"/>
      <c r="K584" s="4"/>
      <c r="L584" s="4"/>
      <c r="M584" s="4"/>
      <c r="N584" s="4"/>
    </row>
    <row r="585" spans="2:14" ht="13">
      <c r="B585" s="4"/>
      <c r="C585" s="4"/>
      <c r="D585" s="4"/>
      <c r="E585" s="4"/>
      <c r="F585" s="4"/>
      <c r="G585" s="4"/>
      <c r="H585" s="4"/>
      <c r="I585" s="4"/>
      <c r="J585" s="4"/>
      <c r="K585" s="4"/>
      <c r="L585" s="4"/>
      <c r="M585" s="4"/>
      <c r="N585" s="4"/>
    </row>
    <row r="586" spans="2:14" ht="13">
      <c r="B586" s="4"/>
      <c r="C586" s="4"/>
      <c r="D586" s="4"/>
      <c r="E586" s="4"/>
      <c r="F586" s="4"/>
      <c r="G586" s="4"/>
      <c r="H586" s="4"/>
      <c r="I586" s="4"/>
      <c r="J586" s="4"/>
      <c r="K586" s="4"/>
      <c r="L586" s="4"/>
      <c r="M586" s="4"/>
      <c r="N586" s="4"/>
    </row>
    <row r="587" spans="2:14" ht="13">
      <c r="B587" s="4"/>
      <c r="C587" s="4"/>
      <c r="D587" s="4"/>
      <c r="E587" s="4"/>
      <c r="F587" s="4"/>
      <c r="G587" s="4"/>
      <c r="H587" s="4"/>
      <c r="I587" s="4"/>
      <c r="J587" s="4"/>
      <c r="K587" s="4"/>
      <c r="L587" s="4"/>
      <c r="M587" s="4"/>
      <c r="N587" s="4"/>
    </row>
    <row r="588" spans="2:14" ht="13">
      <c r="B588" s="4"/>
      <c r="C588" s="4"/>
      <c r="D588" s="4"/>
      <c r="E588" s="4"/>
      <c r="F588" s="4"/>
      <c r="G588" s="4"/>
      <c r="H588" s="4"/>
      <c r="I588" s="4"/>
      <c r="J588" s="4"/>
      <c r="K588" s="4"/>
      <c r="L588" s="4"/>
      <c r="M588" s="4"/>
      <c r="N588" s="4"/>
    </row>
    <row r="589" spans="2:14" ht="13">
      <c r="B589" s="4"/>
      <c r="C589" s="4"/>
      <c r="D589" s="4"/>
      <c r="E589" s="4"/>
      <c r="F589" s="4"/>
      <c r="G589" s="4"/>
      <c r="H589" s="4"/>
      <c r="I589" s="4"/>
      <c r="J589" s="4"/>
      <c r="K589" s="4"/>
      <c r="L589" s="4"/>
      <c r="M589" s="4"/>
      <c r="N589" s="4"/>
    </row>
    <row r="590" spans="2:14" ht="13">
      <c r="B590" s="4"/>
      <c r="C590" s="4"/>
      <c r="D590" s="4"/>
      <c r="E590" s="4"/>
      <c r="F590" s="4"/>
      <c r="G590" s="4"/>
      <c r="H590" s="4"/>
      <c r="I590" s="4"/>
      <c r="J590" s="4"/>
      <c r="K590" s="4"/>
      <c r="L590" s="4"/>
      <c r="M590" s="4"/>
      <c r="N590" s="4"/>
    </row>
    <row r="591" spans="2:14" ht="13">
      <c r="B591" s="4"/>
      <c r="C591" s="4"/>
      <c r="D591" s="4"/>
      <c r="E591" s="4"/>
      <c r="F591" s="4"/>
      <c r="G591" s="4"/>
      <c r="H591" s="4"/>
      <c r="I591" s="4"/>
      <c r="J591" s="4"/>
      <c r="K591" s="4"/>
      <c r="L591" s="4"/>
      <c r="M591" s="4"/>
      <c r="N591" s="4"/>
    </row>
    <row r="592" spans="2:14" ht="13">
      <c r="B592" s="4"/>
      <c r="C592" s="4"/>
      <c r="D592" s="4"/>
      <c r="E592" s="4"/>
      <c r="F592" s="4"/>
      <c r="G592" s="4"/>
      <c r="H592" s="4"/>
      <c r="I592" s="4"/>
      <c r="J592" s="4"/>
      <c r="K592" s="4"/>
      <c r="L592" s="4"/>
      <c r="M592" s="4"/>
      <c r="N592" s="4"/>
    </row>
    <row r="593" spans="2:14" ht="13">
      <c r="B593" s="4"/>
      <c r="C593" s="4"/>
      <c r="D593" s="4"/>
      <c r="E593" s="4"/>
      <c r="F593" s="4"/>
      <c r="G593" s="4"/>
      <c r="H593" s="4"/>
      <c r="I593" s="4"/>
      <c r="J593" s="4"/>
      <c r="K593" s="4"/>
      <c r="L593" s="4"/>
      <c r="M593" s="4"/>
      <c r="N593" s="4"/>
    </row>
    <row r="594" spans="2:14" ht="13">
      <c r="B594" s="4"/>
      <c r="C594" s="4"/>
      <c r="D594" s="4"/>
      <c r="E594" s="4"/>
      <c r="F594" s="4"/>
      <c r="G594" s="4"/>
      <c r="H594" s="4"/>
      <c r="I594" s="4"/>
      <c r="J594" s="4"/>
      <c r="K594" s="4"/>
      <c r="L594" s="4"/>
      <c r="M594" s="4"/>
      <c r="N594" s="4"/>
    </row>
    <row r="595" spans="2:14" ht="13">
      <c r="B595" s="4"/>
      <c r="C595" s="4"/>
      <c r="D595" s="4"/>
      <c r="E595" s="4"/>
      <c r="F595" s="4"/>
      <c r="G595" s="4"/>
      <c r="H595" s="4"/>
      <c r="I595" s="4"/>
      <c r="J595" s="4"/>
      <c r="K595" s="4"/>
      <c r="L595" s="4"/>
      <c r="M595" s="4"/>
      <c r="N595" s="4"/>
    </row>
    <row r="596" spans="2:14" ht="13">
      <c r="B596" s="4"/>
      <c r="C596" s="4"/>
      <c r="D596" s="4"/>
      <c r="E596" s="4"/>
      <c r="F596" s="4"/>
      <c r="G596" s="4"/>
      <c r="H596" s="4"/>
      <c r="I596" s="4"/>
      <c r="J596" s="4"/>
      <c r="K596" s="4"/>
      <c r="L596" s="4"/>
      <c r="M596" s="4"/>
      <c r="N596" s="4"/>
    </row>
    <row r="597" spans="2:14" ht="13">
      <c r="B597" s="4"/>
      <c r="C597" s="4"/>
      <c r="D597" s="4"/>
      <c r="E597" s="4"/>
      <c r="F597" s="4"/>
      <c r="G597" s="4"/>
      <c r="H597" s="4"/>
      <c r="I597" s="4"/>
      <c r="J597" s="4"/>
      <c r="K597" s="4"/>
      <c r="L597" s="4"/>
      <c r="M597" s="4"/>
      <c r="N597" s="4"/>
    </row>
    <row r="598" spans="2:14" ht="13">
      <c r="B598" s="4"/>
      <c r="C598" s="4"/>
      <c r="D598" s="4"/>
      <c r="E598" s="4"/>
      <c r="F598" s="4"/>
      <c r="G598" s="4"/>
      <c r="H598" s="4"/>
      <c r="I598" s="4"/>
      <c r="J598" s="4"/>
      <c r="K598" s="4"/>
      <c r="L598" s="4"/>
      <c r="M598" s="4"/>
      <c r="N598" s="4"/>
    </row>
    <row r="599" spans="2:14" ht="13">
      <c r="B599" s="4"/>
      <c r="C599" s="4"/>
      <c r="D599" s="4"/>
      <c r="E599" s="4"/>
      <c r="F599" s="4"/>
      <c r="G599" s="4"/>
      <c r="H599" s="4"/>
      <c r="I599" s="4"/>
      <c r="J599" s="4"/>
      <c r="K599" s="4"/>
      <c r="L599" s="4"/>
      <c r="M599" s="4"/>
      <c r="N599" s="4"/>
    </row>
    <row r="600" spans="2:14" ht="13">
      <c r="B600" s="4"/>
      <c r="C600" s="4"/>
      <c r="D600" s="4"/>
      <c r="E600" s="4"/>
      <c r="F600" s="4"/>
      <c r="G600" s="4"/>
      <c r="H600" s="4"/>
      <c r="I600" s="4"/>
      <c r="J600" s="4"/>
      <c r="K600" s="4"/>
      <c r="L600" s="4"/>
      <c r="M600" s="4"/>
      <c r="N600" s="4"/>
    </row>
    <row r="601" spans="2:14" ht="13">
      <c r="B601" s="4"/>
      <c r="C601" s="4"/>
      <c r="D601" s="4"/>
      <c r="E601" s="4"/>
      <c r="F601" s="4"/>
      <c r="G601" s="4"/>
      <c r="H601" s="4"/>
      <c r="I601" s="4"/>
      <c r="J601" s="4"/>
      <c r="K601" s="4"/>
      <c r="L601" s="4"/>
      <c r="M601" s="4"/>
      <c r="N601" s="4"/>
    </row>
    <row r="602" spans="2:14" ht="13">
      <c r="B602" s="4"/>
      <c r="C602" s="4"/>
      <c r="D602" s="4"/>
      <c r="E602" s="4"/>
      <c r="F602" s="4"/>
      <c r="G602" s="4"/>
      <c r="H602" s="4"/>
      <c r="I602" s="4"/>
      <c r="J602" s="4"/>
      <c r="K602" s="4"/>
      <c r="L602" s="4"/>
      <c r="M602" s="4"/>
      <c r="N602" s="4"/>
    </row>
    <row r="603" spans="2:14" ht="13">
      <c r="B603" s="4"/>
      <c r="C603" s="4"/>
      <c r="D603" s="4"/>
      <c r="E603" s="4"/>
      <c r="F603" s="4"/>
      <c r="G603" s="4"/>
      <c r="H603" s="4"/>
      <c r="I603" s="4"/>
      <c r="J603" s="4"/>
      <c r="K603" s="4"/>
      <c r="L603" s="4"/>
      <c r="M603" s="4"/>
      <c r="N603" s="4"/>
    </row>
    <row r="604" spans="2:14" ht="13">
      <c r="B604" s="4"/>
      <c r="C604" s="4"/>
      <c r="D604" s="4"/>
      <c r="E604" s="4"/>
      <c r="F604" s="4"/>
      <c r="G604" s="4"/>
      <c r="H604" s="4"/>
      <c r="I604" s="4"/>
      <c r="J604" s="4"/>
      <c r="K604" s="4"/>
      <c r="L604" s="4"/>
      <c r="M604" s="4"/>
      <c r="N604" s="4"/>
    </row>
    <row r="605" spans="2:14" ht="13">
      <c r="B605" s="4"/>
      <c r="C605" s="4"/>
      <c r="D605" s="4"/>
      <c r="E605" s="4"/>
      <c r="F605" s="4"/>
      <c r="G605" s="4"/>
      <c r="H605" s="4"/>
      <c r="I605" s="4"/>
      <c r="J605" s="4"/>
      <c r="K605" s="4"/>
      <c r="L605" s="4"/>
      <c r="M605" s="4"/>
      <c r="N605" s="4"/>
    </row>
    <row r="606" spans="2:14" ht="13">
      <c r="B606" s="4"/>
      <c r="C606" s="4"/>
      <c r="D606" s="4"/>
      <c r="E606" s="4"/>
      <c r="F606" s="4"/>
      <c r="G606" s="4"/>
      <c r="H606" s="4"/>
      <c r="I606" s="4"/>
      <c r="J606" s="4"/>
      <c r="K606" s="4"/>
      <c r="L606" s="4"/>
      <c r="M606" s="4"/>
      <c r="N606" s="4"/>
    </row>
    <row r="607" spans="2:14" ht="13">
      <c r="B607" s="4"/>
      <c r="C607" s="4"/>
      <c r="D607" s="4"/>
      <c r="E607" s="4"/>
      <c r="F607" s="4"/>
      <c r="G607" s="4"/>
      <c r="H607" s="4"/>
      <c r="I607" s="4"/>
      <c r="J607" s="4"/>
      <c r="K607" s="4"/>
      <c r="L607" s="4"/>
      <c r="M607" s="4"/>
      <c r="N607" s="4"/>
    </row>
    <row r="608" spans="2:14" ht="13">
      <c r="B608" s="4"/>
      <c r="C608" s="4"/>
      <c r="D608" s="4"/>
      <c r="E608" s="4"/>
      <c r="F608" s="4"/>
      <c r="G608" s="4"/>
      <c r="H608" s="4"/>
      <c r="I608" s="4"/>
      <c r="J608" s="4"/>
      <c r="K608" s="4"/>
      <c r="L608" s="4"/>
      <c r="M608" s="4"/>
      <c r="N608" s="4"/>
    </row>
    <row r="609" spans="2:14" ht="13">
      <c r="B609" s="4"/>
      <c r="C609" s="4"/>
      <c r="D609" s="4"/>
      <c r="E609" s="4"/>
      <c r="F609" s="4"/>
      <c r="G609" s="4"/>
      <c r="H609" s="4"/>
      <c r="I609" s="4"/>
      <c r="J609" s="4"/>
      <c r="K609" s="4"/>
      <c r="L609" s="4"/>
      <c r="M609" s="4"/>
      <c r="N609" s="4"/>
    </row>
    <row r="610" spans="2:14" ht="13">
      <c r="B610" s="4"/>
      <c r="C610" s="4"/>
      <c r="D610" s="4"/>
      <c r="E610" s="4"/>
      <c r="F610" s="4"/>
      <c r="G610" s="4"/>
      <c r="H610" s="4"/>
      <c r="I610" s="4"/>
      <c r="J610" s="4"/>
      <c r="K610" s="4"/>
      <c r="L610" s="4"/>
      <c r="M610" s="4"/>
      <c r="N610" s="4"/>
    </row>
    <row r="611" spans="2:14" ht="13">
      <c r="B611" s="4"/>
      <c r="C611" s="4"/>
      <c r="D611" s="4"/>
      <c r="E611" s="4"/>
      <c r="F611" s="4"/>
      <c r="G611" s="4"/>
      <c r="H611" s="4"/>
      <c r="I611" s="4"/>
      <c r="J611" s="4"/>
      <c r="K611" s="4"/>
      <c r="L611" s="4"/>
      <c r="M611" s="4"/>
      <c r="N611" s="4"/>
    </row>
    <row r="612" spans="2:14" ht="13">
      <c r="B612" s="4"/>
      <c r="C612" s="4"/>
      <c r="D612" s="4"/>
      <c r="E612" s="4"/>
      <c r="F612" s="4"/>
      <c r="G612" s="4"/>
      <c r="H612" s="4"/>
      <c r="I612" s="4"/>
      <c r="J612" s="4"/>
      <c r="K612" s="4"/>
      <c r="L612" s="4"/>
      <c r="M612" s="4"/>
      <c r="N612" s="4"/>
    </row>
    <row r="613" spans="2:14" ht="13">
      <c r="B613" s="4"/>
      <c r="C613" s="4"/>
      <c r="D613" s="4"/>
      <c r="E613" s="4"/>
      <c r="F613" s="4"/>
      <c r="G613" s="4"/>
      <c r="H613" s="4"/>
      <c r="I613" s="4"/>
      <c r="J613" s="4"/>
      <c r="K613" s="4"/>
      <c r="L613" s="4"/>
      <c r="M613" s="4"/>
      <c r="N613" s="4"/>
    </row>
    <row r="614" spans="2:14" ht="13">
      <c r="B614" s="4"/>
      <c r="C614" s="4"/>
      <c r="D614" s="4"/>
      <c r="E614" s="4"/>
      <c r="F614" s="4"/>
      <c r="G614" s="4"/>
      <c r="H614" s="4"/>
      <c r="I614" s="4"/>
      <c r="J614" s="4"/>
      <c r="K614" s="4"/>
      <c r="L614" s="4"/>
      <c r="M614" s="4"/>
      <c r="N614" s="4"/>
    </row>
    <row r="615" spans="2:14" ht="13">
      <c r="B615" s="4"/>
      <c r="C615" s="4"/>
      <c r="D615" s="4"/>
      <c r="E615" s="4"/>
      <c r="F615" s="4"/>
      <c r="G615" s="4"/>
      <c r="H615" s="4"/>
      <c r="I615" s="4"/>
      <c r="J615" s="4"/>
      <c r="K615" s="4"/>
      <c r="L615" s="4"/>
      <c r="M615" s="4"/>
      <c r="N615" s="4"/>
    </row>
    <row r="616" spans="2:14" ht="13">
      <c r="B616" s="4"/>
      <c r="C616" s="4"/>
      <c r="D616" s="4"/>
      <c r="E616" s="4"/>
      <c r="F616" s="4"/>
      <c r="G616" s="4"/>
      <c r="H616" s="4"/>
      <c r="I616" s="4"/>
      <c r="J616" s="4"/>
      <c r="K616" s="4"/>
      <c r="L616" s="4"/>
      <c r="M616" s="4"/>
      <c r="N616" s="4"/>
    </row>
    <row r="617" spans="2:14" ht="13">
      <c r="B617" s="4"/>
      <c r="C617" s="4"/>
      <c r="D617" s="4"/>
      <c r="E617" s="4"/>
      <c r="F617" s="4"/>
      <c r="G617" s="4"/>
      <c r="H617" s="4"/>
      <c r="I617" s="4"/>
      <c r="J617" s="4"/>
      <c r="K617" s="4"/>
      <c r="L617" s="4"/>
      <c r="M617" s="4"/>
      <c r="N617" s="4"/>
    </row>
    <row r="618" spans="2:14" ht="13">
      <c r="B618" s="4"/>
      <c r="C618" s="4"/>
      <c r="D618" s="4"/>
      <c r="E618" s="4"/>
      <c r="F618" s="4"/>
      <c r="G618" s="4"/>
      <c r="H618" s="4"/>
      <c r="I618" s="4"/>
      <c r="J618" s="4"/>
      <c r="K618" s="4"/>
      <c r="L618" s="4"/>
      <c r="M618" s="4"/>
      <c r="N618" s="4"/>
    </row>
    <row r="619" spans="2:14" ht="13">
      <c r="B619" s="4"/>
      <c r="C619" s="4"/>
      <c r="D619" s="4"/>
      <c r="E619" s="4"/>
      <c r="F619" s="4"/>
      <c r="G619" s="4"/>
      <c r="H619" s="4"/>
      <c r="I619" s="4"/>
      <c r="J619" s="4"/>
      <c r="K619" s="4"/>
      <c r="L619" s="4"/>
      <c r="M619" s="4"/>
      <c r="N619" s="4"/>
    </row>
    <row r="620" spans="2:14" ht="13">
      <c r="B620" s="4"/>
      <c r="C620" s="4"/>
      <c r="D620" s="4"/>
      <c r="E620" s="4"/>
      <c r="F620" s="4"/>
      <c r="G620" s="4"/>
      <c r="H620" s="4"/>
      <c r="I620" s="4"/>
      <c r="J620" s="4"/>
      <c r="K620" s="4"/>
      <c r="L620" s="4"/>
      <c r="M620" s="4"/>
      <c r="N620" s="4"/>
    </row>
    <row r="621" spans="2:14" ht="13">
      <c r="B621" s="4"/>
      <c r="C621" s="4"/>
      <c r="D621" s="4"/>
      <c r="E621" s="4"/>
      <c r="F621" s="4"/>
      <c r="G621" s="4"/>
      <c r="H621" s="4"/>
      <c r="I621" s="4"/>
      <c r="J621" s="4"/>
      <c r="K621" s="4"/>
      <c r="L621" s="4"/>
      <c r="M621" s="4"/>
      <c r="N621" s="4"/>
    </row>
    <row r="622" spans="2:14" ht="13">
      <c r="B622" s="4"/>
      <c r="C622" s="4"/>
      <c r="D622" s="4"/>
      <c r="E622" s="4"/>
      <c r="F622" s="4"/>
      <c r="G622" s="4"/>
      <c r="H622" s="4"/>
      <c r="I622" s="4"/>
      <c r="J622" s="4"/>
      <c r="K622" s="4"/>
      <c r="L622" s="4"/>
      <c r="M622" s="4"/>
      <c r="N622" s="4"/>
    </row>
    <row r="623" spans="2:14" ht="13">
      <c r="B623" s="4"/>
      <c r="C623" s="4"/>
      <c r="D623" s="4"/>
      <c r="E623" s="4"/>
      <c r="F623" s="4"/>
      <c r="G623" s="4"/>
      <c r="H623" s="4"/>
      <c r="I623" s="4"/>
      <c r="J623" s="4"/>
      <c r="K623" s="4"/>
      <c r="L623" s="4"/>
      <c r="M623" s="4"/>
      <c r="N623" s="4"/>
    </row>
    <row r="624" spans="2:14" ht="13">
      <c r="B624" s="4"/>
      <c r="C624" s="4"/>
      <c r="D624" s="4"/>
      <c r="E624" s="4"/>
      <c r="F624" s="4"/>
      <c r="G624" s="4"/>
      <c r="H624" s="4"/>
      <c r="I624" s="4"/>
      <c r="J624" s="4"/>
      <c r="K624" s="4"/>
      <c r="L624" s="4"/>
      <c r="M624" s="4"/>
      <c r="N624" s="4"/>
    </row>
    <row r="625" spans="2:14" ht="13">
      <c r="B625" s="4"/>
      <c r="C625" s="4"/>
      <c r="D625" s="4"/>
      <c r="E625" s="4"/>
      <c r="F625" s="4"/>
      <c r="G625" s="4"/>
      <c r="H625" s="4"/>
      <c r="I625" s="4"/>
      <c r="J625" s="4"/>
      <c r="K625" s="4"/>
      <c r="L625" s="4"/>
      <c r="M625" s="4"/>
      <c r="N625" s="4"/>
    </row>
    <row r="626" spans="2:14" ht="13">
      <c r="B626" s="4"/>
      <c r="C626" s="4"/>
      <c r="D626" s="4"/>
      <c r="E626" s="4"/>
      <c r="F626" s="4"/>
      <c r="G626" s="4"/>
      <c r="H626" s="4"/>
      <c r="I626" s="4"/>
      <c r="J626" s="4"/>
      <c r="K626" s="4"/>
      <c r="L626" s="4"/>
      <c r="M626" s="4"/>
      <c r="N626" s="4"/>
    </row>
    <row r="627" spans="2:14" ht="13">
      <c r="B627" s="4"/>
      <c r="C627" s="4"/>
      <c r="D627" s="4"/>
      <c r="E627" s="4"/>
      <c r="F627" s="4"/>
      <c r="G627" s="4"/>
      <c r="H627" s="4"/>
      <c r="I627" s="4"/>
      <c r="J627" s="4"/>
      <c r="K627" s="4"/>
      <c r="L627" s="4"/>
      <c r="M627" s="4"/>
      <c r="N627" s="4"/>
    </row>
    <row r="628" spans="2:14" ht="13">
      <c r="B628" s="4"/>
      <c r="C628" s="4"/>
      <c r="D628" s="4"/>
      <c r="E628" s="4"/>
      <c r="F628" s="4"/>
      <c r="G628" s="4"/>
      <c r="H628" s="4"/>
      <c r="I628" s="4"/>
      <c r="J628" s="4"/>
      <c r="K628" s="4"/>
      <c r="L628" s="4"/>
      <c r="M628" s="4"/>
      <c r="N628" s="4"/>
    </row>
    <row r="629" spans="2:14" ht="13">
      <c r="B629" s="4"/>
      <c r="C629" s="4"/>
      <c r="D629" s="4"/>
      <c r="E629" s="4"/>
      <c r="F629" s="4"/>
      <c r="G629" s="4"/>
      <c r="H629" s="4"/>
      <c r="I629" s="4"/>
      <c r="J629" s="4"/>
      <c r="K629" s="4"/>
      <c r="L629" s="4"/>
      <c r="M629" s="4"/>
      <c r="N629" s="4"/>
    </row>
    <row r="630" spans="2:14" ht="13">
      <c r="B630" s="4"/>
      <c r="C630" s="4"/>
      <c r="D630" s="4"/>
      <c r="E630" s="4"/>
      <c r="F630" s="4"/>
      <c r="G630" s="4"/>
      <c r="H630" s="4"/>
      <c r="I630" s="4"/>
      <c r="J630" s="4"/>
      <c r="K630" s="4"/>
      <c r="L630" s="4"/>
      <c r="M630" s="4"/>
      <c r="N630" s="4"/>
    </row>
    <row r="631" spans="2:14" ht="13">
      <c r="B631" s="4"/>
      <c r="C631" s="4"/>
      <c r="D631" s="4"/>
      <c r="E631" s="4"/>
      <c r="F631" s="4"/>
      <c r="G631" s="4"/>
      <c r="H631" s="4"/>
      <c r="I631" s="4"/>
      <c r="J631" s="4"/>
      <c r="K631" s="4"/>
      <c r="L631" s="4"/>
      <c r="M631" s="4"/>
      <c r="N631" s="4"/>
    </row>
    <row r="632" spans="2:14" ht="13">
      <c r="B632" s="4"/>
      <c r="C632" s="4"/>
      <c r="D632" s="4"/>
      <c r="E632" s="4"/>
      <c r="F632" s="4"/>
      <c r="G632" s="4"/>
      <c r="H632" s="4"/>
      <c r="I632" s="4"/>
      <c r="J632" s="4"/>
      <c r="K632" s="4"/>
      <c r="L632" s="4"/>
      <c r="M632" s="4"/>
      <c r="N632" s="4"/>
    </row>
    <row r="633" spans="2:14" ht="13">
      <c r="B633" s="4"/>
      <c r="C633" s="4"/>
      <c r="D633" s="4"/>
      <c r="E633" s="4"/>
      <c r="F633" s="4"/>
      <c r="G633" s="4"/>
      <c r="H633" s="4"/>
      <c r="I633" s="4"/>
      <c r="J633" s="4"/>
      <c r="K633" s="4"/>
      <c r="L633" s="4"/>
      <c r="M633" s="4"/>
      <c r="N633" s="4"/>
    </row>
    <row r="634" spans="2:14" ht="13">
      <c r="B634" s="4"/>
      <c r="C634" s="4"/>
      <c r="D634" s="4"/>
      <c r="E634" s="4"/>
      <c r="F634" s="4"/>
      <c r="G634" s="4"/>
      <c r="H634" s="4"/>
      <c r="I634" s="4"/>
      <c r="J634" s="4"/>
      <c r="K634" s="4"/>
      <c r="L634" s="4"/>
      <c r="M634" s="4"/>
      <c r="N634" s="4"/>
    </row>
    <row r="635" spans="2:14" ht="13">
      <c r="B635" s="4"/>
      <c r="C635" s="4"/>
      <c r="D635" s="4"/>
      <c r="E635" s="4"/>
      <c r="F635" s="4"/>
      <c r="G635" s="4"/>
      <c r="H635" s="4"/>
      <c r="I635" s="4"/>
      <c r="J635" s="4"/>
      <c r="K635" s="4"/>
      <c r="L635" s="4"/>
      <c r="M635" s="4"/>
      <c r="N635" s="4"/>
    </row>
    <row r="636" spans="2:14" ht="13">
      <c r="B636" s="4"/>
      <c r="C636" s="4"/>
      <c r="D636" s="4"/>
      <c r="E636" s="4"/>
      <c r="F636" s="4"/>
      <c r="G636" s="4"/>
      <c r="H636" s="4"/>
      <c r="I636" s="4"/>
      <c r="J636" s="4"/>
      <c r="K636" s="4"/>
      <c r="L636" s="4"/>
      <c r="M636" s="4"/>
      <c r="N636" s="4"/>
    </row>
    <row r="637" spans="2:14" ht="13">
      <c r="B637" s="4"/>
      <c r="C637" s="4"/>
      <c r="D637" s="4"/>
      <c r="E637" s="4"/>
      <c r="F637" s="4"/>
      <c r="G637" s="4"/>
      <c r="H637" s="4"/>
      <c r="I637" s="4"/>
      <c r="J637" s="4"/>
      <c r="K637" s="4"/>
      <c r="L637" s="4"/>
      <c r="M637" s="4"/>
      <c r="N637" s="4"/>
    </row>
    <row r="638" spans="2:14" ht="13">
      <c r="B638" s="4"/>
      <c r="C638" s="4"/>
      <c r="D638" s="4"/>
      <c r="E638" s="4"/>
      <c r="F638" s="4"/>
      <c r="G638" s="4"/>
      <c r="H638" s="4"/>
      <c r="I638" s="4"/>
      <c r="J638" s="4"/>
      <c r="K638" s="4"/>
      <c r="L638" s="4"/>
      <c r="M638" s="4"/>
      <c r="N638" s="4"/>
    </row>
    <row r="639" spans="2:14" ht="13">
      <c r="B639" s="4"/>
      <c r="C639" s="4"/>
      <c r="D639" s="4"/>
      <c r="E639" s="4"/>
      <c r="F639" s="4"/>
      <c r="G639" s="4"/>
      <c r="H639" s="4"/>
      <c r="I639" s="4"/>
      <c r="J639" s="4"/>
      <c r="K639" s="4"/>
      <c r="L639" s="4"/>
      <c r="M639" s="4"/>
      <c r="N639" s="4"/>
    </row>
    <row r="640" spans="2:14" ht="13">
      <c r="B640" s="4"/>
      <c r="C640" s="4"/>
      <c r="D640" s="4"/>
      <c r="E640" s="4"/>
      <c r="F640" s="4"/>
      <c r="G640" s="4"/>
      <c r="H640" s="4"/>
      <c r="I640" s="4"/>
      <c r="J640" s="4"/>
      <c r="K640" s="4"/>
      <c r="L640" s="4"/>
      <c r="M640" s="4"/>
      <c r="N640" s="4"/>
    </row>
    <row r="641" spans="2:14" ht="13">
      <c r="B641" s="4"/>
      <c r="C641" s="4"/>
      <c r="D641" s="4"/>
      <c r="E641" s="4"/>
      <c r="F641" s="4"/>
      <c r="G641" s="4"/>
      <c r="H641" s="4"/>
      <c r="I641" s="4"/>
      <c r="J641" s="4"/>
      <c r="K641" s="4"/>
      <c r="L641" s="4"/>
      <c r="M641" s="4"/>
      <c r="N641" s="4"/>
    </row>
    <row r="642" spans="2:14" ht="13">
      <c r="B642" s="4"/>
      <c r="C642" s="4"/>
      <c r="D642" s="4"/>
      <c r="E642" s="4"/>
      <c r="F642" s="4"/>
      <c r="G642" s="4"/>
      <c r="H642" s="4"/>
      <c r="I642" s="4"/>
      <c r="J642" s="4"/>
      <c r="K642" s="4"/>
      <c r="L642" s="4"/>
      <c r="M642" s="4"/>
      <c r="N642" s="4"/>
    </row>
    <row r="643" spans="2:14" ht="13">
      <c r="B643" s="4"/>
      <c r="C643" s="4"/>
      <c r="D643" s="4"/>
      <c r="E643" s="4"/>
      <c r="F643" s="4"/>
      <c r="G643" s="4"/>
      <c r="H643" s="4"/>
      <c r="I643" s="4"/>
      <c r="J643" s="4"/>
      <c r="K643" s="4"/>
      <c r="L643" s="4"/>
      <c r="M643" s="4"/>
      <c r="N643" s="4"/>
    </row>
    <row r="644" spans="2:14" ht="13">
      <c r="B644" s="4"/>
      <c r="C644" s="4"/>
      <c r="D644" s="4"/>
      <c r="E644" s="4"/>
      <c r="F644" s="4"/>
      <c r="G644" s="4"/>
      <c r="H644" s="4"/>
      <c r="I644" s="4"/>
      <c r="J644" s="4"/>
      <c r="K644" s="4"/>
      <c r="L644" s="4"/>
      <c r="M644" s="4"/>
      <c r="N644" s="4"/>
    </row>
    <row r="645" spans="2:14" ht="13">
      <c r="B645" s="4"/>
      <c r="C645" s="4"/>
      <c r="D645" s="4"/>
      <c r="E645" s="4"/>
      <c r="F645" s="4"/>
      <c r="G645" s="4"/>
      <c r="H645" s="4"/>
      <c r="I645" s="4"/>
      <c r="J645" s="4"/>
      <c r="K645" s="4"/>
      <c r="L645" s="4"/>
      <c r="M645" s="4"/>
      <c r="N645" s="4"/>
    </row>
    <row r="646" spans="2:14" ht="13">
      <c r="B646" s="4"/>
      <c r="C646" s="4"/>
      <c r="D646" s="4"/>
      <c r="E646" s="4"/>
      <c r="F646" s="4"/>
      <c r="G646" s="4"/>
      <c r="H646" s="4"/>
      <c r="I646" s="4"/>
      <c r="J646" s="4"/>
      <c r="K646" s="4"/>
      <c r="L646" s="4"/>
      <c r="M646" s="4"/>
      <c r="N646" s="4"/>
    </row>
    <row r="647" spans="2:14" ht="13">
      <c r="B647" s="4"/>
      <c r="C647" s="4"/>
      <c r="D647" s="4"/>
      <c r="E647" s="4"/>
      <c r="F647" s="4"/>
      <c r="G647" s="4"/>
      <c r="H647" s="4"/>
      <c r="I647" s="4"/>
      <c r="J647" s="4"/>
      <c r="K647" s="4"/>
      <c r="L647" s="4"/>
      <c r="M647" s="4"/>
      <c r="N647" s="4"/>
    </row>
    <row r="648" spans="2:14" ht="13">
      <c r="B648" s="4"/>
      <c r="C648" s="4"/>
      <c r="D648" s="4"/>
      <c r="E648" s="4"/>
      <c r="F648" s="4"/>
      <c r="G648" s="4"/>
      <c r="H648" s="4"/>
      <c r="I648" s="4"/>
      <c r="J648" s="4"/>
      <c r="K648" s="4"/>
      <c r="L648" s="4"/>
      <c r="M648" s="4"/>
      <c r="N648" s="4"/>
    </row>
    <row r="649" spans="2:14" ht="13">
      <c r="B649" s="4"/>
      <c r="C649" s="4"/>
      <c r="D649" s="4"/>
      <c r="E649" s="4"/>
      <c r="F649" s="4"/>
      <c r="G649" s="4"/>
      <c r="H649" s="4"/>
      <c r="I649" s="4"/>
      <c r="J649" s="4"/>
      <c r="K649" s="4"/>
      <c r="L649" s="4"/>
      <c r="M649" s="4"/>
      <c r="N649" s="4"/>
    </row>
    <row r="650" spans="2:14" ht="13">
      <c r="B650" s="4"/>
      <c r="C650" s="4"/>
      <c r="D650" s="4"/>
      <c r="E650" s="4"/>
      <c r="F650" s="4"/>
      <c r="G650" s="4"/>
      <c r="H650" s="4"/>
      <c r="I650" s="4"/>
      <c r="J650" s="4"/>
      <c r="K650" s="4"/>
      <c r="L650" s="4"/>
      <c r="M650" s="4"/>
      <c r="N650" s="4"/>
    </row>
    <row r="651" spans="2:14" ht="13">
      <c r="B651" s="4"/>
      <c r="C651" s="4"/>
      <c r="D651" s="4"/>
      <c r="E651" s="4"/>
      <c r="F651" s="4"/>
      <c r="G651" s="4"/>
      <c r="H651" s="4"/>
      <c r="I651" s="4"/>
      <c r="J651" s="4"/>
      <c r="K651" s="4"/>
      <c r="L651" s="4"/>
      <c r="M651" s="4"/>
      <c r="N651" s="4"/>
    </row>
    <row r="652" spans="2:14" ht="13">
      <c r="B652" s="4"/>
      <c r="C652" s="4"/>
      <c r="D652" s="4"/>
      <c r="E652" s="4"/>
      <c r="F652" s="4"/>
      <c r="G652" s="4"/>
      <c r="H652" s="4"/>
      <c r="I652" s="4"/>
      <c r="J652" s="4"/>
      <c r="K652" s="4"/>
      <c r="L652" s="4"/>
      <c r="M652" s="4"/>
      <c r="N652" s="4"/>
    </row>
    <row r="653" spans="2:14" ht="13">
      <c r="B653" s="4"/>
      <c r="C653" s="4"/>
      <c r="D653" s="4"/>
      <c r="E653" s="4"/>
      <c r="F653" s="4"/>
      <c r="G653" s="4"/>
      <c r="H653" s="4"/>
      <c r="I653" s="4"/>
      <c r="J653" s="4"/>
      <c r="K653" s="4"/>
      <c r="L653" s="4"/>
      <c r="M653" s="4"/>
      <c r="N653" s="4"/>
    </row>
    <row r="654" spans="2:14" ht="13">
      <c r="B654" s="4"/>
      <c r="C654" s="4"/>
      <c r="D654" s="4"/>
      <c r="E654" s="4"/>
      <c r="F654" s="4"/>
      <c r="G654" s="4"/>
      <c r="H654" s="4"/>
      <c r="I654" s="4"/>
      <c r="J654" s="4"/>
      <c r="K654" s="4"/>
      <c r="L654" s="4"/>
      <c r="M654" s="4"/>
      <c r="N654" s="4"/>
    </row>
    <row r="655" spans="2:14" ht="13">
      <c r="B655" s="4"/>
      <c r="C655" s="4"/>
      <c r="D655" s="4"/>
      <c r="E655" s="4"/>
      <c r="F655" s="4"/>
      <c r="G655" s="4"/>
      <c r="H655" s="4"/>
      <c r="I655" s="4"/>
      <c r="J655" s="4"/>
      <c r="K655" s="4"/>
      <c r="L655" s="4"/>
      <c r="M655" s="4"/>
      <c r="N655" s="4"/>
    </row>
    <row r="656" spans="2:14" ht="13">
      <c r="B656" s="4"/>
      <c r="C656" s="4"/>
      <c r="D656" s="4"/>
      <c r="E656" s="4"/>
      <c r="F656" s="4"/>
      <c r="G656" s="4"/>
      <c r="H656" s="4"/>
      <c r="I656" s="4"/>
      <c r="J656" s="4"/>
      <c r="K656" s="4"/>
      <c r="L656" s="4"/>
      <c r="M656" s="4"/>
      <c r="N656" s="4"/>
    </row>
    <row r="657" spans="2:14" ht="13">
      <c r="B657" s="4"/>
      <c r="C657" s="4"/>
      <c r="D657" s="4"/>
      <c r="E657" s="4"/>
      <c r="F657" s="4"/>
      <c r="G657" s="4"/>
      <c r="H657" s="4"/>
      <c r="I657" s="4"/>
      <c r="J657" s="4"/>
      <c r="K657" s="4"/>
      <c r="L657" s="4"/>
      <c r="M657" s="4"/>
      <c r="N657" s="4"/>
    </row>
    <row r="658" spans="2:14" ht="13">
      <c r="B658" s="4"/>
      <c r="C658" s="4"/>
      <c r="D658" s="4"/>
      <c r="E658" s="4"/>
      <c r="F658" s="4"/>
      <c r="G658" s="4"/>
      <c r="H658" s="4"/>
      <c r="I658" s="4"/>
      <c r="J658" s="4"/>
      <c r="K658" s="4"/>
      <c r="L658" s="4"/>
      <c r="M658" s="4"/>
      <c r="N658" s="4"/>
    </row>
    <row r="659" spans="2:14" ht="13">
      <c r="B659" s="4"/>
      <c r="C659" s="4"/>
      <c r="D659" s="4"/>
      <c r="E659" s="4"/>
      <c r="F659" s="4"/>
      <c r="G659" s="4"/>
      <c r="H659" s="4"/>
      <c r="I659" s="4"/>
      <c r="J659" s="4"/>
      <c r="K659" s="4"/>
      <c r="L659" s="4"/>
      <c r="M659" s="4"/>
      <c r="N659" s="4"/>
    </row>
    <row r="660" spans="2:14" ht="13">
      <c r="B660" s="4"/>
      <c r="C660" s="4"/>
      <c r="D660" s="4"/>
      <c r="E660" s="4"/>
      <c r="F660" s="4"/>
      <c r="G660" s="4"/>
      <c r="H660" s="4"/>
      <c r="I660" s="4"/>
      <c r="J660" s="4"/>
      <c r="K660" s="4"/>
      <c r="L660" s="4"/>
      <c r="M660" s="4"/>
      <c r="N660" s="4"/>
    </row>
    <row r="661" spans="2:14" ht="13">
      <c r="B661" s="4"/>
      <c r="C661" s="4"/>
      <c r="D661" s="4"/>
      <c r="E661" s="4"/>
      <c r="F661" s="4"/>
      <c r="G661" s="4"/>
      <c r="H661" s="4"/>
      <c r="I661" s="4"/>
      <c r="J661" s="4"/>
      <c r="K661" s="4"/>
      <c r="L661" s="4"/>
      <c r="M661" s="4"/>
      <c r="N661" s="4"/>
    </row>
    <row r="662" spans="2:14" ht="13">
      <c r="B662" s="4"/>
      <c r="C662" s="4"/>
      <c r="D662" s="4"/>
      <c r="E662" s="4"/>
      <c r="F662" s="4"/>
      <c r="G662" s="4"/>
      <c r="H662" s="4"/>
      <c r="I662" s="4"/>
      <c r="J662" s="4"/>
      <c r="K662" s="4"/>
      <c r="L662" s="4"/>
      <c r="M662" s="4"/>
      <c r="N662" s="4"/>
    </row>
    <row r="663" spans="2:14" ht="13">
      <c r="B663" s="4"/>
      <c r="C663" s="4"/>
      <c r="D663" s="4"/>
      <c r="E663" s="4"/>
      <c r="F663" s="4"/>
      <c r="G663" s="4"/>
      <c r="H663" s="4"/>
      <c r="I663" s="4"/>
      <c r="J663" s="4"/>
      <c r="K663" s="4"/>
      <c r="L663" s="4"/>
      <c r="M663" s="4"/>
      <c r="N663" s="4"/>
    </row>
    <row r="664" spans="2:14" ht="13">
      <c r="B664" s="4"/>
      <c r="C664" s="4"/>
      <c r="D664" s="4"/>
      <c r="E664" s="4"/>
      <c r="F664" s="4"/>
      <c r="G664" s="4"/>
      <c r="H664" s="4"/>
      <c r="I664" s="4"/>
      <c r="J664" s="4"/>
      <c r="K664" s="4"/>
      <c r="L664" s="4"/>
      <c r="M664" s="4"/>
      <c r="N664" s="4"/>
    </row>
    <row r="665" spans="2:14" ht="13">
      <c r="B665" s="4"/>
      <c r="C665" s="4"/>
      <c r="D665" s="4"/>
      <c r="E665" s="4"/>
      <c r="F665" s="4"/>
      <c r="G665" s="4"/>
      <c r="H665" s="4"/>
      <c r="I665" s="4"/>
      <c r="J665" s="4"/>
      <c r="K665" s="4"/>
      <c r="L665" s="4"/>
      <c r="M665" s="4"/>
      <c r="N665" s="4"/>
    </row>
    <row r="666" spans="2:14" ht="13">
      <c r="B666" s="4"/>
      <c r="C666" s="4"/>
      <c r="D666" s="4"/>
      <c r="E666" s="4"/>
      <c r="F666" s="4"/>
      <c r="G666" s="4"/>
      <c r="H666" s="4"/>
      <c r="I666" s="4"/>
      <c r="J666" s="4"/>
      <c r="K666" s="4"/>
      <c r="L666" s="4"/>
      <c r="M666" s="4"/>
      <c r="N666" s="4"/>
    </row>
    <row r="667" spans="2:14" ht="13">
      <c r="B667" s="4"/>
      <c r="C667" s="4"/>
      <c r="D667" s="4"/>
      <c r="E667" s="4"/>
      <c r="F667" s="4"/>
      <c r="G667" s="4"/>
      <c r="H667" s="4"/>
      <c r="I667" s="4"/>
      <c r="J667" s="4"/>
      <c r="K667" s="4"/>
      <c r="L667" s="4"/>
      <c r="M667" s="4"/>
      <c r="N667" s="4"/>
    </row>
    <row r="668" spans="2:14" ht="13">
      <c r="B668" s="4"/>
      <c r="C668" s="4"/>
      <c r="D668" s="4"/>
      <c r="E668" s="4"/>
      <c r="F668" s="4"/>
      <c r="G668" s="4"/>
      <c r="H668" s="4"/>
      <c r="I668" s="4"/>
      <c r="J668" s="4"/>
      <c r="K668" s="4"/>
      <c r="L668" s="4"/>
      <c r="M668" s="4"/>
      <c r="N668" s="4"/>
    </row>
    <row r="669" spans="2:14" ht="13">
      <c r="B669" s="4"/>
      <c r="C669" s="4"/>
      <c r="D669" s="4"/>
      <c r="E669" s="4"/>
      <c r="F669" s="4"/>
      <c r="G669" s="4"/>
      <c r="H669" s="4"/>
      <c r="I669" s="4"/>
      <c r="J669" s="4"/>
      <c r="K669" s="4"/>
      <c r="L669" s="4"/>
      <c r="M669" s="4"/>
      <c r="N669" s="4"/>
    </row>
    <row r="670" spans="2:14" ht="13">
      <c r="B670" s="4"/>
      <c r="C670" s="4"/>
      <c r="D670" s="4"/>
      <c r="E670" s="4"/>
      <c r="F670" s="4"/>
      <c r="G670" s="4"/>
      <c r="H670" s="4"/>
      <c r="I670" s="4"/>
      <c r="J670" s="4"/>
      <c r="K670" s="4"/>
      <c r="L670" s="4"/>
      <c r="M670" s="4"/>
      <c r="N670" s="4"/>
    </row>
    <row r="671" spans="2:14" ht="13">
      <c r="B671" s="4"/>
      <c r="C671" s="4"/>
      <c r="D671" s="4"/>
      <c r="E671" s="4"/>
      <c r="F671" s="4"/>
      <c r="G671" s="4"/>
      <c r="H671" s="4"/>
      <c r="I671" s="4"/>
      <c r="J671" s="4"/>
      <c r="K671" s="4"/>
      <c r="L671" s="4"/>
      <c r="M671" s="4"/>
      <c r="N671" s="4"/>
    </row>
    <row r="672" spans="2:14" ht="13">
      <c r="B672" s="4"/>
      <c r="C672" s="4"/>
      <c r="D672" s="4"/>
      <c r="E672" s="4"/>
      <c r="F672" s="4"/>
      <c r="G672" s="4"/>
      <c r="H672" s="4"/>
      <c r="I672" s="4"/>
      <c r="J672" s="4"/>
      <c r="K672" s="4"/>
      <c r="L672" s="4"/>
      <c r="M672" s="4"/>
      <c r="N672" s="4"/>
    </row>
    <row r="673" spans="2:14" ht="13">
      <c r="B673" s="4"/>
      <c r="C673" s="4"/>
      <c r="D673" s="4"/>
      <c r="E673" s="4"/>
      <c r="F673" s="4"/>
      <c r="G673" s="4"/>
      <c r="H673" s="4"/>
      <c r="I673" s="4"/>
      <c r="J673" s="4"/>
      <c r="K673" s="4"/>
      <c r="L673" s="4"/>
      <c r="M673" s="4"/>
      <c r="N673" s="4"/>
    </row>
    <row r="674" spans="2:14" ht="13">
      <c r="B674" s="4"/>
      <c r="C674" s="4"/>
      <c r="D674" s="4"/>
      <c r="E674" s="4"/>
      <c r="F674" s="4"/>
      <c r="G674" s="4"/>
      <c r="H674" s="4"/>
      <c r="I674" s="4"/>
      <c r="J674" s="4"/>
      <c r="K674" s="4"/>
      <c r="L674" s="4"/>
      <c r="M674" s="4"/>
      <c r="N674" s="4"/>
    </row>
    <row r="675" spans="2:14" ht="13">
      <c r="B675" s="4"/>
      <c r="C675" s="4"/>
      <c r="D675" s="4"/>
      <c r="E675" s="4"/>
      <c r="F675" s="4"/>
      <c r="G675" s="4"/>
      <c r="H675" s="4"/>
      <c r="I675" s="4"/>
      <c r="J675" s="4"/>
      <c r="K675" s="4"/>
      <c r="L675" s="4"/>
      <c r="M675" s="4"/>
      <c r="N675" s="4"/>
    </row>
    <row r="676" spans="2:14" ht="13">
      <c r="B676" s="4"/>
      <c r="C676" s="4"/>
      <c r="D676" s="4"/>
      <c r="E676" s="4"/>
      <c r="F676" s="4"/>
      <c r="G676" s="4"/>
      <c r="H676" s="4"/>
      <c r="I676" s="4"/>
      <c r="J676" s="4"/>
      <c r="K676" s="4"/>
      <c r="L676" s="4"/>
      <c r="M676" s="4"/>
      <c r="N676" s="4"/>
    </row>
    <row r="677" spans="2:14" ht="13">
      <c r="B677" s="4"/>
      <c r="C677" s="4"/>
      <c r="D677" s="4"/>
      <c r="E677" s="4"/>
      <c r="F677" s="4"/>
      <c r="G677" s="4"/>
      <c r="H677" s="4"/>
      <c r="I677" s="4"/>
      <c r="J677" s="4"/>
      <c r="K677" s="4"/>
      <c r="L677" s="4"/>
      <c r="M677" s="4"/>
      <c r="N677" s="4"/>
    </row>
    <row r="678" spans="2:14" ht="13">
      <c r="B678" s="4"/>
      <c r="C678" s="4"/>
      <c r="D678" s="4"/>
      <c r="E678" s="4"/>
      <c r="F678" s="4"/>
      <c r="G678" s="4"/>
      <c r="H678" s="4"/>
      <c r="I678" s="4"/>
      <c r="J678" s="4"/>
      <c r="K678" s="4"/>
      <c r="L678" s="4"/>
      <c r="M678" s="4"/>
      <c r="N678" s="4"/>
    </row>
    <row r="679" spans="2:14" ht="13">
      <c r="B679" s="4"/>
      <c r="C679" s="4"/>
      <c r="D679" s="4"/>
      <c r="E679" s="4"/>
      <c r="F679" s="4"/>
      <c r="G679" s="4"/>
      <c r="H679" s="4"/>
      <c r="I679" s="4"/>
      <c r="J679" s="4"/>
      <c r="K679" s="4"/>
      <c r="L679" s="4"/>
      <c r="M679" s="4"/>
      <c r="N679" s="4"/>
    </row>
    <row r="680" spans="2:14" ht="13">
      <c r="B680" s="4"/>
      <c r="C680" s="4"/>
      <c r="D680" s="4"/>
      <c r="E680" s="4"/>
      <c r="F680" s="4"/>
      <c r="G680" s="4"/>
      <c r="H680" s="4"/>
      <c r="I680" s="4"/>
      <c r="J680" s="4"/>
      <c r="K680" s="4"/>
      <c r="L680" s="4"/>
      <c r="M680" s="4"/>
      <c r="N680" s="4"/>
    </row>
    <row r="681" spans="2:14" ht="13">
      <c r="B681" s="4"/>
      <c r="C681" s="4"/>
      <c r="D681" s="4"/>
      <c r="E681" s="4"/>
      <c r="F681" s="4"/>
      <c r="G681" s="4"/>
      <c r="H681" s="4"/>
      <c r="I681" s="4"/>
      <c r="J681" s="4"/>
      <c r="K681" s="4"/>
      <c r="L681" s="4"/>
      <c r="M681" s="4"/>
      <c r="N681" s="4"/>
    </row>
    <row r="682" spans="2:14" ht="13">
      <c r="B682" s="4"/>
      <c r="C682" s="4"/>
      <c r="D682" s="4"/>
      <c r="E682" s="4"/>
      <c r="F682" s="4"/>
      <c r="G682" s="4"/>
      <c r="H682" s="4"/>
      <c r="I682" s="4"/>
      <c r="J682" s="4"/>
      <c r="K682" s="4"/>
      <c r="L682" s="4"/>
      <c r="M682" s="4"/>
      <c r="N682" s="4"/>
    </row>
    <row r="683" spans="2:14" ht="13">
      <c r="B683" s="4"/>
      <c r="C683" s="4"/>
      <c r="D683" s="4"/>
      <c r="E683" s="4"/>
      <c r="F683" s="4"/>
      <c r="G683" s="4"/>
      <c r="H683" s="4"/>
      <c r="I683" s="4"/>
      <c r="J683" s="4"/>
      <c r="K683" s="4"/>
      <c r="L683" s="4"/>
      <c r="M683" s="4"/>
      <c r="N683" s="4"/>
    </row>
    <row r="684" spans="2:14" ht="13">
      <c r="B684" s="4"/>
      <c r="C684" s="4"/>
      <c r="D684" s="4"/>
      <c r="E684" s="4"/>
      <c r="F684" s="4"/>
      <c r="G684" s="4"/>
      <c r="H684" s="4"/>
      <c r="I684" s="4"/>
      <c r="J684" s="4"/>
      <c r="K684" s="4"/>
      <c r="L684" s="4"/>
      <c r="M684" s="4"/>
      <c r="N684" s="4"/>
    </row>
    <row r="685" spans="2:14" ht="13">
      <c r="B685" s="4"/>
      <c r="C685" s="4"/>
      <c r="D685" s="4"/>
      <c r="E685" s="4"/>
      <c r="F685" s="4"/>
      <c r="G685" s="4"/>
      <c r="H685" s="4"/>
      <c r="I685" s="4"/>
      <c r="J685" s="4"/>
      <c r="K685" s="4"/>
      <c r="L685" s="4"/>
      <c r="M685" s="4"/>
      <c r="N685" s="4"/>
    </row>
    <row r="686" spans="2:14" ht="13">
      <c r="B686" s="4"/>
      <c r="C686" s="4"/>
      <c r="D686" s="4"/>
      <c r="E686" s="4"/>
      <c r="F686" s="4"/>
      <c r="G686" s="4"/>
      <c r="H686" s="4"/>
      <c r="I686" s="4"/>
      <c r="J686" s="4"/>
      <c r="K686" s="4"/>
      <c r="L686" s="4"/>
      <c r="M686" s="4"/>
      <c r="N686" s="4"/>
    </row>
    <row r="687" spans="2:14" ht="13">
      <c r="B687" s="4"/>
      <c r="C687" s="4"/>
      <c r="D687" s="4"/>
      <c r="E687" s="4"/>
      <c r="F687" s="4"/>
      <c r="G687" s="4"/>
      <c r="H687" s="4"/>
      <c r="I687" s="4"/>
      <c r="J687" s="4"/>
      <c r="K687" s="4"/>
      <c r="L687" s="4"/>
      <c r="M687" s="4"/>
      <c r="N687" s="4"/>
    </row>
    <row r="688" spans="2:14" ht="13">
      <c r="B688" s="4"/>
      <c r="C688" s="4"/>
      <c r="D688" s="4"/>
      <c r="E688" s="4"/>
      <c r="F688" s="4"/>
      <c r="G688" s="4"/>
      <c r="H688" s="4"/>
      <c r="I688" s="4"/>
      <c r="J688" s="4"/>
      <c r="K688" s="4"/>
      <c r="L688" s="4"/>
      <c r="M688" s="4"/>
      <c r="N688" s="4"/>
    </row>
    <row r="689" spans="2:14" ht="13">
      <c r="B689" s="4"/>
      <c r="C689" s="4"/>
      <c r="D689" s="4"/>
      <c r="E689" s="4"/>
      <c r="F689" s="4"/>
      <c r="G689" s="4"/>
      <c r="H689" s="4"/>
      <c r="I689" s="4"/>
      <c r="J689" s="4"/>
      <c r="K689" s="4"/>
      <c r="L689" s="4"/>
      <c r="M689" s="4"/>
      <c r="N689" s="4"/>
    </row>
    <row r="690" spans="2:14" ht="13">
      <c r="B690" s="4"/>
      <c r="C690" s="4"/>
      <c r="D690" s="4"/>
      <c r="E690" s="4"/>
      <c r="F690" s="4"/>
      <c r="G690" s="4"/>
      <c r="H690" s="4"/>
      <c r="I690" s="4"/>
      <c r="J690" s="4"/>
      <c r="K690" s="4"/>
      <c r="L690" s="4"/>
      <c r="M690" s="4"/>
      <c r="N690" s="4"/>
    </row>
    <row r="691" spans="2:14" ht="13">
      <c r="B691" s="4"/>
      <c r="C691" s="4"/>
      <c r="D691" s="4"/>
      <c r="E691" s="4"/>
      <c r="F691" s="4"/>
      <c r="G691" s="4"/>
      <c r="H691" s="4"/>
      <c r="I691" s="4"/>
      <c r="J691" s="4"/>
      <c r="K691" s="4"/>
      <c r="L691" s="4"/>
      <c r="M691" s="4"/>
      <c r="N691" s="4"/>
    </row>
    <row r="692" spans="2:14" ht="13">
      <c r="B692" s="4"/>
      <c r="C692" s="4"/>
      <c r="D692" s="4"/>
      <c r="E692" s="4"/>
      <c r="F692" s="4"/>
      <c r="G692" s="4"/>
      <c r="H692" s="4"/>
      <c r="I692" s="4"/>
      <c r="J692" s="4"/>
      <c r="K692" s="4"/>
      <c r="L692" s="4"/>
      <c r="M692" s="4"/>
      <c r="N692" s="4"/>
    </row>
    <row r="693" spans="2:14" ht="13">
      <c r="B693" s="4"/>
      <c r="C693" s="4"/>
      <c r="D693" s="4"/>
      <c r="E693" s="4"/>
      <c r="F693" s="4"/>
      <c r="G693" s="4"/>
      <c r="H693" s="4"/>
      <c r="I693" s="4"/>
      <c r="J693" s="4"/>
      <c r="K693" s="4"/>
      <c r="L693" s="4"/>
      <c r="M693" s="4"/>
      <c r="N693" s="4"/>
    </row>
    <row r="694" spans="2:14" ht="13">
      <c r="B694" s="4"/>
      <c r="C694" s="4"/>
      <c r="D694" s="4"/>
      <c r="E694" s="4"/>
      <c r="F694" s="4"/>
      <c r="G694" s="4"/>
      <c r="H694" s="4"/>
      <c r="I694" s="4"/>
      <c r="J694" s="4"/>
      <c r="K694" s="4"/>
      <c r="L694" s="4"/>
      <c r="M694" s="4"/>
      <c r="N694" s="4"/>
    </row>
    <row r="695" spans="2:14" ht="13">
      <c r="B695" s="4"/>
      <c r="C695" s="4"/>
      <c r="D695" s="4"/>
      <c r="E695" s="4"/>
      <c r="F695" s="4"/>
      <c r="G695" s="4"/>
      <c r="H695" s="4"/>
      <c r="I695" s="4"/>
      <c r="J695" s="4"/>
      <c r="K695" s="4"/>
      <c r="L695" s="4"/>
      <c r="M695" s="4"/>
      <c r="N695" s="4"/>
    </row>
    <row r="696" spans="2:14" ht="13">
      <c r="B696" s="4"/>
      <c r="C696" s="4"/>
      <c r="D696" s="4"/>
      <c r="E696" s="4"/>
      <c r="F696" s="4"/>
      <c r="G696" s="4"/>
      <c r="H696" s="4"/>
      <c r="I696" s="4"/>
      <c r="J696" s="4"/>
      <c r="K696" s="4"/>
      <c r="L696" s="4"/>
      <c r="M696" s="4"/>
      <c r="N696" s="4"/>
    </row>
    <row r="697" spans="2:14" ht="13">
      <c r="B697" s="4"/>
      <c r="C697" s="4"/>
      <c r="D697" s="4"/>
      <c r="E697" s="4"/>
      <c r="F697" s="4"/>
      <c r="G697" s="4"/>
      <c r="H697" s="4"/>
      <c r="I697" s="4"/>
      <c r="J697" s="4"/>
      <c r="K697" s="4"/>
      <c r="L697" s="4"/>
      <c r="M697" s="4"/>
      <c r="N697" s="4"/>
    </row>
    <row r="698" spans="2:14" ht="13">
      <c r="B698" s="4"/>
      <c r="C698" s="4"/>
      <c r="D698" s="4"/>
      <c r="E698" s="4"/>
      <c r="F698" s="4"/>
      <c r="G698" s="4"/>
      <c r="H698" s="4"/>
      <c r="I698" s="4"/>
      <c r="J698" s="4"/>
      <c r="K698" s="4"/>
      <c r="L698" s="4"/>
      <c r="M698" s="4"/>
      <c r="N698" s="4"/>
    </row>
    <row r="699" spans="2:14" ht="13">
      <c r="B699" s="4"/>
      <c r="C699" s="4"/>
      <c r="D699" s="4"/>
      <c r="E699" s="4"/>
      <c r="F699" s="4"/>
      <c r="G699" s="4"/>
      <c r="H699" s="4"/>
      <c r="I699" s="4"/>
      <c r="J699" s="4"/>
      <c r="K699" s="4"/>
      <c r="L699" s="4"/>
      <c r="M699" s="4"/>
      <c r="N699" s="4"/>
    </row>
    <row r="700" spans="2:14" ht="13">
      <c r="B700" s="4"/>
      <c r="C700" s="4"/>
      <c r="D700" s="4"/>
      <c r="E700" s="4"/>
      <c r="F700" s="4"/>
      <c r="G700" s="4"/>
      <c r="H700" s="4"/>
      <c r="I700" s="4"/>
      <c r="J700" s="4"/>
      <c r="K700" s="4"/>
      <c r="L700" s="4"/>
      <c r="M700" s="4"/>
      <c r="N700" s="4"/>
    </row>
    <row r="701" spans="2:14" ht="13">
      <c r="B701" s="4"/>
      <c r="C701" s="4"/>
      <c r="D701" s="4"/>
      <c r="E701" s="4"/>
      <c r="F701" s="4"/>
      <c r="G701" s="4"/>
      <c r="H701" s="4"/>
      <c r="I701" s="4"/>
      <c r="J701" s="4"/>
      <c r="K701" s="4"/>
      <c r="L701" s="4"/>
      <c r="M701" s="4"/>
      <c r="N701" s="4"/>
    </row>
    <row r="702" spans="2:14" ht="13">
      <c r="B702" s="4"/>
      <c r="C702" s="4"/>
      <c r="D702" s="4"/>
      <c r="E702" s="4"/>
      <c r="F702" s="4"/>
      <c r="G702" s="4"/>
      <c r="H702" s="4"/>
      <c r="I702" s="4"/>
      <c r="J702" s="4"/>
      <c r="K702" s="4"/>
      <c r="L702" s="4"/>
      <c r="M702" s="4"/>
      <c r="N702" s="4"/>
    </row>
    <row r="703" spans="2:14" ht="13">
      <c r="B703" s="4"/>
      <c r="C703" s="4"/>
      <c r="D703" s="4"/>
      <c r="E703" s="4"/>
      <c r="F703" s="4"/>
      <c r="G703" s="4"/>
      <c r="H703" s="4"/>
      <c r="I703" s="4"/>
      <c r="J703" s="4"/>
      <c r="K703" s="4"/>
      <c r="L703" s="4"/>
      <c r="M703" s="4"/>
      <c r="N703" s="4"/>
    </row>
    <row r="704" spans="2:14" ht="13">
      <c r="B704" s="4"/>
      <c r="C704" s="4"/>
      <c r="D704" s="4"/>
      <c r="E704" s="4"/>
      <c r="F704" s="4"/>
      <c r="G704" s="4"/>
      <c r="H704" s="4"/>
      <c r="I704" s="4"/>
      <c r="J704" s="4"/>
      <c r="K704" s="4"/>
      <c r="L704" s="4"/>
      <c r="M704" s="4"/>
      <c r="N704" s="4"/>
    </row>
    <row r="705" spans="2:14" ht="13">
      <c r="B705" s="4"/>
      <c r="C705" s="4"/>
      <c r="D705" s="4"/>
      <c r="E705" s="4"/>
      <c r="F705" s="4"/>
      <c r="G705" s="4"/>
      <c r="H705" s="4"/>
      <c r="I705" s="4"/>
      <c r="J705" s="4"/>
      <c r="K705" s="4"/>
      <c r="L705" s="4"/>
      <c r="M705" s="4"/>
      <c r="N705" s="4"/>
    </row>
    <row r="706" spans="2:14" ht="13">
      <c r="B706" s="4"/>
      <c r="C706" s="4"/>
      <c r="D706" s="4"/>
      <c r="E706" s="4"/>
      <c r="F706" s="4"/>
      <c r="G706" s="4"/>
      <c r="H706" s="4"/>
      <c r="I706" s="4"/>
      <c r="J706" s="4"/>
      <c r="K706" s="4"/>
      <c r="L706" s="4"/>
      <c r="M706" s="4"/>
      <c r="N706" s="4"/>
    </row>
    <row r="707" spans="2:14" ht="13">
      <c r="B707" s="4"/>
      <c r="C707" s="4"/>
      <c r="D707" s="4"/>
      <c r="E707" s="4"/>
      <c r="F707" s="4"/>
      <c r="G707" s="4"/>
      <c r="H707" s="4"/>
      <c r="I707" s="4"/>
      <c r="J707" s="4"/>
      <c r="K707" s="4"/>
      <c r="L707" s="4"/>
      <c r="M707" s="4"/>
      <c r="N707" s="4"/>
    </row>
    <row r="708" spans="2:14" ht="13">
      <c r="B708" s="4"/>
      <c r="C708" s="4"/>
      <c r="D708" s="4"/>
      <c r="E708" s="4"/>
      <c r="F708" s="4"/>
      <c r="G708" s="4"/>
      <c r="H708" s="4"/>
      <c r="I708" s="4"/>
      <c r="J708" s="4"/>
      <c r="K708" s="4"/>
      <c r="L708" s="4"/>
      <c r="M708" s="4"/>
      <c r="N708" s="4"/>
    </row>
    <row r="709" spans="2:14" ht="13">
      <c r="B709" s="4"/>
      <c r="C709" s="4"/>
      <c r="D709" s="4"/>
      <c r="E709" s="4"/>
      <c r="F709" s="4"/>
      <c r="G709" s="4"/>
      <c r="H709" s="4"/>
      <c r="I709" s="4"/>
      <c r="J709" s="4"/>
      <c r="K709" s="4"/>
      <c r="L709" s="4"/>
      <c r="M709" s="4"/>
      <c r="N709" s="4"/>
    </row>
    <row r="710" spans="2:14" ht="13">
      <c r="B710" s="4"/>
      <c r="C710" s="4"/>
      <c r="D710" s="4"/>
      <c r="E710" s="4"/>
      <c r="F710" s="4"/>
      <c r="G710" s="4"/>
      <c r="H710" s="4"/>
      <c r="I710" s="4"/>
      <c r="J710" s="4"/>
      <c r="K710" s="4"/>
      <c r="L710" s="4"/>
      <c r="M710" s="4"/>
      <c r="N710" s="4"/>
    </row>
    <row r="711" spans="2:14" ht="13">
      <c r="B711" s="4"/>
      <c r="C711" s="4"/>
      <c r="D711" s="4"/>
      <c r="E711" s="4"/>
      <c r="F711" s="4"/>
      <c r="G711" s="4"/>
      <c r="H711" s="4"/>
      <c r="I711" s="4"/>
      <c r="J711" s="4"/>
      <c r="K711" s="4"/>
      <c r="L711" s="4"/>
      <c r="M711" s="4"/>
      <c r="N711" s="4"/>
    </row>
    <row r="712" spans="2:14" ht="13">
      <c r="B712" s="4"/>
      <c r="C712" s="4"/>
      <c r="D712" s="4"/>
      <c r="E712" s="4"/>
      <c r="F712" s="4"/>
      <c r="G712" s="4"/>
      <c r="H712" s="4"/>
      <c r="I712" s="4"/>
      <c r="J712" s="4"/>
      <c r="K712" s="4"/>
      <c r="L712" s="4"/>
      <c r="M712" s="4"/>
      <c r="N712" s="4"/>
    </row>
    <row r="713" spans="2:14" ht="13">
      <c r="B713" s="4"/>
      <c r="C713" s="4"/>
      <c r="D713" s="4"/>
      <c r="E713" s="4"/>
      <c r="F713" s="4"/>
      <c r="G713" s="4"/>
      <c r="H713" s="4"/>
      <c r="I713" s="4"/>
      <c r="J713" s="4"/>
      <c r="K713" s="4"/>
      <c r="L713" s="4"/>
      <c r="M713" s="4"/>
      <c r="N713" s="4"/>
    </row>
    <row r="714" spans="2:14" ht="13">
      <c r="B714" s="4"/>
      <c r="C714" s="4"/>
      <c r="D714" s="4"/>
      <c r="E714" s="4"/>
      <c r="F714" s="4"/>
      <c r="G714" s="4"/>
      <c r="H714" s="4"/>
      <c r="I714" s="4"/>
      <c r="J714" s="4"/>
      <c r="K714" s="4"/>
      <c r="L714" s="4"/>
      <c r="M714" s="4"/>
      <c r="N714" s="4"/>
    </row>
    <row r="715" spans="2:14" ht="13">
      <c r="B715" s="4"/>
      <c r="C715" s="4"/>
      <c r="D715" s="4"/>
      <c r="E715" s="4"/>
      <c r="F715" s="4"/>
      <c r="G715" s="4"/>
      <c r="H715" s="4"/>
      <c r="I715" s="4"/>
      <c r="J715" s="4"/>
      <c r="K715" s="4"/>
      <c r="L715" s="4"/>
      <c r="M715" s="4"/>
      <c r="N715" s="4"/>
    </row>
    <row r="716" spans="2:14" ht="13">
      <c r="B716" s="4"/>
      <c r="C716" s="4"/>
      <c r="D716" s="4"/>
      <c r="E716" s="4"/>
      <c r="F716" s="4"/>
      <c r="G716" s="4"/>
      <c r="H716" s="4"/>
      <c r="I716" s="4"/>
      <c r="J716" s="4"/>
      <c r="K716" s="4"/>
      <c r="L716" s="4"/>
      <c r="M716" s="4"/>
      <c r="N716" s="4"/>
    </row>
    <row r="717" spans="2:14" ht="13">
      <c r="B717" s="4"/>
      <c r="C717" s="4"/>
      <c r="D717" s="4"/>
      <c r="E717" s="4"/>
      <c r="F717" s="4"/>
      <c r="G717" s="4"/>
      <c r="H717" s="4"/>
      <c r="I717" s="4"/>
      <c r="J717" s="4"/>
      <c r="K717" s="4"/>
      <c r="L717" s="4"/>
      <c r="M717" s="4"/>
      <c r="N717" s="4"/>
    </row>
    <row r="718" spans="2:14" ht="13">
      <c r="B718" s="4"/>
      <c r="C718" s="4"/>
      <c r="D718" s="4"/>
      <c r="E718" s="4"/>
      <c r="F718" s="4"/>
      <c r="G718" s="4"/>
      <c r="H718" s="4"/>
      <c r="I718" s="4"/>
      <c r="J718" s="4"/>
      <c r="K718" s="4"/>
      <c r="L718" s="4"/>
      <c r="M718" s="4"/>
      <c r="N718" s="4"/>
    </row>
    <row r="719" spans="2:14" ht="13">
      <c r="B719" s="4"/>
      <c r="C719" s="4"/>
      <c r="D719" s="4"/>
      <c r="E719" s="4"/>
      <c r="F719" s="4"/>
      <c r="G719" s="4"/>
      <c r="H719" s="4"/>
      <c r="I719" s="4"/>
      <c r="J719" s="4"/>
      <c r="K719" s="4"/>
      <c r="L719" s="4"/>
      <c r="M719" s="4"/>
      <c r="N719" s="4"/>
    </row>
    <row r="720" spans="2:14" ht="13">
      <c r="B720" s="4"/>
      <c r="C720" s="4"/>
      <c r="D720" s="4"/>
      <c r="E720" s="4"/>
      <c r="F720" s="4"/>
      <c r="G720" s="4"/>
      <c r="H720" s="4"/>
      <c r="I720" s="4"/>
      <c r="J720" s="4"/>
      <c r="K720" s="4"/>
      <c r="L720" s="4"/>
      <c r="M720" s="4"/>
      <c r="N720" s="4"/>
    </row>
    <row r="721" spans="2:14" ht="13">
      <c r="B721" s="4"/>
      <c r="C721" s="4"/>
      <c r="D721" s="4"/>
      <c r="E721" s="4"/>
      <c r="F721" s="4"/>
      <c r="G721" s="4"/>
      <c r="H721" s="4"/>
      <c r="I721" s="4"/>
      <c r="J721" s="4"/>
      <c r="K721" s="4"/>
      <c r="L721" s="4"/>
      <c r="M721" s="4"/>
      <c r="N721" s="4"/>
    </row>
    <row r="722" spans="2:14" ht="13">
      <c r="B722" s="4"/>
      <c r="C722" s="4"/>
      <c r="D722" s="4"/>
      <c r="E722" s="4"/>
      <c r="F722" s="4"/>
      <c r="G722" s="4"/>
      <c r="H722" s="4"/>
      <c r="I722" s="4"/>
      <c r="J722" s="4"/>
      <c r="K722" s="4"/>
      <c r="L722" s="4"/>
      <c r="M722" s="4"/>
      <c r="N722" s="4"/>
    </row>
    <row r="723" spans="2:14" ht="13">
      <c r="B723" s="4"/>
      <c r="C723" s="4"/>
      <c r="D723" s="4"/>
      <c r="E723" s="4"/>
      <c r="F723" s="4"/>
      <c r="G723" s="4"/>
      <c r="H723" s="4"/>
      <c r="I723" s="4"/>
      <c r="J723" s="4"/>
      <c r="K723" s="4"/>
      <c r="L723" s="4"/>
      <c r="M723" s="4"/>
      <c r="N723" s="4"/>
    </row>
    <row r="724" spans="2:14" ht="13">
      <c r="B724" s="4"/>
      <c r="C724" s="4"/>
      <c r="D724" s="4"/>
      <c r="E724" s="4"/>
      <c r="F724" s="4"/>
      <c r="G724" s="4"/>
      <c r="H724" s="4"/>
      <c r="I724" s="4"/>
      <c r="J724" s="4"/>
      <c r="K724" s="4"/>
      <c r="L724" s="4"/>
      <c r="M724" s="4"/>
      <c r="N724" s="4"/>
    </row>
    <row r="725" spans="2:14" ht="13">
      <c r="B725" s="4"/>
      <c r="C725" s="4"/>
      <c r="D725" s="4"/>
      <c r="E725" s="4"/>
      <c r="F725" s="4"/>
      <c r="G725" s="4"/>
      <c r="H725" s="4"/>
      <c r="I725" s="4"/>
      <c r="J725" s="4"/>
      <c r="K725" s="4"/>
      <c r="L725" s="4"/>
      <c r="M725" s="4"/>
      <c r="N725" s="4"/>
    </row>
    <row r="726" spans="2:14" ht="13">
      <c r="B726" s="4"/>
      <c r="C726" s="4"/>
      <c r="D726" s="4"/>
      <c r="E726" s="4"/>
      <c r="F726" s="4"/>
      <c r="G726" s="4"/>
      <c r="H726" s="4"/>
      <c r="I726" s="4"/>
      <c r="J726" s="4"/>
      <c r="K726" s="4"/>
      <c r="L726" s="4"/>
      <c r="M726" s="4"/>
      <c r="N726" s="4"/>
    </row>
    <row r="727" spans="2:14" ht="13">
      <c r="B727" s="4"/>
      <c r="C727" s="4"/>
      <c r="D727" s="4"/>
      <c r="E727" s="4"/>
      <c r="F727" s="4"/>
      <c r="G727" s="4"/>
      <c r="H727" s="4"/>
      <c r="I727" s="4"/>
      <c r="J727" s="4"/>
      <c r="K727" s="4"/>
      <c r="L727" s="4"/>
      <c r="M727" s="4"/>
      <c r="N727" s="4"/>
    </row>
    <row r="728" spans="2:14" ht="13">
      <c r="B728" s="4"/>
      <c r="C728" s="4"/>
      <c r="D728" s="4"/>
      <c r="E728" s="4"/>
      <c r="F728" s="4"/>
      <c r="G728" s="4"/>
      <c r="H728" s="4"/>
      <c r="I728" s="4"/>
      <c r="J728" s="4"/>
      <c r="K728" s="4"/>
      <c r="L728" s="4"/>
      <c r="M728" s="4"/>
      <c r="N728" s="4"/>
    </row>
    <row r="729" spans="2:14" ht="13">
      <c r="B729" s="4"/>
      <c r="C729" s="4"/>
      <c r="D729" s="4"/>
      <c r="E729" s="4"/>
      <c r="F729" s="4"/>
      <c r="G729" s="4"/>
      <c r="H729" s="4"/>
      <c r="I729" s="4"/>
      <c r="J729" s="4"/>
      <c r="K729" s="4"/>
      <c r="L729" s="4"/>
      <c r="M729" s="4"/>
      <c r="N729" s="4"/>
    </row>
    <row r="730" spans="2:14" ht="13">
      <c r="B730" s="4"/>
      <c r="C730" s="4"/>
      <c r="D730" s="4"/>
      <c r="E730" s="4"/>
      <c r="F730" s="4"/>
      <c r="G730" s="4"/>
      <c r="H730" s="4"/>
      <c r="I730" s="4"/>
      <c r="J730" s="4"/>
      <c r="K730" s="4"/>
      <c r="L730" s="4"/>
      <c r="M730" s="4"/>
      <c r="N730" s="4"/>
    </row>
    <row r="731" spans="2:14" ht="13">
      <c r="B731" s="4"/>
      <c r="C731" s="4"/>
      <c r="D731" s="4"/>
      <c r="E731" s="4"/>
      <c r="F731" s="4"/>
      <c r="G731" s="4"/>
      <c r="H731" s="4"/>
      <c r="I731" s="4"/>
      <c r="J731" s="4"/>
      <c r="K731" s="4"/>
      <c r="L731" s="4"/>
      <c r="M731" s="4"/>
      <c r="N731" s="4"/>
    </row>
    <row r="732" spans="2:14" ht="13">
      <c r="B732" s="4"/>
      <c r="C732" s="4"/>
      <c r="D732" s="4"/>
      <c r="E732" s="4"/>
      <c r="F732" s="4"/>
      <c r="G732" s="4"/>
      <c r="H732" s="4"/>
      <c r="I732" s="4"/>
      <c r="J732" s="4"/>
      <c r="K732" s="4"/>
      <c r="L732" s="4"/>
      <c r="M732" s="4"/>
      <c r="N732" s="4"/>
    </row>
    <row r="733" spans="2:14" ht="13">
      <c r="B733" s="4"/>
      <c r="C733" s="4"/>
      <c r="D733" s="4"/>
      <c r="E733" s="4"/>
      <c r="F733" s="4"/>
      <c r="G733" s="4"/>
      <c r="H733" s="4"/>
      <c r="I733" s="4"/>
      <c r="J733" s="4"/>
      <c r="K733" s="4"/>
      <c r="L733" s="4"/>
      <c r="M733" s="4"/>
      <c r="N733" s="4"/>
    </row>
    <row r="734" spans="2:14" ht="13">
      <c r="B734" s="4"/>
      <c r="C734" s="4"/>
      <c r="D734" s="4"/>
      <c r="E734" s="4"/>
      <c r="F734" s="4"/>
      <c r="G734" s="4"/>
      <c r="H734" s="4"/>
      <c r="I734" s="4"/>
      <c r="J734" s="4"/>
      <c r="K734" s="4"/>
      <c r="L734" s="4"/>
      <c r="M734" s="4"/>
      <c r="N734" s="4"/>
    </row>
    <row r="735" spans="2:14" ht="13">
      <c r="B735" s="4"/>
      <c r="C735" s="4"/>
      <c r="D735" s="4"/>
      <c r="E735" s="4"/>
      <c r="F735" s="4"/>
      <c r="G735" s="4"/>
      <c r="H735" s="4"/>
      <c r="I735" s="4"/>
      <c r="J735" s="4"/>
      <c r="K735" s="4"/>
      <c r="L735" s="4"/>
      <c r="M735" s="4"/>
      <c r="N735" s="4"/>
    </row>
    <row r="736" spans="2:14" ht="13">
      <c r="B736" s="4"/>
      <c r="C736" s="4"/>
      <c r="D736" s="4"/>
      <c r="E736" s="4"/>
      <c r="F736" s="4"/>
      <c r="G736" s="4"/>
      <c r="H736" s="4"/>
      <c r="I736" s="4"/>
      <c r="J736" s="4"/>
      <c r="K736" s="4"/>
      <c r="L736" s="4"/>
      <c r="M736" s="4"/>
      <c r="N736" s="4"/>
    </row>
    <row r="737" spans="2:14" ht="13">
      <c r="B737" s="4"/>
      <c r="C737" s="4"/>
      <c r="D737" s="4"/>
      <c r="E737" s="4"/>
      <c r="F737" s="4"/>
      <c r="G737" s="4"/>
      <c r="H737" s="4"/>
      <c r="I737" s="4"/>
      <c r="J737" s="4"/>
      <c r="K737" s="4"/>
      <c r="L737" s="4"/>
      <c r="M737" s="4"/>
      <c r="N737" s="4"/>
    </row>
    <row r="738" spans="2:14" ht="13">
      <c r="B738" s="4"/>
      <c r="C738" s="4"/>
      <c r="D738" s="4"/>
      <c r="E738" s="4"/>
      <c r="F738" s="4"/>
      <c r="G738" s="4"/>
      <c r="H738" s="4"/>
      <c r="I738" s="4"/>
      <c r="J738" s="4"/>
      <c r="K738" s="4"/>
      <c r="L738" s="4"/>
      <c r="M738" s="4"/>
      <c r="N738" s="4"/>
    </row>
    <row r="739" spans="2:14" ht="13">
      <c r="B739" s="4"/>
      <c r="C739" s="4"/>
      <c r="D739" s="4"/>
      <c r="E739" s="4"/>
      <c r="F739" s="4"/>
      <c r="G739" s="4"/>
      <c r="H739" s="4"/>
      <c r="I739" s="4"/>
      <c r="J739" s="4"/>
      <c r="K739" s="4"/>
      <c r="L739" s="4"/>
      <c r="M739" s="4"/>
      <c r="N739" s="4"/>
    </row>
    <row r="740" spans="2:14" ht="13">
      <c r="B740" s="4"/>
      <c r="C740" s="4"/>
      <c r="D740" s="4"/>
      <c r="E740" s="4"/>
      <c r="F740" s="4"/>
      <c r="G740" s="4"/>
      <c r="H740" s="4"/>
      <c r="I740" s="4"/>
      <c r="J740" s="4"/>
      <c r="K740" s="4"/>
      <c r="L740" s="4"/>
      <c r="M740" s="4"/>
      <c r="N740" s="4"/>
    </row>
    <row r="741" spans="2:14" ht="13">
      <c r="B741" s="4"/>
      <c r="C741" s="4"/>
      <c r="D741" s="4"/>
      <c r="E741" s="4"/>
      <c r="F741" s="4"/>
      <c r="G741" s="4"/>
      <c r="H741" s="4"/>
      <c r="I741" s="4"/>
      <c r="J741" s="4"/>
      <c r="K741" s="4"/>
      <c r="L741" s="4"/>
      <c r="M741" s="4"/>
      <c r="N741" s="4"/>
    </row>
    <row r="742" spans="2:14" ht="13">
      <c r="B742" s="4"/>
      <c r="C742" s="4"/>
      <c r="D742" s="4"/>
      <c r="E742" s="4"/>
      <c r="F742" s="4"/>
      <c r="G742" s="4"/>
      <c r="H742" s="4"/>
      <c r="I742" s="4"/>
      <c r="J742" s="4"/>
      <c r="K742" s="4"/>
      <c r="L742" s="4"/>
      <c r="M742" s="4"/>
      <c r="N742" s="4"/>
    </row>
    <row r="743" spans="2:14" ht="13">
      <c r="B743" s="4"/>
      <c r="C743" s="4"/>
      <c r="D743" s="4"/>
      <c r="E743" s="4"/>
      <c r="F743" s="4"/>
      <c r="G743" s="4"/>
      <c r="H743" s="4"/>
      <c r="I743" s="4"/>
      <c r="J743" s="4"/>
      <c r="K743" s="4"/>
      <c r="L743" s="4"/>
      <c r="M743" s="4"/>
      <c r="N743" s="4"/>
    </row>
    <row r="744" spans="2:14" ht="13">
      <c r="B744" s="4"/>
      <c r="C744" s="4"/>
      <c r="D744" s="4"/>
      <c r="E744" s="4"/>
      <c r="F744" s="4"/>
      <c r="G744" s="4"/>
      <c r="H744" s="4"/>
      <c r="I744" s="4"/>
      <c r="J744" s="4"/>
      <c r="K744" s="4"/>
      <c r="L744" s="4"/>
      <c r="M744" s="4"/>
      <c r="N744" s="4"/>
    </row>
    <row r="745" spans="2:14" ht="13">
      <c r="B745" s="4"/>
      <c r="C745" s="4"/>
      <c r="D745" s="4"/>
      <c r="E745" s="4"/>
      <c r="F745" s="4"/>
      <c r="G745" s="4"/>
      <c r="H745" s="4"/>
      <c r="I745" s="4"/>
      <c r="J745" s="4"/>
      <c r="K745" s="4"/>
      <c r="L745" s="4"/>
      <c r="M745" s="4"/>
      <c r="N745" s="4"/>
    </row>
    <row r="746" spans="2:14" ht="13">
      <c r="B746" s="4"/>
      <c r="C746" s="4"/>
      <c r="D746" s="4"/>
      <c r="E746" s="4"/>
      <c r="F746" s="4"/>
      <c r="G746" s="4"/>
      <c r="H746" s="4"/>
      <c r="I746" s="4"/>
      <c r="J746" s="4"/>
      <c r="K746" s="4"/>
      <c r="L746" s="4"/>
      <c r="M746" s="4"/>
      <c r="N746" s="4"/>
    </row>
    <row r="747" spans="2:14" ht="13">
      <c r="B747" s="4"/>
      <c r="C747" s="4"/>
      <c r="D747" s="4"/>
      <c r="E747" s="4"/>
      <c r="F747" s="4"/>
      <c r="G747" s="4"/>
      <c r="H747" s="4"/>
      <c r="I747" s="4"/>
      <c r="J747" s="4"/>
      <c r="K747" s="4"/>
      <c r="L747" s="4"/>
      <c r="M747" s="4"/>
      <c r="N747" s="4"/>
    </row>
    <row r="748" spans="2:14" ht="13">
      <c r="B748" s="4"/>
      <c r="C748" s="4"/>
      <c r="D748" s="4"/>
      <c r="E748" s="4"/>
      <c r="F748" s="4"/>
      <c r="G748" s="4"/>
      <c r="H748" s="4"/>
      <c r="I748" s="4"/>
      <c r="J748" s="4"/>
      <c r="K748" s="4"/>
      <c r="L748" s="4"/>
      <c r="M748" s="4"/>
      <c r="N748" s="4"/>
    </row>
    <row r="749" spans="2:14" ht="13">
      <c r="B749" s="4"/>
      <c r="C749" s="4"/>
      <c r="D749" s="4"/>
      <c r="E749" s="4"/>
      <c r="F749" s="4"/>
      <c r="G749" s="4"/>
      <c r="H749" s="4"/>
      <c r="I749" s="4"/>
      <c r="J749" s="4"/>
      <c r="K749" s="4"/>
      <c r="L749" s="4"/>
      <c r="M749" s="4"/>
      <c r="N749" s="4"/>
    </row>
    <row r="750" spans="2:14" ht="13">
      <c r="B750" s="4"/>
      <c r="C750" s="4"/>
      <c r="D750" s="4"/>
      <c r="E750" s="4"/>
      <c r="F750" s="4"/>
      <c r="G750" s="4"/>
      <c r="H750" s="4"/>
      <c r="I750" s="4"/>
      <c r="J750" s="4"/>
      <c r="K750" s="4"/>
      <c r="L750" s="4"/>
      <c r="M750" s="4"/>
      <c r="N750" s="4"/>
    </row>
    <row r="751" spans="2:14" ht="13">
      <c r="B751" s="4"/>
      <c r="C751" s="4"/>
      <c r="D751" s="4"/>
      <c r="E751" s="4"/>
      <c r="F751" s="4"/>
      <c r="G751" s="4"/>
      <c r="H751" s="4"/>
      <c r="I751" s="4"/>
      <c r="J751" s="4"/>
      <c r="K751" s="4"/>
      <c r="L751" s="4"/>
      <c r="M751" s="4"/>
      <c r="N751" s="4"/>
    </row>
    <row r="752" spans="2:14" ht="13">
      <c r="B752" s="4"/>
      <c r="C752" s="4"/>
      <c r="D752" s="4"/>
      <c r="E752" s="4"/>
      <c r="F752" s="4"/>
      <c r="G752" s="4"/>
      <c r="H752" s="4"/>
      <c r="I752" s="4"/>
      <c r="J752" s="4"/>
      <c r="K752" s="4"/>
      <c r="L752" s="4"/>
      <c r="M752" s="4"/>
      <c r="N752" s="4"/>
    </row>
    <row r="753" spans="2:14" ht="13">
      <c r="B753" s="4"/>
      <c r="C753" s="4"/>
      <c r="D753" s="4"/>
      <c r="E753" s="4"/>
      <c r="F753" s="4"/>
      <c r="G753" s="4"/>
      <c r="H753" s="4"/>
      <c r="I753" s="4"/>
      <c r="J753" s="4"/>
      <c r="K753" s="4"/>
      <c r="L753" s="4"/>
      <c r="M753" s="4"/>
      <c r="N753" s="4"/>
    </row>
    <row r="754" spans="2:14" ht="13">
      <c r="B754" s="4"/>
      <c r="C754" s="4"/>
      <c r="D754" s="4"/>
      <c r="E754" s="4"/>
      <c r="F754" s="4"/>
      <c r="G754" s="4"/>
      <c r="H754" s="4"/>
      <c r="I754" s="4"/>
      <c r="J754" s="4"/>
      <c r="K754" s="4"/>
      <c r="L754" s="4"/>
      <c r="M754" s="4"/>
      <c r="N754" s="4"/>
    </row>
    <row r="755" spans="2:14" ht="13">
      <c r="B755" s="4"/>
      <c r="C755" s="4"/>
      <c r="D755" s="4"/>
      <c r="E755" s="4"/>
      <c r="F755" s="4"/>
      <c r="G755" s="4"/>
      <c r="H755" s="4"/>
      <c r="I755" s="4"/>
      <c r="J755" s="4"/>
      <c r="K755" s="4"/>
      <c r="L755" s="4"/>
      <c r="M755" s="4"/>
      <c r="N755" s="4"/>
    </row>
    <row r="756" spans="2:14" ht="13">
      <c r="B756" s="4"/>
      <c r="C756" s="4"/>
      <c r="D756" s="4"/>
      <c r="E756" s="4"/>
      <c r="F756" s="4"/>
      <c r="G756" s="4"/>
      <c r="H756" s="4"/>
      <c r="I756" s="4"/>
      <c r="J756" s="4"/>
      <c r="K756" s="4"/>
      <c r="L756" s="4"/>
      <c r="M756" s="4"/>
      <c r="N756" s="4"/>
    </row>
    <row r="757" spans="2:14" ht="13">
      <c r="B757" s="4"/>
      <c r="C757" s="4"/>
      <c r="D757" s="4"/>
      <c r="E757" s="4"/>
      <c r="F757" s="4"/>
      <c r="G757" s="4"/>
      <c r="H757" s="4"/>
      <c r="I757" s="4"/>
      <c r="J757" s="4"/>
      <c r="K757" s="4"/>
      <c r="L757" s="4"/>
      <c r="M757" s="4"/>
      <c r="N757" s="4"/>
    </row>
    <row r="758" spans="2:14" ht="13">
      <c r="B758" s="4"/>
      <c r="C758" s="4"/>
      <c r="D758" s="4"/>
      <c r="E758" s="4"/>
      <c r="F758" s="4"/>
      <c r="G758" s="4"/>
      <c r="H758" s="4"/>
      <c r="I758" s="4"/>
      <c r="J758" s="4"/>
      <c r="K758" s="4"/>
      <c r="L758" s="4"/>
      <c r="M758" s="4"/>
      <c r="N758" s="4"/>
    </row>
    <row r="759" spans="2:14" ht="13">
      <c r="B759" s="4"/>
      <c r="C759" s="4"/>
      <c r="D759" s="4"/>
      <c r="E759" s="4"/>
      <c r="F759" s="4"/>
      <c r="G759" s="4"/>
      <c r="H759" s="4"/>
      <c r="I759" s="4"/>
      <c r="J759" s="4"/>
      <c r="K759" s="4"/>
      <c r="L759" s="4"/>
      <c r="M759" s="4"/>
      <c r="N759" s="4"/>
    </row>
    <row r="760" spans="2:14" ht="13">
      <c r="B760" s="4"/>
      <c r="C760" s="4"/>
      <c r="D760" s="4"/>
      <c r="E760" s="4"/>
      <c r="F760" s="4"/>
      <c r="G760" s="4"/>
      <c r="H760" s="4"/>
      <c r="I760" s="4"/>
      <c r="J760" s="4"/>
      <c r="K760" s="4"/>
      <c r="L760" s="4"/>
      <c r="M760" s="4"/>
      <c r="N760" s="4"/>
    </row>
    <row r="761" spans="2:14" ht="13">
      <c r="B761" s="4"/>
      <c r="C761" s="4"/>
      <c r="D761" s="4"/>
      <c r="E761" s="4"/>
      <c r="F761" s="4"/>
      <c r="G761" s="4"/>
      <c r="H761" s="4"/>
      <c r="I761" s="4"/>
      <c r="J761" s="4"/>
      <c r="K761" s="4"/>
      <c r="L761" s="4"/>
      <c r="M761" s="4"/>
      <c r="N761" s="4"/>
    </row>
    <row r="762" spans="2:14" ht="13">
      <c r="B762" s="4"/>
      <c r="C762" s="4"/>
      <c r="D762" s="4"/>
      <c r="E762" s="4"/>
      <c r="F762" s="4"/>
      <c r="G762" s="4"/>
      <c r="H762" s="4"/>
      <c r="I762" s="4"/>
      <c r="J762" s="4"/>
      <c r="K762" s="4"/>
      <c r="L762" s="4"/>
      <c r="M762" s="4"/>
      <c r="N762" s="4"/>
    </row>
    <row r="763" spans="2:14" ht="13">
      <c r="B763" s="4"/>
      <c r="C763" s="4"/>
      <c r="D763" s="4"/>
      <c r="E763" s="4"/>
      <c r="F763" s="4"/>
      <c r="G763" s="4"/>
      <c r="H763" s="4"/>
      <c r="I763" s="4"/>
      <c r="J763" s="4"/>
      <c r="K763" s="4"/>
      <c r="L763" s="4"/>
      <c r="M763" s="4"/>
      <c r="N763" s="4"/>
    </row>
    <row r="764" spans="2:14" ht="13">
      <c r="B764" s="4"/>
      <c r="C764" s="4"/>
      <c r="D764" s="4"/>
      <c r="E764" s="4"/>
      <c r="F764" s="4"/>
      <c r="G764" s="4"/>
      <c r="H764" s="4"/>
      <c r="I764" s="4"/>
      <c r="J764" s="4"/>
      <c r="K764" s="4"/>
      <c r="L764" s="4"/>
      <c r="M764" s="4"/>
      <c r="N764" s="4"/>
    </row>
    <row r="765" spans="2:14" ht="13">
      <c r="B765" s="4"/>
      <c r="C765" s="4"/>
      <c r="D765" s="4"/>
      <c r="E765" s="4"/>
      <c r="F765" s="4"/>
      <c r="G765" s="4"/>
      <c r="H765" s="4"/>
      <c r="I765" s="4"/>
      <c r="J765" s="4"/>
      <c r="K765" s="4"/>
      <c r="L765" s="4"/>
      <c r="M765" s="4"/>
      <c r="N765" s="4"/>
    </row>
    <row r="766" spans="2:14" ht="13">
      <c r="B766" s="4"/>
      <c r="C766" s="4"/>
      <c r="D766" s="4"/>
      <c r="E766" s="4"/>
      <c r="F766" s="4"/>
      <c r="G766" s="4"/>
      <c r="H766" s="4"/>
      <c r="I766" s="4"/>
      <c r="J766" s="4"/>
      <c r="K766" s="4"/>
      <c r="L766" s="4"/>
      <c r="M766" s="4"/>
      <c r="N766" s="4"/>
    </row>
    <row r="767" spans="2:14" ht="13">
      <c r="B767" s="4"/>
      <c r="C767" s="4"/>
      <c r="D767" s="4"/>
      <c r="E767" s="4"/>
      <c r="F767" s="4"/>
      <c r="G767" s="4"/>
      <c r="H767" s="4"/>
      <c r="I767" s="4"/>
      <c r="J767" s="4"/>
      <c r="K767" s="4"/>
      <c r="L767" s="4"/>
      <c r="M767" s="4"/>
      <c r="N767" s="4"/>
    </row>
    <row r="768" spans="2:14" ht="13">
      <c r="B768" s="4"/>
      <c r="C768" s="4"/>
      <c r="D768" s="4"/>
      <c r="E768" s="4"/>
      <c r="F768" s="4"/>
      <c r="G768" s="4"/>
      <c r="H768" s="4"/>
      <c r="I768" s="4"/>
      <c r="J768" s="4"/>
      <c r="K768" s="4"/>
      <c r="L768" s="4"/>
      <c r="M768" s="4"/>
      <c r="N768" s="4"/>
    </row>
    <row r="769" spans="2:14" ht="13">
      <c r="B769" s="4"/>
      <c r="C769" s="4"/>
      <c r="D769" s="4"/>
      <c r="E769" s="4"/>
      <c r="F769" s="4"/>
      <c r="G769" s="4"/>
      <c r="H769" s="4"/>
      <c r="I769" s="4"/>
      <c r="J769" s="4"/>
      <c r="K769" s="4"/>
      <c r="L769" s="4"/>
      <c r="M769" s="4"/>
      <c r="N769" s="4"/>
    </row>
    <row r="770" spans="2:14" ht="13">
      <c r="B770" s="4"/>
      <c r="C770" s="4"/>
      <c r="D770" s="4"/>
      <c r="E770" s="4"/>
      <c r="F770" s="4"/>
      <c r="G770" s="4"/>
      <c r="H770" s="4"/>
      <c r="I770" s="4"/>
      <c r="J770" s="4"/>
      <c r="K770" s="4"/>
      <c r="L770" s="4"/>
      <c r="M770" s="4"/>
      <c r="N770" s="4"/>
    </row>
    <row r="771" spans="2:14" ht="13">
      <c r="B771" s="4"/>
      <c r="C771" s="4"/>
      <c r="D771" s="4"/>
      <c r="E771" s="4"/>
      <c r="F771" s="4"/>
      <c r="G771" s="4"/>
      <c r="H771" s="4"/>
      <c r="I771" s="4"/>
      <c r="J771" s="4"/>
      <c r="K771" s="4"/>
      <c r="L771" s="4"/>
      <c r="M771" s="4"/>
      <c r="N771" s="4"/>
    </row>
    <row r="772" spans="2:14" ht="13">
      <c r="B772" s="4"/>
      <c r="C772" s="4"/>
      <c r="D772" s="4"/>
      <c r="E772" s="4"/>
      <c r="F772" s="4"/>
      <c r="G772" s="4"/>
      <c r="H772" s="4"/>
      <c r="I772" s="4"/>
      <c r="J772" s="4"/>
      <c r="K772" s="4"/>
      <c r="L772" s="4"/>
      <c r="M772" s="4"/>
      <c r="N772" s="4"/>
    </row>
    <row r="773" spans="2:14" ht="13">
      <c r="B773" s="4"/>
      <c r="C773" s="4"/>
      <c r="D773" s="4"/>
      <c r="E773" s="4"/>
      <c r="F773" s="4"/>
      <c r="G773" s="4"/>
      <c r="H773" s="4"/>
      <c r="I773" s="4"/>
      <c r="J773" s="4"/>
      <c r="K773" s="4"/>
      <c r="L773" s="4"/>
      <c r="M773" s="4"/>
      <c r="N773" s="4"/>
    </row>
    <row r="774" spans="2:14" ht="13">
      <c r="B774" s="4"/>
      <c r="C774" s="4"/>
      <c r="D774" s="4"/>
      <c r="E774" s="4"/>
      <c r="F774" s="4"/>
      <c r="G774" s="4"/>
      <c r="H774" s="4"/>
      <c r="I774" s="4"/>
      <c r="J774" s="4"/>
      <c r="K774" s="4"/>
      <c r="L774" s="4"/>
      <c r="M774" s="4"/>
      <c r="N774" s="4"/>
    </row>
    <row r="775" spans="2:14" ht="13">
      <c r="B775" s="4"/>
      <c r="C775" s="4"/>
      <c r="D775" s="4"/>
      <c r="E775" s="4"/>
      <c r="F775" s="4"/>
      <c r="G775" s="4"/>
      <c r="H775" s="4"/>
      <c r="I775" s="4"/>
      <c r="J775" s="4"/>
      <c r="K775" s="4"/>
      <c r="L775" s="4"/>
      <c r="M775" s="4"/>
      <c r="N775" s="4"/>
    </row>
    <row r="776" spans="2:14" ht="13">
      <c r="B776" s="4"/>
      <c r="C776" s="4"/>
      <c r="D776" s="4"/>
      <c r="E776" s="4"/>
      <c r="F776" s="4"/>
      <c r="G776" s="4"/>
      <c r="H776" s="4"/>
      <c r="I776" s="4"/>
      <c r="J776" s="4"/>
      <c r="K776" s="4"/>
      <c r="L776" s="4"/>
      <c r="M776" s="4"/>
      <c r="N776" s="4"/>
    </row>
    <row r="777" spans="2:14" ht="13">
      <c r="B777" s="4"/>
      <c r="C777" s="4"/>
      <c r="D777" s="4"/>
      <c r="E777" s="4"/>
      <c r="F777" s="4"/>
      <c r="G777" s="4"/>
      <c r="H777" s="4"/>
      <c r="I777" s="4"/>
      <c r="J777" s="4"/>
      <c r="K777" s="4"/>
      <c r="L777" s="4"/>
      <c r="M777" s="4"/>
      <c r="N777" s="4"/>
    </row>
    <row r="778" spans="2:14" ht="13">
      <c r="B778" s="4"/>
      <c r="C778" s="4"/>
      <c r="D778" s="4"/>
      <c r="E778" s="4"/>
      <c r="F778" s="4"/>
      <c r="G778" s="4"/>
      <c r="H778" s="4"/>
      <c r="I778" s="4"/>
      <c r="J778" s="4"/>
      <c r="K778" s="4"/>
      <c r="L778" s="4"/>
      <c r="M778" s="4"/>
      <c r="N778" s="4"/>
    </row>
    <row r="779" spans="2:14" ht="13">
      <c r="B779" s="4"/>
      <c r="C779" s="4"/>
      <c r="D779" s="4"/>
      <c r="E779" s="4"/>
      <c r="F779" s="4"/>
      <c r="G779" s="4"/>
      <c r="H779" s="4"/>
      <c r="I779" s="4"/>
      <c r="J779" s="4"/>
      <c r="K779" s="4"/>
      <c r="L779" s="4"/>
      <c r="M779" s="4"/>
      <c r="N779" s="4"/>
    </row>
    <row r="780" spans="2:14" ht="13">
      <c r="B780" s="4"/>
      <c r="C780" s="4"/>
      <c r="D780" s="4"/>
      <c r="E780" s="4"/>
      <c r="F780" s="4"/>
      <c r="G780" s="4"/>
      <c r="H780" s="4"/>
      <c r="I780" s="4"/>
      <c r="J780" s="4"/>
      <c r="K780" s="4"/>
      <c r="L780" s="4"/>
      <c r="M780" s="4"/>
      <c r="N780" s="4"/>
    </row>
    <row r="781" spans="2:14" ht="13">
      <c r="B781" s="4"/>
      <c r="C781" s="4"/>
      <c r="D781" s="4"/>
      <c r="E781" s="4"/>
      <c r="F781" s="4"/>
      <c r="G781" s="4"/>
      <c r="H781" s="4"/>
      <c r="I781" s="4"/>
      <c r="J781" s="4"/>
      <c r="K781" s="4"/>
      <c r="L781" s="4"/>
      <c r="M781" s="4"/>
      <c r="N781" s="4"/>
    </row>
    <row r="782" spans="2:14" ht="13">
      <c r="B782" s="4"/>
      <c r="C782" s="4"/>
      <c r="D782" s="4"/>
      <c r="E782" s="4"/>
      <c r="F782" s="4"/>
      <c r="G782" s="4"/>
      <c r="H782" s="4"/>
      <c r="I782" s="4"/>
      <c r="J782" s="4"/>
      <c r="K782" s="4"/>
      <c r="L782" s="4"/>
      <c r="M782" s="4"/>
      <c r="N782" s="4"/>
    </row>
    <row r="783" spans="2:14" ht="13">
      <c r="B783" s="4"/>
      <c r="C783" s="4"/>
      <c r="D783" s="4"/>
      <c r="E783" s="4"/>
      <c r="F783" s="4"/>
      <c r="G783" s="4"/>
      <c r="H783" s="4"/>
      <c r="I783" s="4"/>
      <c r="J783" s="4"/>
      <c r="K783" s="4"/>
      <c r="L783" s="4"/>
      <c r="M783" s="4"/>
      <c r="N783" s="4"/>
    </row>
    <row r="784" spans="2:14" ht="13">
      <c r="B784" s="4"/>
      <c r="C784" s="4"/>
      <c r="D784" s="4"/>
      <c r="E784" s="4"/>
      <c r="F784" s="4"/>
      <c r="G784" s="4"/>
      <c r="H784" s="4"/>
      <c r="I784" s="4"/>
      <c r="J784" s="4"/>
      <c r="K784" s="4"/>
      <c r="L784" s="4"/>
      <c r="M784" s="4"/>
      <c r="N784" s="4"/>
    </row>
    <row r="785" spans="2:14" ht="13">
      <c r="B785" s="4"/>
      <c r="C785" s="4"/>
      <c r="D785" s="4"/>
      <c r="E785" s="4"/>
      <c r="F785" s="4"/>
      <c r="G785" s="4"/>
      <c r="H785" s="4"/>
      <c r="I785" s="4"/>
      <c r="J785" s="4"/>
      <c r="K785" s="4"/>
      <c r="L785" s="4"/>
      <c r="M785" s="4"/>
      <c r="N785" s="4"/>
    </row>
    <row r="786" spans="2:14" ht="13">
      <c r="B786" s="4"/>
      <c r="C786" s="4"/>
      <c r="D786" s="4"/>
      <c r="E786" s="4"/>
      <c r="F786" s="4"/>
      <c r="G786" s="4"/>
      <c r="H786" s="4"/>
      <c r="I786" s="4"/>
      <c r="J786" s="4"/>
      <c r="K786" s="4"/>
      <c r="L786" s="4"/>
      <c r="M786" s="4"/>
      <c r="N786" s="4"/>
    </row>
    <row r="787" spans="2:14" ht="13">
      <c r="B787" s="4"/>
      <c r="C787" s="4"/>
      <c r="D787" s="4"/>
      <c r="E787" s="4"/>
      <c r="F787" s="4"/>
      <c r="G787" s="4"/>
      <c r="H787" s="4"/>
      <c r="I787" s="4"/>
      <c r="J787" s="4"/>
      <c r="K787" s="4"/>
      <c r="L787" s="4"/>
      <c r="M787" s="4"/>
      <c r="N787" s="4"/>
    </row>
    <row r="788" spans="2:14" ht="13">
      <c r="B788" s="4"/>
      <c r="C788" s="4"/>
      <c r="D788" s="4"/>
      <c r="E788" s="4"/>
      <c r="F788" s="4"/>
      <c r="G788" s="4"/>
      <c r="H788" s="4"/>
      <c r="I788" s="4"/>
      <c r="J788" s="4"/>
      <c r="K788" s="4"/>
      <c r="L788" s="4"/>
      <c r="M788" s="4"/>
      <c r="N788" s="4"/>
    </row>
    <row r="789" spans="2:14" ht="13">
      <c r="B789" s="4"/>
      <c r="C789" s="4"/>
      <c r="D789" s="4"/>
      <c r="E789" s="4"/>
      <c r="F789" s="4"/>
      <c r="G789" s="4"/>
      <c r="H789" s="4"/>
      <c r="I789" s="4"/>
      <c r="J789" s="4"/>
      <c r="K789" s="4"/>
      <c r="L789" s="4"/>
      <c r="M789" s="4"/>
      <c r="N789" s="4"/>
    </row>
    <row r="790" spans="2:14" ht="13">
      <c r="B790" s="4"/>
      <c r="C790" s="4"/>
      <c r="D790" s="4"/>
      <c r="E790" s="4"/>
      <c r="F790" s="4"/>
      <c r="G790" s="4"/>
      <c r="H790" s="4"/>
      <c r="I790" s="4"/>
      <c r="J790" s="4"/>
      <c r="K790" s="4"/>
      <c r="L790" s="4"/>
      <c r="M790" s="4"/>
      <c r="N790" s="4"/>
    </row>
    <row r="791" spans="2:14" ht="13">
      <c r="B791" s="4"/>
      <c r="C791" s="4"/>
      <c r="D791" s="4"/>
      <c r="E791" s="4"/>
      <c r="F791" s="4"/>
      <c r="G791" s="4"/>
      <c r="H791" s="4"/>
      <c r="I791" s="4"/>
      <c r="J791" s="4"/>
      <c r="K791" s="4"/>
      <c r="L791" s="4"/>
      <c r="M791" s="4"/>
      <c r="N791" s="4"/>
    </row>
    <row r="792" spans="2:14" ht="13">
      <c r="B792" s="4"/>
      <c r="C792" s="4"/>
      <c r="D792" s="4"/>
      <c r="E792" s="4"/>
      <c r="F792" s="4"/>
      <c r="G792" s="4"/>
      <c r="H792" s="4"/>
      <c r="I792" s="4"/>
      <c r="J792" s="4"/>
      <c r="K792" s="4"/>
      <c r="L792" s="4"/>
      <c r="M792" s="4"/>
      <c r="N792" s="4"/>
    </row>
    <row r="793" spans="2:14" ht="13">
      <c r="B793" s="4"/>
      <c r="C793" s="4"/>
      <c r="D793" s="4"/>
      <c r="E793" s="4"/>
      <c r="F793" s="4"/>
      <c r="G793" s="4"/>
      <c r="H793" s="4"/>
      <c r="I793" s="4"/>
      <c r="J793" s="4"/>
      <c r="K793" s="4"/>
      <c r="L793" s="4"/>
      <c r="M793" s="4"/>
      <c r="N793" s="4"/>
    </row>
    <row r="794" spans="2:14" ht="13">
      <c r="B794" s="4"/>
      <c r="C794" s="4"/>
      <c r="D794" s="4"/>
      <c r="E794" s="4"/>
      <c r="F794" s="4"/>
      <c r="G794" s="4"/>
      <c r="H794" s="4"/>
      <c r="I794" s="4"/>
      <c r="J794" s="4"/>
      <c r="K794" s="4"/>
      <c r="L794" s="4"/>
      <c r="M794" s="4"/>
      <c r="N794" s="4"/>
    </row>
    <row r="795" spans="2:14" ht="13">
      <c r="B795" s="4"/>
      <c r="C795" s="4"/>
      <c r="D795" s="4"/>
      <c r="E795" s="4"/>
      <c r="F795" s="4"/>
      <c r="G795" s="4"/>
      <c r="H795" s="4"/>
      <c r="I795" s="4"/>
      <c r="J795" s="4"/>
      <c r="K795" s="4"/>
      <c r="L795" s="4"/>
      <c r="M795" s="4"/>
      <c r="N795" s="4"/>
    </row>
    <row r="796" spans="2:14" ht="13">
      <c r="B796" s="4"/>
      <c r="C796" s="4"/>
      <c r="D796" s="4"/>
      <c r="E796" s="4"/>
      <c r="F796" s="4"/>
      <c r="G796" s="4"/>
      <c r="H796" s="4"/>
      <c r="I796" s="4"/>
      <c r="J796" s="4"/>
      <c r="K796" s="4"/>
      <c r="L796" s="4"/>
      <c r="M796" s="4"/>
      <c r="N796" s="4"/>
    </row>
    <row r="797" spans="2:14" ht="13">
      <c r="B797" s="4"/>
      <c r="C797" s="4"/>
      <c r="D797" s="4"/>
      <c r="E797" s="4"/>
      <c r="F797" s="4"/>
      <c r="G797" s="4"/>
      <c r="H797" s="4"/>
      <c r="I797" s="4"/>
      <c r="J797" s="4"/>
      <c r="K797" s="4"/>
      <c r="L797" s="4"/>
      <c r="M797" s="4"/>
      <c r="N797" s="4"/>
    </row>
    <row r="798" spans="2:14" ht="13">
      <c r="B798" s="4"/>
      <c r="C798" s="4"/>
      <c r="D798" s="4"/>
      <c r="E798" s="4"/>
      <c r="F798" s="4"/>
      <c r="G798" s="4"/>
      <c r="H798" s="4"/>
      <c r="I798" s="4"/>
      <c r="J798" s="4"/>
      <c r="K798" s="4"/>
      <c r="L798" s="4"/>
      <c r="M798" s="4"/>
      <c r="N798" s="4"/>
    </row>
    <row r="799" spans="2:14" ht="13">
      <c r="B799" s="4"/>
      <c r="C799" s="4"/>
      <c r="D799" s="4"/>
      <c r="E799" s="4"/>
      <c r="F799" s="4"/>
      <c r="G799" s="4"/>
      <c r="H799" s="4"/>
      <c r="I799" s="4"/>
      <c r="J799" s="4"/>
      <c r="K799" s="4"/>
      <c r="L799" s="4"/>
      <c r="M799" s="4"/>
      <c r="N799" s="4"/>
    </row>
    <row r="800" spans="2:14" ht="13">
      <c r="B800" s="4"/>
      <c r="C800" s="4"/>
      <c r="D800" s="4"/>
      <c r="E800" s="4"/>
      <c r="F800" s="4"/>
      <c r="G800" s="4"/>
      <c r="H800" s="4"/>
      <c r="I800" s="4"/>
      <c r="J800" s="4"/>
      <c r="K800" s="4"/>
      <c r="L800" s="4"/>
      <c r="M800" s="4"/>
      <c r="N800" s="4"/>
    </row>
    <row r="801" spans="2:14" ht="13">
      <c r="B801" s="4"/>
      <c r="C801" s="4"/>
      <c r="D801" s="4"/>
      <c r="E801" s="4"/>
      <c r="F801" s="4"/>
      <c r="G801" s="4"/>
      <c r="H801" s="4"/>
      <c r="I801" s="4"/>
      <c r="J801" s="4"/>
      <c r="K801" s="4"/>
      <c r="L801" s="4"/>
      <c r="M801" s="4"/>
      <c r="N801" s="4"/>
    </row>
    <row r="802" spans="2:14" ht="13">
      <c r="B802" s="4"/>
      <c r="C802" s="4"/>
      <c r="D802" s="4"/>
      <c r="E802" s="4"/>
      <c r="F802" s="4"/>
      <c r="G802" s="4"/>
      <c r="H802" s="4"/>
      <c r="I802" s="4"/>
      <c r="J802" s="4"/>
      <c r="K802" s="4"/>
      <c r="L802" s="4"/>
      <c r="M802" s="4"/>
      <c r="N802" s="4"/>
    </row>
    <row r="803" spans="2:14" ht="13">
      <c r="B803" s="4"/>
      <c r="C803" s="4"/>
      <c r="D803" s="4"/>
      <c r="E803" s="4"/>
      <c r="F803" s="4"/>
      <c r="G803" s="4"/>
      <c r="H803" s="4"/>
      <c r="I803" s="4"/>
      <c r="J803" s="4"/>
      <c r="K803" s="4"/>
      <c r="L803" s="4"/>
      <c r="M803" s="4"/>
      <c r="N803" s="4"/>
    </row>
    <row r="804" spans="2:14" ht="13">
      <c r="B804" s="4"/>
      <c r="C804" s="4"/>
      <c r="D804" s="4"/>
      <c r="E804" s="4"/>
      <c r="F804" s="4"/>
      <c r="G804" s="4"/>
      <c r="H804" s="4"/>
      <c r="I804" s="4"/>
      <c r="J804" s="4"/>
      <c r="K804" s="4"/>
      <c r="L804" s="4"/>
      <c r="M804" s="4"/>
      <c r="N804" s="4"/>
    </row>
    <row r="805" spans="2:14" ht="13">
      <c r="B805" s="4"/>
      <c r="C805" s="4"/>
      <c r="D805" s="4"/>
      <c r="E805" s="4"/>
      <c r="F805" s="4"/>
      <c r="G805" s="4"/>
      <c r="H805" s="4"/>
      <c r="I805" s="4"/>
      <c r="J805" s="4"/>
      <c r="K805" s="4"/>
      <c r="L805" s="4"/>
      <c r="M805" s="4"/>
      <c r="N805" s="4"/>
    </row>
    <row r="806" spans="2:14" ht="13">
      <c r="B806" s="4"/>
      <c r="C806" s="4"/>
      <c r="D806" s="4"/>
      <c r="E806" s="4"/>
      <c r="F806" s="4"/>
      <c r="G806" s="4"/>
      <c r="H806" s="4"/>
      <c r="I806" s="4"/>
      <c r="J806" s="4"/>
      <c r="K806" s="4"/>
      <c r="L806" s="4"/>
      <c r="M806" s="4"/>
      <c r="N806" s="4"/>
    </row>
    <row r="807" spans="2:14" ht="13">
      <c r="B807" s="4"/>
      <c r="C807" s="4"/>
      <c r="D807" s="4"/>
      <c r="E807" s="4"/>
      <c r="F807" s="4"/>
      <c r="G807" s="4"/>
      <c r="H807" s="4"/>
      <c r="I807" s="4"/>
      <c r="J807" s="4"/>
      <c r="K807" s="4"/>
      <c r="L807" s="4"/>
      <c r="M807" s="4"/>
      <c r="N807" s="4"/>
    </row>
    <row r="808" spans="2:14" ht="13">
      <c r="B808" s="4"/>
      <c r="C808" s="4"/>
      <c r="D808" s="4"/>
      <c r="E808" s="4"/>
      <c r="F808" s="4"/>
      <c r="G808" s="4"/>
      <c r="H808" s="4"/>
      <c r="I808" s="4"/>
      <c r="J808" s="4"/>
      <c r="K808" s="4"/>
      <c r="L808" s="4"/>
      <c r="M808" s="4"/>
      <c r="N808" s="4"/>
    </row>
    <row r="809" spans="2:14" ht="13">
      <c r="B809" s="4"/>
      <c r="C809" s="4"/>
      <c r="D809" s="4"/>
      <c r="E809" s="4"/>
      <c r="F809" s="4"/>
      <c r="G809" s="4"/>
      <c r="H809" s="4"/>
      <c r="I809" s="4"/>
      <c r="J809" s="4"/>
      <c r="K809" s="4"/>
      <c r="L809" s="4"/>
      <c r="M809" s="4"/>
      <c r="N809" s="4"/>
    </row>
    <row r="810" spans="2:14" ht="13">
      <c r="B810" s="4"/>
      <c r="C810" s="4"/>
      <c r="D810" s="4"/>
      <c r="E810" s="4"/>
      <c r="F810" s="4"/>
      <c r="G810" s="4"/>
      <c r="H810" s="4"/>
      <c r="I810" s="4"/>
      <c r="J810" s="4"/>
      <c r="K810" s="4"/>
      <c r="L810" s="4"/>
      <c r="M810" s="4"/>
      <c r="N810" s="4"/>
    </row>
    <row r="811" spans="2:14" ht="13">
      <c r="B811" s="4"/>
      <c r="C811" s="4"/>
      <c r="D811" s="4"/>
      <c r="E811" s="4"/>
      <c r="F811" s="4"/>
      <c r="G811" s="4"/>
      <c r="H811" s="4"/>
      <c r="I811" s="4"/>
      <c r="J811" s="4"/>
      <c r="K811" s="4"/>
      <c r="L811" s="4"/>
      <c r="M811" s="4"/>
      <c r="N811" s="4"/>
    </row>
    <row r="812" spans="2:14" ht="13">
      <c r="B812" s="4"/>
      <c r="C812" s="4"/>
      <c r="D812" s="4"/>
      <c r="E812" s="4"/>
      <c r="F812" s="4"/>
      <c r="G812" s="4"/>
      <c r="H812" s="4"/>
      <c r="I812" s="4"/>
      <c r="J812" s="4"/>
      <c r="K812" s="4"/>
      <c r="L812" s="4"/>
      <c r="M812" s="4"/>
      <c r="N812" s="4"/>
    </row>
    <row r="813" spans="2:14" ht="13">
      <c r="B813" s="4"/>
      <c r="C813" s="4"/>
      <c r="D813" s="4"/>
      <c r="E813" s="4"/>
      <c r="F813" s="4"/>
      <c r="G813" s="4"/>
      <c r="H813" s="4"/>
      <c r="I813" s="4"/>
      <c r="J813" s="4"/>
      <c r="K813" s="4"/>
      <c r="L813" s="4"/>
      <c r="M813" s="4"/>
      <c r="N813" s="4"/>
    </row>
    <row r="814" spans="2:14" ht="13">
      <c r="B814" s="4"/>
      <c r="C814" s="4"/>
      <c r="D814" s="4"/>
      <c r="E814" s="4"/>
      <c r="F814" s="4"/>
      <c r="G814" s="4"/>
      <c r="H814" s="4"/>
      <c r="I814" s="4"/>
      <c r="J814" s="4"/>
      <c r="K814" s="4"/>
      <c r="L814" s="4"/>
      <c r="M814" s="4"/>
      <c r="N814" s="4"/>
    </row>
    <row r="815" spans="2:14" ht="13">
      <c r="B815" s="4"/>
      <c r="C815" s="4"/>
      <c r="D815" s="4"/>
      <c r="E815" s="4"/>
      <c r="F815" s="4"/>
      <c r="G815" s="4"/>
      <c r="H815" s="4"/>
      <c r="I815" s="4"/>
      <c r="J815" s="4"/>
      <c r="K815" s="4"/>
      <c r="L815" s="4"/>
      <c r="M815" s="4"/>
      <c r="N815" s="4"/>
    </row>
    <row r="816" spans="2:14" ht="13">
      <c r="B816" s="4"/>
      <c r="C816" s="4"/>
      <c r="D816" s="4"/>
      <c r="E816" s="4"/>
      <c r="F816" s="4"/>
      <c r="G816" s="4"/>
      <c r="H816" s="4"/>
      <c r="I816" s="4"/>
      <c r="J816" s="4"/>
      <c r="K816" s="4"/>
      <c r="L816" s="4"/>
      <c r="M816" s="4"/>
      <c r="N816" s="4"/>
    </row>
    <row r="817" spans="2:14" ht="13">
      <c r="B817" s="4"/>
      <c r="C817" s="4"/>
      <c r="D817" s="4"/>
      <c r="E817" s="4"/>
      <c r="F817" s="4"/>
      <c r="G817" s="4"/>
      <c r="H817" s="4"/>
      <c r="I817" s="4"/>
      <c r="J817" s="4"/>
      <c r="K817" s="4"/>
      <c r="L817" s="4"/>
      <c r="M817" s="4"/>
      <c r="N817" s="4"/>
    </row>
    <row r="818" spans="2:14" ht="13">
      <c r="B818" s="4"/>
      <c r="C818" s="4"/>
      <c r="D818" s="4"/>
      <c r="E818" s="4"/>
      <c r="F818" s="4"/>
      <c r="G818" s="4"/>
      <c r="H818" s="4"/>
      <c r="I818" s="4"/>
      <c r="J818" s="4"/>
      <c r="K818" s="4"/>
      <c r="L818" s="4"/>
      <c r="M818" s="4"/>
      <c r="N818" s="4"/>
    </row>
    <row r="819" spans="2:14" ht="13">
      <c r="B819" s="4"/>
      <c r="C819" s="4"/>
      <c r="D819" s="4"/>
      <c r="E819" s="4"/>
      <c r="F819" s="4"/>
      <c r="G819" s="4"/>
      <c r="H819" s="4"/>
      <c r="I819" s="4"/>
      <c r="J819" s="4"/>
      <c r="K819" s="4"/>
      <c r="L819" s="4"/>
      <c r="M819" s="4"/>
      <c r="N819" s="4"/>
    </row>
    <row r="820" spans="2:14" ht="13">
      <c r="B820" s="4"/>
      <c r="C820" s="4"/>
      <c r="D820" s="4"/>
      <c r="E820" s="4"/>
      <c r="F820" s="4"/>
      <c r="G820" s="4"/>
      <c r="H820" s="4"/>
      <c r="I820" s="4"/>
      <c r="J820" s="4"/>
      <c r="K820" s="4"/>
      <c r="L820" s="4"/>
      <c r="M820" s="4"/>
      <c r="N820" s="4"/>
    </row>
    <row r="821" spans="2:14" ht="13">
      <c r="B821" s="4"/>
      <c r="C821" s="4"/>
      <c r="D821" s="4"/>
      <c r="E821" s="4"/>
      <c r="F821" s="4"/>
      <c r="G821" s="4"/>
      <c r="H821" s="4"/>
      <c r="I821" s="4"/>
      <c r="J821" s="4"/>
      <c r="K821" s="4"/>
      <c r="L821" s="4"/>
      <c r="M821" s="4"/>
      <c r="N821" s="4"/>
    </row>
    <row r="822" spans="2:14" ht="13">
      <c r="B822" s="4"/>
      <c r="C822" s="4"/>
      <c r="D822" s="4"/>
      <c r="E822" s="4"/>
      <c r="F822" s="4"/>
      <c r="G822" s="4"/>
      <c r="H822" s="4"/>
      <c r="I822" s="4"/>
      <c r="J822" s="4"/>
      <c r="K822" s="4"/>
      <c r="L822" s="4"/>
      <c r="M822" s="4"/>
      <c r="N822" s="4"/>
    </row>
    <row r="823" spans="2:14" ht="13">
      <c r="B823" s="4"/>
      <c r="C823" s="4"/>
      <c r="D823" s="4"/>
      <c r="E823" s="4"/>
      <c r="F823" s="4"/>
      <c r="G823" s="4"/>
      <c r="H823" s="4"/>
      <c r="I823" s="4"/>
      <c r="J823" s="4"/>
      <c r="K823" s="4"/>
      <c r="L823" s="4"/>
      <c r="M823" s="4"/>
      <c r="N823" s="4"/>
    </row>
    <row r="824" spans="2:14" ht="13">
      <c r="B824" s="4"/>
      <c r="C824" s="4"/>
      <c r="D824" s="4"/>
      <c r="E824" s="4"/>
      <c r="F824" s="4"/>
      <c r="G824" s="4"/>
      <c r="H824" s="4"/>
      <c r="I824" s="4"/>
      <c r="J824" s="4"/>
      <c r="K824" s="4"/>
      <c r="L824" s="4"/>
      <c r="M824" s="4"/>
      <c r="N824" s="4"/>
    </row>
    <row r="825" spans="2:14" ht="13">
      <c r="B825" s="4"/>
      <c r="C825" s="4"/>
      <c r="D825" s="4"/>
      <c r="E825" s="4"/>
      <c r="F825" s="4"/>
      <c r="G825" s="4"/>
      <c r="H825" s="4"/>
      <c r="I825" s="4"/>
      <c r="J825" s="4"/>
      <c r="K825" s="4"/>
      <c r="L825" s="4"/>
      <c r="M825" s="4"/>
      <c r="N825" s="4"/>
    </row>
    <row r="826" spans="2:14" ht="13">
      <c r="B826" s="4"/>
      <c r="C826" s="4"/>
      <c r="D826" s="4"/>
      <c r="E826" s="4"/>
      <c r="F826" s="4"/>
      <c r="G826" s="4"/>
      <c r="H826" s="4"/>
      <c r="I826" s="4"/>
      <c r="J826" s="4"/>
      <c r="K826" s="4"/>
      <c r="L826" s="4"/>
      <c r="M826" s="4"/>
      <c r="N826" s="4"/>
    </row>
    <row r="827" spans="2:14" ht="13">
      <c r="B827" s="4"/>
      <c r="C827" s="4"/>
      <c r="D827" s="4"/>
      <c r="E827" s="4"/>
      <c r="F827" s="4"/>
      <c r="G827" s="4"/>
      <c r="H827" s="4"/>
      <c r="I827" s="4"/>
      <c r="J827" s="4"/>
      <c r="K827" s="4"/>
      <c r="L827" s="4"/>
      <c r="M827" s="4"/>
      <c r="N827" s="4"/>
    </row>
    <row r="828" spans="2:14" ht="13">
      <c r="B828" s="4"/>
      <c r="C828" s="4"/>
      <c r="D828" s="4"/>
      <c r="E828" s="4"/>
      <c r="F828" s="4"/>
      <c r="G828" s="4"/>
      <c r="H828" s="4"/>
      <c r="I828" s="4"/>
      <c r="J828" s="4"/>
      <c r="K828" s="4"/>
      <c r="L828" s="4"/>
      <c r="M828" s="4"/>
      <c r="N828" s="4"/>
    </row>
    <row r="829" spans="2:14" ht="13">
      <c r="B829" s="4"/>
      <c r="C829" s="4"/>
      <c r="D829" s="4"/>
      <c r="E829" s="4"/>
      <c r="F829" s="4"/>
      <c r="G829" s="4"/>
      <c r="H829" s="4"/>
      <c r="I829" s="4"/>
      <c r="J829" s="4"/>
      <c r="K829" s="4"/>
      <c r="L829" s="4"/>
      <c r="M829" s="4"/>
      <c r="N829" s="4"/>
    </row>
    <row r="830" spans="2:14" ht="13">
      <c r="B830" s="4"/>
      <c r="C830" s="4"/>
      <c r="D830" s="4"/>
      <c r="E830" s="4"/>
      <c r="F830" s="4"/>
      <c r="G830" s="4"/>
      <c r="H830" s="4"/>
      <c r="I830" s="4"/>
      <c r="J830" s="4"/>
      <c r="K830" s="4"/>
      <c r="L830" s="4"/>
      <c r="M830" s="4"/>
      <c r="N830" s="4"/>
    </row>
    <row r="831" spans="2:14" ht="13">
      <c r="B831" s="4"/>
      <c r="C831" s="4"/>
      <c r="D831" s="4"/>
      <c r="E831" s="4"/>
      <c r="F831" s="4"/>
      <c r="G831" s="4"/>
      <c r="H831" s="4"/>
      <c r="I831" s="4"/>
      <c r="J831" s="4"/>
      <c r="K831" s="4"/>
      <c r="L831" s="4"/>
      <c r="M831" s="4"/>
      <c r="N831" s="4"/>
    </row>
    <row r="832" spans="2:14" ht="13">
      <c r="B832" s="4"/>
      <c r="C832" s="4"/>
      <c r="D832" s="4"/>
      <c r="E832" s="4"/>
      <c r="F832" s="4"/>
      <c r="G832" s="4"/>
      <c r="H832" s="4"/>
      <c r="I832" s="4"/>
      <c r="J832" s="4"/>
      <c r="K832" s="4"/>
      <c r="L832" s="4"/>
      <c r="M832" s="4"/>
      <c r="N832" s="4"/>
    </row>
    <row r="833" spans="2:14" ht="13">
      <c r="B833" s="4"/>
      <c r="C833" s="4"/>
      <c r="D833" s="4"/>
      <c r="E833" s="4"/>
      <c r="F833" s="4"/>
      <c r="G833" s="4"/>
      <c r="H833" s="4"/>
      <c r="I833" s="4"/>
      <c r="J833" s="4"/>
      <c r="K833" s="4"/>
      <c r="L833" s="4"/>
      <c r="M833" s="4"/>
      <c r="N833" s="4"/>
    </row>
    <row r="834" spans="2:14" ht="13">
      <c r="B834" s="4"/>
      <c r="C834" s="4"/>
      <c r="D834" s="4"/>
      <c r="E834" s="4"/>
      <c r="F834" s="4"/>
      <c r="G834" s="4"/>
      <c r="H834" s="4"/>
      <c r="I834" s="4"/>
      <c r="J834" s="4"/>
      <c r="K834" s="4"/>
      <c r="L834" s="4"/>
      <c r="M834" s="4"/>
      <c r="N834" s="4"/>
    </row>
    <row r="835" spans="2:14" ht="13">
      <c r="B835" s="4"/>
      <c r="C835" s="4"/>
      <c r="D835" s="4"/>
      <c r="E835" s="4"/>
      <c r="F835" s="4"/>
      <c r="G835" s="4"/>
      <c r="H835" s="4"/>
      <c r="I835" s="4"/>
      <c r="J835" s="4"/>
      <c r="K835" s="4"/>
      <c r="L835" s="4"/>
      <c r="M835" s="4"/>
      <c r="N835" s="4"/>
    </row>
    <row r="836" spans="2:14" ht="13">
      <c r="B836" s="4"/>
      <c r="C836" s="4"/>
      <c r="D836" s="4"/>
      <c r="E836" s="4"/>
      <c r="F836" s="4"/>
      <c r="G836" s="4"/>
      <c r="H836" s="4"/>
      <c r="I836" s="4"/>
      <c r="J836" s="4"/>
      <c r="K836" s="4"/>
      <c r="L836" s="4"/>
      <c r="M836" s="4"/>
      <c r="N836" s="4"/>
    </row>
    <row r="837" spans="2:14" ht="13">
      <c r="B837" s="4"/>
      <c r="C837" s="4"/>
      <c r="D837" s="4"/>
      <c r="E837" s="4"/>
      <c r="F837" s="4"/>
      <c r="G837" s="4"/>
      <c r="H837" s="4"/>
      <c r="I837" s="4"/>
      <c r="J837" s="4"/>
      <c r="K837" s="4"/>
      <c r="L837" s="4"/>
      <c r="M837" s="4"/>
      <c r="N837" s="4"/>
    </row>
    <row r="838" spans="2:14" ht="13">
      <c r="B838" s="4"/>
      <c r="C838" s="4"/>
      <c r="D838" s="4"/>
      <c r="E838" s="4"/>
      <c r="F838" s="4"/>
      <c r="G838" s="4"/>
      <c r="H838" s="4"/>
      <c r="I838" s="4"/>
      <c r="J838" s="4"/>
      <c r="K838" s="4"/>
      <c r="L838" s="4"/>
      <c r="M838" s="4"/>
      <c r="N838" s="4"/>
    </row>
    <row r="839" spans="2:14" ht="13">
      <c r="B839" s="4"/>
      <c r="C839" s="4"/>
      <c r="D839" s="4"/>
      <c r="E839" s="4"/>
      <c r="F839" s="4"/>
      <c r="G839" s="4"/>
      <c r="H839" s="4"/>
      <c r="I839" s="4"/>
      <c r="J839" s="4"/>
      <c r="K839" s="4"/>
      <c r="L839" s="4"/>
      <c r="M839" s="4"/>
      <c r="N839" s="4"/>
    </row>
    <row r="840" spans="2:14" ht="13">
      <c r="B840" s="4"/>
      <c r="C840" s="4"/>
      <c r="D840" s="4"/>
      <c r="E840" s="4"/>
      <c r="F840" s="4"/>
      <c r="G840" s="4"/>
      <c r="H840" s="4"/>
      <c r="I840" s="4"/>
      <c r="J840" s="4"/>
      <c r="K840" s="4"/>
      <c r="L840" s="4"/>
      <c r="M840" s="4"/>
      <c r="N840" s="4"/>
    </row>
    <row r="841" spans="2:14" ht="13">
      <c r="B841" s="4"/>
      <c r="C841" s="4"/>
      <c r="D841" s="4"/>
      <c r="E841" s="4"/>
      <c r="F841" s="4"/>
      <c r="G841" s="4"/>
      <c r="H841" s="4"/>
      <c r="I841" s="4"/>
      <c r="J841" s="4"/>
      <c r="K841" s="4"/>
      <c r="L841" s="4"/>
      <c r="M841" s="4"/>
      <c r="N841" s="4"/>
    </row>
    <row r="842" spans="2:14" ht="13">
      <c r="B842" s="4"/>
      <c r="C842" s="4"/>
      <c r="D842" s="4"/>
      <c r="E842" s="4"/>
      <c r="F842" s="4"/>
      <c r="G842" s="4"/>
      <c r="H842" s="4"/>
      <c r="I842" s="4"/>
      <c r="J842" s="4"/>
      <c r="K842" s="4"/>
      <c r="L842" s="4"/>
      <c r="M842" s="4"/>
      <c r="N842" s="4"/>
    </row>
    <row r="843" spans="2:14" ht="13">
      <c r="B843" s="4"/>
      <c r="C843" s="4"/>
      <c r="D843" s="4"/>
      <c r="E843" s="4"/>
      <c r="F843" s="4"/>
      <c r="G843" s="4"/>
      <c r="H843" s="4"/>
      <c r="I843" s="4"/>
      <c r="J843" s="4"/>
      <c r="K843" s="4"/>
      <c r="L843" s="4"/>
      <c r="M843" s="4"/>
      <c r="N843" s="4"/>
    </row>
    <row r="844" spans="2:14" ht="13">
      <c r="B844" s="4"/>
      <c r="C844" s="4"/>
      <c r="D844" s="4"/>
      <c r="E844" s="4"/>
      <c r="F844" s="4"/>
      <c r="G844" s="4"/>
      <c r="H844" s="4"/>
      <c r="I844" s="4"/>
      <c r="J844" s="4"/>
      <c r="K844" s="4"/>
      <c r="L844" s="4"/>
      <c r="M844" s="4"/>
      <c r="N844" s="4"/>
    </row>
    <row r="845" spans="2:14" ht="13">
      <c r="B845" s="4"/>
      <c r="C845" s="4"/>
      <c r="D845" s="4"/>
      <c r="E845" s="4"/>
      <c r="F845" s="4"/>
      <c r="G845" s="4"/>
      <c r="H845" s="4"/>
      <c r="I845" s="4"/>
      <c r="J845" s="4"/>
      <c r="K845" s="4"/>
      <c r="L845" s="4"/>
      <c r="M845" s="4"/>
      <c r="N845" s="4"/>
    </row>
    <row r="846" spans="2:14" ht="13">
      <c r="B846" s="4"/>
      <c r="C846" s="4"/>
      <c r="D846" s="4"/>
      <c r="E846" s="4"/>
      <c r="F846" s="4"/>
      <c r="G846" s="4"/>
      <c r="H846" s="4"/>
      <c r="I846" s="4"/>
      <c r="J846" s="4"/>
      <c r="K846" s="4"/>
      <c r="L846" s="4"/>
      <c r="M846" s="4"/>
      <c r="N846" s="4"/>
    </row>
    <row r="847" spans="2:14" ht="13">
      <c r="B847" s="4"/>
      <c r="C847" s="4"/>
      <c r="D847" s="4"/>
      <c r="E847" s="4"/>
      <c r="F847" s="4"/>
      <c r="G847" s="4"/>
      <c r="H847" s="4"/>
      <c r="I847" s="4"/>
      <c r="J847" s="4"/>
      <c r="K847" s="4"/>
      <c r="L847" s="4"/>
      <c r="M847" s="4"/>
      <c r="N847" s="4"/>
    </row>
    <row r="848" spans="2:14" ht="13">
      <c r="B848" s="4"/>
      <c r="C848" s="4"/>
      <c r="D848" s="4"/>
      <c r="E848" s="4"/>
      <c r="F848" s="4"/>
      <c r="G848" s="4"/>
      <c r="H848" s="4"/>
      <c r="I848" s="4"/>
      <c r="J848" s="4"/>
      <c r="K848" s="4"/>
      <c r="L848" s="4"/>
      <c r="M848" s="4"/>
      <c r="N848" s="4"/>
    </row>
    <row r="849" spans="2:14" ht="13">
      <c r="B849" s="4"/>
      <c r="C849" s="4"/>
      <c r="D849" s="4"/>
      <c r="E849" s="4"/>
      <c r="F849" s="4"/>
      <c r="G849" s="4"/>
      <c r="H849" s="4"/>
      <c r="I849" s="4"/>
      <c r="J849" s="4"/>
      <c r="K849" s="4"/>
      <c r="L849" s="4"/>
      <c r="M849" s="4"/>
      <c r="N849" s="4"/>
    </row>
    <row r="850" spans="2:14" ht="13">
      <c r="B850" s="4"/>
      <c r="C850" s="4"/>
      <c r="D850" s="4"/>
      <c r="E850" s="4"/>
      <c r="F850" s="4"/>
      <c r="G850" s="4"/>
      <c r="H850" s="4"/>
      <c r="I850" s="4"/>
      <c r="J850" s="4"/>
      <c r="K850" s="4"/>
      <c r="L850" s="4"/>
      <c r="M850" s="4"/>
      <c r="N850" s="4"/>
    </row>
    <row r="851" spans="2:14" ht="13">
      <c r="B851" s="4"/>
      <c r="C851" s="4"/>
      <c r="D851" s="4"/>
      <c r="E851" s="4"/>
      <c r="F851" s="4"/>
      <c r="G851" s="4"/>
      <c r="H851" s="4"/>
      <c r="I851" s="4"/>
      <c r="J851" s="4"/>
      <c r="K851" s="4"/>
      <c r="L851" s="4"/>
      <c r="M851" s="4"/>
      <c r="N851" s="4"/>
    </row>
    <row r="852" spans="2:14" ht="13">
      <c r="B852" s="4"/>
      <c r="C852" s="4"/>
      <c r="D852" s="4"/>
      <c r="E852" s="4"/>
      <c r="F852" s="4"/>
      <c r="G852" s="4"/>
      <c r="H852" s="4"/>
      <c r="I852" s="4"/>
      <c r="J852" s="4"/>
      <c r="K852" s="4"/>
      <c r="L852" s="4"/>
      <c r="M852" s="4"/>
      <c r="N852" s="4"/>
    </row>
    <row r="853" spans="2:14" ht="13">
      <c r="B853" s="4"/>
      <c r="C853" s="4"/>
      <c r="D853" s="4"/>
      <c r="E853" s="4"/>
      <c r="F853" s="4"/>
      <c r="G853" s="4"/>
      <c r="H853" s="4"/>
      <c r="I853" s="4"/>
      <c r="J853" s="4"/>
      <c r="K853" s="4"/>
      <c r="L853" s="4"/>
      <c r="M853" s="4"/>
      <c r="N853" s="4"/>
    </row>
    <row r="854" spans="2:14" ht="13">
      <c r="B854" s="4"/>
      <c r="C854" s="4"/>
      <c r="D854" s="4"/>
      <c r="E854" s="4"/>
      <c r="F854" s="4"/>
      <c r="G854" s="4"/>
      <c r="H854" s="4"/>
      <c r="I854" s="4"/>
      <c r="J854" s="4"/>
      <c r="K854" s="4"/>
      <c r="L854" s="4"/>
      <c r="M854" s="4"/>
      <c r="N854" s="4"/>
    </row>
    <row r="855" spans="2:14" ht="13">
      <c r="B855" s="4"/>
      <c r="C855" s="4"/>
      <c r="D855" s="4"/>
      <c r="E855" s="4"/>
      <c r="F855" s="4"/>
      <c r="G855" s="4"/>
      <c r="H855" s="4"/>
      <c r="I855" s="4"/>
      <c r="J855" s="4"/>
      <c r="K855" s="4"/>
      <c r="L855" s="4"/>
      <c r="M855" s="4"/>
      <c r="N855" s="4"/>
    </row>
    <row r="856" spans="2:14" ht="13">
      <c r="B856" s="4"/>
      <c r="C856" s="4"/>
      <c r="D856" s="4"/>
      <c r="E856" s="4"/>
      <c r="F856" s="4"/>
      <c r="G856" s="4"/>
      <c r="H856" s="4"/>
      <c r="I856" s="4"/>
      <c r="J856" s="4"/>
      <c r="K856" s="4"/>
      <c r="L856" s="4"/>
      <c r="M856" s="4"/>
      <c r="N856" s="4"/>
    </row>
    <row r="857" spans="2:14" ht="13">
      <c r="B857" s="4"/>
      <c r="C857" s="4"/>
      <c r="D857" s="4"/>
      <c r="E857" s="4"/>
      <c r="F857" s="4"/>
      <c r="G857" s="4"/>
      <c r="H857" s="4"/>
      <c r="I857" s="4"/>
      <c r="J857" s="4"/>
      <c r="K857" s="4"/>
      <c r="L857" s="4"/>
      <c r="M857" s="4"/>
      <c r="N857" s="4"/>
    </row>
    <row r="858" spans="2:14" ht="13">
      <c r="B858" s="4"/>
      <c r="C858" s="4"/>
      <c r="D858" s="4"/>
      <c r="E858" s="4"/>
      <c r="F858" s="4"/>
      <c r="G858" s="4"/>
      <c r="H858" s="4"/>
      <c r="I858" s="4"/>
      <c r="J858" s="4"/>
      <c r="K858" s="4"/>
      <c r="L858" s="4"/>
      <c r="M858" s="4"/>
      <c r="N858" s="4"/>
    </row>
    <row r="859" spans="2:14" ht="13">
      <c r="B859" s="4"/>
      <c r="C859" s="4"/>
      <c r="D859" s="4"/>
      <c r="E859" s="4"/>
      <c r="F859" s="4"/>
      <c r="G859" s="4"/>
      <c r="H859" s="4"/>
      <c r="I859" s="4"/>
      <c r="J859" s="4"/>
      <c r="K859" s="4"/>
      <c r="L859" s="4"/>
      <c r="M859" s="4"/>
      <c r="N859" s="4"/>
    </row>
    <row r="860" spans="2:14" ht="13">
      <c r="B860" s="4"/>
      <c r="C860" s="4"/>
      <c r="D860" s="4"/>
      <c r="E860" s="4"/>
      <c r="F860" s="4"/>
      <c r="G860" s="4"/>
      <c r="H860" s="4"/>
      <c r="I860" s="4"/>
      <c r="J860" s="4"/>
      <c r="K860" s="4"/>
      <c r="L860" s="4"/>
      <c r="M860" s="4"/>
      <c r="N860" s="4"/>
    </row>
    <row r="861" spans="2:14" ht="13">
      <c r="B861" s="4"/>
      <c r="C861" s="4"/>
      <c r="D861" s="4"/>
      <c r="E861" s="4"/>
      <c r="F861" s="4"/>
      <c r="G861" s="4"/>
      <c r="H861" s="4"/>
      <c r="I861" s="4"/>
      <c r="J861" s="4"/>
      <c r="K861" s="4"/>
      <c r="L861" s="4"/>
      <c r="M861" s="4"/>
      <c r="N861" s="4"/>
    </row>
    <row r="862" spans="2:14" ht="13">
      <c r="B862" s="4"/>
      <c r="C862" s="4"/>
      <c r="D862" s="4"/>
      <c r="E862" s="4"/>
      <c r="F862" s="4"/>
      <c r="G862" s="4"/>
      <c r="H862" s="4"/>
      <c r="I862" s="4"/>
      <c r="J862" s="4"/>
      <c r="K862" s="4"/>
      <c r="L862" s="4"/>
      <c r="M862" s="4"/>
      <c r="N862" s="4"/>
    </row>
    <row r="863" spans="2:14" ht="13">
      <c r="B863" s="4"/>
      <c r="C863" s="4"/>
      <c r="D863" s="4"/>
      <c r="E863" s="4"/>
      <c r="F863" s="4"/>
      <c r="G863" s="4"/>
      <c r="H863" s="4"/>
      <c r="I863" s="4"/>
      <c r="J863" s="4"/>
      <c r="K863" s="4"/>
      <c r="L863" s="4"/>
      <c r="M863" s="4"/>
      <c r="N863" s="4"/>
    </row>
    <row r="864" spans="2:14" ht="13">
      <c r="B864" s="4"/>
      <c r="C864" s="4"/>
      <c r="D864" s="4"/>
      <c r="E864" s="4"/>
      <c r="F864" s="4"/>
      <c r="G864" s="4"/>
      <c r="H864" s="4"/>
      <c r="I864" s="4"/>
      <c r="J864" s="4"/>
      <c r="K864" s="4"/>
      <c r="L864" s="4"/>
      <c r="M864" s="4"/>
      <c r="N864" s="4"/>
    </row>
    <row r="865" spans="2:14" ht="13">
      <c r="B865" s="4"/>
      <c r="C865" s="4"/>
      <c r="D865" s="4"/>
      <c r="E865" s="4"/>
      <c r="F865" s="4"/>
      <c r="G865" s="4"/>
      <c r="H865" s="4"/>
      <c r="I865" s="4"/>
      <c r="J865" s="4"/>
      <c r="K865" s="4"/>
      <c r="L865" s="4"/>
      <c r="M865" s="4"/>
      <c r="N865" s="4"/>
    </row>
    <row r="866" spans="2:14" ht="13">
      <c r="B866" s="4"/>
      <c r="C866" s="4"/>
      <c r="D866" s="4"/>
      <c r="E866" s="4"/>
      <c r="F866" s="4"/>
      <c r="G866" s="4"/>
      <c r="H866" s="4"/>
      <c r="I866" s="4"/>
      <c r="J866" s="4"/>
      <c r="K866" s="4"/>
      <c r="L866" s="4"/>
      <c r="M866" s="4"/>
      <c r="N866" s="4"/>
    </row>
    <row r="867" spans="2:14" ht="13">
      <c r="B867" s="4"/>
      <c r="C867" s="4"/>
      <c r="D867" s="4"/>
      <c r="E867" s="4"/>
      <c r="F867" s="4"/>
      <c r="G867" s="4"/>
      <c r="H867" s="4"/>
      <c r="I867" s="4"/>
      <c r="J867" s="4"/>
      <c r="K867" s="4"/>
      <c r="L867" s="4"/>
      <c r="M867" s="4"/>
      <c r="N867" s="4"/>
    </row>
    <row r="868" spans="2:14" ht="13">
      <c r="B868" s="4"/>
      <c r="C868" s="4"/>
      <c r="D868" s="4"/>
      <c r="E868" s="4"/>
      <c r="F868" s="4"/>
      <c r="G868" s="4"/>
      <c r="H868" s="4"/>
      <c r="I868" s="4"/>
      <c r="J868" s="4"/>
      <c r="K868" s="4"/>
      <c r="L868" s="4"/>
      <c r="M868" s="4"/>
      <c r="N868" s="4"/>
    </row>
    <row r="869" spans="2:14" ht="13">
      <c r="B869" s="4"/>
      <c r="C869" s="4"/>
      <c r="D869" s="4"/>
      <c r="E869" s="4"/>
      <c r="F869" s="4"/>
      <c r="G869" s="4"/>
      <c r="H869" s="4"/>
      <c r="I869" s="4"/>
      <c r="J869" s="4"/>
      <c r="K869" s="4"/>
      <c r="L869" s="4"/>
      <c r="M869" s="4"/>
      <c r="N869" s="4"/>
    </row>
    <row r="870" spans="2:14" ht="13">
      <c r="B870" s="4"/>
      <c r="C870" s="4"/>
      <c r="D870" s="4"/>
      <c r="E870" s="4"/>
      <c r="F870" s="4"/>
      <c r="G870" s="4"/>
      <c r="H870" s="4"/>
      <c r="I870" s="4"/>
      <c r="J870" s="4"/>
      <c r="K870" s="4"/>
      <c r="L870" s="4"/>
      <c r="M870" s="4"/>
      <c r="N870" s="4"/>
    </row>
    <row r="871" spans="2:14" ht="13">
      <c r="B871" s="4"/>
      <c r="C871" s="4"/>
      <c r="D871" s="4"/>
      <c r="E871" s="4"/>
      <c r="F871" s="4"/>
      <c r="G871" s="4"/>
      <c r="H871" s="4"/>
      <c r="I871" s="4"/>
      <c r="J871" s="4"/>
      <c r="K871" s="4"/>
      <c r="L871" s="4"/>
      <c r="M871" s="4"/>
      <c r="N871" s="4"/>
    </row>
    <row r="872" spans="2:14" ht="13">
      <c r="B872" s="4"/>
      <c r="C872" s="4"/>
      <c r="D872" s="4"/>
      <c r="E872" s="4"/>
      <c r="F872" s="4"/>
      <c r="G872" s="4"/>
      <c r="H872" s="4"/>
      <c r="I872" s="4"/>
      <c r="J872" s="4"/>
      <c r="K872" s="4"/>
      <c r="L872" s="4"/>
      <c r="M872" s="4"/>
      <c r="N872" s="4"/>
    </row>
    <row r="873" spans="2:14" ht="13">
      <c r="B873" s="4"/>
      <c r="C873" s="4"/>
      <c r="D873" s="4"/>
      <c r="E873" s="4"/>
      <c r="F873" s="4"/>
      <c r="G873" s="4"/>
      <c r="H873" s="4"/>
      <c r="I873" s="4"/>
      <c r="J873" s="4"/>
      <c r="K873" s="4"/>
      <c r="L873" s="4"/>
      <c r="M873" s="4"/>
      <c r="N873" s="4"/>
    </row>
    <row r="874" spans="2:14" ht="13">
      <c r="B874" s="4"/>
      <c r="C874" s="4"/>
      <c r="D874" s="4"/>
      <c r="E874" s="4"/>
      <c r="F874" s="4"/>
      <c r="G874" s="4"/>
      <c r="H874" s="4"/>
      <c r="I874" s="4"/>
      <c r="J874" s="4"/>
      <c r="K874" s="4"/>
      <c r="L874" s="4"/>
      <c r="M874" s="4"/>
      <c r="N874" s="4"/>
    </row>
    <row r="875" spans="2:14" ht="13">
      <c r="B875" s="4"/>
      <c r="C875" s="4"/>
      <c r="D875" s="4"/>
      <c r="E875" s="4"/>
      <c r="F875" s="4"/>
      <c r="G875" s="4"/>
      <c r="H875" s="4"/>
      <c r="I875" s="4"/>
      <c r="J875" s="4"/>
      <c r="K875" s="4"/>
      <c r="L875" s="4"/>
      <c r="M875" s="4"/>
      <c r="N875" s="4"/>
    </row>
    <row r="876" spans="2:14" ht="13">
      <c r="B876" s="4"/>
      <c r="C876" s="4"/>
      <c r="D876" s="4"/>
      <c r="E876" s="4"/>
      <c r="F876" s="4"/>
      <c r="G876" s="4"/>
      <c r="H876" s="4"/>
      <c r="I876" s="4"/>
      <c r="J876" s="4"/>
      <c r="K876" s="4"/>
      <c r="L876" s="4"/>
      <c r="M876" s="4"/>
      <c r="N876" s="4"/>
    </row>
    <row r="877" spans="2:14" ht="13">
      <c r="B877" s="4"/>
      <c r="C877" s="4"/>
      <c r="D877" s="4"/>
      <c r="E877" s="4"/>
      <c r="F877" s="4"/>
      <c r="G877" s="4"/>
      <c r="H877" s="4"/>
      <c r="I877" s="4"/>
      <c r="J877" s="4"/>
      <c r="K877" s="4"/>
      <c r="L877" s="4"/>
      <c r="M877" s="4"/>
      <c r="N877" s="4"/>
    </row>
    <row r="878" spans="2:14" ht="13">
      <c r="B878" s="4"/>
      <c r="C878" s="4"/>
      <c r="D878" s="4"/>
      <c r="E878" s="4"/>
      <c r="F878" s="4"/>
      <c r="G878" s="4"/>
      <c r="H878" s="4"/>
      <c r="I878" s="4"/>
      <c r="J878" s="4"/>
      <c r="K878" s="4"/>
      <c r="L878" s="4"/>
      <c r="M878" s="4"/>
      <c r="N878" s="4"/>
    </row>
    <row r="879" spans="2:14" ht="13">
      <c r="B879" s="4"/>
      <c r="C879" s="4"/>
      <c r="D879" s="4"/>
      <c r="E879" s="4"/>
      <c r="F879" s="4"/>
      <c r="G879" s="4"/>
      <c r="H879" s="4"/>
      <c r="I879" s="4"/>
      <c r="J879" s="4"/>
      <c r="K879" s="4"/>
      <c r="L879" s="4"/>
      <c r="M879" s="4"/>
      <c r="N879" s="4"/>
    </row>
    <row r="880" spans="2:14" ht="13">
      <c r="B880" s="4"/>
      <c r="C880" s="4"/>
      <c r="D880" s="4"/>
      <c r="E880" s="4"/>
      <c r="F880" s="4"/>
      <c r="G880" s="4"/>
      <c r="H880" s="4"/>
      <c r="I880" s="4"/>
      <c r="J880" s="4"/>
      <c r="K880" s="4"/>
      <c r="L880" s="4"/>
      <c r="M880" s="4"/>
      <c r="N880" s="4"/>
    </row>
    <row r="881" spans="2:14" ht="13">
      <c r="B881" s="4"/>
      <c r="C881" s="4"/>
      <c r="D881" s="4"/>
      <c r="E881" s="4"/>
      <c r="F881" s="4"/>
      <c r="G881" s="4"/>
      <c r="H881" s="4"/>
      <c r="I881" s="4"/>
      <c r="J881" s="4"/>
      <c r="K881" s="4"/>
      <c r="L881" s="4"/>
      <c r="M881" s="4"/>
      <c r="N881" s="4"/>
    </row>
    <row r="882" spans="2:14" ht="13">
      <c r="B882" s="4"/>
      <c r="C882" s="4"/>
      <c r="D882" s="4"/>
      <c r="E882" s="4"/>
      <c r="F882" s="4"/>
      <c r="G882" s="4"/>
      <c r="H882" s="4"/>
      <c r="I882" s="4"/>
      <c r="J882" s="4"/>
      <c r="K882" s="4"/>
      <c r="L882" s="4"/>
      <c r="M882" s="4"/>
      <c r="N882" s="4"/>
    </row>
    <row r="883" spans="2:14" ht="13">
      <c r="B883" s="4"/>
      <c r="C883" s="4"/>
      <c r="D883" s="4"/>
      <c r="E883" s="4"/>
      <c r="F883" s="4"/>
      <c r="G883" s="4"/>
      <c r="H883" s="4"/>
      <c r="I883" s="4"/>
      <c r="J883" s="4"/>
      <c r="K883" s="4"/>
      <c r="L883" s="4"/>
      <c r="M883" s="4"/>
      <c r="N883" s="4"/>
    </row>
    <row r="884" spans="2:14" ht="13">
      <c r="B884" s="4"/>
      <c r="C884" s="4"/>
      <c r="D884" s="4"/>
      <c r="E884" s="4"/>
      <c r="F884" s="4"/>
      <c r="G884" s="4"/>
      <c r="H884" s="4"/>
      <c r="I884" s="4"/>
      <c r="J884" s="4"/>
      <c r="K884" s="4"/>
      <c r="L884" s="4"/>
      <c r="M884" s="4"/>
      <c r="N884" s="4"/>
    </row>
    <row r="885" spans="2:14" ht="13">
      <c r="B885" s="4"/>
      <c r="C885" s="4"/>
      <c r="D885" s="4"/>
      <c r="E885" s="4"/>
      <c r="F885" s="4"/>
      <c r="G885" s="4"/>
      <c r="H885" s="4"/>
      <c r="I885" s="4"/>
      <c r="J885" s="4"/>
      <c r="K885" s="4"/>
      <c r="L885" s="4"/>
      <c r="M885" s="4"/>
      <c r="N885" s="4"/>
    </row>
    <row r="886" spans="2:14" ht="13">
      <c r="B886" s="4"/>
      <c r="C886" s="4"/>
      <c r="D886" s="4"/>
      <c r="E886" s="4"/>
      <c r="F886" s="4"/>
      <c r="G886" s="4"/>
      <c r="H886" s="4"/>
      <c r="I886" s="4"/>
      <c r="J886" s="4"/>
      <c r="K886" s="4"/>
      <c r="L886" s="4"/>
      <c r="M886" s="4"/>
      <c r="N886" s="4"/>
    </row>
    <row r="887" spans="2:14" ht="13">
      <c r="B887" s="4"/>
      <c r="C887" s="4"/>
      <c r="D887" s="4"/>
      <c r="E887" s="4"/>
      <c r="F887" s="4"/>
      <c r="G887" s="4"/>
      <c r="H887" s="4"/>
      <c r="I887" s="4"/>
      <c r="J887" s="4"/>
      <c r="K887" s="4"/>
      <c r="L887" s="4"/>
      <c r="M887" s="4"/>
      <c r="N887" s="4"/>
    </row>
    <row r="888" spans="2:14" ht="13">
      <c r="B888" s="4"/>
      <c r="C888" s="4"/>
      <c r="D888" s="4"/>
      <c r="E888" s="4"/>
      <c r="F888" s="4"/>
      <c r="G888" s="4"/>
      <c r="H888" s="4"/>
      <c r="I888" s="4"/>
      <c r="J888" s="4"/>
      <c r="K888" s="4"/>
      <c r="L888" s="4"/>
      <c r="M888" s="4"/>
      <c r="N888" s="4"/>
    </row>
    <row r="889" spans="2:14" ht="13">
      <c r="B889" s="4"/>
      <c r="C889" s="4"/>
      <c r="D889" s="4"/>
      <c r="E889" s="4"/>
      <c r="F889" s="4"/>
      <c r="G889" s="4"/>
      <c r="H889" s="4"/>
      <c r="I889" s="4"/>
      <c r="J889" s="4"/>
      <c r="K889" s="4"/>
      <c r="L889" s="4"/>
      <c r="M889" s="4"/>
      <c r="N889" s="4"/>
    </row>
    <row r="890" spans="2:14" ht="13">
      <c r="B890" s="4"/>
      <c r="C890" s="4"/>
      <c r="D890" s="4"/>
      <c r="E890" s="4"/>
      <c r="F890" s="4"/>
      <c r="G890" s="4"/>
      <c r="H890" s="4"/>
      <c r="I890" s="4"/>
      <c r="J890" s="4"/>
      <c r="K890" s="4"/>
      <c r="L890" s="4"/>
      <c r="M890" s="4"/>
      <c r="N890" s="4"/>
    </row>
    <row r="891" spans="2:14" ht="13">
      <c r="B891" s="4"/>
      <c r="C891" s="4"/>
      <c r="D891" s="4"/>
      <c r="E891" s="4"/>
      <c r="F891" s="4"/>
      <c r="G891" s="4"/>
      <c r="H891" s="4"/>
      <c r="I891" s="4"/>
      <c r="J891" s="4"/>
      <c r="K891" s="4"/>
      <c r="L891" s="4"/>
      <c r="M891" s="4"/>
      <c r="N891" s="4"/>
    </row>
    <row r="892" spans="2:14" ht="13">
      <c r="B892" s="4"/>
      <c r="C892" s="4"/>
      <c r="D892" s="4"/>
      <c r="E892" s="4"/>
      <c r="F892" s="4"/>
      <c r="G892" s="4"/>
      <c r="H892" s="4"/>
      <c r="I892" s="4"/>
      <c r="J892" s="4"/>
      <c r="K892" s="4"/>
      <c r="L892" s="4"/>
      <c r="M892" s="4"/>
      <c r="N892" s="4"/>
    </row>
    <row r="893" spans="2:14" ht="13">
      <c r="B893" s="4"/>
      <c r="C893" s="4"/>
      <c r="D893" s="4"/>
      <c r="E893" s="4"/>
      <c r="F893" s="4"/>
      <c r="G893" s="4"/>
      <c r="H893" s="4"/>
      <c r="I893" s="4"/>
      <c r="J893" s="4"/>
      <c r="K893" s="4"/>
      <c r="L893" s="4"/>
      <c r="M893" s="4"/>
      <c r="N893" s="4"/>
    </row>
    <row r="894" spans="2:14" ht="13">
      <c r="B894" s="4"/>
      <c r="C894" s="4"/>
      <c r="D894" s="4"/>
      <c r="E894" s="4"/>
      <c r="F894" s="4"/>
      <c r="G894" s="4"/>
      <c r="H894" s="4"/>
      <c r="I894" s="4"/>
      <c r="J894" s="4"/>
      <c r="K894" s="4"/>
      <c r="L894" s="4"/>
      <c r="M894" s="4"/>
      <c r="N894" s="4"/>
    </row>
    <row r="895" spans="2:14" ht="13">
      <c r="B895" s="4"/>
      <c r="C895" s="4"/>
      <c r="D895" s="4"/>
      <c r="E895" s="4"/>
      <c r="F895" s="4"/>
      <c r="G895" s="4"/>
      <c r="H895" s="4"/>
      <c r="I895" s="4"/>
      <c r="J895" s="4"/>
      <c r="K895" s="4"/>
      <c r="L895" s="4"/>
      <c r="M895" s="4"/>
      <c r="N895" s="4"/>
    </row>
    <row r="896" spans="2:14" ht="13">
      <c r="B896" s="4"/>
      <c r="C896" s="4"/>
      <c r="D896" s="4"/>
      <c r="E896" s="4"/>
      <c r="F896" s="4"/>
      <c r="G896" s="4"/>
      <c r="H896" s="4"/>
      <c r="I896" s="4"/>
      <c r="J896" s="4"/>
      <c r="K896" s="4"/>
      <c r="L896" s="4"/>
      <c r="M896" s="4"/>
      <c r="N896" s="4"/>
    </row>
    <row r="897" spans="2:14" ht="13">
      <c r="B897" s="4"/>
      <c r="C897" s="4"/>
      <c r="D897" s="4"/>
      <c r="E897" s="4"/>
      <c r="F897" s="4"/>
      <c r="G897" s="4"/>
      <c r="H897" s="4"/>
      <c r="I897" s="4"/>
      <c r="J897" s="4"/>
      <c r="K897" s="4"/>
      <c r="L897" s="4"/>
      <c r="M897" s="4"/>
      <c r="N897" s="4"/>
    </row>
    <row r="898" spans="2:14" ht="13">
      <c r="B898" s="4"/>
      <c r="C898" s="4"/>
      <c r="D898" s="4"/>
      <c r="E898" s="4"/>
      <c r="F898" s="4"/>
      <c r="G898" s="4"/>
      <c r="H898" s="4"/>
      <c r="I898" s="4"/>
      <c r="J898" s="4"/>
      <c r="K898" s="4"/>
      <c r="L898" s="4"/>
      <c r="M898" s="4"/>
      <c r="N898" s="4"/>
    </row>
    <row r="899" spans="2:14" ht="13">
      <c r="B899" s="4"/>
      <c r="C899" s="4"/>
      <c r="D899" s="4"/>
      <c r="E899" s="4"/>
      <c r="F899" s="4"/>
      <c r="G899" s="4"/>
      <c r="H899" s="4"/>
      <c r="I899" s="4"/>
      <c r="J899" s="4"/>
      <c r="K899" s="4"/>
      <c r="L899" s="4"/>
      <c r="M899" s="4"/>
      <c r="N899" s="4"/>
    </row>
    <row r="900" spans="2:14" ht="13">
      <c r="B900" s="4"/>
      <c r="C900" s="4"/>
      <c r="D900" s="4"/>
      <c r="E900" s="4"/>
      <c r="F900" s="4"/>
      <c r="G900" s="4"/>
      <c r="H900" s="4"/>
      <c r="I900" s="4"/>
      <c r="J900" s="4"/>
      <c r="K900" s="4"/>
      <c r="L900" s="4"/>
      <c r="M900" s="4"/>
      <c r="N900" s="4"/>
    </row>
    <row r="901" spans="2:14" ht="13">
      <c r="B901" s="4"/>
      <c r="C901" s="4"/>
      <c r="D901" s="4"/>
      <c r="E901" s="4"/>
      <c r="F901" s="4"/>
      <c r="G901" s="4"/>
      <c r="H901" s="4"/>
      <c r="I901" s="4"/>
      <c r="J901" s="4"/>
      <c r="K901" s="4"/>
      <c r="L901" s="4"/>
      <c r="M901" s="4"/>
      <c r="N901" s="4"/>
    </row>
    <row r="902" spans="2:14" ht="13">
      <c r="B902" s="4"/>
      <c r="C902" s="4"/>
      <c r="D902" s="4"/>
      <c r="E902" s="4"/>
      <c r="F902" s="4"/>
      <c r="G902" s="4"/>
      <c r="H902" s="4"/>
      <c r="I902" s="4"/>
      <c r="J902" s="4"/>
      <c r="K902" s="4"/>
      <c r="L902" s="4"/>
      <c r="M902" s="4"/>
      <c r="N902" s="4"/>
    </row>
    <row r="903" spans="2:14" ht="13">
      <c r="B903" s="4"/>
      <c r="C903" s="4"/>
      <c r="D903" s="4"/>
      <c r="E903" s="4"/>
      <c r="F903" s="4"/>
      <c r="G903" s="4"/>
      <c r="H903" s="4"/>
      <c r="I903" s="4"/>
      <c r="J903" s="4"/>
      <c r="K903" s="4"/>
      <c r="L903" s="4"/>
      <c r="M903" s="4"/>
      <c r="N903" s="4"/>
    </row>
    <row r="904" spans="2:14" ht="13">
      <c r="B904" s="4"/>
      <c r="C904" s="4"/>
      <c r="D904" s="4"/>
      <c r="E904" s="4"/>
      <c r="F904" s="4"/>
      <c r="G904" s="4"/>
      <c r="H904" s="4"/>
      <c r="I904" s="4"/>
      <c r="J904" s="4"/>
      <c r="K904" s="4"/>
      <c r="L904" s="4"/>
      <c r="M904" s="4"/>
      <c r="N904" s="4"/>
    </row>
    <row r="905" spans="2:14" ht="13">
      <c r="B905" s="4"/>
      <c r="C905" s="4"/>
      <c r="D905" s="4"/>
      <c r="E905" s="4"/>
      <c r="F905" s="4"/>
      <c r="G905" s="4"/>
      <c r="H905" s="4"/>
      <c r="I905" s="4"/>
      <c r="J905" s="4"/>
      <c r="K905" s="4"/>
      <c r="L905" s="4"/>
      <c r="M905" s="4"/>
      <c r="N905" s="4"/>
    </row>
    <row r="906" spans="2:14" ht="13">
      <c r="B906" s="4"/>
      <c r="C906" s="4"/>
      <c r="D906" s="4"/>
      <c r="E906" s="4"/>
      <c r="F906" s="4"/>
      <c r="G906" s="4"/>
      <c r="H906" s="4"/>
      <c r="I906" s="4"/>
      <c r="J906" s="4"/>
      <c r="K906" s="4"/>
      <c r="L906" s="4"/>
      <c r="M906" s="4"/>
      <c r="N906" s="4"/>
    </row>
    <row r="907" spans="2:14" ht="13">
      <c r="B907" s="4"/>
      <c r="C907" s="4"/>
      <c r="D907" s="4"/>
      <c r="E907" s="4"/>
      <c r="F907" s="4"/>
      <c r="G907" s="4"/>
      <c r="H907" s="4"/>
      <c r="I907" s="4"/>
      <c r="J907" s="4"/>
      <c r="K907" s="4"/>
      <c r="L907" s="4"/>
      <c r="M907" s="4"/>
      <c r="N907" s="4"/>
    </row>
    <row r="908" spans="2:14" ht="13">
      <c r="B908" s="4"/>
      <c r="C908" s="4"/>
      <c r="D908" s="4"/>
      <c r="E908" s="4"/>
      <c r="F908" s="4"/>
      <c r="G908" s="4"/>
      <c r="H908" s="4"/>
      <c r="I908" s="4"/>
      <c r="J908" s="4"/>
      <c r="K908" s="4"/>
      <c r="L908" s="4"/>
      <c r="M908" s="4"/>
      <c r="N908" s="4"/>
    </row>
    <row r="909" spans="2:14" ht="13">
      <c r="B909" s="4"/>
      <c r="C909" s="4"/>
      <c r="D909" s="4"/>
      <c r="E909" s="4"/>
      <c r="F909" s="4"/>
      <c r="G909" s="4"/>
      <c r="H909" s="4"/>
      <c r="I909" s="4"/>
      <c r="J909" s="4"/>
      <c r="K909" s="4"/>
      <c r="L909" s="4"/>
      <c r="M909" s="4"/>
      <c r="N909" s="4"/>
    </row>
    <row r="910" spans="2:14" ht="13">
      <c r="B910" s="4"/>
      <c r="C910" s="4"/>
      <c r="D910" s="4"/>
      <c r="E910" s="4"/>
      <c r="F910" s="4"/>
      <c r="G910" s="4"/>
      <c r="H910" s="4"/>
      <c r="I910" s="4"/>
      <c r="J910" s="4"/>
      <c r="K910" s="4"/>
      <c r="L910" s="4"/>
      <c r="M910" s="4"/>
      <c r="N910" s="4"/>
    </row>
    <row r="911" spans="2:14" ht="13">
      <c r="B911" s="4"/>
      <c r="C911" s="4"/>
      <c r="D911" s="4"/>
      <c r="E911" s="4"/>
      <c r="F911" s="4"/>
      <c r="G911" s="4"/>
      <c r="H911" s="4"/>
      <c r="I911" s="4"/>
      <c r="J911" s="4"/>
      <c r="K911" s="4"/>
      <c r="L911" s="4"/>
      <c r="M911" s="4"/>
      <c r="N911" s="4"/>
    </row>
    <row r="912" spans="2:14" ht="13">
      <c r="B912" s="4"/>
      <c r="C912" s="4"/>
      <c r="D912" s="4"/>
      <c r="E912" s="4"/>
      <c r="F912" s="4"/>
      <c r="G912" s="4"/>
      <c r="H912" s="4"/>
      <c r="I912" s="4"/>
      <c r="J912" s="4"/>
      <c r="K912" s="4"/>
      <c r="L912" s="4"/>
      <c r="M912" s="4"/>
      <c r="N912" s="4"/>
    </row>
    <row r="913" spans="2:14" ht="13">
      <c r="B913" s="4"/>
      <c r="C913" s="4"/>
      <c r="D913" s="4"/>
      <c r="E913" s="4"/>
      <c r="F913" s="4"/>
      <c r="G913" s="4"/>
      <c r="H913" s="4"/>
      <c r="I913" s="4"/>
      <c r="J913" s="4"/>
      <c r="K913" s="4"/>
      <c r="L913" s="4"/>
      <c r="M913" s="4"/>
      <c r="N913" s="4"/>
    </row>
    <row r="914" spans="2:14" ht="13">
      <c r="B914" s="4"/>
      <c r="C914" s="4"/>
      <c r="D914" s="4"/>
      <c r="E914" s="4"/>
      <c r="F914" s="4"/>
      <c r="G914" s="4"/>
      <c r="H914" s="4"/>
      <c r="I914" s="4"/>
      <c r="J914" s="4"/>
      <c r="K914" s="4"/>
      <c r="L914" s="4"/>
      <c r="M914" s="4"/>
      <c r="N914" s="4"/>
    </row>
    <row r="915" spans="2:14" ht="13">
      <c r="B915" s="4"/>
      <c r="C915" s="4"/>
      <c r="D915" s="4"/>
      <c r="E915" s="4"/>
      <c r="F915" s="4"/>
      <c r="G915" s="4"/>
      <c r="H915" s="4"/>
      <c r="I915" s="4"/>
      <c r="J915" s="4"/>
      <c r="K915" s="4"/>
      <c r="L915" s="4"/>
      <c r="M915" s="4"/>
      <c r="N915" s="4"/>
    </row>
    <row r="916" spans="2:14" ht="13">
      <c r="B916" s="4"/>
      <c r="C916" s="4"/>
      <c r="D916" s="4"/>
      <c r="E916" s="4"/>
      <c r="F916" s="4"/>
      <c r="G916" s="4"/>
      <c r="H916" s="4"/>
      <c r="I916" s="4"/>
      <c r="J916" s="4"/>
      <c r="K916" s="4"/>
      <c r="L916" s="4"/>
      <c r="M916" s="4"/>
      <c r="N916" s="4"/>
    </row>
    <row r="917" spans="2:14" ht="13">
      <c r="B917" s="4"/>
      <c r="C917" s="4"/>
      <c r="D917" s="4"/>
      <c r="E917" s="4"/>
      <c r="F917" s="4"/>
      <c r="G917" s="4"/>
      <c r="H917" s="4"/>
      <c r="I917" s="4"/>
      <c r="J917" s="4"/>
      <c r="K917" s="4"/>
      <c r="L917" s="4"/>
      <c r="M917" s="4"/>
      <c r="N917" s="4"/>
    </row>
    <row r="918" spans="2:14" ht="13">
      <c r="B918" s="4"/>
      <c r="C918" s="4"/>
      <c r="D918" s="4"/>
      <c r="E918" s="4"/>
      <c r="F918" s="4"/>
      <c r="G918" s="4"/>
      <c r="H918" s="4"/>
      <c r="I918" s="4"/>
      <c r="J918" s="4"/>
      <c r="K918" s="4"/>
      <c r="L918" s="4"/>
      <c r="M918" s="4"/>
      <c r="N918" s="4"/>
    </row>
    <row r="919" spans="2:14" ht="13">
      <c r="B919" s="4"/>
      <c r="C919" s="4"/>
      <c r="D919" s="4"/>
      <c r="E919" s="4"/>
      <c r="F919" s="4"/>
      <c r="G919" s="4"/>
      <c r="H919" s="4"/>
      <c r="I919" s="4"/>
      <c r="J919" s="4"/>
      <c r="K919" s="4"/>
      <c r="L919" s="4"/>
      <c r="M919" s="4"/>
      <c r="N919" s="4"/>
    </row>
    <row r="920" spans="2:14" ht="13">
      <c r="B920" s="4"/>
      <c r="C920" s="4"/>
      <c r="D920" s="4"/>
      <c r="E920" s="4"/>
      <c r="F920" s="4"/>
      <c r="G920" s="4"/>
      <c r="H920" s="4"/>
      <c r="I920" s="4"/>
      <c r="J920" s="4"/>
      <c r="K920" s="4"/>
      <c r="L920" s="4"/>
      <c r="M920" s="4"/>
      <c r="N920" s="4"/>
    </row>
    <row r="921" spans="2:14" ht="13">
      <c r="B921" s="4"/>
      <c r="C921" s="4"/>
      <c r="D921" s="4"/>
      <c r="E921" s="4"/>
      <c r="F921" s="4"/>
      <c r="G921" s="4"/>
      <c r="H921" s="4"/>
      <c r="I921" s="4"/>
      <c r="J921" s="4"/>
      <c r="K921" s="4"/>
      <c r="L921" s="4"/>
      <c r="M921" s="4"/>
      <c r="N921" s="4"/>
    </row>
    <row r="922" spans="2:14" ht="13">
      <c r="B922" s="4"/>
      <c r="C922" s="4"/>
      <c r="D922" s="4"/>
      <c r="E922" s="4"/>
      <c r="F922" s="4"/>
      <c r="G922" s="4"/>
      <c r="H922" s="4"/>
      <c r="I922" s="4"/>
      <c r="J922" s="4"/>
      <c r="K922" s="4"/>
      <c r="L922" s="4"/>
      <c r="M922" s="4"/>
      <c r="N922" s="4"/>
    </row>
    <row r="923" spans="2:14" ht="13">
      <c r="B923" s="4"/>
      <c r="C923" s="4"/>
      <c r="D923" s="4"/>
      <c r="E923" s="4"/>
      <c r="F923" s="4"/>
      <c r="G923" s="4"/>
      <c r="H923" s="4"/>
      <c r="I923" s="4"/>
      <c r="J923" s="4"/>
      <c r="K923" s="4"/>
      <c r="L923" s="4"/>
      <c r="M923" s="4"/>
      <c r="N923" s="4"/>
    </row>
    <row r="924" spans="2:14" ht="13">
      <c r="B924" s="4"/>
      <c r="C924" s="4"/>
      <c r="D924" s="4"/>
      <c r="E924" s="4"/>
      <c r="F924" s="4"/>
      <c r="G924" s="4"/>
      <c r="H924" s="4"/>
      <c r="I924" s="4"/>
      <c r="J924" s="4"/>
      <c r="K924" s="4"/>
      <c r="L924" s="4"/>
      <c r="M924" s="4"/>
      <c r="N924" s="4"/>
    </row>
    <row r="925" spans="2:14" ht="13">
      <c r="B925" s="4"/>
      <c r="C925" s="4"/>
      <c r="D925" s="4"/>
      <c r="E925" s="4"/>
      <c r="F925" s="4"/>
      <c r="G925" s="4"/>
      <c r="H925" s="4"/>
      <c r="I925" s="4"/>
      <c r="J925" s="4"/>
      <c r="K925" s="4"/>
      <c r="L925" s="4"/>
      <c r="M925" s="4"/>
      <c r="N925" s="4"/>
    </row>
    <row r="926" spans="2:14" ht="13">
      <c r="B926" s="4"/>
      <c r="C926" s="4"/>
      <c r="D926" s="4"/>
      <c r="E926" s="4"/>
      <c r="F926" s="4"/>
      <c r="G926" s="4"/>
      <c r="H926" s="4"/>
      <c r="I926" s="4"/>
      <c r="J926" s="4"/>
      <c r="K926" s="4"/>
      <c r="L926" s="4"/>
      <c r="M926" s="4"/>
      <c r="N926" s="4"/>
    </row>
    <row r="927" spans="2:14" ht="13">
      <c r="B927" s="4"/>
      <c r="C927" s="4"/>
      <c r="D927" s="4"/>
      <c r="E927" s="4"/>
      <c r="F927" s="4"/>
      <c r="G927" s="4"/>
      <c r="H927" s="4"/>
      <c r="I927" s="4"/>
      <c r="J927" s="4"/>
      <c r="K927" s="4"/>
      <c r="L927" s="4"/>
      <c r="M927" s="4"/>
      <c r="N927" s="4"/>
    </row>
    <row r="928" spans="2:14" ht="13">
      <c r="B928" s="4"/>
      <c r="C928" s="4"/>
      <c r="D928" s="4"/>
      <c r="E928" s="4"/>
      <c r="F928" s="4"/>
      <c r="G928" s="4"/>
      <c r="H928" s="4"/>
      <c r="I928" s="4"/>
      <c r="J928" s="4"/>
      <c r="K928" s="4"/>
      <c r="L928" s="4"/>
      <c r="M928" s="4"/>
      <c r="N928" s="4"/>
    </row>
    <row r="929" spans="2:14" ht="13">
      <c r="B929" s="4"/>
      <c r="C929" s="4"/>
      <c r="D929" s="4"/>
      <c r="E929" s="4"/>
      <c r="F929" s="4"/>
      <c r="G929" s="4"/>
      <c r="H929" s="4"/>
      <c r="I929" s="4"/>
      <c r="J929" s="4"/>
      <c r="K929" s="4"/>
      <c r="L929" s="4"/>
      <c r="M929" s="4"/>
      <c r="N929" s="4"/>
    </row>
    <row r="930" spans="2:14" ht="13">
      <c r="B930" s="4"/>
      <c r="C930" s="4"/>
      <c r="D930" s="4"/>
      <c r="E930" s="4"/>
      <c r="F930" s="4"/>
      <c r="G930" s="4"/>
      <c r="H930" s="4"/>
      <c r="I930" s="4"/>
      <c r="J930" s="4"/>
      <c r="K930" s="4"/>
      <c r="L930" s="4"/>
      <c r="M930" s="4"/>
      <c r="N930" s="4"/>
    </row>
    <row r="931" spans="2:14" ht="13">
      <c r="B931" s="4"/>
      <c r="C931" s="4"/>
      <c r="D931" s="4"/>
      <c r="E931" s="4"/>
      <c r="F931" s="4"/>
      <c r="G931" s="4"/>
      <c r="H931" s="4"/>
      <c r="I931" s="4"/>
      <c r="J931" s="4"/>
      <c r="K931" s="4"/>
      <c r="L931" s="4"/>
      <c r="M931" s="4"/>
      <c r="N931" s="4"/>
    </row>
    <row r="932" spans="2:14" ht="13">
      <c r="B932" s="4"/>
      <c r="C932" s="4"/>
      <c r="D932" s="4"/>
      <c r="E932" s="4"/>
      <c r="F932" s="4"/>
      <c r="G932" s="4"/>
      <c r="H932" s="4"/>
      <c r="I932" s="4"/>
      <c r="J932" s="4"/>
      <c r="K932" s="4"/>
      <c r="L932" s="4"/>
      <c r="M932" s="4"/>
      <c r="N932" s="4"/>
    </row>
    <row r="933" spans="2:14" ht="13">
      <c r="B933" s="4"/>
      <c r="C933" s="4"/>
      <c r="D933" s="4"/>
      <c r="E933" s="4"/>
      <c r="F933" s="4"/>
      <c r="G933" s="4"/>
      <c r="H933" s="4"/>
      <c r="I933" s="4"/>
      <c r="J933" s="4"/>
      <c r="K933" s="4"/>
      <c r="L933" s="4"/>
      <c r="M933" s="4"/>
      <c r="N933" s="4"/>
    </row>
    <row r="934" spans="2:14" ht="13">
      <c r="B934" s="4"/>
      <c r="C934" s="4"/>
      <c r="D934" s="4"/>
      <c r="E934" s="4"/>
      <c r="F934" s="4"/>
      <c r="G934" s="4"/>
      <c r="H934" s="4"/>
      <c r="I934" s="4"/>
      <c r="J934" s="4"/>
      <c r="K934" s="4"/>
      <c r="L934" s="4"/>
      <c r="M934" s="4"/>
      <c r="N934" s="4"/>
    </row>
    <row r="935" spans="2:14" ht="13">
      <c r="B935" s="4"/>
      <c r="C935" s="4"/>
      <c r="D935" s="4"/>
      <c r="E935" s="4"/>
      <c r="F935" s="4"/>
      <c r="G935" s="4"/>
      <c r="H935" s="4"/>
      <c r="I935" s="4"/>
      <c r="J935" s="4"/>
      <c r="K935" s="4"/>
      <c r="L935" s="4"/>
      <c r="M935" s="4"/>
      <c r="N935" s="4"/>
    </row>
    <row r="936" spans="2:14" ht="13">
      <c r="B936" s="4"/>
      <c r="C936" s="4"/>
      <c r="D936" s="4"/>
      <c r="E936" s="4"/>
      <c r="F936" s="4"/>
      <c r="G936" s="4"/>
      <c r="H936" s="4"/>
      <c r="I936" s="4"/>
      <c r="J936" s="4"/>
      <c r="K936" s="4"/>
      <c r="L936" s="4"/>
      <c r="M936" s="4"/>
      <c r="N936" s="4"/>
    </row>
    <row r="937" spans="2:14" ht="13">
      <c r="B937" s="4"/>
      <c r="C937" s="4"/>
      <c r="D937" s="4"/>
      <c r="E937" s="4"/>
      <c r="F937" s="4"/>
      <c r="G937" s="4"/>
      <c r="H937" s="4"/>
      <c r="I937" s="4"/>
      <c r="J937" s="4"/>
      <c r="K937" s="4"/>
      <c r="L937" s="4"/>
      <c r="M937" s="4"/>
      <c r="N937" s="4"/>
    </row>
    <row r="938" spans="2:14" ht="13">
      <c r="B938" s="4"/>
      <c r="C938" s="4"/>
      <c r="D938" s="4"/>
      <c r="E938" s="4"/>
      <c r="F938" s="4"/>
      <c r="G938" s="4"/>
      <c r="H938" s="4"/>
      <c r="I938" s="4"/>
      <c r="J938" s="4"/>
      <c r="K938" s="4"/>
      <c r="L938" s="4"/>
      <c r="M938" s="4"/>
      <c r="N938" s="4"/>
    </row>
    <row r="939" spans="2:14" ht="13">
      <c r="B939" s="4"/>
      <c r="C939" s="4"/>
      <c r="D939" s="4"/>
      <c r="E939" s="4"/>
      <c r="F939" s="4"/>
      <c r="G939" s="4"/>
      <c r="H939" s="4"/>
      <c r="I939" s="4"/>
      <c r="J939" s="4"/>
      <c r="K939" s="4"/>
      <c r="L939" s="4"/>
      <c r="M939" s="4"/>
      <c r="N939" s="4"/>
    </row>
    <row r="940" spans="2:14" ht="13">
      <c r="B940" s="4"/>
      <c r="C940" s="4"/>
      <c r="D940" s="4"/>
      <c r="E940" s="4"/>
      <c r="F940" s="4"/>
      <c r="G940" s="4"/>
      <c r="H940" s="4"/>
      <c r="I940" s="4"/>
      <c r="J940" s="4"/>
      <c r="K940" s="4"/>
      <c r="L940" s="4"/>
      <c r="M940" s="4"/>
      <c r="N940" s="4"/>
    </row>
    <row r="941" spans="2:14" ht="13">
      <c r="B941" s="4"/>
      <c r="C941" s="4"/>
      <c r="D941" s="4"/>
      <c r="E941" s="4"/>
      <c r="F941" s="4"/>
      <c r="G941" s="4"/>
      <c r="H941" s="4"/>
      <c r="I941" s="4"/>
      <c r="J941" s="4"/>
      <c r="K941" s="4"/>
      <c r="L941" s="4"/>
      <c r="M941" s="4"/>
      <c r="N941" s="4"/>
    </row>
    <row r="942" spans="2:14" ht="13">
      <c r="B942" s="4"/>
      <c r="C942" s="4"/>
      <c r="D942" s="4"/>
      <c r="E942" s="4"/>
      <c r="F942" s="4"/>
      <c r="G942" s="4"/>
      <c r="H942" s="4"/>
      <c r="I942" s="4"/>
      <c r="J942" s="4"/>
      <c r="K942" s="4"/>
      <c r="L942" s="4"/>
      <c r="M942" s="4"/>
      <c r="N942" s="4"/>
    </row>
    <row r="943" spans="2:14" ht="13">
      <c r="B943" s="4"/>
      <c r="C943" s="4"/>
      <c r="D943" s="4"/>
      <c r="E943" s="4"/>
      <c r="F943" s="4"/>
      <c r="G943" s="4"/>
      <c r="H943" s="4"/>
      <c r="I943" s="4"/>
      <c r="J943" s="4"/>
      <c r="K943" s="4"/>
      <c r="L943" s="4"/>
      <c r="M943" s="4"/>
      <c r="N943" s="4"/>
    </row>
    <row r="944" spans="2:14" ht="13">
      <c r="B944" s="4"/>
      <c r="C944" s="4"/>
      <c r="D944" s="4"/>
      <c r="E944" s="4"/>
      <c r="F944" s="4"/>
      <c r="G944" s="4"/>
      <c r="H944" s="4"/>
      <c r="I944" s="4"/>
      <c r="J944" s="4"/>
      <c r="K944" s="4"/>
      <c r="L944" s="4"/>
      <c r="M944" s="4"/>
      <c r="N944" s="4"/>
    </row>
    <row r="945" spans="2:14" ht="13">
      <c r="B945" s="4"/>
      <c r="C945" s="4"/>
      <c r="D945" s="4"/>
      <c r="E945" s="4"/>
      <c r="F945" s="4"/>
      <c r="G945" s="4"/>
      <c r="H945" s="4"/>
      <c r="I945" s="4"/>
      <c r="J945" s="4"/>
      <c r="K945" s="4"/>
      <c r="L945" s="4"/>
      <c r="M945" s="4"/>
      <c r="N945" s="4"/>
    </row>
    <row r="946" spans="2:14" ht="13">
      <c r="B946" s="4"/>
      <c r="C946" s="4"/>
      <c r="D946" s="4"/>
      <c r="E946" s="4"/>
      <c r="F946" s="4"/>
      <c r="G946" s="4"/>
      <c r="H946" s="4"/>
      <c r="I946" s="4"/>
      <c r="J946" s="4"/>
      <c r="K946" s="4"/>
      <c r="L946" s="4"/>
      <c r="M946" s="4"/>
      <c r="N946" s="4"/>
    </row>
    <row r="947" spans="2:14" ht="13">
      <c r="B947" s="4"/>
      <c r="C947" s="4"/>
      <c r="D947" s="4"/>
      <c r="E947" s="4"/>
      <c r="F947" s="4"/>
      <c r="G947" s="4"/>
      <c r="H947" s="4"/>
      <c r="I947" s="4"/>
      <c r="J947" s="4"/>
      <c r="K947" s="4"/>
      <c r="L947" s="4"/>
      <c r="M947" s="4"/>
      <c r="N947" s="4"/>
    </row>
    <row r="948" spans="2:14" ht="13">
      <c r="B948" s="4"/>
      <c r="C948" s="4"/>
      <c r="D948" s="4"/>
      <c r="E948" s="4"/>
      <c r="F948" s="4"/>
      <c r="G948" s="4"/>
      <c r="H948" s="4"/>
      <c r="I948" s="4"/>
      <c r="J948" s="4"/>
      <c r="K948" s="4"/>
      <c r="L948" s="4"/>
      <c r="M948" s="4"/>
      <c r="N948" s="4"/>
    </row>
    <row r="949" spans="2:14" ht="13">
      <c r="B949" s="4"/>
      <c r="C949" s="4"/>
      <c r="D949" s="4"/>
      <c r="E949" s="4"/>
      <c r="F949" s="4"/>
      <c r="G949" s="4"/>
      <c r="H949" s="4"/>
      <c r="I949" s="4"/>
      <c r="J949" s="4"/>
      <c r="K949" s="4"/>
      <c r="L949" s="4"/>
      <c r="M949" s="4"/>
      <c r="N949" s="4"/>
    </row>
    <row r="950" spans="2:14" ht="13">
      <c r="B950" s="4"/>
      <c r="C950" s="4"/>
      <c r="D950" s="4"/>
      <c r="E950" s="4"/>
      <c r="F950" s="4"/>
      <c r="G950" s="4"/>
      <c r="H950" s="4"/>
      <c r="I950" s="4"/>
      <c r="J950" s="4"/>
      <c r="K950" s="4"/>
      <c r="L950" s="4"/>
      <c r="M950" s="4"/>
      <c r="N950" s="4"/>
    </row>
    <row r="951" spans="2:14" ht="13">
      <c r="B951" s="4"/>
      <c r="C951" s="4"/>
      <c r="D951" s="4"/>
      <c r="E951" s="4"/>
      <c r="F951" s="4"/>
      <c r="G951" s="4"/>
      <c r="H951" s="4"/>
      <c r="I951" s="4"/>
      <c r="J951" s="4"/>
      <c r="K951" s="4"/>
      <c r="L951" s="4"/>
      <c r="M951" s="4"/>
      <c r="N951" s="4"/>
    </row>
    <row r="952" spans="2:14" ht="13">
      <c r="B952" s="4"/>
      <c r="C952" s="4"/>
      <c r="D952" s="4"/>
      <c r="E952" s="4"/>
      <c r="F952" s="4"/>
      <c r="G952" s="4"/>
      <c r="H952" s="4"/>
      <c r="I952" s="4"/>
      <c r="J952" s="4"/>
      <c r="K952" s="4"/>
      <c r="L952" s="4"/>
      <c r="M952" s="4"/>
      <c r="N952" s="4"/>
    </row>
    <row r="953" spans="2:14" ht="13">
      <c r="B953" s="4"/>
      <c r="C953" s="4"/>
      <c r="D953" s="4"/>
      <c r="E953" s="4"/>
      <c r="F953" s="4"/>
      <c r="G953" s="4"/>
      <c r="H953" s="4"/>
      <c r="I953" s="4"/>
      <c r="J953" s="4"/>
      <c r="K953" s="4"/>
      <c r="L953" s="4"/>
      <c r="M953" s="4"/>
      <c r="N953" s="4"/>
    </row>
    <row r="954" spans="2:14" ht="13">
      <c r="B954" s="4"/>
      <c r="C954" s="4"/>
      <c r="D954" s="4"/>
      <c r="E954" s="4"/>
      <c r="F954" s="4"/>
      <c r="G954" s="4"/>
      <c r="H954" s="4"/>
      <c r="I954" s="4"/>
      <c r="J954" s="4"/>
      <c r="K954" s="4"/>
      <c r="L954" s="4"/>
      <c r="M954" s="4"/>
      <c r="N954" s="4"/>
    </row>
    <row r="955" spans="2:14" ht="13">
      <c r="B955" s="4"/>
      <c r="C955" s="4"/>
      <c r="D955" s="4"/>
      <c r="E955" s="4"/>
      <c r="F955" s="4"/>
      <c r="G955" s="4"/>
      <c r="H955" s="4"/>
      <c r="I955" s="4"/>
      <c r="J955" s="4"/>
      <c r="K955" s="4"/>
      <c r="L955" s="4"/>
      <c r="M955" s="4"/>
      <c r="N955" s="4"/>
    </row>
    <row r="956" spans="2:14" ht="13">
      <c r="B956" s="4"/>
      <c r="C956" s="4"/>
      <c r="D956" s="4"/>
      <c r="E956" s="4"/>
      <c r="F956" s="4"/>
      <c r="G956" s="4"/>
      <c r="H956" s="4"/>
      <c r="I956" s="4"/>
      <c r="J956" s="4"/>
      <c r="K956" s="4"/>
      <c r="L956" s="4"/>
      <c r="M956" s="4"/>
      <c r="N956" s="4"/>
    </row>
    <row r="957" spans="2:14" ht="13">
      <c r="B957" s="4"/>
      <c r="C957" s="4"/>
      <c r="D957" s="4"/>
      <c r="E957" s="4"/>
      <c r="F957" s="4"/>
      <c r="G957" s="4"/>
      <c r="H957" s="4"/>
      <c r="I957" s="4"/>
      <c r="J957" s="4"/>
      <c r="K957" s="4"/>
      <c r="L957" s="4"/>
      <c r="M957" s="4"/>
      <c r="N957" s="4"/>
    </row>
    <row r="958" spans="2:14" ht="13">
      <c r="B958" s="4"/>
      <c r="C958" s="4"/>
      <c r="D958" s="4"/>
      <c r="E958" s="4"/>
      <c r="F958" s="4"/>
      <c r="G958" s="4"/>
      <c r="H958" s="4"/>
      <c r="I958" s="4"/>
      <c r="J958" s="4"/>
      <c r="K958" s="4"/>
      <c r="L958" s="4"/>
      <c r="M958" s="4"/>
      <c r="N958" s="4"/>
    </row>
    <row r="959" spans="2:14" ht="13">
      <c r="B959" s="4"/>
      <c r="C959" s="4"/>
      <c r="D959" s="4"/>
      <c r="E959" s="4"/>
      <c r="F959" s="4"/>
      <c r="G959" s="4"/>
      <c r="H959" s="4"/>
      <c r="I959" s="4"/>
      <c r="J959" s="4"/>
      <c r="K959" s="4"/>
      <c r="L959" s="4"/>
      <c r="M959" s="4"/>
      <c r="N959" s="4"/>
    </row>
    <row r="960" spans="2:14" ht="13">
      <c r="B960" s="4"/>
      <c r="C960" s="4"/>
      <c r="D960" s="4"/>
      <c r="E960" s="4"/>
      <c r="F960" s="4"/>
      <c r="G960" s="4"/>
      <c r="H960" s="4"/>
      <c r="I960" s="4"/>
      <c r="J960" s="4"/>
      <c r="K960" s="4"/>
      <c r="L960" s="4"/>
      <c r="M960" s="4"/>
      <c r="N960" s="4"/>
    </row>
    <row r="961" spans="2:14" ht="13">
      <c r="B961" s="4"/>
      <c r="C961" s="4"/>
      <c r="D961" s="4"/>
      <c r="E961" s="4"/>
      <c r="F961" s="4"/>
      <c r="G961" s="4"/>
      <c r="H961" s="4"/>
      <c r="I961" s="4"/>
      <c r="J961" s="4"/>
      <c r="K961" s="4"/>
      <c r="L961" s="4"/>
      <c r="M961" s="4"/>
      <c r="N961" s="4"/>
    </row>
    <row r="962" spans="2:14" ht="13">
      <c r="B962" s="4"/>
      <c r="C962" s="4"/>
      <c r="D962" s="4"/>
      <c r="E962" s="4"/>
      <c r="F962" s="4"/>
      <c r="G962" s="4"/>
      <c r="H962" s="4"/>
      <c r="I962" s="4"/>
      <c r="J962" s="4"/>
      <c r="K962" s="4"/>
      <c r="L962" s="4"/>
      <c r="M962" s="4"/>
      <c r="N962" s="4"/>
    </row>
    <row r="963" spans="2:14" ht="13">
      <c r="B963" s="4"/>
      <c r="C963" s="4"/>
      <c r="D963" s="4"/>
      <c r="E963" s="4"/>
      <c r="F963" s="4"/>
      <c r="G963" s="4"/>
      <c r="H963" s="4"/>
      <c r="I963" s="4"/>
      <c r="J963" s="4"/>
      <c r="K963" s="4"/>
      <c r="L963" s="4"/>
      <c r="M963" s="4"/>
      <c r="N963" s="4"/>
    </row>
    <row r="964" spans="2:14" ht="13">
      <c r="B964" s="4"/>
      <c r="C964" s="4"/>
      <c r="D964" s="4"/>
      <c r="E964" s="4"/>
      <c r="F964" s="4"/>
      <c r="G964" s="4"/>
      <c r="H964" s="4"/>
      <c r="I964" s="4"/>
      <c r="J964" s="4"/>
      <c r="K964" s="4"/>
      <c r="L964" s="4"/>
      <c r="M964" s="4"/>
      <c r="N964" s="4"/>
    </row>
    <row r="965" spans="2:14" ht="13">
      <c r="B965" s="4"/>
      <c r="C965" s="4"/>
      <c r="D965" s="4"/>
      <c r="E965" s="4"/>
      <c r="F965" s="4"/>
      <c r="G965" s="4"/>
      <c r="H965" s="4"/>
      <c r="I965" s="4"/>
      <c r="J965" s="4"/>
      <c r="K965" s="4"/>
      <c r="L965" s="4"/>
      <c r="M965" s="4"/>
      <c r="N965" s="4"/>
    </row>
    <row r="966" spans="2:14" ht="13">
      <c r="B966" s="4"/>
      <c r="C966" s="4"/>
      <c r="D966" s="4"/>
      <c r="E966" s="4"/>
      <c r="F966" s="4"/>
      <c r="G966" s="4"/>
      <c r="H966" s="4"/>
      <c r="I966" s="4"/>
      <c r="J966" s="4"/>
      <c r="K966" s="4"/>
      <c r="L966" s="4"/>
      <c r="M966" s="4"/>
      <c r="N966" s="4"/>
    </row>
    <row r="967" spans="2:14" ht="13">
      <c r="B967" s="4"/>
      <c r="C967" s="4"/>
      <c r="D967" s="4"/>
      <c r="E967" s="4"/>
      <c r="F967" s="4"/>
      <c r="G967" s="4"/>
      <c r="H967" s="4"/>
      <c r="I967" s="4"/>
      <c r="J967" s="4"/>
      <c r="K967" s="4"/>
      <c r="L967" s="4"/>
      <c r="M967" s="4"/>
      <c r="N967" s="4"/>
    </row>
    <row r="968" spans="2:14" ht="13">
      <c r="B968" s="4"/>
      <c r="C968" s="4"/>
      <c r="D968" s="4"/>
      <c r="E968" s="4"/>
      <c r="F968" s="4"/>
      <c r="G968" s="4"/>
      <c r="H968" s="4"/>
      <c r="I968" s="4"/>
      <c r="J968" s="4"/>
      <c r="K968" s="4"/>
      <c r="L968" s="4"/>
      <c r="M968" s="4"/>
      <c r="N968" s="4"/>
    </row>
    <row r="969" spans="2:14" ht="13">
      <c r="B969" s="4"/>
      <c r="C969" s="4"/>
      <c r="D969" s="4"/>
      <c r="E969" s="4"/>
      <c r="F969" s="4"/>
      <c r="G969" s="4"/>
      <c r="H969" s="4"/>
      <c r="I969" s="4"/>
      <c r="J969" s="4"/>
      <c r="K969" s="4"/>
      <c r="L969" s="4"/>
      <c r="M969" s="4"/>
      <c r="N969" s="4"/>
    </row>
    <row r="970" spans="2:14" ht="13">
      <c r="B970" s="4"/>
      <c r="C970" s="4"/>
      <c r="D970" s="4"/>
      <c r="E970" s="4"/>
      <c r="F970" s="4"/>
      <c r="G970" s="4"/>
      <c r="H970" s="4"/>
      <c r="I970" s="4"/>
      <c r="J970" s="4"/>
      <c r="K970" s="4"/>
      <c r="L970" s="4"/>
      <c r="M970" s="4"/>
      <c r="N970" s="4"/>
    </row>
    <row r="971" spans="2:14" ht="13">
      <c r="B971" s="4"/>
      <c r="C971" s="4"/>
      <c r="D971" s="4"/>
      <c r="E971" s="4"/>
      <c r="F971" s="4"/>
      <c r="G971" s="4"/>
      <c r="H971" s="4"/>
      <c r="I971" s="4"/>
      <c r="J971" s="4"/>
      <c r="K971" s="4"/>
      <c r="L971" s="4"/>
      <c r="M971" s="4"/>
      <c r="N971" s="4"/>
    </row>
    <row r="972" spans="2:14" ht="13">
      <c r="B972" s="4"/>
      <c r="C972" s="4"/>
      <c r="D972" s="4"/>
      <c r="E972" s="4"/>
      <c r="F972" s="4"/>
      <c r="G972" s="4"/>
      <c r="H972" s="4"/>
      <c r="I972" s="4"/>
      <c r="J972" s="4"/>
      <c r="K972" s="4"/>
      <c r="L972" s="4"/>
      <c r="M972" s="4"/>
      <c r="N972" s="4"/>
    </row>
    <row r="973" spans="2:14" ht="13">
      <c r="B973" s="4"/>
      <c r="C973" s="4"/>
      <c r="D973" s="4"/>
      <c r="E973" s="4"/>
      <c r="F973" s="4"/>
      <c r="G973" s="4"/>
      <c r="H973" s="4"/>
      <c r="I973" s="4"/>
      <c r="J973" s="4"/>
      <c r="K973" s="4"/>
      <c r="L973" s="4"/>
      <c r="M973" s="4"/>
      <c r="N973" s="4"/>
    </row>
    <row r="974" spans="2:14" ht="13">
      <c r="B974" s="4"/>
      <c r="C974" s="4"/>
      <c r="D974" s="4"/>
      <c r="E974" s="4"/>
      <c r="F974" s="4"/>
      <c r="G974" s="4"/>
      <c r="H974" s="4"/>
      <c r="I974" s="4"/>
      <c r="J974" s="4"/>
      <c r="K974" s="4"/>
      <c r="L974" s="4"/>
      <c r="M974" s="4"/>
      <c r="N974" s="4"/>
    </row>
    <row r="975" spans="2:14" ht="13">
      <c r="B975" s="4"/>
      <c r="C975" s="4"/>
      <c r="D975" s="4"/>
      <c r="E975" s="4"/>
      <c r="F975" s="4"/>
      <c r="G975" s="4"/>
      <c r="H975" s="4"/>
      <c r="I975" s="4"/>
      <c r="J975" s="4"/>
      <c r="K975" s="4"/>
      <c r="L975" s="4"/>
      <c r="M975" s="4"/>
      <c r="N975" s="4"/>
    </row>
    <row r="976" spans="2:14" ht="13">
      <c r="B976" s="4"/>
      <c r="C976" s="4"/>
      <c r="D976" s="4"/>
      <c r="E976" s="4"/>
      <c r="F976" s="4"/>
      <c r="G976" s="4"/>
      <c r="H976" s="4"/>
      <c r="I976" s="4"/>
      <c r="J976" s="4"/>
      <c r="K976" s="4"/>
      <c r="L976" s="4"/>
      <c r="M976" s="4"/>
      <c r="N976" s="4"/>
    </row>
    <row r="977" spans="2:14" ht="13">
      <c r="B977" s="4"/>
      <c r="C977" s="4"/>
      <c r="D977" s="4"/>
      <c r="E977" s="4"/>
      <c r="F977" s="4"/>
      <c r="G977" s="4"/>
      <c r="H977" s="4"/>
      <c r="I977" s="4"/>
      <c r="J977" s="4"/>
      <c r="K977" s="4"/>
      <c r="L977" s="4"/>
      <c r="M977" s="4"/>
      <c r="N977" s="4"/>
    </row>
    <row r="978" spans="2:14" ht="13">
      <c r="B978" s="4"/>
      <c r="C978" s="4"/>
      <c r="D978" s="4"/>
      <c r="E978" s="4"/>
      <c r="F978" s="4"/>
      <c r="G978" s="4"/>
      <c r="H978" s="4"/>
      <c r="I978" s="4"/>
      <c r="J978" s="4"/>
      <c r="K978" s="4"/>
      <c r="L978" s="4"/>
      <c r="M978" s="4"/>
      <c r="N978" s="4"/>
    </row>
    <row r="979" spans="2:14" ht="13">
      <c r="B979" s="4"/>
      <c r="C979" s="4"/>
      <c r="D979" s="4"/>
      <c r="E979" s="4"/>
      <c r="F979" s="4"/>
      <c r="G979" s="4"/>
      <c r="H979" s="4"/>
      <c r="I979" s="4"/>
      <c r="J979" s="4"/>
      <c r="K979" s="4"/>
      <c r="L979" s="4"/>
      <c r="M979" s="4"/>
      <c r="N979" s="4"/>
    </row>
    <row r="980" spans="2:14" ht="13">
      <c r="B980" s="4"/>
      <c r="C980" s="4"/>
      <c r="D980" s="4"/>
      <c r="E980" s="4"/>
      <c r="F980" s="4"/>
      <c r="G980" s="4"/>
      <c r="H980" s="4"/>
      <c r="I980" s="4"/>
      <c r="J980" s="4"/>
      <c r="K980" s="4"/>
      <c r="L980" s="4"/>
      <c r="M980" s="4"/>
      <c r="N980" s="4"/>
    </row>
    <row r="981" spans="2:14" ht="13">
      <c r="B981" s="4"/>
      <c r="C981" s="4"/>
      <c r="D981" s="4"/>
      <c r="E981" s="4"/>
      <c r="F981" s="4"/>
      <c r="G981" s="4"/>
      <c r="H981" s="4"/>
      <c r="I981" s="4"/>
      <c r="J981" s="4"/>
      <c r="K981" s="4"/>
      <c r="L981" s="4"/>
      <c r="M981" s="4"/>
      <c r="N981" s="4"/>
    </row>
    <row r="982" spans="2:14" ht="13">
      <c r="B982" s="4"/>
      <c r="C982" s="4"/>
      <c r="D982" s="4"/>
      <c r="E982" s="4"/>
      <c r="F982" s="4"/>
      <c r="G982" s="4"/>
      <c r="H982" s="4"/>
      <c r="I982" s="4"/>
      <c r="J982" s="4"/>
      <c r="K982" s="4"/>
      <c r="L982" s="4"/>
      <c r="M982" s="4"/>
      <c r="N982" s="4"/>
    </row>
    <row r="983" spans="2:14" ht="13">
      <c r="B983" s="4"/>
      <c r="C983" s="4"/>
      <c r="D983" s="4"/>
      <c r="E983" s="4"/>
      <c r="F983" s="4"/>
      <c r="G983" s="4"/>
      <c r="H983" s="4"/>
      <c r="I983" s="4"/>
      <c r="J983" s="4"/>
      <c r="K983" s="4"/>
      <c r="L983" s="4"/>
      <c r="M983" s="4"/>
      <c r="N983" s="4"/>
    </row>
    <row r="984" spans="2:14" ht="13">
      <c r="B984" s="4"/>
      <c r="C984" s="4"/>
      <c r="D984" s="4"/>
      <c r="E984" s="4"/>
      <c r="F984" s="4"/>
      <c r="G984" s="4"/>
      <c r="H984" s="4"/>
      <c r="I984" s="4"/>
      <c r="J984" s="4"/>
      <c r="K984" s="4"/>
      <c r="L984" s="4"/>
      <c r="M984" s="4"/>
      <c r="N984" s="4"/>
    </row>
    <row r="985" spans="2:14" ht="13">
      <c r="B985" s="4"/>
      <c r="C985" s="4"/>
      <c r="D985" s="4"/>
      <c r="E985" s="4"/>
      <c r="F985" s="4"/>
      <c r="G985" s="4"/>
      <c r="H985" s="4"/>
      <c r="I985" s="4"/>
      <c r="J985" s="4"/>
      <c r="K985" s="4"/>
      <c r="L985" s="4"/>
      <c r="M985" s="4"/>
      <c r="N985" s="4"/>
    </row>
    <row r="986" spans="2:14" ht="13">
      <c r="B986" s="4"/>
      <c r="C986" s="4"/>
      <c r="D986" s="4"/>
      <c r="E986" s="4"/>
      <c r="F986" s="4"/>
      <c r="G986" s="4"/>
      <c r="H986" s="4"/>
      <c r="I986" s="4"/>
      <c r="J986" s="4"/>
      <c r="K986" s="4"/>
      <c r="L986" s="4"/>
      <c r="M986" s="4"/>
      <c r="N986" s="4"/>
    </row>
    <row r="987" spans="2:14" ht="13">
      <c r="B987" s="4"/>
      <c r="C987" s="4"/>
      <c r="D987" s="4"/>
      <c r="E987" s="4"/>
      <c r="F987" s="4"/>
      <c r="G987" s="4"/>
      <c r="H987" s="4"/>
      <c r="I987" s="4"/>
      <c r="J987" s="4"/>
      <c r="K987" s="4"/>
      <c r="L987" s="4"/>
      <c r="M987" s="4"/>
      <c r="N987" s="4"/>
    </row>
    <row r="988" spans="2:14" ht="13">
      <c r="B988" s="4"/>
      <c r="C988" s="4"/>
      <c r="D988" s="4"/>
      <c r="E988" s="4"/>
      <c r="F988" s="4"/>
      <c r="G988" s="4"/>
      <c r="H988" s="4"/>
      <c r="I988" s="4"/>
      <c r="J988" s="4"/>
      <c r="K988" s="4"/>
      <c r="L988" s="4"/>
      <c r="M988" s="4"/>
      <c r="N988" s="4"/>
    </row>
    <row r="989" spans="2:14" ht="13">
      <c r="B989" s="4"/>
      <c r="C989" s="4"/>
      <c r="D989" s="4"/>
      <c r="E989" s="4"/>
      <c r="F989" s="4"/>
      <c r="G989" s="4"/>
      <c r="H989" s="4"/>
      <c r="I989" s="4"/>
      <c r="J989" s="4"/>
      <c r="K989" s="4"/>
      <c r="L989" s="4"/>
      <c r="M989" s="4"/>
      <c r="N989" s="4"/>
    </row>
    <row r="990" spans="2:14" ht="13">
      <c r="B990" s="4"/>
      <c r="C990" s="4"/>
      <c r="D990" s="4"/>
      <c r="E990" s="4"/>
      <c r="F990" s="4"/>
      <c r="G990" s="4"/>
      <c r="H990" s="4"/>
      <c r="I990" s="4"/>
      <c r="J990" s="4"/>
      <c r="K990" s="4"/>
      <c r="L990" s="4"/>
      <c r="M990" s="4"/>
      <c r="N990" s="4"/>
    </row>
    <row r="991" spans="2:14" ht="13">
      <c r="B991" s="4"/>
      <c r="C991" s="4"/>
      <c r="D991" s="4"/>
      <c r="E991" s="4"/>
      <c r="F991" s="4"/>
      <c r="G991" s="4"/>
      <c r="H991" s="4"/>
      <c r="I991" s="4"/>
      <c r="J991" s="4"/>
      <c r="K991" s="4"/>
      <c r="L991" s="4"/>
      <c r="M991" s="4"/>
      <c r="N991" s="4"/>
    </row>
    <row r="992" spans="2:14" ht="13">
      <c r="B992" s="4"/>
      <c r="C992" s="4"/>
      <c r="D992" s="4"/>
      <c r="E992" s="4"/>
      <c r="F992" s="4"/>
      <c r="G992" s="4"/>
      <c r="H992" s="4"/>
      <c r="I992" s="4"/>
      <c r="J992" s="4"/>
      <c r="K992" s="4"/>
      <c r="L992" s="4"/>
      <c r="M992" s="4"/>
      <c r="N992" s="4"/>
    </row>
    <row r="993" spans="2:14" ht="13">
      <c r="B993" s="4"/>
      <c r="C993" s="4"/>
      <c r="D993" s="4"/>
      <c r="E993" s="4"/>
      <c r="F993" s="4"/>
      <c r="G993" s="4"/>
      <c r="H993" s="4"/>
      <c r="I993" s="4"/>
      <c r="J993" s="4"/>
      <c r="K993" s="4"/>
      <c r="L993" s="4"/>
      <c r="M993" s="4"/>
      <c r="N993" s="4"/>
    </row>
    <row r="994" spans="2:14" ht="13">
      <c r="B994" s="4"/>
      <c r="C994" s="4"/>
      <c r="D994" s="4"/>
      <c r="E994" s="4"/>
      <c r="F994" s="4"/>
      <c r="G994" s="4"/>
      <c r="H994" s="4"/>
      <c r="I994" s="4"/>
      <c r="J994" s="4"/>
      <c r="K994" s="4"/>
      <c r="L994" s="4"/>
      <c r="M994" s="4"/>
      <c r="N994" s="4"/>
    </row>
    <row r="995" spans="2:14" ht="13">
      <c r="B995" s="4"/>
      <c r="C995" s="4"/>
      <c r="D995" s="4"/>
      <c r="E995" s="4"/>
      <c r="F995" s="4"/>
      <c r="G995" s="4"/>
      <c r="H995" s="4"/>
      <c r="I995" s="4"/>
      <c r="J995" s="4"/>
      <c r="K995" s="4"/>
      <c r="L995" s="4"/>
      <c r="M995" s="4"/>
      <c r="N995" s="4"/>
    </row>
    <row r="996" spans="2:14" ht="13">
      <c r="B996" s="4"/>
      <c r="C996" s="4"/>
      <c r="D996" s="4"/>
      <c r="E996" s="4"/>
      <c r="F996" s="4"/>
      <c r="G996" s="4"/>
      <c r="H996" s="4"/>
      <c r="I996" s="4"/>
      <c r="J996" s="4"/>
      <c r="K996" s="4"/>
      <c r="L996" s="4"/>
      <c r="M996" s="4"/>
      <c r="N996" s="4"/>
    </row>
    <row r="997" spans="2:14" ht="13">
      <c r="B997" s="4"/>
      <c r="C997" s="4"/>
      <c r="D997" s="4"/>
      <c r="E997" s="4"/>
      <c r="F997" s="4"/>
      <c r="G997" s="4"/>
      <c r="H997" s="4"/>
      <c r="I997" s="4"/>
      <c r="J997" s="4"/>
      <c r="K997" s="4"/>
      <c r="L997" s="4"/>
      <c r="M997" s="4"/>
      <c r="N997" s="4"/>
    </row>
    <row r="998" spans="2:14" ht="13">
      <c r="B998" s="4"/>
      <c r="C998" s="4"/>
      <c r="D998" s="4"/>
      <c r="E998" s="4"/>
      <c r="F998" s="4"/>
      <c r="G998" s="4"/>
      <c r="H998" s="4"/>
      <c r="I998" s="4"/>
      <c r="J998" s="4"/>
      <c r="K998" s="4"/>
      <c r="L998" s="4"/>
      <c r="M998" s="4"/>
      <c r="N998" s="4"/>
    </row>
    <row r="999" spans="2:14" ht="13">
      <c r="B999" s="4"/>
      <c r="C999" s="4"/>
      <c r="D999" s="4"/>
      <c r="E999" s="4"/>
      <c r="F999" s="4"/>
      <c r="G999" s="4"/>
      <c r="H999" s="4"/>
      <c r="I999" s="4"/>
      <c r="J999" s="4"/>
      <c r="K999" s="4"/>
      <c r="L999" s="4"/>
      <c r="M999" s="4"/>
      <c r="N999" s="4"/>
    </row>
    <row r="1000" spans="2:14" ht="13">
      <c r="B1000" s="4"/>
      <c r="C1000" s="4"/>
      <c r="D1000" s="4"/>
      <c r="E1000" s="4"/>
      <c r="F1000" s="4"/>
      <c r="G1000" s="4"/>
      <c r="H1000" s="4"/>
      <c r="I1000" s="4"/>
      <c r="J1000" s="4"/>
      <c r="K1000" s="4"/>
      <c r="L1000" s="4"/>
      <c r="M1000" s="4"/>
      <c r="N1000" s="4"/>
    </row>
    <row r="1001" spans="2:14" ht="13">
      <c r="B1001" s="4"/>
      <c r="C1001" s="4"/>
      <c r="D1001" s="4"/>
      <c r="E1001" s="4"/>
      <c r="F1001" s="4"/>
      <c r="G1001" s="4"/>
      <c r="H1001" s="4"/>
      <c r="I1001" s="4"/>
      <c r="J1001" s="4"/>
      <c r="K1001" s="4"/>
      <c r="L1001" s="4"/>
      <c r="M1001" s="4"/>
      <c r="N1001" s="4"/>
    </row>
    <row r="1002" spans="2:14" ht="13">
      <c r="B1002" s="4"/>
      <c r="C1002" s="4"/>
      <c r="D1002" s="4"/>
      <c r="E1002" s="4"/>
      <c r="F1002" s="4"/>
      <c r="G1002" s="4"/>
      <c r="H1002" s="4"/>
      <c r="I1002" s="4"/>
      <c r="J1002" s="4"/>
      <c r="K1002" s="4"/>
      <c r="L1002" s="4"/>
      <c r="M1002" s="4"/>
      <c r="N1002" s="4"/>
    </row>
    <row r="1003" spans="2:14" ht="13">
      <c r="B1003" s="4"/>
      <c r="C1003" s="4"/>
      <c r="D1003" s="4"/>
      <c r="E1003" s="4"/>
      <c r="F1003" s="4"/>
      <c r="G1003" s="4"/>
      <c r="H1003" s="4"/>
      <c r="I1003" s="4"/>
      <c r="J1003" s="4"/>
      <c r="K1003" s="4"/>
      <c r="L1003" s="4"/>
      <c r="M1003" s="4"/>
      <c r="N1003" s="4"/>
    </row>
    <row r="1004" spans="2:14" ht="13">
      <c r="B1004" s="4"/>
      <c r="C1004" s="4"/>
      <c r="D1004" s="4"/>
      <c r="E1004" s="4"/>
      <c r="F1004" s="4"/>
      <c r="G1004" s="4"/>
      <c r="H1004" s="4"/>
      <c r="I1004" s="4"/>
      <c r="J1004" s="4"/>
      <c r="K1004" s="4"/>
      <c r="L1004" s="4"/>
      <c r="M1004" s="4"/>
      <c r="N1004" s="4"/>
    </row>
    <row r="1005" spans="2:14" ht="13">
      <c r="B1005" s="4"/>
      <c r="C1005" s="4"/>
      <c r="D1005" s="4"/>
      <c r="E1005" s="4"/>
      <c r="F1005" s="4"/>
      <c r="G1005" s="4"/>
      <c r="H1005" s="4"/>
      <c r="I1005" s="4"/>
      <c r="J1005" s="4"/>
      <c r="K1005" s="4"/>
      <c r="L1005" s="4"/>
      <c r="M1005" s="4"/>
      <c r="N1005" s="4"/>
    </row>
    <row r="1006" spans="2:14" ht="13">
      <c r="B1006" s="4"/>
      <c r="C1006" s="4"/>
      <c r="D1006" s="4"/>
      <c r="E1006" s="4"/>
      <c r="F1006" s="4"/>
      <c r="G1006" s="4"/>
      <c r="H1006" s="4"/>
      <c r="I1006" s="4"/>
      <c r="J1006" s="4"/>
      <c r="K1006" s="4"/>
      <c r="L1006" s="4"/>
      <c r="M1006" s="4"/>
      <c r="N1006" s="4"/>
    </row>
    <row r="1007" spans="2:14" ht="13">
      <c r="B1007" s="4"/>
      <c r="C1007" s="4"/>
      <c r="D1007" s="4"/>
      <c r="E1007" s="4"/>
      <c r="F1007" s="4"/>
      <c r="G1007" s="4"/>
      <c r="H1007" s="4"/>
      <c r="I1007" s="4"/>
      <c r="J1007" s="4"/>
      <c r="K1007" s="4"/>
      <c r="L1007" s="4"/>
      <c r="M1007" s="4"/>
      <c r="N1007" s="4"/>
    </row>
    <row r="1008" spans="2:14" ht="13">
      <c r="B1008" s="4"/>
      <c r="C1008" s="4"/>
      <c r="D1008" s="4"/>
      <c r="E1008" s="4"/>
      <c r="F1008" s="4"/>
      <c r="G1008" s="4"/>
      <c r="H1008" s="4"/>
      <c r="I1008" s="4"/>
      <c r="J1008" s="4"/>
      <c r="K1008" s="4"/>
      <c r="L1008" s="4"/>
      <c r="M1008" s="4"/>
      <c r="N1008" s="4"/>
    </row>
    <row r="1009" spans="2:14" ht="13">
      <c r="B1009" s="4"/>
      <c r="C1009" s="4"/>
      <c r="D1009" s="4"/>
      <c r="E1009" s="4"/>
      <c r="F1009" s="4"/>
      <c r="G1009" s="4"/>
      <c r="H1009" s="4"/>
      <c r="I1009" s="4"/>
      <c r="J1009" s="4"/>
      <c r="K1009" s="4"/>
      <c r="L1009" s="4"/>
      <c r="M1009" s="4"/>
      <c r="N1009" s="4"/>
    </row>
    <row r="1010" spans="2:14" ht="13">
      <c r="B1010" s="4"/>
      <c r="C1010" s="4"/>
      <c r="D1010" s="4"/>
      <c r="E1010" s="4"/>
      <c r="F1010" s="4"/>
      <c r="G1010" s="4"/>
      <c r="H1010" s="4"/>
      <c r="I1010" s="4"/>
      <c r="J1010" s="4"/>
      <c r="K1010" s="4"/>
      <c r="L1010" s="4"/>
      <c r="M1010" s="4"/>
      <c r="N1010" s="4"/>
    </row>
    <row r="1011" spans="2:14" ht="13">
      <c r="B1011" s="4"/>
      <c r="C1011" s="4"/>
      <c r="D1011" s="4"/>
      <c r="E1011" s="4"/>
      <c r="F1011" s="4"/>
      <c r="G1011" s="4"/>
      <c r="H1011" s="4"/>
      <c r="I1011" s="4"/>
      <c r="J1011" s="4"/>
      <c r="K1011" s="4"/>
      <c r="L1011" s="4"/>
      <c r="M1011" s="4"/>
      <c r="N1011" s="4"/>
    </row>
    <row r="1012" spans="2:14" ht="13">
      <c r="B1012" s="4"/>
      <c r="C1012" s="4"/>
      <c r="D1012" s="4"/>
      <c r="E1012" s="4"/>
      <c r="F1012" s="4"/>
      <c r="G1012" s="4"/>
      <c r="H1012" s="4"/>
      <c r="I1012" s="4"/>
      <c r="J1012" s="4"/>
      <c r="K1012" s="4"/>
      <c r="L1012" s="4"/>
      <c r="M1012" s="4"/>
      <c r="N1012" s="4"/>
    </row>
    <row r="1013" spans="2:14" ht="13">
      <c r="B1013" s="4"/>
      <c r="C1013" s="4"/>
      <c r="D1013" s="4"/>
      <c r="E1013" s="4"/>
      <c r="F1013" s="4"/>
      <c r="G1013" s="4"/>
      <c r="H1013" s="4"/>
      <c r="I1013" s="4"/>
      <c r="J1013" s="4"/>
      <c r="K1013" s="4"/>
      <c r="L1013" s="4"/>
      <c r="M1013" s="4"/>
      <c r="N1013" s="4"/>
    </row>
    <row r="1014" spans="2:14" ht="13">
      <c r="B1014" s="4"/>
      <c r="C1014" s="4"/>
      <c r="D1014" s="4"/>
      <c r="E1014" s="4"/>
      <c r="F1014" s="4"/>
      <c r="G1014" s="4"/>
      <c r="H1014" s="4"/>
      <c r="I1014" s="4"/>
      <c r="J1014" s="4"/>
      <c r="K1014" s="4"/>
      <c r="L1014" s="4"/>
      <c r="M1014" s="4"/>
      <c r="N1014" s="4"/>
    </row>
    <row r="1015" spans="2:14" ht="13">
      <c r="B1015" s="4"/>
      <c r="C1015" s="4"/>
      <c r="D1015" s="4"/>
      <c r="E1015" s="4"/>
      <c r="F1015" s="4"/>
      <c r="G1015" s="4"/>
      <c r="H1015" s="4"/>
      <c r="I1015" s="4"/>
      <c r="J1015" s="4"/>
      <c r="K1015" s="4"/>
      <c r="L1015" s="4"/>
      <c r="M1015" s="4"/>
      <c r="N1015" s="4"/>
    </row>
    <row r="1016" spans="2:14" ht="13">
      <c r="B1016" s="4"/>
      <c r="C1016" s="4"/>
      <c r="D1016" s="4"/>
      <c r="E1016" s="4"/>
      <c r="F1016" s="4"/>
      <c r="G1016" s="4"/>
      <c r="H1016" s="4"/>
      <c r="I1016" s="4"/>
      <c r="J1016" s="4"/>
      <c r="K1016" s="4"/>
      <c r="L1016" s="4"/>
      <c r="M1016" s="4"/>
      <c r="N1016" s="4"/>
    </row>
    <row r="1017" spans="2:14" ht="13">
      <c r="B1017" s="4"/>
      <c r="C1017" s="4"/>
      <c r="D1017" s="4"/>
      <c r="E1017" s="4"/>
      <c r="F1017" s="4"/>
      <c r="G1017" s="4"/>
      <c r="H1017" s="4"/>
      <c r="I1017" s="4"/>
      <c r="J1017" s="4"/>
      <c r="K1017" s="4"/>
      <c r="L1017" s="4"/>
      <c r="M1017" s="4"/>
      <c r="N1017" s="4"/>
    </row>
    <row r="1018" spans="2:14" ht="13">
      <c r="B1018" s="4"/>
      <c r="C1018" s="4"/>
      <c r="D1018" s="4"/>
      <c r="E1018" s="4"/>
      <c r="F1018" s="4"/>
      <c r="G1018" s="4"/>
      <c r="H1018" s="4"/>
      <c r="I1018" s="4"/>
      <c r="J1018" s="4"/>
      <c r="K1018" s="4"/>
      <c r="L1018" s="4"/>
      <c r="M1018" s="4"/>
      <c r="N1018" s="4"/>
    </row>
    <row r="1019" spans="2:14" ht="13">
      <c r="B1019" s="4"/>
      <c r="C1019" s="4"/>
      <c r="D1019" s="4"/>
      <c r="E1019" s="4"/>
      <c r="F1019" s="4"/>
      <c r="G1019" s="4"/>
      <c r="H1019" s="4"/>
      <c r="I1019" s="4"/>
      <c r="J1019" s="4"/>
      <c r="K1019" s="4"/>
      <c r="L1019" s="4"/>
      <c r="M1019" s="4"/>
      <c r="N1019" s="4"/>
    </row>
    <row r="1020" spans="2:14" ht="13">
      <c r="B1020" s="4"/>
      <c r="C1020" s="4"/>
      <c r="D1020" s="4"/>
      <c r="E1020" s="4"/>
      <c r="F1020" s="4"/>
      <c r="G1020" s="4"/>
      <c r="H1020" s="4"/>
      <c r="I1020" s="4"/>
      <c r="J1020" s="4"/>
      <c r="K1020" s="4"/>
      <c r="L1020" s="4"/>
      <c r="M1020" s="4"/>
      <c r="N1020" s="4"/>
    </row>
    <row r="1021" spans="2:14" ht="13">
      <c r="B1021" s="4"/>
      <c r="C1021" s="4"/>
      <c r="D1021" s="4"/>
      <c r="E1021" s="4"/>
      <c r="F1021" s="4"/>
      <c r="G1021" s="4"/>
      <c r="H1021" s="4"/>
      <c r="I1021" s="4"/>
      <c r="J1021" s="4"/>
      <c r="K1021" s="4"/>
      <c r="L1021" s="4"/>
      <c r="M1021" s="4"/>
      <c r="N1021" s="4"/>
    </row>
    <row r="1022" spans="2:14" ht="13">
      <c r="B1022" s="4"/>
      <c r="C1022" s="4"/>
      <c r="D1022" s="4"/>
      <c r="E1022" s="4"/>
      <c r="F1022" s="4"/>
      <c r="G1022" s="4"/>
      <c r="H1022" s="4"/>
      <c r="I1022" s="4"/>
      <c r="J1022" s="4"/>
      <c r="K1022" s="4"/>
      <c r="L1022" s="4"/>
      <c r="M1022" s="4"/>
      <c r="N1022" s="4"/>
    </row>
    <row r="1023" spans="2:14" ht="13">
      <c r="B1023" s="4"/>
      <c r="C1023" s="4"/>
      <c r="D1023" s="4"/>
      <c r="E1023" s="4"/>
      <c r="F1023" s="4"/>
      <c r="G1023" s="4"/>
      <c r="H1023" s="4"/>
      <c r="I1023" s="4"/>
      <c r="J1023" s="4"/>
      <c r="K1023" s="4"/>
      <c r="L1023" s="4"/>
      <c r="M1023" s="4"/>
      <c r="N1023" s="4"/>
    </row>
    <row r="1024" spans="2:14" ht="13">
      <c r="B1024" s="4"/>
      <c r="C1024" s="4"/>
      <c r="D1024" s="4"/>
      <c r="E1024" s="4"/>
      <c r="F1024" s="4"/>
      <c r="G1024" s="4"/>
      <c r="H1024" s="4"/>
      <c r="I1024" s="4"/>
      <c r="J1024" s="4"/>
      <c r="K1024" s="4"/>
      <c r="L1024" s="4"/>
      <c r="M1024" s="4"/>
      <c r="N1024" s="4"/>
    </row>
    <row r="1025" spans="2:14" ht="13">
      <c r="B1025" s="4"/>
      <c r="C1025" s="4"/>
      <c r="D1025" s="4"/>
      <c r="E1025" s="4"/>
      <c r="F1025" s="4"/>
      <c r="G1025" s="4"/>
      <c r="H1025" s="4"/>
      <c r="I1025" s="4"/>
      <c r="J1025" s="4"/>
      <c r="K1025" s="4"/>
      <c r="L1025" s="4"/>
      <c r="M1025" s="4"/>
      <c r="N1025" s="4"/>
    </row>
    <row r="1026" spans="2:14" ht="13">
      <c r="B1026" s="4"/>
      <c r="C1026" s="4"/>
      <c r="D1026" s="4"/>
      <c r="E1026" s="4"/>
      <c r="F1026" s="4"/>
      <c r="G1026" s="4"/>
      <c r="H1026" s="4"/>
      <c r="I1026" s="4"/>
      <c r="J1026" s="4"/>
      <c r="K1026" s="4"/>
      <c r="L1026" s="4"/>
      <c r="M1026" s="4"/>
      <c r="N1026" s="4"/>
    </row>
    <row r="1027" spans="2:14" ht="13">
      <c r="B1027" s="4"/>
      <c r="C1027" s="4"/>
      <c r="D1027" s="4"/>
      <c r="E1027" s="4"/>
      <c r="F1027" s="4"/>
      <c r="G1027" s="4"/>
      <c r="H1027" s="4"/>
      <c r="I1027" s="4"/>
      <c r="J1027" s="4"/>
      <c r="K1027" s="4"/>
      <c r="L1027" s="4"/>
      <c r="M1027" s="4"/>
      <c r="N1027" s="4"/>
    </row>
    <row r="1028" spans="2:14" ht="13">
      <c r="B1028" s="4"/>
      <c r="C1028" s="4"/>
      <c r="D1028" s="4"/>
      <c r="E1028" s="4"/>
      <c r="F1028" s="4"/>
      <c r="G1028" s="4"/>
      <c r="H1028" s="4"/>
      <c r="I1028" s="4"/>
      <c r="J1028" s="4"/>
      <c r="K1028" s="4"/>
      <c r="L1028" s="4"/>
      <c r="M1028" s="4"/>
      <c r="N1028" s="4"/>
    </row>
    <row r="1029" spans="2:14" ht="13">
      <c r="B1029" s="4"/>
      <c r="C1029" s="4"/>
      <c r="D1029" s="4"/>
      <c r="E1029" s="4"/>
      <c r="F1029" s="4"/>
      <c r="G1029" s="4"/>
      <c r="H1029" s="4"/>
      <c r="I1029" s="4"/>
      <c r="J1029" s="4"/>
      <c r="K1029" s="4"/>
      <c r="L1029" s="4"/>
      <c r="M1029" s="4"/>
      <c r="N1029" s="4"/>
    </row>
    <row r="1030" spans="2:14" ht="13">
      <c r="B1030" s="4"/>
      <c r="C1030" s="4"/>
      <c r="D1030" s="4"/>
      <c r="E1030" s="4"/>
      <c r="F1030" s="4"/>
      <c r="G1030" s="4"/>
      <c r="H1030" s="4"/>
      <c r="I1030" s="4"/>
      <c r="J1030" s="4"/>
      <c r="K1030" s="4"/>
      <c r="L1030" s="4"/>
      <c r="M1030" s="4"/>
      <c r="N1030" s="4"/>
    </row>
    <row r="1031" spans="2:14" ht="13">
      <c r="B1031" s="4"/>
      <c r="C1031" s="4"/>
      <c r="D1031" s="4"/>
      <c r="E1031" s="4"/>
      <c r="F1031" s="4"/>
      <c r="G1031" s="4"/>
      <c r="H1031" s="4"/>
      <c r="I1031" s="4"/>
      <c r="J1031" s="4"/>
      <c r="K1031" s="4"/>
      <c r="L1031" s="4"/>
      <c r="M1031" s="4"/>
      <c r="N1031" s="4"/>
    </row>
    <row r="1032" spans="2:14" ht="13">
      <c r="B1032" s="4"/>
      <c r="C1032" s="4"/>
      <c r="D1032" s="4"/>
      <c r="E1032" s="4"/>
      <c r="F1032" s="4"/>
      <c r="G1032" s="4"/>
      <c r="H1032" s="4"/>
      <c r="I1032" s="4"/>
      <c r="J1032" s="4"/>
      <c r="K1032" s="4"/>
      <c r="L1032" s="4"/>
      <c r="M1032" s="4"/>
      <c r="N1032" s="4"/>
    </row>
    <row r="1033" spans="2:14" ht="13">
      <c r="B1033" s="4"/>
      <c r="C1033" s="4"/>
      <c r="D1033" s="4"/>
      <c r="E1033" s="4"/>
      <c r="F1033" s="4"/>
      <c r="G1033" s="4"/>
      <c r="H1033" s="4"/>
      <c r="I1033" s="4"/>
      <c r="J1033" s="4"/>
      <c r="K1033" s="4"/>
      <c r="L1033" s="4"/>
      <c r="M1033" s="4"/>
      <c r="N1033" s="4"/>
    </row>
    <row r="1034" spans="2:14" ht="13">
      <c r="B1034" s="4"/>
      <c r="C1034" s="4"/>
      <c r="D1034" s="4"/>
      <c r="E1034" s="4"/>
      <c r="F1034" s="4"/>
      <c r="G1034" s="4"/>
      <c r="H1034" s="4"/>
      <c r="I1034" s="4"/>
      <c r="J1034" s="4"/>
      <c r="K1034" s="4"/>
      <c r="L1034" s="4"/>
      <c r="M1034" s="4"/>
      <c r="N1034" s="4"/>
    </row>
    <row r="1035" spans="2:14" ht="13">
      <c r="B1035" s="4"/>
      <c r="C1035" s="4"/>
      <c r="D1035" s="4"/>
      <c r="E1035" s="4"/>
      <c r="F1035" s="4"/>
      <c r="G1035" s="4"/>
      <c r="H1035" s="4"/>
      <c r="I1035" s="4"/>
      <c r="J1035" s="4"/>
      <c r="K1035" s="4"/>
      <c r="L1035" s="4"/>
      <c r="M1035" s="4"/>
      <c r="N1035" s="4"/>
    </row>
    <row r="1036" spans="2:14" ht="13">
      <c r="B1036" s="4"/>
      <c r="C1036" s="4"/>
      <c r="D1036" s="4"/>
      <c r="E1036" s="4"/>
      <c r="F1036" s="4"/>
      <c r="G1036" s="4"/>
      <c r="H1036" s="4"/>
      <c r="I1036" s="4"/>
      <c r="J1036" s="4"/>
      <c r="K1036" s="4"/>
      <c r="L1036" s="4"/>
      <c r="M1036" s="4"/>
      <c r="N1036" s="4"/>
    </row>
    <row r="1037" spans="2:14" ht="13">
      <c r="B1037" s="4"/>
      <c r="C1037" s="4"/>
      <c r="D1037" s="4"/>
      <c r="E1037" s="4"/>
      <c r="F1037" s="4"/>
      <c r="G1037" s="4"/>
      <c r="H1037" s="4"/>
      <c r="I1037" s="4"/>
      <c r="J1037" s="4"/>
      <c r="K1037" s="4"/>
      <c r="L1037" s="4"/>
      <c r="M1037" s="4"/>
      <c r="N1037" s="4"/>
    </row>
    <row r="1038" spans="2:14" ht="13">
      <c r="B1038" s="4"/>
      <c r="C1038" s="4"/>
      <c r="D1038" s="4"/>
      <c r="E1038" s="4"/>
      <c r="F1038" s="4"/>
      <c r="G1038" s="4"/>
      <c r="H1038" s="4"/>
      <c r="I1038" s="4"/>
      <c r="J1038" s="4"/>
      <c r="K1038" s="4"/>
      <c r="L1038" s="4"/>
      <c r="M1038" s="4"/>
      <c r="N1038" s="4"/>
    </row>
    <row r="1039" spans="2:14" ht="13">
      <c r="B1039" s="4"/>
      <c r="C1039" s="4"/>
      <c r="D1039" s="4"/>
      <c r="E1039" s="4"/>
      <c r="F1039" s="4"/>
      <c r="G1039" s="4"/>
      <c r="H1039" s="4"/>
      <c r="I1039" s="4"/>
      <c r="J1039" s="4"/>
      <c r="K1039" s="4"/>
      <c r="L1039" s="4"/>
      <c r="M1039" s="4"/>
      <c r="N1039" s="4"/>
    </row>
    <row r="1040" spans="2:14" ht="13">
      <c r="B1040" s="4"/>
      <c r="C1040" s="4"/>
      <c r="D1040" s="4"/>
      <c r="E1040" s="4"/>
      <c r="F1040" s="4"/>
      <c r="G1040" s="4"/>
      <c r="H1040" s="4"/>
      <c r="I1040" s="4"/>
      <c r="J1040" s="4"/>
      <c r="K1040" s="4"/>
      <c r="L1040" s="4"/>
      <c r="M1040" s="4"/>
      <c r="N1040" s="4"/>
    </row>
    <row r="1041" spans="2:14" ht="13">
      <c r="B1041" s="4"/>
      <c r="C1041" s="4"/>
      <c r="D1041" s="4"/>
      <c r="E1041" s="4"/>
      <c r="F1041" s="4"/>
      <c r="G1041" s="4"/>
      <c r="H1041" s="4"/>
      <c r="I1041" s="4"/>
      <c r="J1041" s="4"/>
      <c r="K1041" s="4"/>
      <c r="L1041" s="4"/>
      <c r="M1041" s="4"/>
      <c r="N1041" s="4"/>
    </row>
    <row r="1042" spans="2:14" ht="13">
      <c r="B1042" s="4"/>
      <c r="C1042" s="4"/>
      <c r="D1042" s="4"/>
      <c r="E1042" s="4"/>
      <c r="F1042" s="4"/>
      <c r="G1042" s="4"/>
      <c r="H1042" s="4"/>
      <c r="I1042" s="4"/>
      <c r="J1042" s="4"/>
      <c r="K1042" s="4"/>
      <c r="L1042" s="4"/>
      <c r="M1042" s="4"/>
      <c r="N1042" s="4"/>
    </row>
    <row r="1043" spans="2:14" ht="13">
      <c r="B1043" s="4"/>
      <c r="C1043" s="4"/>
      <c r="D1043" s="4"/>
      <c r="E1043" s="4"/>
      <c r="F1043" s="4"/>
      <c r="G1043" s="4"/>
      <c r="H1043" s="4"/>
      <c r="I1043" s="4"/>
      <c r="J1043" s="4"/>
      <c r="K1043" s="4"/>
      <c r="L1043" s="4"/>
      <c r="M1043" s="4"/>
      <c r="N1043" s="4"/>
    </row>
    <row r="1044" spans="2:14" ht="13">
      <c r="B1044" s="4"/>
      <c r="C1044" s="4"/>
      <c r="D1044" s="4"/>
      <c r="E1044" s="4"/>
      <c r="F1044" s="4"/>
      <c r="G1044" s="4"/>
      <c r="H1044" s="4"/>
      <c r="I1044" s="4"/>
      <c r="J1044" s="4"/>
      <c r="K1044" s="4"/>
      <c r="L1044" s="4"/>
      <c r="M1044" s="4"/>
      <c r="N1044" s="4"/>
    </row>
    <row r="1045" spans="2:14" ht="13">
      <c r="B1045" s="4"/>
      <c r="C1045" s="4"/>
      <c r="D1045" s="4"/>
      <c r="E1045" s="4"/>
      <c r="F1045" s="4"/>
      <c r="G1045" s="4"/>
      <c r="H1045" s="4"/>
      <c r="I1045" s="4"/>
      <c r="J1045" s="4"/>
      <c r="K1045" s="4"/>
      <c r="L1045" s="4"/>
      <c r="M1045" s="4"/>
      <c r="N1045" s="4"/>
    </row>
    <row r="1046" spans="2:14" ht="13">
      <c r="B1046" s="4"/>
      <c r="C1046" s="4"/>
      <c r="D1046" s="4"/>
      <c r="E1046" s="4"/>
      <c r="F1046" s="4"/>
      <c r="G1046" s="4"/>
      <c r="H1046" s="4"/>
      <c r="I1046" s="4"/>
      <c r="J1046" s="4"/>
      <c r="K1046" s="4"/>
      <c r="L1046" s="4"/>
      <c r="M1046" s="4"/>
      <c r="N1046" s="4"/>
    </row>
    <row r="1047" spans="2:14" ht="13">
      <c r="B1047" s="4"/>
      <c r="C1047" s="4"/>
      <c r="D1047" s="4"/>
      <c r="E1047" s="4"/>
      <c r="F1047" s="4"/>
      <c r="G1047" s="4"/>
      <c r="H1047" s="4"/>
      <c r="I1047" s="4"/>
      <c r="J1047" s="4"/>
      <c r="K1047" s="4"/>
      <c r="L1047" s="4"/>
      <c r="M1047" s="4"/>
      <c r="N1047" s="4"/>
    </row>
    <row r="1048" spans="2:14" ht="13">
      <c r="B1048" s="4"/>
      <c r="C1048" s="4"/>
      <c r="D1048" s="4"/>
      <c r="E1048" s="4"/>
      <c r="F1048" s="4"/>
      <c r="G1048" s="4"/>
      <c r="H1048" s="4"/>
      <c r="I1048" s="4"/>
      <c r="J1048" s="4"/>
      <c r="K1048" s="4"/>
      <c r="L1048" s="4"/>
      <c r="M1048" s="4"/>
      <c r="N1048" s="4"/>
    </row>
    <row r="1049" spans="2:14" ht="13">
      <c r="B1049" s="4"/>
      <c r="C1049" s="4"/>
      <c r="D1049" s="4"/>
      <c r="E1049" s="4"/>
      <c r="F1049" s="4"/>
      <c r="G1049" s="4"/>
      <c r="H1049" s="4"/>
      <c r="I1049" s="4"/>
      <c r="J1049" s="4"/>
      <c r="K1049" s="4"/>
      <c r="L1049" s="4"/>
      <c r="M1049" s="4"/>
      <c r="N1049" s="4"/>
    </row>
    <row r="1050" spans="2:14" ht="13">
      <c r="B1050" s="4"/>
      <c r="C1050" s="4"/>
      <c r="D1050" s="4"/>
      <c r="E1050" s="4"/>
      <c r="F1050" s="4"/>
      <c r="G1050" s="4"/>
      <c r="H1050" s="4"/>
      <c r="I1050" s="4"/>
      <c r="J1050" s="4"/>
      <c r="K1050" s="4"/>
      <c r="L1050" s="4"/>
      <c r="M1050" s="4"/>
      <c r="N1050" s="4"/>
    </row>
    <row r="1051" spans="2:14" ht="13">
      <c r="B1051" s="4"/>
      <c r="C1051" s="4"/>
      <c r="D1051" s="4"/>
      <c r="E1051" s="4"/>
      <c r="F1051" s="4"/>
      <c r="G1051" s="4"/>
      <c r="H1051" s="4"/>
      <c r="I1051" s="4"/>
      <c r="J1051" s="4"/>
      <c r="K1051" s="4"/>
      <c r="L1051" s="4"/>
      <c r="M1051" s="4"/>
      <c r="N1051" s="4"/>
    </row>
    <row r="1052" spans="2:14" ht="13">
      <c r="B1052" s="4"/>
      <c r="C1052" s="4"/>
      <c r="D1052" s="4"/>
      <c r="E1052" s="4"/>
      <c r="F1052" s="4"/>
      <c r="G1052" s="4"/>
      <c r="H1052" s="4"/>
      <c r="I1052" s="4"/>
      <c r="J1052" s="4"/>
      <c r="K1052" s="4"/>
      <c r="L1052" s="4"/>
      <c r="M1052" s="4"/>
      <c r="N1052" s="4"/>
    </row>
    <row r="1053" spans="2:14" ht="13">
      <c r="B1053" s="4"/>
      <c r="C1053" s="4"/>
      <c r="D1053" s="4"/>
      <c r="E1053" s="4"/>
      <c r="F1053" s="4"/>
      <c r="G1053" s="4"/>
      <c r="H1053" s="4"/>
      <c r="I1053" s="4"/>
      <c r="J1053" s="4"/>
      <c r="K1053" s="4"/>
      <c r="L1053" s="4"/>
      <c r="M1053" s="4"/>
      <c r="N1053" s="4"/>
    </row>
    <row r="1054" spans="2:14" ht="13">
      <c r="B1054" s="4"/>
      <c r="C1054" s="4"/>
      <c r="D1054" s="4"/>
      <c r="E1054" s="4"/>
      <c r="F1054" s="4"/>
      <c r="G1054" s="4"/>
      <c r="H1054" s="4"/>
      <c r="I1054" s="4"/>
      <c r="J1054" s="4"/>
      <c r="K1054" s="4"/>
      <c r="L1054" s="4"/>
      <c r="M1054" s="4"/>
      <c r="N1054" s="4"/>
    </row>
    <row r="1055" spans="2:14" ht="13">
      <c r="B1055" s="4"/>
      <c r="C1055" s="4"/>
      <c r="D1055" s="4"/>
      <c r="E1055" s="4"/>
      <c r="F1055" s="4"/>
      <c r="G1055" s="4"/>
      <c r="H1055" s="4"/>
      <c r="I1055" s="4"/>
      <c r="J1055" s="4"/>
      <c r="K1055" s="4"/>
      <c r="L1055" s="4"/>
      <c r="M1055" s="4"/>
      <c r="N1055" s="4"/>
    </row>
    <row r="1056" spans="2:14" ht="13">
      <c r="B1056" s="4"/>
      <c r="C1056" s="4"/>
      <c r="D1056" s="4"/>
      <c r="E1056" s="4"/>
      <c r="F1056" s="4"/>
      <c r="G1056" s="4"/>
      <c r="H1056" s="4"/>
      <c r="I1056" s="4"/>
      <c r="J1056" s="4"/>
      <c r="K1056" s="4"/>
      <c r="L1056" s="4"/>
      <c r="M1056" s="4"/>
      <c r="N1056" s="4"/>
    </row>
    <row r="1057" spans="2:14" ht="13">
      <c r="B1057" s="4"/>
      <c r="C1057" s="4"/>
      <c r="D1057" s="4"/>
      <c r="E1057" s="4"/>
      <c r="F1057" s="4"/>
      <c r="G1057" s="4"/>
      <c r="H1057" s="4"/>
      <c r="I1057" s="4"/>
      <c r="J1057" s="4"/>
      <c r="K1057" s="4"/>
      <c r="L1057" s="4"/>
      <c r="M1057" s="4"/>
      <c r="N1057" s="4"/>
    </row>
    <row r="1058" spans="2:14" ht="13">
      <c r="B1058" s="4"/>
      <c r="C1058" s="4"/>
      <c r="D1058" s="4"/>
      <c r="E1058" s="4"/>
      <c r="F1058" s="4"/>
      <c r="G1058" s="4"/>
      <c r="H1058" s="4"/>
      <c r="I1058" s="4"/>
      <c r="J1058" s="4"/>
      <c r="K1058" s="4"/>
      <c r="L1058" s="4"/>
      <c r="M1058" s="4"/>
      <c r="N1058" s="4"/>
    </row>
    <row r="1059" spans="2:14" ht="13">
      <c r="B1059" s="4"/>
      <c r="C1059" s="4"/>
      <c r="D1059" s="4"/>
      <c r="E1059" s="4"/>
      <c r="F1059" s="4"/>
      <c r="G1059" s="4"/>
      <c r="H1059" s="4"/>
      <c r="I1059" s="4"/>
      <c r="J1059" s="4"/>
      <c r="K1059" s="4"/>
      <c r="L1059" s="4"/>
      <c r="M1059" s="4"/>
      <c r="N1059" s="4"/>
    </row>
    <row r="1060" spans="2:14" ht="13">
      <c r="B1060" s="4"/>
      <c r="C1060" s="4"/>
      <c r="D1060" s="4"/>
      <c r="E1060" s="4"/>
      <c r="F1060" s="4"/>
      <c r="G1060" s="4"/>
      <c r="H1060" s="4"/>
      <c r="I1060" s="4"/>
      <c r="J1060" s="4"/>
      <c r="K1060" s="4"/>
      <c r="L1060" s="4"/>
      <c r="M1060" s="4"/>
      <c r="N1060" s="4"/>
    </row>
    <row r="1061" spans="2:14" ht="13">
      <c r="B1061" s="4"/>
      <c r="C1061" s="4"/>
      <c r="D1061" s="4"/>
      <c r="E1061" s="4"/>
      <c r="F1061" s="4"/>
      <c r="G1061" s="4"/>
      <c r="H1061" s="4"/>
      <c r="I1061" s="4"/>
      <c r="J1061" s="4"/>
      <c r="K1061" s="4"/>
      <c r="L1061" s="4"/>
      <c r="M1061" s="4"/>
      <c r="N1061" s="4"/>
    </row>
    <row r="1062" spans="2:14" ht="13">
      <c r="B1062" s="4"/>
      <c r="C1062" s="4"/>
      <c r="D1062" s="4"/>
      <c r="E1062" s="4"/>
      <c r="F1062" s="4"/>
      <c r="G1062" s="4"/>
      <c r="H1062" s="4"/>
      <c r="I1062" s="4"/>
      <c r="J1062" s="4"/>
      <c r="K1062" s="4"/>
      <c r="L1062" s="4"/>
      <c r="M1062" s="4"/>
      <c r="N1062" s="4"/>
    </row>
    <row r="1063" spans="2:14" ht="13">
      <c r="B1063" s="4"/>
      <c r="C1063" s="4"/>
      <c r="D1063" s="4"/>
      <c r="E1063" s="4"/>
      <c r="F1063" s="4"/>
      <c r="G1063" s="4"/>
      <c r="H1063" s="4"/>
      <c r="I1063" s="4"/>
      <c r="J1063" s="4"/>
      <c r="K1063" s="4"/>
      <c r="L1063" s="4"/>
      <c r="M1063" s="4"/>
      <c r="N1063" s="4"/>
    </row>
    <row r="1064" spans="2:14" ht="13">
      <c r="B1064" s="4"/>
      <c r="C1064" s="4"/>
      <c r="D1064" s="4"/>
      <c r="E1064" s="4"/>
      <c r="F1064" s="4"/>
      <c r="G1064" s="4"/>
      <c r="H1064" s="4"/>
      <c r="I1064" s="4"/>
      <c r="J1064" s="4"/>
      <c r="K1064" s="4"/>
      <c r="L1064" s="4"/>
      <c r="M1064" s="4"/>
      <c r="N1064" s="4"/>
    </row>
    <row r="1065" spans="2:14" ht="13">
      <c r="B1065" s="4"/>
      <c r="C1065" s="4"/>
      <c r="D1065" s="4"/>
      <c r="E1065" s="4"/>
      <c r="F1065" s="4"/>
      <c r="G1065" s="4"/>
      <c r="H1065" s="4"/>
      <c r="I1065" s="4"/>
      <c r="J1065" s="4"/>
      <c r="K1065" s="4"/>
      <c r="L1065" s="4"/>
      <c r="M1065" s="4"/>
      <c r="N1065" s="4"/>
    </row>
    <row r="1066" spans="2:14" ht="13">
      <c r="B1066" s="4"/>
      <c r="C1066" s="4"/>
      <c r="D1066" s="4"/>
      <c r="E1066" s="4"/>
      <c r="F1066" s="4"/>
      <c r="G1066" s="4"/>
      <c r="H1066" s="4"/>
      <c r="I1066" s="4"/>
      <c r="J1066" s="4"/>
      <c r="K1066" s="4"/>
      <c r="L1066" s="4"/>
      <c r="M1066" s="4"/>
      <c r="N1066" s="4"/>
    </row>
    <row r="1067" spans="2:14" ht="13">
      <c r="B1067" s="4"/>
      <c r="C1067" s="4"/>
      <c r="D1067" s="4"/>
      <c r="E1067" s="4"/>
      <c r="F1067" s="4"/>
      <c r="G1067" s="4"/>
      <c r="H1067" s="4"/>
      <c r="I1067" s="4"/>
      <c r="J1067" s="4"/>
      <c r="K1067" s="4"/>
      <c r="L1067" s="4"/>
      <c r="M1067" s="4"/>
      <c r="N1067" s="4"/>
    </row>
    <row r="1068" spans="2:14" ht="13">
      <c r="B1068" s="4"/>
      <c r="C1068" s="4"/>
      <c r="D1068" s="4"/>
      <c r="E1068" s="4"/>
      <c r="F1068" s="4"/>
      <c r="G1068" s="4"/>
      <c r="H1068" s="4"/>
      <c r="I1068" s="4"/>
      <c r="J1068" s="4"/>
      <c r="K1068" s="4"/>
      <c r="L1068" s="4"/>
      <c r="M1068" s="4"/>
      <c r="N1068" s="4"/>
    </row>
    <row r="1069" spans="2:14" ht="13">
      <c r="B1069" s="4"/>
      <c r="C1069" s="4"/>
      <c r="D1069" s="4"/>
      <c r="E1069" s="4"/>
      <c r="F1069" s="4"/>
      <c r="G1069" s="4"/>
      <c r="H1069" s="4"/>
      <c r="I1069" s="4"/>
      <c r="J1069" s="4"/>
      <c r="K1069" s="4"/>
      <c r="L1069" s="4"/>
      <c r="M1069" s="4"/>
      <c r="N1069" s="4"/>
    </row>
    <row r="1070" spans="2:14" ht="13">
      <c r="B1070" s="4"/>
      <c r="C1070" s="4"/>
      <c r="D1070" s="4"/>
      <c r="E1070" s="4"/>
      <c r="F1070" s="4"/>
      <c r="G1070" s="4"/>
      <c r="H1070" s="4"/>
      <c r="I1070" s="4"/>
      <c r="J1070" s="4"/>
      <c r="K1070" s="4"/>
      <c r="L1070" s="4"/>
      <c r="M1070" s="4"/>
      <c r="N1070" s="4"/>
    </row>
    <row r="1071" spans="2:14" ht="13">
      <c r="B1071" s="4"/>
      <c r="C1071" s="4"/>
      <c r="D1071" s="4"/>
      <c r="E1071" s="4"/>
      <c r="F1071" s="4"/>
      <c r="G1071" s="4"/>
      <c r="H1071" s="4"/>
      <c r="I1071" s="4"/>
      <c r="J1071" s="4"/>
      <c r="K1071" s="4"/>
      <c r="L1071" s="4"/>
      <c r="M1071" s="4"/>
      <c r="N1071" s="4"/>
    </row>
    <row r="1072" spans="2:14" ht="13">
      <c r="B1072" s="4"/>
      <c r="C1072" s="4"/>
      <c r="D1072" s="4"/>
      <c r="E1072" s="4"/>
      <c r="F1072" s="4"/>
      <c r="G1072" s="4"/>
      <c r="H1072" s="4"/>
      <c r="I1072" s="4"/>
      <c r="J1072" s="4"/>
      <c r="K1072" s="4"/>
      <c r="L1072" s="4"/>
      <c r="M1072" s="4"/>
      <c r="N1072" s="4"/>
    </row>
    <row r="1073" spans="2:14" ht="13">
      <c r="B1073" s="4"/>
      <c r="C1073" s="4"/>
      <c r="D1073" s="4"/>
      <c r="E1073" s="4"/>
      <c r="F1073" s="4"/>
      <c r="G1073" s="4"/>
      <c r="H1073" s="4"/>
      <c r="I1073" s="4"/>
      <c r="J1073" s="4"/>
      <c r="K1073" s="4"/>
      <c r="L1073" s="4"/>
      <c r="M1073" s="4"/>
      <c r="N1073" s="4"/>
    </row>
    <row r="1074" spans="2:14" ht="13">
      <c r="B1074" s="4"/>
      <c r="C1074" s="4"/>
      <c r="D1074" s="4"/>
      <c r="E1074" s="4"/>
      <c r="F1074" s="4"/>
      <c r="G1074" s="4"/>
      <c r="H1074" s="4"/>
      <c r="I1074" s="4"/>
      <c r="J1074" s="4"/>
      <c r="K1074" s="4"/>
      <c r="L1074" s="4"/>
      <c r="M1074" s="4"/>
      <c r="N1074" s="4"/>
    </row>
    <row r="1075" spans="2:14" ht="13">
      <c r="B1075" s="4"/>
      <c r="C1075" s="4"/>
      <c r="D1075" s="4"/>
      <c r="E1075" s="4"/>
      <c r="F1075" s="4"/>
      <c r="G1075" s="4"/>
      <c r="H1075" s="4"/>
      <c r="I1075" s="4"/>
      <c r="J1075" s="4"/>
      <c r="K1075" s="4"/>
      <c r="L1075" s="4"/>
      <c r="M1075" s="4"/>
      <c r="N1075" s="4"/>
    </row>
    <row r="1076" spans="2:14" ht="13">
      <c r="B1076" s="4"/>
      <c r="C1076" s="4"/>
      <c r="D1076" s="4"/>
      <c r="E1076" s="4"/>
      <c r="F1076" s="4"/>
      <c r="G1076" s="4"/>
      <c r="H1076" s="4"/>
      <c r="I1076" s="4"/>
      <c r="J1076" s="4"/>
      <c r="K1076" s="4"/>
      <c r="L1076" s="4"/>
      <c r="M1076" s="4"/>
      <c r="N1076" s="4"/>
    </row>
    <row r="1077" spans="2:14" ht="13">
      <c r="B1077" s="4"/>
      <c r="C1077" s="4"/>
      <c r="D1077" s="4"/>
      <c r="E1077" s="4"/>
      <c r="F1077" s="4"/>
      <c r="G1077" s="4"/>
      <c r="H1077" s="4"/>
      <c r="I1077" s="4"/>
      <c r="J1077" s="4"/>
      <c r="K1077" s="4"/>
      <c r="L1077" s="4"/>
      <c r="M1077" s="4"/>
      <c r="N1077" s="4"/>
    </row>
    <row r="1078" spans="2:14" ht="13">
      <c r="B1078" s="4"/>
      <c r="C1078" s="4"/>
      <c r="D1078" s="4"/>
      <c r="E1078" s="4"/>
      <c r="F1078" s="4"/>
      <c r="G1078" s="4"/>
      <c r="H1078" s="4"/>
      <c r="I1078" s="4"/>
      <c r="J1078" s="4"/>
      <c r="K1078" s="4"/>
      <c r="L1078" s="4"/>
      <c r="M1078" s="4"/>
      <c r="N1078" s="4"/>
    </row>
    <row r="1079" spans="2:14" ht="13">
      <c r="B1079" s="4"/>
      <c r="C1079" s="4"/>
      <c r="D1079" s="4"/>
      <c r="E1079" s="4"/>
      <c r="F1079" s="4"/>
      <c r="G1079" s="4"/>
      <c r="H1079" s="4"/>
      <c r="I1079" s="4"/>
      <c r="J1079" s="4"/>
      <c r="K1079" s="4"/>
      <c r="L1079" s="4"/>
      <c r="M1079" s="4"/>
      <c r="N1079" s="4"/>
    </row>
    <row r="1080" spans="2:14" ht="13">
      <c r="B1080" s="4"/>
      <c r="C1080" s="4"/>
      <c r="D1080" s="4"/>
      <c r="E1080" s="4"/>
      <c r="F1080" s="4"/>
      <c r="G1080" s="4"/>
      <c r="H1080" s="4"/>
      <c r="I1080" s="4"/>
      <c r="J1080" s="4"/>
      <c r="K1080" s="4"/>
      <c r="L1080" s="4"/>
      <c r="M1080" s="4"/>
      <c r="N1080" s="4"/>
    </row>
    <row r="1081" spans="2:14" ht="13">
      <c r="B1081" s="4"/>
      <c r="C1081" s="4"/>
      <c r="D1081" s="4"/>
      <c r="E1081" s="4"/>
      <c r="F1081" s="4"/>
      <c r="G1081" s="4"/>
      <c r="H1081" s="4"/>
      <c r="I1081" s="4"/>
      <c r="J1081" s="4"/>
      <c r="K1081" s="4"/>
      <c r="L1081" s="4"/>
      <c r="M1081" s="4"/>
      <c r="N1081" s="4"/>
    </row>
    <row r="1082" spans="2:14" ht="13">
      <c r="B1082" s="4"/>
      <c r="C1082" s="4"/>
      <c r="D1082" s="4"/>
      <c r="E1082" s="4"/>
      <c r="F1082" s="4"/>
      <c r="G1082" s="4"/>
      <c r="H1082" s="4"/>
      <c r="I1082" s="4"/>
      <c r="J1082" s="4"/>
      <c r="K1082" s="4"/>
      <c r="L1082" s="4"/>
      <c r="M1082" s="4"/>
      <c r="N1082" s="4"/>
    </row>
    <row r="1083" spans="2:14" ht="13">
      <c r="B1083" s="4"/>
      <c r="C1083" s="4"/>
      <c r="D1083" s="4"/>
      <c r="E1083" s="4"/>
      <c r="F1083" s="4"/>
      <c r="G1083" s="4"/>
      <c r="H1083" s="4"/>
      <c r="I1083" s="4"/>
      <c r="J1083" s="4"/>
      <c r="K1083" s="4"/>
      <c r="L1083" s="4"/>
      <c r="M1083" s="4"/>
      <c r="N1083" s="4"/>
    </row>
    <row r="1084" spans="2:14" ht="13">
      <c r="B1084" s="4"/>
      <c r="C1084" s="4"/>
      <c r="D1084" s="4"/>
      <c r="E1084" s="4"/>
      <c r="F1084" s="4"/>
      <c r="G1084" s="4"/>
      <c r="H1084" s="4"/>
      <c r="I1084" s="4"/>
      <c r="J1084" s="4"/>
      <c r="K1084" s="4"/>
      <c r="L1084" s="4"/>
      <c r="M1084" s="4"/>
      <c r="N1084" s="4"/>
    </row>
    <row r="1085" spans="2:14" ht="13">
      <c r="B1085" s="4"/>
      <c r="C1085" s="4"/>
      <c r="D1085" s="4"/>
      <c r="E1085" s="4"/>
      <c r="F1085" s="4"/>
      <c r="G1085" s="4"/>
      <c r="H1085" s="4"/>
      <c r="I1085" s="4"/>
      <c r="J1085" s="4"/>
      <c r="K1085" s="4"/>
      <c r="L1085" s="4"/>
      <c r="M1085" s="4"/>
      <c r="N1085" s="4"/>
    </row>
    <row r="1086" spans="2:14" ht="13">
      <c r="B1086" s="4"/>
      <c r="C1086" s="4"/>
      <c r="D1086" s="4"/>
      <c r="E1086" s="4"/>
      <c r="F1086" s="4"/>
      <c r="G1086" s="4"/>
      <c r="H1086" s="4"/>
      <c r="I1086" s="4"/>
      <c r="J1086" s="4"/>
      <c r="K1086" s="4"/>
      <c r="L1086" s="4"/>
      <c r="M1086" s="4"/>
      <c r="N1086" s="4"/>
    </row>
    <row r="1087" spans="2:14" ht="13">
      <c r="B1087" s="4"/>
      <c r="C1087" s="4"/>
      <c r="D1087" s="4"/>
      <c r="E1087" s="4"/>
      <c r="F1087" s="4"/>
      <c r="G1087" s="4"/>
      <c r="H1087" s="4"/>
      <c r="I1087" s="4"/>
      <c r="J1087" s="4"/>
      <c r="K1087" s="4"/>
      <c r="L1087" s="4"/>
      <c r="M1087" s="4"/>
      <c r="N1087" s="4"/>
    </row>
    <row r="1088" spans="2:14" ht="13">
      <c r="B1088" s="4"/>
      <c r="C1088" s="4"/>
      <c r="D1088" s="4"/>
      <c r="E1088" s="4"/>
      <c r="F1088" s="4"/>
      <c r="G1088" s="4"/>
      <c r="H1088" s="4"/>
      <c r="I1088" s="4"/>
      <c r="J1088" s="4"/>
      <c r="K1088" s="4"/>
      <c r="L1088" s="4"/>
      <c r="M1088" s="4"/>
      <c r="N1088" s="4"/>
    </row>
    <row r="1089" spans="2:14" ht="13">
      <c r="B1089" s="4"/>
      <c r="C1089" s="4"/>
      <c r="D1089" s="4"/>
      <c r="E1089" s="4"/>
      <c r="F1089" s="4"/>
      <c r="G1089" s="4"/>
      <c r="H1089" s="4"/>
      <c r="I1089" s="4"/>
      <c r="J1089" s="4"/>
      <c r="K1089" s="4"/>
      <c r="L1089" s="4"/>
      <c r="M1089" s="4"/>
      <c r="N1089" s="4"/>
    </row>
    <row r="1090" spans="2:14" ht="13">
      <c r="B1090" s="4"/>
      <c r="C1090" s="4"/>
      <c r="D1090" s="4"/>
      <c r="E1090" s="4"/>
      <c r="F1090" s="4"/>
      <c r="G1090" s="4"/>
      <c r="H1090" s="4"/>
      <c r="I1090" s="4"/>
      <c r="J1090" s="4"/>
      <c r="K1090" s="4"/>
      <c r="L1090" s="4"/>
      <c r="M1090" s="4"/>
      <c r="N1090" s="4"/>
    </row>
    <row r="1091" spans="2:14" ht="13">
      <c r="B1091" s="4"/>
      <c r="C1091" s="4"/>
      <c r="D1091" s="4"/>
      <c r="E1091" s="4"/>
      <c r="F1091" s="4"/>
      <c r="G1091" s="4"/>
      <c r="H1091" s="4"/>
      <c r="I1091" s="4"/>
      <c r="J1091" s="4"/>
      <c r="K1091" s="4"/>
      <c r="L1091" s="4"/>
      <c r="M1091" s="4"/>
      <c r="N1091" s="4"/>
    </row>
    <row r="1092" spans="2:14" ht="13">
      <c r="B1092" s="4"/>
      <c r="C1092" s="4"/>
      <c r="D1092" s="4"/>
      <c r="E1092" s="4"/>
      <c r="F1092" s="4"/>
      <c r="G1092" s="4"/>
      <c r="H1092" s="4"/>
      <c r="I1092" s="4"/>
      <c r="J1092" s="4"/>
      <c r="K1092" s="4"/>
      <c r="L1092" s="4"/>
      <c r="M1092" s="4"/>
      <c r="N1092" s="4"/>
    </row>
    <row r="1093" spans="2:14" ht="13">
      <c r="B1093" s="4"/>
      <c r="C1093" s="4"/>
      <c r="D1093" s="4"/>
      <c r="E1093" s="4"/>
      <c r="F1093" s="4"/>
      <c r="G1093" s="4"/>
      <c r="H1093" s="4"/>
      <c r="I1093" s="4"/>
      <c r="J1093" s="4"/>
      <c r="K1093" s="4"/>
      <c r="L1093" s="4"/>
      <c r="M1093" s="4"/>
      <c r="N1093" s="4"/>
    </row>
    <row r="1094" spans="2:14" ht="13">
      <c r="B1094" s="4"/>
      <c r="C1094" s="4"/>
      <c r="D1094" s="4"/>
      <c r="E1094" s="4"/>
      <c r="F1094" s="4"/>
      <c r="G1094" s="4"/>
      <c r="H1094" s="4"/>
      <c r="I1094" s="4"/>
      <c r="J1094" s="4"/>
      <c r="K1094" s="4"/>
      <c r="L1094" s="4"/>
      <c r="M1094" s="4"/>
      <c r="N1094" s="4"/>
    </row>
    <row r="1095" spans="2:14" ht="13">
      <c r="B1095" s="4"/>
      <c r="C1095" s="4"/>
      <c r="D1095" s="4"/>
      <c r="E1095" s="4"/>
      <c r="F1095" s="4"/>
      <c r="G1095" s="4"/>
      <c r="H1095" s="4"/>
      <c r="I1095" s="4"/>
      <c r="J1095" s="4"/>
      <c r="K1095" s="4"/>
      <c r="L1095" s="4"/>
      <c r="M1095" s="4"/>
      <c r="N1095" s="4"/>
    </row>
    <row r="1096" spans="2:14" ht="13">
      <c r="B1096" s="4"/>
      <c r="C1096" s="4"/>
      <c r="D1096" s="4"/>
      <c r="E1096" s="4"/>
      <c r="F1096" s="4"/>
      <c r="G1096" s="4"/>
      <c r="H1096" s="4"/>
      <c r="I1096" s="4"/>
      <c r="J1096" s="4"/>
      <c r="K1096" s="4"/>
      <c r="L1096" s="4"/>
      <c r="M1096" s="4"/>
      <c r="N1096" s="4"/>
    </row>
    <row r="1097" spans="2:14" ht="13">
      <c r="B1097" s="4"/>
      <c r="C1097" s="4"/>
      <c r="D1097" s="4"/>
      <c r="E1097" s="4"/>
      <c r="F1097" s="4"/>
      <c r="G1097" s="4"/>
      <c r="H1097" s="4"/>
      <c r="I1097" s="4"/>
      <c r="J1097" s="4"/>
      <c r="K1097" s="4"/>
      <c r="L1097" s="4"/>
      <c r="M1097" s="4"/>
      <c r="N1097" s="4"/>
    </row>
    <row r="1098" spans="2:14" ht="13">
      <c r="B1098" s="4"/>
      <c r="C1098" s="4"/>
      <c r="D1098" s="4"/>
      <c r="E1098" s="4"/>
      <c r="F1098" s="4"/>
      <c r="G1098" s="4"/>
      <c r="H1098" s="4"/>
      <c r="I1098" s="4"/>
      <c r="J1098" s="4"/>
      <c r="K1098" s="4"/>
      <c r="L1098" s="4"/>
      <c r="M1098" s="4"/>
      <c r="N1098" s="4"/>
    </row>
    <row r="1099" spans="2:14" ht="13">
      <c r="B1099" s="4"/>
      <c r="C1099" s="4"/>
      <c r="D1099" s="4"/>
      <c r="E1099" s="4"/>
      <c r="F1099" s="4"/>
      <c r="G1099" s="4"/>
      <c r="H1099" s="4"/>
      <c r="I1099" s="4"/>
      <c r="J1099" s="4"/>
      <c r="K1099" s="4"/>
      <c r="L1099" s="4"/>
      <c r="M1099" s="4"/>
      <c r="N1099" s="4"/>
    </row>
    <row r="1100" spans="2:14" ht="13">
      <c r="B1100" s="4"/>
      <c r="C1100" s="4"/>
      <c r="D1100" s="4"/>
      <c r="E1100" s="4"/>
      <c r="F1100" s="4"/>
      <c r="G1100" s="4"/>
      <c r="H1100" s="4"/>
      <c r="I1100" s="4"/>
      <c r="J1100" s="4"/>
      <c r="K1100" s="4"/>
      <c r="L1100" s="4"/>
      <c r="M1100" s="4"/>
      <c r="N1100" s="4"/>
    </row>
    <row r="1101" spans="2:14" ht="13">
      <c r="B1101" s="4"/>
      <c r="C1101" s="4"/>
      <c r="D1101" s="4"/>
      <c r="E1101" s="4"/>
      <c r="F1101" s="4"/>
      <c r="G1101" s="4"/>
      <c r="H1101" s="4"/>
      <c r="I1101" s="4"/>
      <c r="J1101" s="4"/>
      <c r="K1101" s="4"/>
      <c r="L1101" s="4"/>
      <c r="M1101" s="4"/>
      <c r="N1101" s="4"/>
    </row>
    <row r="1102" spans="2:14" ht="13">
      <c r="B1102" s="4"/>
      <c r="C1102" s="4"/>
      <c r="D1102" s="4"/>
      <c r="E1102" s="4"/>
      <c r="F1102" s="4"/>
      <c r="G1102" s="4"/>
      <c r="H1102" s="4"/>
      <c r="I1102" s="4"/>
      <c r="J1102" s="4"/>
      <c r="K1102" s="4"/>
      <c r="L1102" s="4"/>
      <c r="M1102" s="4"/>
      <c r="N1102" s="4"/>
    </row>
    <row r="1103" spans="2:14" ht="13">
      <c r="B1103" s="4"/>
      <c r="C1103" s="4"/>
      <c r="D1103" s="4"/>
      <c r="E1103" s="4"/>
      <c r="F1103" s="4"/>
      <c r="G1103" s="4"/>
      <c r="H1103" s="4"/>
      <c r="I1103" s="4"/>
      <c r="J1103" s="4"/>
      <c r="K1103" s="4"/>
      <c r="L1103" s="4"/>
      <c r="M1103" s="4"/>
      <c r="N1103" s="4"/>
    </row>
    <row r="1104" spans="2:14" ht="13">
      <c r="B1104" s="4"/>
      <c r="C1104" s="4"/>
      <c r="D1104" s="4"/>
      <c r="E1104" s="4"/>
      <c r="F1104" s="4"/>
      <c r="G1104" s="4"/>
      <c r="H1104" s="4"/>
      <c r="I1104" s="4"/>
      <c r="J1104" s="4"/>
      <c r="K1104" s="4"/>
      <c r="L1104" s="4"/>
      <c r="M1104" s="4"/>
      <c r="N1104" s="4"/>
    </row>
    <row r="1105" spans="2:14" ht="13">
      <c r="B1105" s="4"/>
      <c r="C1105" s="4"/>
      <c r="D1105" s="4"/>
      <c r="E1105" s="4"/>
      <c r="F1105" s="4"/>
      <c r="G1105" s="4"/>
      <c r="H1105" s="4"/>
      <c r="I1105" s="4"/>
      <c r="J1105" s="4"/>
      <c r="K1105" s="4"/>
      <c r="L1105" s="4"/>
      <c r="M1105" s="4"/>
      <c r="N1105" s="4"/>
    </row>
    <row r="1106" spans="2:14" ht="13">
      <c r="B1106" s="4"/>
      <c r="C1106" s="4"/>
      <c r="D1106" s="4"/>
      <c r="E1106" s="4"/>
      <c r="F1106" s="4"/>
      <c r="G1106" s="4"/>
      <c r="H1106" s="4"/>
      <c r="I1106" s="4"/>
      <c r="J1106" s="4"/>
      <c r="K1106" s="4"/>
      <c r="L1106" s="4"/>
      <c r="M1106" s="4"/>
      <c r="N1106" s="4"/>
    </row>
    <row r="1107" spans="2:14" ht="13">
      <c r="B1107" s="4"/>
      <c r="C1107" s="4"/>
      <c r="D1107" s="4"/>
      <c r="E1107" s="4"/>
      <c r="F1107" s="4"/>
      <c r="G1107" s="4"/>
      <c r="H1107" s="4"/>
      <c r="I1107" s="4"/>
      <c r="J1107" s="4"/>
      <c r="K1107" s="4"/>
      <c r="L1107" s="4"/>
      <c r="M1107" s="4"/>
      <c r="N1107" s="4"/>
    </row>
    <row r="1108" spans="2:14" ht="13">
      <c r="B1108" s="4"/>
      <c r="C1108" s="4"/>
      <c r="D1108" s="4"/>
      <c r="E1108" s="4"/>
      <c r="F1108" s="4"/>
      <c r="G1108" s="4"/>
      <c r="H1108" s="4"/>
      <c r="I1108" s="4"/>
      <c r="J1108" s="4"/>
      <c r="K1108" s="4"/>
      <c r="L1108" s="4"/>
      <c r="M1108" s="4"/>
      <c r="N1108" s="4"/>
    </row>
    <row r="1109" spans="2:14" ht="13">
      <c r="B1109" s="4"/>
      <c r="C1109" s="4"/>
      <c r="D1109" s="4"/>
      <c r="E1109" s="4"/>
      <c r="F1109" s="4"/>
      <c r="G1109" s="4"/>
      <c r="H1109" s="4"/>
      <c r="I1109" s="4"/>
      <c r="J1109" s="4"/>
      <c r="K1109" s="4"/>
      <c r="L1109" s="4"/>
      <c r="M1109" s="4"/>
      <c r="N1109" s="4"/>
    </row>
    <row r="1110" spans="2:14" ht="13">
      <c r="B1110" s="4"/>
      <c r="C1110" s="4"/>
      <c r="D1110" s="4"/>
      <c r="E1110" s="4"/>
      <c r="F1110" s="4"/>
      <c r="G1110" s="4"/>
      <c r="H1110" s="4"/>
      <c r="I1110" s="4"/>
      <c r="J1110" s="4"/>
      <c r="K1110" s="4"/>
      <c r="L1110" s="4"/>
      <c r="M1110" s="4"/>
      <c r="N1110" s="4"/>
    </row>
    <row r="1111" spans="2:14" ht="13">
      <c r="B1111" s="4"/>
      <c r="C1111" s="4"/>
      <c r="D1111" s="4"/>
      <c r="E1111" s="4"/>
      <c r="F1111" s="4"/>
      <c r="G1111" s="4"/>
      <c r="H1111" s="4"/>
      <c r="I1111" s="4"/>
      <c r="J1111" s="4"/>
      <c r="K1111" s="4"/>
      <c r="L1111" s="4"/>
      <c r="M1111" s="4"/>
      <c r="N1111" s="4"/>
    </row>
    <row r="1112" spans="2:14" ht="13">
      <c r="B1112" s="4"/>
      <c r="C1112" s="4"/>
      <c r="D1112" s="4"/>
      <c r="E1112" s="4"/>
      <c r="F1112" s="4"/>
      <c r="G1112" s="4"/>
      <c r="H1112" s="4"/>
      <c r="I1112" s="4"/>
      <c r="J1112" s="4"/>
      <c r="K1112" s="4"/>
      <c r="L1112" s="4"/>
      <c r="M1112" s="4"/>
      <c r="N1112" s="4"/>
    </row>
    <row r="1113" spans="2:14" ht="13">
      <c r="B1113" s="4"/>
      <c r="C1113" s="4"/>
      <c r="D1113" s="4"/>
      <c r="E1113" s="4"/>
      <c r="F1113" s="4"/>
      <c r="G1113" s="4"/>
      <c r="H1113" s="4"/>
      <c r="I1113" s="4"/>
      <c r="J1113" s="4"/>
      <c r="K1113" s="4"/>
      <c r="L1113" s="4"/>
      <c r="M1113" s="4"/>
      <c r="N1113" s="4"/>
    </row>
    <row r="1114" spans="2:14" ht="13">
      <c r="B1114" s="4"/>
      <c r="C1114" s="4"/>
      <c r="D1114" s="4"/>
      <c r="E1114" s="4"/>
      <c r="F1114" s="4"/>
      <c r="G1114" s="4"/>
      <c r="H1114" s="4"/>
      <c r="I1114" s="4"/>
      <c r="J1114" s="4"/>
      <c r="K1114" s="4"/>
      <c r="L1114" s="4"/>
      <c r="M1114" s="4"/>
      <c r="N1114" s="4"/>
    </row>
    <row r="1115" spans="2:14" ht="13">
      <c r="B1115" s="4"/>
      <c r="C1115" s="4"/>
      <c r="D1115" s="4"/>
      <c r="E1115" s="4"/>
      <c r="F1115" s="4"/>
      <c r="G1115" s="4"/>
      <c r="H1115" s="4"/>
      <c r="I1115" s="4"/>
      <c r="J1115" s="4"/>
      <c r="K1115" s="4"/>
      <c r="L1115" s="4"/>
      <c r="M1115" s="4"/>
      <c r="N1115" s="4"/>
    </row>
    <row r="1116" spans="2:14" ht="13">
      <c r="B1116" s="4"/>
      <c r="C1116" s="4"/>
      <c r="D1116" s="4"/>
      <c r="E1116" s="4"/>
      <c r="F1116" s="4"/>
      <c r="G1116" s="4"/>
      <c r="H1116" s="4"/>
      <c r="I1116" s="4"/>
      <c r="J1116" s="4"/>
      <c r="K1116" s="4"/>
      <c r="L1116" s="4"/>
      <c r="M1116" s="4"/>
      <c r="N1116" s="4"/>
    </row>
    <row r="1117" spans="2:14" ht="13">
      <c r="B1117" s="4"/>
      <c r="C1117" s="4"/>
      <c r="D1117" s="4"/>
      <c r="E1117" s="4"/>
      <c r="F1117" s="4"/>
      <c r="G1117" s="4"/>
      <c r="H1117" s="4"/>
      <c r="I1117" s="4"/>
      <c r="J1117" s="4"/>
      <c r="K1117" s="4"/>
      <c r="L1117" s="4"/>
      <c r="M1117" s="4"/>
      <c r="N1117" s="4"/>
    </row>
    <row r="1118" spans="2:14" ht="13">
      <c r="B1118" s="4"/>
      <c r="C1118" s="4"/>
      <c r="D1118" s="4"/>
      <c r="E1118" s="4"/>
      <c r="F1118" s="4"/>
      <c r="G1118" s="4"/>
      <c r="H1118" s="4"/>
      <c r="I1118" s="4"/>
      <c r="J1118" s="4"/>
      <c r="K1118" s="4"/>
      <c r="L1118" s="4"/>
      <c r="M1118" s="4"/>
      <c r="N1118" s="4"/>
    </row>
    <row r="1119" spans="2:14" ht="13">
      <c r="B1119" s="4"/>
      <c r="C1119" s="4"/>
      <c r="D1119" s="4"/>
      <c r="E1119" s="4"/>
      <c r="F1119" s="4"/>
      <c r="G1119" s="4"/>
      <c r="H1119" s="4"/>
      <c r="I1119" s="4"/>
      <c r="J1119" s="4"/>
      <c r="K1119" s="4"/>
      <c r="L1119" s="4"/>
      <c r="M1119" s="4"/>
      <c r="N1119" s="4"/>
    </row>
    <row r="1120" spans="2:14" ht="13">
      <c r="B1120" s="4"/>
      <c r="C1120" s="4"/>
      <c r="D1120" s="4"/>
      <c r="E1120" s="4"/>
      <c r="F1120" s="4"/>
      <c r="G1120" s="4"/>
      <c r="H1120" s="4"/>
      <c r="I1120" s="4"/>
      <c r="J1120" s="4"/>
      <c r="K1120" s="4"/>
      <c r="L1120" s="4"/>
      <c r="M1120" s="4"/>
      <c r="N1120" s="4"/>
    </row>
    <row r="1121" spans="2:14" ht="13">
      <c r="B1121" s="4"/>
      <c r="C1121" s="4"/>
      <c r="D1121" s="4"/>
      <c r="E1121" s="4"/>
      <c r="F1121" s="4"/>
      <c r="G1121" s="4"/>
      <c r="H1121" s="4"/>
      <c r="I1121" s="4"/>
      <c r="J1121" s="4"/>
      <c r="K1121" s="4"/>
      <c r="L1121" s="4"/>
      <c r="M1121" s="4"/>
      <c r="N1121" s="4"/>
    </row>
    <row r="1122" spans="2:14" ht="13">
      <c r="B1122" s="4"/>
      <c r="C1122" s="4"/>
      <c r="D1122" s="4"/>
      <c r="E1122" s="4"/>
      <c r="F1122" s="4"/>
      <c r="G1122" s="4"/>
      <c r="H1122" s="4"/>
      <c r="I1122" s="4"/>
      <c r="J1122" s="4"/>
      <c r="K1122" s="4"/>
      <c r="L1122" s="4"/>
      <c r="M1122" s="4"/>
      <c r="N1122" s="4"/>
    </row>
    <row r="1123" spans="2:14" ht="13">
      <c r="B1123" s="4"/>
      <c r="C1123" s="4"/>
      <c r="D1123" s="4"/>
      <c r="E1123" s="4"/>
      <c r="F1123" s="4"/>
      <c r="G1123" s="4"/>
      <c r="H1123" s="4"/>
      <c r="I1123" s="4"/>
      <c r="J1123" s="4"/>
      <c r="K1123" s="4"/>
      <c r="L1123" s="4"/>
      <c r="M1123" s="4"/>
      <c r="N1123" s="4"/>
    </row>
    <row r="1124" spans="2:14" ht="13">
      <c r="B1124" s="4"/>
      <c r="C1124" s="4"/>
      <c r="D1124" s="4"/>
      <c r="E1124" s="4"/>
      <c r="F1124" s="4"/>
      <c r="G1124" s="4"/>
      <c r="H1124" s="4"/>
      <c r="I1124" s="4"/>
      <c r="J1124" s="4"/>
      <c r="K1124" s="4"/>
      <c r="L1124" s="4"/>
      <c r="M1124" s="4"/>
      <c r="N1124" s="4"/>
    </row>
    <row r="1125" spans="2:14" ht="13">
      <c r="B1125" s="4"/>
      <c r="C1125" s="4"/>
      <c r="D1125" s="4"/>
      <c r="E1125" s="4"/>
      <c r="F1125" s="4"/>
      <c r="G1125" s="4"/>
      <c r="H1125" s="4"/>
      <c r="I1125" s="4"/>
      <c r="J1125" s="4"/>
      <c r="K1125" s="4"/>
      <c r="L1125" s="4"/>
      <c r="M1125" s="4"/>
      <c r="N1125" s="4"/>
    </row>
    <row r="1126" spans="2:14" ht="13">
      <c r="B1126" s="4"/>
      <c r="C1126" s="4"/>
      <c r="D1126" s="4"/>
      <c r="E1126" s="4"/>
      <c r="F1126" s="4"/>
      <c r="G1126" s="4"/>
      <c r="H1126" s="4"/>
      <c r="I1126" s="4"/>
      <c r="J1126" s="4"/>
      <c r="K1126" s="4"/>
      <c r="L1126" s="4"/>
      <c r="M1126" s="4"/>
      <c r="N1126" s="4"/>
    </row>
    <row r="1127" spans="2:14" ht="13">
      <c r="B1127" s="4"/>
      <c r="C1127" s="4"/>
      <c r="D1127" s="4"/>
      <c r="E1127" s="4"/>
      <c r="F1127" s="4"/>
      <c r="G1127" s="4"/>
      <c r="H1127" s="4"/>
      <c r="I1127" s="4"/>
      <c r="J1127" s="4"/>
      <c r="K1127" s="4"/>
      <c r="L1127" s="4"/>
      <c r="M1127" s="4"/>
      <c r="N1127" s="4"/>
    </row>
    <row r="1128" spans="2:14" ht="13">
      <c r="B1128" s="4"/>
      <c r="C1128" s="4"/>
      <c r="D1128" s="4"/>
      <c r="E1128" s="4"/>
      <c r="F1128" s="4"/>
      <c r="G1128" s="4"/>
      <c r="H1128" s="4"/>
      <c r="I1128" s="4"/>
      <c r="J1128" s="4"/>
      <c r="K1128" s="4"/>
      <c r="L1128" s="4"/>
      <c r="M1128" s="4"/>
      <c r="N1128" s="4"/>
    </row>
    <row r="1129" spans="2:14" ht="13">
      <c r="B1129" s="4"/>
      <c r="C1129" s="4"/>
      <c r="D1129" s="4"/>
      <c r="E1129" s="4"/>
      <c r="F1129" s="4"/>
      <c r="G1129" s="4"/>
      <c r="H1129" s="4"/>
      <c r="I1129" s="4"/>
      <c r="J1129" s="4"/>
      <c r="K1129" s="4"/>
      <c r="L1129" s="4"/>
      <c r="M1129" s="4"/>
      <c r="N1129" s="4"/>
    </row>
    <row r="1130" spans="2:14" ht="13">
      <c r="B1130" s="4"/>
      <c r="C1130" s="4"/>
      <c r="D1130" s="4"/>
      <c r="E1130" s="4"/>
      <c r="F1130" s="4"/>
      <c r="G1130" s="4"/>
      <c r="H1130" s="4"/>
      <c r="I1130" s="4"/>
      <c r="J1130" s="4"/>
      <c r="K1130" s="4"/>
      <c r="L1130" s="4"/>
      <c r="M1130" s="4"/>
      <c r="N1130" s="4"/>
    </row>
    <row r="1131" spans="2:14" ht="13">
      <c r="B1131" s="4"/>
      <c r="C1131" s="4"/>
      <c r="D1131" s="4"/>
      <c r="E1131" s="4"/>
      <c r="F1131" s="4"/>
      <c r="G1131" s="4"/>
      <c r="H1131" s="4"/>
      <c r="I1131" s="4"/>
      <c r="J1131" s="4"/>
      <c r="K1131" s="4"/>
      <c r="L1131" s="4"/>
      <c r="M1131" s="4"/>
      <c r="N1131" s="4"/>
    </row>
    <row r="1132" spans="2:14" ht="13">
      <c r="B1132" s="4"/>
      <c r="C1132" s="4"/>
      <c r="D1132" s="4"/>
      <c r="E1132" s="4"/>
      <c r="F1132" s="4"/>
      <c r="G1132" s="4"/>
      <c r="H1132" s="4"/>
      <c r="I1132" s="4"/>
      <c r="J1132" s="4"/>
      <c r="K1132" s="4"/>
      <c r="L1132" s="4"/>
      <c r="M1132" s="4"/>
      <c r="N1132" s="4"/>
    </row>
    <row r="1133" spans="2:14" ht="13">
      <c r="B1133" s="4"/>
      <c r="C1133" s="4"/>
      <c r="D1133" s="4"/>
      <c r="E1133" s="4"/>
      <c r="F1133" s="4"/>
      <c r="G1133" s="4"/>
      <c r="H1133" s="4"/>
      <c r="I1133" s="4"/>
      <c r="J1133" s="4"/>
      <c r="K1133" s="4"/>
      <c r="L1133" s="4"/>
      <c r="M1133" s="4"/>
      <c r="N1133" s="4"/>
    </row>
    <row r="1134" spans="2:14" ht="13">
      <c r="B1134" s="4"/>
      <c r="C1134" s="4"/>
      <c r="D1134" s="4"/>
      <c r="E1134" s="4"/>
      <c r="F1134" s="4"/>
      <c r="G1134" s="4"/>
      <c r="H1134" s="4"/>
      <c r="I1134" s="4"/>
      <c r="J1134" s="4"/>
      <c r="K1134" s="4"/>
      <c r="L1134" s="4"/>
      <c r="M1134" s="4"/>
      <c r="N1134" s="4"/>
    </row>
    <row r="1135" spans="2:14" ht="13">
      <c r="B1135" s="4"/>
      <c r="C1135" s="4"/>
      <c r="D1135" s="4"/>
      <c r="E1135" s="4"/>
      <c r="F1135" s="4"/>
      <c r="G1135" s="4"/>
      <c r="H1135" s="4"/>
      <c r="I1135" s="4"/>
      <c r="J1135" s="4"/>
      <c r="K1135" s="4"/>
      <c r="L1135" s="4"/>
      <c r="M1135" s="4"/>
      <c r="N1135" s="4"/>
    </row>
    <row r="1136" spans="2:14" ht="13">
      <c r="B1136" s="4"/>
      <c r="C1136" s="4"/>
      <c r="D1136" s="4"/>
      <c r="E1136" s="4"/>
      <c r="F1136" s="4"/>
      <c r="G1136" s="4"/>
      <c r="H1136" s="4"/>
      <c r="I1136" s="4"/>
      <c r="J1136" s="4"/>
      <c r="K1136" s="4"/>
      <c r="L1136" s="4"/>
      <c r="M1136" s="4"/>
      <c r="N1136" s="4"/>
    </row>
    <row r="1137" spans="2:14" ht="13">
      <c r="B1137" s="4"/>
      <c r="C1137" s="4"/>
      <c r="D1137" s="4"/>
      <c r="E1137" s="4"/>
      <c r="F1137" s="4"/>
      <c r="G1137" s="4"/>
      <c r="H1137" s="4"/>
      <c r="I1137" s="4"/>
      <c r="J1137" s="4"/>
      <c r="K1137" s="4"/>
      <c r="L1137" s="4"/>
      <c r="M1137" s="4"/>
      <c r="N1137" s="4"/>
    </row>
    <row r="1138" spans="2:14" ht="13">
      <c r="B1138" s="4"/>
      <c r="C1138" s="4"/>
      <c r="D1138" s="4"/>
      <c r="E1138" s="4"/>
      <c r="F1138" s="4"/>
      <c r="G1138" s="4"/>
      <c r="H1138" s="4"/>
      <c r="I1138" s="4"/>
      <c r="J1138" s="4"/>
      <c r="K1138" s="4"/>
      <c r="L1138" s="4"/>
      <c r="M1138" s="4"/>
      <c r="N1138" s="4"/>
    </row>
    <row r="1139" spans="2:14" ht="13">
      <c r="B1139" s="4"/>
      <c r="C1139" s="4"/>
      <c r="D1139" s="4"/>
      <c r="E1139" s="4"/>
      <c r="F1139" s="4"/>
      <c r="G1139" s="4"/>
      <c r="H1139" s="4"/>
      <c r="I1139" s="4"/>
      <c r="J1139" s="4"/>
      <c r="K1139" s="4"/>
      <c r="L1139" s="4"/>
      <c r="M1139" s="4"/>
      <c r="N1139" s="4"/>
    </row>
    <row r="1140" spans="2:14" ht="13">
      <c r="B1140" s="4"/>
      <c r="C1140" s="4"/>
      <c r="D1140" s="4"/>
      <c r="E1140" s="4"/>
      <c r="F1140" s="4"/>
      <c r="G1140" s="4"/>
      <c r="H1140" s="4"/>
      <c r="I1140" s="4"/>
      <c r="J1140" s="4"/>
      <c r="K1140" s="4"/>
      <c r="L1140" s="4"/>
      <c r="M1140" s="4"/>
      <c r="N1140" s="4"/>
    </row>
    <row r="1141" spans="2:14" ht="13">
      <c r="B1141" s="4"/>
      <c r="C1141" s="4"/>
      <c r="D1141" s="4"/>
      <c r="E1141" s="4"/>
      <c r="F1141" s="4"/>
      <c r="G1141" s="4"/>
      <c r="H1141" s="4"/>
      <c r="I1141" s="4"/>
      <c r="J1141" s="4"/>
      <c r="K1141" s="4"/>
      <c r="L1141" s="4"/>
      <c r="M1141" s="4"/>
      <c r="N1141" s="4"/>
    </row>
    <row r="1142" spans="2:14" ht="13">
      <c r="B1142" s="4"/>
      <c r="C1142" s="4"/>
      <c r="D1142" s="4"/>
      <c r="E1142" s="4"/>
      <c r="F1142" s="4"/>
      <c r="G1142" s="4"/>
      <c r="H1142" s="4"/>
      <c r="I1142" s="4"/>
      <c r="J1142" s="4"/>
      <c r="K1142" s="4"/>
      <c r="L1142" s="4"/>
      <c r="M1142" s="4"/>
      <c r="N1142" s="4"/>
    </row>
    <row r="1143" spans="2:14" ht="13">
      <c r="B1143" s="4"/>
      <c r="C1143" s="4"/>
      <c r="D1143" s="4"/>
      <c r="E1143" s="4"/>
      <c r="F1143" s="4"/>
      <c r="G1143" s="4"/>
      <c r="H1143" s="4"/>
      <c r="I1143" s="4"/>
      <c r="J1143" s="4"/>
      <c r="K1143" s="4"/>
      <c r="L1143" s="4"/>
      <c r="M1143" s="4"/>
      <c r="N1143" s="4"/>
    </row>
    <row r="1144" spans="2:14" ht="13">
      <c r="B1144" s="4"/>
      <c r="C1144" s="4"/>
      <c r="D1144" s="4"/>
      <c r="E1144" s="4"/>
      <c r="F1144" s="4"/>
      <c r="G1144" s="4"/>
      <c r="H1144" s="4"/>
      <c r="I1144" s="4"/>
      <c r="J1144" s="4"/>
      <c r="K1144" s="4"/>
      <c r="L1144" s="4"/>
      <c r="M1144" s="4"/>
      <c r="N1144" s="4"/>
    </row>
    <row r="1145" spans="2:14" ht="13">
      <c r="B1145" s="4"/>
      <c r="C1145" s="4"/>
      <c r="D1145" s="4"/>
      <c r="E1145" s="4"/>
      <c r="F1145" s="4"/>
      <c r="G1145" s="4"/>
      <c r="H1145" s="4"/>
      <c r="I1145" s="4"/>
      <c r="J1145" s="4"/>
      <c r="K1145" s="4"/>
      <c r="L1145" s="4"/>
      <c r="M1145" s="4"/>
      <c r="N1145" s="4"/>
    </row>
    <row r="1146" spans="2:14" ht="13">
      <c r="B1146" s="4"/>
      <c r="C1146" s="4"/>
      <c r="D1146" s="4"/>
      <c r="E1146" s="4"/>
      <c r="F1146" s="4"/>
      <c r="G1146" s="4"/>
      <c r="H1146" s="4"/>
      <c r="I1146" s="4"/>
      <c r="J1146" s="4"/>
      <c r="K1146" s="4"/>
      <c r="L1146" s="4"/>
      <c r="M1146" s="4"/>
      <c r="N1146" s="4"/>
    </row>
    <row r="1147" spans="2:14" ht="13">
      <c r="B1147" s="4"/>
      <c r="C1147" s="4"/>
      <c r="D1147" s="4"/>
      <c r="E1147" s="4"/>
      <c r="F1147" s="4"/>
      <c r="G1147" s="4"/>
      <c r="H1147" s="4"/>
      <c r="I1147" s="4"/>
      <c r="J1147" s="4"/>
      <c r="K1147" s="4"/>
      <c r="L1147" s="4"/>
      <c r="M1147" s="4"/>
      <c r="N1147" s="4"/>
    </row>
    <row r="1148" spans="2:14" ht="13">
      <c r="B1148" s="4"/>
      <c r="C1148" s="4"/>
      <c r="D1148" s="4"/>
      <c r="E1148" s="4"/>
      <c r="F1148" s="4"/>
      <c r="G1148" s="4"/>
      <c r="H1148" s="4"/>
      <c r="I1148" s="4"/>
      <c r="J1148" s="4"/>
      <c r="K1148" s="4"/>
      <c r="L1148" s="4"/>
      <c r="M1148" s="4"/>
      <c r="N1148" s="4"/>
    </row>
    <row r="1149" spans="2:14" ht="13">
      <c r="B1149" s="4"/>
      <c r="C1149" s="4"/>
      <c r="D1149" s="4"/>
      <c r="E1149" s="4"/>
      <c r="F1149" s="4"/>
      <c r="G1149" s="4"/>
      <c r="H1149" s="4"/>
      <c r="I1149" s="4"/>
      <c r="J1149" s="4"/>
      <c r="K1149" s="4"/>
      <c r="L1149" s="4"/>
      <c r="M1149" s="4"/>
      <c r="N1149" s="4"/>
    </row>
    <row r="1150" spans="2:14" ht="13">
      <c r="B1150" s="4"/>
      <c r="C1150" s="4"/>
      <c r="D1150" s="4"/>
      <c r="E1150" s="4"/>
      <c r="F1150" s="4"/>
      <c r="G1150" s="4"/>
      <c r="H1150" s="4"/>
      <c r="I1150" s="4"/>
      <c r="J1150" s="4"/>
      <c r="K1150" s="4"/>
      <c r="L1150" s="4"/>
      <c r="M1150" s="4"/>
      <c r="N1150" s="4"/>
    </row>
    <row r="1151" spans="2:14" ht="13">
      <c r="B1151" s="4"/>
      <c r="C1151" s="4"/>
      <c r="D1151" s="4"/>
      <c r="E1151" s="4"/>
      <c r="F1151" s="4"/>
      <c r="G1151" s="4"/>
      <c r="H1151" s="4"/>
      <c r="I1151" s="4"/>
      <c r="J1151" s="4"/>
      <c r="K1151" s="4"/>
      <c r="L1151" s="4"/>
      <c r="M1151" s="4"/>
      <c r="N1151" s="4"/>
    </row>
    <row r="1152" spans="2:14" ht="13">
      <c r="B1152" s="4"/>
      <c r="C1152" s="4"/>
      <c r="D1152" s="4"/>
      <c r="E1152" s="4"/>
      <c r="F1152" s="4"/>
      <c r="G1152" s="4"/>
      <c r="H1152" s="4"/>
      <c r="I1152" s="4"/>
      <c r="J1152" s="4"/>
      <c r="K1152" s="4"/>
      <c r="L1152" s="4"/>
      <c r="M1152" s="4"/>
      <c r="N1152" s="4"/>
    </row>
    <row r="1153" spans="2:14" ht="13">
      <c r="B1153" s="4"/>
      <c r="C1153" s="4"/>
      <c r="D1153" s="4"/>
      <c r="E1153" s="4"/>
      <c r="F1153" s="4"/>
      <c r="G1153" s="4"/>
      <c r="H1153" s="4"/>
      <c r="I1153" s="4"/>
      <c r="J1153" s="4"/>
      <c r="K1153" s="4"/>
      <c r="L1153" s="4"/>
      <c r="M1153" s="4"/>
      <c r="N1153" s="4"/>
    </row>
    <row r="1154" spans="2:14" ht="13">
      <c r="B1154" s="4"/>
      <c r="C1154" s="4"/>
      <c r="D1154" s="4"/>
      <c r="E1154" s="4"/>
      <c r="F1154" s="4"/>
      <c r="G1154" s="4"/>
      <c r="H1154" s="4"/>
      <c r="I1154" s="4"/>
      <c r="J1154" s="4"/>
      <c r="K1154" s="4"/>
      <c r="L1154" s="4"/>
      <c r="M1154" s="4"/>
      <c r="N1154" s="4"/>
    </row>
    <row r="1155" spans="2:14" ht="13">
      <c r="B1155" s="4"/>
      <c r="C1155" s="4"/>
      <c r="D1155" s="4"/>
      <c r="E1155" s="4"/>
      <c r="F1155" s="4"/>
      <c r="G1155" s="4"/>
      <c r="H1155" s="4"/>
      <c r="I1155" s="4"/>
      <c r="J1155" s="4"/>
      <c r="K1155" s="4"/>
      <c r="L1155" s="4"/>
      <c r="M1155" s="4"/>
      <c r="N1155" s="4"/>
    </row>
    <row r="1156" spans="2:14" ht="13">
      <c r="B1156" s="4"/>
      <c r="C1156" s="4"/>
      <c r="D1156" s="4"/>
      <c r="E1156" s="4"/>
      <c r="F1156" s="4"/>
      <c r="G1156" s="4"/>
      <c r="H1156" s="4"/>
      <c r="I1156" s="4"/>
      <c r="J1156" s="4"/>
      <c r="K1156" s="4"/>
      <c r="L1156" s="4"/>
      <c r="M1156" s="4"/>
      <c r="N1156" s="4"/>
    </row>
    <row r="1157" spans="2:14" ht="13">
      <c r="B1157" s="4"/>
      <c r="C1157" s="4"/>
      <c r="D1157" s="4"/>
      <c r="E1157" s="4"/>
      <c r="F1157" s="4"/>
      <c r="G1157" s="4"/>
      <c r="H1157" s="4"/>
      <c r="I1157" s="4"/>
      <c r="J1157" s="4"/>
      <c r="K1157" s="4"/>
      <c r="L1157" s="4"/>
      <c r="M1157" s="4"/>
      <c r="N1157" s="4"/>
    </row>
    <row r="1158" spans="2:14" ht="13">
      <c r="B1158" s="4"/>
      <c r="C1158" s="4"/>
      <c r="D1158" s="4"/>
      <c r="E1158" s="4"/>
      <c r="F1158" s="4"/>
      <c r="G1158" s="4"/>
      <c r="H1158" s="4"/>
      <c r="I1158" s="4"/>
      <c r="J1158" s="4"/>
      <c r="K1158" s="4"/>
      <c r="L1158" s="4"/>
      <c r="M1158" s="4"/>
      <c r="N1158" s="4"/>
    </row>
    <row r="1159" spans="2:14" ht="13">
      <c r="B1159" s="4"/>
      <c r="C1159" s="4"/>
      <c r="D1159" s="4"/>
      <c r="E1159" s="4"/>
      <c r="F1159" s="4"/>
      <c r="G1159" s="4"/>
      <c r="H1159" s="4"/>
      <c r="I1159" s="4"/>
      <c r="J1159" s="4"/>
      <c r="K1159" s="4"/>
      <c r="L1159" s="4"/>
      <c r="M1159" s="4"/>
      <c r="N1159" s="4"/>
    </row>
    <row r="1160" spans="2:14" ht="13">
      <c r="B1160" s="4"/>
      <c r="C1160" s="4"/>
      <c r="D1160" s="4"/>
      <c r="E1160" s="4"/>
      <c r="F1160" s="4"/>
      <c r="G1160" s="4"/>
      <c r="H1160" s="4"/>
      <c r="I1160" s="4"/>
      <c r="J1160" s="4"/>
      <c r="K1160" s="4"/>
      <c r="L1160" s="4"/>
      <c r="M1160" s="4"/>
      <c r="N1160" s="4"/>
    </row>
    <row r="1161" spans="2:14" ht="13">
      <c r="B1161" s="4"/>
      <c r="C1161" s="4"/>
      <c r="D1161" s="4"/>
      <c r="E1161" s="4"/>
      <c r="F1161" s="4"/>
      <c r="G1161" s="4"/>
      <c r="H1161" s="4"/>
      <c r="I1161" s="4"/>
      <c r="J1161" s="4"/>
      <c r="K1161" s="4"/>
      <c r="L1161" s="4"/>
      <c r="M1161" s="4"/>
      <c r="N1161" s="4"/>
    </row>
    <row r="1162" spans="2:14" ht="13">
      <c r="B1162" s="4"/>
      <c r="C1162" s="4"/>
      <c r="D1162" s="4"/>
      <c r="E1162" s="4"/>
      <c r="F1162" s="4"/>
      <c r="G1162" s="4"/>
      <c r="H1162" s="4"/>
      <c r="I1162" s="4"/>
      <c r="J1162" s="4"/>
      <c r="K1162" s="4"/>
      <c r="L1162" s="4"/>
      <c r="M1162" s="4"/>
      <c r="N1162" s="4"/>
    </row>
    <row r="1163" spans="2:14" ht="13">
      <c r="B1163" s="4"/>
      <c r="C1163" s="4"/>
      <c r="D1163" s="4"/>
      <c r="E1163" s="4"/>
      <c r="F1163" s="4"/>
      <c r="G1163" s="4"/>
      <c r="H1163" s="4"/>
      <c r="I1163" s="4"/>
      <c r="J1163" s="4"/>
      <c r="K1163" s="4"/>
      <c r="L1163" s="4"/>
      <c r="M1163" s="4"/>
      <c r="N1163" s="4"/>
    </row>
    <row r="1164" spans="2:14" ht="13">
      <c r="B1164" s="4"/>
      <c r="C1164" s="4"/>
      <c r="D1164" s="4"/>
      <c r="E1164" s="4"/>
      <c r="F1164" s="4"/>
      <c r="G1164" s="4"/>
      <c r="H1164" s="4"/>
      <c r="I1164" s="4"/>
      <c r="J1164" s="4"/>
      <c r="K1164" s="4"/>
      <c r="L1164" s="4"/>
      <c r="M1164" s="4"/>
      <c r="N1164" s="4"/>
    </row>
    <row r="1165" spans="2:14" ht="13">
      <c r="B1165" s="4"/>
      <c r="C1165" s="4"/>
      <c r="D1165" s="4"/>
      <c r="E1165" s="4"/>
      <c r="F1165" s="4"/>
      <c r="G1165" s="4"/>
      <c r="H1165" s="4"/>
      <c r="I1165" s="4"/>
      <c r="J1165" s="4"/>
      <c r="K1165" s="4"/>
      <c r="L1165" s="4"/>
      <c r="M1165" s="4"/>
      <c r="N1165" s="4"/>
    </row>
    <row r="1166" spans="2:14" ht="13">
      <c r="B1166" s="4"/>
      <c r="C1166" s="4"/>
      <c r="D1166" s="4"/>
      <c r="E1166" s="4"/>
      <c r="F1166" s="4"/>
      <c r="G1166" s="4"/>
      <c r="H1166" s="4"/>
      <c r="I1166" s="4"/>
      <c r="J1166" s="4"/>
      <c r="K1166" s="4"/>
      <c r="L1166" s="4"/>
      <c r="M1166" s="4"/>
      <c r="N1166" s="4"/>
    </row>
    <row r="1167" spans="2:14" ht="13">
      <c r="B1167" s="4"/>
      <c r="C1167" s="4"/>
      <c r="D1167" s="4"/>
      <c r="E1167" s="4"/>
      <c r="F1167" s="4"/>
      <c r="G1167" s="4"/>
      <c r="H1167" s="4"/>
      <c r="I1167" s="4"/>
      <c r="J1167" s="4"/>
      <c r="K1167" s="4"/>
      <c r="L1167" s="4"/>
      <c r="M1167" s="4"/>
      <c r="N1167" s="4"/>
    </row>
    <row r="1168" spans="2:14" ht="13">
      <c r="B1168" s="4"/>
      <c r="C1168" s="4"/>
      <c r="D1168" s="4"/>
      <c r="E1168" s="4"/>
      <c r="F1168" s="4"/>
      <c r="G1168" s="4"/>
      <c r="H1168" s="4"/>
      <c r="I1168" s="4"/>
      <c r="J1168" s="4"/>
      <c r="K1168" s="4"/>
      <c r="L1168" s="4"/>
      <c r="M1168" s="4"/>
      <c r="N1168" s="4"/>
    </row>
    <row r="1169" spans="2:14" ht="13">
      <c r="B1169" s="4"/>
      <c r="C1169" s="4"/>
      <c r="D1169" s="4"/>
      <c r="E1169" s="4"/>
      <c r="F1169" s="4"/>
      <c r="G1169" s="4"/>
      <c r="H1169" s="4"/>
      <c r="I1169" s="4"/>
      <c r="J1169" s="4"/>
      <c r="K1169" s="4"/>
      <c r="L1169" s="4"/>
      <c r="M1169" s="4"/>
      <c r="N1169" s="4"/>
    </row>
    <row r="1170" spans="2:14" ht="13">
      <c r="B1170" s="4"/>
      <c r="C1170" s="4"/>
      <c r="D1170" s="4"/>
      <c r="E1170" s="4"/>
      <c r="F1170" s="4"/>
      <c r="G1170" s="4"/>
      <c r="H1170" s="4"/>
      <c r="I1170" s="4"/>
      <c r="J1170" s="4"/>
      <c r="K1170" s="4"/>
      <c r="L1170" s="4"/>
      <c r="M1170" s="4"/>
      <c r="N1170" s="4"/>
    </row>
    <row r="1171" spans="2:14" ht="13">
      <c r="B1171" s="4"/>
      <c r="C1171" s="4"/>
      <c r="D1171" s="4"/>
      <c r="E1171" s="4"/>
      <c r="F1171" s="4"/>
      <c r="G1171" s="4"/>
      <c r="H1171" s="4"/>
      <c r="I1171" s="4"/>
      <c r="J1171" s="4"/>
      <c r="K1171" s="4"/>
      <c r="L1171" s="4"/>
      <c r="M1171" s="4"/>
      <c r="N1171" s="4"/>
    </row>
    <row r="1172" spans="2:14" ht="13">
      <c r="B1172" s="4"/>
      <c r="C1172" s="4"/>
      <c r="D1172" s="4"/>
      <c r="E1172" s="4"/>
      <c r="F1172" s="4"/>
      <c r="G1172" s="4"/>
      <c r="H1172" s="4"/>
      <c r="I1172" s="4"/>
      <c r="J1172" s="4"/>
      <c r="K1172" s="4"/>
      <c r="L1172" s="4"/>
      <c r="M1172" s="4"/>
      <c r="N1172" s="4"/>
    </row>
    <row r="1173" spans="2:14" ht="13">
      <c r="B1173" s="4"/>
      <c r="C1173" s="4"/>
      <c r="D1173" s="4"/>
      <c r="E1173" s="4"/>
      <c r="F1173" s="4"/>
      <c r="G1173" s="4"/>
      <c r="H1173" s="4"/>
      <c r="I1173" s="4"/>
      <c r="J1173" s="4"/>
      <c r="K1173" s="4"/>
      <c r="L1173" s="4"/>
      <c r="M1173" s="4"/>
      <c r="N1173" s="4"/>
    </row>
    <row r="1174" spans="2:14" ht="13">
      <c r="B1174" s="4"/>
      <c r="C1174" s="4"/>
      <c r="D1174" s="4"/>
      <c r="E1174" s="4"/>
      <c r="F1174" s="4"/>
      <c r="G1174" s="4"/>
      <c r="H1174" s="4"/>
      <c r="I1174" s="4"/>
      <c r="J1174" s="4"/>
      <c r="K1174" s="4"/>
      <c r="L1174" s="4"/>
      <c r="M1174" s="4"/>
      <c r="N1174" s="4"/>
    </row>
    <row r="1175" spans="2:14" ht="13">
      <c r="B1175" s="4"/>
      <c r="C1175" s="4"/>
      <c r="D1175" s="4"/>
      <c r="E1175" s="4"/>
      <c r="F1175" s="4"/>
      <c r="G1175" s="4"/>
      <c r="H1175" s="4"/>
      <c r="I1175" s="4"/>
      <c r="J1175" s="4"/>
      <c r="K1175" s="4"/>
      <c r="L1175" s="4"/>
      <c r="M1175" s="4"/>
      <c r="N1175" s="4"/>
    </row>
    <row r="1176" spans="2:14" ht="13">
      <c r="B1176" s="4"/>
      <c r="C1176" s="4"/>
      <c r="D1176" s="4"/>
      <c r="E1176" s="4"/>
      <c r="F1176" s="4"/>
      <c r="G1176" s="4"/>
      <c r="H1176" s="4"/>
      <c r="I1176" s="4"/>
      <c r="J1176" s="4"/>
      <c r="K1176" s="4"/>
      <c r="L1176" s="4"/>
      <c r="M1176" s="4"/>
      <c r="N1176" s="4"/>
    </row>
    <row r="1177" spans="2:14" ht="13">
      <c r="B1177" s="4"/>
      <c r="C1177" s="4"/>
      <c r="D1177" s="4"/>
      <c r="E1177" s="4"/>
      <c r="F1177" s="4"/>
      <c r="G1177" s="4"/>
      <c r="H1177" s="4"/>
      <c r="I1177" s="4"/>
      <c r="J1177" s="4"/>
      <c r="K1177" s="4"/>
      <c r="L1177" s="4"/>
      <c r="M1177" s="4"/>
      <c r="N1177" s="4"/>
    </row>
    <row r="1178" spans="2:14" ht="13">
      <c r="B1178" s="4"/>
      <c r="C1178" s="4"/>
      <c r="D1178" s="4"/>
      <c r="E1178" s="4"/>
      <c r="F1178" s="4"/>
      <c r="G1178" s="4"/>
      <c r="H1178" s="4"/>
      <c r="I1178" s="4"/>
      <c r="J1178" s="4"/>
      <c r="K1178" s="4"/>
      <c r="L1178" s="4"/>
      <c r="M1178" s="4"/>
      <c r="N1178" s="4"/>
    </row>
    <row r="1179" spans="2:14" ht="13">
      <c r="B1179" s="4"/>
      <c r="C1179" s="4"/>
      <c r="D1179" s="4"/>
      <c r="E1179" s="4"/>
      <c r="F1179" s="4"/>
      <c r="G1179" s="4"/>
      <c r="H1179" s="4"/>
      <c r="I1179" s="4"/>
      <c r="J1179" s="4"/>
      <c r="K1179" s="4"/>
      <c r="L1179" s="4"/>
      <c r="M1179" s="4"/>
      <c r="N1179" s="4"/>
    </row>
    <row r="1180" spans="2:14" ht="13">
      <c r="B1180" s="4"/>
      <c r="C1180" s="4"/>
      <c r="D1180" s="4"/>
      <c r="E1180" s="4"/>
      <c r="F1180" s="4"/>
      <c r="G1180" s="4"/>
      <c r="H1180" s="4"/>
      <c r="I1180" s="4"/>
      <c r="J1180" s="4"/>
      <c r="K1180" s="4"/>
      <c r="L1180" s="4"/>
      <c r="M1180" s="4"/>
      <c r="N1180" s="4"/>
    </row>
    <row r="1181" spans="2:14" ht="13">
      <c r="B1181" s="4"/>
      <c r="C1181" s="4"/>
      <c r="D1181" s="4"/>
      <c r="E1181" s="4"/>
      <c r="F1181" s="4"/>
      <c r="G1181" s="4"/>
      <c r="H1181" s="4"/>
      <c r="I1181" s="4"/>
      <c r="J1181" s="4"/>
      <c r="K1181" s="4"/>
      <c r="L1181" s="4"/>
      <c r="M1181" s="4"/>
      <c r="N1181" s="4"/>
    </row>
    <row r="1182" spans="2:14" ht="13">
      <c r="B1182" s="4"/>
      <c r="C1182" s="4"/>
      <c r="D1182" s="4"/>
      <c r="E1182" s="4"/>
      <c r="F1182" s="4"/>
      <c r="G1182" s="4"/>
      <c r="H1182" s="4"/>
      <c r="I1182" s="4"/>
      <c r="J1182" s="4"/>
      <c r="K1182" s="4"/>
      <c r="L1182" s="4"/>
      <c r="M1182" s="4"/>
      <c r="N1182" s="4"/>
    </row>
    <row r="1183" spans="2:14" ht="13">
      <c r="B1183" s="4"/>
      <c r="C1183" s="4"/>
      <c r="D1183" s="4"/>
      <c r="E1183" s="4"/>
      <c r="F1183" s="4"/>
      <c r="G1183" s="4"/>
      <c r="H1183" s="4"/>
      <c r="I1183" s="4"/>
      <c r="J1183" s="4"/>
      <c r="K1183" s="4"/>
      <c r="L1183" s="4"/>
      <c r="M1183" s="4"/>
      <c r="N1183" s="4"/>
    </row>
    <row r="1184" spans="2:14" ht="13">
      <c r="B1184" s="4"/>
      <c r="C1184" s="4"/>
      <c r="D1184" s="4"/>
      <c r="E1184" s="4"/>
      <c r="F1184" s="4"/>
      <c r="G1184" s="4"/>
      <c r="H1184" s="4"/>
      <c r="I1184" s="4"/>
      <c r="J1184" s="4"/>
      <c r="K1184" s="4"/>
      <c r="L1184" s="4"/>
      <c r="M1184" s="4"/>
      <c r="N1184" s="4"/>
    </row>
    <row r="1185" spans="2:14" ht="13">
      <c r="B1185" s="4"/>
      <c r="C1185" s="4"/>
      <c r="D1185" s="4"/>
      <c r="E1185" s="4"/>
      <c r="F1185" s="4"/>
      <c r="G1185" s="4"/>
      <c r="H1185" s="4"/>
      <c r="I1185" s="4"/>
      <c r="J1185" s="4"/>
      <c r="K1185" s="4"/>
      <c r="L1185" s="4"/>
      <c r="M1185" s="4"/>
      <c r="N1185" s="4"/>
    </row>
    <row r="1186" spans="2:14" ht="13">
      <c r="B1186" s="4"/>
      <c r="C1186" s="4"/>
      <c r="D1186" s="4"/>
      <c r="E1186" s="4"/>
      <c r="F1186" s="4"/>
      <c r="G1186" s="4"/>
      <c r="H1186" s="4"/>
      <c r="I1186" s="4"/>
      <c r="J1186" s="4"/>
      <c r="K1186" s="4"/>
      <c r="L1186" s="4"/>
      <c r="M1186" s="4"/>
      <c r="N1186" s="4"/>
    </row>
    <row r="1187" spans="2:14" ht="13">
      <c r="B1187" s="4"/>
      <c r="C1187" s="4"/>
      <c r="D1187" s="4"/>
      <c r="E1187" s="4"/>
      <c r="F1187" s="4"/>
      <c r="G1187" s="4"/>
      <c r="H1187" s="4"/>
      <c r="I1187" s="4"/>
      <c r="J1187" s="4"/>
      <c r="K1187" s="4"/>
      <c r="L1187" s="4"/>
      <c r="M1187" s="4"/>
      <c r="N1187" s="4"/>
    </row>
    <row r="1188" spans="2:14" ht="13">
      <c r="B1188" s="4"/>
      <c r="C1188" s="4"/>
      <c r="D1188" s="4"/>
      <c r="E1188" s="4"/>
      <c r="F1188" s="4"/>
      <c r="G1188" s="4"/>
      <c r="H1188" s="4"/>
      <c r="I1188" s="4"/>
      <c r="J1188" s="4"/>
      <c r="K1188" s="4"/>
      <c r="L1188" s="4"/>
      <c r="M1188" s="4"/>
      <c r="N1188" s="4"/>
    </row>
    <row r="1189" spans="2:14" ht="13">
      <c r="B1189" s="4"/>
      <c r="C1189" s="4"/>
      <c r="D1189" s="4"/>
      <c r="E1189" s="4"/>
      <c r="F1189" s="4"/>
      <c r="G1189" s="4"/>
      <c r="H1189" s="4"/>
      <c r="I1189" s="4"/>
      <c r="J1189" s="4"/>
      <c r="K1189" s="4"/>
      <c r="L1189" s="4"/>
      <c r="M1189" s="4"/>
      <c r="N1189" s="4"/>
    </row>
    <row r="1190" spans="2:14" ht="13">
      <c r="B1190" s="4"/>
      <c r="C1190" s="4"/>
      <c r="D1190" s="4"/>
      <c r="E1190" s="4"/>
      <c r="F1190" s="4"/>
      <c r="G1190" s="4"/>
      <c r="H1190" s="4"/>
      <c r="I1190" s="4"/>
      <c r="J1190" s="4"/>
      <c r="K1190" s="4"/>
      <c r="L1190" s="4"/>
      <c r="M1190" s="4"/>
      <c r="N1190" s="4"/>
    </row>
    <row r="1191" spans="2:14" ht="13">
      <c r="B1191" s="4"/>
      <c r="C1191" s="4"/>
      <c r="D1191" s="4"/>
      <c r="E1191" s="4"/>
      <c r="F1191" s="4"/>
      <c r="G1191" s="4"/>
      <c r="H1191" s="4"/>
      <c r="I1191" s="4"/>
      <c r="J1191" s="4"/>
      <c r="K1191" s="4"/>
      <c r="L1191" s="4"/>
      <c r="M1191" s="4"/>
      <c r="N1191" s="4"/>
    </row>
    <row r="1192" spans="2:14" ht="13">
      <c r="B1192" s="4"/>
      <c r="C1192" s="4"/>
      <c r="D1192" s="4"/>
      <c r="E1192" s="4"/>
      <c r="F1192" s="4"/>
      <c r="G1192" s="4"/>
      <c r="H1192" s="4"/>
      <c r="I1192" s="4"/>
      <c r="J1192" s="4"/>
      <c r="K1192" s="4"/>
      <c r="L1192" s="4"/>
      <c r="M1192" s="4"/>
      <c r="N1192" s="4"/>
    </row>
    <row r="1193" spans="2:14" ht="13">
      <c r="B1193" s="4"/>
      <c r="C1193" s="4"/>
      <c r="D1193" s="4"/>
      <c r="E1193" s="4"/>
      <c r="F1193" s="4"/>
      <c r="G1193" s="4"/>
      <c r="H1193" s="4"/>
      <c r="I1193" s="4"/>
      <c r="J1193" s="4"/>
      <c r="K1193" s="4"/>
      <c r="L1193" s="4"/>
      <c r="M1193" s="4"/>
      <c r="N1193" s="4"/>
    </row>
    <row r="1194" spans="2:14" ht="13">
      <c r="B1194" s="4"/>
      <c r="C1194" s="4"/>
      <c r="D1194" s="4"/>
      <c r="E1194" s="4"/>
      <c r="F1194" s="4"/>
      <c r="G1194" s="4"/>
      <c r="H1194" s="4"/>
      <c r="I1194" s="4"/>
      <c r="J1194" s="4"/>
      <c r="K1194" s="4"/>
      <c r="L1194" s="4"/>
      <c r="M1194" s="4"/>
      <c r="N1194" s="4"/>
    </row>
    <row r="1195" spans="2:14" ht="13">
      <c r="B1195" s="4"/>
      <c r="C1195" s="4"/>
      <c r="D1195" s="4"/>
      <c r="E1195" s="4"/>
      <c r="F1195" s="4"/>
      <c r="G1195" s="4"/>
      <c r="H1195" s="4"/>
      <c r="I1195" s="4"/>
      <c r="J1195" s="4"/>
      <c r="K1195" s="4"/>
      <c r="L1195" s="4"/>
      <c r="M1195" s="4"/>
      <c r="N1195" s="4"/>
    </row>
    <row r="1196" spans="2:14" ht="13">
      <c r="B1196" s="4"/>
      <c r="C1196" s="4"/>
      <c r="D1196" s="4"/>
      <c r="E1196" s="4"/>
      <c r="F1196" s="4"/>
      <c r="G1196" s="4"/>
      <c r="H1196" s="4"/>
      <c r="I1196" s="4"/>
      <c r="J1196" s="4"/>
      <c r="K1196" s="4"/>
      <c r="L1196" s="4"/>
      <c r="M1196" s="4"/>
      <c r="N1196" s="4"/>
    </row>
    <row r="1197" spans="2:14" ht="13">
      <c r="B1197" s="4"/>
      <c r="C1197" s="4"/>
      <c r="D1197" s="4"/>
      <c r="E1197" s="4"/>
      <c r="F1197" s="4"/>
      <c r="G1197" s="4"/>
      <c r="H1197" s="4"/>
      <c r="I1197" s="4"/>
      <c r="J1197" s="4"/>
      <c r="K1197" s="4"/>
      <c r="L1197" s="4"/>
      <c r="M1197" s="4"/>
      <c r="N1197" s="4"/>
    </row>
    <row r="1198" spans="2:14" ht="13">
      <c r="B1198" s="4"/>
      <c r="C1198" s="4"/>
      <c r="D1198" s="4"/>
      <c r="E1198" s="4"/>
      <c r="F1198" s="4"/>
      <c r="G1198" s="4"/>
      <c r="H1198" s="4"/>
      <c r="I1198" s="4"/>
      <c r="J1198" s="4"/>
      <c r="K1198" s="4"/>
      <c r="L1198" s="4"/>
      <c r="M1198" s="4"/>
      <c r="N1198" s="4"/>
    </row>
    <row r="1199" spans="2:14" ht="13">
      <c r="B1199" s="4"/>
      <c r="C1199" s="4"/>
      <c r="D1199" s="4"/>
      <c r="E1199" s="4"/>
      <c r="F1199" s="4"/>
      <c r="G1199" s="4"/>
      <c r="H1199" s="4"/>
      <c r="I1199" s="4"/>
      <c r="J1199" s="4"/>
      <c r="K1199" s="4"/>
      <c r="L1199" s="4"/>
      <c r="M1199" s="4"/>
      <c r="N1199" s="4"/>
    </row>
    <row r="1200" spans="2:14" ht="13">
      <c r="B1200" s="4"/>
      <c r="C1200" s="4"/>
      <c r="D1200" s="4"/>
      <c r="E1200" s="4"/>
      <c r="F1200" s="4"/>
      <c r="G1200" s="4"/>
      <c r="H1200" s="4"/>
      <c r="I1200" s="4"/>
      <c r="J1200" s="4"/>
      <c r="K1200" s="4"/>
      <c r="L1200" s="4"/>
      <c r="M1200" s="4"/>
      <c r="N1200" s="4"/>
    </row>
    <row r="1201" spans="2:14" ht="13">
      <c r="B1201" s="4"/>
      <c r="C1201" s="4"/>
      <c r="D1201" s="4"/>
      <c r="E1201" s="4"/>
      <c r="F1201" s="4"/>
      <c r="G1201" s="4"/>
      <c r="H1201" s="4"/>
      <c r="I1201" s="4"/>
      <c r="J1201" s="4"/>
      <c r="K1201" s="4"/>
      <c r="L1201" s="4"/>
      <c r="M1201" s="4"/>
      <c r="N1201" s="4"/>
    </row>
    <row r="1202" spans="2:14" ht="13">
      <c r="B1202" s="4"/>
      <c r="C1202" s="4"/>
      <c r="D1202" s="4"/>
      <c r="E1202" s="4"/>
      <c r="F1202" s="4"/>
      <c r="G1202" s="4"/>
      <c r="H1202" s="4"/>
      <c r="I1202" s="4"/>
      <c r="J1202" s="4"/>
      <c r="K1202" s="4"/>
      <c r="L1202" s="4"/>
      <c r="M1202" s="4"/>
      <c r="N1202" s="4"/>
    </row>
    <row r="1203" spans="2:14" ht="13">
      <c r="B1203" s="4"/>
      <c r="C1203" s="4"/>
      <c r="D1203" s="4"/>
      <c r="E1203" s="4"/>
      <c r="F1203" s="4"/>
      <c r="G1203" s="4"/>
      <c r="H1203" s="4"/>
      <c r="I1203" s="4"/>
      <c r="J1203" s="4"/>
      <c r="K1203" s="4"/>
      <c r="L1203" s="4"/>
      <c r="M1203" s="4"/>
      <c r="N1203" s="4"/>
    </row>
    <row r="1204" spans="2:14" ht="13">
      <c r="B1204" s="4"/>
      <c r="C1204" s="4"/>
      <c r="D1204" s="4"/>
      <c r="E1204" s="4"/>
      <c r="F1204" s="4"/>
      <c r="G1204" s="4"/>
      <c r="H1204" s="4"/>
      <c r="I1204" s="4"/>
      <c r="J1204" s="4"/>
      <c r="K1204" s="4"/>
      <c r="L1204" s="4"/>
      <c r="M1204" s="4"/>
      <c r="N1204" s="4"/>
    </row>
    <row r="1205" spans="2:14" ht="13">
      <c r="B1205" s="4"/>
      <c r="C1205" s="4"/>
      <c r="D1205" s="4"/>
      <c r="E1205" s="4"/>
      <c r="F1205" s="4"/>
      <c r="G1205" s="4"/>
      <c r="H1205" s="4"/>
      <c r="I1205" s="4"/>
      <c r="J1205" s="4"/>
      <c r="K1205" s="4"/>
      <c r="L1205" s="4"/>
      <c r="M1205" s="4"/>
      <c r="N1205" s="4"/>
    </row>
    <row r="1206" spans="2:14" ht="13">
      <c r="B1206" s="4"/>
      <c r="C1206" s="4"/>
      <c r="D1206" s="4"/>
      <c r="E1206" s="4"/>
      <c r="F1206" s="4"/>
      <c r="G1206" s="4"/>
      <c r="H1206" s="4"/>
      <c r="I1206" s="4"/>
      <c r="J1206" s="4"/>
      <c r="K1206" s="4"/>
      <c r="L1206" s="4"/>
      <c r="M1206" s="4"/>
      <c r="N1206" s="4"/>
    </row>
    <row r="1207" spans="2:14" ht="13">
      <c r="B1207" s="4"/>
      <c r="C1207" s="4"/>
      <c r="D1207" s="4"/>
      <c r="E1207" s="4"/>
      <c r="F1207" s="4"/>
      <c r="G1207" s="4"/>
      <c r="H1207" s="4"/>
      <c r="I1207" s="4"/>
      <c r="J1207" s="4"/>
      <c r="K1207" s="4"/>
      <c r="L1207" s="4"/>
      <c r="M1207" s="4"/>
      <c r="N1207" s="4"/>
    </row>
    <row r="1208" spans="2:14" ht="13">
      <c r="B1208" s="4"/>
      <c r="C1208" s="4"/>
      <c r="D1208" s="4"/>
      <c r="E1208" s="4"/>
      <c r="F1208" s="4"/>
      <c r="G1208" s="4"/>
      <c r="H1208" s="4"/>
      <c r="I1208" s="4"/>
      <c r="J1208" s="4"/>
      <c r="K1208" s="4"/>
      <c r="L1208" s="4"/>
      <c r="M1208" s="4"/>
      <c r="N1208" s="4"/>
    </row>
    <row r="1209" spans="2:14" ht="13">
      <c r="B1209" s="4"/>
      <c r="C1209" s="4"/>
      <c r="D1209" s="4"/>
      <c r="E1209" s="4"/>
      <c r="F1209" s="4"/>
      <c r="G1209" s="4"/>
      <c r="H1209" s="4"/>
      <c r="I1209" s="4"/>
      <c r="J1209" s="4"/>
      <c r="K1209" s="4"/>
      <c r="L1209" s="4"/>
      <c r="M1209" s="4"/>
      <c r="N1209" s="4"/>
    </row>
    <row r="1210" spans="2:14" ht="13">
      <c r="B1210" s="4"/>
      <c r="C1210" s="4"/>
      <c r="D1210" s="4"/>
      <c r="E1210" s="4"/>
      <c r="F1210" s="4"/>
      <c r="G1210" s="4"/>
      <c r="H1210" s="4"/>
      <c r="I1210" s="4"/>
      <c r="J1210" s="4"/>
      <c r="K1210" s="4"/>
      <c r="L1210" s="4"/>
      <c r="M1210" s="4"/>
      <c r="N1210" s="4"/>
    </row>
    <row r="1211" spans="2:14" ht="13">
      <c r="B1211" s="4"/>
      <c r="C1211" s="4"/>
      <c r="D1211" s="4"/>
      <c r="E1211" s="4"/>
      <c r="F1211" s="4"/>
      <c r="G1211" s="4"/>
      <c r="H1211" s="4"/>
      <c r="I1211" s="4"/>
      <c r="J1211" s="4"/>
      <c r="K1211" s="4"/>
      <c r="L1211" s="4"/>
      <c r="M1211" s="4"/>
      <c r="N1211" s="4"/>
    </row>
    <row r="1212" spans="2:14" ht="13">
      <c r="B1212" s="4"/>
      <c r="C1212" s="4"/>
      <c r="D1212" s="4"/>
      <c r="E1212" s="4"/>
      <c r="F1212" s="4"/>
      <c r="G1212" s="4"/>
      <c r="H1212" s="4"/>
      <c r="I1212" s="4"/>
      <c r="J1212" s="4"/>
      <c r="K1212" s="4"/>
      <c r="L1212" s="4"/>
      <c r="M1212" s="4"/>
      <c r="N1212" s="4"/>
    </row>
    <row r="1213" spans="2:14" ht="13">
      <c r="B1213" s="4"/>
      <c r="C1213" s="4"/>
      <c r="D1213" s="4"/>
      <c r="E1213" s="4"/>
      <c r="F1213" s="4"/>
      <c r="G1213" s="4"/>
      <c r="H1213" s="4"/>
      <c r="I1213" s="4"/>
      <c r="J1213" s="4"/>
      <c r="K1213" s="4"/>
      <c r="L1213" s="4"/>
      <c r="M1213" s="4"/>
      <c r="N1213" s="4"/>
    </row>
    <row r="1214" spans="2:14" ht="13">
      <c r="B1214" s="4"/>
      <c r="C1214" s="4"/>
      <c r="D1214" s="4"/>
      <c r="E1214" s="4"/>
      <c r="F1214" s="4"/>
      <c r="G1214" s="4"/>
      <c r="H1214" s="4"/>
      <c r="I1214" s="4"/>
      <c r="J1214" s="4"/>
      <c r="K1214" s="4"/>
      <c r="L1214" s="4"/>
      <c r="M1214" s="4"/>
      <c r="N1214" s="4"/>
    </row>
    <row r="1215" spans="2:14" ht="13">
      <c r="B1215" s="4"/>
      <c r="C1215" s="4"/>
      <c r="D1215" s="4"/>
      <c r="E1215" s="4"/>
      <c r="F1215" s="4"/>
      <c r="G1215" s="4"/>
      <c r="H1215" s="4"/>
      <c r="I1215" s="4"/>
      <c r="J1215" s="4"/>
      <c r="K1215" s="4"/>
      <c r="L1215" s="4"/>
      <c r="M1215" s="4"/>
      <c r="N1215" s="4"/>
    </row>
    <row r="1216" spans="2:14" ht="13">
      <c r="B1216" s="4"/>
      <c r="C1216" s="4"/>
      <c r="D1216" s="4"/>
      <c r="E1216" s="4"/>
      <c r="F1216" s="4"/>
      <c r="G1216" s="4"/>
      <c r="H1216" s="4"/>
      <c r="I1216" s="4"/>
      <c r="J1216" s="4"/>
      <c r="K1216" s="4"/>
      <c r="L1216" s="4"/>
      <c r="M1216" s="4"/>
      <c r="N1216" s="4"/>
    </row>
    <row r="1217" spans="2:14" ht="13">
      <c r="B1217" s="4"/>
      <c r="C1217" s="4"/>
      <c r="D1217" s="4"/>
      <c r="E1217" s="4"/>
      <c r="F1217" s="4"/>
      <c r="G1217" s="4"/>
      <c r="H1217" s="4"/>
      <c r="I1217" s="4"/>
      <c r="J1217" s="4"/>
      <c r="K1217" s="4"/>
      <c r="L1217" s="4"/>
      <c r="M1217" s="4"/>
      <c r="N1217" s="4"/>
    </row>
    <row r="1218" spans="2:14" ht="13">
      <c r="B1218" s="4"/>
      <c r="C1218" s="4"/>
      <c r="D1218" s="4"/>
      <c r="E1218" s="4"/>
      <c r="F1218" s="4"/>
      <c r="G1218" s="4"/>
      <c r="H1218" s="4"/>
      <c r="I1218" s="4"/>
      <c r="J1218" s="4"/>
      <c r="K1218" s="4"/>
      <c r="L1218" s="4"/>
      <c r="M1218" s="4"/>
      <c r="N1218" s="4"/>
    </row>
    <row r="1219" spans="2:14" ht="13">
      <c r="B1219" s="4"/>
      <c r="C1219" s="4"/>
      <c r="D1219" s="4"/>
      <c r="E1219" s="4"/>
      <c r="F1219" s="4"/>
      <c r="G1219" s="4"/>
      <c r="H1219" s="4"/>
      <c r="I1219" s="4"/>
      <c r="J1219" s="4"/>
      <c r="K1219" s="4"/>
      <c r="L1219" s="4"/>
      <c r="M1219" s="4"/>
      <c r="N1219" s="4"/>
    </row>
    <row r="1220" spans="2:14" ht="13">
      <c r="B1220" s="4"/>
      <c r="C1220" s="4"/>
      <c r="D1220" s="4"/>
      <c r="E1220" s="4"/>
      <c r="F1220" s="4"/>
      <c r="G1220" s="4"/>
      <c r="H1220" s="4"/>
      <c r="I1220" s="4"/>
      <c r="J1220" s="4"/>
      <c r="K1220" s="4"/>
      <c r="L1220" s="4"/>
      <c r="M1220" s="4"/>
      <c r="N1220" s="4"/>
    </row>
    <row r="1221" spans="2:14" ht="13">
      <c r="B1221" s="4"/>
      <c r="C1221" s="4"/>
      <c r="D1221" s="4"/>
      <c r="E1221" s="4"/>
      <c r="F1221" s="4"/>
      <c r="G1221" s="4"/>
      <c r="H1221" s="4"/>
      <c r="I1221" s="4"/>
      <c r="J1221" s="4"/>
      <c r="K1221" s="4"/>
      <c r="L1221" s="4"/>
      <c r="M1221" s="4"/>
      <c r="N1221" s="4"/>
    </row>
    <row r="1222" spans="2:14" ht="13">
      <c r="B1222" s="4"/>
      <c r="C1222" s="4"/>
      <c r="D1222" s="4"/>
      <c r="E1222" s="4"/>
      <c r="F1222" s="4"/>
      <c r="G1222" s="4"/>
      <c r="H1222" s="4"/>
      <c r="I1222" s="4"/>
      <c r="J1222" s="4"/>
      <c r="K1222" s="4"/>
      <c r="L1222" s="4"/>
      <c r="M1222" s="4"/>
      <c r="N1222" s="4"/>
    </row>
    <row r="1223" spans="2:14" ht="13">
      <c r="B1223" s="4"/>
      <c r="C1223" s="4"/>
      <c r="D1223" s="4"/>
      <c r="E1223" s="4"/>
      <c r="F1223" s="4"/>
      <c r="G1223" s="4"/>
      <c r="H1223" s="4"/>
      <c r="I1223" s="4"/>
      <c r="J1223" s="4"/>
      <c r="K1223" s="4"/>
      <c r="L1223" s="4"/>
      <c r="M1223" s="4"/>
      <c r="N1223" s="4"/>
    </row>
    <row r="1224" spans="2:14" ht="13">
      <c r="B1224" s="4"/>
      <c r="C1224" s="4"/>
      <c r="D1224" s="4"/>
      <c r="E1224" s="4"/>
      <c r="F1224" s="4"/>
      <c r="G1224" s="4"/>
      <c r="H1224" s="4"/>
      <c r="I1224" s="4"/>
      <c r="J1224" s="4"/>
      <c r="K1224" s="4"/>
      <c r="L1224" s="4"/>
      <c r="M1224" s="4"/>
      <c r="N1224" s="4"/>
    </row>
    <row r="1225" spans="2:14" ht="13">
      <c r="B1225" s="4"/>
      <c r="C1225" s="4"/>
      <c r="D1225" s="4"/>
      <c r="E1225" s="4"/>
      <c r="F1225" s="4"/>
      <c r="G1225" s="4"/>
      <c r="H1225" s="4"/>
      <c r="I1225" s="4"/>
      <c r="J1225" s="4"/>
      <c r="K1225" s="4"/>
      <c r="L1225" s="4"/>
      <c r="M1225" s="4"/>
      <c r="N1225" s="4"/>
    </row>
    <row r="1226" spans="2:14" ht="13">
      <c r="B1226" s="4"/>
      <c r="C1226" s="4"/>
      <c r="D1226" s="4"/>
      <c r="E1226" s="4"/>
      <c r="F1226" s="4"/>
      <c r="G1226" s="4"/>
      <c r="H1226" s="4"/>
      <c r="I1226" s="4"/>
      <c r="J1226" s="4"/>
      <c r="K1226" s="4"/>
      <c r="L1226" s="4"/>
      <c r="M1226" s="4"/>
      <c r="N1226" s="4"/>
    </row>
    <row r="1227" spans="2:14" ht="13">
      <c r="B1227" s="4"/>
      <c r="C1227" s="4"/>
      <c r="D1227" s="4"/>
      <c r="E1227" s="4"/>
      <c r="F1227" s="4"/>
      <c r="G1227" s="4"/>
      <c r="H1227" s="4"/>
      <c r="I1227" s="4"/>
      <c r="J1227" s="4"/>
      <c r="K1227" s="4"/>
      <c r="L1227" s="4"/>
      <c r="M1227" s="4"/>
      <c r="N1227" s="4"/>
    </row>
    <row r="1228" spans="2:14" ht="13">
      <c r="B1228" s="4"/>
      <c r="C1228" s="4"/>
      <c r="D1228" s="4"/>
      <c r="E1228" s="4"/>
      <c r="F1228" s="4"/>
      <c r="G1228" s="4"/>
      <c r="H1228" s="4"/>
      <c r="I1228" s="4"/>
      <c r="J1228" s="4"/>
      <c r="K1228" s="4"/>
      <c r="L1228" s="4"/>
      <c r="M1228" s="4"/>
      <c r="N1228" s="4"/>
    </row>
    <row r="1229" spans="2:14" ht="13">
      <c r="B1229" s="4"/>
      <c r="C1229" s="4"/>
      <c r="D1229" s="4"/>
      <c r="E1229" s="4"/>
      <c r="F1229" s="4"/>
      <c r="G1229" s="4"/>
      <c r="H1229" s="4"/>
      <c r="I1229" s="4"/>
      <c r="J1229" s="4"/>
      <c r="K1229" s="4"/>
      <c r="L1229" s="4"/>
      <c r="M1229" s="4"/>
      <c r="N1229" s="4"/>
    </row>
    <row r="1230" spans="2:14" ht="13">
      <c r="B1230" s="4"/>
      <c r="C1230" s="4"/>
      <c r="D1230" s="4"/>
      <c r="E1230" s="4"/>
      <c r="F1230" s="4"/>
      <c r="G1230" s="4"/>
      <c r="H1230" s="4"/>
      <c r="I1230" s="4"/>
      <c r="J1230" s="4"/>
      <c r="K1230" s="4"/>
      <c r="L1230" s="4"/>
      <c r="M1230" s="4"/>
      <c r="N1230" s="4"/>
    </row>
    <row r="1231" spans="2:14" ht="13">
      <c r="B1231" s="4"/>
      <c r="C1231" s="4"/>
      <c r="D1231" s="4"/>
      <c r="E1231" s="4"/>
      <c r="F1231" s="4"/>
      <c r="G1231" s="4"/>
      <c r="H1231" s="4"/>
      <c r="I1231" s="4"/>
      <c r="J1231" s="4"/>
      <c r="K1231" s="4"/>
      <c r="L1231" s="4"/>
      <c r="M1231" s="4"/>
      <c r="N1231" s="4"/>
    </row>
    <row r="1232" spans="2:14" ht="13">
      <c r="B1232" s="4"/>
      <c r="C1232" s="4"/>
      <c r="D1232" s="4"/>
      <c r="E1232" s="4"/>
      <c r="F1232" s="4"/>
      <c r="G1232" s="4"/>
      <c r="H1232" s="4"/>
      <c r="I1232" s="4"/>
      <c r="J1232" s="4"/>
      <c r="K1232" s="4"/>
      <c r="L1232" s="4"/>
      <c r="M1232" s="4"/>
      <c r="N1232" s="4"/>
    </row>
    <row r="1233" spans="2:14" ht="13">
      <c r="B1233" s="4"/>
      <c r="C1233" s="4"/>
      <c r="D1233" s="4"/>
      <c r="E1233" s="4"/>
      <c r="F1233" s="4"/>
      <c r="G1233" s="4"/>
      <c r="H1233" s="4"/>
      <c r="I1233" s="4"/>
      <c r="J1233" s="4"/>
      <c r="K1233" s="4"/>
      <c r="L1233" s="4"/>
      <c r="M1233" s="4"/>
      <c r="N1233" s="4"/>
    </row>
    <row r="1234" spans="2:14" ht="13">
      <c r="B1234" s="4"/>
      <c r="C1234" s="4"/>
      <c r="D1234" s="4"/>
      <c r="E1234" s="4"/>
      <c r="F1234" s="4"/>
      <c r="G1234" s="4"/>
      <c r="H1234" s="4"/>
      <c r="I1234" s="4"/>
      <c r="J1234" s="4"/>
      <c r="K1234" s="4"/>
      <c r="L1234" s="4"/>
      <c r="M1234" s="4"/>
      <c r="N1234" s="4"/>
    </row>
    <row r="1235" spans="2:14" ht="13">
      <c r="B1235" s="4"/>
      <c r="C1235" s="4"/>
      <c r="D1235" s="4"/>
      <c r="E1235" s="4"/>
      <c r="F1235" s="4"/>
      <c r="G1235" s="4"/>
      <c r="H1235" s="4"/>
      <c r="I1235" s="4"/>
      <c r="J1235" s="4"/>
      <c r="K1235" s="4"/>
      <c r="L1235" s="4"/>
      <c r="M1235" s="4"/>
      <c r="N1235" s="4"/>
    </row>
    <row r="1236" spans="2:14" ht="13">
      <c r="B1236" s="4"/>
      <c r="C1236" s="4"/>
      <c r="D1236" s="4"/>
      <c r="E1236" s="4"/>
      <c r="F1236" s="4"/>
      <c r="G1236" s="4"/>
      <c r="H1236" s="4"/>
      <c r="I1236" s="4"/>
      <c r="J1236" s="4"/>
      <c r="K1236" s="4"/>
      <c r="L1236" s="4"/>
      <c r="M1236" s="4"/>
      <c r="N1236" s="4"/>
    </row>
    <row r="1237" spans="2:14" ht="13">
      <c r="B1237" s="4"/>
      <c r="C1237" s="4"/>
      <c r="D1237" s="4"/>
      <c r="E1237" s="4"/>
      <c r="F1237" s="4"/>
      <c r="G1237" s="4"/>
      <c r="H1237" s="4"/>
      <c r="I1237" s="4"/>
      <c r="J1237" s="4"/>
      <c r="K1237" s="4"/>
      <c r="L1237" s="4"/>
      <c r="M1237" s="4"/>
      <c r="N1237" s="4"/>
    </row>
    <row r="1238" spans="2:14" ht="13">
      <c r="B1238" s="4"/>
      <c r="C1238" s="4"/>
      <c r="D1238" s="4"/>
      <c r="E1238" s="4"/>
      <c r="F1238" s="4"/>
      <c r="G1238" s="4"/>
      <c r="H1238" s="4"/>
      <c r="I1238" s="4"/>
      <c r="J1238" s="4"/>
      <c r="K1238" s="4"/>
      <c r="L1238" s="4"/>
      <c r="M1238" s="4"/>
      <c r="N1238" s="4"/>
    </row>
    <row r="1239" spans="2:14" ht="13">
      <c r="B1239" s="4"/>
      <c r="C1239" s="4"/>
      <c r="D1239" s="4"/>
      <c r="E1239" s="4"/>
      <c r="F1239" s="4"/>
      <c r="G1239" s="4"/>
      <c r="H1239" s="4"/>
      <c r="I1239" s="4"/>
      <c r="J1239" s="4"/>
      <c r="K1239" s="4"/>
      <c r="L1239" s="4"/>
      <c r="M1239" s="4"/>
      <c r="N1239" s="4"/>
    </row>
    <row r="1240" spans="2:14" ht="13">
      <c r="B1240" s="4"/>
      <c r="C1240" s="4"/>
      <c r="D1240" s="4"/>
      <c r="E1240" s="4"/>
      <c r="F1240" s="4"/>
      <c r="G1240" s="4"/>
      <c r="H1240" s="4"/>
      <c r="I1240" s="4"/>
      <c r="J1240" s="4"/>
      <c r="K1240" s="4"/>
      <c r="L1240" s="4"/>
      <c r="M1240" s="4"/>
      <c r="N1240" s="4"/>
    </row>
    <row r="1241" spans="2:14" ht="13">
      <c r="B1241" s="4"/>
      <c r="C1241" s="4"/>
      <c r="D1241" s="4"/>
      <c r="E1241" s="4"/>
      <c r="F1241" s="4"/>
      <c r="G1241" s="4"/>
      <c r="H1241" s="4"/>
      <c r="I1241" s="4"/>
      <c r="J1241" s="4"/>
      <c r="K1241" s="4"/>
      <c r="L1241" s="4"/>
      <c r="M1241" s="4"/>
      <c r="N1241" s="4"/>
    </row>
    <row r="1242" spans="2:14" ht="13">
      <c r="B1242" s="4"/>
      <c r="C1242" s="4"/>
      <c r="D1242" s="4"/>
      <c r="E1242" s="4"/>
      <c r="F1242" s="4"/>
      <c r="G1242" s="4"/>
      <c r="H1242" s="4"/>
      <c r="I1242" s="4"/>
      <c r="J1242" s="4"/>
      <c r="K1242" s="4"/>
      <c r="L1242" s="4"/>
      <c r="M1242" s="4"/>
      <c r="N1242" s="4"/>
    </row>
    <row r="1243" spans="2:14" ht="13">
      <c r="B1243" s="4"/>
      <c r="C1243" s="4"/>
      <c r="D1243" s="4"/>
      <c r="E1243" s="4"/>
      <c r="F1243" s="4"/>
      <c r="G1243" s="4"/>
      <c r="H1243" s="4"/>
      <c r="I1243" s="4"/>
      <c r="J1243" s="4"/>
      <c r="K1243" s="4"/>
      <c r="L1243" s="4"/>
      <c r="M1243" s="4"/>
      <c r="N1243" s="4"/>
    </row>
    <row r="1244" spans="2:14" ht="13">
      <c r="B1244" s="4"/>
      <c r="C1244" s="4"/>
      <c r="D1244" s="4"/>
      <c r="E1244" s="4"/>
      <c r="F1244" s="4"/>
      <c r="G1244" s="4"/>
      <c r="H1244" s="4"/>
      <c r="I1244" s="4"/>
      <c r="J1244" s="4"/>
      <c r="K1244" s="4"/>
      <c r="L1244" s="4"/>
      <c r="M1244" s="4"/>
      <c r="N1244" s="4"/>
    </row>
    <row r="1245" spans="2:14" ht="13">
      <c r="B1245" s="4"/>
      <c r="C1245" s="4"/>
      <c r="D1245" s="4"/>
      <c r="E1245" s="4"/>
      <c r="F1245" s="4"/>
      <c r="G1245" s="4"/>
      <c r="H1245" s="4"/>
      <c r="I1245" s="4"/>
      <c r="J1245" s="4"/>
      <c r="K1245" s="4"/>
      <c r="L1245" s="4"/>
      <c r="M1245" s="4"/>
      <c r="N1245" s="4"/>
    </row>
    <row r="1246" spans="2:14" ht="13">
      <c r="B1246" s="4"/>
      <c r="C1246" s="4"/>
      <c r="D1246" s="4"/>
      <c r="E1246" s="4"/>
      <c r="F1246" s="4"/>
      <c r="G1246" s="4"/>
      <c r="H1246" s="4"/>
      <c r="I1246" s="4"/>
      <c r="J1246" s="4"/>
      <c r="K1246" s="4"/>
      <c r="L1246" s="4"/>
      <c r="M1246" s="4"/>
      <c r="N1246" s="4"/>
    </row>
    <row r="1247" spans="2:14" ht="13">
      <c r="B1247" s="4"/>
      <c r="C1247" s="4"/>
      <c r="D1247" s="4"/>
      <c r="E1247" s="4"/>
      <c r="F1247" s="4"/>
      <c r="G1247" s="4"/>
      <c r="H1247" s="4"/>
      <c r="I1247" s="4"/>
      <c r="J1247" s="4"/>
      <c r="K1247" s="4"/>
      <c r="L1247" s="4"/>
      <c r="M1247" s="4"/>
      <c r="N1247" s="4"/>
    </row>
    <row r="1248" spans="2:14" ht="13">
      <c r="B1248" s="4"/>
      <c r="C1248" s="4"/>
      <c r="D1248" s="4"/>
      <c r="E1248" s="4"/>
      <c r="F1248" s="4"/>
      <c r="G1248" s="4"/>
      <c r="H1248" s="4"/>
      <c r="I1248" s="4"/>
      <c r="J1248" s="4"/>
      <c r="K1248" s="4"/>
      <c r="L1248" s="4"/>
      <c r="M1248" s="4"/>
      <c r="N1248" s="4"/>
    </row>
    <row r="1249" spans="2:14" ht="13">
      <c r="B1249" s="4"/>
      <c r="C1249" s="4"/>
      <c r="D1249" s="4"/>
      <c r="E1249" s="4"/>
      <c r="F1249" s="4"/>
      <c r="G1249" s="4"/>
      <c r="H1249" s="4"/>
      <c r="I1249" s="4"/>
      <c r="J1249" s="4"/>
      <c r="K1249" s="4"/>
      <c r="L1249" s="4"/>
      <c r="M1249" s="4"/>
      <c r="N1249" s="4"/>
    </row>
    <row r="1250" spans="2:14" ht="13">
      <c r="B1250" s="4"/>
      <c r="C1250" s="4"/>
      <c r="D1250" s="4"/>
      <c r="E1250" s="4"/>
      <c r="F1250" s="4"/>
      <c r="G1250" s="4"/>
      <c r="H1250" s="4"/>
      <c r="I1250" s="4"/>
      <c r="J1250" s="4"/>
      <c r="K1250" s="4"/>
      <c r="L1250" s="4"/>
      <c r="M1250" s="4"/>
      <c r="N1250" s="4"/>
    </row>
    <row r="1251" spans="2:14" ht="13">
      <c r="B1251" s="4"/>
      <c r="C1251" s="4"/>
      <c r="D1251" s="4"/>
      <c r="E1251" s="4"/>
      <c r="F1251" s="4"/>
      <c r="G1251" s="4"/>
      <c r="H1251" s="4"/>
      <c r="I1251" s="4"/>
      <c r="J1251" s="4"/>
      <c r="K1251" s="4"/>
      <c r="L1251" s="4"/>
      <c r="M1251" s="4"/>
      <c r="N1251" s="4"/>
    </row>
    <row r="1252" spans="2:14" ht="13">
      <c r="B1252" s="4"/>
      <c r="C1252" s="4"/>
      <c r="D1252" s="4"/>
      <c r="E1252" s="4"/>
      <c r="F1252" s="4"/>
      <c r="G1252" s="4"/>
      <c r="H1252" s="4"/>
      <c r="I1252" s="4"/>
      <c r="J1252" s="4"/>
      <c r="K1252" s="4"/>
      <c r="L1252" s="4"/>
      <c r="M1252" s="4"/>
      <c r="N1252" s="4"/>
    </row>
    <row r="1253" spans="2:14" ht="13">
      <c r="B1253" s="4"/>
      <c r="C1253" s="4"/>
      <c r="D1253" s="4"/>
      <c r="E1253" s="4"/>
      <c r="F1253" s="4"/>
      <c r="G1253" s="4"/>
      <c r="H1253" s="4"/>
      <c r="I1253" s="4"/>
      <c r="J1253" s="4"/>
      <c r="K1253" s="4"/>
      <c r="L1253" s="4"/>
      <c r="M1253" s="4"/>
      <c r="N1253" s="4"/>
    </row>
    <row r="1254" spans="2:14" ht="13">
      <c r="B1254" s="4"/>
      <c r="C1254" s="4"/>
      <c r="D1254" s="4"/>
      <c r="E1254" s="4"/>
      <c r="F1254" s="4"/>
      <c r="G1254" s="4"/>
      <c r="H1254" s="4"/>
      <c r="I1254" s="4"/>
      <c r="J1254" s="4"/>
      <c r="K1254" s="4"/>
      <c r="L1254" s="4"/>
      <c r="M1254" s="4"/>
      <c r="N1254" s="4"/>
    </row>
    <row r="1255" spans="2:14" ht="13">
      <c r="B1255" s="4"/>
      <c r="C1255" s="4"/>
      <c r="D1255" s="4"/>
      <c r="E1255" s="4"/>
      <c r="F1255" s="4"/>
      <c r="G1255" s="4"/>
      <c r="H1255" s="4"/>
      <c r="I1255" s="4"/>
      <c r="J1255" s="4"/>
      <c r="K1255" s="4"/>
      <c r="L1255" s="4"/>
      <c r="M1255" s="4"/>
      <c r="N1255" s="4"/>
    </row>
    <row r="1256" spans="2:14" ht="13">
      <c r="B1256" s="4"/>
      <c r="C1256" s="4"/>
      <c r="D1256" s="4"/>
      <c r="E1256" s="4"/>
      <c r="F1256" s="4"/>
      <c r="G1256" s="4"/>
      <c r="H1256" s="4"/>
      <c r="I1256" s="4"/>
      <c r="J1256" s="4"/>
      <c r="K1256" s="4"/>
      <c r="L1256" s="4"/>
      <c r="M1256" s="4"/>
      <c r="N1256" s="4"/>
    </row>
    <row r="1257" spans="2:14" ht="13">
      <c r="B1257" s="4"/>
      <c r="C1257" s="4"/>
      <c r="D1257" s="4"/>
      <c r="E1257" s="4"/>
      <c r="F1257" s="4"/>
      <c r="G1257" s="4"/>
      <c r="H1257" s="4"/>
      <c r="I1257" s="4"/>
      <c r="J1257" s="4"/>
      <c r="K1257" s="4"/>
      <c r="L1257" s="4"/>
      <c r="M1257" s="4"/>
      <c r="N1257" s="4"/>
    </row>
    <row r="1258" spans="2:14" ht="13">
      <c r="B1258" s="4"/>
      <c r="C1258" s="4"/>
      <c r="D1258" s="4"/>
      <c r="E1258" s="4"/>
      <c r="F1258" s="4"/>
      <c r="G1258" s="4"/>
      <c r="H1258" s="4"/>
      <c r="I1258" s="4"/>
      <c r="J1258" s="4"/>
      <c r="K1258" s="4"/>
      <c r="L1258" s="4"/>
      <c r="M1258" s="4"/>
      <c r="N1258" s="4"/>
    </row>
    <row r="1259" spans="2:14" ht="13">
      <c r="B1259" s="4"/>
      <c r="C1259" s="4"/>
      <c r="D1259" s="4"/>
      <c r="E1259" s="4"/>
      <c r="F1259" s="4"/>
      <c r="G1259" s="4"/>
      <c r="H1259" s="4"/>
      <c r="I1259" s="4"/>
      <c r="J1259" s="4"/>
      <c r="K1259" s="4"/>
      <c r="L1259" s="4"/>
      <c r="M1259" s="4"/>
      <c r="N1259" s="4"/>
    </row>
    <row r="1260" spans="2:14" ht="13">
      <c r="B1260" s="4"/>
      <c r="C1260" s="4"/>
      <c r="D1260" s="4"/>
      <c r="E1260" s="4"/>
      <c r="F1260" s="4"/>
      <c r="G1260" s="4"/>
      <c r="H1260" s="4"/>
      <c r="I1260" s="4"/>
      <c r="J1260" s="4"/>
      <c r="K1260" s="4"/>
      <c r="L1260" s="4"/>
      <c r="M1260" s="4"/>
      <c r="N1260" s="4"/>
    </row>
    <row r="1261" spans="2:14" ht="13">
      <c r="B1261" s="4"/>
      <c r="C1261" s="4"/>
      <c r="D1261" s="4"/>
      <c r="E1261" s="4"/>
      <c r="F1261" s="4"/>
      <c r="G1261" s="4"/>
      <c r="H1261" s="4"/>
      <c r="I1261" s="4"/>
      <c r="J1261" s="4"/>
      <c r="K1261" s="4"/>
      <c r="L1261" s="4"/>
      <c r="M1261" s="4"/>
      <c r="N1261" s="4"/>
    </row>
    <row r="1262" spans="2:14" ht="13">
      <c r="B1262" s="4"/>
      <c r="C1262" s="4"/>
      <c r="D1262" s="4"/>
      <c r="E1262" s="4"/>
      <c r="F1262" s="4"/>
      <c r="G1262" s="4"/>
      <c r="H1262" s="4"/>
      <c r="I1262" s="4"/>
      <c r="J1262" s="4"/>
      <c r="K1262" s="4"/>
      <c r="L1262" s="4"/>
      <c r="M1262" s="4"/>
      <c r="N1262" s="4"/>
    </row>
    <row r="1263" spans="2:14" ht="13">
      <c r="B1263" s="4"/>
      <c r="C1263" s="4"/>
      <c r="D1263" s="4"/>
      <c r="E1263" s="4"/>
      <c r="F1263" s="4"/>
      <c r="G1263" s="4"/>
      <c r="H1263" s="4"/>
      <c r="I1263" s="4"/>
      <c r="J1263" s="4"/>
      <c r="K1263" s="4"/>
      <c r="L1263" s="4"/>
      <c r="M1263" s="4"/>
      <c r="N1263" s="4"/>
    </row>
    <row r="1264" spans="2:14" ht="13">
      <c r="B1264" s="4"/>
      <c r="C1264" s="4"/>
      <c r="D1264" s="4"/>
      <c r="E1264" s="4"/>
      <c r="F1264" s="4"/>
      <c r="G1264" s="4"/>
      <c r="H1264" s="4"/>
      <c r="I1264" s="4"/>
      <c r="J1264" s="4"/>
      <c r="K1264" s="4"/>
      <c r="L1264" s="4"/>
      <c r="M1264" s="4"/>
      <c r="N1264" s="4"/>
    </row>
    <row r="1265" spans="2:14" ht="13">
      <c r="B1265" s="4"/>
      <c r="C1265" s="4"/>
      <c r="D1265" s="4"/>
      <c r="E1265" s="4"/>
      <c r="F1265" s="4"/>
      <c r="G1265" s="4"/>
      <c r="H1265" s="4"/>
      <c r="I1265" s="4"/>
      <c r="J1265" s="4"/>
      <c r="K1265" s="4"/>
      <c r="L1265" s="4"/>
      <c r="M1265" s="4"/>
      <c r="N1265" s="4"/>
    </row>
    <row r="1266" spans="2:14" ht="13">
      <c r="B1266" s="4"/>
      <c r="C1266" s="4"/>
      <c r="D1266" s="4"/>
      <c r="E1266" s="4"/>
      <c r="F1266" s="4"/>
      <c r="G1266" s="4"/>
      <c r="H1266" s="4"/>
      <c r="I1266" s="4"/>
      <c r="J1266" s="4"/>
      <c r="K1266" s="4"/>
      <c r="L1266" s="4"/>
      <c r="M1266" s="4"/>
      <c r="N1266" s="4"/>
    </row>
    <row r="1267" spans="2:14" ht="13">
      <c r="B1267" s="4"/>
      <c r="C1267" s="4"/>
      <c r="D1267" s="4"/>
      <c r="E1267" s="4"/>
      <c r="F1267" s="4"/>
      <c r="G1267" s="4"/>
      <c r="H1267" s="4"/>
      <c r="I1267" s="4"/>
      <c r="J1267" s="4"/>
      <c r="K1267" s="4"/>
      <c r="L1267" s="4"/>
      <c r="M1267" s="4"/>
      <c r="N1267" s="4"/>
    </row>
    <row r="1268" spans="2:14" ht="13">
      <c r="B1268" s="4"/>
      <c r="C1268" s="4"/>
      <c r="D1268" s="4"/>
      <c r="E1268" s="4"/>
      <c r="F1268" s="4"/>
      <c r="G1268" s="4"/>
      <c r="H1268" s="4"/>
      <c r="I1268" s="4"/>
      <c r="J1268" s="4"/>
      <c r="K1268" s="4"/>
      <c r="L1268" s="4"/>
      <c r="M1268" s="4"/>
      <c r="N1268" s="4"/>
    </row>
    <row r="1269" spans="2:14" ht="13">
      <c r="B1269" s="4"/>
      <c r="C1269" s="4"/>
      <c r="D1269" s="4"/>
      <c r="E1269" s="4"/>
      <c r="F1269" s="4"/>
      <c r="G1269" s="4"/>
      <c r="H1269" s="4"/>
      <c r="I1269" s="4"/>
      <c r="J1269" s="4"/>
      <c r="K1269" s="4"/>
      <c r="L1269" s="4"/>
      <c r="M1269" s="4"/>
      <c r="N1269" s="4"/>
    </row>
    <row r="1270" spans="2:14" ht="13">
      <c r="B1270" s="4"/>
      <c r="C1270" s="4"/>
      <c r="D1270" s="4"/>
      <c r="E1270" s="4"/>
      <c r="F1270" s="4"/>
      <c r="G1270" s="4"/>
      <c r="H1270" s="4"/>
      <c r="I1270" s="4"/>
      <c r="J1270" s="4"/>
      <c r="K1270" s="4"/>
      <c r="L1270" s="4"/>
      <c r="M1270" s="4"/>
      <c r="N1270" s="4"/>
    </row>
    <row r="1271" spans="2:14" ht="13">
      <c r="B1271" s="4"/>
      <c r="C1271" s="4"/>
      <c r="D1271" s="4"/>
      <c r="E1271" s="4"/>
      <c r="F1271" s="4"/>
      <c r="G1271" s="4"/>
      <c r="H1271" s="4"/>
      <c r="I1271" s="4"/>
      <c r="J1271" s="4"/>
      <c r="K1271" s="4"/>
      <c r="L1271" s="4"/>
      <c r="M1271" s="4"/>
      <c r="N1271" s="4"/>
    </row>
    <row r="1272" spans="2:14" ht="13">
      <c r="B1272" s="4"/>
      <c r="C1272" s="4"/>
      <c r="D1272" s="4"/>
      <c r="E1272" s="4"/>
      <c r="F1272" s="4"/>
      <c r="G1272" s="4"/>
      <c r="H1272" s="4"/>
      <c r="I1272" s="4"/>
      <c r="J1272" s="4"/>
      <c r="K1272" s="4"/>
      <c r="L1272" s="4"/>
      <c r="M1272" s="4"/>
      <c r="N1272" s="4"/>
    </row>
    <row r="1273" spans="2:14" ht="13">
      <c r="B1273" s="4"/>
      <c r="C1273" s="4"/>
      <c r="D1273" s="4"/>
      <c r="E1273" s="4"/>
      <c r="F1273" s="4"/>
      <c r="G1273" s="4"/>
      <c r="H1273" s="4"/>
      <c r="I1273" s="4"/>
      <c r="J1273" s="4"/>
      <c r="K1273" s="4"/>
      <c r="L1273" s="4"/>
      <c r="M1273" s="4"/>
      <c r="N1273" s="4"/>
    </row>
    <row r="1274" spans="2:14" ht="13">
      <c r="B1274" s="4"/>
      <c r="C1274" s="4"/>
      <c r="D1274" s="4"/>
      <c r="E1274" s="4"/>
      <c r="F1274" s="4"/>
      <c r="G1274" s="4"/>
      <c r="H1274" s="4"/>
      <c r="I1274" s="4"/>
      <c r="J1274" s="4"/>
      <c r="K1274" s="4"/>
      <c r="L1274" s="4"/>
      <c r="M1274" s="4"/>
      <c r="N1274" s="4"/>
    </row>
    <row r="1275" spans="2:14" ht="13">
      <c r="B1275" s="4"/>
      <c r="C1275" s="4"/>
      <c r="D1275" s="4"/>
      <c r="E1275" s="4"/>
      <c r="F1275" s="4"/>
      <c r="G1275" s="4"/>
      <c r="H1275" s="4"/>
      <c r="I1275" s="4"/>
      <c r="J1275" s="4"/>
      <c r="K1275" s="4"/>
      <c r="L1275" s="4"/>
      <c r="M1275" s="4"/>
      <c r="N1275" s="4"/>
    </row>
    <row r="1276" spans="2:14" ht="13">
      <c r="B1276" s="4"/>
      <c r="C1276" s="4"/>
      <c r="D1276" s="4"/>
      <c r="E1276" s="4"/>
      <c r="F1276" s="4"/>
      <c r="G1276" s="4"/>
      <c r="H1276" s="4"/>
      <c r="I1276" s="4"/>
      <c r="J1276" s="4"/>
      <c r="K1276" s="4"/>
      <c r="L1276" s="4"/>
      <c r="M1276" s="4"/>
      <c r="N1276" s="4"/>
    </row>
    <row r="1277" spans="2:14" ht="13">
      <c r="B1277" s="4"/>
      <c r="C1277" s="4"/>
      <c r="D1277" s="4"/>
      <c r="E1277" s="4"/>
      <c r="F1277" s="4"/>
      <c r="G1277" s="4"/>
      <c r="H1277" s="4"/>
      <c r="I1277" s="4"/>
      <c r="J1277" s="4"/>
      <c r="K1277" s="4"/>
      <c r="L1277" s="4"/>
      <c r="M1277" s="4"/>
      <c r="N1277" s="4"/>
    </row>
    <row r="1278" spans="2:14" ht="13">
      <c r="B1278" s="4"/>
      <c r="C1278" s="4"/>
      <c r="D1278" s="4"/>
      <c r="E1278" s="4"/>
      <c r="F1278" s="4"/>
      <c r="G1278" s="4"/>
      <c r="H1278" s="4"/>
      <c r="I1278" s="4"/>
      <c r="J1278" s="4"/>
      <c r="K1278" s="4"/>
      <c r="L1278" s="4"/>
      <c r="M1278" s="4"/>
      <c r="N1278" s="4"/>
    </row>
    <row r="1279" spans="2:14" ht="13">
      <c r="B1279" s="4"/>
      <c r="C1279" s="4"/>
      <c r="D1279" s="4"/>
      <c r="E1279" s="4"/>
      <c r="F1279" s="4"/>
      <c r="G1279" s="4"/>
      <c r="H1279" s="4"/>
      <c r="I1279" s="4"/>
      <c r="J1279" s="4"/>
      <c r="K1279" s="4"/>
      <c r="L1279" s="4"/>
      <c r="M1279" s="4"/>
      <c r="N1279" s="4"/>
    </row>
    <row r="1280" spans="2:14" ht="13">
      <c r="B1280" s="4"/>
      <c r="C1280" s="4"/>
      <c r="D1280" s="4"/>
      <c r="E1280" s="4"/>
      <c r="F1280" s="4"/>
      <c r="G1280" s="4"/>
      <c r="H1280" s="4"/>
      <c r="I1280" s="4"/>
      <c r="J1280" s="4"/>
      <c r="K1280" s="4"/>
      <c r="L1280" s="4"/>
      <c r="M1280" s="4"/>
      <c r="N1280" s="4"/>
    </row>
    <row r="1281" spans="2:14" ht="13">
      <c r="B1281" s="4"/>
      <c r="C1281" s="4"/>
      <c r="D1281" s="4"/>
      <c r="E1281" s="4"/>
      <c r="F1281" s="4"/>
      <c r="G1281" s="4"/>
      <c r="H1281" s="4"/>
      <c r="I1281" s="4"/>
      <c r="J1281" s="4"/>
      <c r="K1281" s="4"/>
      <c r="L1281" s="4"/>
      <c r="M1281" s="4"/>
      <c r="N1281" s="4"/>
    </row>
    <row r="1282" spans="2:14" ht="13">
      <c r="B1282" s="4"/>
      <c r="C1282" s="4"/>
      <c r="D1282" s="4"/>
      <c r="E1282" s="4"/>
      <c r="F1282" s="4"/>
      <c r="G1282" s="4"/>
      <c r="H1282" s="4"/>
      <c r="I1282" s="4"/>
      <c r="J1282" s="4"/>
      <c r="K1282" s="4"/>
      <c r="L1282" s="4"/>
      <c r="M1282" s="4"/>
      <c r="N1282" s="4"/>
    </row>
    <row r="1283" spans="2:14" ht="13">
      <c r="B1283" s="4"/>
      <c r="C1283" s="4"/>
      <c r="D1283" s="4"/>
      <c r="E1283" s="4"/>
      <c r="F1283" s="4"/>
      <c r="G1283" s="4"/>
      <c r="H1283" s="4"/>
      <c r="I1283" s="4"/>
      <c r="J1283" s="4"/>
      <c r="K1283" s="4"/>
      <c r="L1283" s="4"/>
      <c r="M1283" s="4"/>
      <c r="N1283" s="4"/>
    </row>
    <row r="1284" spans="2:14" ht="13">
      <c r="B1284" s="4"/>
      <c r="C1284" s="4"/>
      <c r="D1284" s="4"/>
      <c r="E1284" s="4"/>
      <c r="F1284" s="4"/>
      <c r="G1284" s="4"/>
      <c r="H1284" s="4"/>
      <c r="I1284" s="4"/>
      <c r="J1284" s="4"/>
      <c r="K1284" s="4"/>
      <c r="L1284" s="4"/>
      <c r="M1284" s="4"/>
      <c r="N1284" s="4"/>
    </row>
    <row r="1285" spans="2:14" ht="13">
      <c r="B1285" s="4"/>
      <c r="C1285" s="4"/>
      <c r="D1285" s="4"/>
      <c r="E1285" s="4"/>
      <c r="F1285" s="4"/>
      <c r="G1285" s="4"/>
      <c r="H1285" s="4"/>
      <c r="I1285" s="4"/>
      <c r="J1285" s="4"/>
      <c r="K1285" s="4"/>
      <c r="L1285" s="4"/>
      <c r="M1285" s="4"/>
      <c r="N1285" s="4"/>
    </row>
    <row r="1286" spans="2:14" ht="13">
      <c r="B1286" s="4"/>
      <c r="C1286" s="4"/>
      <c r="D1286" s="4"/>
      <c r="E1286" s="4"/>
      <c r="F1286" s="4"/>
      <c r="G1286" s="4"/>
      <c r="H1286" s="4"/>
      <c r="I1286" s="4"/>
      <c r="J1286" s="4"/>
      <c r="K1286" s="4"/>
      <c r="L1286" s="4"/>
      <c r="M1286" s="4"/>
      <c r="N1286" s="4"/>
    </row>
    <row r="1287" spans="2:14" ht="13">
      <c r="B1287" s="4"/>
      <c r="C1287" s="4"/>
      <c r="D1287" s="4"/>
      <c r="E1287" s="4"/>
      <c r="F1287" s="4"/>
      <c r="G1287" s="4"/>
      <c r="H1287" s="4"/>
      <c r="I1287" s="4"/>
      <c r="J1287" s="4"/>
      <c r="K1287" s="4"/>
      <c r="L1287" s="4"/>
      <c r="M1287" s="4"/>
      <c r="N1287" s="4"/>
    </row>
    <row r="1288" spans="2:14" ht="13">
      <c r="B1288" s="4"/>
      <c r="C1288" s="4"/>
      <c r="D1288" s="4"/>
      <c r="E1288" s="4"/>
      <c r="F1288" s="4"/>
      <c r="G1288" s="4"/>
      <c r="H1288" s="4"/>
      <c r="I1288" s="4"/>
      <c r="J1288" s="4"/>
      <c r="K1288" s="4"/>
      <c r="L1288" s="4"/>
      <c r="M1288" s="4"/>
      <c r="N1288" s="4"/>
    </row>
    <row r="1289" spans="2:14" ht="13">
      <c r="B1289" s="4"/>
      <c r="C1289" s="4"/>
      <c r="D1289" s="4"/>
      <c r="E1289" s="4"/>
      <c r="F1289" s="4"/>
      <c r="G1289" s="4"/>
      <c r="H1289" s="4"/>
      <c r="I1289" s="4"/>
      <c r="J1289" s="4"/>
      <c r="K1289" s="4"/>
      <c r="L1289" s="4"/>
      <c r="M1289" s="4"/>
      <c r="N1289" s="4"/>
    </row>
    <row r="1290" spans="2:14" ht="13">
      <c r="B1290" s="4"/>
      <c r="C1290" s="4"/>
      <c r="D1290" s="4"/>
      <c r="E1290" s="4"/>
      <c r="F1290" s="4"/>
      <c r="G1290" s="4"/>
      <c r="H1290" s="4"/>
      <c r="I1290" s="4"/>
      <c r="J1290" s="4"/>
      <c r="K1290" s="4"/>
      <c r="L1290" s="4"/>
      <c r="M1290" s="4"/>
      <c r="N1290" s="4"/>
    </row>
    <row r="1291" spans="2:14" ht="13">
      <c r="B1291" s="4"/>
      <c r="C1291" s="4"/>
      <c r="D1291" s="4"/>
      <c r="E1291" s="4"/>
      <c r="F1291" s="4"/>
      <c r="G1291" s="4"/>
      <c r="H1291" s="4"/>
      <c r="I1291" s="4"/>
      <c r="J1291" s="4"/>
      <c r="K1291" s="4"/>
      <c r="L1291" s="4"/>
      <c r="M1291" s="4"/>
      <c r="N1291" s="4"/>
    </row>
    <row r="1292" spans="2:14" ht="13">
      <c r="B1292" s="4"/>
      <c r="C1292" s="4"/>
      <c r="D1292" s="4"/>
      <c r="E1292" s="4"/>
      <c r="F1292" s="4"/>
      <c r="G1292" s="4"/>
      <c r="H1292" s="4"/>
      <c r="I1292" s="4"/>
      <c r="J1292" s="4"/>
      <c r="K1292" s="4"/>
      <c r="L1292" s="4"/>
      <c r="M1292" s="4"/>
      <c r="N1292" s="4"/>
    </row>
    <row r="1293" spans="2:14" ht="13">
      <c r="B1293" s="4"/>
      <c r="C1293" s="4"/>
      <c r="D1293" s="4"/>
      <c r="E1293" s="4"/>
      <c r="F1293" s="4"/>
      <c r="G1293" s="4"/>
      <c r="H1293" s="4"/>
      <c r="I1293" s="4"/>
      <c r="J1293" s="4"/>
      <c r="K1293" s="4"/>
      <c r="L1293" s="4"/>
      <c r="M1293" s="4"/>
      <c r="N1293" s="4"/>
    </row>
    <row r="1294" spans="2:14" ht="13">
      <c r="B1294" s="4"/>
      <c r="C1294" s="4"/>
      <c r="D1294" s="4"/>
      <c r="E1294" s="4"/>
      <c r="F1294" s="4"/>
      <c r="G1294" s="4"/>
      <c r="H1294" s="4"/>
      <c r="I1294" s="4"/>
      <c r="J1294" s="4"/>
      <c r="K1294" s="4"/>
      <c r="L1294" s="4"/>
      <c r="M1294" s="4"/>
      <c r="N1294" s="4"/>
    </row>
    <row r="1295" spans="2:14" ht="13">
      <c r="B1295" s="4"/>
      <c r="C1295" s="4"/>
      <c r="D1295" s="4"/>
      <c r="E1295" s="4"/>
      <c r="F1295" s="4"/>
      <c r="G1295" s="4"/>
      <c r="H1295" s="4"/>
      <c r="I1295" s="4"/>
      <c r="J1295" s="4"/>
      <c r="K1295" s="4"/>
      <c r="L1295" s="4"/>
      <c r="M1295" s="4"/>
      <c r="N1295" s="4"/>
    </row>
    <row r="1296" spans="2:14" ht="13">
      <c r="B1296" s="4"/>
      <c r="C1296" s="4"/>
      <c r="D1296" s="4"/>
      <c r="E1296" s="4"/>
      <c r="F1296" s="4"/>
      <c r="G1296" s="4"/>
      <c r="H1296" s="4"/>
      <c r="I1296" s="4"/>
      <c r="J1296" s="4"/>
      <c r="K1296" s="4"/>
      <c r="L1296" s="4"/>
      <c r="M1296" s="4"/>
      <c r="N1296" s="4"/>
    </row>
    <row r="1297" spans="2:14" ht="13">
      <c r="B1297" s="4"/>
      <c r="C1297" s="4"/>
      <c r="D1297" s="4"/>
      <c r="E1297" s="4"/>
      <c r="F1297" s="4"/>
      <c r="G1297" s="4"/>
      <c r="H1297" s="4"/>
      <c r="I1297" s="4"/>
      <c r="J1297" s="4"/>
      <c r="K1297" s="4"/>
      <c r="L1297" s="4"/>
      <c r="M1297" s="4"/>
      <c r="N1297" s="4"/>
    </row>
    <row r="1298" spans="2:14" ht="13">
      <c r="B1298" s="4"/>
      <c r="C1298" s="4"/>
      <c r="D1298" s="4"/>
      <c r="E1298" s="4"/>
      <c r="F1298" s="4"/>
      <c r="G1298" s="4"/>
      <c r="H1298" s="4"/>
      <c r="I1298" s="4"/>
      <c r="J1298" s="4"/>
      <c r="K1298" s="4"/>
      <c r="L1298" s="4"/>
      <c r="M1298" s="4"/>
      <c r="N1298" s="4"/>
    </row>
    <row r="1299" spans="2:14" ht="13">
      <c r="B1299" s="4"/>
      <c r="C1299" s="4"/>
      <c r="D1299" s="4"/>
      <c r="E1299" s="4"/>
      <c r="F1299" s="4"/>
      <c r="G1299" s="4"/>
      <c r="H1299" s="4"/>
      <c r="I1299" s="4"/>
      <c r="J1299" s="4"/>
      <c r="K1299" s="4"/>
      <c r="L1299" s="4"/>
      <c r="M1299" s="4"/>
      <c r="N1299" s="4"/>
    </row>
    <row r="1300" spans="2:14" ht="13">
      <c r="B1300" s="4"/>
      <c r="C1300" s="4"/>
      <c r="D1300" s="4"/>
      <c r="E1300" s="4"/>
      <c r="F1300" s="4"/>
      <c r="G1300" s="4"/>
      <c r="H1300" s="4"/>
      <c r="I1300" s="4"/>
      <c r="J1300" s="4"/>
      <c r="K1300" s="4"/>
      <c r="L1300" s="4"/>
      <c r="M1300" s="4"/>
      <c r="N1300" s="4"/>
    </row>
    <row r="1301" spans="2:14" ht="13">
      <c r="B1301" s="4"/>
      <c r="C1301" s="4"/>
      <c r="D1301" s="4"/>
      <c r="E1301" s="4"/>
      <c r="F1301" s="4"/>
      <c r="G1301" s="4"/>
      <c r="H1301" s="4"/>
      <c r="I1301" s="4"/>
      <c r="J1301" s="4"/>
      <c r="K1301" s="4"/>
      <c r="L1301" s="4"/>
      <c r="M1301" s="4"/>
      <c r="N1301" s="4"/>
    </row>
    <row r="1302" spans="2:14" ht="13">
      <c r="B1302" s="4"/>
      <c r="C1302" s="4"/>
      <c r="D1302" s="4"/>
      <c r="E1302" s="4"/>
      <c r="F1302" s="4"/>
      <c r="G1302" s="4"/>
      <c r="H1302" s="4"/>
      <c r="I1302" s="4"/>
      <c r="J1302" s="4"/>
      <c r="K1302" s="4"/>
      <c r="L1302" s="4"/>
      <c r="M1302" s="4"/>
      <c r="N1302" s="4"/>
    </row>
    <row r="1303" spans="2:14" ht="13">
      <c r="B1303" s="4"/>
      <c r="C1303" s="4"/>
      <c r="D1303" s="4"/>
      <c r="E1303" s="4"/>
      <c r="F1303" s="4"/>
      <c r="G1303" s="4"/>
      <c r="H1303" s="4"/>
      <c r="I1303" s="4"/>
      <c r="J1303" s="4"/>
      <c r="K1303" s="4"/>
      <c r="L1303" s="4"/>
      <c r="M1303" s="4"/>
      <c r="N1303" s="4"/>
    </row>
    <row r="1304" spans="2:14" ht="13">
      <c r="B1304" s="4"/>
      <c r="C1304" s="4"/>
      <c r="D1304" s="4"/>
      <c r="E1304" s="4"/>
      <c r="F1304" s="4"/>
      <c r="G1304" s="4"/>
      <c r="H1304" s="4"/>
      <c r="I1304" s="4"/>
      <c r="J1304" s="4"/>
      <c r="K1304" s="4"/>
      <c r="L1304" s="4"/>
      <c r="M1304" s="4"/>
      <c r="N1304" s="4"/>
    </row>
    <row r="1305" spans="2:14" ht="13">
      <c r="B1305" s="4"/>
      <c r="C1305" s="4"/>
      <c r="D1305" s="4"/>
      <c r="E1305" s="4"/>
      <c r="F1305" s="4"/>
      <c r="G1305" s="4"/>
      <c r="H1305" s="4"/>
      <c r="I1305" s="4"/>
      <c r="J1305" s="4"/>
      <c r="K1305" s="4"/>
      <c r="L1305" s="4"/>
      <c r="M1305" s="4"/>
      <c r="N1305" s="4"/>
    </row>
    <row r="1306" spans="2:14" ht="13">
      <c r="B1306" s="4"/>
      <c r="C1306" s="4"/>
      <c r="D1306" s="4"/>
      <c r="E1306" s="4"/>
      <c r="F1306" s="4"/>
      <c r="G1306" s="4"/>
      <c r="H1306" s="4"/>
      <c r="I1306" s="4"/>
      <c r="J1306" s="4"/>
      <c r="K1306" s="4"/>
      <c r="L1306" s="4"/>
      <c r="M1306" s="4"/>
      <c r="N1306" s="4"/>
    </row>
    <row r="1307" spans="2:14" ht="13">
      <c r="B1307" s="4"/>
      <c r="C1307" s="4"/>
      <c r="D1307" s="4"/>
      <c r="E1307" s="4"/>
      <c r="F1307" s="4"/>
      <c r="G1307" s="4"/>
      <c r="H1307" s="4"/>
      <c r="I1307" s="4"/>
      <c r="J1307" s="4"/>
      <c r="K1307" s="4"/>
      <c r="L1307" s="4"/>
      <c r="M1307" s="4"/>
      <c r="N1307" s="4"/>
    </row>
    <row r="1308" spans="2:14" ht="13">
      <c r="B1308" s="4"/>
      <c r="C1308" s="4"/>
      <c r="D1308" s="4"/>
      <c r="E1308" s="4"/>
      <c r="F1308" s="4"/>
      <c r="G1308" s="4"/>
      <c r="H1308" s="4"/>
      <c r="I1308" s="4"/>
      <c r="J1308" s="4"/>
      <c r="K1308" s="4"/>
      <c r="L1308" s="4"/>
      <c r="M1308" s="4"/>
      <c r="N1308" s="4"/>
    </row>
    <row r="1309" spans="2:14" ht="13">
      <c r="B1309" s="4"/>
      <c r="C1309" s="4"/>
      <c r="D1309" s="4"/>
      <c r="E1309" s="4"/>
      <c r="F1309" s="4"/>
      <c r="G1309" s="4"/>
      <c r="H1309" s="4"/>
      <c r="I1309" s="4"/>
      <c r="J1309" s="4"/>
      <c r="K1309" s="4"/>
      <c r="L1309" s="4"/>
      <c r="M1309" s="4"/>
      <c r="N1309" s="4"/>
    </row>
    <row r="1310" spans="2:14" ht="13">
      <c r="B1310" s="4"/>
      <c r="C1310" s="4"/>
      <c r="D1310" s="4"/>
      <c r="E1310" s="4"/>
      <c r="F1310" s="4"/>
      <c r="G1310" s="4"/>
      <c r="H1310" s="4"/>
      <c r="I1310" s="4"/>
      <c r="J1310" s="4"/>
      <c r="K1310" s="4"/>
      <c r="L1310" s="4"/>
      <c r="M1310" s="4"/>
      <c r="N1310" s="4"/>
    </row>
    <row r="1311" spans="2:14" ht="13">
      <c r="B1311" s="4"/>
      <c r="C1311" s="4"/>
      <c r="D1311" s="4"/>
      <c r="E1311" s="4"/>
      <c r="F1311" s="4"/>
      <c r="G1311" s="4"/>
      <c r="H1311" s="4"/>
      <c r="I1311" s="4"/>
      <c r="J1311" s="4"/>
      <c r="K1311" s="4"/>
      <c r="L1311" s="4"/>
      <c r="M1311" s="4"/>
      <c r="N1311" s="4"/>
    </row>
    <row r="1312" spans="2:14" ht="13">
      <c r="B1312" s="4"/>
      <c r="C1312" s="4"/>
      <c r="D1312" s="4"/>
      <c r="E1312" s="4"/>
      <c r="F1312" s="4"/>
      <c r="G1312" s="4"/>
      <c r="H1312" s="4"/>
      <c r="I1312" s="4"/>
      <c r="J1312" s="4"/>
      <c r="K1312" s="4"/>
      <c r="L1312" s="4"/>
      <c r="M1312" s="4"/>
      <c r="N1312" s="4"/>
    </row>
    <row r="1313" spans="2:14" ht="13">
      <c r="B1313" s="4"/>
      <c r="C1313" s="4"/>
      <c r="D1313" s="4"/>
      <c r="E1313" s="4"/>
      <c r="F1313" s="4"/>
      <c r="G1313" s="4"/>
      <c r="H1313" s="4"/>
      <c r="I1313" s="4"/>
      <c r="J1313" s="4"/>
      <c r="K1313" s="4"/>
      <c r="L1313" s="4"/>
      <c r="M1313" s="4"/>
      <c r="N1313" s="4"/>
    </row>
    <row r="1314" spans="2:14" ht="13">
      <c r="B1314" s="4"/>
      <c r="C1314" s="4"/>
      <c r="D1314" s="4"/>
      <c r="E1314" s="4"/>
      <c r="F1314" s="4"/>
      <c r="G1314" s="4"/>
      <c r="H1314" s="4"/>
      <c r="I1314" s="4"/>
      <c r="J1314" s="4"/>
      <c r="K1314" s="4"/>
      <c r="L1314" s="4"/>
      <c r="M1314" s="4"/>
      <c r="N1314" s="4"/>
    </row>
    <row r="1315" spans="2:14" ht="13">
      <c r="B1315" s="4"/>
      <c r="C1315" s="4"/>
      <c r="D1315" s="4"/>
      <c r="E1315" s="4"/>
      <c r="F1315" s="4"/>
      <c r="G1315" s="4"/>
      <c r="H1315" s="4"/>
      <c r="I1315" s="4"/>
      <c r="J1315" s="4"/>
      <c r="K1315" s="4"/>
      <c r="L1315" s="4"/>
      <c r="M1315" s="4"/>
      <c r="N1315" s="4"/>
    </row>
    <row r="1316" spans="2:14" ht="13">
      <c r="B1316" s="4"/>
      <c r="C1316" s="4"/>
      <c r="D1316" s="4"/>
      <c r="E1316" s="4"/>
      <c r="F1316" s="4"/>
      <c r="G1316" s="4"/>
      <c r="H1316" s="4"/>
      <c r="I1316" s="4"/>
      <c r="J1316" s="4"/>
      <c r="K1316" s="4"/>
      <c r="L1316" s="4"/>
      <c r="M1316" s="4"/>
      <c r="N1316" s="4"/>
    </row>
    <row r="1317" spans="2:14" ht="13">
      <c r="B1317" s="4"/>
      <c r="C1317" s="4"/>
      <c r="D1317" s="4"/>
      <c r="E1317" s="4"/>
      <c r="F1317" s="4"/>
      <c r="G1317" s="4"/>
      <c r="H1317" s="4"/>
      <c r="I1317" s="4"/>
      <c r="J1317" s="4"/>
      <c r="K1317" s="4"/>
      <c r="L1317" s="4"/>
      <c r="M1317" s="4"/>
      <c r="N1317" s="4"/>
    </row>
    <row r="1318" spans="2:14" ht="13">
      <c r="B1318" s="4"/>
      <c r="C1318" s="4"/>
      <c r="D1318" s="4"/>
      <c r="E1318" s="4"/>
      <c r="F1318" s="4"/>
      <c r="G1318" s="4"/>
      <c r="H1318" s="4"/>
      <c r="I1318" s="4"/>
      <c r="J1318" s="4"/>
      <c r="K1318" s="4"/>
      <c r="L1318" s="4"/>
      <c r="M1318" s="4"/>
      <c r="N1318" s="4"/>
    </row>
    <row r="1319" spans="2:14" ht="13">
      <c r="B1319" s="4"/>
      <c r="C1319" s="4"/>
      <c r="D1319" s="4"/>
      <c r="E1319" s="4"/>
      <c r="F1319" s="4"/>
      <c r="G1319" s="4"/>
      <c r="H1319" s="4"/>
      <c r="I1319" s="4"/>
      <c r="J1319" s="4"/>
      <c r="K1319" s="4"/>
      <c r="L1319" s="4"/>
      <c r="M1319" s="4"/>
      <c r="N1319" s="4"/>
    </row>
    <row r="1320" spans="2:14" ht="13">
      <c r="B1320" s="4"/>
      <c r="C1320" s="4"/>
      <c r="D1320" s="4"/>
      <c r="E1320" s="4"/>
      <c r="F1320" s="4"/>
      <c r="G1320" s="4"/>
      <c r="H1320" s="4"/>
      <c r="I1320" s="4"/>
      <c r="J1320" s="4"/>
      <c r="K1320" s="4"/>
      <c r="L1320" s="4"/>
      <c r="M1320" s="4"/>
      <c r="N1320" s="4"/>
    </row>
    <row r="1321" spans="2:14" ht="13">
      <c r="B1321" s="4"/>
      <c r="C1321" s="4"/>
      <c r="D1321" s="4"/>
      <c r="E1321" s="4"/>
      <c r="F1321" s="4"/>
      <c r="G1321" s="4"/>
      <c r="H1321" s="4"/>
      <c r="I1321" s="4"/>
      <c r="J1321" s="4"/>
      <c r="K1321" s="4"/>
      <c r="L1321" s="4"/>
      <c r="M1321" s="4"/>
      <c r="N1321" s="4"/>
    </row>
    <row r="1322" spans="2:14" ht="13">
      <c r="B1322" s="4"/>
      <c r="C1322" s="4"/>
      <c r="D1322" s="4"/>
      <c r="E1322" s="4"/>
      <c r="F1322" s="4"/>
      <c r="G1322" s="4"/>
      <c r="H1322" s="4"/>
      <c r="I1322" s="4"/>
      <c r="J1322" s="4"/>
      <c r="K1322" s="4"/>
      <c r="L1322" s="4"/>
      <c r="M1322" s="4"/>
      <c r="N1322" s="4"/>
    </row>
    <row r="1323" spans="2:14" ht="13">
      <c r="B1323" s="4"/>
      <c r="C1323" s="4"/>
      <c r="D1323" s="4"/>
      <c r="E1323" s="4"/>
      <c r="F1323" s="4"/>
      <c r="G1323" s="4"/>
      <c r="H1323" s="4"/>
      <c r="I1323" s="4"/>
      <c r="J1323" s="4"/>
      <c r="K1323" s="4"/>
      <c r="L1323" s="4"/>
      <c r="M1323" s="4"/>
      <c r="N1323" s="4"/>
    </row>
    <row r="1324" spans="2:14" ht="13">
      <c r="B1324" s="4"/>
      <c r="C1324" s="4"/>
      <c r="D1324" s="4"/>
      <c r="E1324" s="4"/>
      <c r="F1324" s="4"/>
      <c r="G1324" s="4"/>
      <c r="H1324" s="4"/>
      <c r="I1324" s="4"/>
      <c r="J1324" s="4"/>
      <c r="K1324" s="4"/>
      <c r="L1324" s="4"/>
      <c r="M1324" s="4"/>
      <c r="N1324" s="4"/>
    </row>
    <row r="1325" spans="2:14" ht="13">
      <c r="B1325" s="4"/>
      <c r="C1325" s="4"/>
      <c r="D1325" s="4"/>
      <c r="E1325" s="4"/>
      <c r="F1325" s="4"/>
      <c r="G1325" s="4"/>
      <c r="H1325" s="4"/>
      <c r="I1325" s="4"/>
      <c r="J1325" s="4"/>
      <c r="K1325" s="4"/>
      <c r="L1325" s="4"/>
      <c r="M1325" s="4"/>
      <c r="N1325" s="4"/>
    </row>
    <row r="1326" spans="2:14" ht="13">
      <c r="B1326" s="4"/>
      <c r="C1326" s="4"/>
      <c r="D1326" s="4"/>
      <c r="E1326" s="4"/>
      <c r="F1326" s="4"/>
      <c r="G1326" s="4"/>
      <c r="H1326" s="4"/>
      <c r="I1326" s="4"/>
      <c r="J1326" s="4"/>
      <c r="K1326" s="4"/>
      <c r="L1326" s="4"/>
      <c r="M1326" s="4"/>
      <c r="N1326" s="4"/>
    </row>
    <row r="1327" spans="2:14" ht="13">
      <c r="B1327" s="4"/>
      <c r="C1327" s="4"/>
      <c r="D1327" s="4"/>
      <c r="E1327" s="4"/>
      <c r="F1327" s="4"/>
      <c r="G1327" s="4"/>
      <c r="H1327" s="4"/>
      <c r="I1327" s="4"/>
      <c r="J1327" s="4"/>
      <c r="K1327" s="4"/>
      <c r="L1327" s="4"/>
      <c r="M1327" s="4"/>
      <c r="N1327" s="4"/>
    </row>
    <row r="1328" spans="2:14" ht="13">
      <c r="B1328" s="4"/>
      <c r="C1328" s="4"/>
      <c r="D1328" s="4"/>
      <c r="E1328" s="4"/>
      <c r="F1328" s="4"/>
      <c r="G1328" s="4"/>
      <c r="H1328" s="4"/>
      <c r="I1328" s="4"/>
      <c r="J1328" s="4"/>
      <c r="K1328" s="4"/>
      <c r="L1328" s="4"/>
      <c r="M1328" s="4"/>
      <c r="N1328" s="4"/>
    </row>
    <row r="1329" spans="2:14" ht="13">
      <c r="B1329" s="4"/>
      <c r="C1329" s="4"/>
      <c r="D1329" s="4"/>
      <c r="E1329" s="4"/>
      <c r="F1329" s="4"/>
      <c r="G1329" s="4"/>
      <c r="H1329" s="4"/>
      <c r="I1329" s="4"/>
      <c r="J1329" s="4"/>
      <c r="K1329" s="4"/>
      <c r="L1329" s="4"/>
      <c r="M1329" s="4"/>
      <c r="N1329" s="4"/>
    </row>
    <row r="1330" spans="2:14" ht="13">
      <c r="B1330" s="4"/>
      <c r="C1330" s="4"/>
      <c r="D1330" s="4"/>
      <c r="E1330" s="4"/>
      <c r="F1330" s="4"/>
      <c r="G1330" s="4"/>
      <c r="H1330" s="4"/>
      <c r="I1330" s="4"/>
      <c r="J1330" s="4"/>
      <c r="K1330" s="4"/>
      <c r="L1330" s="4"/>
      <c r="M1330" s="4"/>
      <c r="N1330" s="4"/>
    </row>
    <row r="1331" spans="2:14" ht="13">
      <c r="B1331" s="4"/>
      <c r="C1331" s="4"/>
      <c r="D1331" s="4"/>
      <c r="E1331" s="4"/>
      <c r="F1331" s="4"/>
      <c r="G1331" s="4"/>
      <c r="H1331" s="4"/>
      <c r="I1331" s="4"/>
      <c r="J1331" s="4"/>
      <c r="K1331" s="4"/>
      <c r="L1331" s="4"/>
      <c r="M1331" s="4"/>
      <c r="N1331" s="4"/>
    </row>
    <row r="1332" spans="2:14" ht="13">
      <c r="B1332" s="4"/>
      <c r="C1332" s="4"/>
      <c r="D1332" s="4"/>
      <c r="E1332" s="4"/>
      <c r="F1332" s="4"/>
      <c r="G1332" s="4"/>
      <c r="H1332" s="4"/>
      <c r="I1332" s="4"/>
      <c r="J1332" s="4"/>
      <c r="K1332" s="4"/>
      <c r="L1332" s="4"/>
      <c r="M1332" s="4"/>
      <c r="N1332" s="4"/>
    </row>
    <row r="1333" spans="2:14" ht="13">
      <c r="B1333" s="4"/>
      <c r="C1333" s="4"/>
      <c r="D1333" s="4"/>
      <c r="E1333" s="4"/>
      <c r="F1333" s="4"/>
      <c r="G1333" s="4"/>
      <c r="H1333" s="4"/>
      <c r="I1333" s="4"/>
      <c r="J1333" s="4"/>
      <c r="K1333" s="4"/>
      <c r="L1333" s="4"/>
      <c r="M1333" s="4"/>
      <c r="N1333" s="4"/>
    </row>
    <row r="1334" spans="2:14" ht="13">
      <c r="B1334" s="4"/>
      <c r="C1334" s="4"/>
      <c r="D1334" s="4"/>
      <c r="E1334" s="4"/>
      <c r="F1334" s="4"/>
      <c r="G1334" s="4"/>
      <c r="H1334" s="4"/>
      <c r="I1334" s="4"/>
      <c r="J1334" s="4"/>
      <c r="K1334" s="4"/>
      <c r="L1334" s="4"/>
      <c r="M1334" s="4"/>
      <c r="N1334" s="4"/>
    </row>
    <row r="1335" spans="2:14" ht="13">
      <c r="B1335" s="4"/>
      <c r="C1335" s="4"/>
      <c r="D1335" s="4"/>
      <c r="E1335" s="4"/>
      <c r="F1335" s="4"/>
      <c r="G1335" s="4"/>
      <c r="H1335" s="4"/>
      <c r="I1335" s="4"/>
      <c r="J1335" s="4"/>
      <c r="K1335" s="4"/>
      <c r="L1335" s="4"/>
      <c r="M1335" s="4"/>
      <c r="N1335" s="4"/>
    </row>
    <row r="1336" spans="2:14" ht="13">
      <c r="B1336" s="4"/>
      <c r="C1336" s="4"/>
      <c r="D1336" s="4"/>
      <c r="E1336" s="4"/>
      <c r="F1336" s="4"/>
      <c r="G1336" s="4"/>
      <c r="H1336" s="4"/>
      <c r="I1336" s="4"/>
      <c r="J1336" s="4"/>
      <c r="K1336" s="4"/>
      <c r="L1336" s="4"/>
      <c r="M1336" s="4"/>
      <c r="N1336" s="4"/>
    </row>
    <row r="1337" spans="2:14" ht="13">
      <c r="B1337" s="4"/>
      <c r="C1337" s="4"/>
      <c r="D1337" s="4"/>
      <c r="E1337" s="4"/>
      <c r="F1337" s="4"/>
      <c r="G1337" s="4"/>
      <c r="H1337" s="4"/>
      <c r="I1337" s="4"/>
      <c r="J1337" s="4"/>
      <c r="K1337" s="4"/>
      <c r="L1337" s="4"/>
      <c r="M1337" s="4"/>
      <c r="N1337" s="4"/>
    </row>
    <row r="1338" spans="2:14" ht="13">
      <c r="B1338" s="4"/>
      <c r="C1338" s="4"/>
      <c r="D1338" s="4"/>
      <c r="E1338" s="4"/>
      <c r="F1338" s="4"/>
      <c r="G1338" s="4"/>
      <c r="H1338" s="4"/>
      <c r="I1338" s="4"/>
      <c r="J1338" s="4"/>
      <c r="K1338" s="4"/>
      <c r="L1338" s="4"/>
      <c r="M1338" s="4"/>
      <c r="N1338" s="4"/>
    </row>
    <row r="1339" spans="2:14" ht="13">
      <c r="B1339" s="4"/>
      <c r="C1339" s="4"/>
      <c r="D1339" s="4"/>
      <c r="E1339" s="4"/>
      <c r="F1339" s="4"/>
      <c r="G1339" s="4"/>
      <c r="H1339" s="4"/>
      <c r="I1339" s="4"/>
      <c r="J1339" s="4"/>
      <c r="K1339" s="4"/>
      <c r="L1339" s="4"/>
      <c r="M1339" s="4"/>
      <c r="N1339" s="4"/>
    </row>
    <row r="1340" spans="2:14" ht="13">
      <c r="B1340" s="4"/>
      <c r="C1340" s="4"/>
      <c r="D1340" s="4"/>
      <c r="E1340" s="4"/>
      <c r="F1340" s="4"/>
      <c r="G1340" s="4"/>
      <c r="H1340" s="4"/>
      <c r="I1340" s="4"/>
      <c r="J1340" s="4"/>
      <c r="K1340" s="4"/>
      <c r="L1340" s="4"/>
      <c r="M1340" s="4"/>
      <c r="N1340" s="4"/>
    </row>
    <row r="1341" spans="2:14" ht="13">
      <c r="B1341" s="4"/>
      <c r="C1341" s="4"/>
      <c r="D1341" s="4"/>
      <c r="E1341" s="4"/>
      <c r="F1341" s="4"/>
      <c r="G1341" s="4"/>
      <c r="H1341" s="4"/>
      <c r="I1341" s="4"/>
      <c r="J1341" s="4"/>
      <c r="K1341" s="4"/>
      <c r="L1341" s="4"/>
      <c r="M1341" s="4"/>
      <c r="N1341" s="4"/>
    </row>
    <row r="1342" spans="2:14" ht="13">
      <c r="B1342" s="4"/>
      <c r="C1342" s="4"/>
      <c r="D1342" s="4"/>
      <c r="E1342" s="4"/>
      <c r="F1342" s="4"/>
      <c r="G1342" s="4"/>
      <c r="H1342" s="4"/>
      <c r="I1342" s="4"/>
      <c r="J1342" s="4"/>
      <c r="K1342" s="4"/>
      <c r="L1342" s="4"/>
      <c r="M1342" s="4"/>
      <c r="N1342" s="4"/>
    </row>
    <row r="1343" spans="2:14" ht="13">
      <c r="B1343" s="4"/>
      <c r="C1343" s="4"/>
      <c r="D1343" s="4"/>
      <c r="E1343" s="4"/>
      <c r="F1343" s="4"/>
      <c r="G1343" s="4"/>
      <c r="H1343" s="4"/>
      <c r="I1343" s="4"/>
      <c r="J1343" s="4"/>
      <c r="K1343" s="4"/>
      <c r="L1343" s="4"/>
      <c r="M1343" s="4"/>
      <c r="N1343" s="4"/>
    </row>
    <row r="1344" spans="2:14" ht="13">
      <c r="B1344" s="4"/>
      <c r="C1344" s="4"/>
      <c r="D1344" s="4"/>
      <c r="E1344" s="4"/>
      <c r="F1344" s="4"/>
      <c r="G1344" s="4"/>
      <c r="H1344" s="4"/>
      <c r="I1344" s="4"/>
      <c r="J1344" s="4"/>
      <c r="K1344" s="4"/>
      <c r="L1344" s="4"/>
      <c r="M1344" s="4"/>
      <c r="N1344" s="4"/>
    </row>
    <row r="1345" spans="2:14" ht="13">
      <c r="B1345" s="4"/>
      <c r="C1345" s="4"/>
      <c r="D1345" s="4"/>
      <c r="E1345" s="4"/>
      <c r="F1345" s="4"/>
      <c r="G1345" s="4"/>
      <c r="H1345" s="4"/>
      <c r="I1345" s="4"/>
      <c r="J1345" s="4"/>
      <c r="K1345" s="4"/>
      <c r="L1345" s="4"/>
      <c r="M1345" s="4"/>
      <c r="N1345" s="4"/>
    </row>
    <row r="1346" spans="2:14" ht="13">
      <c r="B1346" s="4"/>
      <c r="C1346" s="4"/>
      <c r="D1346" s="4"/>
      <c r="E1346" s="4"/>
      <c r="F1346" s="4"/>
      <c r="G1346" s="4"/>
      <c r="H1346" s="4"/>
      <c r="I1346" s="4"/>
      <c r="J1346" s="4"/>
      <c r="K1346" s="4"/>
      <c r="L1346" s="4"/>
      <c r="M1346" s="4"/>
      <c r="N1346" s="4"/>
    </row>
    <row r="1347" spans="2:14" ht="13">
      <c r="B1347" s="4"/>
      <c r="C1347" s="4"/>
      <c r="D1347" s="4"/>
      <c r="E1347" s="4"/>
      <c r="F1347" s="4"/>
      <c r="G1347" s="4"/>
      <c r="H1347" s="4"/>
      <c r="I1347" s="4"/>
      <c r="J1347" s="4"/>
      <c r="K1347" s="4"/>
      <c r="L1347" s="4"/>
      <c r="M1347" s="4"/>
      <c r="N1347" s="4"/>
    </row>
    <row r="1348" spans="2:14" ht="13">
      <c r="B1348" s="4"/>
      <c r="C1348" s="4"/>
      <c r="D1348" s="4"/>
      <c r="E1348" s="4"/>
      <c r="F1348" s="4"/>
      <c r="G1348" s="4"/>
      <c r="H1348" s="4"/>
      <c r="I1348" s="4"/>
      <c r="J1348" s="4"/>
      <c r="K1348" s="4"/>
      <c r="L1348" s="4"/>
      <c r="M1348" s="4"/>
      <c r="N1348" s="4"/>
    </row>
    <row r="1349" spans="2:14" ht="13">
      <c r="B1349" s="4"/>
      <c r="C1349" s="4"/>
      <c r="D1349" s="4"/>
      <c r="E1349" s="4"/>
      <c r="F1349" s="4"/>
      <c r="G1349" s="4"/>
      <c r="H1349" s="4"/>
      <c r="I1349" s="4"/>
      <c r="J1349" s="4"/>
      <c r="K1349" s="4"/>
      <c r="L1349" s="4"/>
      <c r="M1349" s="4"/>
      <c r="N1349" s="4"/>
    </row>
    <row r="1350" spans="2:14" ht="13">
      <c r="B1350" s="4"/>
      <c r="C1350" s="4"/>
      <c r="D1350" s="4"/>
      <c r="E1350" s="4"/>
      <c r="F1350" s="4"/>
      <c r="G1350" s="4"/>
      <c r="H1350" s="4"/>
      <c r="I1350" s="4"/>
      <c r="J1350" s="4"/>
      <c r="K1350" s="4"/>
      <c r="L1350" s="4"/>
      <c r="M1350" s="4"/>
      <c r="N1350" s="4"/>
    </row>
    <row r="1351" spans="2:14" ht="13">
      <c r="B1351" s="4"/>
      <c r="C1351" s="4"/>
      <c r="D1351" s="4"/>
      <c r="E1351" s="4"/>
      <c r="F1351" s="4"/>
      <c r="G1351" s="4"/>
      <c r="H1351" s="4"/>
      <c r="I1351" s="4"/>
      <c r="J1351" s="4"/>
      <c r="K1351" s="4"/>
      <c r="L1351" s="4"/>
      <c r="M1351" s="4"/>
      <c r="N1351" s="4"/>
    </row>
    <row r="1352" spans="2:14" ht="13">
      <c r="B1352" s="4"/>
      <c r="C1352" s="4"/>
      <c r="D1352" s="4"/>
      <c r="E1352" s="4"/>
      <c r="F1352" s="4"/>
      <c r="G1352" s="4"/>
      <c r="H1352" s="4"/>
      <c r="I1352" s="4"/>
      <c r="J1352" s="4"/>
      <c r="K1352" s="4"/>
      <c r="L1352" s="4"/>
      <c r="M1352" s="4"/>
      <c r="N1352" s="4"/>
    </row>
    <row r="1353" spans="2:14" ht="13">
      <c r="B1353" s="4"/>
      <c r="C1353" s="4"/>
      <c r="D1353" s="4"/>
      <c r="E1353" s="4"/>
      <c r="F1353" s="4"/>
      <c r="G1353" s="4"/>
      <c r="H1353" s="4"/>
      <c r="I1353" s="4"/>
      <c r="J1353" s="4"/>
      <c r="K1353" s="4"/>
      <c r="L1353" s="4"/>
      <c r="M1353" s="4"/>
      <c r="N1353" s="4"/>
    </row>
    <row r="1354" spans="2:14" ht="13">
      <c r="B1354" s="4"/>
      <c r="C1354" s="4"/>
      <c r="D1354" s="4"/>
      <c r="E1354" s="4"/>
      <c r="F1354" s="4"/>
      <c r="G1354" s="4"/>
      <c r="H1354" s="4"/>
      <c r="I1354" s="4"/>
      <c r="J1354" s="4"/>
      <c r="K1354" s="4"/>
      <c r="L1354" s="4"/>
      <c r="M1354" s="4"/>
      <c r="N1354" s="4"/>
    </row>
    <row r="1355" spans="2:14" ht="13">
      <c r="B1355" s="4"/>
      <c r="C1355" s="4"/>
      <c r="D1355" s="4"/>
      <c r="E1355" s="4"/>
      <c r="F1355" s="4"/>
      <c r="G1355" s="4"/>
      <c r="H1355" s="4"/>
      <c r="I1355" s="4"/>
      <c r="J1355" s="4"/>
      <c r="K1355" s="4"/>
      <c r="L1355" s="4"/>
      <c r="M1355" s="4"/>
      <c r="N1355" s="4"/>
    </row>
    <row r="1356" spans="2:14" ht="13">
      <c r="B1356" s="4"/>
      <c r="C1356" s="4"/>
      <c r="D1356" s="4"/>
      <c r="E1356" s="4"/>
      <c r="F1356" s="4"/>
      <c r="G1356" s="4"/>
      <c r="H1356" s="4"/>
      <c r="I1356" s="4"/>
      <c r="J1356" s="4"/>
      <c r="K1356" s="4"/>
      <c r="L1356" s="4"/>
      <c r="M1356" s="4"/>
      <c r="N1356" s="4"/>
    </row>
    <row r="1357" spans="2:14" ht="13">
      <c r="B1357" s="4"/>
      <c r="C1357" s="4"/>
      <c r="D1357" s="4"/>
      <c r="E1357" s="4"/>
      <c r="F1357" s="4"/>
      <c r="G1357" s="4"/>
      <c r="H1357" s="4"/>
      <c r="I1357" s="4"/>
      <c r="J1357" s="4"/>
      <c r="K1357" s="4"/>
      <c r="L1357" s="4"/>
      <c r="M1357" s="4"/>
      <c r="N1357" s="4"/>
    </row>
    <row r="1358" spans="2:14" ht="13">
      <c r="B1358" s="4"/>
      <c r="C1358" s="4"/>
      <c r="D1358" s="4"/>
      <c r="E1358" s="4"/>
      <c r="F1358" s="4"/>
      <c r="G1358" s="4"/>
      <c r="H1358" s="4"/>
      <c r="I1358" s="4"/>
      <c r="J1358" s="4"/>
      <c r="K1358" s="4"/>
      <c r="L1358" s="4"/>
      <c r="M1358" s="4"/>
      <c r="N1358" s="4"/>
    </row>
    <row r="1359" spans="2:14" ht="13">
      <c r="B1359" s="4"/>
      <c r="C1359" s="4"/>
      <c r="D1359" s="4"/>
      <c r="E1359" s="4"/>
      <c r="F1359" s="4"/>
      <c r="G1359" s="4"/>
      <c r="H1359" s="4"/>
      <c r="I1359" s="4"/>
      <c r="J1359" s="4"/>
      <c r="K1359" s="4"/>
      <c r="L1359" s="4"/>
      <c r="M1359" s="4"/>
      <c r="N1359" s="4"/>
    </row>
    <row r="1360" spans="2:14" ht="13">
      <c r="B1360" s="4"/>
      <c r="C1360" s="4"/>
      <c r="D1360" s="4"/>
      <c r="E1360" s="4"/>
      <c r="F1360" s="4"/>
      <c r="G1360" s="4"/>
      <c r="H1360" s="4"/>
      <c r="I1360" s="4"/>
      <c r="J1360" s="4"/>
      <c r="K1360" s="4"/>
      <c r="L1360" s="4"/>
      <c r="M1360" s="4"/>
      <c r="N1360" s="4"/>
    </row>
    <row r="1361" spans="2:14" ht="13">
      <c r="B1361" s="4"/>
      <c r="C1361" s="4"/>
      <c r="D1361" s="4"/>
      <c r="E1361" s="4"/>
      <c r="F1361" s="4"/>
      <c r="G1361" s="4"/>
      <c r="H1361" s="4"/>
      <c r="I1361" s="4"/>
      <c r="J1361" s="4"/>
      <c r="K1361" s="4"/>
      <c r="L1361" s="4"/>
      <c r="M1361" s="4"/>
      <c r="N1361" s="4"/>
    </row>
    <row r="1362" spans="2:14" ht="13">
      <c r="B1362" s="4"/>
      <c r="C1362" s="4"/>
      <c r="D1362" s="4"/>
      <c r="E1362" s="4"/>
      <c r="F1362" s="4"/>
      <c r="G1362" s="4"/>
      <c r="H1362" s="4"/>
      <c r="I1362" s="4"/>
      <c r="J1362" s="4"/>
      <c r="K1362" s="4"/>
      <c r="L1362" s="4"/>
      <c r="M1362" s="4"/>
      <c r="N1362" s="4"/>
    </row>
    <row r="1363" spans="2:14" ht="13">
      <c r="B1363" s="4"/>
      <c r="C1363" s="4"/>
      <c r="D1363" s="4"/>
      <c r="E1363" s="4"/>
      <c r="F1363" s="4"/>
      <c r="G1363" s="4"/>
      <c r="H1363" s="4"/>
      <c r="I1363" s="4"/>
      <c r="J1363" s="4"/>
      <c r="K1363" s="4"/>
      <c r="L1363" s="4"/>
      <c r="M1363" s="4"/>
      <c r="N1363" s="4"/>
    </row>
    <row r="1364" spans="2:14" ht="13">
      <c r="B1364" s="4"/>
      <c r="C1364" s="4"/>
      <c r="D1364" s="4"/>
      <c r="E1364" s="4"/>
      <c r="F1364" s="4"/>
      <c r="G1364" s="4"/>
      <c r="H1364" s="4"/>
      <c r="I1364" s="4"/>
      <c r="J1364" s="4"/>
      <c r="K1364" s="4"/>
      <c r="L1364" s="4"/>
      <c r="M1364" s="4"/>
      <c r="N1364" s="4"/>
    </row>
    <row r="1365" spans="2:14" ht="13">
      <c r="B1365" s="4"/>
      <c r="C1365" s="4"/>
      <c r="D1365" s="4"/>
      <c r="E1365" s="4"/>
      <c r="F1365" s="4"/>
      <c r="G1365" s="4"/>
      <c r="H1365" s="4"/>
      <c r="I1365" s="4"/>
      <c r="J1365" s="4"/>
      <c r="K1365" s="4"/>
      <c r="L1365" s="4"/>
      <c r="M1365" s="4"/>
      <c r="N1365" s="4"/>
    </row>
    <row r="1366" spans="2:14" ht="13">
      <c r="B1366" s="4"/>
      <c r="C1366" s="4"/>
      <c r="D1366" s="4"/>
      <c r="E1366" s="4"/>
      <c r="F1366" s="4"/>
      <c r="G1366" s="4"/>
      <c r="H1366" s="4"/>
      <c r="I1366" s="4"/>
      <c r="J1366" s="4"/>
      <c r="K1366" s="4"/>
      <c r="L1366" s="4"/>
      <c r="M1366" s="4"/>
      <c r="N1366" s="4"/>
    </row>
    <row r="1367" spans="2:14" ht="13">
      <c r="B1367" s="4"/>
      <c r="C1367" s="4"/>
      <c r="D1367" s="4"/>
      <c r="E1367" s="4"/>
      <c r="F1367" s="4"/>
      <c r="G1367" s="4"/>
      <c r="H1367" s="4"/>
      <c r="I1367" s="4"/>
      <c r="J1367" s="4"/>
      <c r="K1367" s="4"/>
      <c r="L1367" s="4"/>
      <c r="M1367" s="4"/>
      <c r="N1367" s="4"/>
    </row>
    <row r="1368" spans="2:14" ht="13">
      <c r="B1368" s="4"/>
      <c r="C1368" s="4"/>
      <c r="D1368" s="4"/>
      <c r="E1368" s="4"/>
      <c r="F1368" s="4"/>
      <c r="G1368" s="4"/>
      <c r="H1368" s="4"/>
      <c r="I1368" s="4"/>
      <c r="J1368" s="4"/>
      <c r="K1368" s="4"/>
      <c r="L1368" s="4"/>
      <c r="M1368" s="4"/>
      <c r="N1368" s="4"/>
    </row>
    <row r="1369" spans="2:14" ht="13">
      <c r="B1369" s="4"/>
      <c r="C1369" s="4"/>
      <c r="D1369" s="4"/>
      <c r="E1369" s="4"/>
      <c r="F1369" s="4"/>
      <c r="G1369" s="4"/>
      <c r="H1369" s="4"/>
      <c r="I1369" s="4"/>
      <c r="J1369" s="4"/>
      <c r="K1369" s="4"/>
      <c r="L1369" s="4"/>
      <c r="M1369" s="4"/>
      <c r="N1369" s="4"/>
    </row>
    <row r="1370" spans="2:14" ht="13">
      <c r="B1370" s="4"/>
      <c r="C1370" s="4"/>
      <c r="D1370" s="4"/>
      <c r="E1370" s="4"/>
      <c r="F1370" s="4"/>
      <c r="G1370" s="4"/>
      <c r="H1370" s="4"/>
      <c r="I1370" s="4"/>
      <c r="J1370" s="4"/>
      <c r="K1370" s="4"/>
      <c r="L1370" s="4"/>
      <c r="M1370" s="4"/>
      <c r="N1370" s="4"/>
    </row>
    <row r="1371" spans="2:14" ht="13">
      <c r="B1371" s="4"/>
      <c r="C1371" s="4"/>
      <c r="D1371" s="4"/>
      <c r="E1371" s="4"/>
      <c r="F1371" s="4"/>
      <c r="G1371" s="4"/>
      <c r="H1371" s="4"/>
      <c r="I1371" s="4"/>
      <c r="J1371" s="4"/>
      <c r="K1371" s="4"/>
      <c r="L1371" s="4"/>
      <c r="M1371" s="4"/>
      <c r="N1371" s="4"/>
    </row>
    <row r="1372" spans="2:14" ht="13">
      <c r="B1372" s="4"/>
      <c r="C1372" s="4"/>
      <c r="D1372" s="4"/>
      <c r="E1372" s="4"/>
      <c r="F1372" s="4"/>
      <c r="G1372" s="4"/>
      <c r="H1372" s="4"/>
      <c r="I1372" s="4"/>
      <c r="J1372" s="4"/>
      <c r="K1372" s="4"/>
      <c r="L1372" s="4"/>
      <c r="M1372" s="4"/>
      <c r="N1372" s="4"/>
    </row>
    <row r="1373" spans="2:14" ht="13">
      <c r="B1373" s="4"/>
      <c r="C1373" s="4"/>
      <c r="D1373" s="4"/>
      <c r="E1373" s="4"/>
      <c r="F1373" s="4"/>
      <c r="G1373" s="4"/>
      <c r="H1373" s="4"/>
      <c r="I1373" s="4"/>
      <c r="J1373" s="4"/>
      <c r="K1373" s="4"/>
      <c r="L1373" s="4"/>
      <c r="M1373" s="4"/>
      <c r="N1373" s="4"/>
    </row>
    <row r="1374" spans="2:14" ht="13">
      <c r="B1374" s="4"/>
      <c r="C1374" s="4"/>
      <c r="D1374" s="4"/>
      <c r="E1374" s="4"/>
      <c r="F1374" s="4"/>
      <c r="G1374" s="4"/>
      <c r="H1374" s="4"/>
      <c r="I1374" s="4"/>
      <c r="J1374" s="4"/>
      <c r="K1374" s="4"/>
      <c r="L1374" s="4"/>
      <c r="M1374" s="4"/>
      <c r="N1374" s="4"/>
    </row>
    <row r="1375" spans="2:14" ht="13">
      <c r="B1375" s="4"/>
      <c r="C1375" s="4"/>
      <c r="D1375" s="4"/>
      <c r="E1375" s="4"/>
      <c r="F1375" s="4"/>
      <c r="G1375" s="4"/>
      <c r="H1375" s="4"/>
      <c r="I1375" s="4"/>
      <c r="J1375" s="4"/>
      <c r="K1375" s="4"/>
      <c r="L1375" s="4"/>
      <c r="M1375" s="4"/>
      <c r="N1375" s="4"/>
    </row>
    <row r="1376" spans="2:14" ht="13">
      <c r="B1376" s="4"/>
      <c r="C1376" s="4"/>
      <c r="D1376" s="4"/>
      <c r="E1376" s="4"/>
      <c r="F1376" s="4"/>
      <c r="G1376" s="4"/>
      <c r="H1376" s="4"/>
      <c r="I1376" s="4"/>
      <c r="J1376" s="4"/>
      <c r="K1376" s="4"/>
      <c r="L1376" s="4"/>
      <c r="M1376" s="4"/>
      <c r="N1376" s="4"/>
    </row>
    <row r="1377" spans="2:14" ht="13">
      <c r="B1377" s="4"/>
      <c r="C1377" s="4"/>
      <c r="D1377" s="4"/>
      <c r="E1377" s="4"/>
      <c r="F1377" s="4"/>
      <c r="G1377" s="4"/>
      <c r="H1377" s="4"/>
      <c r="I1377" s="4"/>
      <c r="J1377" s="4"/>
      <c r="K1377" s="4"/>
      <c r="L1377" s="4"/>
      <c r="M1377" s="4"/>
      <c r="N1377" s="4"/>
    </row>
    <row r="1378" spans="2:14" ht="13">
      <c r="B1378" s="4"/>
      <c r="C1378" s="4"/>
      <c r="D1378" s="4"/>
      <c r="E1378" s="4"/>
      <c r="F1378" s="4"/>
      <c r="G1378" s="4"/>
      <c r="H1378" s="4"/>
      <c r="I1378" s="4"/>
      <c r="J1378" s="4"/>
      <c r="K1378" s="4"/>
      <c r="L1378" s="4"/>
      <c r="M1378" s="4"/>
      <c r="N1378" s="4"/>
    </row>
    <row r="1379" spans="2:14" ht="13">
      <c r="B1379" s="4"/>
      <c r="C1379" s="4"/>
      <c r="D1379" s="4"/>
      <c r="E1379" s="4"/>
      <c r="F1379" s="4"/>
      <c r="G1379" s="4"/>
      <c r="H1379" s="4"/>
      <c r="I1379" s="4"/>
      <c r="J1379" s="4"/>
      <c r="K1379" s="4"/>
      <c r="L1379" s="4"/>
      <c r="M1379" s="4"/>
      <c r="N1379" s="4"/>
    </row>
    <row r="1380" spans="2:14" ht="13">
      <c r="B1380" s="4"/>
      <c r="C1380" s="4"/>
      <c r="D1380" s="4"/>
      <c r="E1380" s="4"/>
      <c r="F1380" s="4"/>
      <c r="G1380" s="4"/>
      <c r="H1380" s="4"/>
      <c r="I1380" s="4"/>
      <c r="J1380" s="4"/>
      <c r="K1380" s="4"/>
      <c r="L1380" s="4"/>
      <c r="M1380" s="4"/>
      <c r="N1380" s="4"/>
    </row>
    <row r="1381" spans="2:14" ht="13">
      <c r="B1381" s="4"/>
      <c r="C1381" s="4"/>
      <c r="D1381" s="4"/>
      <c r="E1381" s="4"/>
      <c r="F1381" s="4"/>
      <c r="G1381" s="4"/>
      <c r="H1381" s="4"/>
      <c r="I1381" s="4"/>
      <c r="J1381" s="4"/>
      <c r="K1381" s="4"/>
      <c r="L1381" s="4"/>
      <c r="M1381" s="4"/>
      <c r="N1381" s="4"/>
    </row>
    <row r="1382" spans="2:14" ht="13">
      <c r="B1382" s="4"/>
      <c r="C1382" s="4"/>
      <c r="D1382" s="4"/>
      <c r="E1382" s="4"/>
      <c r="F1382" s="4"/>
      <c r="G1382" s="4"/>
      <c r="H1382" s="4"/>
      <c r="I1382" s="4"/>
      <c r="J1382" s="4"/>
      <c r="K1382" s="4"/>
      <c r="L1382" s="4"/>
      <c r="M1382" s="4"/>
      <c r="N1382" s="4"/>
    </row>
    <row r="1383" spans="2:14" ht="13">
      <c r="B1383" s="4"/>
      <c r="C1383" s="4"/>
      <c r="D1383" s="4"/>
      <c r="E1383" s="4"/>
      <c r="F1383" s="4"/>
      <c r="G1383" s="4"/>
      <c r="H1383" s="4"/>
      <c r="I1383" s="4"/>
      <c r="J1383" s="4"/>
      <c r="K1383" s="4"/>
      <c r="L1383" s="4"/>
      <c r="M1383" s="4"/>
      <c r="N1383" s="4"/>
    </row>
    <row r="1384" spans="2:14" ht="13">
      <c r="B1384" s="4"/>
      <c r="C1384" s="4"/>
      <c r="D1384" s="4"/>
      <c r="E1384" s="4"/>
      <c r="F1384" s="4"/>
      <c r="G1384" s="4"/>
      <c r="H1384" s="4"/>
      <c r="I1384" s="4"/>
      <c r="J1384" s="4"/>
      <c r="K1384" s="4"/>
      <c r="L1384" s="4"/>
      <c r="M1384" s="4"/>
      <c r="N1384" s="4"/>
    </row>
    <row r="1385" spans="2:14" ht="13">
      <c r="B1385" s="4"/>
      <c r="C1385" s="4"/>
      <c r="D1385" s="4"/>
      <c r="E1385" s="4"/>
      <c r="F1385" s="4"/>
      <c r="G1385" s="4"/>
      <c r="H1385" s="4"/>
      <c r="I1385" s="4"/>
      <c r="J1385" s="4"/>
      <c r="K1385" s="4"/>
      <c r="L1385" s="4"/>
      <c r="M1385" s="4"/>
      <c r="N1385" s="4"/>
    </row>
    <row r="1386" spans="2:14" ht="13">
      <c r="B1386" s="4"/>
      <c r="C1386" s="4"/>
      <c r="D1386" s="4"/>
      <c r="E1386" s="4"/>
      <c r="F1386" s="4"/>
      <c r="G1386" s="4"/>
      <c r="H1386" s="4"/>
      <c r="I1386" s="4"/>
      <c r="J1386" s="4"/>
      <c r="K1386" s="4"/>
      <c r="L1386" s="4"/>
      <c r="M1386" s="4"/>
      <c r="N1386" s="4"/>
    </row>
    <row r="1387" spans="2:14" ht="13">
      <c r="B1387" s="4"/>
      <c r="C1387" s="4"/>
      <c r="D1387" s="4"/>
      <c r="E1387" s="4"/>
      <c r="F1387" s="4"/>
      <c r="G1387" s="4"/>
      <c r="H1387" s="4"/>
      <c r="I1387" s="4"/>
      <c r="J1387" s="4"/>
      <c r="K1387" s="4"/>
      <c r="L1387" s="4"/>
      <c r="M1387" s="4"/>
      <c r="N1387" s="4"/>
    </row>
    <row r="1388" spans="2:14" ht="13">
      <c r="B1388" s="4"/>
      <c r="C1388" s="4"/>
      <c r="D1388" s="4"/>
      <c r="E1388" s="4"/>
      <c r="F1388" s="4"/>
      <c r="G1388" s="4"/>
      <c r="H1388" s="4"/>
      <c r="I1388" s="4"/>
      <c r="J1388" s="4"/>
      <c r="K1388" s="4"/>
      <c r="L1388" s="4"/>
      <c r="M1388" s="4"/>
      <c r="N1388" s="4"/>
    </row>
    <row r="1389" spans="2:14" ht="13">
      <c r="B1389" s="4"/>
      <c r="C1389" s="4"/>
      <c r="D1389" s="4"/>
      <c r="E1389" s="4"/>
      <c r="F1389" s="4"/>
      <c r="G1389" s="4"/>
      <c r="H1389" s="4"/>
      <c r="I1389" s="4"/>
      <c r="J1389" s="4"/>
      <c r="K1389" s="4"/>
      <c r="L1389" s="4"/>
      <c r="M1389" s="4"/>
      <c r="N1389" s="4"/>
    </row>
    <row r="1390" spans="2:14" ht="13">
      <c r="B1390" s="4"/>
      <c r="C1390" s="4"/>
      <c r="D1390" s="4"/>
      <c r="E1390" s="4"/>
      <c r="F1390" s="4"/>
      <c r="G1390" s="4"/>
      <c r="H1390" s="4"/>
      <c r="I1390" s="4"/>
      <c r="J1390" s="4"/>
      <c r="K1390" s="4"/>
      <c r="L1390" s="4"/>
      <c r="M1390" s="4"/>
      <c r="N1390" s="4"/>
    </row>
    <row r="1391" spans="2:14" ht="13">
      <c r="B1391" s="4"/>
      <c r="C1391" s="4"/>
      <c r="D1391" s="4"/>
      <c r="E1391" s="4"/>
      <c r="F1391" s="4"/>
      <c r="G1391" s="4"/>
      <c r="H1391" s="4"/>
      <c r="I1391" s="4"/>
      <c r="J1391" s="4"/>
      <c r="K1391" s="4"/>
      <c r="L1391" s="4"/>
      <c r="M1391" s="4"/>
      <c r="N1391" s="4"/>
    </row>
    <row r="1392" spans="2:14" ht="13">
      <c r="B1392" s="4"/>
      <c r="C1392" s="4"/>
      <c r="D1392" s="4"/>
      <c r="E1392" s="4"/>
      <c r="F1392" s="4"/>
      <c r="G1392" s="4"/>
      <c r="H1392" s="4"/>
      <c r="I1392" s="4"/>
      <c r="J1392" s="4"/>
      <c r="K1392" s="4"/>
      <c r="L1392" s="4"/>
      <c r="M1392" s="4"/>
      <c r="N1392" s="4"/>
    </row>
    <row r="1393" spans="2:14" ht="13">
      <c r="B1393" s="4"/>
      <c r="C1393" s="4"/>
      <c r="D1393" s="4"/>
      <c r="E1393" s="4"/>
      <c r="F1393" s="4"/>
      <c r="G1393" s="4"/>
      <c r="H1393" s="4"/>
      <c r="I1393" s="4"/>
      <c r="J1393" s="4"/>
      <c r="K1393" s="4"/>
      <c r="L1393" s="4"/>
      <c r="M1393" s="4"/>
      <c r="N1393" s="4"/>
    </row>
    <row r="1394" spans="2:14" ht="13">
      <c r="B1394" s="4"/>
      <c r="C1394" s="4"/>
      <c r="D1394" s="4"/>
      <c r="E1394" s="4"/>
      <c r="F1394" s="4"/>
      <c r="G1394" s="4"/>
      <c r="H1394" s="4"/>
      <c r="I1394" s="4"/>
      <c r="J1394" s="4"/>
      <c r="K1394" s="4"/>
      <c r="L1394" s="4"/>
      <c r="M1394" s="4"/>
      <c r="N1394" s="4"/>
    </row>
    <row r="1395" spans="2:14" ht="13">
      <c r="B1395" s="4"/>
      <c r="C1395" s="4"/>
      <c r="D1395" s="4"/>
      <c r="E1395" s="4"/>
      <c r="F1395" s="4"/>
      <c r="G1395" s="4"/>
      <c r="H1395" s="4"/>
      <c r="I1395" s="4"/>
      <c r="J1395" s="4"/>
      <c r="K1395" s="4"/>
      <c r="L1395" s="4"/>
      <c r="M1395" s="4"/>
      <c r="N1395" s="4"/>
    </row>
    <row r="1396" spans="2:14" ht="13">
      <c r="B1396" s="4"/>
      <c r="C1396" s="4"/>
      <c r="D1396" s="4"/>
      <c r="E1396" s="4"/>
      <c r="F1396" s="4"/>
      <c r="G1396" s="4"/>
      <c r="H1396" s="4"/>
      <c r="I1396" s="4"/>
      <c r="J1396" s="4"/>
      <c r="K1396" s="4"/>
      <c r="L1396" s="4"/>
      <c r="M1396" s="4"/>
      <c r="N1396" s="4"/>
    </row>
    <row r="1397" spans="2:14" ht="13">
      <c r="B1397" s="4"/>
      <c r="C1397" s="4"/>
      <c r="D1397" s="4"/>
      <c r="E1397" s="4"/>
      <c r="F1397" s="4"/>
      <c r="G1397" s="4"/>
      <c r="H1397" s="4"/>
      <c r="I1397" s="4"/>
      <c r="J1397" s="4"/>
      <c r="K1397" s="4"/>
      <c r="L1397" s="4"/>
      <c r="M1397" s="4"/>
      <c r="N1397" s="4"/>
    </row>
    <row r="1398" spans="2:14" ht="13">
      <c r="B1398" s="4"/>
      <c r="C1398" s="4"/>
      <c r="D1398" s="4"/>
      <c r="E1398" s="4"/>
      <c r="F1398" s="4"/>
      <c r="G1398" s="4"/>
      <c r="H1398" s="4"/>
      <c r="I1398" s="4"/>
      <c r="J1398" s="4"/>
      <c r="K1398" s="4"/>
      <c r="L1398" s="4"/>
      <c r="M1398" s="4"/>
      <c r="N1398" s="4"/>
    </row>
    <row r="1399" spans="2:14" ht="13">
      <c r="B1399" s="4"/>
      <c r="C1399" s="4"/>
      <c r="D1399" s="4"/>
      <c r="E1399" s="4"/>
      <c r="F1399" s="4"/>
      <c r="G1399" s="4"/>
      <c r="H1399" s="4"/>
      <c r="I1399" s="4"/>
      <c r="J1399" s="4"/>
      <c r="K1399" s="4"/>
      <c r="L1399" s="4"/>
      <c r="M1399" s="4"/>
      <c r="N1399" s="4"/>
    </row>
    <row r="1400" spans="2:14" ht="13">
      <c r="B1400" s="4"/>
      <c r="C1400" s="4"/>
      <c r="D1400" s="4"/>
      <c r="E1400" s="4"/>
      <c r="F1400" s="4"/>
      <c r="G1400" s="4"/>
      <c r="H1400" s="4"/>
      <c r="I1400" s="4"/>
      <c r="J1400" s="4"/>
      <c r="K1400" s="4"/>
      <c r="L1400" s="4"/>
      <c r="M1400" s="4"/>
      <c r="N1400" s="4"/>
    </row>
    <row r="1401" spans="2:14" ht="13">
      <c r="B1401" s="4"/>
      <c r="C1401" s="4"/>
      <c r="D1401" s="4"/>
      <c r="E1401" s="4"/>
      <c r="F1401" s="4"/>
      <c r="G1401" s="4"/>
      <c r="H1401" s="4"/>
      <c r="I1401" s="4"/>
      <c r="J1401" s="4"/>
      <c r="K1401" s="4"/>
      <c r="L1401" s="4"/>
      <c r="M1401" s="4"/>
      <c r="N1401" s="4"/>
    </row>
    <row r="1402" spans="2:14" ht="13">
      <c r="B1402" s="4"/>
      <c r="C1402" s="4"/>
      <c r="D1402" s="4"/>
      <c r="E1402" s="4"/>
      <c r="F1402" s="4"/>
      <c r="G1402" s="4"/>
      <c r="H1402" s="4"/>
      <c r="I1402" s="4"/>
      <c r="J1402" s="4"/>
      <c r="K1402" s="4"/>
      <c r="L1402" s="4"/>
      <c r="M1402" s="4"/>
      <c r="N1402" s="4"/>
    </row>
    <row r="1403" spans="2:14" ht="13">
      <c r="B1403" s="4"/>
      <c r="C1403" s="4"/>
      <c r="D1403" s="4"/>
      <c r="E1403" s="4"/>
      <c r="F1403" s="4"/>
      <c r="G1403" s="4"/>
      <c r="H1403" s="4"/>
      <c r="I1403" s="4"/>
      <c r="J1403" s="4"/>
      <c r="K1403" s="4"/>
      <c r="L1403" s="4"/>
      <c r="M1403" s="4"/>
      <c r="N1403" s="4"/>
    </row>
    <row r="1404" spans="2:14" ht="13">
      <c r="B1404" s="4"/>
      <c r="C1404" s="4"/>
      <c r="D1404" s="4"/>
      <c r="E1404" s="4"/>
      <c r="F1404" s="4"/>
      <c r="G1404" s="4"/>
      <c r="H1404" s="4"/>
      <c r="I1404" s="4"/>
      <c r="J1404" s="4"/>
      <c r="K1404" s="4"/>
      <c r="L1404" s="4"/>
      <c r="M1404" s="4"/>
      <c r="N1404" s="4"/>
    </row>
    <row r="1405" spans="2:14" ht="13">
      <c r="B1405" s="4"/>
      <c r="C1405" s="4"/>
      <c r="D1405" s="4"/>
      <c r="E1405" s="4"/>
      <c r="F1405" s="4"/>
      <c r="G1405" s="4"/>
      <c r="H1405" s="4"/>
      <c r="I1405" s="4"/>
      <c r="J1405" s="4"/>
      <c r="K1405" s="4"/>
      <c r="L1405" s="4"/>
      <c r="M1405" s="4"/>
      <c r="N1405" s="4"/>
    </row>
    <row r="1406" spans="2:14" ht="13">
      <c r="B1406" s="4"/>
      <c r="C1406" s="4"/>
      <c r="D1406" s="4"/>
      <c r="E1406" s="4"/>
      <c r="F1406" s="4"/>
      <c r="G1406" s="4"/>
      <c r="H1406" s="4"/>
      <c r="I1406" s="4"/>
      <c r="J1406" s="4"/>
      <c r="K1406" s="4"/>
      <c r="L1406" s="4"/>
      <c r="M1406" s="4"/>
      <c r="N1406" s="4"/>
    </row>
    <row r="1407" spans="2:14" ht="13">
      <c r="B1407" s="4"/>
      <c r="C1407" s="4"/>
      <c r="D1407" s="4"/>
      <c r="E1407" s="4"/>
      <c r="F1407" s="4"/>
      <c r="G1407" s="4"/>
      <c r="H1407" s="4"/>
      <c r="I1407" s="4"/>
      <c r="J1407" s="4"/>
      <c r="K1407" s="4"/>
      <c r="L1407" s="4"/>
      <c r="M1407" s="4"/>
      <c r="N1407" s="4"/>
    </row>
    <row r="1408" spans="2:14" ht="13">
      <c r="B1408" s="4"/>
      <c r="C1408" s="4"/>
      <c r="D1408" s="4"/>
      <c r="E1408" s="4"/>
      <c r="F1408" s="4"/>
      <c r="G1408" s="4"/>
      <c r="H1408" s="4"/>
      <c r="I1408" s="4"/>
      <c r="J1408" s="4"/>
      <c r="K1408" s="4"/>
      <c r="L1408" s="4"/>
      <c r="M1408" s="4"/>
      <c r="N1408" s="4"/>
    </row>
    <row r="1409" spans="2:14" ht="13">
      <c r="B1409" s="4"/>
      <c r="C1409" s="4"/>
      <c r="D1409" s="4"/>
      <c r="E1409" s="4"/>
      <c r="F1409" s="4"/>
      <c r="G1409" s="4"/>
      <c r="H1409" s="4"/>
      <c r="I1409" s="4"/>
      <c r="J1409" s="4"/>
      <c r="K1409" s="4"/>
      <c r="L1409" s="4"/>
      <c r="M1409" s="4"/>
      <c r="N1409" s="4"/>
    </row>
    <row r="1410" spans="2:14" ht="13">
      <c r="B1410" s="4"/>
      <c r="C1410" s="4"/>
      <c r="D1410" s="4"/>
      <c r="E1410" s="4"/>
      <c r="F1410" s="4"/>
      <c r="G1410" s="4"/>
      <c r="H1410" s="4"/>
      <c r="I1410" s="4"/>
      <c r="J1410" s="4"/>
      <c r="K1410" s="4"/>
      <c r="L1410" s="4"/>
      <c r="M1410" s="4"/>
      <c r="N1410" s="4"/>
    </row>
    <row r="1411" spans="2:14" ht="13">
      <c r="B1411" s="4"/>
      <c r="C1411" s="4"/>
      <c r="D1411" s="4"/>
      <c r="E1411" s="4"/>
      <c r="F1411" s="4"/>
      <c r="G1411" s="4"/>
      <c r="H1411" s="4"/>
      <c r="I1411" s="4"/>
      <c r="J1411" s="4"/>
      <c r="K1411" s="4"/>
      <c r="L1411" s="4"/>
      <c r="M1411" s="4"/>
      <c r="N1411" s="4"/>
    </row>
    <row r="1412" spans="2:14" ht="13">
      <c r="B1412" s="4"/>
      <c r="C1412" s="4"/>
      <c r="D1412" s="4"/>
      <c r="E1412" s="4"/>
      <c r="F1412" s="4"/>
      <c r="G1412" s="4"/>
      <c r="H1412" s="4"/>
      <c r="I1412" s="4"/>
      <c r="J1412" s="4"/>
      <c r="K1412" s="4"/>
      <c r="L1412" s="4"/>
      <c r="M1412" s="4"/>
      <c r="N1412" s="4"/>
    </row>
    <row r="1413" spans="2:14" ht="13">
      <c r="B1413" s="4"/>
      <c r="C1413" s="4"/>
      <c r="D1413" s="4"/>
      <c r="E1413" s="4"/>
      <c r="F1413" s="4"/>
      <c r="G1413" s="4"/>
      <c r="H1413" s="4"/>
      <c r="I1413" s="4"/>
      <c r="J1413" s="4"/>
      <c r="K1413" s="4"/>
      <c r="L1413" s="4"/>
      <c r="M1413" s="4"/>
      <c r="N1413" s="4"/>
    </row>
    <row r="1414" spans="2:14" ht="13">
      <c r="B1414" s="4"/>
      <c r="C1414" s="4"/>
      <c r="D1414" s="4"/>
      <c r="E1414" s="4"/>
      <c r="F1414" s="4"/>
      <c r="G1414" s="4"/>
      <c r="H1414" s="4"/>
      <c r="I1414" s="4"/>
      <c r="J1414" s="4"/>
      <c r="K1414" s="4"/>
      <c r="L1414" s="4"/>
      <c r="M1414" s="4"/>
      <c r="N1414" s="4"/>
    </row>
    <row r="1415" spans="2:14" ht="13">
      <c r="B1415" s="4"/>
      <c r="C1415" s="4"/>
      <c r="D1415" s="4"/>
      <c r="E1415" s="4"/>
      <c r="F1415" s="4"/>
      <c r="G1415" s="4"/>
      <c r="H1415" s="4"/>
      <c r="I1415" s="4"/>
      <c r="J1415" s="4"/>
      <c r="K1415" s="4"/>
      <c r="L1415" s="4"/>
      <c r="M1415" s="4"/>
      <c r="N1415" s="4"/>
    </row>
    <row r="1416" spans="2:14" ht="13">
      <c r="B1416" s="4"/>
      <c r="C1416" s="4"/>
      <c r="D1416" s="4"/>
      <c r="E1416" s="4"/>
      <c r="F1416" s="4"/>
      <c r="G1416" s="4"/>
      <c r="H1416" s="4"/>
      <c r="I1416" s="4"/>
      <c r="J1416" s="4"/>
      <c r="K1416" s="4"/>
      <c r="L1416" s="4"/>
      <c r="M1416" s="4"/>
      <c r="N1416" s="4"/>
    </row>
    <row r="1417" spans="2:14" ht="13">
      <c r="B1417" s="4"/>
      <c r="C1417" s="4"/>
      <c r="D1417" s="4"/>
      <c r="E1417" s="4"/>
      <c r="F1417" s="4"/>
      <c r="G1417" s="4"/>
      <c r="H1417" s="4"/>
      <c r="I1417" s="4"/>
      <c r="J1417" s="4"/>
      <c r="K1417" s="4"/>
      <c r="L1417" s="4"/>
      <c r="M1417" s="4"/>
      <c r="N1417" s="4"/>
    </row>
    <row r="1418" spans="2:14" ht="13">
      <c r="B1418" s="4"/>
      <c r="C1418" s="4"/>
      <c r="D1418" s="4"/>
      <c r="E1418" s="4"/>
      <c r="F1418" s="4"/>
      <c r="G1418" s="4"/>
      <c r="H1418" s="4"/>
      <c r="I1418" s="4"/>
      <c r="J1418" s="4"/>
      <c r="K1418" s="4"/>
      <c r="L1418" s="4"/>
      <c r="M1418" s="4"/>
      <c r="N1418" s="4"/>
    </row>
    <row r="1419" spans="2:14" ht="13">
      <c r="B1419" s="4"/>
      <c r="C1419" s="4"/>
      <c r="D1419" s="4"/>
      <c r="E1419" s="4"/>
      <c r="F1419" s="4"/>
      <c r="G1419" s="4"/>
      <c r="H1419" s="4"/>
      <c r="I1419" s="4"/>
      <c r="J1419" s="4"/>
      <c r="K1419" s="4"/>
      <c r="L1419" s="4"/>
      <c r="M1419" s="4"/>
      <c r="N1419" s="4"/>
    </row>
    <row r="1420" spans="2:14" ht="13">
      <c r="B1420" s="4"/>
      <c r="C1420" s="4"/>
      <c r="D1420" s="4"/>
      <c r="E1420" s="4"/>
      <c r="F1420" s="4"/>
      <c r="G1420" s="4"/>
      <c r="H1420" s="4"/>
      <c r="I1420" s="4"/>
      <c r="J1420" s="4"/>
      <c r="K1420" s="4"/>
      <c r="L1420" s="4"/>
      <c r="M1420" s="4"/>
      <c r="N1420" s="4"/>
    </row>
    <row r="1421" spans="2:14" ht="13">
      <c r="B1421" s="4"/>
      <c r="C1421" s="4"/>
      <c r="D1421" s="4"/>
      <c r="E1421" s="4"/>
      <c r="F1421" s="4"/>
      <c r="G1421" s="4"/>
      <c r="H1421" s="4"/>
      <c r="I1421" s="4"/>
      <c r="J1421" s="4"/>
      <c r="K1421" s="4"/>
      <c r="L1421" s="4"/>
      <c r="M1421" s="4"/>
      <c r="N1421" s="4"/>
    </row>
    <row r="1422" spans="2:14" ht="13">
      <c r="B1422" s="4"/>
      <c r="C1422" s="4"/>
      <c r="D1422" s="4"/>
      <c r="E1422" s="4"/>
      <c r="F1422" s="4"/>
      <c r="G1422" s="4"/>
      <c r="H1422" s="4"/>
      <c r="I1422" s="4"/>
      <c r="J1422" s="4"/>
      <c r="K1422" s="4"/>
      <c r="L1422" s="4"/>
      <c r="M1422" s="4"/>
      <c r="N1422" s="4"/>
    </row>
    <row r="1423" spans="2:14" ht="13">
      <c r="B1423" s="4"/>
      <c r="C1423" s="4"/>
      <c r="D1423" s="4"/>
      <c r="E1423" s="4"/>
      <c r="F1423" s="4"/>
      <c r="G1423" s="4"/>
      <c r="H1423" s="4"/>
      <c r="I1423" s="4"/>
      <c r="J1423" s="4"/>
      <c r="K1423" s="4"/>
      <c r="L1423" s="4"/>
      <c r="M1423" s="4"/>
      <c r="N1423" s="4"/>
    </row>
    <row r="1424" spans="2:14" ht="13">
      <c r="B1424" s="4"/>
      <c r="C1424" s="4"/>
      <c r="D1424" s="4"/>
      <c r="E1424" s="4"/>
      <c r="F1424" s="4"/>
      <c r="G1424" s="4"/>
      <c r="H1424" s="4"/>
      <c r="I1424" s="4"/>
      <c r="J1424" s="4"/>
      <c r="K1424" s="4"/>
      <c r="L1424" s="4"/>
      <c r="M1424" s="4"/>
      <c r="N1424" s="4"/>
    </row>
    <row r="1425" spans="2:14" ht="13">
      <c r="B1425" s="4"/>
      <c r="C1425" s="4"/>
      <c r="D1425" s="4"/>
      <c r="E1425" s="4"/>
      <c r="F1425" s="4"/>
      <c r="G1425" s="4"/>
      <c r="H1425" s="4"/>
      <c r="I1425" s="4"/>
      <c r="J1425" s="4"/>
      <c r="K1425" s="4"/>
      <c r="L1425" s="4"/>
      <c r="M1425" s="4"/>
      <c r="N1425" s="4"/>
    </row>
    <row r="1426" spans="2:14" ht="13">
      <c r="B1426" s="4"/>
      <c r="C1426" s="4"/>
      <c r="D1426" s="4"/>
      <c r="E1426" s="4"/>
      <c r="F1426" s="4"/>
      <c r="G1426" s="4"/>
      <c r="H1426" s="4"/>
      <c r="I1426" s="4"/>
      <c r="J1426" s="4"/>
      <c r="K1426" s="4"/>
      <c r="L1426" s="4"/>
      <c r="M1426" s="4"/>
      <c r="N1426" s="4"/>
    </row>
    <row r="1427" spans="2:14" ht="13">
      <c r="B1427" s="4"/>
      <c r="C1427" s="4"/>
      <c r="D1427" s="4"/>
      <c r="E1427" s="4"/>
      <c r="F1427" s="4"/>
      <c r="G1427" s="4"/>
      <c r="H1427" s="4"/>
      <c r="I1427" s="4"/>
      <c r="J1427" s="4"/>
      <c r="K1427" s="4"/>
      <c r="L1427" s="4"/>
      <c r="M1427" s="4"/>
      <c r="N1427" s="4"/>
    </row>
    <row r="1428" spans="2:14" ht="13">
      <c r="B1428" s="4"/>
      <c r="C1428" s="4"/>
      <c r="D1428" s="4"/>
      <c r="E1428" s="4"/>
      <c r="F1428" s="4"/>
      <c r="G1428" s="4"/>
      <c r="H1428" s="4"/>
      <c r="I1428" s="4"/>
      <c r="J1428" s="4"/>
      <c r="K1428" s="4"/>
      <c r="L1428" s="4"/>
      <c r="M1428" s="4"/>
      <c r="N1428" s="4"/>
    </row>
    <row r="1429" spans="2:14" ht="13">
      <c r="B1429" s="4"/>
      <c r="C1429" s="4"/>
      <c r="D1429" s="4"/>
      <c r="E1429" s="4"/>
      <c r="F1429" s="4"/>
      <c r="G1429" s="4"/>
      <c r="H1429" s="4"/>
      <c r="I1429" s="4"/>
      <c r="J1429" s="4"/>
      <c r="K1429" s="4"/>
      <c r="L1429" s="4"/>
      <c r="M1429" s="4"/>
      <c r="N1429" s="4"/>
    </row>
    <row r="1430" spans="2:14" ht="13">
      <c r="B1430" s="4"/>
      <c r="C1430" s="4"/>
      <c r="D1430" s="4"/>
      <c r="E1430" s="4"/>
      <c r="F1430" s="4"/>
      <c r="G1430" s="4"/>
      <c r="H1430" s="4"/>
      <c r="I1430" s="4"/>
      <c r="J1430" s="4"/>
      <c r="K1430" s="4"/>
      <c r="L1430" s="4"/>
      <c r="M1430" s="4"/>
      <c r="N1430" s="4"/>
    </row>
    <row r="1431" spans="2:14" ht="13">
      <c r="B1431" s="4"/>
      <c r="C1431" s="4"/>
      <c r="D1431" s="4"/>
      <c r="E1431" s="4"/>
      <c r="F1431" s="4"/>
      <c r="G1431" s="4"/>
      <c r="H1431" s="4"/>
      <c r="I1431" s="4"/>
      <c r="J1431" s="4"/>
      <c r="K1431" s="4"/>
      <c r="L1431" s="4"/>
      <c r="M1431" s="4"/>
      <c r="N1431" s="4"/>
    </row>
    <row r="1432" spans="2:14" ht="13">
      <c r="B1432" s="4"/>
      <c r="C1432" s="4"/>
      <c r="D1432" s="4"/>
      <c r="E1432" s="4"/>
      <c r="F1432" s="4"/>
      <c r="G1432" s="4"/>
      <c r="H1432" s="4"/>
      <c r="I1432" s="4"/>
      <c r="J1432" s="4"/>
      <c r="K1432" s="4"/>
      <c r="L1432" s="4"/>
      <c r="M1432" s="4"/>
      <c r="N1432" s="4"/>
    </row>
    <row r="1433" spans="2:14" ht="13">
      <c r="B1433" s="4"/>
      <c r="C1433" s="4"/>
      <c r="D1433" s="4"/>
      <c r="E1433" s="4"/>
      <c r="F1433" s="4"/>
      <c r="G1433" s="4"/>
      <c r="H1433" s="4"/>
      <c r="I1433" s="4"/>
      <c r="J1433" s="4"/>
      <c r="K1433" s="4"/>
      <c r="L1433" s="4"/>
      <c r="M1433" s="4"/>
      <c r="N1433" s="4"/>
    </row>
    <row r="1434" spans="2:14" ht="13">
      <c r="B1434" s="4"/>
      <c r="C1434" s="4"/>
      <c r="D1434" s="4"/>
      <c r="E1434" s="4"/>
      <c r="F1434" s="4"/>
      <c r="G1434" s="4"/>
      <c r="H1434" s="4"/>
      <c r="I1434" s="4"/>
      <c r="J1434" s="4"/>
      <c r="K1434" s="4"/>
      <c r="L1434" s="4"/>
      <c r="M1434" s="4"/>
      <c r="N1434" s="4"/>
    </row>
    <row r="1435" spans="2:14" ht="13">
      <c r="B1435" s="4"/>
      <c r="C1435" s="4"/>
      <c r="D1435" s="4"/>
      <c r="E1435" s="4"/>
      <c r="F1435" s="4"/>
      <c r="G1435" s="4"/>
      <c r="H1435" s="4"/>
      <c r="I1435" s="4"/>
      <c r="J1435" s="4"/>
      <c r="K1435" s="4"/>
      <c r="L1435" s="4"/>
      <c r="M1435" s="4"/>
      <c r="N1435" s="4"/>
    </row>
    <row r="1436" spans="2:14" ht="13">
      <c r="B1436" s="4"/>
      <c r="C1436" s="4"/>
      <c r="D1436" s="4"/>
      <c r="E1436" s="4"/>
      <c r="F1436" s="4"/>
      <c r="G1436" s="4"/>
      <c r="H1436" s="4"/>
      <c r="I1436" s="4"/>
      <c r="J1436" s="4"/>
      <c r="K1436" s="4"/>
      <c r="L1436" s="4"/>
      <c r="M1436" s="4"/>
      <c r="N1436" s="4"/>
    </row>
    <row r="1437" spans="2:14" ht="13">
      <c r="B1437" s="4"/>
      <c r="C1437" s="4"/>
      <c r="D1437" s="4"/>
      <c r="E1437" s="4"/>
      <c r="F1437" s="4"/>
      <c r="G1437" s="4"/>
      <c r="H1437" s="4"/>
      <c r="I1437" s="4"/>
      <c r="J1437" s="4"/>
      <c r="K1437" s="4"/>
      <c r="L1437" s="4"/>
      <c r="M1437" s="4"/>
      <c r="N1437" s="4"/>
    </row>
    <row r="1438" spans="2:14" ht="13">
      <c r="B1438" s="4"/>
      <c r="C1438" s="4"/>
      <c r="D1438" s="4"/>
      <c r="E1438" s="4"/>
      <c r="F1438" s="4"/>
      <c r="G1438" s="4"/>
      <c r="H1438" s="4"/>
      <c r="I1438" s="4"/>
      <c r="J1438" s="4"/>
      <c r="K1438" s="4"/>
      <c r="L1438" s="4"/>
      <c r="M1438" s="4"/>
      <c r="N1438" s="4"/>
    </row>
    <row r="1439" spans="2:14" ht="13">
      <c r="B1439" s="4"/>
      <c r="C1439" s="4"/>
      <c r="D1439" s="4"/>
      <c r="E1439" s="4"/>
      <c r="F1439" s="4"/>
      <c r="G1439" s="4"/>
      <c r="H1439" s="4"/>
      <c r="I1439" s="4"/>
      <c r="J1439" s="4"/>
      <c r="K1439" s="4"/>
      <c r="L1439" s="4"/>
      <c r="M1439" s="4"/>
      <c r="N1439" s="4"/>
    </row>
    <row r="1440" spans="2:14" ht="13">
      <c r="B1440" s="4"/>
      <c r="C1440" s="4"/>
      <c r="D1440" s="4"/>
      <c r="E1440" s="4"/>
      <c r="F1440" s="4"/>
      <c r="G1440" s="4"/>
      <c r="H1440" s="4"/>
      <c r="I1440" s="4"/>
      <c r="J1440" s="4"/>
      <c r="K1440" s="4"/>
      <c r="L1440" s="4"/>
      <c r="M1440" s="4"/>
      <c r="N1440" s="4"/>
    </row>
    <row r="1441" spans="2:14" ht="13">
      <c r="B1441" s="4"/>
      <c r="C1441" s="4"/>
      <c r="D1441" s="4"/>
      <c r="E1441" s="4"/>
      <c r="F1441" s="4"/>
      <c r="G1441" s="4"/>
      <c r="H1441" s="4"/>
      <c r="I1441" s="4"/>
      <c r="J1441" s="4"/>
      <c r="K1441" s="4"/>
      <c r="L1441" s="4"/>
      <c r="M1441" s="4"/>
      <c r="N1441" s="4"/>
    </row>
    <row r="1442" spans="2:14" ht="13">
      <c r="B1442" s="4"/>
      <c r="C1442" s="4"/>
      <c r="D1442" s="4"/>
      <c r="E1442" s="4"/>
      <c r="F1442" s="4"/>
      <c r="G1442" s="4"/>
      <c r="H1442" s="4"/>
      <c r="I1442" s="4"/>
      <c r="J1442" s="4"/>
      <c r="K1442" s="4"/>
      <c r="L1442" s="4"/>
      <c r="M1442" s="4"/>
      <c r="N1442" s="4"/>
    </row>
    <row r="1443" spans="2:14" ht="13">
      <c r="B1443" s="4"/>
      <c r="C1443" s="4"/>
      <c r="D1443" s="4"/>
      <c r="E1443" s="4"/>
      <c r="F1443" s="4"/>
      <c r="G1443" s="4"/>
      <c r="H1443" s="4"/>
      <c r="I1443" s="4"/>
      <c r="J1443" s="4"/>
      <c r="K1443" s="4"/>
      <c r="L1443" s="4"/>
      <c r="M1443" s="4"/>
      <c r="N1443" s="4"/>
    </row>
    <row r="1444" spans="2:14" ht="13">
      <c r="B1444" s="4"/>
      <c r="C1444" s="4"/>
      <c r="D1444" s="4"/>
      <c r="E1444" s="4"/>
      <c r="F1444" s="4"/>
      <c r="G1444" s="4"/>
      <c r="H1444" s="4"/>
      <c r="I1444" s="4"/>
      <c r="J1444" s="4"/>
      <c r="K1444" s="4"/>
      <c r="L1444" s="4"/>
      <c r="M1444" s="4"/>
      <c r="N1444" s="4"/>
    </row>
    <row r="1445" spans="2:14" ht="13">
      <c r="B1445" s="4"/>
      <c r="C1445" s="4"/>
      <c r="D1445" s="4"/>
      <c r="E1445" s="4"/>
      <c r="F1445" s="4"/>
      <c r="G1445" s="4"/>
      <c r="H1445" s="4"/>
      <c r="I1445" s="4"/>
      <c r="J1445" s="4"/>
      <c r="K1445" s="4"/>
      <c r="L1445" s="4"/>
      <c r="M1445" s="4"/>
      <c r="N1445" s="4"/>
    </row>
    <row r="1446" spans="2:14" ht="13">
      <c r="B1446" s="4"/>
      <c r="C1446" s="4"/>
      <c r="D1446" s="4"/>
      <c r="E1446" s="4"/>
      <c r="F1446" s="4"/>
      <c r="G1446" s="4"/>
      <c r="H1446" s="4"/>
      <c r="I1446" s="4"/>
      <c r="J1446" s="4"/>
      <c r="K1446" s="4"/>
      <c r="L1446" s="4"/>
      <c r="M1446" s="4"/>
      <c r="N1446" s="4"/>
    </row>
    <row r="1447" spans="2:14" ht="13">
      <c r="B1447" s="4"/>
      <c r="C1447" s="4"/>
      <c r="D1447" s="4"/>
      <c r="E1447" s="4"/>
      <c r="F1447" s="4"/>
      <c r="G1447" s="4"/>
      <c r="H1447" s="4"/>
      <c r="I1447" s="4"/>
      <c r="J1447" s="4"/>
      <c r="K1447" s="4"/>
      <c r="L1447" s="4"/>
      <c r="M1447" s="4"/>
      <c r="N1447" s="4"/>
    </row>
    <row r="1448" spans="2:14" ht="13">
      <c r="B1448" s="4"/>
      <c r="C1448" s="4"/>
      <c r="D1448" s="4"/>
      <c r="E1448" s="4"/>
      <c r="F1448" s="4"/>
      <c r="G1448" s="4"/>
      <c r="H1448" s="4"/>
      <c r="I1448" s="4"/>
      <c r="J1448" s="4"/>
      <c r="K1448" s="4"/>
      <c r="L1448" s="4"/>
      <c r="M1448" s="4"/>
      <c r="N1448" s="4"/>
    </row>
    <row r="1449" spans="2:14" ht="13">
      <c r="B1449" s="4"/>
      <c r="C1449" s="4"/>
      <c r="D1449" s="4"/>
      <c r="E1449" s="4"/>
      <c r="F1449" s="4"/>
      <c r="G1449" s="4"/>
      <c r="H1449" s="4"/>
      <c r="I1449" s="4"/>
      <c r="J1449" s="4"/>
      <c r="K1449" s="4"/>
      <c r="L1449" s="4"/>
      <c r="M1449" s="4"/>
      <c r="N1449" s="4"/>
    </row>
    <row r="1450" spans="2:14" ht="13">
      <c r="B1450" s="4"/>
      <c r="C1450" s="4"/>
      <c r="D1450" s="4"/>
      <c r="E1450" s="4"/>
      <c r="F1450" s="4"/>
      <c r="G1450" s="4"/>
      <c r="H1450" s="4"/>
      <c r="I1450" s="4"/>
      <c r="J1450" s="4"/>
      <c r="K1450" s="4"/>
      <c r="L1450" s="4"/>
      <c r="M1450" s="4"/>
      <c r="N1450" s="4"/>
    </row>
    <row r="1451" spans="2:14" ht="13">
      <c r="B1451" s="4"/>
      <c r="C1451" s="4"/>
      <c r="D1451" s="4"/>
      <c r="E1451" s="4"/>
      <c r="F1451" s="4"/>
      <c r="G1451" s="4"/>
      <c r="H1451" s="4"/>
      <c r="I1451" s="4"/>
      <c r="J1451" s="4"/>
      <c r="K1451" s="4"/>
      <c r="L1451" s="4"/>
      <c r="M1451" s="4"/>
      <c r="N1451" s="4"/>
    </row>
    <row r="1452" spans="2:14" ht="13">
      <c r="B1452" s="4"/>
      <c r="C1452" s="4"/>
      <c r="D1452" s="4"/>
      <c r="E1452" s="4"/>
      <c r="F1452" s="4"/>
      <c r="G1452" s="4"/>
      <c r="H1452" s="4"/>
      <c r="I1452" s="4"/>
      <c r="J1452" s="4"/>
      <c r="K1452" s="4"/>
      <c r="L1452" s="4"/>
      <c r="M1452" s="4"/>
      <c r="N1452" s="4"/>
    </row>
    <row r="1453" spans="2:14" ht="13">
      <c r="B1453" s="4"/>
      <c r="C1453" s="4"/>
      <c r="D1453" s="4"/>
      <c r="E1453" s="4"/>
      <c r="F1453" s="4"/>
      <c r="G1453" s="4"/>
      <c r="H1453" s="4"/>
      <c r="I1453" s="4"/>
      <c r="J1453" s="4"/>
      <c r="K1453" s="4"/>
      <c r="L1453" s="4"/>
      <c r="M1453" s="4"/>
      <c r="N1453" s="4"/>
    </row>
    <row r="1454" spans="2:14" ht="13">
      <c r="B1454" s="4"/>
      <c r="C1454" s="4"/>
      <c r="D1454" s="4"/>
      <c r="E1454" s="4"/>
      <c r="F1454" s="4"/>
      <c r="G1454" s="4"/>
      <c r="H1454" s="4"/>
      <c r="I1454" s="4"/>
      <c r="J1454" s="4"/>
      <c r="K1454" s="4"/>
      <c r="L1454" s="4"/>
      <c r="M1454" s="4"/>
      <c r="N1454" s="4"/>
    </row>
    <row r="1455" spans="2:14" ht="13">
      <c r="B1455" s="4"/>
      <c r="C1455" s="4"/>
      <c r="D1455" s="4"/>
      <c r="E1455" s="4"/>
      <c r="F1455" s="4"/>
      <c r="G1455" s="4"/>
      <c r="H1455" s="4"/>
      <c r="I1455" s="4"/>
      <c r="J1455" s="4"/>
      <c r="K1455" s="4"/>
      <c r="L1455" s="4"/>
      <c r="M1455" s="4"/>
      <c r="N1455" s="4"/>
    </row>
    <row r="1456" spans="2:14" ht="13">
      <c r="B1456" s="4"/>
      <c r="C1456" s="4"/>
      <c r="D1456" s="4"/>
      <c r="E1456" s="4"/>
      <c r="F1456" s="4"/>
      <c r="G1456" s="4"/>
      <c r="H1456" s="4"/>
      <c r="I1456" s="4"/>
      <c r="J1456" s="4"/>
      <c r="K1456" s="4"/>
      <c r="L1456" s="4"/>
      <c r="M1456" s="4"/>
      <c r="N1456" s="4"/>
    </row>
    <row r="1457" spans="2:14" ht="13">
      <c r="B1457" s="4"/>
      <c r="C1457" s="4"/>
      <c r="D1457" s="4"/>
      <c r="E1457" s="4"/>
      <c r="F1457" s="4"/>
      <c r="G1457" s="4"/>
      <c r="H1457" s="4"/>
      <c r="I1457" s="4"/>
      <c r="J1457" s="4"/>
      <c r="K1457" s="4"/>
      <c r="L1457" s="4"/>
      <c r="M1457" s="4"/>
      <c r="N1457" s="4"/>
    </row>
    <row r="1458" spans="2:14" ht="13">
      <c r="B1458" s="4"/>
      <c r="C1458" s="4"/>
      <c r="D1458" s="4"/>
      <c r="E1458" s="4"/>
      <c r="F1458" s="4"/>
      <c r="G1458" s="4"/>
      <c r="H1458" s="4"/>
      <c r="I1458" s="4"/>
      <c r="J1458" s="4"/>
      <c r="K1458" s="4"/>
      <c r="L1458" s="4"/>
      <c r="M1458" s="4"/>
      <c r="N1458" s="4"/>
    </row>
    <row r="1459" spans="2:14" ht="13">
      <c r="B1459" s="4"/>
      <c r="C1459" s="4"/>
      <c r="D1459" s="4"/>
      <c r="E1459" s="4"/>
      <c r="F1459" s="4"/>
      <c r="G1459" s="4"/>
      <c r="H1459" s="4"/>
      <c r="I1459" s="4"/>
      <c r="J1459" s="4"/>
      <c r="K1459" s="4"/>
      <c r="L1459" s="4"/>
      <c r="M1459" s="4"/>
      <c r="N1459" s="4"/>
    </row>
    <row r="1460" spans="2:14" ht="13">
      <c r="B1460" s="4"/>
      <c r="C1460" s="4"/>
      <c r="D1460" s="4"/>
      <c r="E1460" s="4"/>
      <c r="F1460" s="4"/>
      <c r="G1460" s="4"/>
      <c r="H1460" s="4"/>
      <c r="I1460" s="4"/>
      <c r="J1460" s="4"/>
      <c r="K1460" s="4"/>
      <c r="L1460" s="4"/>
      <c r="M1460" s="4"/>
      <c r="N1460" s="4"/>
    </row>
    <row r="1461" spans="2:14" ht="13">
      <c r="B1461" s="4"/>
      <c r="C1461" s="4"/>
      <c r="D1461" s="4"/>
      <c r="E1461" s="4"/>
      <c r="F1461" s="4"/>
      <c r="G1461" s="4"/>
      <c r="H1461" s="4"/>
      <c r="I1461" s="4"/>
      <c r="J1461" s="4"/>
      <c r="K1461" s="4"/>
      <c r="L1461" s="4"/>
      <c r="M1461" s="4"/>
      <c r="N1461" s="4"/>
    </row>
    <row r="1462" spans="2:14" ht="13">
      <c r="B1462" s="4"/>
      <c r="C1462" s="4"/>
      <c r="D1462" s="4"/>
      <c r="E1462" s="4"/>
      <c r="F1462" s="4"/>
      <c r="G1462" s="4"/>
      <c r="H1462" s="4"/>
      <c r="I1462" s="4"/>
      <c r="J1462" s="4"/>
      <c r="K1462" s="4"/>
      <c r="L1462" s="4"/>
      <c r="M1462" s="4"/>
      <c r="N1462" s="4"/>
    </row>
    <row r="1463" spans="2:14" ht="13">
      <c r="B1463" s="4"/>
      <c r="C1463" s="4"/>
      <c r="D1463" s="4"/>
      <c r="E1463" s="4"/>
      <c r="F1463" s="4"/>
      <c r="G1463" s="4"/>
      <c r="H1463" s="4"/>
      <c r="I1463" s="4"/>
      <c r="J1463" s="4"/>
      <c r="K1463" s="4"/>
      <c r="L1463" s="4"/>
      <c r="M1463" s="4"/>
      <c r="N1463" s="4"/>
    </row>
    <row r="1464" spans="2:14" ht="13">
      <c r="B1464" s="4"/>
      <c r="C1464" s="4"/>
      <c r="D1464" s="4"/>
      <c r="E1464" s="4"/>
      <c r="F1464" s="4"/>
      <c r="G1464" s="4"/>
      <c r="H1464" s="4"/>
      <c r="I1464" s="4"/>
      <c r="J1464" s="4"/>
      <c r="K1464" s="4"/>
      <c r="L1464" s="4"/>
      <c r="M1464" s="4"/>
      <c r="N1464" s="4"/>
    </row>
    <row r="1465" spans="2:14" ht="13">
      <c r="B1465" s="4"/>
      <c r="C1465" s="4"/>
      <c r="D1465" s="4"/>
      <c r="E1465" s="4"/>
      <c r="F1465" s="4"/>
      <c r="G1465" s="4"/>
      <c r="H1465" s="4"/>
      <c r="I1465" s="4"/>
      <c r="J1465" s="4"/>
      <c r="K1465" s="4"/>
      <c r="L1465" s="4"/>
      <c r="M1465" s="4"/>
      <c r="N1465" s="4"/>
    </row>
    <row r="1466" spans="2:14" ht="13">
      <c r="B1466" s="4"/>
      <c r="C1466" s="4"/>
      <c r="D1466" s="4"/>
      <c r="E1466" s="4"/>
      <c r="F1466" s="4"/>
      <c r="G1466" s="4"/>
      <c r="H1466" s="4"/>
      <c r="I1466" s="4"/>
      <c r="J1466" s="4"/>
      <c r="K1466" s="4"/>
      <c r="L1466" s="4"/>
      <c r="M1466" s="4"/>
      <c r="N1466" s="4"/>
    </row>
    <row r="1467" spans="2:14" ht="13">
      <c r="B1467" s="4"/>
      <c r="C1467" s="4"/>
      <c r="D1467" s="4"/>
      <c r="E1467" s="4"/>
      <c r="F1467" s="4"/>
      <c r="G1467" s="4"/>
      <c r="H1467" s="4"/>
      <c r="I1467" s="4"/>
      <c r="J1467" s="4"/>
      <c r="K1467" s="4"/>
      <c r="L1467" s="4"/>
      <c r="M1467" s="4"/>
      <c r="N1467" s="4"/>
    </row>
    <row r="1468" spans="2:14" ht="13">
      <c r="B1468" s="4"/>
      <c r="C1468" s="4"/>
      <c r="D1468" s="4"/>
      <c r="E1468" s="4"/>
      <c r="F1468" s="4"/>
      <c r="G1468" s="4"/>
      <c r="H1468" s="4"/>
      <c r="I1468" s="4"/>
      <c r="J1468" s="4"/>
      <c r="K1468" s="4"/>
      <c r="L1468" s="4"/>
      <c r="M1468" s="4"/>
      <c r="N1468" s="4"/>
    </row>
    <row r="1469" spans="2:14" ht="13">
      <c r="B1469" s="4"/>
      <c r="C1469" s="4"/>
      <c r="D1469" s="4"/>
      <c r="E1469" s="4"/>
      <c r="F1469" s="4"/>
      <c r="G1469" s="4"/>
      <c r="H1469" s="4"/>
      <c r="I1469" s="4"/>
      <c r="J1469" s="4"/>
      <c r="K1469" s="4"/>
      <c r="L1469" s="4"/>
      <c r="M1469" s="4"/>
      <c r="N1469" s="4"/>
    </row>
    <row r="1470" spans="2:14" ht="13">
      <c r="B1470" s="4"/>
      <c r="C1470" s="4"/>
      <c r="D1470" s="4"/>
      <c r="E1470" s="4"/>
      <c r="F1470" s="4"/>
      <c r="G1470" s="4"/>
      <c r="H1470" s="4"/>
      <c r="I1470" s="4"/>
      <c r="J1470" s="4"/>
      <c r="K1470" s="4"/>
      <c r="L1470" s="4"/>
      <c r="M1470" s="4"/>
      <c r="N1470" s="4"/>
    </row>
    <row r="1471" spans="2:14" ht="13">
      <c r="B1471" s="4"/>
      <c r="C1471" s="4"/>
      <c r="D1471" s="4"/>
      <c r="E1471" s="4"/>
      <c r="F1471" s="4"/>
      <c r="G1471" s="4"/>
      <c r="H1471" s="4"/>
      <c r="I1471" s="4"/>
      <c r="J1471" s="4"/>
      <c r="K1471" s="4"/>
      <c r="L1471" s="4"/>
      <c r="M1471" s="4"/>
      <c r="N1471" s="4"/>
    </row>
    <row r="1472" spans="2:14" ht="13">
      <c r="B1472" s="4"/>
      <c r="C1472" s="4"/>
      <c r="D1472" s="4"/>
      <c r="E1472" s="4"/>
      <c r="F1472" s="4"/>
      <c r="G1472" s="4"/>
      <c r="H1472" s="4"/>
      <c r="I1472" s="4"/>
      <c r="J1472" s="4"/>
      <c r="K1472" s="4"/>
      <c r="L1472" s="4"/>
      <c r="M1472" s="4"/>
      <c r="N1472" s="4"/>
    </row>
    <row r="1473" spans="2:14" ht="13">
      <c r="B1473" s="4"/>
      <c r="C1473" s="4"/>
      <c r="D1473" s="4"/>
      <c r="E1473" s="4"/>
      <c r="F1473" s="4"/>
      <c r="G1473" s="4"/>
      <c r="H1473" s="4"/>
      <c r="I1473" s="4"/>
      <c r="J1473" s="4"/>
      <c r="K1473" s="4"/>
      <c r="L1473" s="4"/>
      <c r="M1473" s="4"/>
      <c r="N1473" s="4"/>
    </row>
    <row r="1474" spans="2:14" ht="13">
      <c r="B1474" s="4"/>
      <c r="C1474" s="4"/>
      <c r="D1474" s="4"/>
      <c r="E1474" s="4"/>
      <c r="F1474" s="4"/>
      <c r="G1474" s="4"/>
      <c r="H1474" s="4"/>
      <c r="I1474" s="4"/>
      <c r="J1474" s="4"/>
      <c r="K1474" s="4"/>
      <c r="L1474" s="4"/>
      <c r="M1474" s="4"/>
      <c r="N1474" s="4"/>
    </row>
    <row r="1475" spans="2:14" ht="13">
      <c r="B1475" s="4"/>
      <c r="C1475" s="4"/>
      <c r="D1475" s="4"/>
      <c r="E1475" s="4"/>
      <c r="F1475" s="4"/>
      <c r="G1475" s="4"/>
      <c r="H1475" s="4"/>
      <c r="I1475" s="4"/>
      <c r="J1475" s="4"/>
      <c r="K1475" s="4"/>
      <c r="L1475" s="4"/>
      <c r="M1475" s="4"/>
      <c r="N1475" s="4"/>
    </row>
    <row r="1476" spans="2:14" ht="13">
      <c r="B1476" s="4"/>
      <c r="C1476" s="4"/>
      <c r="D1476" s="4"/>
      <c r="E1476" s="4"/>
      <c r="F1476" s="4"/>
      <c r="G1476" s="4"/>
      <c r="H1476" s="4"/>
      <c r="I1476" s="4"/>
      <c r="J1476" s="4"/>
      <c r="K1476" s="4"/>
      <c r="L1476" s="4"/>
      <c r="M1476" s="4"/>
      <c r="N1476" s="4"/>
    </row>
    <row r="1477" spans="2:14" ht="13">
      <c r="B1477" s="4"/>
      <c r="C1477" s="4"/>
      <c r="D1477" s="4"/>
      <c r="E1477" s="4"/>
      <c r="F1477" s="4"/>
      <c r="G1477" s="4"/>
      <c r="H1477" s="4"/>
      <c r="I1477" s="4"/>
      <c r="J1477" s="4"/>
      <c r="K1477" s="4"/>
      <c r="L1477" s="4"/>
      <c r="M1477" s="4"/>
      <c r="N1477" s="4"/>
    </row>
    <row r="1478" spans="2:14" ht="13">
      <c r="B1478" s="4"/>
      <c r="C1478" s="4"/>
      <c r="D1478" s="4"/>
      <c r="E1478" s="4"/>
      <c r="F1478" s="4"/>
      <c r="G1478" s="4"/>
      <c r="H1478" s="4"/>
      <c r="I1478" s="4"/>
      <c r="J1478" s="4"/>
      <c r="K1478" s="4"/>
      <c r="L1478" s="4"/>
      <c r="M1478" s="4"/>
      <c r="N1478" s="4"/>
    </row>
    <row r="1479" spans="2:14" ht="13">
      <c r="B1479" s="4"/>
      <c r="C1479" s="4"/>
      <c r="D1479" s="4"/>
      <c r="E1479" s="4"/>
      <c r="F1479" s="4"/>
      <c r="G1479" s="4"/>
      <c r="H1479" s="4"/>
      <c r="I1479" s="4"/>
      <c r="J1479" s="4"/>
      <c r="K1479" s="4"/>
      <c r="L1479" s="4"/>
      <c r="M1479" s="4"/>
      <c r="N1479" s="4"/>
    </row>
    <row r="1480" spans="2:14" ht="13">
      <c r="B1480" s="4"/>
      <c r="C1480" s="4"/>
      <c r="D1480" s="4"/>
      <c r="E1480" s="4"/>
      <c r="F1480" s="4"/>
      <c r="G1480" s="4"/>
      <c r="H1480" s="4"/>
      <c r="I1480" s="4"/>
      <c r="J1480" s="4"/>
      <c r="K1480" s="4"/>
      <c r="L1480" s="4"/>
      <c r="M1480" s="4"/>
      <c r="N1480" s="4"/>
    </row>
    <row r="1481" spans="2:14" ht="13">
      <c r="B1481" s="4"/>
      <c r="C1481" s="4"/>
      <c r="D1481" s="4"/>
      <c r="E1481" s="4"/>
      <c r="F1481" s="4"/>
      <c r="G1481" s="4"/>
      <c r="H1481" s="4"/>
      <c r="I1481" s="4"/>
      <c r="J1481" s="4"/>
      <c r="K1481" s="4"/>
      <c r="L1481" s="4"/>
      <c r="M1481" s="4"/>
      <c r="N1481" s="4"/>
    </row>
    <row r="1482" spans="2:14" ht="13">
      <c r="B1482" s="4"/>
      <c r="C1482" s="4"/>
      <c r="D1482" s="4"/>
      <c r="E1482" s="4"/>
      <c r="F1482" s="4"/>
      <c r="G1482" s="4"/>
      <c r="H1482" s="4"/>
      <c r="I1482" s="4"/>
      <c r="J1482" s="4"/>
      <c r="K1482" s="4"/>
      <c r="L1482" s="4"/>
      <c r="M1482" s="4"/>
      <c r="N1482" s="4"/>
    </row>
    <row r="1483" spans="2:14" ht="13">
      <c r="B1483" s="4"/>
      <c r="C1483" s="4"/>
      <c r="D1483" s="4"/>
      <c r="E1483" s="4"/>
      <c r="F1483" s="4"/>
      <c r="G1483" s="4"/>
      <c r="H1483" s="4"/>
      <c r="I1483" s="4"/>
      <c r="J1483" s="4"/>
      <c r="K1483" s="4"/>
      <c r="L1483" s="4"/>
      <c r="M1483" s="4"/>
      <c r="N1483" s="4"/>
    </row>
    <row r="1484" spans="2:14" ht="13">
      <c r="B1484" s="4"/>
      <c r="C1484" s="4"/>
      <c r="D1484" s="4"/>
      <c r="E1484" s="4"/>
      <c r="F1484" s="4"/>
      <c r="G1484" s="4"/>
      <c r="H1484" s="4"/>
      <c r="I1484" s="4"/>
      <c r="J1484" s="4"/>
      <c r="K1484" s="4"/>
      <c r="L1484" s="4"/>
      <c r="M1484" s="4"/>
      <c r="N1484" s="4"/>
    </row>
    <row r="1485" spans="2:14" ht="13">
      <c r="B1485" s="4"/>
      <c r="C1485" s="4"/>
      <c r="D1485" s="4"/>
      <c r="E1485" s="4"/>
      <c r="F1485" s="4"/>
      <c r="G1485" s="4"/>
      <c r="H1485" s="4"/>
      <c r="I1485" s="4"/>
      <c r="J1485" s="4"/>
      <c r="K1485" s="4"/>
      <c r="L1485" s="4"/>
      <c r="M1485" s="4"/>
      <c r="N1485" s="4"/>
    </row>
    <row r="1486" spans="2:14" ht="13">
      <c r="B1486" s="4"/>
      <c r="C1486" s="4"/>
      <c r="D1486" s="4"/>
      <c r="E1486" s="4"/>
      <c r="F1486" s="4"/>
      <c r="G1486" s="4"/>
      <c r="H1486" s="4"/>
      <c r="I1486" s="4"/>
      <c r="J1486" s="4"/>
      <c r="K1486" s="4"/>
      <c r="L1486" s="4"/>
      <c r="M1486" s="4"/>
      <c r="N1486" s="4"/>
    </row>
    <row r="1487" spans="2:14" ht="13">
      <c r="B1487" s="4"/>
      <c r="C1487" s="4"/>
      <c r="D1487" s="4"/>
      <c r="E1487" s="4"/>
      <c r="F1487" s="4"/>
      <c r="G1487" s="4"/>
      <c r="H1487" s="4"/>
      <c r="I1487" s="4"/>
      <c r="J1487" s="4"/>
      <c r="K1487" s="4"/>
      <c r="L1487" s="4"/>
      <c r="M1487" s="4"/>
      <c r="N1487" s="4"/>
    </row>
    <row r="1488" spans="2:14" ht="13">
      <c r="B1488" s="4"/>
      <c r="C1488" s="4"/>
      <c r="D1488" s="4"/>
      <c r="E1488" s="4"/>
      <c r="F1488" s="4"/>
      <c r="G1488" s="4"/>
      <c r="H1488" s="4"/>
      <c r="I1488" s="4"/>
      <c r="J1488" s="4"/>
      <c r="K1488" s="4"/>
      <c r="L1488" s="4"/>
      <c r="M1488" s="4"/>
      <c r="N1488" s="4"/>
    </row>
    <row r="1489" spans="2:14" ht="13">
      <c r="B1489" s="4"/>
      <c r="C1489" s="4"/>
      <c r="D1489" s="4"/>
      <c r="E1489" s="4"/>
      <c r="F1489" s="4"/>
      <c r="G1489" s="4"/>
      <c r="H1489" s="4"/>
      <c r="I1489" s="4"/>
      <c r="J1489" s="4"/>
      <c r="K1489" s="4"/>
      <c r="L1489" s="4"/>
      <c r="M1489" s="4"/>
      <c r="N1489" s="4"/>
    </row>
    <row r="1490" spans="2:14" ht="13">
      <c r="B1490" s="4"/>
      <c r="C1490" s="4"/>
      <c r="D1490" s="4"/>
      <c r="E1490" s="4"/>
      <c r="F1490" s="4"/>
      <c r="G1490" s="4"/>
      <c r="H1490" s="4"/>
      <c r="I1490" s="4"/>
      <c r="J1490" s="4"/>
      <c r="K1490" s="4"/>
      <c r="L1490" s="4"/>
      <c r="M1490" s="4"/>
      <c r="N1490" s="4"/>
    </row>
    <row r="1491" spans="2:14" ht="13">
      <c r="B1491" s="4"/>
      <c r="C1491" s="4"/>
      <c r="D1491" s="4"/>
      <c r="E1491" s="4"/>
      <c r="F1491" s="4"/>
      <c r="G1491" s="4"/>
      <c r="H1491" s="4"/>
      <c r="I1491" s="4"/>
      <c r="J1491" s="4"/>
      <c r="K1491" s="4"/>
      <c r="L1491" s="4"/>
      <c r="M1491" s="4"/>
      <c r="N1491" s="4"/>
    </row>
    <row r="1492" spans="2:14" ht="13">
      <c r="B1492" s="4"/>
      <c r="C1492" s="4"/>
      <c r="D1492" s="4"/>
      <c r="E1492" s="4"/>
      <c r="F1492" s="4"/>
      <c r="G1492" s="4"/>
      <c r="H1492" s="4"/>
      <c r="I1492" s="4"/>
      <c r="J1492" s="4"/>
      <c r="K1492" s="4"/>
      <c r="L1492" s="4"/>
      <c r="M1492" s="4"/>
      <c r="N1492" s="4"/>
    </row>
    <row r="1493" spans="2:14" ht="13">
      <c r="B1493" s="4"/>
      <c r="C1493" s="4"/>
      <c r="D1493" s="4"/>
      <c r="E1493" s="4"/>
      <c r="F1493" s="4"/>
      <c r="G1493" s="4"/>
      <c r="H1493" s="4"/>
      <c r="I1493" s="4"/>
      <c r="J1493" s="4"/>
      <c r="K1493" s="4"/>
      <c r="L1493" s="4"/>
      <c r="M1493" s="4"/>
      <c r="N1493" s="4"/>
    </row>
    <row r="1494" spans="2:14" ht="13">
      <c r="B1494" s="4"/>
      <c r="C1494" s="4"/>
      <c r="D1494" s="4"/>
      <c r="E1494" s="4"/>
      <c r="F1494" s="4"/>
      <c r="G1494" s="4"/>
      <c r="H1494" s="4"/>
      <c r="I1494" s="4"/>
      <c r="J1494" s="4"/>
      <c r="K1494" s="4"/>
      <c r="L1494" s="4"/>
      <c r="M1494" s="4"/>
      <c r="N1494" s="4"/>
    </row>
    <row r="1495" spans="2:14" ht="13">
      <c r="B1495" s="4"/>
      <c r="C1495" s="4"/>
      <c r="D1495" s="4"/>
      <c r="E1495" s="4"/>
      <c r="F1495" s="4"/>
      <c r="G1495" s="4"/>
      <c r="H1495" s="4"/>
      <c r="I1495" s="4"/>
      <c r="J1495" s="4"/>
      <c r="K1495" s="4"/>
      <c r="L1495" s="4"/>
      <c r="M1495" s="4"/>
      <c r="N1495" s="4"/>
    </row>
    <row r="1496" spans="2:14" ht="13">
      <c r="B1496" s="4"/>
      <c r="C1496" s="4"/>
      <c r="D1496" s="4"/>
      <c r="E1496" s="4"/>
      <c r="F1496" s="4"/>
      <c r="G1496" s="4"/>
      <c r="H1496" s="4"/>
      <c r="I1496" s="4"/>
      <c r="J1496" s="4"/>
      <c r="K1496" s="4"/>
      <c r="L1496" s="4"/>
      <c r="M1496" s="4"/>
      <c r="N1496" s="4"/>
    </row>
    <row r="1497" spans="2:14" ht="13">
      <c r="B1497" s="4"/>
      <c r="C1497" s="4"/>
      <c r="D1497" s="4"/>
      <c r="E1497" s="4"/>
      <c r="F1497" s="4"/>
      <c r="G1497" s="4"/>
      <c r="H1497" s="4"/>
      <c r="I1497" s="4"/>
      <c r="J1497" s="4"/>
      <c r="K1497" s="4"/>
      <c r="L1497" s="4"/>
      <c r="M1497" s="4"/>
      <c r="N1497" s="4"/>
    </row>
    <row r="1498" spans="2:14" ht="13">
      <c r="B1498" s="4"/>
      <c r="C1498" s="4"/>
      <c r="D1498" s="4"/>
      <c r="E1498" s="4"/>
      <c r="F1498" s="4"/>
      <c r="G1498" s="4"/>
      <c r="H1498" s="4"/>
      <c r="I1498" s="4"/>
      <c r="J1498" s="4"/>
      <c r="K1498" s="4"/>
      <c r="L1498" s="4"/>
      <c r="M1498" s="4"/>
      <c r="N1498" s="4"/>
    </row>
    <row r="1499" spans="2:14" ht="13">
      <c r="B1499" s="4"/>
      <c r="C1499" s="4"/>
      <c r="D1499" s="4"/>
      <c r="E1499" s="4"/>
      <c r="F1499" s="4"/>
      <c r="G1499" s="4"/>
      <c r="H1499" s="4"/>
      <c r="I1499" s="4"/>
      <c r="J1499" s="4"/>
      <c r="K1499" s="4"/>
      <c r="L1499" s="4"/>
      <c r="M1499" s="4"/>
      <c r="N1499" s="4"/>
    </row>
    <row r="1500" spans="2:14" ht="13">
      <c r="B1500" s="4"/>
      <c r="C1500" s="4"/>
      <c r="D1500" s="4"/>
      <c r="E1500" s="4"/>
      <c r="F1500" s="4"/>
      <c r="G1500" s="4"/>
      <c r="H1500" s="4"/>
      <c r="I1500" s="4"/>
      <c r="J1500" s="4"/>
      <c r="K1500" s="4"/>
      <c r="L1500" s="4"/>
      <c r="M1500" s="4"/>
      <c r="N1500" s="4"/>
    </row>
    <row r="1501" spans="2:14" ht="13">
      <c r="B1501" s="4"/>
      <c r="C1501" s="4"/>
      <c r="D1501" s="4"/>
      <c r="E1501" s="4"/>
      <c r="F1501" s="4"/>
      <c r="G1501" s="4"/>
      <c r="H1501" s="4"/>
      <c r="I1501" s="4"/>
      <c r="J1501" s="4"/>
      <c r="K1501" s="4"/>
      <c r="L1501" s="4"/>
      <c r="M1501" s="4"/>
      <c r="N1501" s="4"/>
    </row>
    <row r="1502" spans="2:14" ht="13">
      <c r="B1502" s="4"/>
      <c r="C1502" s="4"/>
      <c r="D1502" s="4"/>
      <c r="E1502" s="4"/>
      <c r="F1502" s="4"/>
      <c r="G1502" s="4"/>
      <c r="H1502" s="4"/>
      <c r="I1502" s="4"/>
      <c r="J1502" s="4"/>
      <c r="K1502" s="4"/>
      <c r="L1502" s="4"/>
      <c r="M1502" s="4"/>
      <c r="N1502" s="4"/>
    </row>
    <row r="1503" spans="2:14" ht="13">
      <c r="B1503" s="4"/>
      <c r="C1503" s="4"/>
      <c r="D1503" s="4"/>
      <c r="E1503" s="4"/>
      <c r="F1503" s="4"/>
      <c r="G1503" s="4"/>
      <c r="H1503" s="4"/>
      <c r="I1503" s="4"/>
      <c r="J1503" s="4"/>
      <c r="K1503" s="4"/>
      <c r="L1503" s="4"/>
      <c r="M1503" s="4"/>
      <c r="N1503" s="4"/>
    </row>
    <row r="1504" spans="2:14" ht="13">
      <c r="B1504" s="4"/>
      <c r="C1504" s="4"/>
      <c r="D1504" s="4"/>
      <c r="E1504" s="4"/>
      <c r="F1504" s="4"/>
      <c r="G1504" s="4"/>
      <c r="H1504" s="4"/>
      <c r="I1504" s="4"/>
      <c r="J1504" s="4"/>
      <c r="K1504" s="4"/>
      <c r="L1504" s="4"/>
      <c r="M1504" s="4"/>
      <c r="N1504" s="4"/>
    </row>
    <row r="1505" spans="2:14" ht="13">
      <c r="B1505" s="4"/>
      <c r="C1505" s="4"/>
      <c r="D1505" s="4"/>
      <c r="E1505" s="4"/>
      <c r="F1505" s="4"/>
      <c r="G1505" s="4"/>
      <c r="H1505" s="4"/>
      <c r="I1505" s="4"/>
      <c r="J1505" s="4"/>
      <c r="K1505" s="4"/>
      <c r="L1505" s="4"/>
      <c r="M1505" s="4"/>
      <c r="N1505" s="4"/>
    </row>
    <row r="1506" spans="2:14" ht="13">
      <c r="B1506" s="4"/>
      <c r="C1506" s="4"/>
      <c r="D1506" s="4"/>
      <c r="E1506" s="4"/>
      <c r="F1506" s="4"/>
      <c r="G1506" s="4"/>
      <c r="H1506" s="4"/>
      <c r="I1506" s="4"/>
      <c r="J1506" s="4"/>
      <c r="K1506" s="4"/>
      <c r="L1506" s="4"/>
      <c r="M1506" s="4"/>
      <c r="N1506" s="4"/>
    </row>
    <row r="1507" spans="2:14" ht="13">
      <c r="B1507" s="4"/>
      <c r="C1507" s="4"/>
      <c r="D1507" s="4"/>
      <c r="E1507" s="4"/>
      <c r="F1507" s="4"/>
      <c r="G1507" s="4"/>
      <c r="H1507" s="4"/>
      <c r="I1507" s="4"/>
      <c r="J1507" s="4"/>
      <c r="K1507" s="4"/>
      <c r="L1507" s="4"/>
      <c r="M1507" s="4"/>
      <c r="N1507" s="4"/>
    </row>
    <row r="1508" spans="2:14" ht="13">
      <c r="B1508" s="4"/>
      <c r="C1508" s="4"/>
      <c r="D1508" s="4"/>
      <c r="E1508" s="4"/>
      <c r="F1508" s="4"/>
      <c r="G1508" s="4"/>
      <c r="H1508" s="4"/>
      <c r="I1508" s="4"/>
      <c r="J1508" s="4"/>
      <c r="K1508" s="4"/>
      <c r="L1508" s="4"/>
      <c r="M1508" s="4"/>
      <c r="N1508" s="4"/>
    </row>
    <row r="1509" spans="2:14" ht="13">
      <c r="B1509" s="4"/>
      <c r="C1509" s="4"/>
      <c r="D1509" s="4"/>
      <c r="E1509" s="4"/>
      <c r="F1509" s="4"/>
      <c r="G1509" s="4"/>
      <c r="H1509" s="4"/>
      <c r="I1509" s="4"/>
      <c r="J1509" s="4"/>
      <c r="K1509" s="4"/>
      <c r="L1509" s="4"/>
      <c r="M1509" s="4"/>
      <c r="N1509" s="4"/>
    </row>
    <row r="1510" spans="2:14" ht="13">
      <c r="B1510" s="4"/>
      <c r="C1510" s="4"/>
      <c r="D1510" s="4"/>
      <c r="E1510" s="4"/>
      <c r="F1510" s="4"/>
      <c r="G1510" s="4"/>
      <c r="H1510" s="4"/>
      <c r="I1510" s="4"/>
      <c r="J1510" s="4"/>
      <c r="K1510" s="4"/>
      <c r="L1510" s="4"/>
      <c r="M1510" s="4"/>
      <c r="N1510" s="4"/>
    </row>
    <row r="1511" spans="2:14" ht="13">
      <c r="B1511" s="4"/>
      <c r="C1511" s="4"/>
      <c r="D1511" s="4"/>
      <c r="E1511" s="4"/>
      <c r="F1511" s="4"/>
      <c r="G1511" s="4"/>
      <c r="H1511" s="4"/>
      <c r="I1511" s="4"/>
      <c r="J1511" s="4"/>
      <c r="K1511" s="4"/>
      <c r="L1511" s="4"/>
      <c r="M1511" s="4"/>
      <c r="N1511" s="4"/>
    </row>
    <row r="1512" spans="2:14" ht="13">
      <c r="B1512" s="4"/>
      <c r="C1512" s="4"/>
      <c r="D1512" s="4"/>
      <c r="E1512" s="4"/>
      <c r="F1512" s="4"/>
      <c r="G1512" s="4"/>
      <c r="H1512" s="4"/>
      <c r="I1512" s="4"/>
      <c r="J1512" s="4"/>
      <c r="K1512" s="4"/>
      <c r="L1512" s="4"/>
      <c r="M1512" s="4"/>
      <c r="N1512" s="4"/>
    </row>
    <row r="1513" spans="2:14" ht="13">
      <c r="B1513" s="4"/>
      <c r="C1513" s="4"/>
      <c r="D1513" s="4"/>
      <c r="E1513" s="4"/>
      <c r="F1513" s="4"/>
      <c r="G1513" s="4"/>
      <c r="H1513" s="4"/>
      <c r="I1513" s="4"/>
      <c r="J1513" s="4"/>
      <c r="K1513" s="4"/>
      <c r="L1513" s="4"/>
      <c r="M1513" s="4"/>
      <c r="N1513" s="4"/>
    </row>
    <row r="1514" spans="2:14" ht="13">
      <c r="B1514" s="4"/>
      <c r="C1514" s="4"/>
      <c r="D1514" s="4"/>
      <c r="E1514" s="4"/>
      <c r="F1514" s="4"/>
      <c r="G1514" s="4"/>
      <c r="H1514" s="4"/>
      <c r="I1514" s="4"/>
      <c r="J1514" s="4"/>
      <c r="K1514" s="4"/>
      <c r="L1514" s="4"/>
      <c r="M1514" s="4"/>
      <c r="N1514" s="4"/>
    </row>
    <row r="1515" spans="2:14" ht="13">
      <c r="B1515" s="4"/>
      <c r="C1515" s="4"/>
      <c r="D1515" s="4"/>
      <c r="E1515" s="4"/>
      <c r="F1515" s="4"/>
      <c r="G1515" s="4"/>
      <c r="H1515" s="4"/>
      <c r="I1515" s="4"/>
      <c r="J1515" s="4"/>
      <c r="K1515" s="4"/>
      <c r="L1515" s="4"/>
      <c r="M1515" s="4"/>
      <c r="N1515" s="4"/>
    </row>
    <row r="1516" spans="2:14" ht="13">
      <c r="B1516" s="4"/>
      <c r="C1516" s="4"/>
      <c r="D1516" s="4"/>
      <c r="E1516" s="4"/>
      <c r="F1516" s="4"/>
      <c r="G1516" s="4"/>
      <c r="H1516" s="4"/>
      <c r="I1516" s="4"/>
      <c r="J1516" s="4"/>
      <c r="K1516" s="4"/>
      <c r="L1516" s="4"/>
      <c r="M1516" s="4"/>
      <c r="N1516" s="4"/>
    </row>
    <row r="1517" spans="2:14" ht="13">
      <c r="B1517" s="4"/>
      <c r="C1517" s="4"/>
      <c r="D1517" s="4"/>
      <c r="E1517" s="4"/>
      <c r="F1517" s="4"/>
      <c r="G1517" s="4"/>
      <c r="H1517" s="4"/>
      <c r="I1517" s="4"/>
      <c r="J1517" s="4"/>
      <c r="K1517" s="4"/>
      <c r="L1517" s="4"/>
      <c r="M1517" s="4"/>
      <c r="N1517" s="4"/>
    </row>
    <row r="1518" spans="2:14" ht="13">
      <c r="B1518" s="4"/>
      <c r="C1518" s="4"/>
      <c r="D1518" s="4"/>
      <c r="E1518" s="4"/>
      <c r="F1518" s="4"/>
      <c r="G1518" s="4"/>
      <c r="H1518" s="4"/>
      <c r="I1518" s="4"/>
      <c r="J1518" s="4"/>
      <c r="K1518" s="4"/>
      <c r="L1518" s="4"/>
      <c r="M1518" s="4"/>
      <c r="N1518" s="4"/>
    </row>
    <row r="1519" spans="2:14" ht="13">
      <c r="B1519" s="4"/>
      <c r="C1519" s="4"/>
      <c r="D1519" s="4"/>
      <c r="E1519" s="4"/>
      <c r="F1519" s="4"/>
      <c r="G1519" s="4"/>
      <c r="H1519" s="4"/>
      <c r="I1519" s="4"/>
      <c r="J1519" s="4"/>
      <c r="K1519" s="4"/>
      <c r="L1519" s="4"/>
      <c r="M1519" s="4"/>
      <c r="N1519" s="4"/>
    </row>
    <row r="1520" spans="2:14" ht="13">
      <c r="B1520" s="4"/>
      <c r="C1520" s="4"/>
      <c r="D1520" s="4"/>
      <c r="E1520" s="4"/>
      <c r="F1520" s="4"/>
      <c r="G1520" s="4"/>
      <c r="H1520" s="4"/>
      <c r="I1520" s="4"/>
      <c r="J1520" s="4"/>
      <c r="K1520" s="4"/>
      <c r="L1520" s="4"/>
      <c r="M1520" s="4"/>
      <c r="N1520" s="4"/>
    </row>
    <row r="1521" spans="2:14" ht="13">
      <c r="B1521" s="4"/>
      <c r="C1521" s="4"/>
      <c r="D1521" s="4"/>
      <c r="E1521" s="4"/>
      <c r="F1521" s="4"/>
      <c r="G1521" s="4"/>
      <c r="H1521" s="4"/>
      <c r="I1521" s="4"/>
      <c r="J1521" s="4"/>
      <c r="K1521" s="4"/>
      <c r="L1521" s="4"/>
      <c r="M1521" s="4"/>
      <c r="N1521" s="4"/>
    </row>
    <row r="1522" spans="2:14" ht="13">
      <c r="B1522" s="4"/>
      <c r="C1522" s="4"/>
      <c r="D1522" s="4"/>
      <c r="E1522" s="4"/>
      <c r="F1522" s="4"/>
      <c r="G1522" s="4"/>
      <c r="H1522" s="4"/>
      <c r="I1522" s="4"/>
      <c r="J1522" s="4"/>
      <c r="K1522" s="4"/>
      <c r="L1522" s="4"/>
      <c r="M1522" s="4"/>
      <c r="N1522" s="4"/>
    </row>
    <row r="1523" spans="2:14" ht="13">
      <c r="B1523" s="4"/>
      <c r="C1523" s="4"/>
      <c r="D1523" s="4"/>
      <c r="E1523" s="4"/>
      <c r="F1523" s="4"/>
      <c r="G1523" s="4"/>
      <c r="H1523" s="4"/>
      <c r="I1523" s="4"/>
      <c r="J1523" s="4"/>
      <c r="K1523" s="4"/>
      <c r="L1523" s="4"/>
      <c r="M1523" s="4"/>
      <c r="N1523" s="4"/>
    </row>
    <row r="1524" spans="2:14" ht="13">
      <c r="B1524" s="4"/>
      <c r="C1524" s="4"/>
      <c r="D1524" s="4"/>
      <c r="E1524" s="4"/>
      <c r="F1524" s="4"/>
      <c r="G1524" s="4"/>
      <c r="H1524" s="4"/>
      <c r="I1524" s="4"/>
      <c r="J1524" s="4"/>
      <c r="K1524" s="4"/>
      <c r="L1524" s="4"/>
      <c r="M1524" s="4"/>
      <c r="N1524" s="4"/>
    </row>
    <row r="1525" spans="2:14" ht="13">
      <c r="B1525" s="4"/>
      <c r="C1525" s="4"/>
      <c r="D1525" s="4"/>
      <c r="E1525" s="4"/>
      <c r="F1525" s="4"/>
      <c r="G1525" s="4"/>
      <c r="H1525" s="4"/>
      <c r="I1525" s="4"/>
      <c r="J1525" s="4"/>
      <c r="K1525" s="4"/>
      <c r="L1525" s="4"/>
      <c r="M1525" s="4"/>
      <c r="N1525" s="4"/>
    </row>
    <row r="1526" spans="2:14" ht="13">
      <c r="B1526" s="4"/>
      <c r="C1526" s="4"/>
      <c r="D1526" s="4"/>
      <c r="E1526" s="4"/>
      <c r="F1526" s="4"/>
      <c r="G1526" s="4"/>
      <c r="H1526" s="4"/>
      <c r="I1526" s="4"/>
      <c r="J1526" s="4"/>
      <c r="K1526" s="4"/>
      <c r="L1526" s="4"/>
      <c r="M1526" s="4"/>
      <c r="N1526" s="4"/>
    </row>
    <row r="1527" spans="2:14" ht="13">
      <c r="B1527" s="4"/>
      <c r="C1527" s="4"/>
      <c r="D1527" s="4"/>
      <c r="E1527" s="4"/>
      <c r="F1527" s="4"/>
      <c r="G1527" s="4"/>
      <c r="H1527" s="4"/>
      <c r="I1527" s="4"/>
      <c r="J1527" s="4"/>
      <c r="K1527" s="4"/>
      <c r="L1527" s="4"/>
      <c r="M1527" s="4"/>
      <c r="N1527" s="4"/>
    </row>
    <row r="1528" spans="2:14" ht="13">
      <c r="B1528" s="4"/>
      <c r="C1528" s="4"/>
      <c r="D1528" s="4"/>
      <c r="E1528" s="4"/>
      <c r="F1528" s="4"/>
      <c r="G1528" s="4"/>
      <c r="H1528" s="4"/>
      <c r="I1528" s="4"/>
      <c r="J1528" s="4"/>
      <c r="K1528" s="4"/>
      <c r="L1528" s="4"/>
      <c r="M1528" s="4"/>
      <c r="N1528" s="4"/>
    </row>
    <row r="1529" spans="2:14" ht="13">
      <c r="B1529" s="4"/>
      <c r="C1529" s="4"/>
      <c r="D1529" s="4"/>
      <c r="E1529" s="4"/>
      <c r="F1529" s="4"/>
      <c r="G1529" s="4"/>
      <c r="H1529" s="4"/>
      <c r="I1529" s="4"/>
      <c r="J1529" s="4"/>
      <c r="K1529" s="4"/>
      <c r="L1529" s="4"/>
      <c r="M1529" s="4"/>
      <c r="N1529" s="4"/>
    </row>
    <row r="1530" spans="2:14" ht="13">
      <c r="B1530" s="4"/>
      <c r="C1530" s="4"/>
      <c r="D1530" s="4"/>
      <c r="E1530" s="4"/>
      <c r="F1530" s="4"/>
      <c r="G1530" s="4"/>
      <c r="H1530" s="4"/>
      <c r="I1530" s="4"/>
      <c r="J1530" s="4"/>
      <c r="K1530" s="4"/>
      <c r="L1530" s="4"/>
      <c r="M1530" s="4"/>
      <c r="N1530" s="4"/>
    </row>
    <row r="1531" spans="2:14" ht="13">
      <c r="B1531" s="4"/>
      <c r="C1531" s="4"/>
      <c r="D1531" s="4"/>
      <c r="E1531" s="4"/>
      <c r="F1531" s="4"/>
      <c r="G1531" s="4"/>
      <c r="H1531" s="4"/>
      <c r="I1531" s="4"/>
      <c r="J1531" s="4"/>
      <c r="K1531" s="4"/>
      <c r="L1531" s="4"/>
      <c r="M1531" s="4"/>
      <c r="N1531" s="4"/>
    </row>
    <row r="1532" spans="2:14" ht="13">
      <c r="B1532" s="4"/>
      <c r="C1532" s="4"/>
      <c r="D1532" s="4"/>
      <c r="E1532" s="4"/>
      <c r="F1532" s="4"/>
      <c r="G1532" s="4"/>
      <c r="H1532" s="4"/>
      <c r="I1532" s="4"/>
      <c r="J1532" s="4"/>
      <c r="K1532" s="4"/>
      <c r="L1532" s="4"/>
      <c r="M1532" s="4"/>
      <c r="N1532" s="4"/>
    </row>
    <row r="1533" spans="2:14" ht="13">
      <c r="B1533" s="4"/>
      <c r="C1533" s="4"/>
      <c r="D1533" s="4"/>
      <c r="E1533" s="4"/>
      <c r="F1533" s="4"/>
      <c r="G1533" s="4"/>
      <c r="H1533" s="4"/>
      <c r="I1533" s="4"/>
      <c r="J1533" s="4"/>
      <c r="K1533" s="4"/>
      <c r="L1533" s="4"/>
      <c r="M1533" s="4"/>
      <c r="N1533" s="4"/>
    </row>
    <row r="1534" spans="2:14" ht="13">
      <c r="B1534" s="4"/>
      <c r="C1534" s="4"/>
      <c r="D1534" s="4"/>
      <c r="E1534" s="4"/>
      <c r="F1534" s="4"/>
      <c r="G1534" s="4"/>
      <c r="H1534" s="4"/>
      <c r="I1534" s="4"/>
      <c r="J1534" s="4"/>
      <c r="K1534" s="4"/>
      <c r="L1534" s="4"/>
      <c r="M1534" s="4"/>
      <c r="N1534" s="4"/>
    </row>
    <row r="1535" spans="2:14" ht="13">
      <c r="B1535" s="4"/>
      <c r="C1535" s="4"/>
      <c r="D1535" s="4"/>
      <c r="E1535" s="4"/>
      <c r="F1535" s="4"/>
      <c r="G1535" s="4"/>
      <c r="H1535" s="4"/>
      <c r="I1535" s="4"/>
      <c r="J1535" s="4"/>
      <c r="K1535" s="4"/>
      <c r="L1535" s="4"/>
      <c r="M1535" s="4"/>
      <c r="N1535" s="4"/>
    </row>
    <row r="1536" spans="2:14" ht="13">
      <c r="B1536" s="4"/>
      <c r="C1536" s="4"/>
      <c r="D1536" s="4"/>
      <c r="E1536" s="4"/>
      <c r="F1536" s="4"/>
      <c r="G1536" s="4"/>
      <c r="H1536" s="4"/>
      <c r="I1536" s="4"/>
      <c r="J1536" s="4"/>
      <c r="K1536" s="4"/>
      <c r="L1536" s="4"/>
      <c r="M1536" s="4"/>
      <c r="N1536" s="4"/>
    </row>
    <row r="1537" spans="2:14" ht="13">
      <c r="B1537" s="4"/>
      <c r="C1537" s="4"/>
      <c r="D1537" s="4"/>
      <c r="E1537" s="4"/>
      <c r="F1537" s="4"/>
      <c r="G1537" s="4"/>
      <c r="H1537" s="4"/>
      <c r="I1537" s="4"/>
      <c r="J1537" s="4"/>
      <c r="K1537" s="4"/>
      <c r="L1537" s="4"/>
      <c r="M1537" s="4"/>
      <c r="N1537" s="4"/>
    </row>
    <row r="1538" spans="2:14" ht="13">
      <c r="B1538" s="4"/>
      <c r="C1538" s="4"/>
      <c r="D1538" s="4"/>
      <c r="E1538" s="4"/>
      <c r="F1538" s="4"/>
      <c r="G1538" s="4"/>
      <c r="H1538" s="4"/>
      <c r="I1538" s="4"/>
      <c r="J1538" s="4"/>
      <c r="K1538" s="4"/>
      <c r="L1538" s="4"/>
      <c r="M1538" s="4"/>
      <c r="N1538" s="4"/>
    </row>
    <row r="1539" spans="2:14" ht="13">
      <c r="B1539" s="4"/>
      <c r="C1539" s="4"/>
      <c r="D1539" s="4"/>
      <c r="E1539" s="4"/>
      <c r="F1539" s="4"/>
      <c r="G1539" s="4"/>
      <c r="H1539" s="4"/>
      <c r="I1539" s="4"/>
      <c r="J1539" s="4"/>
      <c r="K1539" s="4"/>
      <c r="L1539" s="4"/>
      <c r="M1539" s="4"/>
      <c r="N1539" s="4"/>
    </row>
    <row r="1540" spans="2:14" ht="13">
      <c r="B1540" s="4"/>
      <c r="C1540" s="4"/>
      <c r="D1540" s="4"/>
      <c r="E1540" s="4"/>
      <c r="F1540" s="4"/>
      <c r="G1540" s="4"/>
      <c r="H1540" s="4"/>
      <c r="I1540" s="4"/>
      <c r="J1540" s="4"/>
      <c r="K1540" s="4"/>
      <c r="L1540" s="4"/>
      <c r="M1540" s="4"/>
      <c r="N1540" s="4"/>
    </row>
    <row r="1541" spans="2:14" ht="13">
      <c r="B1541" s="4"/>
      <c r="C1541" s="4"/>
      <c r="D1541" s="4"/>
      <c r="E1541" s="4"/>
      <c r="F1541" s="4"/>
      <c r="G1541" s="4"/>
      <c r="H1541" s="4"/>
      <c r="I1541" s="4"/>
      <c r="J1541" s="4"/>
      <c r="K1541" s="4"/>
      <c r="L1541" s="4"/>
      <c r="M1541" s="4"/>
      <c r="N1541" s="4"/>
    </row>
    <row r="1542" spans="2:14" ht="13">
      <c r="B1542" s="4"/>
      <c r="C1542" s="4"/>
      <c r="D1542" s="4"/>
      <c r="E1542" s="4"/>
      <c r="F1542" s="4"/>
      <c r="G1542" s="4"/>
      <c r="H1542" s="4"/>
      <c r="I1542" s="4"/>
      <c r="J1542" s="4"/>
      <c r="K1542" s="4"/>
      <c r="L1542" s="4"/>
      <c r="M1542" s="4"/>
      <c r="N1542" s="4"/>
    </row>
    <row r="1543" spans="2:14" ht="13">
      <c r="B1543" s="4"/>
      <c r="C1543" s="4"/>
      <c r="D1543" s="4"/>
      <c r="E1543" s="4"/>
      <c r="F1543" s="4"/>
      <c r="G1543" s="4"/>
      <c r="H1543" s="4"/>
      <c r="I1543" s="4"/>
      <c r="J1543" s="4"/>
      <c r="K1543" s="4"/>
      <c r="L1543" s="4"/>
      <c r="M1543" s="4"/>
      <c r="N1543" s="4"/>
    </row>
    <row r="1544" spans="2:14" ht="13">
      <c r="B1544" s="4"/>
      <c r="C1544" s="4"/>
      <c r="D1544" s="4"/>
      <c r="E1544" s="4"/>
      <c r="F1544" s="4"/>
      <c r="G1544" s="4"/>
      <c r="H1544" s="4"/>
      <c r="I1544" s="4"/>
      <c r="J1544" s="4"/>
      <c r="K1544" s="4"/>
      <c r="L1544" s="4"/>
      <c r="M1544" s="4"/>
      <c r="N1544" s="4"/>
    </row>
    <row r="1545" spans="2:14" ht="13">
      <c r="B1545" s="4"/>
      <c r="C1545" s="4"/>
      <c r="D1545" s="4"/>
      <c r="E1545" s="4"/>
      <c r="F1545" s="4"/>
      <c r="G1545" s="4"/>
      <c r="H1545" s="4"/>
      <c r="I1545" s="4"/>
      <c r="J1545" s="4"/>
      <c r="K1545" s="4"/>
      <c r="L1545" s="4"/>
      <c r="M1545" s="4"/>
      <c r="N1545" s="4"/>
    </row>
    <row r="1546" spans="2:14" ht="13">
      <c r="B1546" s="4"/>
      <c r="C1546" s="4"/>
      <c r="D1546" s="4"/>
      <c r="E1546" s="4"/>
      <c r="F1546" s="4"/>
      <c r="G1546" s="4"/>
      <c r="H1546" s="4"/>
      <c r="I1546" s="4"/>
      <c r="J1546" s="4"/>
      <c r="K1546" s="4"/>
      <c r="L1546" s="4"/>
      <c r="M1546" s="4"/>
      <c r="N1546" s="4"/>
    </row>
    <row r="1547" spans="2:14" ht="13">
      <c r="B1547" s="4"/>
      <c r="C1547" s="4"/>
      <c r="D1547" s="4"/>
      <c r="E1547" s="4"/>
      <c r="F1547" s="4"/>
      <c r="G1547" s="4"/>
      <c r="H1547" s="4"/>
      <c r="I1547" s="4"/>
      <c r="J1547" s="4"/>
      <c r="K1547" s="4"/>
      <c r="L1547" s="4"/>
      <c r="M1547" s="4"/>
      <c r="N1547" s="4"/>
    </row>
    <row r="1548" spans="2:14" ht="13">
      <c r="B1548" s="4"/>
      <c r="C1548" s="4"/>
      <c r="D1548" s="4"/>
      <c r="E1548" s="4"/>
      <c r="F1548" s="4"/>
      <c r="G1548" s="4"/>
      <c r="H1548" s="4"/>
      <c r="I1548" s="4"/>
      <c r="J1548" s="4"/>
      <c r="K1548" s="4"/>
      <c r="L1548" s="4"/>
      <c r="M1548" s="4"/>
      <c r="N1548" s="4"/>
    </row>
    <row r="1549" spans="2:14" ht="13">
      <c r="B1549" s="4"/>
      <c r="C1549" s="4"/>
      <c r="D1549" s="4"/>
      <c r="E1549" s="4"/>
      <c r="F1549" s="4"/>
      <c r="G1549" s="4"/>
      <c r="H1549" s="4"/>
      <c r="I1549" s="4"/>
      <c r="J1549" s="4"/>
      <c r="K1549" s="4"/>
      <c r="L1549" s="4"/>
      <c r="M1549" s="4"/>
      <c r="N1549" s="4"/>
    </row>
    <row r="1550" spans="2:14" ht="13">
      <c r="B1550" s="4"/>
      <c r="C1550" s="4"/>
      <c r="D1550" s="4"/>
      <c r="E1550" s="4"/>
      <c r="F1550" s="4"/>
      <c r="G1550" s="4"/>
      <c r="H1550" s="4"/>
      <c r="I1550" s="4"/>
      <c r="J1550" s="4"/>
      <c r="K1550" s="4"/>
      <c r="L1550" s="4"/>
      <c r="M1550" s="4"/>
      <c r="N1550" s="4"/>
    </row>
    <row r="1551" spans="2:14" ht="13">
      <c r="B1551" s="4"/>
      <c r="C1551" s="4"/>
      <c r="D1551" s="4"/>
      <c r="E1551" s="4"/>
      <c r="F1551" s="4"/>
      <c r="G1551" s="4"/>
      <c r="H1551" s="4"/>
      <c r="I1551" s="4"/>
      <c r="J1551" s="4"/>
      <c r="K1551" s="4"/>
      <c r="L1551" s="4"/>
      <c r="M1551" s="4"/>
      <c r="N1551" s="4"/>
    </row>
    <row r="1552" spans="2:14" ht="13">
      <c r="B1552" s="4"/>
      <c r="C1552" s="4"/>
      <c r="D1552" s="4"/>
      <c r="E1552" s="4"/>
      <c r="F1552" s="4"/>
      <c r="G1552" s="4"/>
      <c r="H1552" s="4"/>
      <c r="I1552" s="4"/>
      <c r="J1552" s="4"/>
      <c r="K1552" s="4"/>
      <c r="L1552" s="4"/>
      <c r="M1552" s="4"/>
      <c r="N1552" s="4"/>
    </row>
    <row r="1553" spans="2:14" ht="13">
      <c r="B1553" s="4"/>
      <c r="C1553" s="4"/>
      <c r="D1553" s="4"/>
      <c r="E1553" s="4"/>
      <c r="F1553" s="4"/>
      <c r="G1553" s="4"/>
      <c r="H1553" s="4"/>
      <c r="I1553" s="4"/>
      <c r="J1553" s="4"/>
      <c r="K1553" s="4"/>
      <c r="L1553" s="4"/>
      <c r="M1553" s="4"/>
      <c r="N1553" s="4"/>
    </row>
    <row r="1554" spans="2:14" ht="13">
      <c r="B1554" s="4"/>
      <c r="C1554" s="4"/>
      <c r="D1554" s="4"/>
      <c r="E1554" s="4"/>
      <c r="F1554" s="4"/>
      <c r="G1554" s="4"/>
      <c r="H1554" s="4"/>
      <c r="I1554" s="4"/>
      <c r="J1554" s="4"/>
      <c r="K1554" s="4"/>
      <c r="L1554" s="4"/>
      <c r="M1554" s="4"/>
      <c r="N1554" s="4"/>
    </row>
    <row r="1555" spans="2:14" ht="13">
      <c r="B1555" s="4"/>
      <c r="C1555" s="4"/>
      <c r="D1555" s="4"/>
      <c r="E1555" s="4"/>
      <c r="F1555" s="4"/>
      <c r="G1555" s="4"/>
      <c r="H1555" s="4"/>
      <c r="I1555" s="4"/>
      <c r="J1555" s="4"/>
      <c r="K1555" s="4"/>
      <c r="L1555" s="4"/>
      <c r="M1555" s="4"/>
      <c r="N1555" s="4"/>
    </row>
    <row r="1556" spans="2:14" ht="13">
      <c r="B1556" s="4"/>
      <c r="C1556" s="4"/>
      <c r="D1556" s="4"/>
      <c r="E1556" s="4"/>
      <c r="F1556" s="4"/>
      <c r="G1556" s="4"/>
      <c r="H1556" s="4"/>
      <c r="I1556" s="4"/>
      <c r="J1556" s="4"/>
      <c r="K1556" s="4"/>
      <c r="L1556" s="4"/>
      <c r="M1556" s="4"/>
      <c r="N1556" s="4"/>
    </row>
    <row r="1557" spans="2:14" ht="13">
      <c r="B1557" s="4"/>
      <c r="C1557" s="4"/>
      <c r="D1557" s="4"/>
      <c r="E1557" s="4"/>
      <c r="F1557" s="4"/>
      <c r="G1557" s="4"/>
      <c r="H1557" s="4"/>
      <c r="I1557" s="4"/>
      <c r="J1557" s="4"/>
      <c r="K1557" s="4"/>
      <c r="L1557" s="4"/>
      <c r="M1557" s="4"/>
      <c r="N1557" s="4"/>
    </row>
    <row r="1558" spans="2:14" ht="13">
      <c r="B1558" s="4"/>
      <c r="C1558" s="4"/>
      <c r="D1558" s="4"/>
      <c r="E1558" s="4"/>
      <c r="F1558" s="4"/>
      <c r="G1558" s="4"/>
      <c r="H1558" s="4"/>
      <c r="I1558" s="4"/>
      <c r="J1558" s="4"/>
      <c r="K1558" s="4"/>
      <c r="L1558" s="4"/>
      <c r="M1558" s="4"/>
      <c r="N1558" s="4"/>
    </row>
    <row r="1559" spans="2:14" ht="13">
      <c r="B1559" s="4"/>
      <c r="C1559" s="4"/>
      <c r="D1559" s="4"/>
      <c r="E1559" s="4"/>
      <c r="F1559" s="4"/>
      <c r="G1559" s="4"/>
      <c r="H1559" s="4"/>
      <c r="I1559" s="4"/>
      <c r="J1559" s="4"/>
      <c r="K1559" s="4"/>
      <c r="L1559" s="4"/>
      <c r="M1559" s="4"/>
      <c r="N1559" s="4"/>
    </row>
    <row r="1560" spans="2:14" ht="13">
      <c r="B1560" s="4"/>
      <c r="C1560" s="4"/>
      <c r="D1560" s="4"/>
      <c r="E1560" s="4"/>
      <c r="F1560" s="4"/>
      <c r="G1560" s="4"/>
      <c r="H1560" s="4"/>
      <c r="I1560" s="4"/>
      <c r="J1560" s="4"/>
      <c r="K1560" s="4"/>
      <c r="L1560" s="4"/>
      <c r="M1560" s="4"/>
      <c r="N1560" s="4"/>
    </row>
    <row r="1561" spans="2:14" ht="13">
      <c r="B1561" s="4"/>
      <c r="C1561" s="4"/>
      <c r="D1561" s="4"/>
      <c r="E1561" s="4"/>
      <c r="F1561" s="4"/>
      <c r="G1561" s="4"/>
      <c r="H1561" s="4"/>
      <c r="I1561" s="4"/>
      <c r="J1561" s="4"/>
      <c r="K1561" s="4"/>
      <c r="L1561" s="4"/>
      <c r="M1561" s="4"/>
      <c r="N1561" s="4"/>
    </row>
    <row r="1562" spans="2:14" ht="13">
      <c r="B1562" s="4"/>
      <c r="C1562" s="4"/>
      <c r="D1562" s="4"/>
      <c r="E1562" s="4"/>
      <c r="F1562" s="4"/>
      <c r="G1562" s="4"/>
      <c r="H1562" s="4"/>
      <c r="I1562" s="4"/>
      <c r="J1562" s="4"/>
      <c r="K1562" s="4"/>
      <c r="L1562" s="4"/>
      <c r="M1562" s="4"/>
      <c r="N1562" s="4"/>
    </row>
    <row r="1563" spans="2:14" ht="13">
      <c r="B1563" s="4"/>
      <c r="C1563" s="4"/>
      <c r="D1563" s="4"/>
      <c r="E1563" s="4"/>
      <c r="F1563" s="4"/>
      <c r="G1563" s="4"/>
      <c r="H1563" s="4"/>
      <c r="I1563" s="4"/>
      <c r="J1563" s="4"/>
      <c r="K1563" s="4"/>
      <c r="L1563" s="4"/>
      <c r="M1563" s="4"/>
      <c r="N1563" s="4"/>
    </row>
    <row r="1564" spans="2:14" ht="13">
      <c r="B1564" s="4"/>
      <c r="C1564" s="4"/>
      <c r="D1564" s="4"/>
      <c r="E1564" s="4"/>
      <c r="F1564" s="4"/>
      <c r="G1564" s="4"/>
      <c r="H1564" s="4"/>
      <c r="I1564" s="4"/>
      <c r="J1564" s="4"/>
      <c r="K1564" s="4"/>
      <c r="L1564" s="4"/>
      <c r="M1564" s="4"/>
      <c r="N1564" s="4"/>
    </row>
    <row r="1565" spans="2:14" ht="13">
      <c r="B1565" s="4"/>
      <c r="C1565" s="4"/>
      <c r="D1565" s="4"/>
      <c r="E1565" s="4"/>
      <c r="F1565" s="4"/>
      <c r="G1565" s="4"/>
      <c r="H1565" s="4"/>
      <c r="I1565" s="4"/>
      <c r="J1565" s="4"/>
      <c r="K1565" s="4"/>
      <c r="L1565" s="4"/>
      <c r="M1565" s="4"/>
      <c r="N1565" s="4"/>
    </row>
    <row r="1566" spans="2:14" ht="13">
      <c r="B1566" s="4"/>
      <c r="C1566" s="4"/>
      <c r="D1566" s="4"/>
      <c r="E1566" s="4"/>
      <c r="F1566" s="4"/>
      <c r="G1566" s="4"/>
      <c r="H1566" s="4"/>
      <c r="I1566" s="4"/>
      <c r="J1566" s="4"/>
      <c r="K1566" s="4"/>
      <c r="L1566" s="4"/>
      <c r="M1566" s="4"/>
      <c r="N1566" s="4"/>
    </row>
    <row r="1567" spans="2:14" ht="13">
      <c r="B1567" s="4"/>
      <c r="C1567" s="4"/>
      <c r="D1567" s="4"/>
      <c r="E1567" s="4"/>
      <c r="F1567" s="4"/>
      <c r="G1567" s="4"/>
      <c r="H1567" s="4"/>
      <c r="I1567" s="4"/>
      <c r="J1567" s="4"/>
      <c r="K1567" s="4"/>
      <c r="L1567" s="4"/>
      <c r="M1567" s="4"/>
      <c r="N1567" s="4"/>
    </row>
    <row r="1568" spans="2:14" ht="13">
      <c r="B1568" s="4"/>
      <c r="C1568" s="4"/>
      <c r="D1568" s="4"/>
      <c r="E1568" s="4"/>
      <c r="F1568" s="4"/>
      <c r="G1568" s="4"/>
      <c r="H1568" s="4"/>
      <c r="I1568" s="4"/>
      <c r="J1568" s="4"/>
      <c r="K1568" s="4"/>
      <c r="L1568" s="4"/>
      <c r="M1568" s="4"/>
      <c r="N1568" s="4"/>
    </row>
    <row r="1569" spans="2:14" ht="13">
      <c r="B1569" s="4"/>
      <c r="C1569" s="4"/>
      <c r="D1569" s="4"/>
      <c r="E1569" s="4"/>
      <c r="F1569" s="4"/>
      <c r="G1569" s="4"/>
      <c r="H1569" s="4"/>
      <c r="I1569" s="4"/>
      <c r="J1569" s="4"/>
      <c r="K1569" s="4"/>
      <c r="L1569" s="4"/>
      <c r="M1569" s="4"/>
      <c r="N1569" s="4"/>
    </row>
    <row r="1570" spans="2:14" ht="13">
      <c r="B1570" s="4"/>
      <c r="C1570" s="4"/>
      <c r="D1570" s="4"/>
      <c r="E1570" s="4"/>
      <c r="F1570" s="4"/>
      <c r="G1570" s="4"/>
      <c r="H1570" s="4"/>
      <c r="I1570" s="4"/>
      <c r="J1570" s="4"/>
      <c r="K1570" s="4"/>
      <c r="L1570" s="4"/>
      <c r="M1570" s="4"/>
      <c r="N1570" s="4"/>
    </row>
    <row r="1571" spans="2:14" ht="13">
      <c r="B1571" s="4"/>
      <c r="C1571" s="4"/>
      <c r="D1571" s="4"/>
      <c r="E1571" s="4"/>
      <c r="F1571" s="4"/>
      <c r="G1571" s="4"/>
      <c r="H1571" s="4"/>
      <c r="I1571" s="4"/>
      <c r="J1571" s="4"/>
      <c r="K1571" s="4"/>
      <c r="L1571" s="4"/>
      <c r="M1571" s="4"/>
      <c r="N1571" s="4"/>
    </row>
    <row r="1572" spans="2:14" ht="13">
      <c r="B1572" s="4"/>
      <c r="C1572" s="4"/>
      <c r="D1572" s="4"/>
      <c r="E1572" s="4"/>
      <c r="F1572" s="4"/>
      <c r="G1572" s="4"/>
      <c r="H1572" s="4"/>
      <c r="I1572" s="4"/>
      <c r="J1572" s="4"/>
      <c r="K1572" s="4"/>
      <c r="L1572" s="4"/>
      <c r="M1572" s="4"/>
      <c r="N1572" s="4"/>
    </row>
    <row r="1573" spans="2:14" ht="13">
      <c r="B1573" s="4"/>
      <c r="C1573" s="4"/>
      <c r="D1573" s="4"/>
      <c r="E1573" s="4"/>
      <c r="F1573" s="4"/>
      <c r="G1573" s="4"/>
      <c r="H1573" s="4"/>
      <c r="I1573" s="4"/>
      <c r="J1573" s="4"/>
      <c r="K1573" s="4"/>
      <c r="L1573" s="4"/>
      <c r="M1573" s="4"/>
      <c r="N1573" s="4"/>
    </row>
    <row r="1574" spans="2:14" ht="13">
      <c r="B1574" s="4"/>
      <c r="C1574" s="4"/>
      <c r="D1574" s="4"/>
      <c r="E1574" s="4"/>
      <c r="F1574" s="4"/>
      <c r="G1574" s="4"/>
      <c r="H1574" s="4"/>
      <c r="I1574" s="4"/>
      <c r="J1574" s="4"/>
      <c r="K1574" s="4"/>
      <c r="L1574" s="4"/>
      <c r="M1574" s="4"/>
      <c r="N1574" s="4"/>
    </row>
    <row r="1575" spans="2:14" ht="13">
      <c r="B1575" s="4"/>
      <c r="C1575" s="4"/>
      <c r="D1575" s="4"/>
      <c r="E1575" s="4"/>
      <c r="F1575" s="4"/>
      <c r="G1575" s="4"/>
      <c r="H1575" s="4"/>
      <c r="I1575" s="4"/>
      <c r="J1575" s="4"/>
      <c r="K1575" s="4"/>
      <c r="L1575" s="4"/>
      <c r="M1575" s="4"/>
      <c r="N1575" s="4"/>
    </row>
    <row r="1576" spans="2:14" ht="13">
      <c r="B1576" s="4"/>
      <c r="C1576" s="4"/>
      <c r="D1576" s="4"/>
      <c r="E1576" s="4"/>
      <c r="F1576" s="4"/>
      <c r="G1576" s="4"/>
      <c r="H1576" s="4"/>
      <c r="I1576" s="4"/>
      <c r="J1576" s="4"/>
      <c r="K1576" s="4"/>
      <c r="L1576" s="4"/>
      <c r="M1576" s="4"/>
      <c r="N1576" s="4"/>
    </row>
    <row r="1577" spans="2:14" ht="13">
      <c r="B1577" s="4"/>
      <c r="C1577" s="4"/>
      <c r="D1577" s="4"/>
      <c r="E1577" s="4"/>
      <c r="F1577" s="4"/>
      <c r="G1577" s="4"/>
      <c r="H1577" s="4"/>
      <c r="I1577" s="4"/>
      <c r="J1577" s="4"/>
      <c r="K1577" s="4"/>
      <c r="L1577" s="4"/>
      <c r="M1577" s="4"/>
      <c r="N1577" s="4"/>
    </row>
    <row r="1578" spans="2:14" ht="13">
      <c r="B1578" s="4"/>
      <c r="C1578" s="4"/>
      <c r="D1578" s="4"/>
      <c r="E1578" s="4"/>
      <c r="F1578" s="4"/>
      <c r="G1578" s="4"/>
      <c r="H1578" s="4"/>
      <c r="I1578" s="4"/>
      <c r="J1578" s="4"/>
      <c r="K1578" s="4"/>
      <c r="L1578" s="4"/>
      <c r="M1578" s="4"/>
      <c r="N1578" s="4"/>
    </row>
    <row r="1579" spans="2:14" ht="13">
      <c r="B1579" s="4"/>
      <c r="C1579" s="4"/>
      <c r="D1579" s="4"/>
      <c r="E1579" s="4"/>
      <c r="F1579" s="4"/>
      <c r="G1579" s="4"/>
      <c r="H1579" s="4"/>
      <c r="I1579" s="4"/>
      <c r="J1579" s="4"/>
      <c r="K1579" s="4"/>
      <c r="L1579" s="4"/>
      <c r="M1579" s="4"/>
      <c r="N1579" s="4"/>
    </row>
    <row r="1580" spans="2:14" ht="13">
      <c r="B1580" s="4"/>
      <c r="C1580" s="4"/>
      <c r="D1580" s="4"/>
      <c r="E1580" s="4"/>
      <c r="F1580" s="4"/>
      <c r="G1580" s="4"/>
      <c r="H1580" s="4"/>
      <c r="I1580" s="4"/>
      <c r="J1580" s="4"/>
      <c r="K1580" s="4"/>
      <c r="L1580" s="4"/>
      <c r="M1580" s="4"/>
      <c r="N1580" s="4"/>
    </row>
    <row r="1581" spans="2:14" ht="13">
      <c r="B1581" s="4"/>
      <c r="C1581" s="4"/>
      <c r="D1581" s="4"/>
      <c r="E1581" s="4"/>
      <c r="F1581" s="4"/>
      <c r="G1581" s="4"/>
      <c r="H1581" s="4"/>
      <c r="I1581" s="4"/>
      <c r="J1581" s="4"/>
      <c r="K1581" s="4"/>
      <c r="L1581" s="4"/>
      <c r="M1581" s="4"/>
      <c r="N1581" s="4"/>
    </row>
    <row r="1582" spans="2:14" ht="13">
      <c r="B1582" s="4"/>
      <c r="C1582" s="4"/>
      <c r="D1582" s="4"/>
      <c r="E1582" s="4"/>
      <c r="F1582" s="4"/>
      <c r="G1582" s="4"/>
      <c r="H1582" s="4"/>
      <c r="I1582" s="4"/>
      <c r="J1582" s="4"/>
      <c r="K1582" s="4"/>
      <c r="L1582" s="4"/>
      <c r="M1582" s="4"/>
      <c r="N1582" s="4"/>
    </row>
    <row r="1583" spans="2:14" ht="13">
      <c r="B1583" s="4"/>
      <c r="C1583" s="4"/>
      <c r="D1583" s="4"/>
      <c r="E1583" s="4"/>
      <c r="F1583" s="4"/>
      <c r="G1583" s="4"/>
      <c r="H1583" s="4"/>
      <c r="I1583" s="4"/>
      <c r="J1583" s="4"/>
      <c r="K1583" s="4"/>
      <c r="L1583" s="4"/>
      <c r="M1583" s="4"/>
      <c r="N1583" s="4"/>
    </row>
    <row r="1584" spans="2:14" ht="13">
      <c r="B1584" s="4"/>
      <c r="C1584" s="4"/>
      <c r="D1584" s="4"/>
      <c r="E1584" s="4"/>
      <c r="F1584" s="4"/>
      <c r="G1584" s="4"/>
      <c r="H1584" s="4"/>
      <c r="I1584" s="4"/>
      <c r="J1584" s="4"/>
      <c r="K1584" s="4"/>
      <c r="L1584" s="4"/>
      <c r="M1584" s="4"/>
      <c r="N1584" s="4"/>
    </row>
    <row r="1585" spans="2:14" ht="13">
      <c r="B1585" s="4"/>
      <c r="C1585" s="4"/>
      <c r="D1585" s="4"/>
      <c r="E1585" s="4"/>
      <c r="F1585" s="4"/>
      <c r="G1585" s="4"/>
      <c r="H1585" s="4"/>
      <c r="I1585" s="4"/>
      <c r="J1585" s="4"/>
      <c r="K1585" s="4"/>
      <c r="L1585" s="4"/>
      <c r="M1585" s="4"/>
      <c r="N1585" s="4"/>
    </row>
    <row r="1586" spans="2:14" ht="13">
      <c r="B1586" s="4"/>
      <c r="C1586" s="4"/>
      <c r="D1586" s="4"/>
      <c r="E1586" s="4"/>
      <c r="F1586" s="4"/>
      <c r="G1586" s="4"/>
      <c r="H1586" s="4"/>
      <c r="I1586" s="4"/>
      <c r="J1586" s="4"/>
      <c r="K1586" s="4"/>
      <c r="L1586" s="4"/>
      <c r="M1586" s="4"/>
      <c r="N1586" s="4"/>
    </row>
    <row r="1587" spans="2:14" ht="13">
      <c r="B1587" s="4"/>
      <c r="C1587" s="4"/>
      <c r="D1587" s="4"/>
      <c r="E1587" s="4"/>
      <c r="F1587" s="4"/>
      <c r="G1587" s="4"/>
      <c r="H1587" s="4"/>
      <c r="I1587" s="4"/>
      <c r="J1587" s="4"/>
      <c r="K1587" s="4"/>
      <c r="L1587" s="4"/>
      <c r="M1587" s="4"/>
      <c r="N1587" s="4"/>
    </row>
    <row r="1588" spans="2:14" ht="13">
      <c r="B1588" s="4"/>
      <c r="C1588" s="4"/>
      <c r="D1588" s="4"/>
      <c r="E1588" s="4"/>
      <c r="F1588" s="4"/>
      <c r="G1588" s="4"/>
      <c r="H1588" s="4"/>
      <c r="I1588" s="4"/>
      <c r="J1588" s="4"/>
      <c r="K1588" s="4"/>
      <c r="L1588" s="4"/>
      <c r="M1588" s="4"/>
      <c r="N1588" s="4"/>
    </row>
    <row r="1589" spans="2:14" ht="13">
      <c r="B1589" s="4"/>
      <c r="C1589" s="4"/>
      <c r="D1589" s="4"/>
      <c r="E1589" s="4"/>
      <c r="F1589" s="4"/>
      <c r="G1589" s="4"/>
      <c r="H1589" s="4"/>
      <c r="I1589" s="4"/>
      <c r="J1589" s="4"/>
      <c r="K1589" s="4"/>
      <c r="L1589" s="4"/>
      <c r="M1589" s="4"/>
      <c r="N1589" s="4"/>
    </row>
    <row r="1590" spans="2:14" ht="13">
      <c r="B1590" s="4"/>
      <c r="C1590" s="4"/>
      <c r="D1590" s="4"/>
      <c r="E1590" s="4"/>
      <c r="F1590" s="4"/>
      <c r="G1590" s="4"/>
      <c r="H1590" s="4"/>
      <c r="I1590" s="4"/>
      <c r="J1590" s="4"/>
      <c r="K1590" s="4"/>
      <c r="L1590" s="4"/>
      <c r="M1590" s="4"/>
      <c r="N1590" s="4"/>
    </row>
    <row r="1591" spans="2:14" ht="13">
      <c r="B1591" s="4"/>
      <c r="C1591" s="4"/>
      <c r="D1591" s="4"/>
      <c r="E1591" s="4"/>
      <c r="F1591" s="4"/>
      <c r="G1591" s="4"/>
      <c r="H1591" s="4"/>
      <c r="I1591" s="4"/>
      <c r="J1591" s="4"/>
      <c r="K1591" s="4"/>
      <c r="L1591" s="4"/>
      <c r="M1591" s="4"/>
      <c r="N1591" s="4"/>
    </row>
    <row r="1592" spans="2:14" ht="13">
      <c r="B1592" s="4"/>
      <c r="C1592" s="4"/>
      <c r="D1592" s="4"/>
      <c r="E1592" s="4"/>
      <c r="F1592" s="4"/>
      <c r="G1592" s="4"/>
      <c r="H1592" s="4"/>
      <c r="I1592" s="4"/>
      <c r="J1592" s="4"/>
      <c r="K1592" s="4"/>
      <c r="L1592" s="4"/>
      <c r="M1592" s="4"/>
      <c r="N1592" s="4"/>
    </row>
    <row r="1593" spans="2:14" ht="13">
      <c r="B1593" s="4"/>
      <c r="C1593" s="4"/>
      <c r="D1593" s="4"/>
      <c r="E1593" s="4"/>
      <c r="F1593" s="4"/>
      <c r="G1593" s="4"/>
      <c r="H1593" s="4"/>
      <c r="I1593" s="4"/>
      <c r="J1593" s="4"/>
      <c r="K1593" s="4"/>
      <c r="L1593" s="4"/>
      <c r="M1593" s="4"/>
      <c r="N1593" s="4"/>
    </row>
    <row r="1594" spans="2:14" ht="13">
      <c r="B1594" s="4"/>
      <c r="C1594" s="4"/>
      <c r="D1594" s="4"/>
      <c r="E1594" s="4"/>
      <c r="F1594" s="4"/>
      <c r="G1594" s="4"/>
      <c r="H1594" s="4"/>
      <c r="I1594" s="4"/>
      <c r="J1594" s="4"/>
      <c r="K1594" s="4"/>
      <c r="L1594" s="4"/>
      <c r="M1594" s="4"/>
      <c r="N1594" s="4"/>
    </row>
    <row r="1595" spans="2:14" ht="13">
      <c r="B1595" s="4"/>
      <c r="C1595" s="4"/>
      <c r="D1595" s="4"/>
      <c r="E1595" s="4"/>
      <c r="F1595" s="4"/>
      <c r="G1595" s="4"/>
      <c r="H1595" s="4"/>
      <c r="I1595" s="4"/>
      <c r="J1595" s="4"/>
      <c r="K1595" s="4"/>
      <c r="L1595" s="4"/>
      <c r="M1595" s="4"/>
      <c r="N1595" s="4"/>
    </row>
    <row r="1596" spans="2:14" ht="13">
      <c r="B1596" s="4"/>
      <c r="C1596" s="4"/>
      <c r="D1596" s="4"/>
      <c r="E1596" s="4"/>
      <c r="F1596" s="4"/>
      <c r="G1596" s="4"/>
      <c r="H1596" s="4"/>
      <c r="I1596" s="4"/>
      <c r="J1596" s="4"/>
      <c r="K1596" s="4"/>
      <c r="L1596" s="4"/>
      <c r="M1596" s="4"/>
      <c r="N1596" s="4"/>
    </row>
    <row r="1597" spans="2:14" ht="13">
      <c r="B1597" s="4"/>
      <c r="C1597" s="4"/>
      <c r="D1597" s="4"/>
      <c r="E1597" s="4"/>
      <c r="F1597" s="4"/>
      <c r="G1597" s="4"/>
      <c r="H1597" s="4"/>
      <c r="I1597" s="4"/>
      <c r="J1597" s="4"/>
      <c r="K1597" s="4"/>
      <c r="L1597" s="4"/>
      <c r="M1597" s="4"/>
      <c r="N1597" s="4"/>
    </row>
    <row r="1598" spans="2:14" ht="13">
      <c r="B1598" s="4"/>
      <c r="C1598" s="4"/>
      <c r="D1598" s="4"/>
      <c r="E1598" s="4"/>
      <c r="F1598" s="4"/>
      <c r="G1598" s="4"/>
      <c r="H1598" s="4"/>
      <c r="I1598" s="4"/>
      <c r="J1598" s="4"/>
      <c r="K1598" s="4"/>
      <c r="L1598" s="4"/>
      <c r="M1598" s="4"/>
      <c r="N1598" s="4"/>
    </row>
    <row r="1599" spans="2:14" ht="13">
      <c r="B1599" s="4"/>
      <c r="C1599" s="4"/>
      <c r="D1599" s="4"/>
      <c r="E1599" s="4"/>
      <c r="F1599" s="4"/>
      <c r="G1599" s="4"/>
      <c r="H1599" s="4"/>
      <c r="I1599" s="4"/>
      <c r="J1599" s="4"/>
      <c r="K1599" s="4"/>
      <c r="L1599" s="4"/>
      <c r="M1599" s="4"/>
      <c r="N1599" s="4"/>
    </row>
    <row r="1600" spans="2:14" ht="13">
      <c r="B1600" s="4"/>
      <c r="C1600" s="4"/>
      <c r="D1600" s="4"/>
      <c r="E1600" s="4"/>
      <c r="F1600" s="4"/>
      <c r="G1600" s="4"/>
      <c r="H1600" s="4"/>
      <c r="I1600" s="4"/>
      <c r="J1600" s="4"/>
      <c r="K1600" s="4"/>
      <c r="L1600" s="4"/>
      <c r="M1600" s="4"/>
      <c r="N1600" s="4"/>
    </row>
    <row r="1601" spans="2:14" ht="13">
      <c r="B1601" s="4"/>
      <c r="C1601" s="4"/>
      <c r="D1601" s="4"/>
      <c r="E1601" s="4"/>
      <c r="F1601" s="4"/>
      <c r="G1601" s="4"/>
      <c r="H1601" s="4"/>
      <c r="I1601" s="4"/>
      <c r="J1601" s="4"/>
      <c r="K1601" s="4"/>
      <c r="L1601" s="4"/>
      <c r="M1601" s="4"/>
      <c r="N1601" s="4"/>
    </row>
    <row r="1602" spans="2:14" ht="13">
      <c r="B1602" s="4"/>
      <c r="C1602" s="4"/>
      <c r="D1602" s="4"/>
      <c r="E1602" s="4"/>
      <c r="F1602" s="4"/>
      <c r="G1602" s="4"/>
      <c r="H1602" s="4"/>
      <c r="I1602" s="4"/>
      <c r="J1602" s="4"/>
      <c r="K1602" s="4"/>
      <c r="L1602" s="4"/>
      <c r="M1602" s="4"/>
      <c r="N1602" s="4"/>
    </row>
    <row r="1603" spans="2:14" ht="13">
      <c r="B1603" s="4"/>
      <c r="C1603" s="4"/>
      <c r="D1603" s="4"/>
      <c r="E1603" s="4"/>
      <c r="F1603" s="4"/>
      <c r="G1603" s="4"/>
      <c r="H1603" s="4"/>
      <c r="I1603" s="4"/>
      <c r="J1603" s="4"/>
      <c r="K1603" s="4"/>
      <c r="L1603" s="4"/>
      <c r="M1603" s="4"/>
      <c r="N1603" s="4"/>
    </row>
    <row r="1604" spans="2:14" ht="13">
      <c r="B1604" s="4"/>
      <c r="C1604" s="4"/>
      <c r="D1604" s="4"/>
      <c r="E1604" s="4"/>
      <c r="F1604" s="4"/>
      <c r="G1604" s="4"/>
      <c r="H1604" s="4"/>
      <c r="I1604" s="4"/>
      <c r="J1604" s="4"/>
      <c r="K1604" s="4"/>
      <c r="L1604" s="4"/>
      <c r="M1604" s="4"/>
      <c r="N1604" s="4"/>
    </row>
    <row r="1605" spans="2:14" ht="13">
      <c r="B1605" s="4"/>
      <c r="C1605" s="4"/>
      <c r="D1605" s="4"/>
      <c r="E1605" s="4"/>
      <c r="F1605" s="4"/>
      <c r="G1605" s="4"/>
      <c r="H1605" s="4"/>
      <c r="I1605" s="4"/>
      <c r="J1605" s="4"/>
      <c r="K1605" s="4"/>
      <c r="L1605" s="4"/>
      <c r="M1605" s="4"/>
      <c r="N1605" s="4"/>
    </row>
    <row r="1606" spans="2:14" ht="13">
      <c r="B1606" s="4"/>
      <c r="C1606" s="4"/>
      <c r="D1606" s="4"/>
      <c r="E1606" s="4"/>
      <c r="F1606" s="4"/>
      <c r="G1606" s="4"/>
      <c r="H1606" s="4"/>
      <c r="I1606" s="4"/>
      <c r="J1606" s="4"/>
      <c r="K1606" s="4"/>
      <c r="L1606" s="4"/>
      <c r="M1606" s="4"/>
      <c r="N1606" s="4"/>
    </row>
    <row r="1607" spans="2:14" ht="13">
      <c r="B1607" s="4"/>
      <c r="C1607" s="4"/>
      <c r="D1607" s="4"/>
      <c r="E1607" s="4"/>
      <c r="F1607" s="4"/>
      <c r="G1607" s="4"/>
      <c r="H1607" s="4"/>
      <c r="I1607" s="4"/>
      <c r="J1607" s="4"/>
      <c r="K1607" s="4"/>
      <c r="L1607" s="4"/>
      <c r="M1607" s="4"/>
      <c r="N1607" s="4"/>
    </row>
    <row r="1608" spans="2:14" ht="13">
      <c r="B1608" s="4"/>
      <c r="C1608" s="4"/>
      <c r="D1608" s="4"/>
      <c r="E1608" s="4"/>
      <c r="F1608" s="4"/>
      <c r="G1608" s="4"/>
      <c r="H1608" s="4"/>
      <c r="I1608" s="4"/>
      <c r="J1608" s="4"/>
      <c r="K1608" s="4"/>
      <c r="L1608" s="4"/>
      <c r="M1608" s="4"/>
      <c r="N1608" s="4"/>
    </row>
    <row r="1609" spans="2:14" ht="13">
      <c r="B1609" s="4"/>
      <c r="C1609" s="4"/>
      <c r="D1609" s="4"/>
      <c r="E1609" s="4"/>
      <c r="F1609" s="4"/>
      <c r="G1609" s="4"/>
      <c r="H1609" s="4"/>
      <c r="I1609" s="4"/>
      <c r="J1609" s="4"/>
      <c r="K1609" s="4"/>
      <c r="L1609" s="4"/>
      <c r="M1609" s="4"/>
      <c r="N1609" s="4"/>
    </row>
    <row r="1610" spans="2:14" ht="13">
      <c r="B1610" s="4"/>
      <c r="C1610" s="4"/>
      <c r="D1610" s="4"/>
      <c r="E1610" s="4"/>
      <c r="F1610" s="4"/>
      <c r="G1610" s="4"/>
      <c r="H1610" s="4"/>
      <c r="I1610" s="4"/>
      <c r="J1610" s="4"/>
      <c r="K1610" s="4"/>
      <c r="L1610" s="4"/>
      <c r="M1610" s="4"/>
      <c r="N1610" s="4"/>
    </row>
    <row r="1611" spans="2:14" ht="13">
      <c r="B1611" s="4"/>
      <c r="C1611" s="4"/>
      <c r="D1611" s="4"/>
      <c r="E1611" s="4"/>
      <c r="F1611" s="4"/>
      <c r="G1611" s="4"/>
      <c r="H1611" s="4"/>
      <c r="I1611" s="4"/>
      <c r="J1611" s="4"/>
      <c r="K1611" s="4"/>
      <c r="L1611" s="4"/>
      <c r="M1611" s="4"/>
      <c r="N1611" s="4"/>
    </row>
    <row r="1612" spans="2:14" ht="13">
      <c r="B1612" s="4"/>
      <c r="C1612" s="4"/>
      <c r="D1612" s="4"/>
      <c r="E1612" s="4"/>
      <c r="F1612" s="4"/>
      <c r="G1612" s="4"/>
      <c r="H1612" s="4"/>
      <c r="I1612" s="4"/>
      <c r="J1612" s="4"/>
      <c r="K1612" s="4"/>
      <c r="L1612" s="4"/>
      <c r="M1612" s="4"/>
      <c r="N1612" s="4"/>
    </row>
    <row r="1613" spans="2:14" ht="13">
      <c r="B1613" s="4"/>
      <c r="C1613" s="4"/>
      <c r="D1613" s="4"/>
      <c r="E1613" s="4"/>
      <c r="F1613" s="4"/>
      <c r="G1613" s="4"/>
      <c r="H1613" s="4"/>
      <c r="I1613" s="4"/>
      <c r="J1613" s="4"/>
      <c r="K1613" s="4"/>
      <c r="L1613" s="4"/>
      <c r="M1613" s="4"/>
      <c r="N1613" s="4"/>
    </row>
    <row r="1614" spans="2:14" ht="13">
      <c r="B1614" s="4"/>
      <c r="C1614" s="4"/>
      <c r="D1614" s="4"/>
      <c r="E1614" s="4"/>
      <c r="F1614" s="4"/>
      <c r="G1614" s="4"/>
      <c r="H1614" s="4"/>
      <c r="I1614" s="4"/>
      <c r="J1614" s="4"/>
      <c r="K1614" s="4"/>
      <c r="L1614" s="4"/>
      <c r="M1614" s="4"/>
      <c r="N1614" s="4"/>
    </row>
    <row r="1615" spans="2:14" ht="13">
      <c r="B1615" s="4"/>
      <c r="C1615" s="4"/>
      <c r="D1615" s="4"/>
      <c r="E1615" s="4"/>
      <c r="F1615" s="4"/>
      <c r="G1615" s="4"/>
      <c r="H1615" s="4"/>
      <c r="I1615" s="4"/>
      <c r="J1615" s="4"/>
      <c r="K1615" s="4"/>
      <c r="L1615" s="4"/>
      <c r="M1615" s="4"/>
      <c r="N1615" s="4"/>
    </row>
    <row r="1616" spans="2:14" ht="13">
      <c r="B1616" s="4"/>
      <c r="C1616" s="4"/>
      <c r="D1616" s="4"/>
      <c r="E1616" s="4"/>
      <c r="F1616" s="4"/>
      <c r="G1616" s="4"/>
      <c r="H1616" s="4"/>
      <c r="I1616" s="4"/>
      <c r="J1616" s="4"/>
      <c r="K1616" s="4"/>
      <c r="L1616" s="4"/>
      <c r="M1616" s="4"/>
      <c r="N1616" s="4"/>
    </row>
    <row r="1617" spans="2:14" ht="13">
      <c r="B1617" s="4"/>
      <c r="C1617" s="4"/>
      <c r="D1617" s="4"/>
      <c r="E1617" s="4"/>
      <c r="F1617" s="4"/>
      <c r="G1617" s="4"/>
      <c r="H1617" s="4"/>
      <c r="I1617" s="4"/>
      <c r="J1617" s="4"/>
      <c r="K1617" s="4"/>
      <c r="L1617" s="4"/>
      <c r="M1617" s="4"/>
      <c r="N1617" s="4"/>
    </row>
    <row r="1618" spans="2:14" ht="13">
      <c r="B1618" s="4"/>
      <c r="C1618" s="4"/>
      <c r="D1618" s="4"/>
      <c r="E1618" s="4"/>
      <c r="F1618" s="4"/>
      <c r="G1618" s="4"/>
      <c r="H1618" s="4"/>
      <c r="I1618" s="4"/>
      <c r="J1618" s="4"/>
      <c r="K1618" s="4"/>
      <c r="L1618" s="4"/>
      <c r="M1618" s="4"/>
      <c r="N1618" s="4"/>
    </row>
    <row r="1619" spans="2:14" ht="13">
      <c r="B1619" s="4"/>
      <c r="C1619" s="4"/>
      <c r="D1619" s="4"/>
      <c r="E1619" s="4"/>
      <c r="F1619" s="4"/>
      <c r="G1619" s="4"/>
      <c r="H1619" s="4"/>
      <c r="I1619" s="4"/>
      <c r="J1619" s="4"/>
      <c r="K1619" s="4"/>
      <c r="L1619" s="4"/>
      <c r="M1619" s="4"/>
      <c r="N1619" s="4"/>
    </row>
    <row r="1620" spans="2:14" ht="13">
      <c r="B1620" s="4"/>
      <c r="C1620" s="4"/>
      <c r="D1620" s="4"/>
      <c r="E1620" s="4"/>
      <c r="F1620" s="4"/>
      <c r="G1620" s="4"/>
      <c r="H1620" s="4"/>
      <c r="I1620" s="4"/>
      <c r="J1620" s="4"/>
      <c r="K1620" s="4"/>
      <c r="L1620" s="4"/>
      <c r="M1620" s="4"/>
      <c r="N1620" s="4"/>
    </row>
    <row r="1621" spans="2:14" ht="13">
      <c r="B1621" s="4"/>
      <c r="C1621" s="4"/>
      <c r="D1621" s="4"/>
      <c r="E1621" s="4"/>
      <c r="F1621" s="4"/>
      <c r="G1621" s="4"/>
      <c r="H1621" s="4"/>
      <c r="I1621" s="4"/>
      <c r="J1621" s="4"/>
      <c r="K1621" s="4"/>
      <c r="L1621" s="4"/>
      <c r="M1621" s="4"/>
      <c r="N1621" s="4"/>
    </row>
    <row r="1622" spans="2:14" ht="13">
      <c r="B1622" s="4"/>
      <c r="C1622" s="4"/>
      <c r="D1622" s="4"/>
      <c r="E1622" s="4"/>
      <c r="F1622" s="4"/>
      <c r="G1622" s="4"/>
      <c r="H1622" s="4"/>
      <c r="I1622" s="4"/>
      <c r="J1622" s="4"/>
      <c r="K1622" s="4"/>
      <c r="L1622" s="4"/>
      <c r="M1622" s="4"/>
      <c r="N1622" s="4"/>
    </row>
    <row r="1623" spans="2:14" ht="13">
      <c r="B1623" s="4"/>
      <c r="C1623" s="4"/>
      <c r="D1623" s="4"/>
      <c r="E1623" s="4"/>
      <c r="F1623" s="4"/>
      <c r="G1623" s="4"/>
      <c r="H1623" s="4"/>
      <c r="I1623" s="4"/>
      <c r="J1623" s="4"/>
      <c r="K1623" s="4"/>
      <c r="L1623" s="4"/>
      <c r="M1623" s="4"/>
      <c r="N1623" s="4"/>
    </row>
    <row r="1624" spans="2:14" ht="13">
      <c r="B1624" s="4"/>
      <c r="C1624" s="4"/>
      <c r="D1624" s="4"/>
      <c r="E1624" s="4"/>
      <c r="F1624" s="4"/>
      <c r="G1624" s="4"/>
      <c r="H1624" s="4"/>
      <c r="I1624" s="4"/>
      <c r="J1624" s="4"/>
      <c r="K1624" s="4"/>
      <c r="L1624" s="4"/>
      <c r="M1624" s="4"/>
      <c r="N1624" s="4"/>
    </row>
    <row r="1625" spans="2:14" ht="13">
      <c r="B1625" s="4"/>
      <c r="C1625" s="4"/>
      <c r="D1625" s="4"/>
      <c r="E1625" s="4"/>
      <c r="F1625" s="4"/>
      <c r="G1625" s="4"/>
      <c r="H1625" s="4"/>
      <c r="I1625" s="4"/>
      <c r="J1625" s="4"/>
      <c r="K1625" s="4"/>
      <c r="L1625" s="4"/>
      <c r="M1625" s="4"/>
      <c r="N1625" s="4"/>
    </row>
    <row r="1626" spans="2:14" ht="13">
      <c r="B1626" s="4"/>
      <c r="C1626" s="4"/>
      <c r="D1626" s="4"/>
      <c r="E1626" s="4"/>
      <c r="F1626" s="4"/>
      <c r="G1626" s="4"/>
      <c r="H1626" s="4"/>
      <c r="I1626" s="4"/>
      <c r="J1626" s="4"/>
      <c r="K1626" s="4"/>
      <c r="L1626" s="4"/>
      <c r="M1626" s="4"/>
      <c r="N1626" s="4"/>
    </row>
    <row r="1627" spans="2:14" ht="13">
      <c r="B1627" s="4"/>
      <c r="C1627" s="4"/>
      <c r="D1627" s="4"/>
      <c r="E1627" s="4"/>
      <c r="F1627" s="4"/>
      <c r="G1627" s="4"/>
      <c r="H1627" s="4"/>
      <c r="I1627" s="4"/>
      <c r="J1627" s="4"/>
      <c r="K1627" s="4"/>
      <c r="L1627" s="4"/>
      <c r="M1627" s="4"/>
      <c r="N1627" s="4"/>
    </row>
    <row r="1628" spans="2:14" ht="13">
      <c r="B1628" s="4"/>
      <c r="C1628" s="4"/>
      <c r="D1628" s="4"/>
      <c r="E1628" s="4"/>
      <c r="F1628" s="4"/>
      <c r="G1628" s="4"/>
      <c r="H1628" s="4"/>
      <c r="I1628" s="4"/>
      <c r="J1628" s="4"/>
      <c r="K1628" s="4"/>
      <c r="L1628" s="4"/>
      <c r="M1628" s="4"/>
      <c r="N1628" s="4"/>
    </row>
    <row r="1629" spans="2:14" ht="13">
      <c r="B1629" s="4"/>
      <c r="C1629" s="4"/>
      <c r="D1629" s="4"/>
      <c r="E1629" s="4"/>
      <c r="F1629" s="4"/>
      <c r="G1629" s="4"/>
      <c r="H1629" s="4"/>
      <c r="I1629" s="4"/>
      <c r="J1629" s="4"/>
      <c r="K1629" s="4"/>
      <c r="L1629" s="4"/>
      <c r="M1629" s="4"/>
      <c r="N1629" s="4"/>
    </row>
    <row r="1630" spans="2:14" ht="13">
      <c r="B1630" s="4"/>
      <c r="C1630" s="4"/>
      <c r="D1630" s="4"/>
      <c r="E1630" s="4"/>
      <c r="F1630" s="4"/>
      <c r="G1630" s="4"/>
      <c r="H1630" s="4"/>
      <c r="I1630" s="4"/>
      <c r="J1630" s="4"/>
      <c r="K1630" s="4"/>
      <c r="L1630" s="4"/>
      <c r="M1630" s="4"/>
      <c r="N1630" s="4"/>
    </row>
    <row r="1631" spans="2:14" ht="13">
      <c r="B1631" s="4"/>
      <c r="C1631" s="4"/>
      <c r="D1631" s="4"/>
      <c r="E1631" s="4"/>
      <c r="F1631" s="4"/>
      <c r="G1631" s="4"/>
      <c r="H1631" s="4"/>
      <c r="I1631" s="4"/>
      <c r="J1631" s="4"/>
      <c r="K1631" s="4"/>
      <c r="L1631" s="4"/>
      <c r="M1631" s="4"/>
      <c r="N1631" s="4"/>
    </row>
    <row r="1632" spans="2:14" ht="13">
      <c r="B1632" s="4"/>
      <c r="C1632" s="4"/>
      <c r="D1632" s="4"/>
      <c r="E1632" s="4"/>
      <c r="F1632" s="4"/>
      <c r="G1632" s="4"/>
      <c r="H1632" s="4"/>
      <c r="I1632" s="4"/>
      <c r="J1632" s="4"/>
      <c r="K1632" s="4"/>
      <c r="L1632" s="4"/>
      <c r="M1632" s="4"/>
      <c r="N1632" s="4"/>
    </row>
    <row r="1633" spans="2:14" ht="13">
      <c r="B1633" s="4"/>
      <c r="C1633" s="4"/>
      <c r="D1633" s="4"/>
      <c r="E1633" s="4"/>
      <c r="F1633" s="4"/>
      <c r="G1633" s="4"/>
      <c r="H1633" s="4"/>
      <c r="I1633" s="4"/>
      <c r="J1633" s="4"/>
      <c r="K1633" s="4"/>
      <c r="L1633" s="4"/>
      <c r="M1633" s="4"/>
      <c r="N1633" s="4"/>
    </row>
    <row r="1634" spans="2:14" ht="13">
      <c r="B1634" s="4"/>
      <c r="C1634" s="4"/>
      <c r="D1634" s="4"/>
      <c r="E1634" s="4"/>
      <c r="F1634" s="4"/>
      <c r="G1634" s="4"/>
      <c r="H1634" s="4"/>
      <c r="I1634" s="4"/>
      <c r="J1634" s="4"/>
      <c r="K1634" s="4"/>
      <c r="L1634" s="4"/>
      <c r="M1634" s="4"/>
      <c r="N1634" s="4"/>
    </row>
    <row r="1635" spans="2:14" ht="13">
      <c r="B1635" s="4"/>
      <c r="C1635" s="4"/>
      <c r="D1635" s="4"/>
      <c r="E1635" s="4"/>
      <c r="F1635" s="4"/>
      <c r="G1635" s="4"/>
      <c r="H1635" s="4"/>
      <c r="I1635" s="4"/>
      <c r="J1635" s="4"/>
      <c r="K1635" s="4"/>
      <c r="L1635" s="4"/>
      <c r="M1635" s="4"/>
      <c r="N1635" s="4"/>
    </row>
    <row r="1636" spans="2:14" ht="13">
      <c r="B1636" s="4"/>
      <c r="C1636" s="4"/>
      <c r="D1636" s="4"/>
      <c r="E1636" s="4"/>
      <c r="F1636" s="4"/>
      <c r="G1636" s="4"/>
      <c r="H1636" s="4"/>
      <c r="I1636" s="4"/>
      <c r="J1636" s="4"/>
      <c r="K1636" s="4"/>
      <c r="L1636" s="4"/>
      <c r="M1636" s="4"/>
      <c r="N1636" s="4"/>
    </row>
    <row r="1637" spans="2:14" ht="13">
      <c r="B1637" s="4"/>
      <c r="C1637" s="4"/>
      <c r="D1637" s="4"/>
      <c r="E1637" s="4"/>
      <c r="F1637" s="4"/>
      <c r="G1637" s="4"/>
      <c r="H1637" s="4"/>
      <c r="I1637" s="4"/>
      <c r="J1637" s="4"/>
      <c r="K1637" s="4"/>
      <c r="L1637" s="4"/>
      <c r="M1637" s="4"/>
      <c r="N1637" s="4"/>
    </row>
    <row r="1638" spans="2:14" ht="13">
      <c r="B1638" s="4"/>
      <c r="C1638" s="4"/>
      <c r="D1638" s="4"/>
      <c r="E1638" s="4"/>
      <c r="F1638" s="4"/>
      <c r="G1638" s="4"/>
      <c r="H1638" s="4"/>
      <c r="I1638" s="4"/>
      <c r="J1638" s="4"/>
      <c r="K1638" s="4"/>
      <c r="L1638" s="4"/>
      <c r="M1638" s="4"/>
      <c r="N1638" s="4"/>
    </row>
    <row r="1639" spans="2:14" ht="13">
      <c r="B1639" s="4"/>
      <c r="C1639" s="4"/>
      <c r="D1639" s="4"/>
      <c r="E1639" s="4"/>
      <c r="F1639" s="4"/>
      <c r="G1639" s="4"/>
      <c r="H1639" s="4"/>
      <c r="I1639" s="4"/>
      <c r="J1639" s="4"/>
      <c r="K1639" s="4"/>
      <c r="L1639" s="4"/>
      <c r="M1639" s="4"/>
      <c r="N1639" s="4"/>
    </row>
    <row r="1640" spans="2:14" ht="13">
      <c r="B1640" s="4"/>
      <c r="C1640" s="4"/>
      <c r="D1640" s="4"/>
      <c r="E1640" s="4"/>
      <c r="F1640" s="4"/>
      <c r="G1640" s="4"/>
      <c r="H1640" s="4"/>
      <c r="I1640" s="4"/>
      <c r="J1640" s="4"/>
      <c r="K1640" s="4"/>
      <c r="L1640" s="4"/>
      <c r="M1640" s="4"/>
      <c r="N1640" s="4"/>
    </row>
    <row r="1641" spans="2:14" ht="13">
      <c r="B1641" s="4"/>
      <c r="C1641" s="4"/>
      <c r="D1641" s="4"/>
      <c r="E1641" s="4"/>
      <c r="F1641" s="4"/>
      <c r="G1641" s="4"/>
      <c r="H1641" s="4"/>
      <c r="I1641" s="4"/>
      <c r="J1641" s="4"/>
      <c r="K1641" s="4"/>
      <c r="L1641" s="4"/>
      <c r="M1641" s="4"/>
      <c r="N1641" s="4"/>
    </row>
    <row r="1642" spans="2:14" ht="13">
      <c r="B1642" s="4"/>
      <c r="C1642" s="4"/>
      <c r="D1642" s="4"/>
      <c r="E1642" s="4"/>
      <c r="F1642" s="4"/>
      <c r="G1642" s="4"/>
      <c r="H1642" s="4"/>
      <c r="I1642" s="4"/>
      <c r="J1642" s="4"/>
      <c r="K1642" s="4"/>
      <c r="L1642" s="4"/>
      <c r="M1642" s="4"/>
      <c r="N1642" s="4"/>
    </row>
    <row r="1643" spans="2:14" ht="13">
      <c r="B1643" s="4"/>
      <c r="C1643" s="4"/>
      <c r="D1643" s="4"/>
      <c r="E1643" s="4"/>
      <c r="F1643" s="4"/>
      <c r="G1643" s="4"/>
      <c r="H1643" s="4"/>
      <c r="I1643" s="4"/>
      <c r="J1643" s="4"/>
      <c r="K1643" s="4"/>
      <c r="L1643" s="4"/>
      <c r="M1643" s="4"/>
      <c r="N1643" s="4"/>
    </row>
    <row r="1644" spans="2:14" ht="13">
      <c r="B1644" s="4"/>
      <c r="C1644" s="4"/>
      <c r="D1644" s="4"/>
      <c r="E1644" s="4"/>
      <c r="F1644" s="4"/>
      <c r="G1644" s="4"/>
      <c r="H1644" s="4"/>
      <c r="I1644" s="4"/>
      <c r="J1644" s="4"/>
      <c r="K1644" s="4"/>
      <c r="L1644" s="4"/>
      <c r="M1644" s="4"/>
      <c r="N1644" s="4"/>
    </row>
    <row r="1645" spans="2:14" ht="13">
      <c r="B1645" s="4"/>
      <c r="C1645" s="4"/>
      <c r="D1645" s="4"/>
      <c r="E1645" s="4"/>
      <c r="F1645" s="4"/>
      <c r="G1645" s="4"/>
      <c r="H1645" s="4"/>
      <c r="I1645" s="4"/>
      <c r="J1645" s="4"/>
      <c r="K1645" s="4"/>
      <c r="L1645" s="4"/>
      <c r="M1645" s="4"/>
      <c r="N1645" s="4"/>
    </row>
    <row r="1646" spans="2:14" ht="13">
      <c r="B1646" s="4"/>
      <c r="C1646" s="4"/>
      <c r="D1646" s="4"/>
      <c r="E1646" s="4"/>
      <c r="F1646" s="4"/>
      <c r="G1646" s="4"/>
      <c r="H1646" s="4"/>
      <c r="I1646" s="4"/>
      <c r="J1646" s="4"/>
      <c r="K1646" s="4"/>
      <c r="L1646" s="4"/>
      <c r="M1646" s="4"/>
      <c r="N1646" s="4"/>
    </row>
    <row r="1647" spans="2:14" ht="13">
      <c r="B1647" s="4"/>
      <c r="C1647" s="4"/>
      <c r="D1647" s="4"/>
      <c r="E1647" s="4"/>
      <c r="F1647" s="4"/>
      <c r="G1647" s="4"/>
      <c r="H1647" s="4"/>
      <c r="I1647" s="4"/>
      <c r="J1647" s="4"/>
      <c r="K1647" s="4"/>
      <c r="L1647" s="4"/>
      <c r="M1647" s="4"/>
      <c r="N1647" s="4"/>
    </row>
    <row r="1648" spans="2:14" ht="13">
      <c r="B1648" s="4"/>
      <c r="C1648" s="4"/>
      <c r="D1648" s="4"/>
      <c r="E1648" s="4"/>
      <c r="F1648" s="4"/>
      <c r="G1648" s="4"/>
      <c r="H1648" s="4"/>
      <c r="I1648" s="4"/>
      <c r="J1648" s="4"/>
      <c r="K1648" s="4"/>
      <c r="L1648" s="4"/>
      <c r="M1648" s="4"/>
      <c r="N1648" s="4"/>
    </row>
    <row r="1649" spans="2:14" ht="13">
      <c r="B1649" s="4"/>
      <c r="C1649" s="4"/>
      <c r="D1649" s="4"/>
      <c r="E1649" s="4"/>
      <c r="F1649" s="4"/>
      <c r="G1649" s="4"/>
      <c r="H1649" s="4"/>
      <c r="I1649" s="4"/>
      <c r="J1649" s="4"/>
      <c r="K1649" s="4"/>
      <c r="L1649" s="4"/>
      <c r="M1649" s="4"/>
      <c r="N1649" s="4"/>
    </row>
    <row r="1650" spans="2:14" ht="13">
      <c r="B1650" s="4"/>
      <c r="C1650" s="4"/>
      <c r="D1650" s="4"/>
      <c r="E1650" s="4"/>
      <c r="F1650" s="4"/>
      <c r="G1650" s="4"/>
      <c r="H1650" s="4"/>
      <c r="I1650" s="4"/>
      <c r="J1650" s="4"/>
      <c r="K1650" s="4"/>
      <c r="L1650" s="4"/>
      <c r="M1650" s="4"/>
      <c r="N1650" s="4"/>
    </row>
    <row r="1651" spans="2:14" ht="13">
      <c r="B1651" s="4"/>
      <c r="C1651" s="4"/>
      <c r="D1651" s="4"/>
      <c r="E1651" s="4"/>
      <c r="F1651" s="4"/>
      <c r="G1651" s="4"/>
      <c r="H1651" s="4"/>
      <c r="I1651" s="4"/>
      <c r="J1651" s="4"/>
      <c r="K1651" s="4"/>
      <c r="L1651" s="4"/>
      <c r="M1651" s="4"/>
      <c r="N1651" s="4"/>
    </row>
    <row r="1652" spans="2:14" ht="13">
      <c r="B1652" s="4"/>
      <c r="C1652" s="4"/>
      <c r="D1652" s="4"/>
      <c r="E1652" s="4"/>
      <c r="F1652" s="4"/>
      <c r="G1652" s="4"/>
      <c r="H1652" s="4"/>
      <c r="I1652" s="4"/>
      <c r="J1652" s="4"/>
      <c r="K1652" s="4"/>
      <c r="L1652" s="4"/>
      <c r="M1652" s="4"/>
      <c r="N1652" s="4"/>
    </row>
    <row r="1653" spans="2:14" ht="13">
      <c r="B1653" s="4"/>
      <c r="C1653" s="4"/>
      <c r="D1653" s="4"/>
      <c r="E1653" s="4"/>
      <c r="F1653" s="4"/>
      <c r="G1653" s="4"/>
      <c r="H1653" s="4"/>
      <c r="I1653" s="4"/>
      <c r="J1653" s="4"/>
      <c r="K1653" s="4"/>
      <c r="L1653" s="4"/>
      <c r="M1653" s="4"/>
      <c r="N1653" s="4"/>
    </row>
    <row r="1654" spans="2:14" ht="13">
      <c r="B1654" s="4"/>
      <c r="C1654" s="4"/>
      <c r="D1654" s="4"/>
      <c r="E1654" s="4"/>
      <c r="F1654" s="4"/>
      <c r="G1654" s="4"/>
      <c r="H1654" s="4"/>
      <c r="I1654" s="4"/>
      <c r="J1654" s="4"/>
      <c r="K1654" s="4"/>
      <c r="L1654" s="4"/>
      <c r="M1654" s="4"/>
      <c r="N1654" s="4"/>
    </row>
    <row r="1655" spans="2:14" ht="13">
      <c r="B1655" s="4"/>
      <c r="C1655" s="4"/>
      <c r="D1655" s="4"/>
      <c r="E1655" s="4"/>
      <c r="F1655" s="4"/>
      <c r="G1655" s="4"/>
      <c r="H1655" s="4"/>
      <c r="I1655" s="4"/>
      <c r="J1655" s="4"/>
      <c r="K1655" s="4"/>
      <c r="L1655" s="4"/>
      <c r="M1655" s="4"/>
      <c r="N1655" s="4"/>
    </row>
    <row r="1656" spans="2:14" ht="13">
      <c r="B1656" s="4"/>
      <c r="C1656" s="4"/>
      <c r="D1656" s="4"/>
      <c r="E1656" s="4"/>
      <c r="F1656" s="4"/>
      <c r="G1656" s="4"/>
      <c r="H1656" s="4"/>
      <c r="I1656" s="4"/>
      <c r="J1656" s="4"/>
      <c r="K1656" s="4"/>
      <c r="L1656" s="4"/>
      <c r="M1656" s="4"/>
      <c r="N1656" s="4"/>
    </row>
    <row r="1657" spans="2:14" ht="13">
      <c r="B1657" s="4"/>
      <c r="C1657" s="4"/>
      <c r="D1657" s="4"/>
      <c r="E1657" s="4"/>
      <c r="F1657" s="4"/>
      <c r="G1657" s="4"/>
      <c r="H1657" s="4"/>
      <c r="I1657" s="4"/>
      <c r="J1657" s="4"/>
      <c r="K1657" s="4"/>
      <c r="L1657" s="4"/>
      <c r="M1657" s="4"/>
      <c r="N1657" s="4"/>
    </row>
    <row r="1658" spans="2:14" ht="13">
      <c r="B1658" s="4"/>
      <c r="C1658" s="4"/>
      <c r="D1658" s="4"/>
      <c r="E1658" s="4"/>
      <c r="F1658" s="4"/>
      <c r="G1658" s="4"/>
      <c r="H1658" s="4"/>
      <c r="I1658" s="4"/>
      <c r="J1658" s="4"/>
      <c r="K1658" s="4"/>
      <c r="L1658" s="4"/>
      <c r="M1658" s="4"/>
      <c r="N1658" s="4"/>
    </row>
    <row r="1659" spans="2:14" ht="13">
      <c r="B1659" s="4"/>
      <c r="C1659" s="4"/>
      <c r="D1659" s="4"/>
      <c r="E1659" s="4"/>
      <c r="F1659" s="4"/>
      <c r="G1659" s="4"/>
      <c r="H1659" s="4"/>
      <c r="I1659" s="4"/>
      <c r="J1659" s="4"/>
      <c r="K1659" s="4"/>
      <c r="L1659" s="4"/>
      <c r="M1659" s="4"/>
      <c r="N1659" s="4"/>
    </row>
    <row r="1660" spans="2:14" ht="13">
      <c r="B1660" s="4"/>
      <c r="C1660" s="4"/>
      <c r="D1660" s="4"/>
      <c r="E1660" s="4"/>
      <c r="F1660" s="4"/>
      <c r="G1660" s="4"/>
      <c r="H1660" s="4"/>
      <c r="I1660" s="4"/>
      <c r="J1660" s="4"/>
      <c r="K1660" s="4"/>
      <c r="L1660" s="4"/>
      <c r="M1660" s="4"/>
      <c r="N1660" s="4"/>
    </row>
    <row r="1661" spans="2:14" ht="13">
      <c r="B1661" s="4"/>
      <c r="C1661" s="4"/>
      <c r="D1661" s="4"/>
      <c r="E1661" s="4"/>
      <c r="F1661" s="4"/>
      <c r="G1661" s="4"/>
      <c r="H1661" s="4"/>
      <c r="I1661" s="4"/>
      <c r="J1661" s="4"/>
      <c r="K1661" s="4"/>
      <c r="L1661" s="4"/>
      <c r="M1661" s="4"/>
      <c r="N1661" s="4"/>
    </row>
    <row r="1662" spans="2:14" ht="13">
      <c r="B1662" s="4"/>
      <c r="C1662" s="4"/>
      <c r="D1662" s="4"/>
      <c r="E1662" s="4"/>
      <c r="F1662" s="4"/>
      <c r="G1662" s="4"/>
      <c r="H1662" s="4"/>
      <c r="I1662" s="4"/>
      <c r="J1662" s="4"/>
      <c r="K1662" s="4"/>
      <c r="L1662" s="4"/>
      <c r="M1662" s="4"/>
      <c r="N1662" s="4"/>
    </row>
    <row r="1663" spans="2:14" ht="13">
      <c r="B1663" s="4"/>
      <c r="C1663" s="4"/>
      <c r="D1663" s="4"/>
      <c r="E1663" s="4"/>
      <c r="F1663" s="4"/>
      <c r="G1663" s="4"/>
      <c r="H1663" s="4"/>
      <c r="I1663" s="4"/>
      <c r="J1663" s="4"/>
      <c r="K1663" s="4"/>
      <c r="L1663" s="4"/>
      <c r="M1663" s="4"/>
      <c r="N1663" s="4"/>
    </row>
    <row r="1664" spans="2:14" ht="13">
      <c r="B1664" s="4"/>
      <c r="C1664" s="4"/>
      <c r="D1664" s="4"/>
      <c r="E1664" s="4"/>
      <c r="F1664" s="4"/>
      <c r="G1664" s="4"/>
      <c r="H1664" s="4"/>
      <c r="I1664" s="4"/>
      <c r="J1664" s="4"/>
      <c r="K1664" s="4"/>
      <c r="L1664" s="4"/>
      <c r="M1664" s="4"/>
      <c r="N1664" s="4"/>
    </row>
    <row r="1665" spans="2:14" ht="13">
      <c r="B1665" s="4"/>
      <c r="C1665" s="4"/>
      <c r="D1665" s="4"/>
      <c r="E1665" s="4"/>
      <c r="F1665" s="4"/>
      <c r="G1665" s="4"/>
      <c r="H1665" s="4"/>
      <c r="I1665" s="4"/>
      <c r="J1665" s="4"/>
      <c r="K1665" s="4"/>
      <c r="L1665" s="4"/>
      <c r="M1665" s="4"/>
      <c r="N1665" s="4"/>
    </row>
    <row r="1666" spans="2:14" ht="13">
      <c r="B1666" s="4"/>
      <c r="C1666" s="4"/>
      <c r="D1666" s="4"/>
      <c r="E1666" s="4"/>
      <c r="F1666" s="4"/>
      <c r="G1666" s="4"/>
      <c r="H1666" s="4"/>
      <c r="I1666" s="4"/>
      <c r="J1666" s="4"/>
      <c r="K1666" s="4"/>
      <c r="L1666" s="4"/>
      <c r="M1666" s="4"/>
      <c r="N1666" s="4"/>
    </row>
    <row r="1667" spans="2:14" ht="13">
      <c r="B1667" s="4"/>
      <c r="C1667" s="4"/>
      <c r="D1667" s="4"/>
      <c r="E1667" s="4"/>
      <c r="F1667" s="4"/>
      <c r="G1667" s="4"/>
      <c r="H1667" s="4"/>
      <c r="I1667" s="4"/>
      <c r="J1667" s="4"/>
      <c r="K1667" s="4"/>
      <c r="L1667" s="4"/>
      <c r="M1667" s="4"/>
      <c r="N1667" s="4"/>
    </row>
    <row r="1668" spans="2:14" ht="13">
      <c r="B1668" s="4"/>
      <c r="C1668" s="4"/>
      <c r="D1668" s="4"/>
      <c r="E1668" s="4"/>
      <c r="F1668" s="4"/>
      <c r="G1668" s="4"/>
      <c r="H1668" s="4"/>
      <c r="I1668" s="4"/>
      <c r="J1668" s="4"/>
      <c r="K1668" s="4"/>
      <c r="L1668" s="4"/>
      <c r="M1668" s="4"/>
      <c r="N1668" s="4"/>
    </row>
    <row r="1669" spans="2:14" ht="13">
      <c r="B1669" s="4"/>
      <c r="C1669" s="4"/>
      <c r="D1669" s="4"/>
      <c r="E1669" s="4"/>
      <c r="F1669" s="4"/>
      <c r="G1669" s="4"/>
      <c r="H1669" s="4"/>
      <c r="I1669" s="4"/>
      <c r="J1669" s="4"/>
      <c r="K1669" s="4"/>
      <c r="L1669" s="4"/>
      <c r="M1669" s="4"/>
      <c r="N1669" s="4"/>
    </row>
    <row r="1670" spans="2:14" ht="13">
      <c r="B1670" s="4"/>
      <c r="C1670" s="4"/>
      <c r="D1670" s="4"/>
      <c r="E1670" s="4"/>
      <c r="F1670" s="4"/>
      <c r="G1670" s="4"/>
      <c r="H1670" s="4"/>
      <c r="I1670" s="4"/>
      <c r="J1670" s="4"/>
      <c r="K1670" s="4"/>
      <c r="L1670" s="4"/>
      <c r="M1670" s="4"/>
      <c r="N1670" s="4"/>
    </row>
    <row r="1671" spans="2:14" ht="13">
      <c r="B1671" s="4"/>
      <c r="C1671" s="4"/>
      <c r="D1671" s="4"/>
      <c r="E1671" s="4"/>
      <c r="F1671" s="4"/>
      <c r="G1671" s="4"/>
      <c r="H1671" s="4"/>
      <c r="I1671" s="4"/>
      <c r="J1671" s="4"/>
      <c r="K1671" s="4"/>
      <c r="L1671" s="4"/>
      <c r="M1671" s="4"/>
      <c r="N1671" s="4"/>
    </row>
    <row r="1672" spans="2:14" ht="13">
      <c r="B1672" s="4"/>
      <c r="C1672" s="4"/>
      <c r="D1672" s="4"/>
      <c r="E1672" s="4"/>
      <c r="F1672" s="4"/>
      <c r="G1672" s="4"/>
      <c r="H1672" s="4"/>
      <c r="I1672" s="4"/>
      <c r="J1672" s="4"/>
      <c r="K1672" s="4"/>
      <c r="L1672" s="4"/>
      <c r="M1672" s="4"/>
      <c r="N1672" s="4"/>
    </row>
    <row r="1673" spans="2:14" ht="13">
      <c r="B1673" s="4"/>
      <c r="C1673" s="4"/>
      <c r="D1673" s="4"/>
      <c r="E1673" s="4"/>
      <c r="F1673" s="4"/>
      <c r="G1673" s="4"/>
      <c r="H1673" s="4"/>
      <c r="I1673" s="4"/>
      <c r="J1673" s="4"/>
      <c r="K1673" s="4"/>
      <c r="L1673" s="4"/>
      <c r="M1673" s="4"/>
      <c r="N1673" s="4"/>
    </row>
    <row r="1674" spans="2:14" ht="13">
      <c r="B1674" s="4"/>
      <c r="C1674" s="4"/>
      <c r="D1674" s="4"/>
      <c r="E1674" s="4"/>
      <c r="F1674" s="4"/>
      <c r="G1674" s="4"/>
      <c r="H1674" s="4"/>
      <c r="I1674" s="4"/>
      <c r="J1674" s="4"/>
      <c r="K1674" s="4"/>
      <c r="L1674" s="4"/>
      <c r="M1674" s="4"/>
      <c r="N1674" s="4"/>
    </row>
    <row r="1675" spans="2:14" ht="13">
      <c r="B1675" s="4"/>
      <c r="C1675" s="4"/>
      <c r="D1675" s="4"/>
      <c r="E1675" s="4"/>
      <c r="F1675" s="4"/>
      <c r="G1675" s="4"/>
      <c r="H1675" s="4"/>
      <c r="I1675" s="4"/>
      <c r="J1675" s="4"/>
      <c r="K1675" s="4"/>
      <c r="L1675" s="4"/>
      <c r="M1675" s="4"/>
      <c r="N1675" s="4"/>
    </row>
    <row r="1676" spans="2:14" ht="13">
      <c r="B1676" s="4"/>
      <c r="C1676" s="4"/>
      <c r="D1676" s="4"/>
      <c r="E1676" s="4"/>
      <c r="F1676" s="4"/>
      <c r="G1676" s="4"/>
      <c r="H1676" s="4"/>
      <c r="I1676" s="4"/>
      <c r="J1676" s="4"/>
      <c r="K1676" s="4"/>
      <c r="L1676" s="4"/>
      <c r="M1676" s="4"/>
      <c r="N1676" s="4"/>
    </row>
    <row r="1677" spans="2:14" ht="13">
      <c r="B1677" s="4"/>
      <c r="C1677" s="4"/>
      <c r="D1677" s="4"/>
      <c r="E1677" s="4"/>
      <c r="F1677" s="4"/>
      <c r="G1677" s="4"/>
      <c r="H1677" s="4"/>
      <c r="I1677" s="4"/>
      <c r="J1677" s="4"/>
      <c r="K1677" s="4"/>
      <c r="L1677" s="4"/>
      <c r="M1677" s="4"/>
      <c r="N1677" s="4"/>
    </row>
    <row r="1678" spans="2:14" ht="13">
      <c r="B1678" s="4"/>
      <c r="C1678" s="4"/>
      <c r="D1678" s="4"/>
      <c r="E1678" s="4"/>
      <c r="F1678" s="4"/>
      <c r="G1678" s="4"/>
      <c r="H1678" s="4"/>
      <c r="I1678" s="4"/>
      <c r="J1678" s="4"/>
      <c r="K1678" s="4"/>
      <c r="L1678" s="4"/>
      <c r="M1678" s="4"/>
      <c r="N1678" s="4"/>
    </row>
    <row r="1679" spans="2:14" ht="13">
      <c r="B1679" s="4"/>
      <c r="C1679" s="4"/>
      <c r="D1679" s="4"/>
      <c r="E1679" s="4"/>
      <c r="F1679" s="4"/>
      <c r="G1679" s="4"/>
      <c r="H1679" s="4"/>
      <c r="I1679" s="4"/>
      <c r="J1679" s="4"/>
      <c r="K1679" s="4"/>
      <c r="L1679" s="4"/>
      <c r="M1679" s="4"/>
      <c r="N1679" s="4"/>
    </row>
    <row r="1680" spans="2:14" ht="13">
      <c r="B1680" s="4"/>
      <c r="C1680" s="4"/>
      <c r="D1680" s="4"/>
      <c r="E1680" s="4"/>
      <c r="F1680" s="4"/>
      <c r="G1680" s="4"/>
      <c r="H1680" s="4"/>
      <c r="I1680" s="4"/>
      <c r="J1680" s="4"/>
      <c r="K1680" s="4"/>
      <c r="L1680" s="4"/>
      <c r="M1680" s="4"/>
      <c r="N1680" s="4"/>
    </row>
    <row r="1681" spans="2:14" ht="13">
      <c r="B1681" s="4"/>
      <c r="C1681" s="4"/>
      <c r="D1681" s="4"/>
      <c r="E1681" s="4"/>
      <c r="F1681" s="4"/>
      <c r="G1681" s="4"/>
      <c r="H1681" s="4"/>
      <c r="I1681" s="4"/>
      <c r="J1681" s="4"/>
      <c r="K1681" s="4"/>
      <c r="L1681" s="4"/>
      <c r="M1681" s="4"/>
      <c r="N1681" s="4"/>
    </row>
    <row r="1682" spans="2:14" ht="13">
      <c r="B1682" s="4"/>
      <c r="C1682" s="4"/>
      <c r="D1682" s="4"/>
      <c r="E1682" s="4"/>
      <c r="F1682" s="4"/>
      <c r="G1682" s="4"/>
      <c r="H1682" s="4"/>
      <c r="I1682" s="4"/>
      <c r="J1682" s="4"/>
      <c r="K1682" s="4"/>
      <c r="L1682" s="4"/>
      <c r="M1682" s="4"/>
      <c r="N1682" s="4"/>
    </row>
    <row r="1683" spans="2:14" ht="13">
      <c r="B1683" s="4"/>
      <c r="C1683" s="4"/>
      <c r="D1683" s="4"/>
      <c r="E1683" s="4"/>
      <c r="F1683" s="4"/>
      <c r="G1683" s="4"/>
      <c r="H1683" s="4"/>
      <c r="I1683" s="4"/>
      <c r="J1683" s="4"/>
      <c r="K1683" s="4"/>
      <c r="L1683" s="4"/>
      <c r="M1683" s="4"/>
      <c r="N1683" s="4"/>
    </row>
    <row r="1684" spans="2:14" ht="13">
      <c r="B1684" s="4"/>
      <c r="C1684" s="4"/>
      <c r="D1684" s="4"/>
      <c r="E1684" s="4"/>
      <c r="F1684" s="4"/>
      <c r="G1684" s="4"/>
      <c r="H1684" s="4"/>
      <c r="I1684" s="4"/>
      <c r="J1684" s="4"/>
      <c r="K1684" s="4"/>
      <c r="L1684" s="4"/>
      <c r="M1684" s="4"/>
      <c r="N1684" s="4"/>
    </row>
    <row r="1685" spans="2:14" ht="13">
      <c r="B1685" s="4"/>
      <c r="C1685" s="4"/>
      <c r="D1685" s="4"/>
      <c r="E1685" s="4"/>
      <c r="F1685" s="4"/>
      <c r="G1685" s="4"/>
      <c r="H1685" s="4"/>
      <c r="I1685" s="4"/>
      <c r="J1685" s="4"/>
      <c r="K1685" s="4"/>
      <c r="L1685" s="4"/>
      <c r="M1685" s="4"/>
      <c r="N1685" s="4"/>
    </row>
    <row r="1686" spans="2:14" ht="13">
      <c r="B1686" s="4"/>
      <c r="C1686" s="4"/>
      <c r="D1686" s="4"/>
      <c r="E1686" s="4"/>
      <c r="F1686" s="4"/>
      <c r="G1686" s="4"/>
      <c r="H1686" s="4"/>
      <c r="I1686" s="4"/>
      <c r="J1686" s="4"/>
      <c r="K1686" s="4"/>
      <c r="L1686" s="4"/>
      <c r="M1686" s="4"/>
      <c r="N1686" s="4"/>
    </row>
    <row r="1687" spans="2:14" ht="13">
      <c r="B1687" s="4"/>
      <c r="C1687" s="4"/>
      <c r="D1687" s="4"/>
      <c r="E1687" s="4"/>
      <c r="F1687" s="4"/>
      <c r="G1687" s="4"/>
      <c r="H1687" s="4"/>
      <c r="I1687" s="4"/>
      <c r="J1687" s="4"/>
      <c r="K1687" s="4"/>
      <c r="L1687" s="4"/>
      <c r="M1687" s="4"/>
      <c r="N1687" s="4"/>
    </row>
    <row r="1688" spans="2:14" ht="13">
      <c r="B1688" s="4"/>
      <c r="C1688" s="4"/>
      <c r="D1688" s="4"/>
      <c r="E1688" s="4"/>
      <c r="F1688" s="4"/>
      <c r="G1688" s="4"/>
      <c r="H1688" s="4"/>
      <c r="I1688" s="4"/>
      <c r="J1688" s="4"/>
      <c r="K1688" s="4"/>
      <c r="L1688" s="4"/>
      <c r="M1688" s="4"/>
      <c r="N1688" s="4"/>
    </row>
    <row r="1689" spans="2:14" ht="13">
      <c r="B1689" s="4"/>
      <c r="C1689" s="4"/>
      <c r="D1689" s="4"/>
      <c r="E1689" s="4"/>
      <c r="F1689" s="4"/>
      <c r="G1689" s="4"/>
      <c r="H1689" s="4"/>
      <c r="I1689" s="4"/>
      <c r="J1689" s="4"/>
      <c r="K1689" s="4"/>
      <c r="L1689" s="4"/>
      <c r="M1689" s="4"/>
      <c r="N1689" s="4"/>
    </row>
    <row r="1690" spans="2:14" ht="13">
      <c r="B1690" s="4"/>
      <c r="C1690" s="4"/>
      <c r="D1690" s="4"/>
      <c r="E1690" s="4"/>
      <c r="F1690" s="4"/>
      <c r="G1690" s="4"/>
      <c r="H1690" s="4"/>
      <c r="I1690" s="4"/>
      <c r="J1690" s="4"/>
      <c r="K1690" s="4"/>
      <c r="L1690" s="4"/>
      <c r="M1690" s="4"/>
      <c r="N1690" s="4"/>
    </row>
    <row r="1691" spans="2:14" ht="13">
      <c r="B1691" s="4"/>
      <c r="C1691" s="4"/>
      <c r="D1691" s="4"/>
      <c r="E1691" s="4"/>
      <c r="F1691" s="4"/>
      <c r="G1691" s="4"/>
      <c r="H1691" s="4"/>
      <c r="I1691" s="4"/>
      <c r="J1691" s="4"/>
      <c r="K1691" s="4"/>
      <c r="L1691" s="4"/>
      <c r="M1691" s="4"/>
      <c r="N1691" s="4"/>
    </row>
    <row r="1692" spans="2:14" ht="13">
      <c r="B1692" s="4"/>
      <c r="C1692" s="4"/>
      <c r="D1692" s="4"/>
      <c r="E1692" s="4"/>
      <c r="F1692" s="4"/>
      <c r="G1692" s="4"/>
      <c r="H1692" s="4"/>
      <c r="I1692" s="4"/>
      <c r="J1692" s="4"/>
      <c r="K1692" s="4"/>
      <c r="L1692" s="4"/>
      <c r="M1692" s="4"/>
      <c r="N1692" s="4"/>
    </row>
    <row r="1693" spans="2:14" ht="13">
      <c r="B1693" s="4"/>
      <c r="C1693" s="4"/>
      <c r="D1693" s="4"/>
      <c r="E1693" s="4"/>
      <c r="F1693" s="4"/>
      <c r="G1693" s="4"/>
      <c r="H1693" s="4"/>
      <c r="I1693" s="4"/>
      <c r="J1693" s="4"/>
      <c r="K1693" s="4"/>
      <c r="L1693" s="4"/>
      <c r="M1693" s="4"/>
      <c r="N1693" s="4"/>
    </row>
    <row r="1694" spans="2:14" ht="13">
      <c r="B1694" s="4"/>
      <c r="C1694" s="4"/>
      <c r="D1694" s="4"/>
      <c r="E1694" s="4"/>
      <c r="F1694" s="4"/>
      <c r="G1694" s="4"/>
      <c r="H1694" s="4"/>
      <c r="I1694" s="4"/>
      <c r="J1694" s="4"/>
      <c r="K1694" s="4"/>
      <c r="L1694" s="4"/>
      <c r="M1694" s="4"/>
      <c r="N1694" s="4"/>
    </row>
    <row r="1695" spans="2:14" ht="13">
      <c r="B1695" s="4"/>
      <c r="C1695" s="4"/>
      <c r="D1695" s="4"/>
      <c r="E1695" s="4"/>
      <c r="F1695" s="4"/>
      <c r="G1695" s="4"/>
      <c r="H1695" s="4"/>
      <c r="I1695" s="4"/>
      <c r="J1695" s="4"/>
      <c r="K1695" s="4"/>
      <c r="L1695" s="4"/>
      <c r="M1695" s="4"/>
      <c r="N1695" s="4"/>
    </row>
    <row r="1696" spans="2:14" ht="13">
      <c r="B1696" s="4"/>
      <c r="C1696" s="4"/>
      <c r="D1696" s="4"/>
      <c r="E1696" s="4"/>
      <c r="F1696" s="4"/>
      <c r="G1696" s="4"/>
      <c r="H1696" s="4"/>
      <c r="I1696" s="4"/>
      <c r="J1696" s="4"/>
      <c r="K1696" s="4"/>
      <c r="L1696" s="4"/>
      <c r="M1696" s="4"/>
      <c r="N1696" s="4"/>
    </row>
    <row r="1697" spans="2:14" ht="13">
      <c r="B1697" s="4"/>
      <c r="C1697" s="4"/>
      <c r="D1697" s="4"/>
      <c r="E1697" s="4"/>
      <c r="F1697" s="4"/>
      <c r="G1697" s="4"/>
      <c r="H1697" s="4"/>
      <c r="I1697" s="4"/>
      <c r="J1697" s="4"/>
      <c r="K1697" s="4"/>
      <c r="L1697" s="4"/>
      <c r="M1697" s="4"/>
      <c r="N1697" s="4"/>
    </row>
    <row r="1698" spans="2:14" ht="13">
      <c r="B1698" s="4"/>
      <c r="C1698" s="4"/>
      <c r="D1698" s="4"/>
      <c r="E1698" s="4"/>
      <c r="F1698" s="4"/>
      <c r="G1698" s="4"/>
      <c r="H1698" s="4"/>
      <c r="I1698" s="4"/>
      <c r="J1698" s="4"/>
      <c r="K1698" s="4"/>
      <c r="L1698" s="4"/>
      <c r="M1698" s="4"/>
      <c r="N1698" s="4"/>
    </row>
    <row r="1699" spans="2:14" ht="13">
      <c r="B1699" s="4"/>
      <c r="C1699" s="4"/>
      <c r="D1699" s="4"/>
      <c r="E1699" s="4"/>
      <c r="F1699" s="4"/>
      <c r="G1699" s="4"/>
      <c r="H1699" s="4"/>
      <c r="I1699" s="4"/>
      <c r="J1699" s="4"/>
      <c r="K1699" s="4"/>
      <c r="L1699" s="4"/>
      <c r="M1699" s="4"/>
      <c r="N1699" s="4"/>
    </row>
    <row r="1700" spans="2:14" ht="13">
      <c r="B1700" s="4"/>
      <c r="C1700" s="4"/>
      <c r="D1700" s="4"/>
      <c r="E1700" s="4"/>
      <c r="F1700" s="4"/>
      <c r="G1700" s="4"/>
      <c r="H1700" s="4"/>
      <c r="I1700" s="4"/>
      <c r="J1700" s="4"/>
      <c r="K1700" s="4"/>
      <c r="L1700" s="4"/>
      <c r="M1700" s="4"/>
      <c r="N1700" s="4"/>
    </row>
    <row r="1701" spans="2:14" ht="13">
      <c r="B1701" s="4"/>
      <c r="C1701" s="4"/>
      <c r="D1701" s="4"/>
      <c r="E1701" s="4"/>
      <c r="F1701" s="4"/>
      <c r="G1701" s="4"/>
      <c r="H1701" s="4"/>
      <c r="I1701" s="4"/>
      <c r="J1701" s="4"/>
      <c r="K1701" s="4"/>
      <c r="L1701" s="4"/>
      <c r="M1701" s="4"/>
      <c r="N1701" s="4"/>
    </row>
    <row r="1702" spans="2:14" ht="13">
      <c r="B1702" s="4"/>
      <c r="C1702" s="4"/>
      <c r="D1702" s="4"/>
      <c r="E1702" s="4"/>
      <c r="F1702" s="4"/>
      <c r="G1702" s="4"/>
      <c r="H1702" s="4"/>
      <c r="I1702" s="4"/>
      <c r="J1702" s="4"/>
      <c r="K1702" s="4"/>
      <c r="L1702" s="4"/>
      <c r="M1702" s="4"/>
      <c r="N1702" s="4"/>
    </row>
    <row r="1703" spans="2:14" ht="13">
      <c r="B1703" s="4"/>
      <c r="C1703" s="4"/>
      <c r="D1703" s="4"/>
      <c r="E1703" s="4"/>
      <c r="F1703" s="4"/>
      <c r="G1703" s="4"/>
      <c r="H1703" s="4"/>
      <c r="I1703" s="4"/>
      <c r="J1703" s="4"/>
      <c r="K1703" s="4"/>
      <c r="L1703" s="4"/>
      <c r="M1703" s="4"/>
      <c r="N1703" s="4"/>
    </row>
    <row r="1704" spans="2:14" ht="13">
      <c r="B1704" s="4"/>
      <c r="C1704" s="4"/>
      <c r="D1704" s="4"/>
      <c r="E1704" s="4"/>
      <c r="F1704" s="4"/>
      <c r="G1704" s="4"/>
      <c r="H1704" s="4"/>
      <c r="I1704" s="4"/>
      <c r="J1704" s="4"/>
      <c r="K1704" s="4"/>
      <c r="L1704" s="4"/>
      <c r="M1704" s="4"/>
      <c r="N1704" s="4"/>
    </row>
    <row r="1705" spans="2:14" ht="13">
      <c r="B1705" s="4"/>
      <c r="C1705" s="4"/>
      <c r="D1705" s="4"/>
      <c r="E1705" s="4"/>
      <c r="F1705" s="4"/>
      <c r="G1705" s="4"/>
      <c r="H1705" s="4"/>
      <c r="I1705" s="4"/>
      <c r="J1705" s="4"/>
      <c r="K1705" s="4"/>
      <c r="L1705" s="4"/>
      <c r="M1705" s="4"/>
      <c r="N1705" s="4"/>
    </row>
    <row r="1706" spans="2:14" ht="13">
      <c r="B1706" s="4"/>
      <c r="C1706" s="4"/>
      <c r="D1706" s="4"/>
      <c r="E1706" s="4"/>
      <c r="F1706" s="4"/>
      <c r="G1706" s="4"/>
      <c r="H1706" s="4"/>
      <c r="I1706" s="4"/>
      <c r="J1706" s="4"/>
      <c r="K1706" s="4"/>
      <c r="L1706" s="4"/>
      <c r="M1706" s="4"/>
      <c r="N1706" s="4"/>
    </row>
    <row r="1707" spans="2:14" ht="13">
      <c r="B1707" s="4"/>
      <c r="C1707" s="4"/>
      <c r="D1707" s="4"/>
      <c r="E1707" s="4"/>
      <c r="F1707" s="4"/>
      <c r="G1707" s="4"/>
      <c r="H1707" s="4"/>
      <c r="I1707" s="4"/>
      <c r="J1707" s="4"/>
      <c r="K1707" s="4"/>
      <c r="L1707" s="4"/>
      <c r="M1707" s="4"/>
      <c r="N1707" s="4"/>
    </row>
    <row r="1708" spans="2:14" ht="13">
      <c r="B1708" s="4"/>
      <c r="C1708" s="4"/>
      <c r="D1708" s="4"/>
      <c r="E1708" s="4"/>
      <c r="F1708" s="4"/>
      <c r="G1708" s="4"/>
      <c r="H1708" s="4"/>
      <c r="I1708" s="4"/>
      <c r="J1708" s="4"/>
      <c r="K1708" s="4"/>
      <c r="L1708" s="4"/>
      <c r="M1708" s="4"/>
      <c r="N1708" s="4"/>
    </row>
    <row r="1709" spans="2:14" ht="13">
      <c r="B1709" s="4"/>
      <c r="C1709" s="4"/>
      <c r="D1709" s="4"/>
      <c r="E1709" s="4"/>
      <c r="F1709" s="4"/>
      <c r="G1709" s="4"/>
      <c r="H1709" s="4"/>
      <c r="I1709" s="4"/>
      <c r="J1709" s="4"/>
      <c r="K1709" s="4"/>
      <c r="L1709" s="4"/>
      <c r="M1709" s="4"/>
      <c r="N1709" s="4"/>
    </row>
    <row r="1710" spans="2:14" ht="13">
      <c r="B1710" s="4"/>
      <c r="C1710" s="4"/>
      <c r="D1710" s="4"/>
      <c r="E1710" s="4"/>
      <c r="F1710" s="4"/>
      <c r="G1710" s="4"/>
      <c r="H1710" s="4"/>
      <c r="I1710" s="4"/>
      <c r="J1710" s="4"/>
      <c r="K1710" s="4"/>
      <c r="L1710" s="4"/>
      <c r="M1710" s="4"/>
      <c r="N1710" s="4"/>
    </row>
    <row r="1711" spans="2:14" ht="13">
      <c r="B1711" s="4"/>
      <c r="C1711" s="4"/>
      <c r="D1711" s="4"/>
      <c r="E1711" s="4"/>
      <c r="F1711" s="4"/>
      <c r="G1711" s="4"/>
      <c r="H1711" s="4"/>
      <c r="I1711" s="4"/>
      <c r="J1711" s="4"/>
      <c r="K1711" s="4"/>
      <c r="L1711" s="4"/>
      <c r="M1711" s="4"/>
      <c r="N1711" s="4"/>
    </row>
    <row r="1712" spans="2:14" ht="13">
      <c r="B1712" s="4"/>
      <c r="C1712" s="4"/>
      <c r="D1712" s="4"/>
      <c r="E1712" s="4"/>
      <c r="F1712" s="4"/>
      <c r="G1712" s="4"/>
      <c r="H1712" s="4"/>
      <c r="I1712" s="4"/>
      <c r="J1712" s="4"/>
      <c r="K1712" s="4"/>
      <c r="L1712" s="4"/>
      <c r="M1712" s="4"/>
      <c r="N1712" s="4"/>
    </row>
    <row r="1713" spans="2:14" ht="13">
      <c r="B1713" s="4"/>
      <c r="C1713" s="4"/>
      <c r="D1713" s="4"/>
      <c r="E1713" s="4"/>
      <c r="F1713" s="4"/>
      <c r="G1713" s="4"/>
      <c r="H1713" s="4"/>
      <c r="I1713" s="4"/>
      <c r="J1713" s="4"/>
      <c r="K1713" s="4"/>
      <c r="L1713" s="4"/>
      <c r="M1713" s="4"/>
      <c r="N1713" s="4"/>
    </row>
    <row r="1714" spans="2:14" ht="13">
      <c r="B1714" s="4"/>
      <c r="C1714" s="4"/>
      <c r="D1714" s="4"/>
      <c r="E1714" s="4"/>
      <c r="F1714" s="4"/>
      <c r="G1714" s="4"/>
      <c r="H1714" s="4"/>
      <c r="I1714" s="4"/>
      <c r="J1714" s="4"/>
      <c r="K1714" s="4"/>
      <c r="L1714" s="4"/>
      <c r="M1714" s="4"/>
      <c r="N1714" s="4"/>
    </row>
    <row r="1715" spans="2:14" ht="13">
      <c r="B1715" s="4"/>
      <c r="C1715" s="4"/>
      <c r="D1715" s="4"/>
      <c r="E1715" s="4"/>
      <c r="F1715" s="4"/>
      <c r="G1715" s="4"/>
      <c r="H1715" s="4"/>
      <c r="I1715" s="4"/>
      <c r="J1715" s="4"/>
      <c r="K1715" s="4"/>
      <c r="L1715" s="4"/>
      <c r="M1715" s="4"/>
      <c r="N1715" s="4"/>
    </row>
    <row r="1716" spans="2:14" ht="13">
      <c r="B1716" s="4"/>
      <c r="C1716" s="4"/>
      <c r="D1716" s="4"/>
      <c r="E1716" s="4"/>
      <c r="F1716" s="4"/>
      <c r="G1716" s="4"/>
      <c r="H1716" s="4"/>
      <c r="I1716" s="4"/>
      <c r="J1716" s="4"/>
      <c r="K1716" s="4"/>
      <c r="L1716" s="4"/>
      <c r="M1716" s="4"/>
      <c r="N1716" s="4"/>
    </row>
    <row r="1717" spans="2:14" ht="13">
      <c r="B1717" s="4"/>
      <c r="C1717" s="4"/>
      <c r="D1717" s="4"/>
      <c r="E1717" s="4"/>
      <c r="F1717" s="4"/>
      <c r="G1717" s="4"/>
      <c r="H1717" s="4"/>
      <c r="I1717" s="4"/>
      <c r="J1717" s="4"/>
      <c r="K1717" s="4"/>
      <c r="L1717" s="4"/>
      <c r="M1717" s="4"/>
      <c r="N1717" s="4"/>
    </row>
    <row r="1718" spans="2:14" ht="13">
      <c r="B1718" s="4"/>
      <c r="C1718" s="4"/>
      <c r="D1718" s="4"/>
      <c r="E1718" s="4"/>
      <c r="F1718" s="4"/>
      <c r="G1718" s="4"/>
      <c r="H1718" s="4"/>
      <c r="I1718" s="4"/>
      <c r="J1718" s="4"/>
      <c r="K1718" s="4"/>
      <c r="L1718" s="4"/>
      <c r="M1718" s="4"/>
      <c r="N1718" s="4"/>
    </row>
    <row r="1719" spans="2:14" ht="13">
      <c r="B1719" s="4"/>
      <c r="C1719" s="4"/>
      <c r="D1719" s="4"/>
      <c r="E1719" s="4"/>
      <c r="F1719" s="4"/>
      <c r="G1719" s="4"/>
      <c r="H1719" s="4"/>
      <c r="I1719" s="4"/>
      <c r="J1719" s="4"/>
      <c r="K1719" s="4"/>
      <c r="L1719" s="4"/>
      <c r="M1719" s="4"/>
      <c r="N1719" s="4"/>
    </row>
    <row r="1720" spans="2:14" ht="13">
      <c r="B1720" s="4"/>
      <c r="C1720" s="4"/>
      <c r="D1720" s="4"/>
      <c r="E1720" s="4"/>
      <c r="F1720" s="4"/>
      <c r="G1720" s="4"/>
      <c r="H1720" s="4"/>
      <c r="I1720" s="4"/>
      <c r="J1720" s="4"/>
      <c r="K1720" s="4"/>
      <c r="L1720" s="4"/>
      <c r="M1720" s="4"/>
      <c r="N1720" s="4"/>
    </row>
    <row r="1721" spans="2:14" ht="13">
      <c r="B1721" s="4"/>
      <c r="C1721" s="4"/>
      <c r="D1721" s="4"/>
      <c r="E1721" s="4"/>
      <c r="F1721" s="4"/>
      <c r="G1721" s="4"/>
      <c r="H1721" s="4"/>
      <c r="I1721" s="4"/>
      <c r="J1721" s="4"/>
      <c r="K1721" s="4"/>
      <c r="L1721" s="4"/>
      <c r="M1721" s="4"/>
      <c r="N1721" s="4"/>
    </row>
    <row r="1722" spans="2:14" ht="13">
      <c r="B1722" s="4"/>
      <c r="C1722" s="4"/>
      <c r="D1722" s="4"/>
      <c r="E1722" s="4"/>
      <c r="F1722" s="4"/>
      <c r="G1722" s="4"/>
      <c r="H1722" s="4"/>
      <c r="I1722" s="4"/>
      <c r="J1722" s="4"/>
      <c r="K1722" s="4"/>
      <c r="L1722" s="4"/>
      <c r="M1722" s="4"/>
      <c r="N1722" s="4"/>
    </row>
    <row r="1723" spans="2:14" ht="13">
      <c r="B1723" s="4"/>
      <c r="C1723" s="4"/>
      <c r="D1723" s="4"/>
      <c r="E1723" s="4"/>
      <c r="F1723" s="4"/>
      <c r="G1723" s="4"/>
      <c r="H1723" s="4"/>
      <c r="I1723" s="4"/>
      <c r="J1723" s="4"/>
      <c r="K1723" s="4"/>
      <c r="L1723" s="4"/>
      <c r="M1723" s="4"/>
      <c r="N1723" s="4"/>
    </row>
    <row r="1724" spans="2:14" ht="13">
      <c r="B1724" s="4"/>
      <c r="C1724" s="4"/>
      <c r="D1724" s="4"/>
      <c r="E1724" s="4"/>
      <c r="F1724" s="4"/>
      <c r="G1724" s="4"/>
      <c r="H1724" s="4"/>
      <c r="I1724" s="4"/>
      <c r="J1724" s="4"/>
      <c r="K1724" s="4"/>
      <c r="L1724" s="4"/>
      <c r="M1724" s="4"/>
      <c r="N1724" s="4"/>
    </row>
    <row r="1725" spans="2:14" ht="13">
      <c r="B1725" s="4"/>
      <c r="C1725" s="4"/>
      <c r="D1725" s="4"/>
      <c r="E1725" s="4"/>
      <c r="F1725" s="4"/>
      <c r="G1725" s="4"/>
      <c r="H1725" s="4"/>
      <c r="I1725" s="4"/>
      <c r="J1725" s="4"/>
      <c r="K1725" s="4"/>
      <c r="L1725" s="4"/>
      <c r="M1725" s="4"/>
      <c r="N1725" s="4"/>
    </row>
    <row r="1726" spans="2:14" ht="13">
      <c r="B1726" s="4"/>
      <c r="C1726" s="4"/>
      <c r="D1726" s="4"/>
      <c r="E1726" s="4"/>
      <c r="F1726" s="4"/>
      <c r="G1726" s="4"/>
      <c r="H1726" s="4"/>
      <c r="I1726" s="4"/>
      <c r="J1726" s="4"/>
      <c r="K1726" s="4"/>
      <c r="L1726" s="4"/>
      <c r="M1726" s="4"/>
      <c r="N1726" s="4"/>
    </row>
    <row r="1727" spans="2:14" ht="13">
      <c r="B1727" s="4"/>
      <c r="C1727" s="4"/>
      <c r="D1727" s="4"/>
      <c r="E1727" s="4"/>
      <c r="F1727" s="4"/>
      <c r="G1727" s="4"/>
      <c r="H1727" s="4"/>
      <c r="I1727" s="4"/>
      <c r="J1727" s="4"/>
      <c r="K1727" s="4"/>
      <c r="L1727" s="4"/>
      <c r="M1727" s="4"/>
      <c r="N1727" s="4"/>
    </row>
    <row r="1728" spans="2:14" ht="13">
      <c r="B1728" s="4"/>
      <c r="C1728" s="4"/>
      <c r="D1728" s="4"/>
      <c r="E1728" s="4"/>
      <c r="F1728" s="4"/>
      <c r="G1728" s="4"/>
      <c r="H1728" s="4"/>
      <c r="I1728" s="4"/>
      <c r="J1728" s="4"/>
      <c r="K1728" s="4"/>
      <c r="L1728" s="4"/>
      <c r="M1728" s="4"/>
      <c r="N1728" s="4"/>
    </row>
    <row r="1729" spans="2:14" ht="13">
      <c r="B1729" s="4"/>
      <c r="C1729" s="4"/>
      <c r="D1729" s="4"/>
      <c r="E1729" s="4"/>
      <c r="F1729" s="4"/>
      <c r="G1729" s="4"/>
      <c r="H1729" s="4"/>
      <c r="I1729" s="4"/>
      <c r="J1729" s="4"/>
      <c r="K1729" s="4"/>
      <c r="L1729" s="4"/>
      <c r="M1729" s="4"/>
      <c r="N1729" s="4"/>
    </row>
    <row r="1730" spans="2:14" ht="13">
      <c r="B1730" s="4"/>
      <c r="C1730" s="4"/>
      <c r="D1730" s="4"/>
      <c r="E1730" s="4"/>
      <c r="F1730" s="4"/>
      <c r="G1730" s="4"/>
      <c r="H1730" s="4"/>
      <c r="I1730" s="4"/>
      <c r="J1730" s="4"/>
      <c r="K1730" s="4"/>
      <c r="L1730" s="4"/>
      <c r="M1730" s="4"/>
      <c r="N1730" s="4"/>
    </row>
    <row r="1731" spans="2:14" ht="13">
      <c r="B1731" s="4"/>
      <c r="C1731" s="4"/>
      <c r="D1731" s="4"/>
      <c r="E1731" s="4"/>
      <c r="F1731" s="4"/>
      <c r="G1731" s="4"/>
      <c r="H1731" s="4"/>
      <c r="I1731" s="4"/>
      <c r="J1731" s="4"/>
      <c r="K1731" s="4"/>
      <c r="L1731" s="4"/>
      <c r="M1731" s="4"/>
      <c r="N1731" s="4"/>
    </row>
    <row r="1732" spans="2:14" ht="13">
      <c r="B1732" s="4"/>
      <c r="C1732" s="4"/>
      <c r="D1732" s="4"/>
      <c r="E1732" s="4"/>
      <c r="F1732" s="4"/>
      <c r="G1732" s="4"/>
      <c r="H1732" s="4"/>
      <c r="I1732" s="4"/>
      <c r="J1732" s="4"/>
      <c r="K1732" s="4"/>
      <c r="L1732" s="4"/>
      <c r="M1732" s="4"/>
      <c r="N1732" s="4"/>
    </row>
    <row r="1733" spans="2:14" ht="13">
      <c r="B1733" s="4"/>
      <c r="C1733" s="4"/>
      <c r="D1733" s="4"/>
      <c r="E1733" s="4"/>
      <c r="F1733" s="4"/>
      <c r="G1733" s="4"/>
      <c r="H1733" s="4"/>
      <c r="I1733" s="4"/>
      <c r="J1733" s="4"/>
      <c r="K1733" s="4"/>
      <c r="L1733" s="4"/>
      <c r="M1733" s="4"/>
      <c r="N1733" s="4"/>
    </row>
    <row r="1734" spans="2:14" ht="13">
      <c r="B1734" s="4"/>
      <c r="C1734" s="4"/>
      <c r="D1734" s="4"/>
      <c r="E1734" s="4"/>
      <c r="F1734" s="4"/>
      <c r="G1734" s="4"/>
      <c r="H1734" s="4"/>
      <c r="I1734" s="4"/>
      <c r="J1734" s="4"/>
      <c r="K1734" s="4"/>
      <c r="L1734" s="4"/>
      <c r="M1734" s="4"/>
      <c r="N1734" s="4"/>
    </row>
    <row r="1735" spans="2:14" ht="13">
      <c r="B1735" s="4"/>
      <c r="C1735" s="4"/>
      <c r="D1735" s="4"/>
      <c r="E1735" s="4"/>
      <c r="F1735" s="4"/>
      <c r="G1735" s="4"/>
      <c r="H1735" s="4"/>
      <c r="I1735" s="4"/>
      <c r="J1735" s="4"/>
      <c r="K1735" s="4"/>
      <c r="L1735" s="4"/>
      <c r="M1735" s="4"/>
      <c r="N1735" s="4"/>
    </row>
    <row r="1736" spans="2:14" ht="13">
      <c r="B1736" s="4"/>
      <c r="C1736" s="4"/>
      <c r="D1736" s="4"/>
      <c r="E1736" s="4"/>
      <c r="F1736" s="4"/>
      <c r="G1736" s="4"/>
      <c r="H1736" s="4"/>
      <c r="I1736" s="4"/>
      <c r="J1736" s="4"/>
      <c r="K1736" s="4"/>
      <c r="L1736" s="4"/>
      <c r="M1736" s="4"/>
      <c r="N1736" s="4"/>
    </row>
    <row r="1737" spans="2:14" ht="13">
      <c r="B1737" s="4"/>
      <c r="C1737" s="4"/>
      <c r="D1737" s="4"/>
      <c r="E1737" s="4"/>
      <c r="F1737" s="4"/>
      <c r="G1737" s="4"/>
      <c r="H1737" s="4"/>
      <c r="I1737" s="4"/>
      <c r="J1737" s="4"/>
      <c r="K1737" s="4"/>
      <c r="L1737" s="4"/>
      <c r="M1737" s="4"/>
      <c r="N1737" s="4"/>
    </row>
    <row r="1738" spans="2:14" ht="13">
      <c r="B1738" s="4"/>
      <c r="C1738" s="4"/>
      <c r="D1738" s="4"/>
      <c r="E1738" s="4"/>
      <c r="F1738" s="4"/>
      <c r="G1738" s="4"/>
      <c r="H1738" s="4"/>
      <c r="I1738" s="4"/>
      <c r="J1738" s="4"/>
      <c r="K1738" s="4"/>
      <c r="L1738" s="4"/>
      <c r="M1738" s="4"/>
      <c r="N1738" s="4"/>
    </row>
    <row r="1739" spans="2:14" ht="13">
      <c r="B1739" s="4"/>
      <c r="C1739" s="4"/>
      <c r="D1739" s="4"/>
      <c r="E1739" s="4"/>
      <c r="F1739" s="4"/>
      <c r="G1739" s="4"/>
      <c r="H1739" s="4"/>
      <c r="I1739" s="4"/>
      <c r="J1739" s="4"/>
      <c r="K1739" s="4"/>
      <c r="L1739" s="4"/>
      <c r="M1739" s="4"/>
      <c r="N1739" s="4"/>
    </row>
    <row r="1740" spans="2:14" ht="13">
      <c r="B1740" s="4"/>
      <c r="C1740" s="4"/>
      <c r="D1740" s="4"/>
      <c r="E1740" s="4"/>
      <c r="F1740" s="4"/>
      <c r="G1740" s="4"/>
      <c r="H1740" s="4"/>
      <c r="I1740" s="4"/>
      <c r="J1740" s="4"/>
      <c r="K1740" s="4"/>
      <c r="L1740" s="4"/>
      <c r="M1740" s="4"/>
      <c r="N1740" s="4"/>
    </row>
    <row r="1741" spans="2:14" ht="13">
      <c r="B1741" s="4"/>
      <c r="C1741" s="4"/>
      <c r="D1741" s="4"/>
      <c r="E1741" s="4"/>
      <c r="F1741" s="4"/>
      <c r="G1741" s="4"/>
      <c r="H1741" s="4"/>
      <c r="I1741" s="4"/>
      <c r="J1741" s="4"/>
      <c r="K1741" s="4"/>
      <c r="L1741" s="4"/>
      <c r="M1741" s="4"/>
      <c r="N1741" s="4"/>
    </row>
    <row r="1742" spans="2:14" ht="13">
      <c r="B1742" s="4"/>
      <c r="C1742" s="4"/>
      <c r="D1742" s="4"/>
      <c r="E1742" s="4"/>
      <c r="F1742" s="4"/>
      <c r="G1742" s="4"/>
      <c r="H1742" s="4"/>
      <c r="I1742" s="4"/>
      <c r="J1742" s="4"/>
      <c r="K1742" s="4"/>
      <c r="L1742" s="4"/>
      <c r="M1742" s="4"/>
      <c r="N1742" s="4"/>
    </row>
    <row r="1743" spans="2:14" ht="13">
      <c r="B1743" s="4"/>
      <c r="C1743" s="4"/>
      <c r="D1743" s="4"/>
      <c r="E1743" s="4"/>
      <c r="F1743" s="4"/>
      <c r="G1743" s="4"/>
      <c r="H1743" s="4"/>
      <c r="I1743" s="4"/>
      <c r="J1743" s="4"/>
      <c r="K1743" s="4"/>
      <c r="L1743" s="4"/>
      <c r="M1743" s="4"/>
      <c r="N1743" s="4"/>
    </row>
    <row r="1744" spans="2:14" ht="13">
      <c r="B1744" s="4"/>
      <c r="C1744" s="4"/>
      <c r="D1744" s="4"/>
      <c r="E1744" s="4"/>
      <c r="F1744" s="4"/>
      <c r="G1744" s="4"/>
      <c r="H1744" s="4"/>
      <c r="I1744" s="4"/>
      <c r="J1744" s="4"/>
      <c r="K1744" s="4"/>
      <c r="L1744" s="4"/>
      <c r="M1744" s="4"/>
      <c r="N1744" s="4"/>
    </row>
    <row r="1745" spans="2:14" ht="13">
      <c r="B1745" s="4"/>
      <c r="C1745" s="4"/>
      <c r="D1745" s="4"/>
      <c r="E1745" s="4"/>
      <c r="F1745" s="4"/>
      <c r="G1745" s="4"/>
      <c r="H1745" s="4"/>
      <c r="I1745" s="4"/>
      <c r="J1745" s="4"/>
      <c r="K1745" s="4"/>
      <c r="L1745" s="4"/>
      <c r="M1745" s="4"/>
      <c r="N1745" s="4"/>
    </row>
    <row r="1746" spans="2:14" ht="13">
      <c r="B1746" s="4"/>
      <c r="C1746" s="4"/>
      <c r="D1746" s="4"/>
      <c r="E1746" s="4"/>
      <c r="F1746" s="4"/>
      <c r="G1746" s="4"/>
      <c r="H1746" s="4"/>
      <c r="I1746" s="4"/>
      <c r="J1746" s="4"/>
      <c r="K1746" s="4"/>
      <c r="L1746" s="4"/>
      <c r="M1746" s="4"/>
      <c r="N1746" s="4"/>
    </row>
    <row r="1747" spans="2:14" ht="13">
      <c r="B1747" s="4"/>
      <c r="C1747" s="4"/>
      <c r="D1747" s="4"/>
      <c r="E1747" s="4"/>
      <c r="F1747" s="4"/>
      <c r="G1747" s="4"/>
      <c r="H1747" s="4"/>
      <c r="I1747" s="4"/>
      <c r="J1747" s="4"/>
      <c r="K1747" s="4"/>
      <c r="L1747" s="4"/>
      <c r="M1747" s="4"/>
      <c r="N1747" s="4"/>
    </row>
    <row r="1748" spans="2:14" ht="13">
      <c r="B1748" s="4"/>
      <c r="C1748" s="4"/>
      <c r="D1748" s="4"/>
      <c r="E1748" s="4"/>
      <c r="F1748" s="4"/>
      <c r="G1748" s="4"/>
      <c r="H1748" s="4"/>
      <c r="I1748" s="4"/>
      <c r="J1748" s="4"/>
      <c r="K1748" s="4"/>
      <c r="L1748" s="4"/>
      <c r="M1748" s="4"/>
      <c r="N1748" s="4"/>
    </row>
    <row r="1749" spans="2:14" ht="13">
      <c r="B1749" s="4"/>
      <c r="C1749" s="4"/>
      <c r="D1749" s="4"/>
      <c r="E1749" s="4"/>
      <c r="F1749" s="4"/>
      <c r="G1749" s="4"/>
      <c r="H1749" s="4"/>
      <c r="I1749" s="4"/>
      <c r="J1749" s="4"/>
      <c r="K1749" s="4"/>
      <c r="L1749" s="4"/>
      <c r="M1749" s="4"/>
      <c r="N1749" s="4"/>
    </row>
    <row r="1750" spans="2:14" ht="13">
      <c r="B1750" s="4"/>
      <c r="C1750" s="4"/>
      <c r="D1750" s="4"/>
      <c r="E1750" s="4"/>
      <c r="F1750" s="4"/>
      <c r="G1750" s="4"/>
      <c r="H1750" s="4"/>
      <c r="I1750" s="4"/>
      <c r="J1750" s="4"/>
      <c r="K1750" s="4"/>
      <c r="L1750" s="4"/>
      <c r="M1750" s="4"/>
      <c r="N1750" s="4"/>
    </row>
    <row r="1751" spans="2:14" ht="13">
      <c r="B1751" s="4"/>
      <c r="C1751" s="4"/>
      <c r="D1751" s="4"/>
      <c r="E1751" s="4"/>
      <c r="F1751" s="4"/>
      <c r="G1751" s="4"/>
      <c r="H1751" s="4"/>
      <c r="I1751" s="4"/>
      <c r="J1751" s="4"/>
      <c r="K1751" s="4"/>
      <c r="L1751" s="4"/>
      <c r="M1751" s="4"/>
      <c r="N1751" s="4"/>
    </row>
    <row r="1752" spans="2:14" ht="13">
      <c r="B1752" s="4"/>
      <c r="C1752" s="4"/>
      <c r="D1752" s="4"/>
      <c r="E1752" s="4"/>
      <c r="F1752" s="4"/>
      <c r="G1752" s="4"/>
      <c r="H1752" s="4"/>
      <c r="I1752" s="4"/>
      <c r="J1752" s="4"/>
      <c r="K1752" s="4"/>
      <c r="L1752" s="4"/>
      <c r="M1752" s="4"/>
      <c r="N1752" s="4"/>
    </row>
    <row r="1753" spans="2:14" ht="13">
      <c r="B1753" s="4"/>
      <c r="C1753" s="4"/>
      <c r="D1753" s="4"/>
      <c r="E1753" s="4"/>
      <c r="F1753" s="4"/>
      <c r="G1753" s="4"/>
      <c r="H1753" s="4"/>
      <c r="I1753" s="4"/>
      <c r="J1753" s="4"/>
      <c r="K1753" s="4"/>
      <c r="L1753" s="4"/>
      <c r="M1753" s="4"/>
      <c r="N1753" s="4"/>
    </row>
    <row r="1754" spans="2:14" ht="13">
      <c r="B1754" s="4"/>
      <c r="C1754" s="4"/>
      <c r="D1754" s="4"/>
      <c r="E1754" s="4"/>
      <c r="F1754" s="4"/>
      <c r="G1754" s="4"/>
      <c r="H1754" s="4"/>
      <c r="I1754" s="4"/>
      <c r="J1754" s="4"/>
      <c r="K1754" s="4"/>
      <c r="L1754" s="4"/>
      <c r="M1754" s="4"/>
      <c r="N1754" s="4"/>
    </row>
    <row r="1755" spans="2:14" ht="13">
      <c r="B1755" s="4"/>
      <c r="C1755" s="4"/>
      <c r="D1755" s="4"/>
      <c r="E1755" s="4"/>
      <c r="F1755" s="4"/>
      <c r="G1755" s="4"/>
      <c r="H1755" s="4"/>
      <c r="I1755" s="4"/>
      <c r="J1755" s="4"/>
      <c r="K1755" s="4"/>
      <c r="L1755" s="4"/>
      <c r="M1755" s="4"/>
      <c r="N1755" s="4"/>
    </row>
    <row r="1756" spans="2:14" ht="13">
      <c r="B1756" s="4"/>
      <c r="C1756" s="4"/>
      <c r="D1756" s="4"/>
      <c r="E1756" s="4"/>
      <c r="F1756" s="4"/>
      <c r="G1756" s="4"/>
      <c r="H1756" s="4"/>
      <c r="I1756" s="4"/>
      <c r="J1756" s="4"/>
      <c r="K1756" s="4"/>
      <c r="L1756" s="4"/>
      <c r="M1756" s="4"/>
      <c r="N1756" s="4"/>
    </row>
    <row r="1757" spans="2:14" ht="13">
      <c r="B1757" s="4"/>
      <c r="C1757" s="4"/>
      <c r="D1757" s="4"/>
      <c r="E1757" s="4"/>
      <c r="F1757" s="4"/>
      <c r="G1757" s="4"/>
      <c r="H1757" s="4"/>
      <c r="I1757" s="4"/>
      <c r="J1757" s="4"/>
      <c r="K1757" s="4"/>
      <c r="L1757" s="4"/>
      <c r="M1757" s="4"/>
      <c r="N1757" s="4"/>
    </row>
    <row r="1758" spans="2:14" ht="13">
      <c r="B1758" s="4"/>
      <c r="C1758" s="4"/>
      <c r="D1758" s="4"/>
      <c r="E1758" s="4"/>
      <c r="F1758" s="4"/>
      <c r="G1758" s="4"/>
      <c r="H1758" s="4"/>
      <c r="I1758" s="4"/>
      <c r="J1758" s="4"/>
      <c r="K1758" s="4"/>
      <c r="L1758" s="4"/>
      <c r="M1758" s="4"/>
      <c r="N1758" s="4"/>
    </row>
    <row r="1759" spans="2:14" ht="13">
      <c r="B1759" s="4"/>
      <c r="C1759" s="4"/>
      <c r="D1759" s="4"/>
      <c r="E1759" s="4"/>
      <c r="F1759" s="4"/>
      <c r="G1759" s="4"/>
      <c r="H1759" s="4"/>
      <c r="I1759" s="4"/>
      <c r="J1759" s="4"/>
      <c r="K1759" s="4"/>
      <c r="L1759" s="4"/>
      <c r="M1759" s="4"/>
      <c r="N1759" s="4"/>
    </row>
    <row r="1760" spans="2:14" ht="13">
      <c r="B1760" s="4"/>
      <c r="C1760" s="4"/>
      <c r="D1760" s="4"/>
      <c r="E1760" s="4"/>
      <c r="F1760" s="4"/>
      <c r="G1760" s="4"/>
      <c r="H1760" s="4"/>
      <c r="I1760" s="4"/>
      <c r="J1760" s="4"/>
      <c r="K1760" s="4"/>
      <c r="L1760" s="4"/>
      <c r="M1760" s="4"/>
      <c r="N1760" s="4"/>
    </row>
    <row r="1761" spans="2:14" ht="13">
      <c r="B1761" s="4"/>
      <c r="C1761" s="4"/>
      <c r="D1761" s="4"/>
      <c r="E1761" s="4"/>
      <c r="F1761" s="4"/>
      <c r="G1761" s="4"/>
      <c r="H1761" s="4"/>
      <c r="I1761" s="4"/>
      <c r="J1761" s="4"/>
      <c r="K1761" s="4"/>
      <c r="L1761" s="4"/>
      <c r="M1761" s="4"/>
      <c r="N1761" s="4"/>
    </row>
    <row r="1762" spans="2:14" ht="13">
      <c r="B1762" s="4"/>
      <c r="C1762" s="4"/>
      <c r="D1762" s="4"/>
      <c r="E1762" s="4"/>
      <c r="F1762" s="4"/>
      <c r="G1762" s="4"/>
      <c r="H1762" s="4"/>
      <c r="I1762" s="4"/>
      <c r="J1762" s="4"/>
      <c r="K1762" s="4"/>
      <c r="L1762" s="4"/>
      <c r="M1762" s="4"/>
      <c r="N1762" s="4"/>
    </row>
    <row r="1763" spans="2:14" ht="13">
      <c r="B1763" s="4"/>
      <c r="C1763" s="4"/>
      <c r="D1763" s="4"/>
      <c r="E1763" s="4"/>
      <c r="F1763" s="4"/>
      <c r="G1763" s="4"/>
      <c r="H1763" s="4"/>
      <c r="I1763" s="4"/>
      <c r="J1763" s="4"/>
      <c r="K1763" s="4"/>
      <c r="L1763" s="4"/>
      <c r="M1763" s="4"/>
      <c r="N1763" s="4"/>
    </row>
    <row r="1764" spans="2:14" ht="13">
      <c r="B1764" s="4"/>
      <c r="C1764" s="4"/>
      <c r="D1764" s="4"/>
      <c r="E1764" s="4"/>
      <c r="F1764" s="4"/>
      <c r="G1764" s="4"/>
      <c r="H1764" s="4"/>
      <c r="I1764" s="4"/>
      <c r="J1764" s="4"/>
      <c r="K1764" s="4"/>
      <c r="L1764" s="4"/>
      <c r="M1764" s="4"/>
      <c r="N1764" s="4"/>
    </row>
    <row r="1765" spans="2:14" ht="13">
      <c r="B1765" s="4"/>
      <c r="C1765" s="4"/>
      <c r="D1765" s="4"/>
      <c r="E1765" s="4"/>
      <c r="F1765" s="4"/>
      <c r="G1765" s="4"/>
      <c r="H1765" s="4"/>
      <c r="I1765" s="4"/>
      <c r="J1765" s="4"/>
      <c r="K1765" s="4"/>
      <c r="L1765" s="4"/>
      <c r="M1765" s="4"/>
      <c r="N1765" s="4"/>
    </row>
    <row r="1766" spans="2:14" ht="13">
      <c r="B1766" s="4"/>
      <c r="C1766" s="4"/>
      <c r="D1766" s="4"/>
      <c r="E1766" s="4"/>
      <c r="F1766" s="4"/>
      <c r="G1766" s="4"/>
      <c r="H1766" s="4"/>
      <c r="I1766" s="4"/>
      <c r="J1766" s="4"/>
      <c r="K1766" s="4"/>
      <c r="L1766" s="4"/>
      <c r="M1766" s="4"/>
      <c r="N1766" s="4"/>
    </row>
    <row r="1767" spans="2:14" ht="13">
      <c r="B1767" s="4"/>
      <c r="C1767" s="4"/>
      <c r="D1767" s="4"/>
      <c r="E1767" s="4"/>
      <c r="F1767" s="4"/>
      <c r="G1767" s="4"/>
      <c r="H1767" s="4"/>
      <c r="I1767" s="4"/>
      <c r="J1767" s="4"/>
      <c r="K1767" s="4"/>
      <c r="L1767" s="4"/>
      <c r="M1767" s="4"/>
      <c r="N1767" s="4"/>
    </row>
    <row r="1768" spans="2:14" ht="13">
      <c r="B1768" s="4"/>
      <c r="C1768" s="4"/>
      <c r="D1768" s="4"/>
      <c r="E1768" s="4"/>
      <c r="F1768" s="4"/>
      <c r="G1768" s="4"/>
      <c r="H1768" s="4"/>
      <c r="I1768" s="4"/>
      <c r="J1768" s="4"/>
      <c r="K1768" s="4"/>
      <c r="L1768" s="4"/>
      <c r="M1768" s="4"/>
      <c r="N1768" s="4"/>
    </row>
    <row r="1769" spans="2:14" ht="13">
      <c r="B1769" s="4"/>
      <c r="C1769" s="4"/>
      <c r="D1769" s="4"/>
      <c r="E1769" s="4"/>
      <c r="F1769" s="4"/>
      <c r="G1769" s="4"/>
      <c r="H1769" s="4"/>
      <c r="I1769" s="4"/>
      <c r="J1769" s="4"/>
      <c r="K1769" s="4"/>
      <c r="L1769" s="4"/>
      <c r="M1769" s="4"/>
      <c r="N1769" s="4"/>
    </row>
    <row r="1770" spans="2:14" ht="13">
      <c r="B1770" s="4"/>
      <c r="C1770" s="4"/>
      <c r="D1770" s="4"/>
      <c r="E1770" s="4"/>
      <c r="F1770" s="4"/>
      <c r="G1770" s="4"/>
      <c r="H1770" s="4"/>
      <c r="I1770" s="4"/>
      <c r="J1770" s="4"/>
      <c r="K1770" s="4"/>
      <c r="L1770" s="4"/>
      <c r="M1770" s="4"/>
      <c r="N1770" s="4"/>
    </row>
    <row r="1771" spans="2:14" ht="13">
      <c r="B1771" s="4"/>
      <c r="C1771" s="4"/>
      <c r="D1771" s="4"/>
      <c r="E1771" s="4"/>
      <c r="F1771" s="4"/>
      <c r="G1771" s="4"/>
      <c r="H1771" s="4"/>
      <c r="I1771" s="4"/>
      <c r="J1771" s="4"/>
      <c r="K1771" s="4"/>
      <c r="L1771" s="4"/>
      <c r="M1771" s="4"/>
      <c r="N1771" s="4"/>
    </row>
    <row r="1772" spans="2:14" ht="13">
      <c r="B1772" s="4"/>
      <c r="C1772" s="4"/>
      <c r="D1772" s="4"/>
      <c r="E1772" s="4"/>
      <c r="F1772" s="4"/>
      <c r="G1772" s="4"/>
      <c r="H1772" s="4"/>
      <c r="I1772" s="4"/>
      <c r="J1772" s="4"/>
      <c r="K1772" s="4"/>
      <c r="L1772" s="4"/>
      <c r="M1772" s="4"/>
      <c r="N1772" s="4"/>
    </row>
    <row r="1773" spans="2:14" ht="13">
      <c r="B1773" s="4"/>
      <c r="C1773" s="4"/>
      <c r="D1773" s="4"/>
      <c r="E1773" s="4"/>
      <c r="F1773" s="4"/>
      <c r="G1773" s="4"/>
      <c r="H1773" s="4"/>
      <c r="I1773" s="4"/>
      <c r="J1773" s="4"/>
      <c r="K1773" s="4"/>
      <c r="L1773" s="4"/>
      <c r="M1773" s="4"/>
      <c r="N1773" s="4"/>
    </row>
    <row r="1774" spans="2:14" ht="13">
      <c r="B1774" s="4"/>
      <c r="C1774" s="4"/>
      <c r="D1774" s="4"/>
      <c r="E1774" s="4"/>
      <c r="F1774" s="4"/>
      <c r="G1774" s="4"/>
      <c r="H1774" s="4"/>
      <c r="I1774" s="4"/>
      <c r="J1774" s="4"/>
      <c r="K1774" s="4"/>
      <c r="L1774" s="4"/>
      <c r="M1774" s="4"/>
      <c r="N1774" s="4"/>
    </row>
    <row r="1775" spans="2:14" ht="13">
      <c r="B1775" s="4"/>
      <c r="C1775" s="4"/>
      <c r="D1775" s="4"/>
      <c r="E1775" s="4"/>
      <c r="F1775" s="4"/>
      <c r="G1775" s="4"/>
      <c r="H1775" s="4"/>
      <c r="I1775" s="4"/>
      <c r="J1775" s="4"/>
      <c r="K1775" s="4"/>
      <c r="L1775" s="4"/>
      <c r="M1775" s="4"/>
      <c r="N1775" s="4"/>
    </row>
    <row r="1776" spans="2:14" ht="13">
      <c r="B1776" s="4"/>
      <c r="C1776" s="4"/>
      <c r="D1776" s="4"/>
      <c r="E1776" s="4"/>
      <c r="F1776" s="4"/>
      <c r="G1776" s="4"/>
      <c r="H1776" s="4"/>
      <c r="I1776" s="4"/>
      <c r="J1776" s="4"/>
      <c r="K1776" s="4"/>
      <c r="L1776" s="4"/>
      <c r="M1776" s="4"/>
      <c r="N1776" s="4"/>
    </row>
    <row r="1777" spans="2:14" ht="13">
      <c r="B1777" s="4"/>
      <c r="C1777" s="4"/>
      <c r="D1777" s="4"/>
      <c r="E1777" s="4"/>
      <c r="F1777" s="4"/>
      <c r="G1777" s="4"/>
      <c r="H1777" s="4"/>
      <c r="I1777" s="4"/>
      <c r="J1777" s="4"/>
      <c r="K1777" s="4"/>
      <c r="L1777" s="4"/>
      <c r="M1777" s="4"/>
      <c r="N1777" s="4"/>
    </row>
    <row r="1778" spans="2:14" ht="13">
      <c r="B1778" s="4"/>
      <c r="C1778" s="4"/>
      <c r="D1778" s="4"/>
      <c r="E1778" s="4"/>
      <c r="F1778" s="4"/>
      <c r="G1778" s="4"/>
      <c r="H1778" s="4"/>
      <c r="I1778" s="4"/>
      <c r="J1778" s="4"/>
      <c r="K1778" s="4"/>
      <c r="L1778" s="4"/>
      <c r="M1778" s="4"/>
      <c r="N1778" s="4"/>
    </row>
    <row r="1779" spans="2:14" ht="13">
      <c r="B1779" s="4"/>
      <c r="C1779" s="4"/>
      <c r="D1779" s="4"/>
      <c r="E1779" s="4"/>
      <c r="F1779" s="4"/>
      <c r="G1779" s="4"/>
      <c r="H1779" s="4"/>
      <c r="I1779" s="4"/>
      <c r="J1779" s="4"/>
      <c r="K1779" s="4"/>
      <c r="L1779" s="4"/>
      <c r="M1779" s="4"/>
      <c r="N1779" s="4"/>
    </row>
    <row r="1780" spans="2:14" ht="13">
      <c r="B1780" s="4"/>
      <c r="C1780" s="4"/>
      <c r="D1780" s="4"/>
      <c r="E1780" s="4"/>
      <c r="F1780" s="4"/>
      <c r="G1780" s="4"/>
      <c r="H1780" s="4"/>
      <c r="I1780" s="4"/>
      <c r="J1780" s="4"/>
      <c r="K1780" s="4"/>
      <c r="L1780" s="4"/>
      <c r="M1780" s="4"/>
      <c r="N1780" s="4"/>
    </row>
    <row r="1781" spans="2:14" ht="13">
      <c r="B1781" s="4"/>
      <c r="C1781" s="4"/>
      <c r="D1781" s="4"/>
      <c r="E1781" s="4"/>
      <c r="F1781" s="4"/>
      <c r="G1781" s="4"/>
      <c r="H1781" s="4"/>
      <c r="I1781" s="4"/>
      <c r="J1781" s="4"/>
      <c r="K1781" s="4"/>
      <c r="L1781" s="4"/>
      <c r="M1781" s="4"/>
      <c r="N1781" s="4"/>
    </row>
    <row r="1782" spans="2:14" ht="13">
      <c r="B1782" s="4"/>
      <c r="C1782" s="4"/>
      <c r="D1782" s="4"/>
      <c r="E1782" s="4"/>
      <c r="F1782" s="4"/>
      <c r="G1782" s="4"/>
      <c r="H1782" s="4"/>
      <c r="I1782" s="4"/>
      <c r="J1782" s="4"/>
      <c r="K1782" s="4"/>
      <c r="L1782" s="4"/>
      <c r="M1782" s="4"/>
      <c r="N1782" s="4"/>
    </row>
    <row r="1783" spans="2:14" ht="13">
      <c r="B1783" s="4"/>
      <c r="C1783" s="4"/>
      <c r="D1783" s="4"/>
      <c r="E1783" s="4"/>
      <c r="F1783" s="4"/>
      <c r="G1783" s="4"/>
      <c r="H1783" s="4"/>
      <c r="I1783" s="4"/>
      <c r="J1783" s="4"/>
      <c r="K1783" s="4"/>
      <c r="L1783" s="4"/>
      <c r="M1783" s="4"/>
      <c r="N1783" s="4"/>
    </row>
    <row r="1784" spans="2:14" ht="13">
      <c r="B1784" s="4"/>
      <c r="C1784" s="4"/>
      <c r="D1784" s="4"/>
      <c r="E1784" s="4"/>
      <c r="F1784" s="4"/>
      <c r="G1784" s="4"/>
      <c r="H1784" s="4"/>
      <c r="I1784" s="4"/>
      <c r="J1784" s="4"/>
      <c r="K1784" s="4"/>
      <c r="L1784" s="4"/>
      <c r="M1784" s="4"/>
      <c r="N1784" s="4"/>
    </row>
    <row r="1785" spans="2:14" ht="13">
      <c r="B1785" s="4"/>
      <c r="C1785" s="4"/>
      <c r="D1785" s="4"/>
      <c r="E1785" s="4"/>
      <c r="F1785" s="4"/>
      <c r="G1785" s="4"/>
      <c r="H1785" s="4"/>
      <c r="I1785" s="4"/>
      <c r="J1785" s="4"/>
      <c r="K1785" s="4"/>
      <c r="L1785" s="4"/>
      <c r="M1785" s="4"/>
      <c r="N1785" s="4"/>
    </row>
    <row r="1786" spans="2:14" ht="13">
      <c r="B1786" s="4"/>
      <c r="C1786" s="4"/>
      <c r="D1786" s="4"/>
      <c r="E1786" s="4"/>
      <c r="F1786" s="4"/>
      <c r="G1786" s="4"/>
      <c r="H1786" s="4"/>
      <c r="I1786" s="4"/>
      <c r="J1786" s="4"/>
      <c r="K1786" s="4"/>
      <c r="L1786" s="4"/>
      <c r="M1786" s="4"/>
      <c r="N1786" s="4"/>
    </row>
    <row r="1787" spans="2:14" ht="13">
      <c r="B1787" s="4"/>
      <c r="C1787" s="4"/>
      <c r="D1787" s="4"/>
      <c r="E1787" s="4"/>
      <c r="F1787" s="4"/>
      <c r="G1787" s="4"/>
      <c r="H1787" s="4"/>
      <c r="I1787" s="4"/>
      <c r="J1787" s="4"/>
      <c r="K1787" s="4"/>
      <c r="L1787" s="4"/>
      <c r="M1787" s="4"/>
      <c r="N1787" s="4"/>
    </row>
    <row r="1788" spans="2:14" ht="13">
      <c r="B1788" s="4"/>
      <c r="C1788" s="4"/>
      <c r="D1788" s="4"/>
      <c r="E1788" s="4"/>
      <c r="F1788" s="4"/>
      <c r="G1788" s="4"/>
      <c r="H1788" s="4"/>
      <c r="I1788" s="4"/>
      <c r="J1788" s="4"/>
      <c r="K1788" s="4"/>
      <c r="L1788" s="4"/>
      <c r="M1788" s="4"/>
      <c r="N1788" s="4"/>
    </row>
    <row r="1789" spans="2:14" ht="13">
      <c r="B1789" s="4"/>
      <c r="C1789" s="4"/>
      <c r="D1789" s="4"/>
      <c r="E1789" s="4"/>
      <c r="F1789" s="4"/>
      <c r="G1789" s="4"/>
      <c r="H1789" s="4"/>
      <c r="I1789" s="4"/>
      <c r="J1789" s="4"/>
      <c r="K1789" s="4"/>
      <c r="L1789" s="4"/>
      <c r="M1789" s="4"/>
      <c r="N1789" s="4"/>
    </row>
    <row r="1790" spans="2:14" ht="13">
      <c r="B1790" s="4"/>
      <c r="C1790" s="4"/>
      <c r="D1790" s="4"/>
      <c r="E1790" s="4"/>
      <c r="F1790" s="4"/>
      <c r="G1790" s="4"/>
      <c r="H1790" s="4"/>
      <c r="I1790" s="4"/>
      <c r="J1790" s="4"/>
      <c r="K1790" s="4"/>
      <c r="L1790" s="4"/>
      <c r="M1790" s="4"/>
      <c r="N1790" s="4"/>
    </row>
    <row r="1791" spans="2:14" ht="13">
      <c r="B1791" s="4"/>
      <c r="C1791" s="4"/>
      <c r="D1791" s="4"/>
      <c r="E1791" s="4"/>
      <c r="F1791" s="4"/>
      <c r="G1791" s="4"/>
      <c r="H1791" s="4"/>
      <c r="I1791" s="4"/>
      <c r="J1791" s="4"/>
      <c r="K1791" s="4"/>
      <c r="L1791" s="4"/>
      <c r="M1791" s="4"/>
      <c r="N1791" s="4"/>
    </row>
    <row r="1792" spans="2:14" ht="13">
      <c r="B1792" s="4"/>
      <c r="C1792" s="4"/>
      <c r="D1792" s="4"/>
      <c r="E1792" s="4"/>
      <c r="F1792" s="4"/>
      <c r="G1792" s="4"/>
      <c r="H1792" s="4"/>
      <c r="I1792" s="4"/>
      <c r="J1792" s="4"/>
      <c r="K1792" s="4"/>
      <c r="L1792" s="4"/>
      <c r="M1792" s="4"/>
      <c r="N1792" s="4"/>
    </row>
    <row r="1793" spans="2:14" ht="13">
      <c r="B1793" s="4"/>
      <c r="C1793" s="4"/>
      <c r="D1793" s="4"/>
      <c r="E1793" s="4"/>
      <c r="F1793" s="4"/>
      <c r="G1793" s="4"/>
      <c r="H1793" s="4"/>
      <c r="I1793" s="4"/>
      <c r="J1793" s="4"/>
      <c r="K1793" s="4"/>
      <c r="L1793" s="4"/>
      <c r="M1793" s="4"/>
      <c r="N1793" s="4"/>
    </row>
    <row r="1794" spans="2:14" ht="13">
      <c r="B1794" s="4"/>
      <c r="C1794" s="4"/>
      <c r="D1794" s="4"/>
      <c r="E1794" s="4"/>
      <c r="F1794" s="4"/>
      <c r="G1794" s="4"/>
      <c r="H1794" s="4"/>
      <c r="I1794" s="4"/>
      <c r="J1794" s="4"/>
      <c r="K1794" s="4"/>
      <c r="L1794" s="4"/>
      <c r="M1794" s="4"/>
      <c r="N1794" s="4"/>
    </row>
    <row r="1795" spans="2:14" ht="13">
      <c r="B1795" s="4"/>
      <c r="C1795" s="4"/>
      <c r="D1795" s="4"/>
      <c r="E1795" s="4"/>
      <c r="F1795" s="4"/>
      <c r="G1795" s="4"/>
      <c r="H1795" s="4"/>
      <c r="I1795" s="4"/>
      <c r="J1795" s="4"/>
      <c r="K1795" s="4"/>
      <c r="L1795" s="4"/>
      <c r="M1795" s="4"/>
      <c r="N1795" s="4"/>
    </row>
    <row r="1796" spans="2:14" ht="13">
      <c r="B1796" s="4"/>
      <c r="C1796" s="4"/>
      <c r="D1796" s="4"/>
      <c r="E1796" s="4"/>
      <c r="F1796" s="4"/>
      <c r="G1796" s="4"/>
      <c r="H1796" s="4"/>
      <c r="I1796" s="4"/>
      <c r="J1796" s="4"/>
      <c r="K1796" s="4"/>
      <c r="L1796" s="4"/>
      <c r="M1796" s="4"/>
      <c r="N1796" s="4"/>
    </row>
    <row r="1797" spans="2:14" ht="13">
      <c r="B1797" s="4"/>
      <c r="C1797" s="4"/>
      <c r="D1797" s="4"/>
      <c r="E1797" s="4"/>
      <c r="F1797" s="4"/>
      <c r="G1797" s="4"/>
      <c r="H1797" s="4"/>
      <c r="I1797" s="4"/>
      <c r="J1797" s="4"/>
      <c r="K1797" s="4"/>
      <c r="L1797" s="4"/>
      <c r="M1797" s="4"/>
      <c r="N1797" s="4"/>
    </row>
    <row r="1798" spans="2:14" ht="13">
      <c r="B1798" s="4"/>
      <c r="C1798" s="4"/>
      <c r="D1798" s="4"/>
      <c r="E1798" s="4"/>
      <c r="F1798" s="4"/>
      <c r="G1798" s="4"/>
      <c r="H1798" s="4"/>
      <c r="I1798" s="4"/>
      <c r="J1798" s="4"/>
      <c r="K1798" s="4"/>
      <c r="L1798" s="4"/>
      <c r="M1798" s="4"/>
      <c r="N1798" s="4"/>
    </row>
    <row r="1799" spans="2:14" ht="13">
      <c r="B1799" s="4"/>
      <c r="C1799" s="4"/>
      <c r="D1799" s="4"/>
      <c r="E1799" s="4"/>
      <c r="F1799" s="4"/>
      <c r="G1799" s="4"/>
      <c r="H1799" s="4"/>
      <c r="I1799" s="4"/>
      <c r="J1799" s="4"/>
      <c r="K1799" s="4"/>
      <c r="L1799" s="4"/>
      <c r="M1799" s="4"/>
      <c r="N1799" s="4"/>
    </row>
    <row r="1800" spans="2:14" ht="13">
      <c r="B1800" s="4"/>
      <c r="C1800" s="4"/>
      <c r="D1800" s="4"/>
      <c r="E1800" s="4"/>
      <c r="F1800" s="4"/>
      <c r="G1800" s="4"/>
      <c r="H1800" s="4"/>
      <c r="I1800" s="4"/>
      <c r="J1800" s="4"/>
      <c r="K1800" s="4"/>
      <c r="L1800" s="4"/>
      <c r="M1800" s="4"/>
      <c r="N1800" s="4"/>
    </row>
    <row r="1801" spans="2:14" ht="13">
      <c r="B1801" s="4"/>
      <c r="C1801" s="4"/>
      <c r="D1801" s="4"/>
      <c r="E1801" s="4"/>
      <c r="F1801" s="4"/>
      <c r="G1801" s="4"/>
      <c r="H1801" s="4"/>
      <c r="I1801" s="4"/>
      <c r="J1801" s="4"/>
      <c r="K1801" s="4"/>
      <c r="L1801" s="4"/>
      <c r="M1801" s="4"/>
      <c r="N1801" s="4"/>
    </row>
    <row r="1802" spans="2:14" ht="13">
      <c r="B1802" s="4"/>
      <c r="C1802" s="4"/>
      <c r="D1802" s="4"/>
      <c r="E1802" s="4"/>
      <c r="F1802" s="4"/>
      <c r="G1802" s="4"/>
      <c r="H1802" s="4"/>
      <c r="I1802" s="4"/>
      <c r="J1802" s="4"/>
      <c r="K1802" s="4"/>
      <c r="L1802" s="4"/>
      <c r="M1802" s="4"/>
      <c r="N1802" s="4"/>
    </row>
    <row r="1803" spans="2:14" ht="13">
      <c r="B1803" s="4"/>
      <c r="C1803" s="4"/>
      <c r="D1803" s="4"/>
      <c r="E1803" s="4"/>
      <c r="F1803" s="4"/>
      <c r="G1803" s="4"/>
      <c r="H1803" s="4"/>
      <c r="I1803" s="4"/>
      <c r="J1803" s="4"/>
      <c r="K1803" s="4"/>
      <c r="L1803" s="4"/>
      <c r="M1803" s="4"/>
      <c r="N1803" s="4"/>
    </row>
    <row r="1804" spans="2:14" ht="13">
      <c r="B1804" s="4"/>
      <c r="C1804" s="4"/>
      <c r="D1804" s="4"/>
      <c r="E1804" s="4"/>
      <c r="F1804" s="4"/>
      <c r="G1804" s="4"/>
      <c r="H1804" s="4"/>
      <c r="I1804" s="4"/>
      <c r="J1804" s="4"/>
      <c r="K1804" s="4"/>
      <c r="L1804" s="4"/>
      <c r="M1804" s="4"/>
      <c r="N1804" s="4"/>
    </row>
    <row r="1805" spans="2:14" ht="13">
      <c r="B1805" s="4"/>
      <c r="C1805" s="4"/>
      <c r="D1805" s="4"/>
      <c r="E1805" s="4"/>
      <c r="F1805" s="4"/>
      <c r="G1805" s="4"/>
      <c r="H1805" s="4"/>
      <c r="I1805" s="4"/>
      <c r="J1805" s="4"/>
      <c r="K1805" s="4"/>
      <c r="L1805" s="4"/>
      <c r="M1805" s="4"/>
      <c r="N1805" s="4"/>
    </row>
    <row r="1806" spans="2:14" ht="13">
      <c r="B1806" s="4"/>
      <c r="C1806" s="4"/>
      <c r="D1806" s="4"/>
      <c r="E1806" s="4"/>
      <c r="F1806" s="4"/>
      <c r="G1806" s="4"/>
      <c r="H1806" s="4"/>
      <c r="I1806" s="4"/>
      <c r="J1806" s="4"/>
      <c r="K1806" s="4"/>
      <c r="L1806" s="4"/>
      <c r="M1806" s="4"/>
      <c r="N1806" s="4"/>
    </row>
    <row r="1807" spans="2:14" ht="13">
      <c r="B1807" s="4"/>
      <c r="C1807" s="4"/>
      <c r="D1807" s="4"/>
      <c r="E1807" s="4"/>
      <c r="F1807" s="4"/>
      <c r="G1807" s="4"/>
      <c r="H1807" s="4"/>
      <c r="I1807" s="4"/>
      <c r="J1807" s="4"/>
      <c r="K1807" s="4"/>
      <c r="L1807" s="4"/>
      <c r="M1807" s="4"/>
      <c r="N1807" s="4"/>
    </row>
    <row r="1808" spans="2:14" ht="13">
      <c r="B1808" s="4"/>
      <c r="C1808" s="4"/>
      <c r="D1808" s="4"/>
      <c r="E1808" s="4"/>
      <c r="F1808" s="4"/>
      <c r="G1808" s="4"/>
      <c r="H1808" s="4"/>
      <c r="I1808" s="4"/>
      <c r="J1808" s="4"/>
      <c r="K1808" s="4"/>
      <c r="L1808" s="4"/>
      <c r="M1808" s="4"/>
      <c r="N1808" s="4"/>
    </row>
    <row r="1809" spans="2:14" ht="13">
      <c r="B1809" s="4"/>
      <c r="C1809" s="4"/>
      <c r="D1809" s="4"/>
      <c r="E1809" s="4"/>
      <c r="F1809" s="4"/>
      <c r="G1809" s="4"/>
      <c r="H1809" s="4"/>
      <c r="I1809" s="4"/>
      <c r="J1809" s="4"/>
      <c r="K1809" s="4"/>
      <c r="L1809" s="4"/>
      <c r="M1809" s="4"/>
      <c r="N1809" s="4"/>
    </row>
    <row r="1810" spans="2:14" ht="13">
      <c r="B1810" s="4"/>
      <c r="C1810" s="4"/>
      <c r="D1810" s="4"/>
      <c r="E1810" s="4"/>
      <c r="F1810" s="4"/>
      <c r="G1810" s="4"/>
      <c r="H1810" s="4"/>
      <c r="I1810" s="4"/>
      <c r="J1810" s="4"/>
      <c r="K1810" s="4"/>
      <c r="L1810" s="4"/>
      <c r="M1810" s="4"/>
      <c r="N1810" s="4"/>
    </row>
    <row r="1811" spans="2:14" ht="13">
      <c r="B1811" s="4"/>
      <c r="C1811" s="4"/>
      <c r="D1811" s="4"/>
      <c r="E1811" s="4"/>
      <c r="F1811" s="4"/>
      <c r="G1811" s="4"/>
      <c r="H1811" s="4"/>
      <c r="I1811" s="4"/>
      <c r="J1811" s="4"/>
      <c r="K1811" s="4"/>
      <c r="L1811" s="4"/>
      <c r="M1811" s="4"/>
      <c r="N1811" s="4"/>
    </row>
    <row r="1812" spans="2:14" ht="13">
      <c r="B1812" s="4"/>
      <c r="C1812" s="4"/>
      <c r="D1812" s="4"/>
      <c r="E1812" s="4"/>
      <c r="F1812" s="4"/>
      <c r="G1812" s="4"/>
      <c r="H1812" s="4"/>
      <c r="I1812" s="4"/>
      <c r="J1812" s="4"/>
      <c r="K1812" s="4"/>
      <c r="L1812" s="4"/>
      <c r="M1812" s="4"/>
      <c r="N1812" s="4"/>
    </row>
    <row r="1813" spans="2:14" ht="13">
      <c r="B1813" s="4"/>
      <c r="C1813" s="4"/>
      <c r="D1813" s="4"/>
      <c r="E1813" s="4"/>
      <c r="F1813" s="4"/>
      <c r="G1813" s="4"/>
      <c r="H1813" s="4"/>
      <c r="I1813" s="4"/>
      <c r="J1813" s="4"/>
      <c r="K1813" s="4"/>
      <c r="L1813" s="4"/>
      <c r="M1813" s="4"/>
      <c r="N1813" s="4"/>
    </row>
    <row r="1814" spans="2:14" ht="13">
      <c r="B1814" s="4"/>
      <c r="C1814" s="4"/>
      <c r="D1814" s="4"/>
      <c r="E1814" s="4"/>
      <c r="F1814" s="4"/>
      <c r="G1814" s="4"/>
      <c r="H1814" s="4"/>
      <c r="I1814" s="4"/>
      <c r="J1814" s="4"/>
      <c r="K1814" s="4"/>
      <c r="L1814" s="4"/>
      <c r="M1814" s="4"/>
      <c r="N1814" s="4"/>
    </row>
    <row r="1815" spans="2:14" ht="13">
      <c r="B1815" s="4"/>
      <c r="C1815" s="4"/>
      <c r="D1815" s="4"/>
      <c r="E1815" s="4"/>
      <c r="F1815" s="4"/>
      <c r="G1815" s="4"/>
      <c r="H1815" s="4"/>
      <c r="I1815" s="4"/>
      <c r="J1815" s="4"/>
      <c r="K1815" s="4"/>
      <c r="L1815" s="4"/>
      <c r="M1815" s="4"/>
      <c r="N1815" s="4"/>
    </row>
    <row r="1816" spans="2:14" ht="13">
      <c r="B1816" s="4"/>
      <c r="C1816" s="4"/>
      <c r="D1816" s="4"/>
      <c r="E1816" s="4"/>
      <c r="F1816" s="4"/>
      <c r="G1816" s="4"/>
      <c r="H1816" s="4"/>
      <c r="I1816" s="4"/>
      <c r="J1816" s="4"/>
      <c r="K1816" s="4"/>
      <c r="L1816" s="4"/>
      <c r="M1816" s="4"/>
      <c r="N1816" s="4"/>
    </row>
    <row r="1817" spans="2:14" ht="13">
      <c r="B1817" s="4"/>
      <c r="C1817" s="4"/>
      <c r="D1817" s="4"/>
      <c r="E1817" s="4"/>
      <c r="F1817" s="4"/>
      <c r="G1817" s="4"/>
      <c r="H1817" s="4"/>
      <c r="I1817" s="4"/>
      <c r="J1817" s="4"/>
      <c r="K1817" s="4"/>
      <c r="L1817" s="4"/>
      <c r="M1817" s="4"/>
      <c r="N1817" s="4"/>
    </row>
    <row r="1818" spans="2:14" ht="13">
      <c r="B1818" s="4"/>
      <c r="C1818" s="4"/>
      <c r="D1818" s="4"/>
      <c r="E1818" s="4"/>
      <c r="F1818" s="4"/>
      <c r="G1818" s="4"/>
      <c r="H1818" s="4"/>
      <c r="I1818" s="4"/>
      <c r="J1818" s="4"/>
      <c r="K1818" s="4"/>
      <c r="L1818" s="4"/>
      <c r="M1818" s="4"/>
      <c r="N1818" s="4"/>
    </row>
    <row r="1819" spans="2:14" ht="13">
      <c r="B1819" s="4"/>
      <c r="C1819" s="4"/>
      <c r="D1819" s="4"/>
      <c r="E1819" s="4"/>
      <c r="F1819" s="4"/>
      <c r="G1819" s="4"/>
      <c r="H1819" s="4"/>
      <c r="I1819" s="4"/>
      <c r="J1819" s="4"/>
      <c r="K1819" s="4"/>
      <c r="L1819" s="4"/>
      <c r="M1819" s="4"/>
      <c r="N1819" s="4"/>
    </row>
    <row r="1820" spans="2:14" ht="13">
      <c r="B1820" s="4"/>
      <c r="C1820" s="4"/>
      <c r="D1820" s="4"/>
      <c r="E1820" s="4"/>
      <c r="F1820" s="4"/>
      <c r="G1820" s="4"/>
      <c r="H1820" s="4"/>
      <c r="I1820" s="4"/>
      <c r="J1820" s="4"/>
      <c r="K1820" s="4"/>
      <c r="L1820" s="4"/>
      <c r="M1820" s="4"/>
      <c r="N1820" s="4"/>
    </row>
    <row r="1821" spans="2:14" ht="13">
      <c r="B1821" s="4"/>
      <c r="C1821" s="4"/>
      <c r="D1821" s="4"/>
      <c r="E1821" s="4"/>
      <c r="F1821" s="4"/>
      <c r="G1821" s="4"/>
      <c r="H1821" s="4"/>
      <c r="I1821" s="4"/>
      <c r="J1821" s="4"/>
      <c r="K1821" s="4"/>
      <c r="L1821" s="4"/>
      <c r="M1821" s="4"/>
      <c r="N1821" s="4"/>
    </row>
    <row r="1822" spans="2:14" ht="13">
      <c r="B1822" s="4"/>
      <c r="C1822" s="4"/>
      <c r="D1822" s="4"/>
      <c r="E1822" s="4"/>
      <c r="F1822" s="4"/>
      <c r="G1822" s="4"/>
      <c r="H1822" s="4"/>
      <c r="I1822" s="4"/>
      <c r="J1822" s="4"/>
      <c r="K1822" s="4"/>
      <c r="L1822" s="4"/>
      <c r="M1822" s="4"/>
      <c r="N1822" s="4"/>
    </row>
    <row r="1823" spans="2:14" ht="13">
      <c r="B1823" s="4"/>
      <c r="C1823" s="4"/>
      <c r="D1823" s="4"/>
      <c r="E1823" s="4"/>
      <c r="F1823" s="4"/>
      <c r="G1823" s="4"/>
      <c r="H1823" s="4"/>
      <c r="I1823" s="4"/>
      <c r="J1823" s="4"/>
      <c r="K1823" s="4"/>
      <c r="L1823" s="4"/>
      <c r="M1823" s="4"/>
      <c r="N1823" s="4"/>
    </row>
    <row r="1824" spans="2:14" ht="13">
      <c r="B1824" s="4"/>
      <c r="C1824" s="4"/>
      <c r="D1824" s="4"/>
      <c r="E1824" s="4"/>
      <c r="F1824" s="4"/>
      <c r="G1824" s="4"/>
      <c r="H1824" s="4"/>
      <c r="I1824" s="4"/>
      <c r="J1824" s="4"/>
      <c r="K1824" s="4"/>
      <c r="L1824" s="4"/>
      <c r="M1824" s="4"/>
      <c r="N1824" s="4"/>
    </row>
    <row r="1825" spans="2:14" ht="13">
      <c r="B1825" s="4"/>
      <c r="C1825" s="4"/>
      <c r="D1825" s="4"/>
      <c r="E1825" s="4"/>
      <c r="F1825" s="4"/>
      <c r="G1825" s="4"/>
      <c r="H1825" s="4"/>
      <c r="I1825" s="4"/>
      <c r="J1825" s="4"/>
      <c r="K1825" s="4"/>
      <c r="L1825" s="4"/>
      <c r="M1825" s="4"/>
      <c r="N1825" s="4"/>
    </row>
    <row r="1826" spans="2:14" ht="13">
      <c r="B1826" s="4"/>
      <c r="C1826" s="4"/>
      <c r="D1826" s="4"/>
      <c r="E1826" s="4"/>
      <c r="F1826" s="4"/>
      <c r="G1826" s="4"/>
      <c r="H1826" s="4"/>
      <c r="I1826" s="4"/>
      <c r="J1826" s="4"/>
      <c r="K1826" s="4"/>
      <c r="L1826" s="4"/>
      <c r="M1826" s="4"/>
      <c r="N1826" s="4"/>
    </row>
    <row r="1827" spans="2:14" ht="13">
      <c r="B1827" s="4"/>
      <c r="C1827" s="4"/>
      <c r="D1827" s="4"/>
      <c r="E1827" s="4"/>
      <c r="F1827" s="4"/>
      <c r="G1827" s="4"/>
      <c r="H1827" s="4"/>
      <c r="I1827" s="4"/>
      <c r="J1827" s="4"/>
      <c r="K1827" s="4"/>
      <c r="L1827" s="4"/>
      <c r="M1827" s="4"/>
      <c r="N1827" s="4"/>
    </row>
    <row r="1828" spans="2:14" ht="13">
      <c r="B1828" s="4"/>
      <c r="C1828" s="4"/>
      <c r="D1828" s="4"/>
      <c r="E1828" s="4"/>
      <c r="F1828" s="4"/>
      <c r="G1828" s="4"/>
      <c r="H1828" s="4"/>
      <c r="I1828" s="4"/>
      <c r="J1828" s="4"/>
      <c r="K1828" s="4"/>
      <c r="L1828" s="4"/>
      <c r="M1828" s="4"/>
      <c r="N1828" s="4"/>
    </row>
    <row r="1829" spans="2:14" ht="13">
      <c r="B1829" s="4"/>
      <c r="C1829" s="4"/>
      <c r="D1829" s="4"/>
      <c r="E1829" s="4"/>
      <c r="F1829" s="4"/>
      <c r="G1829" s="4"/>
      <c r="H1829" s="4"/>
      <c r="I1829" s="4"/>
      <c r="J1829" s="4"/>
      <c r="K1829" s="4"/>
      <c r="L1829" s="4"/>
      <c r="M1829" s="4"/>
      <c r="N1829" s="4"/>
    </row>
    <row r="1830" spans="2:14" ht="13">
      <c r="B1830" s="4"/>
      <c r="C1830" s="4"/>
      <c r="D1830" s="4"/>
      <c r="E1830" s="4"/>
      <c r="F1830" s="4"/>
      <c r="G1830" s="4"/>
      <c r="H1830" s="4"/>
      <c r="I1830" s="4"/>
      <c r="J1830" s="4"/>
      <c r="K1830" s="4"/>
      <c r="L1830" s="4"/>
      <c r="M1830" s="4"/>
      <c r="N1830" s="4"/>
    </row>
    <row r="1831" spans="2:14" ht="13">
      <c r="B1831" s="4"/>
      <c r="C1831" s="4"/>
      <c r="D1831" s="4"/>
      <c r="E1831" s="4"/>
      <c r="F1831" s="4"/>
      <c r="G1831" s="4"/>
      <c r="H1831" s="4"/>
      <c r="I1831" s="4"/>
      <c r="J1831" s="4"/>
      <c r="K1831" s="4"/>
      <c r="L1831" s="4"/>
      <c r="M1831" s="4"/>
      <c r="N1831" s="4"/>
    </row>
    <row r="1832" spans="2:14" ht="13">
      <c r="B1832" s="4"/>
      <c r="C1832" s="4"/>
      <c r="D1832" s="4"/>
      <c r="E1832" s="4"/>
      <c r="F1832" s="4"/>
      <c r="G1832" s="4"/>
      <c r="H1832" s="4"/>
      <c r="I1832" s="4"/>
      <c r="J1832" s="4"/>
      <c r="K1832" s="4"/>
      <c r="L1832" s="4"/>
      <c r="M1832" s="4"/>
      <c r="N1832" s="4"/>
    </row>
    <row r="1833" spans="2:14" ht="13">
      <c r="B1833" s="4"/>
      <c r="C1833" s="4"/>
      <c r="D1833" s="4"/>
      <c r="E1833" s="4"/>
      <c r="F1833" s="4"/>
      <c r="G1833" s="4"/>
      <c r="H1833" s="4"/>
      <c r="I1833" s="4"/>
      <c r="J1833" s="4"/>
      <c r="K1833" s="4"/>
      <c r="L1833" s="4"/>
      <c r="M1833" s="4"/>
      <c r="N1833" s="4"/>
    </row>
    <row r="1834" spans="2:14" ht="13">
      <c r="B1834" s="4"/>
      <c r="C1834" s="4"/>
      <c r="D1834" s="4"/>
      <c r="E1834" s="4"/>
      <c r="F1834" s="4"/>
      <c r="G1834" s="4"/>
      <c r="H1834" s="4"/>
      <c r="I1834" s="4"/>
      <c r="J1834" s="4"/>
      <c r="K1834" s="4"/>
      <c r="L1834" s="4"/>
      <c r="M1834" s="4"/>
      <c r="N1834" s="4"/>
    </row>
    <row r="1835" spans="2:14" ht="13">
      <c r="B1835" s="4"/>
      <c r="C1835" s="4"/>
      <c r="D1835" s="4"/>
      <c r="E1835" s="4"/>
      <c r="F1835" s="4"/>
      <c r="G1835" s="4"/>
      <c r="H1835" s="4"/>
      <c r="I1835" s="4"/>
      <c r="J1835" s="4"/>
      <c r="K1835" s="4"/>
      <c r="L1835" s="4"/>
      <c r="M1835" s="4"/>
      <c r="N1835" s="4"/>
    </row>
    <row r="1836" spans="2:14" ht="13">
      <c r="B1836" s="4"/>
      <c r="C1836" s="4"/>
      <c r="D1836" s="4"/>
      <c r="E1836" s="4"/>
      <c r="F1836" s="4"/>
      <c r="G1836" s="4"/>
      <c r="H1836" s="4"/>
      <c r="I1836" s="4"/>
      <c r="J1836" s="4"/>
      <c r="K1836" s="4"/>
      <c r="L1836" s="4"/>
      <c r="M1836" s="4"/>
      <c r="N1836" s="4"/>
    </row>
    <row r="1837" spans="2:14" ht="13">
      <c r="B1837" s="4"/>
      <c r="C1837" s="4"/>
      <c r="D1837" s="4"/>
      <c r="E1837" s="4"/>
      <c r="F1837" s="4"/>
      <c r="G1837" s="4"/>
      <c r="H1837" s="4"/>
      <c r="I1837" s="4"/>
      <c r="J1837" s="4"/>
      <c r="K1837" s="4"/>
      <c r="L1837" s="4"/>
      <c r="M1837" s="4"/>
      <c r="N1837" s="4"/>
    </row>
    <row r="1838" spans="2:14" ht="13">
      <c r="B1838" s="4"/>
      <c r="C1838" s="4"/>
      <c r="D1838" s="4"/>
      <c r="E1838" s="4"/>
      <c r="F1838" s="4"/>
      <c r="G1838" s="4"/>
      <c r="H1838" s="4"/>
      <c r="I1838" s="4"/>
      <c r="J1838" s="4"/>
      <c r="K1838" s="4"/>
      <c r="L1838" s="4"/>
      <c r="M1838" s="4"/>
      <c r="N1838" s="4"/>
    </row>
    <row r="1839" spans="2:14" ht="13">
      <c r="B1839" s="4"/>
      <c r="C1839" s="4"/>
      <c r="D1839" s="4"/>
      <c r="E1839" s="4"/>
      <c r="F1839" s="4"/>
      <c r="G1839" s="4"/>
      <c r="H1839" s="4"/>
      <c r="I1839" s="4"/>
      <c r="J1839" s="4"/>
      <c r="K1839" s="4"/>
      <c r="L1839" s="4"/>
      <c r="M1839" s="4"/>
      <c r="N1839" s="4"/>
    </row>
    <row r="1840" spans="2:14" ht="13">
      <c r="B1840" s="4"/>
      <c r="C1840" s="4"/>
      <c r="D1840" s="4"/>
      <c r="E1840" s="4"/>
      <c r="F1840" s="4"/>
      <c r="G1840" s="4"/>
      <c r="H1840" s="4"/>
      <c r="I1840" s="4"/>
      <c r="J1840" s="4"/>
      <c r="K1840" s="4"/>
      <c r="L1840" s="4"/>
      <c r="M1840" s="4"/>
      <c r="N1840" s="4"/>
    </row>
    <row r="1841" spans="2:14" ht="13">
      <c r="B1841" s="4"/>
      <c r="C1841" s="4"/>
      <c r="D1841" s="4"/>
      <c r="E1841" s="4"/>
      <c r="F1841" s="4"/>
      <c r="G1841" s="4"/>
      <c r="H1841" s="4"/>
      <c r="I1841" s="4"/>
      <c r="J1841" s="4"/>
      <c r="K1841" s="4"/>
      <c r="L1841" s="4"/>
      <c r="M1841" s="4"/>
      <c r="N1841" s="4"/>
    </row>
    <row r="1842" spans="2:14" ht="13">
      <c r="B1842" s="4"/>
      <c r="C1842" s="4"/>
      <c r="D1842" s="4"/>
      <c r="E1842" s="4"/>
      <c r="F1842" s="4"/>
      <c r="G1842" s="4"/>
      <c r="H1842" s="4"/>
      <c r="I1842" s="4"/>
      <c r="J1842" s="4"/>
      <c r="K1842" s="4"/>
      <c r="L1842" s="4"/>
      <c r="M1842" s="4"/>
      <c r="N1842" s="4"/>
    </row>
    <row r="1843" spans="2:14" ht="13">
      <c r="B1843" s="4"/>
      <c r="C1843" s="4"/>
      <c r="D1843" s="4"/>
      <c r="E1843" s="4"/>
      <c r="F1843" s="4"/>
      <c r="G1843" s="4"/>
      <c r="H1843" s="4"/>
      <c r="I1843" s="4"/>
      <c r="J1843" s="4"/>
      <c r="K1843" s="4"/>
      <c r="L1843" s="4"/>
      <c r="M1843" s="4"/>
      <c r="N1843" s="4"/>
    </row>
    <row r="1844" spans="2:14" ht="13">
      <c r="B1844" s="4"/>
      <c r="C1844" s="4"/>
      <c r="D1844" s="4"/>
      <c r="E1844" s="4"/>
      <c r="F1844" s="4"/>
      <c r="G1844" s="4"/>
      <c r="H1844" s="4"/>
      <c r="I1844" s="4"/>
      <c r="J1844" s="4"/>
      <c r="K1844" s="4"/>
      <c r="L1844" s="4"/>
      <c r="M1844" s="4"/>
      <c r="N1844" s="4"/>
    </row>
    <row r="1845" spans="2:14" ht="13">
      <c r="B1845" s="4"/>
      <c r="C1845" s="4"/>
      <c r="D1845" s="4"/>
      <c r="E1845" s="4"/>
      <c r="F1845" s="4"/>
      <c r="G1845" s="4"/>
      <c r="H1845" s="4"/>
      <c r="I1845" s="4"/>
      <c r="J1845" s="4"/>
      <c r="K1845" s="4"/>
      <c r="L1845" s="4"/>
      <c r="M1845" s="4"/>
      <c r="N1845" s="4"/>
    </row>
    <row r="1846" spans="2:14" ht="13">
      <c r="B1846" s="4"/>
      <c r="C1846" s="4"/>
      <c r="D1846" s="4"/>
      <c r="E1846" s="4"/>
      <c r="F1846" s="4"/>
      <c r="G1846" s="4"/>
      <c r="H1846" s="4"/>
      <c r="I1846" s="4"/>
      <c r="J1846" s="4"/>
      <c r="K1846" s="4"/>
      <c r="L1846" s="4"/>
      <c r="M1846" s="4"/>
      <c r="N1846" s="4"/>
    </row>
    <row r="1847" spans="2:14" ht="13">
      <c r="B1847" s="4"/>
      <c r="C1847" s="4"/>
      <c r="D1847" s="4"/>
      <c r="E1847" s="4"/>
      <c r="F1847" s="4"/>
      <c r="G1847" s="4"/>
      <c r="H1847" s="4"/>
      <c r="I1847" s="4"/>
      <c r="J1847" s="4"/>
      <c r="K1847" s="4"/>
      <c r="L1847" s="4"/>
      <c r="M1847" s="4"/>
      <c r="N1847" s="4"/>
    </row>
    <row r="1848" spans="2:14" ht="13">
      <c r="B1848" s="4"/>
      <c r="C1848" s="4"/>
      <c r="D1848" s="4"/>
      <c r="E1848" s="4"/>
      <c r="F1848" s="4"/>
      <c r="G1848" s="4"/>
      <c r="H1848" s="4"/>
      <c r="I1848" s="4"/>
      <c r="J1848" s="4"/>
      <c r="K1848" s="4"/>
      <c r="L1848" s="4"/>
      <c r="M1848" s="4"/>
      <c r="N1848" s="4"/>
    </row>
    <row r="1849" spans="2:14" ht="13">
      <c r="B1849" s="4"/>
      <c r="C1849" s="4"/>
      <c r="D1849" s="4"/>
      <c r="E1849" s="4"/>
      <c r="F1849" s="4"/>
      <c r="G1849" s="4"/>
      <c r="H1849" s="4"/>
      <c r="I1849" s="4"/>
      <c r="J1849" s="4"/>
      <c r="K1849" s="4"/>
      <c r="L1849" s="4"/>
      <c r="M1849" s="4"/>
      <c r="N1849" s="4"/>
    </row>
    <row r="1850" spans="2:14" ht="13">
      <c r="B1850" s="4"/>
      <c r="C1850" s="4"/>
      <c r="D1850" s="4"/>
      <c r="E1850" s="4"/>
      <c r="F1850" s="4"/>
      <c r="G1850" s="4"/>
      <c r="H1850" s="4"/>
      <c r="I1850" s="4"/>
      <c r="J1850" s="4"/>
      <c r="K1850" s="4"/>
      <c r="L1850" s="4"/>
      <c r="M1850" s="4"/>
      <c r="N1850" s="4"/>
    </row>
    <row r="1851" spans="2:14" ht="13">
      <c r="B1851" s="4"/>
      <c r="C1851" s="4"/>
      <c r="D1851" s="4"/>
      <c r="E1851" s="4"/>
      <c r="F1851" s="4"/>
      <c r="G1851" s="4"/>
      <c r="H1851" s="4"/>
      <c r="I1851" s="4"/>
      <c r="J1851" s="4"/>
      <c r="K1851" s="4"/>
      <c r="L1851" s="4"/>
      <c r="M1851" s="4"/>
      <c r="N1851" s="4"/>
    </row>
    <row r="1852" spans="2:14" ht="13">
      <c r="B1852" s="4"/>
      <c r="C1852" s="4"/>
      <c r="D1852" s="4"/>
      <c r="E1852" s="4"/>
      <c r="F1852" s="4"/>
      <c r="G1852" s="4"/>
      <c r="H1852" s="4"/>
      <c r="I1852" s="4"/>
      <c r="J1852" s="4"/>
      <c r="K1852" s="4"/>
      <c r="L1852" s="4"/>
      <c r="M1852" s="4"/>
      <c r="N1852" s="4"/>
    </row>
    <row r="1853" spans="2:14" ht="13">
      <c r="B1853" s="4"/>
      <c r="C1853" s="4"/>
      <c r="D1853" s="4"/>
      <c r="E1853" s="4"/>
      <c r="F1853" s="4"/>
      <c r="G1853" s="4"/>
      <c r="H1853" s="4"/>
      <c r="I1853" s="4"/>
      <c r="J1853" s="4"/>
      <c r="K1853" s="4"/>
      <c r="L1853" s="4"/>
      <c r="M1853" s="4"/>
      <c r="N1853" s="4"/>
    </row>
    <row r="1854" spans="2:14" ht="13">
      <c r="B1854" s="4"/>
      <c r="C1854" s="4"/>
      <c r="D1854" s="4"/>
      <c r="E1854" s="4"/>
      <c r="F1854" s="4"/>
      <c r="G1854" s="4"/>
      <c r="H1854" s="4"/>
      <c r="I1854" s="4"/>
      <c r="J1854" s="4"/>
      <c r="K1854" s="4"/>
      <c r="L1854" s="4"/>
      <c r="M1854" s="4"/>
      <c r="N1854" s="4"/>
    </row>
    <row r="1855" spans="2:14" ht="13">
      <c r="B1855" s="4"/>
      <c r="C1855" s="4"/>
      <c r="D1855" s="4"/>
      <c r="E1855" s="4"/>
      <c r="F1855" s="4"/>
      <c r="G1855" s="4"/>
      <c r="H1855" s="4"/>
      <c r="I1855" s="4"/>
      <c r="J1855" s="4"/>
      <c r="K1855" s="4"/>
      <c r="L1855" s="4"/>
      <c r="M1855" s="4"/>
      <c r="N1855" s="4"/>
    </row>
    <row r="1856" spans="2:14" ht="13">
      <c r="B1856" s="4"/>
      <c r="C1856" s="4"/>
      <c r="D1856" s="4"/>
      <c r="E1856" s="4"/>
      <c r="F1856" s="4"/>
      <c r="G1856" s="4"/>
      <c r="H1856" s="4"/>
      <c r="I1856" s="4"/>
      <c r="J1856" s="4"/>
      <c r="K1856" s="4"/>
      <c r="L1856" s="4"/>
      <c r="M1856" s="4"/>
      <c r="N1856" s="4"/>
    </row>
    <row r="1857" spans="2:14" ht="13">
      <c r="B1857" s="4"/>
      <c r="C1857" s="4"/>
      <c r="D1857" s="4"/>
      <c r="E1857" s="4"/>
      <c r="F1857" s="4"/>
      <c r="G1857" s="4"/>
      <c r="H1857" s="4"/>
      <c r="I1857" s="4"/>
      <c r="J1857" s="4"/>
      <c r="K1857" s="4"/>
      <c r="L1857" s="4"/>
      <c r="M1857" s="4"/>
      <c r="N1857" s="4"/>
    </row>
    <row r="1858" spans="2:14" ht="13">
      <c r="B1858" s="4"/>
      <c r="C1858" s="4"/>
      <c r="D1858" s="4"/>
      <c r="E1858" s="4"/>
      <c r="F1858" s="4"/>
      <c r="G1858" s="4"/>
      <c r="H1858" s="4"/>
      <c r="I1858" s="4"/>
      <c r="J1858" s="4"/>
      <c r="K1858" s="4"/>
      <c r="L1858" s="4"/>
      <c r="M1858" s="4"/>
      <c r="N1858" s="4"/>
    </row>
    <row r="1859" spans="2:14" ht="13">
      <c r="B1859" s="4"/>
      <c r="C1859" s="4"/>
      <c r="D1859" s="4"/>
      <c r="E1859" s="4"/>
      <c r="F1859" s="4"/>
      <c r="G1859" s="4"/>
      <c r="H1859" s="4"/>
      <c r="I1859" s="4"/>
      <c r="J1859" s="4"/>
      <c r="K1859" s="4"/>
      <c r="L1859" s="4"/>
      <c r="M1859" s="4"/>
      <c r="N1859" s="4"/>
    </row>
    <row r="1860" spans="2:14" ht="13">
      <c r="B1860" s="4"/>
      <c r="C1860" s="4"/>
      <c r="D1860" s="4"/>
      <c r="E1860" s="4"/>
      <c r="F1860" s="4"/>
      <c r="G1860" s="4"/>
      <c r="H1860" s="4"/>
      <c r="I1860" s="4"/>
      <c r="J1860" s="4"/>
      <c r="K1860" s="4"/>
      <c r="L1860" s="4"/>
      <c r="M1860" s="4"/>
      <c r="N1860" s="4"/>
    </row>
    <row r="1861" spans="2:14" ht="13">
      <c r="B1861" s="4"/>
      <c r="C1861" s="4"/>
      <c r="D1861" s="4"/>
      <c r="E1861" s="4"/>
      <c r="F1861" s="4"/>
      <c r="G1861" s="4"/>
      <c r="H1861" s="4"/>
      <c r="I1861" s="4"/>
      <c r="J1861" s="4"/>
      <c r="K1861" s="4"/>
      <c r="L1861" s="4"/>
      <c r="M1861" s="4"/>
      <c r="N1861" s="4"/>
    </row>
    <row r="1862" spans="2:14" ht="13">
      <c r="B1862" s="4"/>
      <c r="C1862" s="4"/>
      <c r="D1862" s="4"/>
      <c r="E1862" s="4"/>
      <c r="F1862" s="4"/>
      <c r="G1862" s="4"/>
      <c r="H1862" s="4"/>
      <c r="I1862" s="4"/>
      <c r="J1862" s="4"/>
      <c r="K1862" s="4"/>
      <c r="L1862" s="4"/>
      <c r="M1862" s="4"/>
      <c r="N1862" s="4"/>
    </row>
    <row r="1863" spans="2:14" ht="13">
      <c r="B1863" s="4"/>
      <c r="C1863" s="4"/>
      <c r="D1863" s="4"/>
      <c r="E1863" s="4"/>
      <c r="F1863" s="4"/>
      <c r="G1863" s="4"/>
      <c r="H1863" s="4"/>
      <c r="I1863" s="4"/>
      <c r="J1863" s="4"/>
      <c r="K1863" s="4"/>
      <c r="L1863" s="4"/>
      <c r="M1863" s="4"/>
      <c r="N1863" s="4"/>
    </row>
    <row r="1864" spans="2:14" ht="13">
      <c r="B1864" s="4"/>
      <c r="C1864" s="4"/>
      <c r="D1864" s="4"/>
      <c r="E1864" s="4"/>
      <c r="F1864" s="4"/>
      <c r="G1864" s="4"/>
      <c r="H1864" s="4"/>
      <c r="I1864" s="4"/>
      <c r="J1864" s="4"/>
      <c r="K1864" s="4"/>
      <c r="L1864" s="4"/>
      <c r="M1864" s="4"/>
      <c r="N1864" s="4"/>
    </row>
    <row r="1865" spans="2:14" ht="13">
      <c r="B1865" s="4"/>
      <c r="C1865" s="4"/>
      <c r="D1865" s="4"/>
      <c r="E1865" s="4"/>
      <c r="F1865" s="4"/>
      <c r="G1865" s="4"/>
      <c r="H1865" s="4"/>
      <c r="I1865" s="4"/>
      <c r="J1865" s="4"/>
      <c r="K1865" s="4"/>
      <c r="L1865" s="4"/>
      <c r="M1865" s="4"/>
      <c r="N1865" s="4"/>
    </row>
    <row r="1866" spans="2:14" ht="13">
      <c r="B1866" s="4"/>
      <c r="C1866" s="4"/>
      <c r="D1866" s="4"/>
      <c r="E1866" s="4"/>
      <c r="F1866" s="4"/>
      <c r="G1866" s="4"/>
      <c r="H1866" s="4"/>
      <c r="I1866" s="4"/>
      <c r="J1866" s="4"/>
      <c r="K1866" s="4"/>
      <c r="L1866" s="4"/>
      <c r="M1866" s="4"/>
      <c r="N1866" s="4"/>
    </row>
    <row r="1867" spans="2:14" ht="13">
      <c r="B1867" s="4"/>
      <c r="C1867" s="4"/>
      <c r="D1867" s="4"/>
      <c r="E1867" s="4"/>
      <c r="F1867" s="4"/>
      <c r="G1867" s="4"/>
      <c r="H1867" s="4"/>
      <c r="I1867" s="4"/>
      <c r="J1867" s="4"/>
      <c r="K1867" s="4"/>
      <c r="L1867" s="4"/>
      <c r="M1867" s="4"/>
      <c r="N1867" s="4"/>
    </row>
    <row r="1868" spans="2:14" ht="13">
      <c r="B1868" s="4"/>
      <c r="C1868" s="4"/>
      <c r="D1868" s="4"/>
      <c r="E1868" s="4"/>
      <c r="F1868" s="4"/>
      <c r="G1868" s="4"/>
      <c r="H1868" s="4"/>
      <c r="I1868" s="4"/>
      <c r="J1868" s="4"/>
      <c r="K1868" s="4"/>
      <c r="L1868" s="4"/>
      <c r="M1868" s="4"/>
      <c r="N1868" s="4"/>
    </row>
    <row r="1869" spans="2:14" ht="13">
      <c r="B1869" s="4"/>
      <c r="C1869" s="4"/>
      <c r="D1869" s="4"/>
      <c r="E1869" s="4"/>
      <c r="F1869" s="4"/>
      <c r="G1869" s="4"/>
      <c r="H1869" s="4"/>
      <c r="I1869" s="4"/>
      <c r="J1869" s="4"/>
      <c r="K1869" s="4"/>
      <c r="L1869" s="4"/>
      <c r="M1869" s="4"/>
      <c r="N1869" s="4"/>
    </row>
    <row r="1870" spans="2:14" ht="13">
      <c r="B1870" s="4"/>
      <c r="C1870" s="4"/>
      <c r="D1870" s="4"/>
      <c r="E1870" s="4"/>
      <c r="F1870" s="4"/>
      <c r="G1870" s="4"/>
      <c r="H1870" s="4"/>
      <c r="I1870" s="4"/>
      <c r="J1870" s="4"/>
      <c r="K1870" s="4"/>
      <c r="L1870" s="4"/>
      <c r="M1870" s="4"/>
      <c r="N1870" s="4"/>
    </row>
    <row r="1871" spans="2:14" ht="13">
      <c r="B1871" s="4"/>
      <c r="C1871" s="4"/>
      <c r="D1871" s="4"/>
      <c r="E1871" s="4"/>
      <c r="F1871" s="4"/>
      <c r="G1871" s="4"/>
      <c r="H1871" s="4"/>
      <c r="I1871" s="4"/>
      <c r="J1871" s="4"/>
      <c r="K1871" s="4"/>
      <c r="L1871" s="4"/>
      <c r="M1871" s="4"/>
      <c r="N1871" s="4"/>
    </row>
    <row r="1872" spans="2:14" ht="13">
      <c r="B1872" s="4"/>
      <c r="C1872" s="4"/>
      <c r="D1872" s="4"/>
      <c r="E1872" s="4"/>
      <c r="F1872" s="4"/>
      <c r="G1872" s="4"/>
      <c r="H1872" s="4"/>
      <c r="I1872" s="4"/>
      <c r="J1872" s="4"/>
      <c r="K1872" s="4"/>
      <c r="L1872" s="4"/>
      <c r="M1872" s="4"/>
      <c r="N1872" s="4"/>
    </row>
    <row r="1873" spans="2:14" ht="13">
      <c r="B1873" s="4"/>
      <c r="C1873" s="4"/>
      <c r="D1873" s="4"/>
      <c r="E1873" s="4"/>
      <c r="F1873" s="4"/>
      <c r="G1873" s="4"/>
      <c r="H1873" s="4"/>
      <c r="I1873" s="4"/>
      <c r="J1873" s="4"/>
      <c r="K1873" s="4"/>
      <c r="L1873" s="4"/>
      <c r="M1873" s="4"/>
      <c r="N1873" s="4"/>
    </row>
  </sheetData>
  <autoFilter ref="A6:AH1873" xr:uid="{00000000-0009-0000-0000-000000000000}"/>
  <dataValidations count="5">
    <dataValidation type="list" allowBlank="1" showErrorMessage="1" sqref="D7:D402" xr:uid="{00000000-0002-0000-0000-000000000000}">
      <formula1>$P$7:$P$15</formula1>
    </dataValidation>
    <dataValidation type="list" allowBlank="1" showErrorMessage="1" sqref="E7:E253 E276:E402" xr:uid="{00000000-0002-0000-0000-000001000000}">
      <formula1>$R$7:$R$40</formula1>
    </dataValidation>
    <dataValidation type="list" allowBlank="1" showErrorMessage="1" sqref="F7:F402" xr:uid="{00000000-0002-0000-0000-000002000000}">
      <formula1>$Y$7:$Y$21</formula1>
    </dataValidation>
    <dataValidation type="list" allowBlank="1" showErrorMessage="1" sqref="H89:H402" xr:uid="{00000000-0002-0000-0000-000003000000}">
      <formula1>$AA$7:$AA$16</formula1>
    </dataValidation>
    <dataValidation type="list" allowBlank="1" showErrorMessage="1" sqref="L89:L402" xr:uid="{00000000-0002-0000-0000-000004000000}">
      <formula1>$AC$7:$AC$51</formula1>
    </dataValidation>
  </dataValidations>
  <hyperlinks>
    <hyperlink ref="AE28" r:id="rId1" xr:uid="{00000000-0004-0000-0000-000000000000}"/>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256"/>
  <sheetViews>
    <sheetView topLeftCell="A62" workbookViewId="0">
      <selection activeCell="D82" sqref="D82"/>
    </sheetView>
  </sheetViews>
  <sheetFormatPr baseColWidth="10" defaultColWidth="12.6640625" defaultRowHeight="15.75" customHeight="1"/>
  <cols>
    <col min="1" max="1" width="6.1640625" customWidth="1"/>
    <col min="2" max="2" width="9" customWidth="1"/>
    <col min="3" max="3" width="12" customWidth="1"/>
    <col min="4" max="4" width="26.83203125" customWidth="1"/>
    <col min="5" max="5" width="21.83203125" customWidth="1"/>
    <col min="6" max="6" width="7.6640625" customWidth="1"/>
    <col min="7" max="7" width="10.6640625" customWidth="1"/>
    <col min="8" max="8" width="12" customWidth="1"/>
    <col min="9" max="9" width="15.1640625" customWidth="1"/>
    <col min="10" max="10" width="10.1640625" customWidth="1"/>
    <col min="11" max="11" width="23.33203125" customWidth="1"/>
    <col min="12" max="12" width="12.6640625" customWidth="1"/>
    <col min="13" max="13" width="15.1640625" customWidth="1"/>
    <col min="14" max="14" width="10.1640625" customWidth="1"/>
    <col min="15" max="15" width="11.83203125" customWidth="1"/>
    <col min="16" max="16" width="65.5" customWidth="1"/>
    <col min="17" max="17" width="78.5" customWidth="1"/>
    <col min="18" max="18" width="12.6640625" customWidth="1"/>
    <col min="19" max="19" width="11.5" customWidth="1"/>
    <col min="20" max="28" width="12.6640625" hidden="1"/>
  </cols>
  <sheetData>
    <row r="1" spans="1:19" ht="18">
      <c r="A1" s="80" t="s">
        <v>2</v>
      </c>
      <c r="B1" s="4"/>
      <c r="C1" s="4"/>
      <c r="D1" s="4"/>
      <c r="E1" s="4"/>
      <c r="F1" s="4"/>
      <c r="G1" s="4"/>
      <c r="H1" s="4"/>
      <c r="I1" s="4"/>
      <c r="J1" s="81"/>
      <c r="K1" s="4"/>
      <c r="L1" s="4"/>
      <c r="M1" s="4"/>
      <c r="N1" s="81"/>
      <c r="O1" s="4"/>
      <c r="P1" s="4"/>
      <c r="Q1" s="4"/>
      <c r="R1" s="4"/>
      <c r="S1" s="4"/>
    </row>
    <row r="2" spans="1:19" ht="15.75" customHeight="1">
      <c r="A2" s="82"/>
      <c r="B2" s="82"/>
      <c r="C2" s="82"/>
      <c r="D2" s="82"/>
      <c r="E2" s="82"/>
      <c r="F2" s="82"/>
      <c r="G2" s="82"/>
      <c r="H2" s="82"/>
      <c r="I2" s="83" t="e">
        <f>AVERAGE(I6:I176)</f>
        <v>#N/A</v>
      </c>
      <c r="J2" s="84">
        <v>0.36</v>
      </c>
      <c r="K2" s="85">
        <v>1</v>
      </c>
      <c r="L2" s="84">
        <v>0.2</v>
      </c>
      <c r="M2" s="82"/>
      <c r="N2" s="84">
        <v>0.38</v>
      </c>
      <c r="O2" s="4"/>
      <c r="P2" s="4"/>
      <c r="Q2" s="4"/>
      <c r="R2" s="4"/>
      <c r="S2" s="4"/>
    </row>
    <row r="3" spans="1:19" ht="15.75" customHeight="1">
      <c r="A3" s="86"/>
      <c r="B3" s="87"/>
      <c r="C3" s="87"/>
      <c r="D3" s="88"/>
      <c r="E3" s="88"/>
      <c r="F3" s="88"/>
      <c r="G3" s="89"/>
      <c r="H3" s="420" t="s">
        <v>1284</v>
      </c>
      <c r="I3" s="421"/>
      <c r="J3" s="422"/>
      <c r="K3" s="420" t="s">
        <v>1285</v>
      </c>
      <c r="L3" s="421"/>
      <c r="M3" s="421"/>
      <c r="N3" s="422"/>
      <c r="O3" s="90"/>
      <c r="P3" s="90"/>
      <c r="Q3" s="90"/>
      <c r="R3" s="90"/>
      <c r="S3" s="90"/>
    </row>
    <row r="4" spans="1:19" ht="15.75" customHeight="1">
      <c r="A4" s="91" t="s">
        <v>3</v>
      </c>
      <c r="B4" s="92" t="s">
        <v>6</v>
      </c>
      <c r="C4" s="92" t="s">
        <v>17</v>
      </c>
      <c r="D4" s="93" t="s">
        <v>19</v>
      </c>
      <c r="E4" s="93"/>
      <c r="F4" s="93" t="s">
        <v>5</v>
      </c>
      <c r="G4" s="94" t="s">
        <v>1286</v>
      </c>
      <c r="H4" s="93" t="s">
        <v>1287</v>
      </c>
      <c r="I4" s="92" t="s">
        <v>1288</v>
      </c>
      <c r="J4" s="94" t="s">
        <v>1289</v>
      </c>
      <c r="K4" s="93" t="s">
        <v>1290</v>
      </c>
      <c r="L4" s="92" t="s">
        <v>1291</v>
      </c>
      <c r="M4" s="92" t="s">
        <v>1288</v>
      </c>
      <c r="N4" s="94" t="s">
        <v>1289</v>
      </c>
      <c r="O4" s="95" t="s">
        <v>1292</v>
      </c>
      <c r="P4" s="95" t="s">
        <v>1293</v>
      </c>
      <c r="Q4" s="95" t="s">
        <v>1294</v>
      </c>
      <c r="R4" s="96" t="s">
        <v>16</v>
      </c>
      <c r="S4" s="96" t="s">
        <v>1295</v>
      </c>
    </row>
    <row r="5" spans="1:19" ht="15.75" customHeight="1">
      <c r="A5" s="97">
        <v>1</v>
      </c>
      <c r="B5" s="72" t="s">
        <v>81</v>
      </c>
      <c r="C5" s="72" t="s">
        <v>33</v>
      </c>
      <c r="D5" s="98" t="s">
        <v>185</v>
      </c>
      <c r="E5" s="99"/>
      <c r="F5" s="99" t="str">
        <f>VLOOKUP(D5,Master!$V$7:$W$1000,2,FALSE)</f>
        <v>M0015</v>
      </c>
      <c r="G5" s="100">
        <f>VLOOKUP(D5,'Menu Bar'!$B$6:$I$1948,8,FALSE)</f>
        <v>8309.2541842105256</v>
      </c>
      <c r="H5" s="101">
        <v>26000</v>
      </c>
      <c r="I5" s="102">
        <f t="shared" ref="I5:I70" si="0">G5/H5</f>
        <v>0.3195866993927125</v>
      </c>
      <c r="J5" s="103" t="str">
        <f t="shared" ref="J5:J70" si="1">IF(I5&lt;=$J$2,"Good Price","Bad Price")</f>
        <v>Good Price</v>
      </c>
      <c r="K5" s="104">
        <f t="shared" ref="K5:K12" si="2">1000+H5</f>
        <v>27000</v>
      </c>
      <c r="L5" s="104">
        <f t="shared" ref="L5:L144" si="3">K5*$L$2</f>
        <v>5400</v>
      </c>
      <c r="M5" s="105">
        <f t="shared" ref="M5:M144" si="4">G5/(K5-L5)</f>
        <v>0.38468769371345024</v>
      </c>
      <c r="N5" s="106" t="str">
        <f t="shared" ref="N5:N144" si="5">IF(M5&lt;=$N$2,"Good Price","Bad Price")</f>
        <v>Bad Price</v>
      </c>
      <c r="O5" s="107">
        <v>27000</v>
      </c>
      <c r="P5" s="90"/>
      <c r="Q5" s="108" t="s">
        <v>1296</v>
      </c>
      <c r="R5" s="108"/>
      <c r="S5" s="108"/>
    </row>
    <row r="6" spans="1:19" ht="15.75" customHeight="1">
      <c r="A6" s="97">
        <f t="shared" ref="A6:A217" si="6">A5+1</f>
        <v>2</v>
      </c>
      <c r="B6" s="72" t="s">
        <v>81</v>
      </c>
      <c r="C6" s="72" t="s">
        <v>33</v>
      </c>
      <c r="D6" s="98" t="s">
        <v>2072</v>
      </c>
      <c r="E6" s="99"/>
      <c r="F6" s="99" t="str">
        <f>VLOOKUP(D6,Master!$V$7:$W$1000,2,FALSE)</f>
        <v>M0002</v>
      </c>
      <c r="G6" s="100">
        <f>VLOOKUP(D6,'Menu Bar'!$B$6:$I$1948,8,FALSE)</f>
        <v>6735.6121403508778</v>
      </c>
      <c r="H6" s="101">
        <v>26000</v>
      </c>
      <c r="I6" s="102">
        <f t="shared" si="0"/>
        <v>0.2590620053981107</v>
      </c>
      <c r="J6" s="103" t="str">
        <f t="shared" si="1"/>
        <v>Good Price</v>
      </c>
      <c r="K6" s="104">
        <f t="shared" si="2"/>
        <v>27000</v>
      </c>
      <c r="L6" s="104">
        <f t="shared" si="3"/>
        <v>5400</v>
      </c>
      <c r="M6" s="105">
        <f t="shared" si="4"/>
        <v>0.31183389538661471</v>
      </c>
      <c r="N6" s="106" t="str">
        <f t="shared" si="5"/>
        <v>Good Price</v>
      </c>
      <c r="O6" s="109"/>
    </row>
    <row r="7" spans="1:19" ht="15.75" customHeight="1">
      <c r="A7" s="97">
        <f t="shared" si="6"/>
        <v>3</v>
      </c>
      <c r="B7" s="72" t="s">
        <v>81</v>
      </c>
      <c r="C7" s="72" t="s">
        <v>33</v>
      </c>
      <c r="D7" s="98" t="s">
        <v>2071</v>
      </c>
      <c r="E7" s="99"/>
      <c r="F7" s="99" t="str">
        <f>VLOOKUP(D7,Master!$V$7:$W$1000,2,FALSE)</f>
        <v>M0001</v>
      </c>
      <c r="G7" s="100">
        <f>VLOOKUP(D7,'Menu Bar'!$B$6:$I$1948,8,FALSE)</f>
        <v>7222.6052631578941</v>
      </c>
      <c r="H7" s="101">
        <v>24000</v>
      </c>
      <c r="I7" s="102">
        <f t="shared" si="0"/>
        <v>0.30094188596491228</v>
      </c>
      <c r="J7" s="103" t="str">
        <f t="shared" si="1"/>
        <v>Good Price</v>
      </c>
      <c r="K7" s="104">
        <f t="shared" si="2"/>
        <v>25000</v>
      </c>
      <c r="L7" s="104">
        <f t="shared" si="3"/>
        <v>5000</v>
      </c>
      <c r="M7" s="105">
        <f t="shared" si="4"/>
        <v>0.3611302631578947</v>
      </c>
      <c r="N7" s="106" t="str">
        <f t="shared" si="5"/>
        <v>Good Price</v>
      </c>
      <c r="O7" s="109"/>
    </row>
    <row r="8" spans="1:19" ht="15.75" customHeight="1">
      <c r="A8" s="97">
        <f t="shared" si="6"/>
        <v>4</v>
      </c>
      <c r="B8" s="72" t="s">
        <v>81</v>
      </c>
      <c r="C8" s="72" t="s">
        <v>33</v>
      </c>
      <c r="D8" s="98" t="s">
        <v>59</v>
      </c>
      <c r="E8" s="99"/>
      <c r="F8" s="99" t="str">
        <f>VLOOKUP(D8,Master!$V$7:$W$1000,2,FALSE)</f>
        <v>M0003</v>
      </c>
      <c r="G8" s="100">
        <f>VLOOKUP(D8,'Menu Bar'!$B$6:$I$1948,8,FALSE)</f>
        <v>6408.2182368421054</v>
      </c>
      <c r="H8" s="101">
        <v>26000</v>
      </c>
      <c r="I8" s="102">
        <f t="shared" si="0"/>
        <v>0.24646993218623484</v>
      </c>
      <c r="J8" s="103" t="str">
        <f t="shared" si="1"/>
        <v>Good Price</v>
      </c>
      <c r="K8" s="104">
        <f t="shared" si="2"/>
        <v>27000</v>
      </c>
      <c r="L8" s="104">
        <f t="shared" si="3"/>
        <v>5400</v>
      </c>
      <c r="M8" s="105">
        <f t="shared" si="4"/>
        <v>0.29667677022417155</v>
      </c>
      <c r="N8" s="106" t="str">
        <f t="shared" si="5"/>
        <v>Good Price</v>
      </c>
      <c r="O8" s="109"/>
    </row>
    <row r="9" spans="1:19" ht="15.75" customHeight="1">
      <c r="A9" s="97">
        <f t="shared" si="6"/>
        <v>5</v>
      </c>
      <c r="B9" s="72" t="s">
        <v>81</v>
      </c>
      <c r="C9" s="72" t="s">
        <v>33</v>
      </c>
      <c r="D9" s="98" t="s">
        <v>72</v>
      </c>
      <c r="E9" s="99"/>
      <c r="F9" s="99" t="str">
        <f>VLOOKUP(D9,Master!$V$7:$W$1000,2,FALSE)</f>
        <v>M0004</v>
      </c>
      <c r="G9" s="100">
        <f>VLOOKUP(D9,'Menu Bar'!$B$6:$I$1948,8,FALSE)</f>
        <v>7885.5863157894728</v>
      </c>
      <c r="H9" s="101">
        <v>24000</v>
      </c>
      <c r="I9" s="102">
        <f t="shared" si="0"/>
        <v>0.32856609649122803</v>
      </c>
      <c r="J9" s="103" t="str">
        <f t="shared" si="1"/>
        <v>Good Price</v>
      </c>
      <c r="K9" s="104">
        <f t="shared" si="2"/>
        <v>25000</v>
      </c>
      <c r="L9" s="104">
        <f t="shared" si="3"/>
        <v>5000</v>
      </c>
      <c r="M9" s="105">
        <f t="shared" si="4"/>
        <v>0.39427931578947362</v>
      </c>
      <c r="N9" s="106" t="str">
        <f t="shared" si="5"/>
        <v>Bad Price</v>
      </c>
      <c r="O9" s="110"/>
    </row>
    <row r="10" spans="1:19" ht="15.75" customHeight="1">
      <c r="A10" s="97">
        <f t="shared" si="6"/>
        <v>6</v>
      </c>
      <c r="B10" s="72" t="s">
        <v>81</v>
      </c>
      <c r="C10" s="72" t="s">
        <v>33</v>
      </c>
      <c r="D10" s="98" t="s">
        <v>94</v>
      </c>
      <c r="E10" s="99" t="s">
        <v>1297</v>
      </c>
      <c r="F10" s="99" t="str">
        <f>VLOOKUP(D10,Master!$V$7:$W$1000,2,FALSE)</f>
        <v>M0006</v>
      </c>
      <c r="G10" s="100">
        <f>VLOOKUP(D10,'Menu Bar'!$B$6:$I$1948,8,FALSE)</f>
        <v>4483.9473684210525</v>
      </c>
      <c r="H10" s="101">
        <v>24000</v>
      </c>
      <c r="I10" s="102">
        <f t="shared" si="0"/>
        <v>0.1868311403508772</v>
      </c>
      <c r="J10" s="103" t="str">
        <f t="shared" si="1"/>
        <v>Good Price</v>
      </c>
      <c r="K10" s="104">
        <f t="shared" si="2"/>
        <v>25000</v>
      </c>
      <c r="L10" s="104">
        <f t="shared" si="3"/>
        <v>5000</v>
      </c>
      <c r="M10" s="105">
        <f t="shared" si="4"/>
        <v>0.22419736842105262</v>
      </c>
      <c r="N10" s="106" t="str">
        <f t="shared" si="5"/>
        <v>Good Price</v>
      </c>
      <c r="O10" s="109"/>
    </row>
    <row r="11" spans="1:19" ht="15.75" customHeight="1">
      <c r="A11" s="97">
        <f t="shared" si="6"/>
        <v>7</v>
      </c>
      <c r="B11" s="72" t="s">
        <v>81</v>
      </c>
      <c r="C11" s="72" t="s">
        <v>33</v>
      </c>
      <c r="D11" s="98" t="s">
        <v>84</v>
      </c>
      <c r="E11" s="99" t="s">
        <v>1298</v>
      </c>
      <c r="F11" s="99" t="str">
        <f>VLOOKUP(D11,Master!$V$7:$W$1000,2,FALSE)</f>
        <v>M0005</v>
      </c>
      <c r="G11" s="100">
        <f>VLOOKUP(D11,'Menu Bar'!$B$6:$I$1948,8,FALSE)</f>
        <v>4756.7631578947367</v>
      </c>
      <c r="H11" s="101">
        <v>22000</v>
      </c>
      <c r="I11" s="102">
        <f t="shared" si="0"/>
        <v>0.21621650717703347</v>
      </c>
      <c r="J11" s="103" t="str">
        <f t="shared" si="1"/>
        <v>Good Price</v>
      </c>
      <c r="K11" s="104">
        <f t="shared" si="2"/>
        <v>23000</v>
      </c>
      <c r="L11" s="104">
        <f t="shared" si="3"/>
        <v>4600</v>
      </c>
      <c r="M11" s="105">
        <f t="shared" si="4"/>
        <v>0.25851973684210527</v>
      </c>
      <c r="N11" s="106" t="str">
        <f t="shared" si="5"/>
        <v>Good Price</v>
      </c>
      <c r="O11" s="109"/>
    </row>
    <row r="12" spans="1:19" ht="15.75" customHeight="1">
      <c r="A12" s="97">
        <f t="shared" si="6"/>
        <v>8</v>
      </c>
      <c r="B12" s="72" t="s">
        <v>81</v>
      </c>
      <c r="C12" s="72" t="s">
        <v>33</v>
      </c>
      <c r="D12" s="98" t="s">
        <v>362</v>
      </c>
      <c r="E12" s="111" t="s">
        <v>1299</v>
      </c>
      <c r="F12" s="99" t="str">
        <f>VLOOKUP(D12,Master!$V$7:$W$1000,2,FALSE)</f>
        <v>M0043</v>
      </c>
      <c r="G12" s="100">
        <f>VLOOKUP(D12,'Menu Bar'!$B$6:$I$1948,8,FALSE)</f>
        <v>5875.6820768136558</v>
      </c>
      <c r="H12" s="101">
        <v>24000</v>
      </c>
      <c r="I12" s="102">
        <f t="shared" si="0"/>
        <v>0.24482008653390233</v>
      </c>
      <c r="J12" s="103" t="str">
        <f t="shared" si="1"/>
        <v>Good Price</v>
      </c>
      <c r="K12" s="104">
        <f t="shared" si="2"/>
        <v>25000</v>
      </c>
      <c r="L12" s="104">
        <f t="shared" si="3"/>
        <v>5000</v>
      </c>
      <c r="M12" s="105">
        <f t="shared" si="4"/>
        <v>0.29378410384068276</v>
      </c>
      <c r="N12" s="106" t="str">
        <f t="shared" si="5"/>
        <v>Good Price</v>
      </c>
      <c r="O12" s="109"/>
    </row>
    <row r="13" spans="1:19" ht="15.75" customHeight="1">
      <c r="A13" s="97">
        <f t="shared" si="6"/>
        <v>9</v>
      </c>
      <c r="B13" s="72" t="s">
        <v>81</v>
      </c>
      <c r="C13" s="72" t="s">
        <v>33</v>
      </c>
      <c r="D13" s="98" t="s">
        <v>344</v>
      </c>
      <c r="E13" s="99" t="s">
        <v>1300</v>
      </c>
      <c r="F13" s="99" t="str">
        <f>VLOOKUP(D13,Master!$V$7:$W$1000,2,FALSE)</f>
        <v>M0039</v>
      </c>
      <c r="G13" s="100">
        <f>VLOOKUP(D13,'Menu Bar'!$B$6:$I$1948,8,FALSE)</f>
        <v>8806.5789473684199</v>
      </c>
      <c r="H13" s="101">
        <v>27000</v>
      </c>
      <c r="I13" s="102">
        <f t="shared" si="0"/>
        <v>0.32616959064327483</v>
      </c>
      <c r="J13" s="103" t="str">
        <f t="shared" si="1"/>
        <v>Good Price</v>
      </c>
      <c r="K13" s="112">
        <v>27000</v>
      </c>
      <c r="L13" s="112">
        <f t="shared" si="3"/>
        <v>5400</v>
      </c>
      <c r="M13" s="113">
        <f t="shared" si="4"/>
        <v>0.4077119883040935</v>
      </c>
      <c r="N13" s="114" t="str">
        <f t="shared" si="5"/>
        <v>Bad Price</v>
      </c>
      <c r="O13" s="110"/>
    </row>
    <row r="14" spans="1:19" ht="15.75" customHeight="1">
      <c r="A14" s="97">
        <f t="shared" si="6"/>
        <v>10</v>
      </c>
      <c r="B14" s="72" t="s">
        <v>81</v>
      </c>
      <c r="C14" s="72" t="s">
        <v>33</v>
      </c>
      <c r="D14" s="98" t="s">
        <v>339</v>
      </c>
      <c r="E14" s="99" t="s">
        <v>1301</v>
      </c>
      <c r="F14" s="99" t="str">
        <f>VLOOKUP(D14,Master!$V$7:$W$1000,2,FALSE)</f>
        <v>M0038</v>
      </c>
      <c r="G14" s="100">
        <f>VLOOKUP(D14,'Menu Bar'!$B$6:$I$1948,8,FALSE)</f>
        <v>8882.8421052631566</v>
      </c>
      <c r="H14" s="101">
        <v>26000</v>
      </c>
      <c r="I14" s="102">
        <f t="shared" si="0"/>
        <v>0.3416477732793522</v>
      </c>
      <c r="J14" s="103" t="str">
        <f t="shared" si="1"/>
        <v>Good Price</v>
      </c>
      <c r="K14" s="112">
        <v>26000</v>
      </c>
      <c r="L14" s="112">
        <f t="shared" si="3"/>
        <v>5200</v>
      </c>
      <c r="M14" s="113">
        <f t="shared" si="4"/>
        <v>0.42705971659919023</v>
      </c>
      <c r="N14" s="114" t="str">
        <f t="shared" si="5"/>
        <v>Bad Price</v>
      </c>
      <c r="O14" s="110"/>
    </row>
    <row r="15" spans="1:19" ht="15.75" customHeight="1">
      <c r="A15" s="97">
        <f t="shared" si="6"/>
        <v>11</v>
      </c>
      <c r="B15" s="72" t="s">
        <v>81</v>
      </c>
      <c r="C15" s="72" t="s">
        <v>33</v>
      </c>
      <c r="D15" s="98" t="s">
        <v>358</v>
      </c>
      <c r="E15" s="99" t="s">
        <v>1302</v>
      </c>
      <c r="F15" s="99" t="str">
        <f>VLOOKUP(D15,Master!$V$7:$W$1000,2,FALSE)</f>
        <v>M0042</v>
      </c>
      <c r="G15" s="100">
        <f>VLOOKUP(D15,'Menu Bar'!$B$6:$I$1948,8,FALSE)</f>
        <v>8423.144736842105</v>
      </c>
      <c r="H15" s="101">
        <v>28000</v>
      </c>
      <c r="I15" s="102">
        <f t="shared" si="0"/>
        <v>0.30082659774436088</v>
      </c>
      <c r="J15" s="103" t="str">
        <f t="shared" si="1"/>
        <v>Good Price</v>
      </c>
      <c r="K15" s="112">
        <v>28000</v>
      </c>
      <c r="L15" s="112">
        <f t="shared" si="3"/>
        <v>5600</v>
      </c>
      <c r="M15" s="113">
        <f t="shared" si="4"/>
        <v>0.37603324718045111</v>
      </c>
      <c r="N15" s="114" t="str">
        <f t="shared" si="5"/>
        <v>Good Price</v>
      </c>
      <c r="O15" s="109"/>
    </row>
    <row r="16" spans="1:19" ht="15.75" customHeight="1">
      <c r="A16" s="97">
        <f t="shared" si="6"/>
        <v>12</v>
      </c>
      <c r="B16" s="72" t="s">
        <v>81</v>
      </c>
      <c r="C16" s="72" t="s">
        <v>33</v>
      </c>
      <c r="D16" s="98" t="s">
        <v>157</v>
      </c>
      <c r="E16" s="99"/>
      <c r="F16" s="99" t="str">
        <f>VLOOKUP(D16,Master!$V$7:$W$1000,2,FALSE)</f>
        <v>M0012</v>
      </c>
      <c r="G16" s="100">
        <f>VLOOKUP(D16,'Menu Bar'!$B$6:$I$1948,8,FALSE)</f>
        <v>9911.3060701754384</v>
      </c>
      <c r="H16" s="101">
        <v>28000</v>
      </c>
      <c r="I16" s="102">
        <f t="shared" si="0"/>
        <v>0.35397521679197996</v>
      </c>
      <c r="J16" s="103" t="str">
        <f t="shared" si="1"/>
        <v>Good Price</v>
      </c>
      <c r="K16" s="104">
        <f t="shared" ref="K16:K39" si="7">1000+H16</f>
        <v>29000</v>
      </c>
      <c r="L16" s="104">
        <f t="shared" si="3"/>
        <v>5800</v>
      </c>
      <c r="M16" s="105">
        <f t="shared" si="4"/>
        <v>0.42721146854204478</v>
      </c>
      <c r="N16" s="106" t="str">
        <f t="shared" si="5"/>
        <v>Bad Price</v>
      </c>
      <c r="O16" s="110"/>
    </row>
    <row r="17" spans="1:28" ht="15.75" customHeight="1">
      <c r="A17" s="97">
        <f t="shared" si="6"/>
        <v>13</v>
      </c>
      <c r="B17" s="72" t="s">
        <v>81</v>
      </c>
      <c r="C17" s="72" t="s">
        <v>33</v>
      </c>
      <c r="D17" s="98" t="s">
        <v>149</v>
      </c>
      <c r="E17" s="99"/>
      <c r="F17" s="99" t="str">
        <f>VLOOKUP(D17,Master!$V$7:$W$1000,2,FALSE)</f>
        <v>M0011</v>
      </c>
      <c r="G17" s="100">
        <f>VLOOKUP(D17,'Menu Bar'!$B$6:$I$1948,8,FALSE)</f>
        <v>10070.586315789473</v>
      </c>
      <c r="H17" s="101">
        <v>27000</v>
      </c>
      <c r="I17" s="102">
        <f t="shared" si="0"/>
        <v>0.37298467836257304</v>
      </c>
      <c r="J17" s="103" t="str">
        <f t="shared" si="1"/>
        <v>Bad Price</v>
      </c>
      <c r="K17" s="104">
        <f t="shared" si="7"/>
        <v>28000</v>
      </c>
      <c r="L17" s="104">
        <f t="shared" si="3"/>
        <v>5600</v>
      </c>
      <c r="M17" s="105">
        <f t="shared" si="4"/>
        <v>0.44957974624060149</v>
      </c>
      <c r="N17" s="106" t="str">
        <f t="shared" si="5"/>
        <v>Bad Price</v>
      </c>
      <c r="O17" s="110"/>
    </row>
    <row r="18" spans="1:28" ht="15.75" customHeight="1">
      <c r="A18" s="97">
        <f t="shared" si="6"/>
        <v>14</v>
      </c>
      <c r="B18" s="72" t="s">
        <v>81</v>
      </c>
      <c r="C18" s="72" t="s">
        <v>33</v>
      </c>
      <c r="D18" s="98" t="s">
        <v>522</v>
      </c>
      <c r="E18" s="99"/>
      <c r="F18" s="99" t="str">
        <f>VLOOKUP(D18,Master!$V$7:$W$1000,2,FALSE)</f>
        <v>M0083</v>
      </c>
      <c r="G18" s="100">
        <f>VLOOKUP(D18,'Menu Bar'!$B$6:$I$1948,8,FALSE)</f>
        <v>9911.3060701754384</v>
      </c>
      <c r="H18" s="101">
        <v>28000</v>
      </c>
      <c r="I18" s="102">
        <f t="shared" si="0"/>
        <v>0.35397521679197996</v>
      </c>
      <c r="J18" s="103" t="str">
        <f t="shared" si="1"/>
        <v>Good Price</v>
      </c>
      <c r="K18" s="104">
        <f t="shared" si="7"/>
        <v>29000</v>
      </c>
      <c r="L18" s="104">
        <f t="shared" si="3"/>
        <v>5800</v>
      </c>
      <c r="M18" s="105">
        <f t="shared" si="4"/>
        <v>0.42721146854204478</v>
      </c>
      <c r="N18" s="106" t="str">
        <f t="shared" si="5"/>
        <v>Bad Price</v>
      </c>
      <c r="O18" s="110"/>
      <c r="T18" s="115"/>
      <c r="U18" s="115"/>
      <c r="V18" s="115"/>
      <c r="W18" s="115"/>
      <c r="X18" s="115"/>
      <c r="Y18" s="115"/>
      <c r="Z18" s="115"/>
      <c r="AA18" s="115"/>
      <c r="AB18" s="115"/>
    </row>
    <row r="19" spans="1:28" ht="15.75" customHeight="1">
      <c r="A19" s="97">
        <f t="shared" si="6"/>
        <v>15</v>
      </c>
      <c r="B19" s="72" t="s">
        <v>81</v>
      </c>
      <c r="C19" s="72" t="s">
        <v>33</v>
      </c>
      <c r="D19" s="98" t="s">
        <v>517</v>
      </c>
      <c r="E19" s="99"/>
      <c r="F19" s="99" t="str">
        <f>VLOOKUP(D19,Master!$V$7:$W$1000,2,FALSE)</f>
        <v>M0082</v>
      </c>
      <c r="G19" s="100">
        <f>VLOOKUP(D19,'Menu Bar'!$B$6:$I$1948,8,FALSE)</f>
        <v>10070.586315789473</v>
      </c>
      <c r="H19" s="101">
        <v>27000</v>
      </c>
      <c r="I19" s="102">
        <f t="shared" si="0"/>
        <v>0.37298467836257304</v>
      </c>
      <c r="J19" s="103" t="str">
        <f t="shared" si="1"/>
        <v>Bad Price</v>
      </c>
      <c r="K19" s="104">
        <f t="shared" si="7"/>
        <v>28000</v>
      </c>
      <c r="L19" s="104">
        <f t="shared" si="3"/>
        <v>5600</v>
      </c>
      <c r="M19" s="105">
        <f t="shared" si="4"/>
        <v>0.44957974624060149</v>
      </c>
      <c r="N19" s="106" t="str">
        <f t="shared" si="5"/>
        <v>Bad Price</v>
      </c>
      <c r="O19" s="110"/>
    </row>
    <row r="20" spans="1:28" ht="15.75" customHeight="1">
      <c r="A20" s="97">
        <f t="shared" si="6"/>
        <v>16</v>
      </c>
      <c r="B20" s="72" t="s">
        <v>81</v>
      </c>
      <c r="C20" s="72" t="s">
        <v>33</v>
      </c>
      <c r="D20" s="98" t="s">
        <v>2065</v>
      </c>
      <c r="E20" s="99"/>
      <c r="F20" s="99" t="str">
        <f>VLOOKUP(D20,Master!$V$7:$W$1000,2,FALSE)</f>
        <v>M0010</v>
      </c>
      <c r="G20" s="100">
        <f>VLOOKUP(D20,'Menu Bar'!$B$6:$I$1948,8,FALSE)</f>
        <v>9911.3060701754384</v>
      </c>
      <c r="H20" s="101">
        <v>28000</v>
      </c>
      <c r="I20" s="102">
        <f t="shared" si="0"/>
        <v>0.35397521679197996</v>
      </c>
      <c r="J20" s="103" t="str">
        <f t="shared" si="1"/>
        <v>Good Price</v>
      </c>
      <c r="K20" s="104">
        <f t="shared" si="7"/>
        <v>29000</v>
      </c>
      <c r="L20" s="104">
        <f t="shared" si="3"/>
        <v>5800</v>
      </c>
      <c r="M20" s="105">
        <f t="shared" si="4"/>
        <v>0.42721146854204478</v>
      </c>
      <c r="N20" s="106" t="str">
        <f t="shared" si="5"/>
        <v>Bad Price</v>
      </c>
      <c r="O20" s="110"/>
      <c r="T20" s="115"/>
      <c r="U20" s="115"/>
      <c r="V20" s="115"/>
      <c r="W20" s="115"/>
      <c r="X20" s="115"/>
      <c r="Y20" s="115"/>
      <c r="Z20" s="115"/>
      <c r="AA20" s="115"/>
      <c r="AB20" s="115"/>
    </row>
    <row r="21" spans="1:28" ht="15.75" customHeight="1">
      <c r="A21" s="97">
        <f t="shared" si="6"/>
        <v>17</v>
      </c>
      <c r="B21" s="72" t="s">
        <v>81</v>
      </c>
      <c r="C21" s="72" t="s">
        <v>33</v>
      </c>
      <c r="D21" s="98" t="s">
        <v>2064</v>
      </c>
      <c r="E21" s="99"/>
      <c r="F21" s="99" t="str">
        <f>VLOOKUP(D21,Master!$V$7:$W$1000,2,FALSE)</f>
        <v>M0009</v>
      </c>
      <c r="G21" s="100">
        <f>VLOOKUP(D21,'Menu Bar'!$B$6:$I$1948,8,FALSE)</f>
        <v>10070.586315789473</v>
      </c>
      <c r="H21" s="101">
        <v>27000</v>
      </c>
      <c r="I21" s="102">
        <f t="shared" si="0"/>
        <v>0.37298467836257304</v>
      </c>
      <c r="J21" s="103" t="str">
        <f t="shared" si="1"/>
        <v>Bad Price</v>
      </c>
      <c r="K21" s="104">
        <f t="shared" si="7"/>
        <v>28000</v>
      </c>
      <c r="L21" s="104">
        <f t="shared" si="3"/>
        <v>5600</v>
      </c>
      <c r="M21" s="105">
        <f t="shared" si="4"/>
        <v>0.44957974624060149</v>
      </c>
      <c r="N21" s="106" t="str">
        <f t="shared" si="5"/>
        <v>Bad Price</v>
      </c>
      <c r="O21" s="110"/>
    </row>
    <row r="22" spans="1:28" ht="15.75" customHeight="1">
      <c r="A22" s="97">
        <f t="shared" si="6"/>
        <v>18</v>
      </c>
      <c r="B22" s="72" t="s">
        <v>81</v>
      </c>
      <c r="C22" s="72" t="s">
        <v>33</v>
      </c>
      <c r="D22" s="98" t="s">
        <v>2073</v>
      </c>
      <c r="E22" s="99"/>
      <c r="F22" s="99" t="str">
        <f>VLOOKUP(D22,Master!$V$7:$W$1000,2,FALSE)</f>
        <v>B031</v>
      </c>
      <c r="G22" s="100">
        <f>VLOOKUP(D22,'Menu Bar'!$B$6:$I$1948,8,FALSE)</f>
        <v>9480.3797192982456</v>
      </c>
      <c r="H22" s="101">
        <v>28000</v>
      </c>
      <c r="I22" s="102">
        <f t="shared" si="0"/>
        <v>0.33858498997493736</v>
      </c>
      <c r="J22" s="103" t="str">
        <f t="shared" si="1"/>
        <v>Good Price</v>
      </c>
      <c r="K22" s="104">
        <f t="shared" si="7"/>
        <v>29000</v>
      </c>
      <c r="L22" s="104">
        <f t="shared" si="3"/>
        <v>5800</v>
      </c>
      <c r="M22" s="105">
        <f t="shared" si="4"/>
        <v>0.40863705686630369</v>
      </c>
      <c r="N22" s="106" t="str">
        <f t="shared" si="5"/>
        <v>Bad Price</v>
      </c>
      <c r="O22" s="110"/>
    </row>
    <row r="23" spans="1:28" ht="15.75" customHeight="1">
      <c r="A23" s="97">
        <f t="shared" si="6"/>
        <v>19</v>
      </c>
      <c r="B23" s="72" t="s">
        <v>81</v>
      </c>
      <c r="C23" s="72" t="s">
        <v>33</v>
      </c>
      <c r="D23" s="98" t="s">
        <v>2074</v>
      </c>
      <c r="E23" s="99"/>
      <c r="F23" s="99" t="str">
        <f>VLOOKUP(D23,Master!$V$7:$W$1000,2,FALSE)</f>
        <v>B031</v>
      </c>
      <c r="G23" s="100">
        <f>VLOOKUP(D23,'Menu Bar'!$B$6:$I$1948,8,FALSE)</f>
        <v>9566.7347368421051</v>
      </c>
      <c r="H23" s="101">
        <v>27000</v>
      </c>
      <c r="I23" s="102">
        <f t="shared" si="0"/>
        <v>0.35432350877192981</v>
      </c>
      <c r="J23" s="103" t="str">
        <f t="shared" si="1"/>
        <v>Good Price</v>
      </c>
      <c r="K23" s="104">
        <f t="shared" si="7"/>
        <v>28000</v>
      </c>
      <c r="L23" s="104">
        <f t="shared" si="3"/>
        <v>5600</v>
      </c>
      <c r="M23" s="105">
        <f t="shared" si="4"/>
        <v>0.42708637218045115</v>
      </c>
      <c r="N23" s="106" t="str">
        <f t="shared" si="5"/>
        <v>Bad Price</v>
      </c>
      <c r="O23" s="110"/>
    </row>
    <row r="24" spans="1:28" ht="15.75" customHeight="1">
      <c r="A24" s="97">
        <f t="shared" si="6"/>
        <v>20</v>
      </c>
      <c r="B24" s="72" t="s">
        <v>81</v>
      </c>
      <c r="C24" s="72" t="s">
        <v>33</v>
      </c>
      <c r="D24" s="98" t="s">
        <v>118</v>
      </c>
      <c r="E24" s="99" t="s">
        <v>1303</v>
      </c>
      <c r="F24" s="99" t="str">
        <f>VLOOKUP(D24,Master!$V$7:$W$1000,2,FALSE)</f>
        <v>M0008</v>
      </c>
      <c r="G24" s="100">
        <f>VLOOKUP(D24,'Menu Bar'!$B$6:$I$1948,8,FALSE)</f>
        <v>10792.972736842104</v>
      </c>
      <c r="H24" s="101">
        <v>29000</v>
      </c>
      <c r="I24" s="102">
        <f t="shared" si="0"/>
        <v>0.3721714736842105</v>
      </c>
      <c r="J24" s="103" t="str">
        <f t="shared" si="1"/>
        <v>Bad Price</v>
      </c>
      <c r="K24" s="104">
        <f t="shared" si="7"/>
        <v>30000</v>
      </c>
      <c r="L24" s="104">
        <f t="shared" si="3"/>
        <v>6000</v>
      </c>
      <c r="M24" s="105">
        <f t="shared" si="4"/>
        <v>0.44970719736842102</v>
      </c>
      <c r="N24" s="106" t="str">
        <f t="shared" si="5"/>
        <v>Bad Price</v>
      </c>
      <c r="O24" s="110"/>
    </row>
    <row r="25" spans="1:28" ht="15.75" customHeight="1">
      <c r="A25" s="97">
        <f t="shared" si="6"/>
        <v>21</v>
      </c>
      <c r="B25" s="72" t="s">
        <v>81</v>
      </c>
      <c r="C25" s="72" t="s">
        <v>33</v>
      </c>
      <c r="D25" s="98" t="s">
        <v>105</v>
      </c>
      <c r="E25" s="99" t="s">
        <v>1304</v>
      </c>
      <c r="F25" s="99" t="str">
        <f>VLOOKUP(D25,Master!$V$7:$W$1000,2,FALSE)</f>
        <v>M0007</v>
      </c>
      <c r="G25" s="100">
        <f>VLOOKUP(D25,'Menu Bar'!$B$6:$I$1948,8,FALSE)</f>
        <v>7555.717894736842</v>
      </c>
      <c r="H25" s="101">
        <v>27000</v>
      </c>
      <c r="I25" s="102">
        <f t="shared" si="0"/>
        <v>0.2798414035087719</v>
      </c>
      <c r="J25" s="103" t="str">
        <f t="shared" si="1"/>
        <v>Good Price</v>
      </c>
      <c r="K25" s="104">
        <f t="shared" si="7"/>
        <v>28000</v>
      </c>
      <c r="L25" s="104">
        <f t="shared" si="3"/>
        <v>5600</v>
      </c>
      <c r="M25" s="105">
        <f t="shared" si="4"/>
        <v>0.33730883458646616</v>
      </c>
      <c r="N25" s="106" t="str">
        <f t="shared" si="5"/>
        <v>Good Price</v>
      </c>
      <c r="O25" s="109"/>
    </row>
    <row r="26" spans="1:28" ht="15.75" customHeight="1">
      <c r="A26" s="97">
        <f t="shared" si="6"/>
        <v>22</v>
      </c>
      <c r="B26" s="72" t="s">
        <v>81</v>
      </c>
      <c r="C26" s="72" t="s">
        <v>71</v>
      </c>
      <c r="D26" s="98" t="s">
        <v>534</v>
      </c>
      <c r="E26" s="99" t="s">
        <v>1305</v>
      </c>
      <c r="F26" s="99" t="str">
        <f>VLOOKUP(D26,Master!$V$7:$W$1000,2,FALSE)</f>
        <v>M0086</v>
      </c>
      <c r="G26" s="100">
        <f>VLOOKUP(D26,'Menu Bar'!$B$6:$I$1948,8,FALSE)</f>
        <v>8937.0378446937011</v>
      </c>
      <c r="H26" s="101">
        <v>26000</v>
      </c>
      <c r="I26" s="102">
        <f t="shared" si="0"/>
        <v>0.34373222479591159</v>
      </c>
      <c r="J26" s="103" t="str">
        <f t="shared" si="1"/>
        <v>Good Price</v>
      </c>
      <c r="K26" s="104">
        <f t="shared" si="7"/>
        <v>27000</v>
      </c>
      <c r="L26" s="104">
        <f t="shared" si="3"/>
        <v>5400</v>
      </c>
      <c r="M26" s="105">
        <f t="shared" si="4"/>
        <v>0.41375175206915282</v>
      </c>
      <c r="N26" s="106" t="str">
        <f t="shared" si="5"/>
        <v>Bad Price</v>
      </c>
      <c r="O26" s="110"/>
    </row>
    <row r="27" spans="1:28" ht="15.75" customHeight="1">
      <c r="A27" s="97">
        <f t="shared" si="6"/>
        <v>23</v>
      </c>
      <c r="B27" s="72" t="s">
        <v>81</v>
      </c>
      <c r="C27" s="72" t="s">
        <v>71</v>
      </c>
      <c r="D27" s="98" t="s">
        <v>538</v>
      </c>
      <c r="E27" s="99" t="s">
        <v>1306</v>
      </c>
      <c r="F27" s="99" t="str">
        <f>VLOOKUP(D27,Master!$V$7:$W$1000,2,FALSE)</f>
        <v>M0087</v>
      </c>
      <c r="G27" s="100">
        <f>VLOOKUP(D27,'Menu Bar'!$B$6:$I$1948,8,FALSE)</f>
        <v>8881.6315789473683</v>
      </c>
      <c r="H27" s="101">
        <v>24000</v>
      </c>
      <c r="I27" s="102">
        <f t="shared" si="0"/>
        <v>0.37006798245614037</v>
      </c>
      <c r="J27" s="103" t="str">
        <f t="shared" si="1"/>
        <v>Bad Price</v>
      </c>
      <c r="K27" s="104">
        <f t="shared" si="7"/>
        <v>25000</v>
      </c>
      <c r="L27" s="104">
        <f t="shared" si="3"/>
        <v>5000</v>
      </c>
      <c r="M27" s="105">
        <f t="shared" si="4"/>
        <v>0.44408157894736844</v>
      </c>
      <c r="N27" s="106" t="str">
        <f t="shared" si="5"/>
        <v>Bad Price</v>
      </c>
      <c r="O27" s="110"/>
    </row>
    <row r="28" spans="1:28" ht="15.75" customHeight="1">
      <c r="A28" s="97">
        <f t="shared" si="6"/>
        <v>24</v>
      </c>
      <c r="B28" s="72" t="s">
        <v>81</v>
      </c>
      <c r="C28" s="72" t="s">
        <v>71</v>
      </c>
      <c r="D28" s="22" t="s">
        <v>933</v>
      </c>
      <c r="E28" s="72"/>
      <c r="F28" s="72" t="str">
        <f>VLOOKUP(D28,Master!$V$7:$W$1000,2,FALSE)</f>
        <v>B013</v>
      </c>
      <c r="G28" s="100">
        <f>VLOOKUP(D28,'Menu Bar'!$B$6:$I$1948,8,FALSE)</f>
        <v>7347.5368421052626</v>
      </c>
      <c r="H28" s="116">
        <v>26000</v>
      </c>
      <c r="I28" s="102">
        <f t="shared" si="0"/>
        <v>0.28259757085020243</v>
      </c>
      <c r="J28" s="103" t="str">
        <f t="shared" si="1"/>
        <v>Good Price</v>
      </c>
      <c r="K28" s="104">
        <f t="shared" si="7"/>
        <v>27000</v>
      </c>
      <c r="L28" s="104">
        <f t="shared" si="3"/>
        <v>5400</v>
      </c>
      <c r="M28" s="105">
        <f t="shared" si="4"/>
        <v>0.34016374269005845</v>
      </c>
      <c r="N28" s="106" t="str">
        <f t="shared" si="5"/>
        <v>Good Price</v>
      </c>
      <c r="O28" s="109"/>
    </row>
    <row r="29" spans="1:28" ht="15.75" customHeight="1">
      <c r="A29" s="97">
        <f t="shared" si="6"/>
        <v>25</v>
      </c>
      <c r="B29" s="72" t="s">
        <v>81</v>
      </c>
      <c r="C29" s="72" t="s">
        <v>71</v>
      </c>
      <c r="D29" s="22" t="s">
        <v>1004</v>
      </c>
      <c r="E29" s="72"/>
      <c r="F29" s="72" t="str">
        <f>VLOOKUP(D29,Master!$V$7:$W$1000,2,FALSE)</f>
        <v>B037</v>
      </c>
      <c r="G29" s="100">
        <f>VLOOKUP(D29,'Menu Bar'!$B$6:$I$1948,8,FALSE)</f>
        <v>6137.5368421052626</v>
      </c>
      <c r="H29" s="116">
        <v>24000</v>
      </c>
      <c r="I29" s="102">
        <f t="shared" si="0"/>
        <v>0.25573070175438595</v>
      </c>
      <c r="J29" s="103" t="str">
        <f t="shared" si="1"/>
        <v>Good Price</v>
      </c>
      <c r="K29" s="104">
        <f t="shared" si="7"/>
        <v>25000</v>
      </c>
      <c r="L29" s="104">
        <f t="shared" si="3"/>
        <v>5000</v>
      </c>
      <c r="M29" s="105">
        <f t="shared" si="4"/>
        <v>0.30687684210526311</v>
      </c>
      <c r="N29" s="106" t="str">
        <f t="shared" si="5"/>
        <v>Good Price</v>
      </c>
      <c r="O29" s="109"/>
      <c r="T29" s="115"/>
      <c r="U29" s="115"/>
      <c r="V29" s="115"/>
      <c r="W29" s="115"/>
      <c r="X29" s="115"/>
      <c r="Y29" s="115"/>
      <c r="Z29" s="115"/>
      <c r="AA29" s="115"/>
      <c r="AB29" s="115"/>
    </row>
    <row r="30" spans="1:28" ht="15.75" customHeight="1">
      <c r="A30" s="97">
        <f t="shared" si="6"/>
        <v>26</v>
      </c>
      <c r="B30" s="72" t="s">
        <v>81</v>
      </c>
      <c r="C30" s="72" t="s">
        <v>71</v>
      </c>
      <c r="D30" s="98" t="s">
        <v>797</v>
      </c>
      <c r="E30" s="99"/>
      <c r="F30" s="99" t="str">
        <f>VLOOKUP(D30,Master!$V$7:$W$1000,2,FALSE)</f>
        <v>M0028</v>
      </c>
      <c r="G30" s="100">
        <f>VLOOKUP(D30,'Menu Bar'!$B$6:$I$1948,8,FALSE)</f>
        <v>8454.0378446937011</v>
      </c>
      <c r="H30" s="101">
        <v>26000</v>
      </c>
      <c r="I30" s="102">
        <f t="shared" si="0"/>
        <v>0.32515530171898849</v>
      </c>
      <c r="J30" s="103" t="str">
        <f t="shared" si="1"/>
        <v>Good Price</v>
      </c>
      <c r="K30" s="104">
        <f t="shared" si="7"/>
        <v>27000</v>
      </c>
      <c r="L30" s="104">
        <f t="shared" si="3"/>
        <v>5400</v>
      </c>
      <c r="M30" s="105">
        <f t="shared" si="4"/>
        <v>0.39139064095804171</v>
      </c>
      <c r="N30" s="106" t="str">
        <f t="shared" si="5"/>
        <v>Bad Price</v>
      </c>
      <c r="O30" s="110"/>
      <c r="T30" s="115"/>
      <c r="U30" s="115"/>
      <c r="V30" s="115"/>
      <c r="W30" s="115"/>
      <c r="X30" s="115"/>
      <c r="Y30" s="115"/>
      <c r="Z30" s="115"/>
      <c r="AA30" s="115"/>
      <c r="AB30" s="115"/>
    </row>
    <row r="31" spans="1:28" ht="15.75" customHeight="1">
      <c r="A31" s="97">
        <f t="shared" si="6"/>
        <v>27</v>
      </c>
      <c r="B31" s="72" t="s">
        <v>81</v>
      </c>
      <c r="C31" s="72" t="s">
        <v>71</v>
      </c>
      <c r="D31" s="98" t="s">
        <v>793</v>
      </c>
      <c r="E31" s="99"/>
      <c r="F31" s="99" t="str">
        <f>VLOOKUP(D31,Master!$V$7:$W$1000,2,FALSE)</f>
        <v>M0027</v>
      </c>
      <c r="G31" s="100">
        <f>VLOOKUP(D31,'Menu Bar'!$B$6:$I$1948,8,FALSE)</f>
        <v>8881.6315789473683</v>
      </c>
      <c r="H31" s="101">
        <v>24000</v>
      </c>
      <c r="I31" s="102">
        <f t="shared" si="0"/>
        <v>0.37006798245614037</v>
      </c>
      <c r="J31" s="103" t="str">
        <f t="shared" si="1"/>
        <v>Bad Price</v>
      </c>
      <c r="K31" s="104">
        <f t="shared" si="7"/>
        <v>25000</v>
      </c>
      <c r="L31" s="104">
        <f t="shared" si="3"/>
        <v>5000</v>
      </c>
      <c r="M31" s="105">
        <f t="shared" si="4"/>
        <v>0.44408157894736844</v>
      </c>
      <c r="N31" s="106" t="str">
        <f t="shared" si="5"/>
        <v>Bad Price</v>
      </c>
      <c r="O31" s="110"/>
    </row>
    <row r="32" spans="1:28" ht="15.75" customHeight="1">
      <c r="A32" s="97">
        <f t="shared" si="6"/>
        <v>28</v>
      </c>
      <c r="B32" s="72" t="s">
        <v>81</v>
      </c>
      <c r="C32" s="72" t="s">
        <v>71</v>
      </c>
      <c r="D32" s="98" t="s">
        <v>270</v>
      </c>
      <c r="E32" s="99"/>
      <c r="F32" s="99" t="str">
        <f>VLOOKUP(D32,Master!$V$7:$W$1000,2,FALSE)</f>
        <v>M0026</v>
      </c>
      <c r="G32" s="100">
        <f>VLOOKUP(D32,'Menu Bar'!$B$6:$I$1948,8,FALSE)</f>
        <v>7327.0378446937011</v>
      </c>
      <c r="H32" s="101">
        <v>26000</v>
      </c>
      <c r="I32" s="102">
        <f t="shared" si="0"/>
        <v>0.28180914787283468</v>
      </c>
      <c r="J32" s="103" t="str">
        <f t="shared" si="1"/>
        <v>Good Price</v>
      </c>
      <c r="K32" s="104">
        <f t="shared" si="7"/>
        <v>27000</v>
      </c>
      <c r="L32" s="104">
        <f t="shared" si="3"/>
        <v>5400</v>
      </c>
      <c r="M32" s="105">
        <f t="shared" si="4"/>
        <v>0.33921471503211581</v>
      </c>
      <c r="N32" s="106" t="str">
        <f t="shared" si="5"/>
        <v>Good Price</v>
      </c>
      <c r="O32" s="109"/>
    </row>
    <row r="33" spans="1:28" ht="15.75" customHeight="1">
      <c r="A33" s="97">
        <f t="shared" si="6"/>
        <v>29</v>
      </c>
      <c r="B33" s="72" t="s">
        <v>81</v>
      </c>
      <c r="C33" s="72" t="s">
        <v>71</v>
      </c>
      <c r="D33" s="98" t="s">
        <v>262</v>
      </c>
      <c r="E33" s="99"/>
      <c r="F33" s="99" t="str">
        <f>VLOOKUP(D33,Master!$V$7:$W$1000,2,FALSE)</f>
        <v>M0025</v>
      </c>
      <c r="G33" s="100">
        <f>VLOOKUP(D33,'Menu Bar'!$B$6:$I$1948,8,FALSE)</f>
        <v>7271.6315789473683</v>
      </c>
      <c r="H33" s="101">
        <v>24000</v>
      </c>
      <c r="I33" s="102">
        <f t="shared" si="0"/>
        <v>0.30298464912280704</v>
      </c>
      <c r="J33" s="103" t="str">
        <f t="shared" si="1"/>
        <v>Good Price</v>
      </c>
      <c r="K33" s="104">
        <f t="shared" si="7"/>
        <v>25000</v>
      </c>
      <c r="L33" s="104">
        <f t="shared" si="3"/>
        <v>5000</v>
      </c>
      <c r="M33" s="105">
        <f t="shared" si="4"/>
        <v>0.36358157894736842</v>
      </c>
      <c r="N33" s="106" t="str">
        <f t="shared" si="5"/>
        <v>Good Price</v>
      </c>
      <c r="O33" s="109"/>
      <c r="T33" s="115"/>
      <c r="U33" s="115"/>
      <c r="V33" s="115"/>
      <c r="W33" s="115"/>
      <c r="X33" s="115"/>
      <c r="Y33" s="115"/>
      <c r="Z33" s="115"/>
      <c r="AA33" s="115"/>
      <c r="AB33" s="115"/>
    </row>
    <row r="34" spans="1:28" ht="15.75" customHeight="1">
      <c r="A34" s="97">
        <f t="shared" si="6"/>
        <v>30</v>
      </c>
      <c r="B34" s="72" t="s">
        <v>81</v>
      </c>
      <c r="C34" s="72" t="s">
        <v>71</v>
      </c>
      <c r="D34" s="98" t="s">
        <v>384</v>
      </c>
      <c r="E34" s="99"/>
      <c r="F34" s="99" t="str">
        <f>VLOOKUP(D34,Master!$V$7:$W$1000,2,FALSE)</f>
        <v>M0048</v>
      </c>
      <c r="G34" s="100">
        <f>VLOOKUP(D34,'Menu Bar'!$B$6:$I$1948,8,FALSE)</f>
        <v>6348.4709818809315</v>
      </c>
      <c r="H34" s="101">
        <v>26000</v>
      </c>
      <c r="I34" s="102">
        <f t="shared" si="0"/>
        <v>0.24417196084157428</v>
      </c>
      <c r="J34" s="103" t="str">
        <f t="shared" si="1"/>
        <v>Good Price</v>
      </c>
      <c r="K34" s="104">
        <f t="shared" si="7"/>
        <v>27000</v>
      </c>
      <c r="L34" s="104">
        <f t="shared" si="3"/>
        <v>5400</v>
      </c>
      <c r="M34" s="105">
        <f t="shared" si="4"/>
        <v>0.29391069360559868</v>
      </c>
      <c r="N34" s="106" t="str">
        <f t="shared" si="5"/>
        <v>Good Price</v>
      </c>
      <c r="O34" s="109"/>
      <c r="T34" s="115"/>
      <c r="U34" s="115"/>
      <c r="V34" s="115"/>
      <c r="W34" s="115"/>
      <c r="X34" s="115"/>
      <c r="Y34" s="115"/>
      <c r="Z34" s="115"/>
      <c r="AA34" s="115"/>
      <c r="AB34" s="115"/>
    </row>
    <row r="35" spans="1:28" ht="15.75" customHeight="1">
      <c r="A35" s="97">
        <f t="shared" si="6"/>
        <v>31</v>
      </c>
      <c r="B35" s="72" t="s">
        <v>81</v>
      </c>
      <c r="C35" s="72" t="s">
        <v>71</v>
      </c>
      <c r="D35" s="98" t="s">
        <v>414</v>
      </c>
      <c r="E35" s="99"/>
      <c r="F35" s="99" t="str">
        <f>VLOOKUP(D35,Master!$V$7:$W$1000,2,FALSE)</f>
        <v>M0056</v>
      </c>
      <c r="G35" s="100">
        <f>VLOOKUP(D35,'Menu Bar'!$B$6:$I$1948,8,FALSE)</f>
        <v>6229.4736842105258</v>
      </c>
      <c r="H35" s="101">
        <v>24000</v>
      </c>
      <c r="I35" s="102">
        <f t="shared" si="0"/>
        <v>0.25956140350877188</v>
      </c>
      <c r="J35" s="103" t="str">
        <f t="shared" si="1"/>
        <v>Good Price</v>
      </c>
      <c r="K35" s="104">
        <f t="shared" si="7"/>
        <v>25000</v>
      </c>
      <c r="L35" s="104">
        <f t="shared" si="3"/>
        <v>5000</v>
      </c>
      <c r="M35" s="105">
        <f t="shared" si="4"/>
        <v>0.31147368421052629</v>
      </c>
      <c r="N35" s="106" t="str">
        <f t="shared" si="5"/>
        <v>Good Price</v>
      </c>
      <c r="O35" s="109"/>
    </row>
    <row r="36" spans="1:28" ht="15.75" customHeight="1">
      <c r="A36" s="97">
        <f t="shared" si="6"/>
        <v>32</v>
      </c>
      <c r="B36" s="72" t="s">
        <v>81</v>
      </c>
      <c r="C36" s="72" t="s">
        <v>71</v>
      </c>
      <c r="D36" s="98" t="s">
        <v>906</v>
      </c>
      <c r="E36" s="99" t="s">
        <v>1307</v>
      </c>
      <c r="F36" s="99" t="str">
        <f>VLOOKUP(D36,Master!$V$7:$W$1000,2,FALSE)</f>
        <v>B005</v>
      </c>
      <c r="G36" s="100">
        <f>VLOOKUP(D36,'Menu Bar'!$B$6:$I$1948,8,FALSE)</f>
        <v>10187.605139488065</v>
      </c>
      <c r="H36" s="101">
        <v>28000</v>
      </c>
      <c r="I36" s="102">
        <f t="shared" si="0"/>
        <v>0.36384304069600232</v>
      </c>
      <c r="J36" s="103" t="str">
        <f t="shared" si="1"/>
        <v>Bad Price</v>
      </c>
      <c r="K36" s="104">
        <f t="shared" si="7"/>
        <v>29000</v>
      </c>
      <c r="L36" s="104">
        <f t="shared" si="3"/>
        <v>5800</v>
      </c>
      <c r="M36" s="105">
        <f t="shared" si="4"/>
        <v>0.43912091118483038</v>
      </c>
      <c r="N36" s="106" t="str">
        <f t="shared" si="5"/>
        <v>Bad Price</v>
      </c>
      <c r="O36" s="110"/>
    </row>
    <row r="37" spans="1:28" ht="15.75" customHeight="1">
      <c r="A37" s="97">
        <f t="shared" si="6"/>
        <v>33</v>
      </c>
      <c r="B37" s="72" t="s">
        <v>81</v>
      </c>
      <c r="C37" s="72" t="s">
        <v>71</v>
      </c>
      <c r="D37" s="98" t="s">
        <v>909</v>
      </c>
      <c r="E37" s="99" t="s">
        <v>1308</v>
      </c>
      <c r="F37" s="99" t="str">
        <f>VLOOKUP(D37,Master!$V$7:$W$1000,2,FALSE)</f>
        <v>B006</v>
      </c>
      <c r="G37" s="100">
        <f>VLOOKUP(D37,'Menu Bar'!$B$6:$I$1948,8,FALSE)</f>
        <v>9006.7768421052642</v>
      </c>
      <c r="H37" s="101">
        <v>27000</v>
      </c>
      <c r="I37" s="102">
        <f t="shared" si="0"/>
        <v>0.33358432748538014</v>
      </c>
      <c r="J37" s="103" t="str">
        <f t="shared" si="1"/>
        <v>Good Price</v>
      </c>
      <c r="K37" s="104">
        <f t="shared" si="7"/>
        <v>28000</v>
      </c>
      <c r="L37" s="104">
        <f t="shared" si="3"/>
        <v>5600</v>
      </c>
      <c r="M37" s="105">
        <f t="shared" si="4"/>
        <v>0.40208825187969932</v>
      </c>
      <c r="N37" s="106" t="str">
        <f t="shared" si="5"/>
        <v>Bad Price</v>
      </c>
      <c r="O37" s="110"/>
    </row>
    <row r="38" spans="1:28" ht="15.75" customHeight="1">
      <c r="A38" s="97">
        <f t="shared" si="6"/>
        <v>34</v>
      </c>
      <c r="B38" s="72" t="s">
        <v>81</v>
      </c>
      <c r="C38" s="72" t="s">
        <v>71</v>
      </c>
      <c r="D38" s="98" t="s">
        <v>2068</v>
      </c>
      <c r="E38" s="99"/>
      <c r="F38" s="99" t="str">
        <f>VLOOKUP(D38,Master!$V$7:$W$1000,2,FALSE)</f>
        <v>M0030</v>
      </c>
      <c r="G38" s="100">
        <f>VLOOKUP(D38,'Menu Bar'!$B$6:$I$1948,8,FALSE)</f>
        <v>7327.0378446937011</v>
      </c>
      <c r="H38" s="101">
        <v>26000</v>
      </c>
      <c r="I38" s="102">
        <f t="shared" si="0"/>
        <v>0.28180914787283468</v>
      </c>
      <c r="J38" s="103" t="str">
        <f t="shared" si="1"/>
        <v>Good Price</v>
      </c>
      <c r="K38" s="104">
        <f t="shared" si="7"/>
        <v>27000</v>
      </c>
      <c r="L38" s="104">
        <f t="shared" si="3"/>
        <v>5400</v>
      </c>
      <c r="M38" s="105">
        <f t="shared" si="4"/>
        <v>0.33921471503211581</v>
      </c>
      <c r="N38" s="106" t="str">
        <f t="shared" si="5"/>
        <v>Good Price</v>
      </c>
      <c r="O38" s="109"/>
    </row>
    <row r="39" spans="1:28" ht="15.75" customHeight="1">
      <c r="A39" s="97">
        <f t="shared" si="6"/>
        <v>35</v>
      </c>
      <c r="B39" s="72" t="s">
        <v>81</v>
      </c>
      <c r="C39" s="72" t="s">
        <v>71</v>
      </c>
      <c r="D39" s="98" t="s">
        <v>2067</v>
      </c>
      <c r="E39" s="99"/>
      <c r="F39" s="99" t="str">
        <f>VLOOKUP(D39,Master!$V$7:$W$1000,2,FALSE)</f>
        <v>M0029</v>
      </c>
      <c r="G39" s="100">
        <f>VLOOKUP(D39,'Menu Bar'!$B$6:$I$1948,8,FALSE)</f>
        <v>7271.6315789473683</v>
      </c>
      <c r="H39" s="101">
        <v>24000</v>
      </c>
      <c r="I39" s="102">
        <f t="shared" si="0"/>
        <v>0.30298464912280704</v>
      </c>
      <c r="J39" s="103" t="str">
        <f t="shared" si="1"/>
        <v>Good Price</v>
      </c>
      <c r="K39" s="104">
        <f t="shared" si="7"/>
        <v>25000</v>
      </c>
      <c r="L39" s="104">
        <f t="shared" si="3"/>
        <v>5000</v>
      </c>
      <c r="M39" s="105">
        <f t="shared" si="4"/>
        <v>0.36358157894736842</v>
      </c>
      <c r="N39" s="106" t="str">
        <f t="shared" si="5"/>
        <v>Good Price</v>
      </c>
      <c r="O39" s="109"/>
    </row>
    <row r="40" spans="1:28" ht="15.75" customHeight="1">
      <c r="A40" s="97">
        <f t="shared" si="6"/>
        <v>36</v>
      </c>
      <c r="B40" s="72" t="s">
        <v>81</v>
      </c>
      <c r="C40" s="72" t="s">
        <v>33</v>
      </c>
      <c r="D40" s="98" t="s">
        <v>166</v>
      </c>
      <c r="E40" s="99"/>
      <c r="F40" s="99" t="str">
        <f>VLOOKUP(D40,Master!$V$7:$W$1000,2,FALSE)</f>
        <v>M0013</v>
      </c>
      <c r="G40" s="100">
        <f>VLOOKUP(D40,'Menu Bar'!$B$6:$I$1948,8,FALSE)</f>
        <v>6528.4047368421052</v>
      </c>
      <c r="H40" s="101">
        <v>26000</v>
      </c>
      <c r="I40" s="102">
        <f t="shared" si="0"/>
        <v>0.25109248987854249</v>
      </c>
      <c r="J40" s="103" t="str">
        <f t="shared" si="1"/>
        <v>Good Price</v>
      </c>
      <c r="K40" s="117">
        <v>26000</v>
      </c>
      <c r="L40" s="112">
        <f t="shared" si="3"/>
        <v>5200</v>
      </c>
      <c r="M40" s="113">
        <f t="shared" si="4"/>
        <v>0.31386561234817811</v>
      </c>
      <c r="N40" s="114" t="str">
        <f t="shared" si="5"/>
        <v>Good Price</v>
      </c>
      <c r="O40" s="109"/>
      <c r="T40" s="115"/>
      <c r="U40" s="115"/>
      <c r="V40" s="115"/>
      <c r="W40" s="115"/>
      <c r="X40" s="115"/>
      <c r="Y40" s="115"/>
      <c r="Z40" s="115"/>
      <c r="AA40" s="115"/>
      <c r="AB40" s="115"/>
    </row>
    <row r="41" spans="1:28" ht="15.75" customHeight="1">
      <c r="A41" s="97">
        <f t="shared" si="6"/>
        <v>37</v>
      </c>
      <c r="B41" s="72" t="s">
        <v>81</v>
      </c>
      <c r="C41" s="72" t="s">
        <v>33</v>
      </c>
      <c r="D41" s="22" t="s">
        <v>991</v>
      </c>
      <c r="E41" s="72"/>
      <c r="F41" s="72" t="str">
        <f>VLOOKUP(D41,Master!$V$7:$W$1000,2,FALSE)</f>
        <v>B032</v>
      </c>
      <c r="G41" s="100">
        <f>VLOOKUP(D41,'Menu Bar'!$B$6:$I$1948,8,FALSE)</f>
        <v>7551.9047368421052</v>
      </c>
      <c r="H41" s="116">
        <v>26000</v>
      </c>
      <c r="I41" s="102">
        <f t="shared" si="0"/>
        <v>0.29045787449392713</v>
      </c>
      <c r="J41" s="103" t="str">
        <f t="shared" si="1"/>
        <v>Good Price</v>
      </c>
      <c r="K41" s="117">
        <v>26000</v>
      </c>
      <c r="L41" s="112">
        <f t="shared" si="3"/>
        <v>5200</v>
      </c>
      <c r="M41" s="113">
        <f t="shared" si="4"/>
        <v>0.36307234311740888</v>
      </c>
      <c r="N41" s="114" t="str">
        <f t="shared" si="5"/>
        <v>Good Price</v>
      </c>
      <c r="O41" s="109"/>
      <c r="T41" s="115"/>
      <c r="U41" s="115"/>
      <c r="V41" s="115"/>
      <c r="W41" s="115"/>
      <c r="X41" s="115"/>
      <c r="Y41" s="115"/>
      <c r="Z41" s="115"/>
      <c r="AA41" s="115"/>
      <c r="AB41" s="115"/>
    </row>
    <row r="42" spans="1:28" ht="15.75" customHeight="1">
      <c r="A42" s="97">
        <f t="shared" si="6"/>
        <v>38</v>
      </c>
      <c r="B42" s="72" t="s">
        <v>81</v>
      </c>
      <c r="C42" s="72"/>
      <c r="D42" s="98" t="s">
        <v>314</v>
      </c>
      <c r="E42" s="99"/>
      <c r="F42" s="99" t="str">
        <f>VLOOKUP(D42,Master!$V$7:$W$1000,2,FALSE)</f>
        <v>M0033</v>
      </c>
      <c r="G42" s="100">
        <f>VLOOKUP(D42,'Menu Bar'!$B$6:$I$1948,8,FALSE)</f>
        <v>1557.2916666666667</v>
      </c>
      <c r="H42" s="101">
        <v>10000</v>
      </c>
      <c r="I42" s="102">
        <f t="shared" si="0"/>
        <v>0.15572916666666667</v>
      </c>
      <c r="J42" s="103" t="str">
        <f t="shared" si="1"/>
        <v>Good Price</v>
      </c>
      <c r="K42" s="104">
        <f t="shared" ref="K42:K43" si="8">1000+H42</f>
        <v>11000</v>
      </c>
      <c r="L42" s="104">
        <f t="shared" si="3"/>
        <v>2200</v>
      </c>
      <c r="M42" s="105">
        <f t="shared" si="4"/>
        <v>0.17696496212121213</v>
      </c>
      <c r="N42" s="106" t="str">
        <f t="shared" si="5"/>
        <v>Good Price</v>
      </c>
      <c r="O42" s="109"/>
    </row>
    <row r="43" spans="1:28" ht="15.75" customHeight="1">
      <c r="A43" s="97">
        <f t="shared" si="6"/>
        <v>39</v>
      </c>
      <c r="B43" s="72" t="s">
        <v>81</v>
      </c>
      <c r="C43" s="72" t="s">
        <v>93</v>
      </c>
      <c r="D43" s="98" t="s">
        <v>319</v>
      </c>
      <c r="E43" s="99"/>
      <c r="F43" s="99" t="str">
        <f>VLOOKUP(D43,Master!$V$7:$W$1000,2,FALSE)</f>
        <v>M0034</v>
      </c>
      <c r="G43" s="100">
        <f>VLOOKUP(D43,'Menu Bar'!$B$6:$I$1948,8,FALSE)</f>
        <v>10115.77438277512</v>
      </c>
      <c r="H43" s="101">
        <v>28000</v>
      </c>
      <c r="I43" s="102">
        <f t="shared" si="0"/>
        <v>0.36127765652768284</v>
      </c>
      <c r="J43" s="103" t="str">
        <f t="shared" si="1"/>
        <v>Bad Price</v>
      </c>
      <c r="K43" s="104">
        <f t="shared" si="8"/>
        <v>29000</v>
      </c>
      <c r="L43" s="104">
        <f t="shared" si="3"/>
        <v>5800</v>
      </c>
      <c r="M43" s="105">
        <f t="shared" si="4"/>
        <v>0.43602475787823791</v>
      </c>
      <c r="N43" s="106" t="str">
        <f t="shared" si="5"/>
        <v>Bad Price</v>
      </c>
      <c r="O43" s="110"/>
      <c r="T43" s="115"/>
      <c r="U43" s="115"/>
      <c r="V43" s="115"/>
      <c r="W43" s="115"/>
      <c r="X43" s="115"/>
      <c r="Y43" s="115"/>
      <c r="Z43" s="115"/>
      <c r="AA43" s="115"/>
      <c r="AB43" s="115"/>
    </row>
    <row r="44" spans="1:28" ht="15.75" customHeight="1">
      <c r="A44" s="97">
        <f t="shared" si="6"/>
        <v>40</v>
      </c>
      <c r="B44" s="72" t="s">
        <v>81</v>
      </c>
      <c r="C44" s="72" t="s">
        <v>93</v>
      </c>
      <c r="D44" s="98" t="s">
        <v>324</v>
      </c>
      <c r="E44" s="99"/>
      <c r="F44" s="99" t="str">
        <f>VLOOKUP(D44,Master!$V$7:$W$1000,2,FALSE)</f>
        <v>M0035</v>
      </c>
      <c r="G44" s="100">
        <f>VLOOKUP(D44,'Menu Bar'!$B$6:$I$1948,8,FALSE)</f>
        <v>12542.076333333334</v>
      </c>
      <c r="H44" s="101">
        <v>28000</v>
      </c>
      <c r="I44" s="102">
        <f t="shared" si="0"/>
        <v>0.44793129761904765</v>
      </c>
      <c r="J44" s="103" t="str">
        <f t="shared" si="1"/>
        <v>Bad Price</v>
      </c>
      <c r="K44" s="117">
        <v>28000</v>
      </c>
      <c r="L44" s="112">
        <f t="shared" si="3"/>
        <v>5600</v>
      </c>
      <c r="M44" s="113">
        <f t="shared" si="4"/>
        <v>0.55991412202380952</v>
      </c>
      <c r="N44" s="114" t="str">
        <f t="shared" si="5"/>
        <v>Bad Price</v>
      </c>
      <c r="O44" s="110"/>
      <c r="T44" s="115"/>
      <c r="U44" s="115"/>
      <c r="V44" s="115"/>
      <c r="W44" s="115"/>
      <c r="X44" s="115"/>
      <c r="Y44" s="115"/>
      <c r="Z44" s="115"/>
      <c r="AA44" s="115"/>
      <c r="AB44" s="115"/>
    </row>
    <row r="45" spans="1:28" ht="15.75" customHeight="1">
      <c r="A45" s="97">
        <f t="shared" si="6"/>
        <v>41</v>
      </c>
      <c r="B45" s="72" t="s">
        <v>81</v>
      </c>
      <c r="C45" s="72" t="s">
        <v>93</v>
      </c>
      <c r="D45" s="98" t="s">
        <v>329</v>
      </c>
      <c r="E45" s="99"/>
      <c r="F45" s="99" t="str">
        <f>VLOOKUP(D45,Master!$V$7:$W$1000,2,FALSE)</f>
        <v>M0036</v>
      </c>
      <c r="G45" s="100">
        <f>VLOOKUP(D45,'Menu Bar'!$B$6:$I$1948,8,FALSE)</f>
        <v>6931.1347368421066</v>
      </c>
      <c r="H45" s="101">
        <v>29000</v>
      </c>
      <c r="I45" s="102">
        <f t="shared" si="0"/>
        <v>0.23900464609800368</v>
      </c>
      <c r="J45" s="103" t="str">
        <f t="shared" si="1"/>
        <v>Good Price</v>
      </c>
      <c r="K45" s="117">
        <v>29000</v>
      </c>
      <c r="L45" s="112">
        <f t="shared" si="3"/>
        <v>5800</v>
      </c>
      <c r="M45" s="113">
        <f t="shared" si="4"/>
        <v>0.29875580762250459</v>
      </c>
      <c r="N45" s="114" t="str">
        <f t="shared" si="5"/>
        <v>Good Price</v>
      </c>
      <c r="O45" s="109"/>
      <c r="T45" s="115"/>
      <c r="U45" s="115"/>
      <c r="V45" s="115"/>
      <c r="W45" s="115"/>
      <c r="X45" s="115"/>
      <c r="Y45" s="115"/>
      <c r="Z45" s="115"/>
      <c r="AA45" s="115"/>
      <c r="AB45" s="115"/>
    </row>
    <row r="46" spans="1:28" ht="15.75" customHeight="1">
      <c r="A46" s="97">
        <f t="shared" si="6"/>
        <v>42</v>
      </c>
      <c r="B46" s="72" t="s">
        <v>81</v>
      </c>
      <c r="C46" s="72" t="s">
        <v>83</v>
      </c>
      <c r="D46" s="98" t="s">
        <v>334</v>
      </c>
      <c r="E46" s="99"/>
      <c r="F46" s="99" t="str">
        <f>VLOOKUP(D46,Master!$V$7:$W$1000,2,FALSE)</f>
        <v>M0037</v>
      </c>
      <c r="G46" s="100">
        <f>VLOOKUP(D46,'Menu Bar'!$B$6:$I$1948,8,FALSE)</f>
        <v>11528.536447117795</v>
      </c>
      <c r="H46" s="101">
        <v>29000</v>
      </c>
      <c r="I46" s="102">
        <f t="shared" si="0"/>
        <v>0.39753573955578603</v>
      </c>
      <c r="J46" s="103" t="str">
        <f t="shared" si="1"/>
        <v>Bad Price</v>
      </c>
      <c r="K46" s="104">
        <f t="shared" ref="K46:K62" si="9">1000+H46</f>
        <v>30000</v>
      </c>
      <c r="L46" s="104">
        <f t="shared" si="3"/>
        <v>6000</v>
      </c>
      <c r="M46" s="105">
        <f t="shared" si="4"/>
        <v>0.4803556852965748</v>
      </c>
      <c r="N46" s="106" t="str">
        <f t="shared" si="5"/>
        <v>Bad Price</v>
      </c>
      <c r="O46" s="110"/>
      <c r="T46" s="115"/>
      <c r="U46" s="115"/>
      <c r="V46" s="115"/>
      <c r="W46" s="115"/>
      <c r="X46" s="115"/>
      <c r="Y46" s="115"/>
      <c r="Z46" s="115"/>
      <c r="AA46" s="115"/>
      <c r="AB46" s="115"/>
    </row>
    <row r="47" spans="1:28" ht="15.75" customHeight="1">
      <c r="A47" s="97">
        <f t="shared" si="6"/>
        <v>43</v>
      </c>
      <c r="B47" s="72" t="s">
        <v>81</v>
      </c>
      <c r="C47" s="72" t="s">
        <v>83</v>
      </c>
      <c r="D47" s="98" t="s">
        <v>690</v>
      </c>
      <c r="E47" s="99"/>
      <c r="F47" s="99" t="str">
        <f>VLOOKUP(D47,Master!$V$7:$W$1000,2,FALSE)</f>
        <v>M0126</v>
      </c>
      <c r="G47" s="100">
        <f>VLOOKUP(D47,'Menu Bar'!$B$6:$I$1948,8,FALSE)</f>
        <v>11405.489300296196</v>
      </c>
      <c r="H47" s="101">
        <v>29000</v>
      </c>
      <c r="I47" s="102">
        <f t="shared" si="0"/>
        <v>0.39329273449297231</v>
      </c>
      <c r="J47" s="103" t="str">
        <f t="shared" si="1"/>
        <v>Bad Price</v>
      </c>
      <c r="K47" s="104">
        <f t="shared" si="9"/>
        <v>30000</v>
      </c>
      <c r="L47" s="104">
        <f t="shared" si="3"/>
        <v>6000</v>
      </c>
      <c r="M47" s="105">
        <f t="shared" si="4"/>
        <v>0.47522872084567486</v>
      </c>
      <c r="N47" s="106" t="str">
        <f t="shared" si="5"/>
        <v>Bad Price</v>
      </c>
      <c r="O47" s="110"/>
    </row>
    <row r="48" spans="1:28" ht="15.75" customHeight="1">
      <c r="A48" s="97">
        <f t="shared" si="6"/>
        <v>44</v>
      </c>
      <c r="B48" s="72" t="s">
        <v>81</v>
      </c>
      <c r="C48" s="72" t="s">
        <v>83</v>
      </c>
      <c r="D48" s="98" t="s">
        <v>194</v>
      </c>
      <c r="E48" s="99" t="s">
        <v>1309</v>
      </c>
      <c r="F48" s="99" t="str">
        <f>VLOOKUP(D48,Master!$V$7:$W$1000,2,FALSE)</f>
        <v>M0016</v>
      </c>
      <c r="G48" s="100">
        <f>VLOOKUP(D48,'Menu Bar'!$B$6:$I$1948,8,FALSE)</f>
        <v>7929.9388280701769</v>
      </c>
      <c r="H48" s="101">
        <v>29000</v>
      </c>
      <c r="I48" s="102">
        <f t="shared" si="0"/>
        <v>0.2734461664851785</v>
      </c>
      <c r="J48" s="103" t="str">
        <f t="shared" si="1"/>
        <v>Good Price</v>
      </c>
      <c r="K48" s="104">
        <f t="shared" si="9"/>
        <v>30000</v>
      </c>
      <c r="L48" s="104">
        <f t="shared" si="3"/>
        <v>6000</v>
      </c>
      <c r="M48" s="105">
        <f t="shared" si="4"/>
        <v>0.33041411783625735</v>
      </c>
      <c r="N48" s="106" t="str">
        <f t="shared" si="5"/>
        <v>Good Price</v>
      </c>
      <c r="O48" s="109"/>
    </row>
    <row r="49" spans="1:28" ht="15.75" customHeight="1">
      <c r="A49" s="97">
        <f t="shared" si="6"/>
        <v>45</v>
      </c>
      <c r="B49" s="72" t="s">
        <v>81</v>
      </c>
      <c r="C49" s="72" t="s">
        <v>58</v>
      </c>
      <c r="D49" s="98" t="s">
        <v>232</v>
      </c>
      <c r="E49" s="99"/>
      <c r="F49" s="99" t="str">
        <f>VLOOKUP(D49,Master!$V$7:$W$1000,2,FALSE)</f>
        <v>M0021</v>
      </c>
      <c r="G49" s="100">
        <f>VLOOKUP(D49,'Menu Bar'!$B$6:$I$1948,8,FALSE)</f>
        <v>2420.7342982456144</v>
      </c>
      <c r="H49" s="101">
        <v>15000</v>
      </c>
      <c r="I49" s="102">
        <f t="shared" si="0"/>
        <v>0.16138228654970763</v>
      </c>
      <c r="J49" s="103" t="str">
        <f t="shared" si="1"/>
        <v>Good Price</v>
      </c>
      <c r="K49" s="104">
        <f t="shared" si="9"/>
        <v>16000</v>
      </c>
      <c r="L49" s="104">
        <f t="shared" si="3"/>
        <v>3200</v>
      </c>
      <c r="M49" s="105">
        <f t="shared" si="4"/>
        <v>0.18911986705043862</v>
      </c>
      <c r="N49" s="106" t="str">
        <f t="shared" si="5"/>
        <v>Good Price</v>
      </c>
      <c r="O49" s="109"/>
      <c r="T49" s="115"/>
      <c r="U49" s="115"/>
      <c r="V49" s="115"/>
      <c r="W49" s="115"/>
      <c r="X49" s="115"/>
      <c r="Y49" s="115"/>
      <c r="Z49" s="115"/>
      <c r="AA49" s="115"/>
      <c r="AB49" s="115"/>
    </row>
    <row r="50" spans="1:28" ht="15.75" customHeight="1">
      <c r="A50" s="97">
        <f t="shared" si="6"/>
        <v>46</v>
      </c>
      <c r="B50" s="72" t="s">
        <v>81</v>
      </c>
      <c r="C50" s="72" t="s">
        <v>58</v>
      </c>
      <c r="D50" s="98" t="s">
        <v>225</v>
      </c>
      <c r="E50" s="99"/>
      <c r="F50" s="99" t="str">
        <f>VLOOKUP(D50,Master!$V$7:$W$1000,2,FALSE)</f>
        <v>M0020</v>
      </c>
      <c r="G50" s="100">
        <f>VLOOKUP(D50,'Menu Bar'!$B$6:$I$1948,8,FALSE)</f>
        <v>849.54585526315782</v>
      </c>
      <c r="H50" s="101">
        <v>10000</v>
      </c>
      <c r="I50" s="102">
        <f t="shared" si="0"/>
        <v>8.4954585526315782E-2</v>
      </c>
      <c r="J50" s="103" t="str">
        <f t="shared" si="1"/>
        <v>Good Price</v>
      </c>
      <c r="K50" s="104">
        <f t="shared" si="9"/>
        <v>11000</v>
      </c>
      <c r="L50" s="104">
        <f t="shared" si="3"/>
        <v>2200</v>
      </c>
      <c r="M50" s="105">
        <f t="shared" si="4"/>
        <v>9.6539301734449759E-2</v>
      </c>
      <c r="N50" s="106" t="str">
        <f t="shared" si="5"/>
        <v>Good Price</v>
      </c>
      <c r="O50" s="109"/>
    </row>
    <row r="51" spans="1:28" ht="13">
      <c r="A51" s="97">
        <f t="shared" si="6"/>
        <v>47</v>
      </c>
      <c r="B51" s="72" t="s">
        <v>81</v>
      </c>
      <c r="C51" s="72" t="s">
        <v>58</v>
      </c>
      <c r="D51" s="98" t="s">
        <v>494</v>
      </c>
      <c r="E51" s="99"/>
      <c r="F51" s="99" t="str">
        <f>VLOOKUP(D51,Master!$V$7:$W$1000,2,FALSE)</f>
        <v>M0076</v>
      </c>
      <c r="G51" s="100">
        <f>VLOOKUP(D51,'Menu Bar'!$B$6:$I$1948,8,FALSE)</f>
        <v>6782.1322500000006</v>
      </c>
      <c r="H51" s="101">
        <v>22000</v>
      </c>
      <c r="I51" s="102">
        <f t="shared" si="0"/>
        <v>0.30827873863636368</v>
      </c>
      <c r="J51" s="103" t="str">
        <f t="shared" si="1"/>
        <v>Good Price</v>
      </c>
      <c r="K51" s="104">
        <f t="shared" si="9"/>
        <v>23000</v>
      </c>
      <c r="L51" s="104">
        <f t="shared" si="3"/>
        <v>4600</v>
      </c>
      <c r="M51" s="105">
        <f t="shared" si="4"/>
        <v>0.36859414402173918</v>
      </c>
      <c r="N51" s="106" t="str">
        <f t="shared" si="5"/>
        <v>Good Price</v>
      </c>
      <c r="O51" s="110"/>
    </row>
    <row r="52" spans="1:28" ht="13">
      <c r="A52" s="97">
        <f t="shared" si="6"/>
        <v>48</v>
      </c>
      <c r="B52" s="72" t="s">
        <v>81</v>
      </c>
      <c r="C52" s="72" t="s">
        <v>58</v>
      </c>
      <c r="D52" s="98" t="s">
        <v>490</v>
      </c>
      <c r="E52" s="99"/>
      <c r="F52" s="99" t="str">
        <f>VLOOKUP(D52,Master!$V$7:$W$1000,2,FALSE)</f>
        <v>M0075</v>
      </c>
      <c r="G52" s="100">
        <f>VLOOKUP(D52,'Menu Bar'!$B$6:$I$1948,8,FALSE)</f>
        <v>5004.0179912280701</v>
      </c>
      <c r="H52" s="101">
        <v>19000</v>
      </c>
      <c r="I52" s="102">
        <f t="shared" si="0"/>
        <v>0.2633693679593721</v>
      </c>
      <c r="J52" s="103" t="str">
        <f t="shared" si="1"/>
        <v>Good Price</v>
      </c>
      <c r="K52" s="104">
        <f t="shared" si="9"/>
        <v>20000</v>
      </c>
      <c r="L52" s="104">
        <f t="shared" si="3"/>
        <v>4000</v>
      </c>
      <c r="M52" s="105">
        <f t="shared" si="4"/>
        <v>0.3127511244517544</v>
      </c>
      <c r="N52" s="106" t="str">
        <f t="shared" si="5"/>
        <v>Good Price</v>
      </c>
      <c r="O52" s="109"/>
      <c r="T52" s="115"/>
      <c r="U52" s="115"/>
      <c r="V52" s="115"/>
      <c r="W52" s="115"/>
      <c r="X52" s="115"/>
      <c r="Y52" s="115"/>
      <c r="Z52" s="115"/>
      <c r="AA52" s="115"/>
      <c r="AB52" s="115"/>
    </row>
    <row r="53" spans="1:28" ht="13">
      <c r="A53" s="97">
        <f t="shared" si="6"/>
        <v>49</v>
      </c>
      <c r="B53" s="72" t="s">
        <v>81</v>
      </c>
      <c r="C53" s="72" t="s">
        <v>58</v>
      </c>
      <c r="D53" s="98" t="s">
        <v>805</v>
      </c>
      <c r="E53" s="99" t="s">
        <v>1310</v>
      </c>
      <c r="F53" s="99" t="str">
        <f>VLOOKUP(D53,Master!$V$7:$W$1000,2,FALSE)</f>
        <v>M0149</v>
      </c>
      <c r="G53" s="100">
        <f>VLOOKUP(D53,'Menu Bar'!$B$6:$I$1948,8,FALSE)</f>
        <v>3202.456921052632</v>
      </c>
      <c r="H53" s="101">
        <v>24000</v>
      </c>
      <c r="I53" s="102">
        <f t="shared" si="0"/>
        <v>0.13343570504385965</v>
      </c>
      <c r="J53" s="103" t="str">
        <f t="shared" si="1"/>
        <v>Good Price</v>
      </c>
      <c r="K53" s="104">
        <f t="shared" si="9"/>
        <v>25000</v>
      </c>
      <c r="L53" s="104">
        <f t="shared" si="3"/>
        <v>5000</v>
      </c>
      <c r="M53" s="105">
        <f t="shared" si="4"/>
        <v>0.16012284605263161</v>
      </c>
      <c r="N53" s="106" t="str">
        <f t="shared" si="5"/>
        <v>Good Price</v>
      </c>
      <c r="O53" s="109"/>
      <c r="T53" s="115"/>
      <c r="U53" s="115"/>
      <c r="V53" s="115"/>
      <c r="W53" s="115"/>
      <c r="X53" s="115"/>
      <c r="Y53" s="115"/>
      <c r="Z53" s="115"/>
      <c r="AA53" s="115"/>
      <c r="AB53" s="115"/>
    </row>
    <row r="54" spans="1:28" ht="13">
      <c r="A54" s="97">
        <f t="shared" si="6"/>
        <v>50</v>
      </c>
      <c r="B54" s="72" t="s">
        <v>81</v>
      </c>
      <c r="C54" s="72" t="s">
        <v>58</v>
      </c>
      <c r="D54" s="98" t="s">
        <v>930</v>
      </c>
      <c r="E54" s="72" t="s">
        <v>1311</v>
      </c>
      <c r="F54" s="72" t="str">
        <f>VLOOKUP(D54,Master!$V$7:$W$1000,2,FALSE)</f>
        <v>B012</v>
      </c>
      <c r="G54" s="100">
        <f>VLOOKUP(D54,'Menu Bar'!$B$6:$I$1948,8,FALSE)</f>
        <v>4248.9939849624061</v>
      </c>
      <c r="H54" s="101">
        <v>26000</v>
      </c>
      <c r="I54" s="102">
        <f t="shared" si="0"/>
        <v>0.16342284557547715</v>
      </c>
      <c r="J54" s="103" t="str">
        <f t="shared" si="1"/>
        <v>Good Price</v>
      </c>
      <c r="K54" s="104">
        <f t="shared" si="9"/>
        <v>27000</v>
      </c>
      <c r="L54" s="104">
        <f t="shared" si="3"/>
        <v>5400</v>
      </c>
      <c r="M54" s="105">
        <f t="shared" si="4"/>
        <v>0.19671268448900028</v>
      </c>
      <c r="N54" s="106" t="str">
        <f t="shared" si="5"/>
        <v>Good Price</v>
      </c>
      <c r="O54" s="109"/>
      <c r="T54" s="115"/>
      <c r="U54" s="115"/>
      <c r="V54" s="115"/>
      <c r="W54" s="115"/>
      <c r="X54" s="115"/>
      <c r="Y54" s="115"/>
      <c r="Z54" s="115"/>
      <c r="AA54" s="115"/>
      <c r="AB54" s="115"/>
    </row>
    <row r="55" spans="1:28" ht="13">
      <c r="A55" s="97">
        <f t="shared" si="6"/>
        <v>51</v>
      </c>
      <c r="B55" s="72" t="s">
        <v>81</v>
      </c>
      <c r="C55" s="72" t="s">
        <v>58</v>
      </c>
      <c r="D55" s="98" t="s">
        <v>1022</v>
      </c>
      <c r="E55" s="99"/>
      <c r="F55" s="99" t="str">
        <f>VLOOKUP(D55,Master!$V$7:$W$1000,2,FALSE)</f>
        <v>B043</v>
      </c>
      <c r="G55" s="100" t="e">
        <f>VLOOKUP(D55,'Menu Bar'!$B$6:$I$1948,8,FALSE)</f>
        <v>#N/A</v>
      </c>
      <c r="H55" s="101">
        <v>26000</v>
      </c>
      <c r="I55" s="102" t="e">
        <f t="shared" si="0"/>
        <v>#N/A</v>
      </c>
      <c r="J55" s="103" t="e">
        <f t="shared" si="1"/>
        <v>#N/A</v>
      </c>
      <c r="K55" s="104">
        <f t="shared" si="9"/>
        <v>27000</v>
      </c>
      <c r="L55" s="104">
        <f t="shared" si="3"/>
        <v>5400</v>
      </c>
      <c r="M55" s="105" t="e">
        <f t="shared" si="4"/>
        <v>#N/A</v>
      </c>
      <c r="N55" s="106" t="e">
        <f t="shared" si="5"/>
        <v>#N/A</v>
      </c>
      <c r="O55" s="109"/>
      <c r="T55" s="115"/>
      <c r="U55" s="115"/>
      <c r="V55" s="115"/>
      <c r="W55" s="115"/>
      <c r="X55" s="115"/>
      <c r="Y55" s="115"/>
      <c r="Z55" s="115"/>
      <c r="AA55" s="115"/>
      <c r="AB55" s="115"/>
    </row>
    <row r="56" spans="1:28" ht="13">
      <c r="A56" s="97">
        <f t="shared" si="6"/>
        <v>52</v>
      </c>
      <c r="B56" s="72" t="s">
        <v>81</v>
      </c>
      <c r="C56" s="72" t="s">
        <v>83</v>
      </c>
      <c r="D56" s="98" t="s">
        <v>301</v>
      </c>
      <c r="E56" s="99"/>
      <c r="F56" s="99" t="str">
        <f>VLOOKUP(D56,Master!$V$7:$W$1000,2,FALSE)</f>
        <v>M0031</v>
      </c>
      <c r="G56" s="100">
        <f>VLOOKUP(D56,'Menu Bar'!$B$6:$I$1948,8,FALSE)</f>
        <v>8071.5863947368434</v>
      </c>
      <c r="H56" s="101">
        <v>27000</v>
      </c>
      <c r="I56" s="102">
        <f t="shared" si="0"/>
        <v>0.2989476442495127</v>
      </c>
      <c r="J56" s="103" t="str">
        <f t="shared" si="1"/>
        <v>Good Price</v>
      </c>
      <c r="K56" s="104">
        <f t="shared" si="9"/>
        <v>28000</v>
      </c>
      <c r="L56" s="104">
        <f t="shared" si="3"/>
        <v>5600</v>
      </c>
      <c r="M56" s="105">
        <f t="shared" si="4"/>
        <v>0.36033867833646621</v>
      </c>
      <c r="N56" s="106" t="str">
        <f t="shared" si="5"/>
        <v>Good Price</v>
      </c>
      <c r="O56" s="109"/>
      <c r="T56" s="115"/>
      <c r="U56" s="115"/>
      <c r="V56" s="115"/>
      <c r="W56" s="115"/>
      <c r="X56" s="115"/>
      <c r="Y56" s="115"/>
      <c r="Z56" s="115"/>
      <c r="AA56" s="115"/>
      <c r="AB56" s="115"/>
    </row>
    <row r="57" spans="1:28" ht="13">
      <c r="A57" s="97">
        <f t="shared" si="6"/>
        <v>53</v>
      </c>
      <c r="B57" s="72" t="s">
        <v>81</v>
      </c>
      <c r="C57" s="72" t="s">
        <v>83</v>
      </c>
      <c r="D57" s="98" t="s">
        <v>308</v>
      </c>
      <c r="E57" s="99"/>
      <c r="F57" s="99" t="str">
        <f>VLOOKUP(D57,Master!$V$7:$W$1000,2,FALSE)</f>
        <v>M0032</v>
      </c>
      <c r="G57" s="100">
        <f>VLOOKUP(D57,'Menu Bar'!$B$6:$I$1948,8,FALSE)</f>
        <v>7303.6494130781502</v>
      </c>
      <c r="H57" s="101">
        <v>27000</v>
      </c>
      <c r="I57" s="102">
        <f t="shared" si="0"/>
        <v>0.27050553381770925</v>
      </c>
      <c r="J57" s="103" t="str">
        <f t="shared" si="1"/>
        <v>Good Price</v>
      </c>
      <c r="K57" s="104">
        <f t="shared" si="9"/>
        <v>28000</v>
      </c>
      <c r="L57" s="104">
        <f t="shared" si="3"/>
        <v>5600</v>
      </c>
      <c r="M57" s="105">
        <f t="shared" si="4"/>
        <v>0.32605577736956026</v>
      </c>
      <c r="N57" s="106" t="str">
        <f t="shared" si="5"/>
        <v>Good Price</v>
      </c>
      <c r="O57" s="109"/>
      <c r="T57" s="115"/>
      <c r="U57" s="115"/>
      <c r="V57" s="115"/>
      <c r="W57" s="115"/>
      <c r="X57" s="115"/>
      <c r="Y57" s="115"/>
      <c r="Z57" s="115"/>
      <c r="AA57" s="115"/>
      <c r="AB57" s="115"/>
    </row>
    <row r="58" spans="1:28" ht="13">
      <c r="A58" s="97">
        <f t="shared" si="6"/>
        <v>54</v>
      </c>
      <c r="B58" s="72" t="s">
        <v>81</v>
      </c>
      <c r="C58" s="72" t="s">
        <v>58</v>
      </c>
      <c r="D58" s="98" t="s">
        <v>246</v>
      </c>
      <c r="E58" s="99"/>
      <c r="F58" s="99" t="str">
        <f>VLOOKUP(D58,Master!$V$7:$W$1000,2,FALSE)</f>
        <v>M0023</v>
      </c>
      <c r="G58" s="100">
        <f>VLOOKUP(D58,'Menu Bar'!$B$6:$I$1948,8,FALSE)</f>
        <v>4505.1088761863684</v>
      </c>
      <c r="H58" s="101">
        <v>22000</v>
      </c>
      <c r="I58" s="102">
        <f t="shared" si="0"/>
        <v>0.20477767619028947</v>
      </c>
      <c r="J58" s="103" t="str">
        <f t="shared" si="1"/>
        <v>Good Price</v>
      </c>
      <c r="K58" s="104">
        <f t="shared" si="9"/>
        <v>23000</v>
      </c>
      <c r="L58" s="104">
        <f t="shared" si="3"/>
        <v>4600</v>
      </c>
      <c r="M58" s="105">
        <f t="shared" si="4"/>
        <v>0.24484287370578089</v>
      </c>
      <c r="N58" s="106" t="str">
        <f t="shared" si="5"/>
        <v>Good Price</v>
      </c>
      <c r="O58" s="109"/>
      <c r="T58" s="115"/>
      <c r="U58" s="115"/>
      <c r="V58" s="115"/>
      <c r="W58" s="115"/>
      <c r="X58" s="115"/>
      <c r="Y58" s="115"/>
      <c r="Z58" s="115"/>
      <c r="AA58" s="115"/>
      <c r="AB58" s="115"/>
    </row>
    <row r="59" spans="1:28" ht="13">
      <c r="A59" s="97">
        <f t="shared" si="6"/>
        <v>55</v>
      </c>
      <c r="B59" s="72" t="s">
        <v>81</v>
      </c>
      <c r="C59" s="72" t="s">
        <v>58</v>
      </c>
      <c r="D59" s="98" t="s">
        <v>239</v>
      </c>
      <c r="E59" s="99"/>
      <c r="F59" s="99" t="str">
        <f>VLOOKUP(D59,Master!$V$7:$W$1000,2,FALSE)</f>
        <v>M0022</v>
      </c>
      <c r="G59" s="100">
        <f>VLOOKUP(D59,'Menu Bar'!$B$6:$I$1948,8,FALSE)</f>
        <v>5416.5496117342536</v>
      </c>
      <c r="H59" s="101">
        <v>20000</v>
      </c>
      <c r="I59" s="102">
        <f t="shared" si="0"/>
        <v>0.27082748058671269</v>
      </c>
      <c r="J59" s="103" t="str">
        <f t="shared" si="1"/>
        <v>Good Price</v>
      </c>
      <c r="K59" s="104">
        <f t="shared" si="9"/>
        <v>21000</v>
      </c>
      <c r="L59" s="104">
        <f t="shared" si="3"/>
        <v>4200</v>
      </c>
      <c r="M59" s="105">
        <f t="shared" si="4"/>
        <v>0.32241366736513416</v>
      </c>
      <c r="N59" s="106" t="str">
        <f t="shared" si="5"/>
        <v>Good Price</v>
      </c>
      <c r="O59" s="109"/>
      <c r="T59" s="115"/>
      <c r="U59" s="115"/>
      <c r="V59" s="115"/>
      <c r="W59" s="115"/>
      <c r="X59" s="115"/>
      <c r="Y59" s="115"/>
      <c r="Z59" s="115"/>
      <c r="AA59" s="115"/>
      <c r="AB59" s="115"/>
    </row>
    <row r="60" spans="1:28" ht="13">
      <c r="A60" s="97">
        <f t="shared" si="6"/>
        <v>56</v>
      </c>
      <c r="B60" s="72" t="s">
        <v>81</v>
      </c>
      <c r="C60" s="72" t="s">
        <v>58</v>
      </c>
      <c r="D60" s="98" t="s">
        <v>254</v>
      </c>
      <c r="E60" s="99"/>
      <c r="F60" s="99" t="str">
        <f>VLOOKUP(D60,Master!$V$7:$W$1000,2,FALSE)</f>
        <v>M0024</v>
      </c>
      <c r="G60" s="100">
        <f>VLOOKUP(D60,'Menu Bar'!$B$6:$I$1948,8,FALSE)</f>
        <v>4790.6578947368425</v>
      </c>
      <c r="H60" s="101">
        <v>26000</v>
      </c>
      <c r="I60" s="102">
        <f t="shared" si="0"/>
        <v>0.18425607287449394</v>
      </c>
      <c r="J60" s="103" t="str">
        <f t="shared" si="1"/>
        <v>Good Price</v>
      </c>
      <c r="K60" s="104">
        <f t="shared" si="9"/>
        <v>27000</v>
      </c>
      <c r="L60" s="104">
        <f t="shared" si="3"/>
        <v>5400</v>
      </c>
      <c r="M60" s="105">
        <f t="shared" si="4"/>
        <v>0.22178971734892788</v>
      </c>
      <c r="N60" s="106" t="str">
        <f t="shared" si="5"/>
        <v>Good Price</v>
      </c>
      <c r="O60" s="109"/>
      <c r="T60" s="115"/>
      <c r="U60" s="115"/>
      <c r="V60" s="115"/>
      <c r="W60" s="115"/>
      <c r="X60" s="115"/>
      <c r="Y60" s="115"/>
      <c r="Z60" s="115"/>
      <c r="AA60" s="115"/>
      <c r="AB60" s="115"/>
    </row>
    <row r="61" spans="1:28" ht="13">
      <c r="A61" s="97">
        <f t="shared" si="6"/>
        <v>57</v>
      </c>
      <c r="B61" s="72" t="s">
        <v>81</v>
      </c>
      <c r="C61" s="72" t="s">
        <v>83</v>
      </c>
      <c r="D61" s="98" t="s">
        <v>927</v>
      </c>
      <c r="E61" s="99"/>
      <c r="F61" s="99" t="str">
        <f>VLOOKUP(D61,Master!$V$7:$W$1000,2,FALSE)</f>
        <v>B011</v>
      </c>
      <c r="G61" s="100">
        <f>VLOOKUP(D61,'Menu Bar'!$B$6:$I$1948,8,FALSE)</f>
        <v>11695.741177944863</v>
      </c>
      <c r="H61" s="101">
        <v>28000</v>
      </c>
      <c r="I61" s="102">
        <f t="shared" si="0"/>
        <v>0.41770504206945941</v>
      </c>
      <c r="J61" s="103" t="str">
        <f t="shared" si="1"/>
        <v>Bad Price</v>
      </c>
      <c r="K61" s="104">
        <f t="shared" si="9"/>
        <v>29000</v>
      </c>
      <c r="L61" s="104">
        <f t="shared" si="3"/>
        <v>5800</v>
      </c>
      <c r="M61" s="105">
        <f t="shared" si="4"/>
        <v>0.50412677491141655</v>
      </c>
      <c r="N61" s="106" t="str">
        <f t="shared" si="5"/>
        <v>Bad Price</v>
      </c>
      <c r="O61" s="110"/>
      <c r="T61" s="115"/>
      <c r="U61" s="115"/>
      <c r="V61" s="115"/>
      <c r="W61" s="115"/>
      <c r="X61" s="115"/>
      <c r="Y61" s="115"/>
      <c r="Z61" s="115"/>
      <c r="AA61" s="115"/>
      <c r="AB61" s="115"/>
    </row>
    <row r="62" spans="1:28" ht="13">
      <c r="A62" s="97">
        <f t="shared" si="6"/>
        <v>58</v>
      </c>
      <c r="B62" s="72" t="s">
        <v>81</v>
      </c>
      <c r="C62" s="72" t="s">
        <v>33</v>
      </c>
      <c r="D62" s="98" t="s">
        <v>915</v>
      </c>
      <c r="E62" s="99" t="s">
        <v>1312</v>
      </c>
      <c r="F62" s="99" t="str">
        <f>VLOOKUP(D62,Master!$V$7:$W$1000,2,FALSE)</f>
        <v>B008</v>
      </c>
      <c r="G62" s="100">
        <f>VLOOKUP(D62,'Menu Bar'!$B$6:$I$1948,8,FALSE)</f>
        <v>10095.084035087719</v>
      </c>
      <c r="H62" s="101">
        <v>29000</v>
      </c>
      <c r="I62" s="102">
        <f t="shared" si="0"/>
        <v>0.34810634603750756</v>
      </c>
      <c r="J62" s="103" t="str">
        <f t="shared" si="1"/>
        <v>Good Price</v>
      </c>
      <c r="K62" s="104">
        <f t="shared" si="9"/>
        <v>30000</v>
      </c>
      <c r="L62" s="104">
        <f t="shared" si="3"/>
        <v>6000</v>
      </c>
      <c r="M62" s="105">
        <f t="shared" si="4"/>
        <v>0.42062850146198827</v>
      </c>
      <c r="N62" s="106" t="str">
        <f t="shared" si="5"/>
        <v>Bad Price</v>
      </c>
      <c r="O62" s="110"/>
      <c r="T62" s="115"/>
      <c r="U62" s="115"/>
      <c r="V62" s="115"/>
      <c r="W62" s="115"/>
      <c r="X62" s="115"/>
      <c r="Y62" s="115"/>
      <c r="Z62" s="115"/>
      <c r="AA62" s="115"/>
      <c r="AB62" s="115"/>
    </row>
    <row r="63" spans="1:28" ht="13">
      <c r="A63" s="97">
        <f t="shared" si="6"/>
        <v>59</v>
      </c>
      <c r="B63" s="72" t="s">
        <v>81</v>
      </c>
      <c r="C63" s="72" t="s">
        <v>33</v>
      </c>
      <c r="D63" s="98" t="s">
        <v>994</v>
      </c>
      <c r="E63" s="99" t="s">
        <v>1313</v>
      </c>
      <c r="F63" s="99" t="str">
        <f>VLOOKUP(D63,Master!$V$7:$W$1000,2,FALSE)</f>
        <v>B033</v>
      </c>
      <c r="G63" s="100">
        <f>VLOOKUP(D63,'Menu Bar'!$B$6:$I$1948,8,FALSE)</f>
        <v>8552.8211578947376</v>
      </c>
      <c r="H63" s="101">
        <v>28000</v>
      </c>
      <c r="I63" s="102">
        <f t="shared" si="0"/>
        <v>0.30545789849624061</v>
      </c>
      <c r="J63" s="103" t="str">
        <f t="shared" si="1"/>
        <v>Good Price</v>
      </c>
      <c r="K63" s="117">
        <v>28000</v>
      </c>
      <c r="L63" s="112">
        <f t="shared" si="3"/>
        <v>5600</v>
      </c>
      <c r="M63" s="113">
        <f t="shared" si="4"/>
        <v>0.38182237312030076</v>
      </c>
      <c r="N63" s="114" t="str">
        <f t="shared" si="5"/>
        <v>Bad Price</v>
      </c>
      <c r="O63" s="109"/>
      <c r="T63" s="115"/>
      <c r="U63" s="115"/>
      <c r="V63" s="115"/>
      <c r="W63" s="115"/>
      <c r="X63" s="115"/>
      <c r="Y63" s="115"/>
      <c r="Z63" s="115"/>
      <c r="AA63" s="115"/>
      <c r="AB63" s="115"/>
    </row>
    <row r="64" spans="1:28" ht="13">
      <c r="A64" s="97">
        <f t="shared" si="6"/>
        <v>60</v>
      </c>
      <c r="B64" s="72" t="s">
        <v>81</v>
      </c>
      <c r="C64" s="72" t="s">
        <v>33</v>
      </c>
      <c r="D64" s="98" t="s">
        <v>997</v>
      </c>
      <c r="E64" s="99" t="s">
        <v>1314</v>
      </c>
      <c r="F64" s="99" t="str">
        <f>VLOOKUP(D64,Master!$V$7:$W$1000,2,FALSE)</f>
        <v>B034</v>
      </c>
      <c r="G64" s="100">
        <f>VLOOKUP(D64,'Menu Bar'!$B$6:$I$1948,8,FALSE)</f>
        <v>6918.3031578947375</v>
      </c>
      <c r="H64" s="101">
        <v>27000</v>
      </c>
      <c r="I64" s="102">
        <f t="shared" si="0"/>
        <v>0.25623345029239769</v>
      </c>
      <c r="J64" s="103" t="str">
        <f t="shared" si="1"/>
        <v>Good Price</v>
      </c>
      <c r="K64" s="117">
        <v>27000</v>
      </c>
      <c r="L64" s="112">
        <f t="shared" si="3"/>
        <v>5400</v>
      </c>
      <c r="M64" s="113">
        <f t="shared" si="4"/>
        <v>0.32029181286549713</v>
      </c>
      <c r="N64" s="114" t="str">
        <f t="shared" si="5"/>
        <v>Good Price</v>
      </c>
      <c r="O64" s="109"/>
      <c r="T64" s="115"/>
      <c r="U64" s="115"/>
      <c r="V64" s="115"/>
      <c r="W64" s="115"/>
      <c r="X64" s="115"/>
      <c r="Y64" s="115"/>
      <c r="Z64" s="115"/>
      <c r="AA64" s="115"/>
      <c r="AB64" s="115"/>
    </row>
    <row r="65" spans="1:19" ht="13">
      <c r="A65" s="97">
        <f t="shared" si="6"/>
        <v>61</v>
      </c>
      <c r="B65" s="72" t="s">
        <v>81</v>
      </c>
      <c r="C65" s="72" t="s">
        <v>33</v>
      </c>
      <c r="D65" s="98" t="s">
        <v>912</v>
      </c>
      <c r="E65" s="99" t="s">
        <v>1315</v>
      </c>
      <c r="F65" s="99" t="str">
        <f>VLOOKUP(D65,Master!$V$7:$W$1000,2,FALSE)</f>
        <v>B007</v>
      </c>
      <c r="G65" s="100">
        <f>VLOOKUP(D65,'Menu Bar'!$B$6:$I$1948,8,FALSE)</f>
        <v>13521.310000000003</v>
      </c>
      <c r="H65" s="101">
        <v>33000</v>
      </c>
      <c r="I65" s="102">
        <f t="shared" si="0"/>
        <v>0.40973666666666675</v>
      </c>
      <c r="J65" s="103" t="str">
        <f t="shared" si="1"/>
        <v>Bad Price</v>
      </c>
      <c r="K65" s="104">
        <f t="shared" ref="K65:K68" si="10">1000+H65</f>
        <v>34000</v>
      </c>
      <c r="L65" s="104">
        <f t="shared" si="3"/>
        <v>6800</v>
      </c>
      <c r="M65" s="105">
        <f t="shared" si="4"/>
        <v>0.49710698529411779</v>
      </c>
      <c r="N65" s="106" t="str">
        <f t="shared" si="5"/>
        <v>Bad Price</v>
      </c>
      <c r="O65" s="110"/>
    </row>
    <row r="66" spans="1:19" ht="13">
      <c r="A66" s="97">
        <f t="shared" si="6"/>
        <v>62</v>
      </c>
      <c r="B66" s="72" t="s">
        <v>81</v>
      </c>
      <c r="C66" s="72" t="s">
        <v>83</v>
      </c>
      <c r="D66" s="98" t="s">
        <v>918</v>
      </c>
      <c r="E66" s="99"/>
      <c r="F66" s="99" t="str">
        <f>VLOOKUP(D66,Master!$V$7:$W$1000,2,FALSE)</f>
        <v>B009</v>
      </c>
      <c r="G66" s="100">
        <f>VLOOKUP(D66,'Menu Bar'!$B$6:$I$1948,8,FALSE)</f>
        <v>6369.347368421053</v>
      </c>
      <c r="H66" s="101">
        <v>27000</v>
      </c>
      <c r="I66" s="102">
        <f t="shared" si="0"/>
        <v>0.23590175438596492</v>
      </c>
      <c r="J66" s="103" t="str">
        <f t="shared" si="1"/>
        <v>Good Price</v>
      </c>
      <c r="K66" s="104">
        <f t="shared" si="10"/>
        <v>28000</v>
      </c>
      <c r="L66" s="104">
        <f t="shared" si="3"/>
        <v>5600</v>
      </c>
      <c r="M66" s="105">
        <f t="shared" si="4"/>
        <v>0.28434586466165418</v>
      </c>
      <c r="N66" s="106" t="str">
        <f t="shared" si="5"/>
        <v>Good Price</v>
      </c>
      <c r="O66" s="109"/>
    </row>
    <row r="67" spans="1:19" ht="13">
      <c r="A67" s="97">
        <f t="shared" si="6"/>
        <v>63</v>
      </c>
      <c r="B67" s="72" t="s">
        <v>81</v>
      </c>
      <c r="C67" s="72" t="s">
        <v>83</v>
      </c>
      <c r="D67" s="98" t="s">
        <v>921</v>
      </c>
      <c r="E67" s="99"/>
      <c r="F67" s="99" t="str">
        <f>VLOOKUP(D67,Master!$V$7:$W$1000,2,FALSE)</f>
        <v>B010</v>
      </c>
      <c r="G67" s="100" t="e">
        <f>VLOOKUP(D67,'Menu Bar'!$B$6:$I$1948,8,FALSE)</f>
        <v>#N/A</v>
      </c>
      <c r="H67" s="101">
        <v>27000</v>
      </c>
      <c r="I67" s="102" t="e">
        <f t="shared" si="0"/>
        <v>#N/A</v>
      </c>
      <c r="J67" s="103" t="e">
        <f t="shared" si="1"/>
        <v>#N/A</v>
      </c>
      <c r="K67" s="104">
        <f t="shared" si="10"/>
        <v>28000</v>
      </c>
      <c r="L67" s="104">
        <f t="shared" si="3"/>
        <v>5600</v>
      </c>
      <c r="M67" s="105" t="e">
        <f t="shared" si="4"/>
        <v>#N/A</v>
      </c>
      <c r="N67" s="106" t="e">
        <f t="shared" si="5"/>
        <v>#N/A</v>
      </c>
      <c r="O67" s="109"/>
    </row>
    <row r="68" spans="1:19" ht="13">
      <c r="A68" s="97">
        <f t="shared" si="6"/>
        <v>64</v>
      </c>
      <c r="B68" s="72" t="s">
        <v>81</v>
      </c>
      <c r="C68" s="72" t="s">
        <v>83</v>
      </c>
      <c r="D68" s="98" t="s">
        <v>924</v>
      </c>
      <c r="E68" s="99"/>
      <c r="F68" s="99" t="str">
        <f>VLOOKUP(D68,Master!$V$7:$W$1000,2,FALSE)</f>
        <v>B010</v>
      </c>
      <c r="G68" s="100">
        <f>VLOOKUP(D68,'Menu Bar'!$B$6:$I$1948,8,FALSE)</f>
        <v>6605.2973684210529</v>
      </c>
      <c r="H68" s="101">
        <v>27000</v>
      </c>
      <c r="I68" s="102">
        <f t="shared" si="0"/>
        <v>0.2446406432748538</v>
      </c>
      <c r="J68" s="103" t="str">
        <f t="shared" si="1"/>
        <v>Good Price</v>
      </c>
      <c r="K68" s="104">
        <f t="shared" si="10"/>
        <v>28000</v>
      </c>
      <c r="L68" s="104">
        <f t="shared" si="3"/>
        <v>5600</v>
      </c>
      <c r="M68" s="105">
        <f t="shared" si="4"/>
        <v>0.29487934680451128</v>
      </c>
      <c r="N68" s="106" t="str">
        <f t="shared" si="5"/>
        <v>Good Price</v>
      </c>
      <c r="O68" s="109"/>
    </row>
    <row r="69" spans="1:19" ht="13">
      <c r="A69" s="97">
        <f t="shared" si="6"/>
        <v>65</v>
      </c>
      <c r="B69" s="72" t="s">
        <v>81</v>
      </c>
      <c r="C69" s="72" t="s">
        <v>140</v>
      </c>
      <c r="D69" s="98" t="s">
        <v>872</v>
      </c>
      <c r="E69" s="99"/>
      <c r="F69" s="99" t="str">
        <f>VLOOKUP(D69,Master!$V$7:$W$1000,2,FALSE)</f>
        <v>M0165</v>
      </c>
      <c r="G69" s="100">
        <f>VLOOKUP(D69,'Menu Bar'!$B$6:$I$1948,8,FALSE)</f>
        <v>7209.3214285714284</v>
      </c>
      <c r="H69" s="101">
        <v>20000</v>
      </c>
      <c r="I69" s="102">
        <f t="shared" si="0"/>
        <v>0.3604660714285714</v>
      </c>
      <c r="J69" s="103" t="str">
        <f t="shared" si="1"/>
        <v>Bad Price</v>
      </c>
      <c r="K69" s="117">
        <v>20000</v>
      </c>
      <c r="L69" s="112">
        <f t="shared" si="3"/>
        <v>4000</v>
      </c>
      <c r="M69" s="113">
        <f t="shared" si="4"/>
        <v>0.45058258928571426</v>
      </c>
      <c r="N69" s="114" t="str">
        <f t="shared" si="5"/>
        <v>Bad Price</v>
      </c>
      <c r="O69" s="110"/>
    </row>
    <row r="70" spans="1:19" ht="13">
      <c r="A70" s="97">
        <f t="shared" si="6"/>
        <v>66</v>
      </c>
      <c r="B70" s="72" t="s">
        <v>81</v>
      </c>
      <c r="C70" s="72" t="s">
        <v>33</v>
      </c>
      <c r="D70" s="22" t="s">
        <v>380</v>
      </c>
      <c r="E70" s="118"/>
      <c r="F70" s="118" t="str">
        <f>VLOOKUP(D70,Master!$V$7:$W$1000,2,FALSE)</f>
        <v>M0047</v>
      </c>
      <c r="G70" s="100">
        <f>VLOOKUP(D70,'Menu Bar'!$B$6:$I$1948,8,FALSE)</f>
        <v>4063.9547368421054</v>
      </c>
      <c r="H70" s="116">
        <v>18000</v>
      </c>
      <c r="I70" s="102">
        <f t="shared" si="0"/>
        <v>0.22577526315789476</v>
      </c>
      <c r="J70" s="103" t="str">
        <f t="shared" si="1"/>
        <v>Good Price</v>
      </c>
      <c r="K70" s="104">
        <f t="shared" ref="K70:K99" si="11">1000+H70</f>
        <v>19000</v>
      </c>
      <c r="L70" s="104">
        <f t="shared" si="3"/>
        <v>3800</v>
      </c>
      <c r="M70" s="105">
        <f t="shared" si="4"/>
        <v>0.26736544321329642</v>
      </c>
      <c r="N70" s="106" t="str">
        <f t="shared" si="5"/>
        <v>Good Price</v>
      </c>
      <c r="O70" s="109"/>
    </row>
    <row r="71" spans="1:19" ht="13">
      <c r="A71" s="97">
        <f t="shared" si="6"/>
        <v>67</v>
      </c>
      <c r="B71" s="72"/>
      <c r="C71" s="72"/>
      <c r="D71" s="22"/>
      <c r="E71" s="72" t="s">
        <v>1316</v>
      </c>
      <c r="F71" s="119"/>
      <c r="G71" s="120"/>
      <c r="H71" s="116">
        <v>26000</v>
      </c>
      <c r="I71" s="102"/>
      <c r="J71" s="103"/>
      <c r="K71" s="104">
        <f t="shared" si="11"/>
        <v>27000</v>
      </c>
      <c r="L71" s="104">
        <f t="shared" si="3"/>
        <v>5400</v>
      </c>
      <c r="M71" s="105">
        <f t="shared" si="4"/>
        <v>0</v>
      </c>
      <c r="N71" s="106" t="str">
        <f t="shared" si="5"/>
        <v>Good Price</v>
      </c>
      <c r="O71" s="109"/>
    </row>
    <row r="72" spans="1:19" ht="13">
      <c r="A72" s="97">
        <f t="shared" si="6"/>
        <v>68</v>
      </c>
      <c r="B72" s="72"/>
      <c r="C72" s="72"/>
      <c r="D72" s="22"/>
      <c r="E72" s="72" t="s">
        <v>1317</v>
      </c>
      <c r="F72" s="119"/>
      <c r="G72" s="120"/>
      <c r="H72" s="116">
        <v>26000</v>
      </c>
      <c r="I72" s="102"/>
      <c r="J72" s="103"/>
      <c r="K72" s="104">
        <f t="shared" si="11"/>
        <v>27000</v>
      </c>
      <c r="L72" s="104">
        <f t="shared" si="3"/>
        <v>5400</v>
      </c>
      <c r="M72" s="105">
        <f t="shared" si="4"/>
        <v>0</v>
      </c>
      <c r="N72" s="106" t="str">
        <f t="shared" si="5"/>
        <v>Good Price</v>
      </c>
      <c r="O72" s="109"/>
    </row>
    <row r="73" spans="1:19" ht="13">
      <c r="A73" s="97">
        <f t="shared" si="6"/>
        <v>69</v>
      </c>
      <c r="B73" s="72"/>
      <c r="C73" s="72"/>
      <c r="D73" s="22"/>
      <c r="E73" s="72" t="s">
        <v>1318</v>
      </c>
      <c r="F73" s="119"/>
      <c r="G73" s="120"/>
      <c r="H73" s="116">
        <v>28000</v>
      </c>
      <c r="I73" s="102"/>
      <c r="J73" s="103"/>
      <c r="K73" s="104">
        <f t="shared" si="11"/>
        <v>29000</v>
      </c>
      <c r="L73" s="104">
        <f t="shared" si="3"/>
        <v>5800</v>
      </c>
      <c r="M73" s="105">
        <f t="shared" si="4"/>
        <v>0</v>
      </c>
      <c r="N73" s="106" t="str">
        <f t="shared" si="5"/>
        <v>Good Price</v>
      </c>
      <c r="O73" s="109"/>
    </row>
    <row r="74" spans="1:19" ht="13">
      <c r="A74" s="97">
        <f t="shared" si="6"/>
        <v>70</v>
      </c>
      <c r="B74" s="72"/>
      <c r="C74" s="72"/>
      <c r="D74" s="22"/>
      <c r="E74" s="72" t="s">
        <v>1319</v>
      </c>
      <c r="F74" s="119"/>
      <c r="G74" s="120"/>
      <c r="H74" s="116">
        <v>22000</v>
      </c>
      <c r="I74" s="102"/>
      <c r="J74" s="103"/>
      <c r="K74" s="104">
        <f t="shared" si="11"/>
        <v>23000</v>
      </c>
      <c r="L74" s="104">
        <f t="shared" si="3"/>
        <v>4600</v>
      </c>
      <c r="M74" s="105">
        <f t="shared" si="4"/>
        <v>0</v>
      </c>
      <c r="N74" s="106" t="str">
        <f t="shared" si="5"/>
        <v>Good Price</v>
      </c>
      <c r="O74" s="109"/>
    </row>
    <row r="75" spans="1:19" ht="13">
      <c r="A75" s="97">
        <f t="shared" si="6"/>
        <v>71</v>
      </c>
      <c r="B75" s="72"/>
      <c r="C75" s="72"/>
      <c r="D75" s="22"/>
      <c r="E75" s="72" t="s">
        <v>1320</v>
      </c>
      <c r="F75" s="119"/>
      <c r="G75" s="120"/>
      <c r="H75" s="116">
        <v>24000</v>
      </c>
      <c r="I75" s="102"/>
      <c r="J75" s="103"/>
      <c r="K75" s="104">
        <f t="shared" si="11"/>
        <v>25000</v>
      </c>
      <c r="L75" s="104">
        <f t="shared" si="3"/>
        <v>5000</v>
      </c>
      <c r="M75" s="105">
        <f t="shared" si="4"/>
        <v>0</v>
      </c>
      <c r="N75" s="106" t="str">
        <f t="shared" si="5"/>
        <v>Good Price</v>
      </c>
      <c r="O75" s="109"/>
    </row>
    <row r="76" spans="1:19" ht="13">
      <c r="A76" s="97">
        <f t="shared" si="6"/>
        <v>72</v>
      </c>
      <c r="B76" s="72"/>
      <c r="C76" s="72"/>
      <c r="D76" s="22"/>
      <c r="E76" s="72" t="s">
        <v>1321</v>
      </c>
      <c r="F76" s="119"/>
      <c r="G76" s="120"/>
      <c r="H76" s="116">
        <v>26000</v>
      </c>
      <c r="I76" s="102"/>
      <c r="J76" s="103"/>
      <c r="K76" s="104">
        <f t="shared" si="11"/>
        <v>27000</v>
      </c>
      <c r="L76" s="104">
        <f t="shared" si="3"/>
        <v>5400</v>
      </c>
      <c r="M76" s="105">
        <f t="shared" si="4"/>
        <v>0</v>
      </c>
      <c r="N76" s="106" t="str">
        <f t="shared" si="5"/>
        <v>Good Price</v>
      </c>
      <c r="O76" s="109"/>
    </row>
    <row r="77" spans="1:19" ht="13">
      <c r="A77" s="97">
        <f t="shared" si="6"/>
        <v>73</v>
      </c>
      <c r="B77" s="72"/>
      <c r="C77" s="72"/>
      <c r="D77" s="22"/>
      <c r="E77" s="72" t="s">
        <v>1322</v>
      </c>
      <c r="F77" s="119"/>
      <c r="G77" s="120"/>
      <c r="H77" s="116">
        <v>24000</v>
      </c>
      <c r="I77" s="102"/>
      <c r="J77" s="103"/>
      <c r="K77" s="104">
        <f t="shared" si="11"/>
        <v>25000</v>
      </c>
      <c r="L77" s="104">
        <f t="shared" si="3"/>
        <v>5000</v>
      </c>
      <c r="M77" s="105">
        <f t="shared" si="4"/>
        <v>0</v>
      </c>
      <c r="N77" s="106" t="str">
        <f t="shared" si="5"/>
        <v>Good Price</v>
      </c>
      <c r="O77" s="109"/>
    </row>
    <row r="78" spans="1:19" ht="13">
      <c r="A78" s="97">
        <f t="shared" si="6"/>
        <v>74</v>
      </c>
      <c r="B78" s="72"/>
      <c r="C78" s="72"/>
      <c r="D78" s="22"/>
      <c r="E78" s="72" t="s">
        <v>1025</v>
      </c>
      <c r="F78" s="119"/>
      <c r="G78" s="100">
        <f>VLOOKUP(E78,'Menu Bar'!$B$6:$J$1982,8,FALSE)</f>
        <v>9198.892935672513</v>
      </c>
      <c r="H78" s="116">
        <v>28000</v>
      </c>
      <c r="I78" s="102">
        <f t="shared" ref="I78:I80" si="12">G78/H78</f>
        <v>0.32853189055973259</v>
      </c>
      <c r="J78" s="103" t="str">
        <f t="shared" ref="J78:J80" si="13">IF(I78&lt;=$J$2,"Good Price","Bad Price")</f>
        <v>Good Price</v>
      </c>
      <c r="K78" s="104">
        <f t="shared" si="11"/>
        <v>29000</v>
      </c>
      <c r="L78" s="104">
        <f t="shared" si="3"/>
        <v>5800</v>
      </c>
      <c r="M78" s="105">
        <f t="shared" si="4"/>
        <v>0.39650400584795314</v>
      </c>
      <c r="N78" s="106" t="str">
        <f t="shared" si="5"/>
        <v>Bad Price</v>
      </c>
      <c r="O78" s="109"/>
    </row>
    <row r="79" spans="1:19" ht="13">
      <c r="A79" s="97">
        <f t="shared" si="6"/>
        <v>75</v>
      </c>
      <c r="B79" s="72"/>
      <c r="C79" s="72"/>
      <c r="D79" s="22"/>
      <c r="E79" s="72" t="s">
        <v>1029</v>
      </c>
      <c r="F79" s="119"/>
      <c r="G79" s="100">
        <f>VLOOKUP(E79,'Menu Bar'!$B$6:$J$1982,8,FALSE)</f>
        <v>4503.3031578947375</v>
      </c>
      <c r="H79" s="116">
        <v>28000</v>
      </c>
      <c r="I79" s="102">
        <f t="shared" si="12"/>
        <v>0.16083225563909778</v>
      </c>
      <c r="J79" s="103" t="str">
        <f t="shared" si="13"/>
        <v>Good Price</v>
      </c>
      <c r="K79" s="104">
        <f t="shared" si="11"/>
        <v>29000</v>
      </c>
      <c r="L79" s="104">
        <f t="shared" si="3"/>
        <v>5800</v>
      </c>
      <c r="M79" s="105">
        <f t="shared" si="4"/>
        <v>0.19410789473684215</v>
      </c>
      <c r="N79" s="106" t="str">
        <f t="shared" si="5"/>
        <v>Good Price</v>
      </c>
      <c r="O79" s="121"/>
      <c r="P79" s="4"/>
      <c r="Q79" s="4"/>
      <c r="R79" s="4"/>
      <c r="S79" s="4"/>
    </row>
    <row r="80" spans="1:19" ht="13">
      <c r="A80" s="97">
        <f t="shared" si="6"/>
        <v>76</v>
      </c>
      <c r="B80" s="72"/>
      <c r="C80" s="72"/>
      <c r="D80" s="22"/>
      <c r="E80" s="72" t="s">
        <v>1032</v>
      </c>
      <c r="F80" s="119"/>
      <c r="G80" s="100">
        <f>VLOOKUP(E80,'Menu Bar'!$B$6:$J$1982,8,FALSE)</f>
        <v>7848.3871111111121</v>
      </c>
      <c r="H80" s="116">
        <v>28000</v>
      </c>
      <c r="I80" s="102">
        <f t="shared" si="12"/>
        <v>0.28029953968253973</v>
      </c>
      <c r="J80" s="103" t="str">
        <f t="shared" si="13"/>
        <v>Good Price</v>
      </c>
      <c r="K80" s="104">
        <f t="shared" si="11"/>
        <v>29000</v>
      </c>
      <c r="L80" s="104">
        <f t="shared" si="3"/>
        <v>5800</v>
      </c>
      <c r="M80" s="105">
        <f t="shared" si="4"/>
        <v>0.33829254789272034</v>
      </c>
      <c r="N80" s="106" t="str">
        <f t="shared" si="5"/>
        <v>Good Price</v>
      </c>
      <c r="O80" s="121"/>
      <c r="P80" s="4"/>
      <c r="Q80" s="4"/>
      <c r="R80" s="4"/>
      <c r="S80" s="4"/>
    </row>
    <row r="81" spans="1:28" ht="13">
      <c r="A81" s="97">
        <f t="shared" si="6"/>
        <v>77</v>
      </c>
      <c r="B81" s="72"/>
      <c r="C81" s="72"/>
      <c r="D81" s="22"/>
      <c r="E81" s="122"/>
      <c r="F81" s="122" t="s">
        <v>1283</v>
      </c>
      <c r="G81" s="120" t="s">
        <v>1283</v>
      </c>
      <c r="H81" s="116" t="s">
        <v>1283</v>
      </c>
      <c r="I81" s="102" t="s">
        <v>1283</v>
      </c>
      <c r="J81" s="103" t="s">
        <v>1283</v>
      </c>
      <c r="K81" s="104" t="e">
        <f t="shared" si="11"/>
        <v>#VALUE!</v>
      </c>
      <c r="L81" s="104" t="e">
        <f t="shared" si="3"/>
        <v>#VALUE!</v>
      </c>
      <c r="M81" s="105" t="e">
        <f t="shared" si="4"/>
        <v>#VALUE!</v>
      </c>
      <c r="N81" s="106" t="e">
        <f t="shared" si="5"/>
        <v>#VALUE!</v>
      </c>
      <c r="O81" s="121"/>
      <c r="P81" s="4"/>
      <c r="Q81" s="4"/>
      <c r="R81" s="4"/>
      <c r="S81" s="4"/>
    </row>
    <row r="82" spans="1:28" ht="13">
      <c r="A82" s="97">
        <f t="shared" si="6"/>
        <v>78</v>
      </c>
      <c r="B82" s="72" t="s">
        <v>28</v>
      </c>
      <c r="C82" s="22" t="s">
        <v>117</v>
      </c>
      <c r="D82" s="98" t="s">
        <v>568</v>
      </c>
      <c r="E82" s="22"/>
      <c r="F82" s="22" t="str">
        <f>VLOOKUP(D82,Master!$V$7:$W$1000,2,FALSE)</f>
        <v>M0095</v>
      </c>
      <c r="G82" s="100">
        <f>VLOOKUP(D82,'Menu Kitchen'!$B$6:$I$2085,8,FALSE)</f>
        <v>8580.154814814814</v>
      </c>
      <c r="H82" s="101">
        <v>20000</v>
      </c>
      <c r="I82" s="102">
        <f t="shared" ref="I82:I144" si="14">G82/H82</f>
        <v>0.42900774074074072</v>
      </c>
      <c r="J82" s="103" t="str">
        <f t="shared" ref="J82:J144" si="15">IF(I82&lt;=$J$2,"Good Price","Bad Price")</f>
        <v>Bad Price</v>
      </c>
      <c r="K82" s="104">
        <f t="shared" si="11"/>
        <v>21000</v>
      </c>
      <c r="L82" s="104">
        <f t="shared" si="3"/>
        <v>4200</v>
      </c>
      <c r="M82" s="105">
        <f t="shared" si="4"/>
        <v>0.51072350088183416</v>
      </c>
      <c r="N82" s="106" t="str">
        <f t="shared" si="5"/>
        <v>Bad Price</v>
      </c>
      <c r="O82" s="123"/>
      <c r="P82" s="4"/>
      <c r="Q82" s="4"/>
      <c r="R82" s="4"/>
      <c r="S82" s="4"/>
    </row>
    <row r="83" spans="1:28" ht="13">
      <c r="A83" s="97">
        <f t="shared" si="6"/>
        <v>79</v>
      </c>
      <c r="B83" s="72" t="s">
        <v>28</v>
      </c>
      <c r="C83" s="22" t="s">
        <v>117</v>
      </c>
      <c r="D83" s="98" t="s">
        <v>400</v>
      </c>
      <c r="E83" s="22"/>
      <c r="F83" s="22" t="str">
        <f>VLOOKUP(D83,Master!$V$7:$W$1000,2,FALSE)</f>
        <v>M0052</v>
      </c>
      <c r="G83" s="100">
        <f>VLOOKUP(D83,'Menu Kitchen'!$B$6:$I$2085,8,FALSE)</f>
        <v>8253.52</v>
      </c>
      <c r="H83" s="101">
        <v>17000</v>
      </c>
      <c r="I83" s="102">
        <f t="shared" si="14"/>
        <v>0.48550117647058827</v>
      </c>
      <c r="J83" s="103" t="str">
        <f t="shared" si="15"/>
        <v>Bad Price</v>
      </c>
      <c r="K83" s="104">
        <f t="shared" si="11"/>
        <v>18000</v>
      </c>
      <c r="L83" s="104">
        <f t="shared" si="3"/>
        <v>3600</v>
      </c>
      <c r="M83" s="105">
        <f t="shared" si="4"/>
        <v>0.57316111111111112</v>
      </c>
      <c r="N83" s="106" t="str">
        <f t="shared" si="5"/>
        <v>Bad Price</v>
      </c>
      <c r="O83" s="123"/>
      <c r="P83" s="4"/>
      <c r="Q83" s="4"/>
      <c r="R83" s="4"/>
      <c r="S83" s="4"/>
    </row>
    <row r="84" spans="1:28" ht="13">
      <c r="A84" s="97">
        <f t="shared" si="6"/>
        <v>80</v>
      </c>
      <c r="B84" s="72" t="s">
        <v>28</v>
      </c>
      <c r="C84" s="22" t="s">
        <v>104</v>
      </c>
      <c r="D84" s="98" t="s">
        <v>404</v>
      </c>
      <c r="E84" s="22"/>
      <c r="F84" s="22" t="str">
        <f>VLOOKUP(D84,Master!$V$7:$W$1000,2,FALSE)</f>
        <v>M0053</v>
      </c>
      <c r="G84" s="100">
        <f>VLOOKUP(D84,'Menu Kitchen'!$B$6:$I$2085,8,FALSE)</f>
        <v>8964.4683333333323</v>
      </c>
      <c r="H84" s="101">
        <v>22000</v>
      </c>
      <c r="I84" s="102">
        <f t="shared" si="14"/>
        <v>0.40747583333333331</v>
      </c>
      <c r="J84" s="103" t="str">
        <f t="shared" si="15"/>
        <v>Bad Price</v>
      </c>
      <c r="K84" s="104">
        <f t="shared" si="11"/>
        <v>23000</v>
      </c>
      <c r="L84" s="104">
        <f t="shared" si="3"/>
        <v>4600</v>
      </c>
      <c r="M84" s="105">
        <f t="shared" si="4"/>
        <v>0.48719936594202895</v>
      </c>
      <c r="N84" s="106" t="str">
        <f t="shared" si="5"/>
        <v>Bad Price</v>
      </c>
      <c r="O84" s="123"/>
      <c r="P84" s="4"/>
      <c r="Q84" s="4"/>
      <c r="R84" s="4"/>
      <c r="S84" s="4"/>
    </row>
    <row r="85" spans="1:28" ht="13">
      <c r="A85" s="97">
        <f t="shared" si="6"/>
        <v>81</v>
      </c>
      <c r="B85" s="72" t="s">
        <v>28</v>
      </c>
      <c r="C85" s="22" t="s">
        <v>104</v>
      </c>
      <c r="D85" s="98" t="s">
        <v>584</v>
      </c>
      <c r="E85" s="22"/>
      <c r="F85" s="22" t="str">
        <f>VLOOKUP(D85,Master!$V$7:$W$1000,2,FALSE)</f>
        <v>M0099</v>
      </c>
      <c r="G85" s="100">
        <f>VLOOKUP(D85,'Menu Kitchen'!$B$6:$I$2085,8,FALSE)</f>
        <v>9150.35</v>
      </c>
      <c r="H85" s="101">
        <v>22000</v>
      </c>
      <c r="I85" s="102">
        <f t="shared" si="14"/>
        <v>0.41592499999999999</v>
      </c>
      <c r="J85" s="103" t="str">
        <f t="shared" si="15"/>
        <v>Bad Price</v>
      </c>
      <c r="K85" s="104">
        <f t="shared" si="11"/>
        <v>23000</v>
      </c>
      <c r="L85" s="104">
        <f t="shared" si="3"/>
        <v>4600</v>
      </c>
      <c r="M85" s="105">
        <f t="shared" si="4"/>
        <v>0.49730163043478265</v>
      </c>
      <c r="N85" s="106" t="str">
        <f t="shared" si="5"/>
        <v>Bad Price</v>
      </c>
      <c r="O85" s="123"/>
      <c r="P85" s="4"/>
      <c r="Q85" s="4"/>
      <c r="R85" s="4"/>
      <c r="S85" s="4"/>
      <c r="T85" s="115"/>
      <c r="U85" s="115"/>
      <c r="V85" s="115"/>
      <c r="W85" s="115"/>
      <c r="X85" s="115"/>
      <c r="Y85" s="115"/>
      <c r="Z85" s="115"/>
      <c r="AA85" s="115"/>
      <c r="AB85" s="115"/>
    </row>
    <row r="86" spans="1:28" ht="13">
      <c r="A86" s="97">
        <f t="shared" si="6"/>
        <v>82</v>
      </c>
      <c r="B86" s="72" t="s">
        <v>28</v>
      </c>
      <c r="C86" s="22" t="s">
        <v>117</v>
      </c>
      <c r="D86" s="98" t="s">
        <v>396</v>
      </c>
      <c r="E86" s="22" t="s">
        <v>1323</v>
      </c>
      <c r="F86" s="22" t="str">
        <f>VLOOKUP(D86,Master!$V$7:$W$1000,2,FALSE)</f>
        <v>M0051</v>
      </c>
      <c r="G86" s="100">
        <f>VLOOKUP(D86,'Menu Kitchen'!$B$6:$I$2085,8,FALSE)</f>
        <v>9465.2962962962956</v>
      </c>
      <c r="H86" s="101">
        <v>19000</v>
      </c>
      <c r="I86" s="102">
        <f t="shared" si="14"/>
        <v>0.49817348927875238</v>
      </c>
      <c r="J86" s="103" t="str">
        <f t="shared" si="15"/>
        <v>Bad Price</v>
      </c>
      <c r="K86" s="104">
        <f t="shared" si="11"/>
        <v>20000</v>
      </c>
      <c r="L86" s="104">
        <f t="shared" si="3"/>
        <v>4000</v>
      </c>
      <c r="M86" s="105">
        <f t="shared" si="4"/>
        <v>0.59158101851851852</v>
      </c>
      <c r="N86" s="106" t="str">
        <f t="shared" si="5"/>
        <v>Bad Price</v>
      </c>
      <c r="O86" s="123"/>
      <c r="P86" s="4"/>
      <c r="Q86" s="4"/>
      <c r="R86" s="4"/>
      <c r="S86" s="4"/>
      <c r="T86" s="115"/>
      <c r="U86" s="115"/>
      <c r="V86" s="115"/>
      <c r="W86" s="115"/>
      <c r="X86" s="115"/>
      <c r="Y86" s="115"/>
      <c r="Z86" s="115"/>
      <c r="AA86" s="115"/>
      <c r="AB86" s="115"/>
    </row>
    <row r="87" spans="1:28" ht="13">
      <c r="A87" s="97">
        <f t="shared" si="6"/>
        <v>83</v>
      </c>
      <c r="B87" s="72" t="s">
        <v>28</v>
      </c>
      <c r="C87" s="22" t="s">
        <v>117</v>
      </c>
      <c r="D87" s="98" t="s">
        <v>392</v>
      </c>
      <c r="E87" s="22"/>
      <c r="F87" s="22" t="str">
        <f>VLOOKUP(D87,Master!$V$7:$W$1000,2,FALSE)</f>
        <v>M0050</v>
      </c>
      <c r="G87" s="100">
        <f>VLOOKUP(D87,'Menu Kitchen'!$B$6:$I$2085,8,FALSE)</f>
        <v>9404.34</v>
      </c>
      <c r="H87" s="101">
        <v>20000</v>
      </c>
      <c r="I87" s="102">
        <f t="shared" si="14"/>
        <v>0.470217</v>
      </c>
      <c r="J87" s="103" t="str">
        <f t="shared" si="15"/>
        <v>Bad Price</v>
      </c>
      <c r="K87" s="104">
        <f t="shared" si="11"/>
        <v>21000</v>
      </c>
      <c r="L87" s="104">
        <f t="shared" si="3"/>
        <v>4200</v>
      </c>
      <c r="M87" s="105">
        <f t="shared" si="4"/>
        <v>0.55978214285714289</v>
      </c>
      <c r="N87" s="106" t="str">
        <f t="shared" si="5"/>
        <v>Bad Price</v>
      </c>
      <c r="O87" s="123"/>
      <c r="P87" s="4"/>
      <c r="Q87" s="4"/>
      <c r="R87" s="4"/>
      <c r="S87" s="4"/>
      <c r="T87" s="115"/>
      <c r="U87" s="115"/>
      <c r="V87" s="115"/>
      <c r="W87" s="115"/>
      <c r="X87" s="115"/>
      <c r="Y87" s="115"/>
      <c r="Z87" s="115"/>
      <c r="AA87" s="115"/>
      <c r="AB87" s="115"/>
    </row>
    <row r="88" spans="1:28" ht="13">
      <c r="A88" s="97">
        <f t="shared" si="6"/>
        <v>84</v>
      </c>
      <c r="B88" s="72" t="s">
        <v>28</v>
      </c>
      <c r="C88" s="22" t="s">
        <v>117</v>
      </c>
      <c r="D88" s="98" t="s">
        <v>388</v>
      </c>
      <c r="E88" s="22"/>
      <c r="F88" s="22" t="str">
        <f>VLOOKUP(D88,Master!$V$7:$W$1000,2,FALSE)</f>
        <v>M0049</v>
      </c>
      <c r="G88" s="100">
        <f>VLOOKUP(D88,'Menu Kitchen'!$B$6:$I$2085,8,FALSE)</f>
        <v>4868.2149999999992</v>
      </c>
      <c r="H88" s="101">
        <v>20000</v>
      </c>
      <c r="I88" s="102">
        <f t="shared" si="14"/>
        <v>0.24341074999999995</v>
      </c>
      <c r="J88" s="103" t="str">
        <f t="shared" si="15"/>
        <v>Good Price</v>
      </c>
      <c r="K88" s="104">
        <f t="shared" si="11"/>
        <v>21000</v>
      </c>
      <c r="L88" s="104">
        <f t="shared" si="3"/>
        <v>4200</v>
      </c>
      <c r="M88" s="105">
        <f t="shared" si="4"/>
        <v>0.28977470238095232</v>
      </c>
      <c r="N88" s="106" t="str">
        <f t="shared" si="5"/>
        <v>Good Price</v>
      </c>
      <c r="O88" s="121"/>
      <c r="P88" s="4"/>
      <c r="Q88" s="4"/>
      <c r="R88" s="4"/>
      <c r="S88" s="4"/>
      <c r="T88" s="115"/>
      <c r="U88" s="115"/>
      <c r="V88" s="115"/>
      <c r="W88" s="115"/>
      <c r="X88" s="115"/>
      <c r="Y88" s="115"/>
      <c r="Z88" s="115"/>
      <c r="AA88" s="115"/>
      <c r="AB88" s="115"/>
    </row>
    <row r="89" spans="1:28" ht="13">
      <c r="A89" s="97">
        <f t="shared" si="6"/>
        <v>85</v>
      </c>
      <c r="B89" s="72" t="s">
        <v>28</v>
      </c>
      <c r="C89" s="22" t="s">
        <v>117</v>
      </c>
      <c r="D89" s="98" t="s">
        <v>957</v>
      </c>
      <c r="E89" s="22"/>
      <c r="F89" s="22" t="str">
        <f>VLOOKUP(D89,Master!$V$7:$W$1000,2,FALSE)</f>
        <v>B021</v>
      </c>
      <c r="G89" s="100">
        <f>VLOOKUP(D89,'Menu Kitchen'!$B$6:$I$2085,8,FALSE)</f>
        <v>9631.796166666667</v>
      </c>
      <c r="H89" s="101">
        <v>19000</v>
      </c>
      <c r="I89" s="102">
        <f t="shared" si="14"/>
        <v>0.50693664035087715</v>
      </c>
      <c r="J89" s="103" t="str">
        <f t="shared" si="15"/>
        <v>Bad Price</v>
      </c>
      <c r="K89" s="104">
        <f t="shared" si="11"/>
        <v>20000</v>
      </c>
      <c r="L89" s="104">
        <f t="shared" si="3"/>
        <v>4000</v>
      </c>
      <c r="M89" s="105">
        <f t="shared" si="4"/>
        <v>0.60198726041666673</v>
      </c>
      <c r="N89" s="106" t="str">
        <f t="shared" si="5"/>
        <v>Bad Price</v>
      </c>
      <c r="O89" s="123"/>
      <c r="P89" s="4"/>
      <c r="Q89" s="4"/>
      <c r="R89" s="4"/>
      <c r="S89" s="4"/>
      <c r="T89" s="115"/>
      <c r="U89" s="115"/>
      <c r="V89" s="115"/>
      <c r="W89" s="115"/>
      <c r="X89" s="115"/>
      <c r="Y89" s="115"/>
      <c r="Z89" s="115"/>
      <c r="AA89" s="115"/>
      <c r="AB89" s="115"/>
    </row>
    <row r="90" spans="1:28" ht="13">
      <c r="A90" s="97">
        <f t="shared" si="6"/>
        <v>86</v>
      </c>
      <c r="B90" s="72" t="s">
        <v>28</v>
      </c>
      <c r="C90" s="22" t="s">
        <v>117</v>
      </c>
      <c r="D90" s="98" t="s">
        <v>960</v>
      </c>
      <c r="E90" s="22" t="s">
        <v>1324</v>
      </c>
      <c r="F90" s="22" t="str">
        <f>VLOOKUP(D90,Master!$V$7:$W$1000,2,FALSE)</f>
        <v>B022</v>
      </c>
      <c r="G90" s="100">
        <f>VLOOKUP(D90,'Menu Kitchen'!$B$6:$I$2085,8,FALSE)</f>
        <v>5615.1310416666665</v>
      </c>
      <c r="H90" s="101">
        <v>17000</v>
      </c>
      <c r="I90" s="102">
        <f t="shared" si="14"/>
        <v>0.33030182598039215</v>
      </c>
      <c r="J90" s="103" t="str">
        <f t="shared" si="15"/>
        <v>Good Price</v>
      </c>
      <c r="K90" s="104">
        <f t="shared" si="11"/>
        <v>18000</v>
      </c>
      <c r="L90" s="104">
        <f t="shared" si="3"/>
        <v>3600</v>
      </c>
      <c r="M90" s="105">
        <f t="shared" si="4"/>
        <v>0.38993965567129629</v>
      </c>
      <c r="N90" s="106" t="str">
        <f t="shared" si="5"/>
        <v>Bad Price</v>
      </c>
      <c r="O90" s="123"/>
      <c r="P90" s="4"/>
      <c r="Q90" s="4"/>
      <c r="R90" s="4"/>
      <c r="S90" s="4"/>
      <c r="T90" s="115"/>
      <c r="U90" s="115"/>
      <c r="V90" s="115"/>
      <c r="W90" s="115"/>
      <c r="X90" s="115"/>
      <c r="Y90" s="115"/>
      <c r="Z90" s="115"/>
      <c r="AA90" s="115"/>
      <c r="AB90" s="115"/>
    </row>
    <row r="91" spans="1:28" ht="13">
      <c r="A91" s="97">
        <f t="shared" si="6"/>
        <v>87</v>
      </c>
      <c r="B91" s="72" t="s">
        <v>28</v>
      </c>
      <c r="C91" s="22" t="s">
        <v>104</v>
      </c>
      <c r="D91" s="98" t="s">
        <v>984</v>
      </c>
      <c r="E91" s="22"/>
      <c r="F91" s="22" t="str">
        <f>VLOOKUP(D91,Master!$V$7:$W$1000,2,FALSE)</f>
        <v>B030</v>
      </c>
      <c r="G91" s="100">
        <f>VLOOKUP(D91,'Menu Kitchen'!$B$6:$I$2085,8,FALSE)</f>
        <v>8102.3111052631575</v>
      </c>
      <c r="H91" s="101">
        <v>25000</v>
      </c>
      <c r="I91" s="102">
        <f t="shared" si="14"/>
        <v>0.3240924442105263</v>
      </c>
      <c r="J91" s="103" t="str">
        <f t="shared" si="15"/>
        <v>Good Price</v>
      </c>
      <c r="K91" s="104">
        <f t="shared" si="11"/>
        <v>26000</v>
      </c>
      <c r="L91" s="104">
        <f t="shared" si="3"/>
        <v>5200</v>
      </c>
      <c r="M91" s="105">
        <f t="shared" si="4"/>
        <v>0.38953418775303644</v>
      </c>
      <c r="N91" s="106" t="str">
        <f t="shared" si="5"/>
        <v>Bad Price</v>
      </c>
      <c r="O91" s="123"/>
      <c r="P91" s="4"/>
      <c r="Q91" s="4"/>
      <c r="R91" s="4"/>
      <c r="S91" s="4"/>
      <c r="T91" s="115"/>
      <c r="U91" s="115"/>
      <c r="V91" s="115"/>
      <c r="W91" s="115"/>
      <c r="X91" s="115"/>
      <c r="Y91" s="115"/>
      <c r="Z91" s="115"/>
      <c r="AA91" s="115"/>
      <c r="AB91" s="115"/>
    </row>
    <row r="92" spans="1:28" ht="13">
      <c r="A92" s="97">
        <f t="shared" si="6"/>
        <v>88</v>
      </c>
      <c r="B92" s="72" t="s">
        <v>28</v>
      </c>
      <c r="C92" s="22" t="s">
        <v>117</v>
      </c>
      <c r="D92" s="98" t="s">
        <v>966</v>
      </c>
      <c r="E92" s="22"/>
      <c r="F92" s="22" t="str">
        <f>VLOOKUP(D92,Master!$V$7:$W$1000,2,FALSE)</f>
        <v>B024</v>
      </c>
      <c r="G92" s="100">
        <f>VLOOKUP(D92,'Menu Kitchen'!$B$6:$I$2085,8,FALSE)</f>
        <v>6553.8</v>
      </c>
      <c r="H92" s="101">
        <v>20000</v>
      </c>
      <c r="I92" s="102">
        <f t="shared" si="14"/>
        <v>0.32769000000000004</v>
      </c>
      <c r="J92" s="103" t="str">
        <f t="shared" si="15"/>
        <v>Good Price</v>
      </c>
      <c r="K92" s="104">
        <f t="shared" si="11"/>
        <v>21000</v>
      </c>
      <c r="L92" s="104">
        <f t="shared" si="3"/>
        <v>4200</v>
      </c>
      <c r="M92" s="105">
        <f t="shared" si="4"/>
        <v>0.39010714285714287</v>
      </c>
      <c r="N92" s="106" t="str">
        <f t="shared" si="5"/>
        <v>Bad Price</v>
      </c>
      <c r="O92" s="123"/>
      <c r="P92" s="4"/>
      <c r="Q92" s="4"/>
      <c r="R92" s="4"/>
      <c r="S92" s="4"/>
      <c r="T92" s="115"/>
      <c r="U92" s="115"/>
      <c r="V92" s="115"/>
      <c r="W92" s="115"/>
      <c r="X92" s="115"/>
      <c r="Y92" s="115"/>
      <c r="Z92" s="115"/>
      <c r="AA92" s="115"/>
      <c r="AB92" s="115"/>
    </row>
    <row r="93" spans="1:28" ht="13">
      <c r="A93" s="97">
        <f t="shared" si="6"/>
        <v>89</v>
      </c>
      <c r="B93" s="72" t="s">
        <v>28</v>
      </c>
      <c r="C93" s="22" t="s">
        <v>165</v>
      </c>
      <c r="D93" s="98" t="s">
        <v>327</v>
      </c>
      <c r="E93" s="22"/>
      <c r="F93" s="22" t="str">
        <f>VLOOKUP(D93,Master!$V$7:$W$1000,2,FALSE)</f>
        <v>S001</v>
      </c>
      <c r="G93" s="100">
        <f>VLOOKUP(D93,'Production Kitchen'!B9:L1030,10,FALSE)</f>
        <v>1620.3421595707248</v>
      </c>
      <c r="H93" s="101">
        <v>4000</v>
      </c>
      <c r="I93" s="102">
        <f t="shared" si="14"/>
        <v>0.4050855398926812</v>
      </c>
      <c r="J93" s="103" t="str">
        <f t="shared" si="15"/>
        <v>Bad Price</v>
      </c>
      <c r="K93" s="104">
        <f t="shared" si="11"/>
        <v>5000</v>
      </c>
      <c r="L93" s="104">
        <f t="shared" si="3"/>
        <v>1000</v>
      </c>
      <c r="M93" s="105">
        <f t="shared" si="4"/>
        <v>0.4050855398926812</v>
      </c>
      <c r="N93" s="106" t="str">
        <f t="shared" si="5"/>
        <v>Bad Price</v>
      </c>
      <c r="O93" s="123"/>
      <c r="P93" s="4"/>
      <c r="Q93" s="4"/>
      <c r="R93" s="4"/>
      <c r="S93" s="4"/>
      <c r="T93" s="115"/>
      <c r="U93" s="115"/>
      <c r="V93" s="115"/>
      <c r="W93" s="115"/>
      <c r="X93" s="115"/>
      <c r="Y93" s="115"/>
      <c r="Z93" s="115"/>
      <c r="AA93" s="115"/>
      <c r="AB93" s="115"/>
    </row>
    <row r="94" spans="1:28" ht="13">
      <c r="A94" s="97">
        <f t="shared" si="6"/>
        <v>90</v>
      </c>
      <c r="B94" s="72" t="s">
        <v>28</v>
      </c>
      <c r="C94" s="22" t="s">
        <v>165</v>
      </c>
      <c r="D94" s="98" t="s">
        <v>332</v>
      </c>
      <c r="E94" s="22"/>
      <c r="F94" s="22" t="str">
        <f>VLOOKUP(D94,Master!$V$7:$W$1000,2,FALSE)</f>
        <v>S002</v>
      </c>
      <c r="G94" s="100">
        <f>VLOOKUP(D94,'Production Kitchen'!B9:L1031,10,FALSE)</f>
        <v>1296.7193489326767</v>
      </c>
      <c r="H94" s="101">
        <v>4000</v>
      </c>
      <c r="I94" s="102">
        <f t="shared" si="14"/>
        <v>0.32417983723316918</v>
      </c>
      <c r="J94" s="103" t="str">
        <f t="shared" si="15"/>
        <v>Good Price</v>
      </c>
      <c r="K94" s="104">
        <f t="shared" si="11"/>
        <v>5000</v>
      </c>
      <c r="L94" s="104">
        <f t="shared" si="3"/>
        <v>1000</v>
      </c>
      <c r="M94" s="105">
        <f t="shared" si="4"/>
        <v>0.32417983723316918</v>
      </c>
      <c r="N94" s="106" t="str">
        <f t="shared" si="5"/>
        <v>Good Price</v>
      </c>
      <c r="O94" s="123"/>
      <c r="P94" s="4"/>
      <c r="Q94" s="4"/>
      <c r="R94" s="4"/>
      <c r="S94" s="4"/>
      <c r="T94" s="115"/>
      <c r="U94" s="115"/>
      <c r="V94" s="115"/>
      <c r="W94" s="115"/>
      <c r="X94" s="115"/>
      <c r="Y94" s="115"/>
      <c r="Z94" s="115"/>
      <c r="AA94" s="115"/>
      <c r="AB94" s="115"/>
    </row>
    <row r="95" spans="1:28" ht="13">
      <c r="A95" s="97">
        <f t="shared" si="6"/>
        <v>91</v>
      </c>
      <c r="B95" s="72" t="s">
        <v>28</v>
      </c>
      <c r="C95" s="22" t="s">
        <v>165</v>
      </c>
      <c r="D95" s="98" t="s">
        <v>356</v>
      </c>
      <c r="E95" s="22"/>
      <c r="F95" s="22" t="str">
        <f>VLOOKUP(D95,Master!$V$7:$W$1000,2,FALSE)</f>
        <v>S007</v>
      </c>
      <c r="G95" s="100">
        <f>VLOOKUP(D95,'Production Kitchen'!B9:L1032,10,FALSE)</f>
        <v>501.69300779967159</v>
      </c>
      <c r="H95" s="101">
        <v>4000</v>
      </c>
      <c r="I95" s="102">
        <f t="shared" si="14"/>
        <v>0.12542325194991791</v>
      </c>
      <c r="J95" s="103" t="str">
        <f t="shared" si="15"/>
        <v>Good Price</v>
      </c>
      <c r="K95" s="104">
        <f t="shared" si="11"/>
        <v>5000</v>
      </c>
      <c r="L95" s="104">
        <f t="shared" si="3"/>
        <v>1000</v>
      </c>
      <c r="M95" s="105">
        <f t="shared" si="4"/>
        <v>0.12542325194991791</v>
      </c>
      <c r="N95" s="106" t="str">
        <f t="shared" si="5"/>
        <v>Good Price</v>
      </c>
      <c r="O95" s="121"/>
      <c r="P95" s="4"/>
      <c r="Q95" s="4"/>
      <c r="R95" s="4"/>
      <c r="S95" s="4"/>
      <c r="T95" s="115"/>
      <c r="U95" s="115"/>
      <c r="V95" s="115"/>
      <c r="W95" s="115"/>
      <c r="X95" s="115"/>
      <c r="Y95" s="115"/>
      <c r="Z95" s="115"/>
      <c r="AA95" s="115"/>
      <c r="AB95" s="115"/>
    </row>
    <row r="96" spans="1:28" ht="13">
      <c r="A96" s="97">
        <f t="shared" si="6"/>
        <v>92</v>
      </c>
      <c r="B96" s="72" t="s">
        <v>28</v>
      </c>
      <c r="C96" s="22" t="s">
        <v>165</v>
      </c>
      <c r="D96" s="98" t="s">
        <v>342</v>
      </c>
      <c r="E96" s="22"/>
      <c r="F96" s="22" t="str">
        <f>VLOOKUP(D96,Master!$V$7:$W$1000,2,FALSE)</f>
        <v>S004</v>
      </c>
      <c r="G96" s="100">
        <f>VLOOKUP(D96,'Production Kitchen'!B9:L1033,10,FALSE)</f>
        <v>797.86044495609337</v>
      </c>
      <c r="H96" s="101">
        <v>4000</v>
      </c>
      <c r="I96" s="102">
        <f t="shared" si="14"/>
        <v>0.19946511123902336</v>
      </c>
      <c r="J96" s="103" t="str">
        <f t="shared" si="15"/>
        <v>Good Price</v>
      </c>
      <c r="K96" s="104">
        <f t="shared" si="11"/>
        <v>5000</v>
      </c>
      <c r="L96" s="104">
        <f t="shared" si="3"/>
        <v>1000</v>
      </c>
      <c r="M96" s="105">
        <f t="shared" si="4"/>
        <v>0.19946511123902336</v>
      </c>
      <c r="N96" s="106" t="str">
        <f t="shared" si="5"/>
        <v>Good Price</v>
      </c>
      <c r="O96" s="121"/>
      <c r="P96" s="4"/>
      <c r="Q96" s="4"/>
      <c r="R96" s="4"/>
      <c r="S96" s="4"/>
      <c r="T96" s="115"/>
      <c r="U96" s="115"/>
      <c r="V96" s="115"/>
      <c r="W96" s="115"/>
      <c r="X96" s="115"/>
      <c r="Y96" s="115"/>
      <c r="Z96" s="115"/>
      <c r="AA96" s="115"/>
      <c r="AB96" s="115"/>
    </row>
    <row r="97" spans="1:28" ht="13">
      <c r="A97" s="97">
        <f t="shared" si="6"/>
        <v>93</v>
      </c>
      <c r="B97" s="72" t="s">
        <v>28</v>
      </c>
      <c r="C97" s="22" t="s">
        <v>165</v>
      </c>
      <c r="D97" s="98" t="s">
        <v>337</v>
      </c>
      <c r="E97" s="22"/>
      <c r="F97" s="22" t="str">
        <f>VLOOKUP(D97,Master!$V$7:$W$1000,2,FALSE)</f>
        <v>S003</v>
      </c>
      <c r="G97" s="100">
        <f>VLOOKUP(D97,'Production Kitchen'!B9:L1034,10,FALSE)</f>
        <v>1053.4386978653531</v>
      </c>
      <c r="H97" s="101">
        <v>4000</v>
      </c>
      <c r="I97" s="102">
        <f t="shared" si="14"/>
        <v>0.26335967446633829</v>
      </c>
      <c r="J97" s="103" t="str">
        <f t="shared" si="15"/>
        <v>Good Price</v>
      </c>
      <c r="K97" s="104">
        <f t="shared" si="11"/>
        <v>5000</v>
      </c>
      <c r="L97" s="104">
        <f t="shared" si="3"/>
        <v>1000</v>
      </c>
      <c r="M97" s="105">
        <f t="shared" si="4"/>
        <v>0.26335967446633829</v>
      </c>
      <c r="N97" s="106" t="str">
        <f t="shared" si="5"/>
        <v>Good Price</v>
      </c>
      <c r="O97" s="121"/>
      <c r="P97" s="4"/>
      <c r="Q97" s="4"/>
      <c r="R97" s="4"/>
      <c r="S97" s="4"/>
      <c r="T97" s="115"/>
      <c r="U97" s="115"/>
      <c r="V97" s="115"/>
      <c r="W97" s="115"/>
      <c r="X97" s="115"/>
      <c r="Y97" s="115"/>
      <c r="Z97" s="115"/>
      <c r="AA97" s="115"/>
      <c r="AB97" s="115"/>
    </row>
    <row r="98" spans="1:28" ht="13">
      <c r="A98" s="97">
        <f t="shared" si="6"/>
        <v>94</v>
      </c>
      <c r="B98" s="72" t="s">
        <v>28</v>
      </c>
      <c r="C98" s="22" t="s">
        <v>165</v>
      </c>
      <c r="D98" s="98" t="s">
        <v>347</v>
      </c>
      <c r="E98" s="22"/>
      <c r="F98" s="22" t="str">
        <f>VLOOKUP(D98,Master!$V$7:$W$1000,2,FALSE)</f>
        <v>S005</v>
      </c>
      <c r="G98" s="100">
        <f>VLOOKUP(D98,'Production Kitchen'!B9:L1035,10,FALSE)</f>
        <v>1341.4338092406999</v>
      </c>
      <c r="H98" s="101">
        <v>4000</v>
      </c>
      <c r="I98" s="102">
        <f t="shared" si="14"/>
        <v>0.33535845231017497</v>
      </c>
      <c r="J98" s="103" t="str">
        <f t="shared" si="15"/>
        <v>Good Price</v>
      </c>
      <c r="K98" s="104">
        <f t="shared" si="11"/>
        <v>5000</v>
      </c>
      <c r="L98" s="104">
        <f t="shared" si="3"/>
        <v>1000</v>
      </c>
      <c r="M98" s="105">
        <f t="shared" si="4"/>
        <v>0.33535845231017497</v>
      </c>
      <c r="N98" s="106" t="str">
        <f t="shared" si="5"/>
        <v>Good Price</v>
      </c>
      <c r="O98" s="123"/>
      <c r="P98" s="4"/>
      <c r="Q98" s="4"/>
      <c r="R98" s="4"/>
      <c r="S98" s="4"/>
      <c r="T98" s="115"/>
      <c r="U98" s="115"/>
      <c r="V98" s="115"/>
      <c r="W98" s="115"/>
      <c r="X98" s="115"/>
      <c r="Y98" s="115"/>
      <c r="Z98" s="115"/>
      <c r="AA98" s="115"/>
      <c r="AB98" s="115"/>
    </row>
    <row r="99" spans="1:28" ht="13">
      <c r="A99" s="97">
        <f t="shared" si="6"/>
        <v>95</v>
      </c>
      <c r="B99" s="72" t="s">
        <v>28</v>
      </c>
      <c r="C99" s="22" t="s">
        <v>165</v>
      </c>
      <c r="D99" s="98" t="s">
        <v>352</v>
      </c>
      <c r="E99" s="22"/>
      <c r="F99" s="22" t="str">
        <f>VLOOKUP(D99,Master!$V$7:$W$1000,2,FALSE)</f>
        <v>S006</v>
      </c>
      <c r="G99" s="100">
        <f>VLOOKUP(D99,'Production Kitchen'!B9:L1036,10,FALSE)</f>
        <v>1193.8487792487686</v>
      </c>
      <c r="H99" s="101">
        <v>4000</v>
      </c>
      <c r="I99" s="102">
        <f t="shared" si="14"/>
        <v>0.29846219481219216</v>
      </c>
      <c r="J99" s="103" t="str">
        <f t="shared" si="15"/>
        <v>Good Price</v>
      </c>
      <c r="K99" s="104">
        <f t="shared" si="11"/>
        <v>5000</v>
      </c>
      <c r="L99" s="104">
        <f t="shared" si="3"/>
        <v>1000</v>
      </c>
      <c r="M99" s="105">
        <f t="shared" si="4"/>
        <v>0.29846219481219216</v>
      </c>
      <c r="N99" s="106" t="str">
        <f t="shared" si="5"/>
        <v>Good Price</v>
      </c>
      <c r="O99" s="121"/>
      <c r="P99" s="4"/>
      <c r="Q99" s="4"/>
      <c r="R99" s="4"/>
      <c r="S99" s="4"/>
      <c r="T99" s="115"/>
      <c r="U99" s="115"/>
      <c r="V99" s="115"/>
      <c r="W99" s="115"/>
      <c r="X99" s="115"/>
      <c r="Y99" s="115"/>
      <c r="Z99" s="115"/>
      <c r="AA99" s="115"/>
      <c r="AB99" s="115"/>
    </row>
    <row r="100" spans="1:28" ht="13">
      <c r="A100" s="97">
        <f t="shared" si="6"/>
        <v>96</v>
      </c>
      <c r="B100" s="72" t="s">
        <v>28</v>
      </c>
      <c r="C100" s="22" t="s">
        <v>140</v>
      </c>
      <c r="D100" s="98" t="s">
        <v>903</v>
      </c>
      <c r="E100" s="22" t="s">
        <v>1325</v>
      </c>
      <c r="F100" s="22" t="str">
        <f>VLOOKUP(D100,Master!$V$7:$W$1000,2,FALSE)</f>
        <v>B004</v>
      </c>
      <c r="G100" s="100">
        <f>VLOOKUP(D100,'Menu Kitchen'!$B$6:$I$2085,8,FALSE)</f>
        <v>14382.316666666666</v>
      </c>
      <c r="H100" s="101">
        <v>35000</v>
      </c>
      <c r="I100" s="102">
        <f t="shared" si="14"/>
        <v>0.41092333333333331</v>
      </c>
      <c r="J100" s="103" t="str">
        <f t="shared" si="15"/>
        <v>Bad Price</v>
      </c>
      <c r="K100" s="112">
        <v>35000</v>
      </c>
      <c r="L100" s="112">
        <f t="shared" si="3"/>
        <v>7000</v>
      </c>
      <c r="M100" s="113">
        <f t="shared" si="4"/>
        <v>0.51365416666666663</v>
      </c>
      <c r="N100" s="114" t="str">
        <f t="shared" si="5"/>
        <v>Bad Price</v>
      </c>
      <c r="O100" s="123"/>
      <c r="P100" s="4"/>
      <c r="Q100" s="4"/>
      <c r="R100" s="4"/>
      <c r="S100" s="4"/>
      <c r="T100" s="115"/>
      <c r="U100" s="115"/>
      <c r="V100" s="115"/>
      <c r="W100" s="115"/>
      <c r="X100" s="115"/>
      <c r="Y100" s="115"/>
      <c r="Z100" s="115"/>
      <c r="AA100" s="115"/>
      <c r="AB100" s="115"/>
    </row>
    <row r="101" spans="1:28" ht="13">
      <c r="A101" s="97">
        <f t="shared" si="6"/>
        <v>97</v>
      </c>
      <c r="B101" s="72" t="s">
        <v>28</v>
      </c>
      <c r="C101" s="22" t="s">
        <v>140</v>
      </c>
      <c r="D101" s="98" t="s">
        <v>900</v>
      </c>
      <c r="E101" s="22" t="s">
        <v>1326</v>
      </c>
      <c r="F101" s="22" t="str">
        <f>VLOOKUP(D101,Master!$V$7:$W$1000,2,FALSE)</f>
        <v>B003</v>
      </c>
      <c r="G101" s="100">
        <f>VLOOKUP(D101,'Menu Kitchen'!$B$6:$I$2085,8,FALSE)</f>
        <v>5467</v>
      </c>
      <c r="H101" s="101">
        <v>20000</v>
      </c>
      <c r="I101" s="102">
        <f t="shared" si="14"/>
        <v>0.27334999999999998</v>
      </c>
      <c r="J101" s="103" t="str">
        <f t="shared" si="15"/>
        <v>Good Price</v>
      </c>
      <c r="K101" s="104">
        <f t="shared" ref="K101:K104" si="16">1000+H101</f>
        <v>21000</v>
      </c>
      <c r="L101" s="104">
        <f t="shared" si="3"/>
        <v>4200</v>
      </c>
      <c r="M101" s="105">
        <f t="shared" si="4"/>
        <v>0.32541666666666669</v>
      </c>
      <c r="N101" s="106" t="str">
        <f t="shared" si="5"/>
        <v>Good Price</v>
      </c>
      <c r="O101" s="121"/>
      <c r="P101" s="4"/>
      <c r="Q101" s="4"/>
      <c r="R101" s="4"/>
      <c r="S101" s="4"/>
      <c r="T101" s="115"/>
      <c r="U101" s="115"/>
      <c r="V101" s="115"/>
      <c r="W101" s="115"/>
      <c r="X101" s="115"/>
      <c r="Y101" s="115"/>
      <c r="Z101" s="115"/>
      <c r="AA101" s="115"/>
      <c r="AB101" s="115"/>
    </row>
    <row r="102" spans="1:28" ht="13">
      <c r="A102" s="97">
        <f t="shared" si="6"/>
        <v>98</v>
      </c>
      <c r="B102" s="72" t="s">
        <v>28</v>
      </c>
      <c r="C102" s="22" t="s">
        <v>117</v>
      </c>
      <c r="D102" s="98" t="s">
        <v>897</v>
      </c>
      <c r="E102" s="22"/>
      <c r="F102" s="22" t="str">
        <f>VLOOKUP(D102,Master!$V$7:$W$1000,2,FALSE)</f>
        <v>B002</v>
      </c>
      <c r="G102" s="100">
        <f>VLOOKUP(D102,'Menu Kitchen'!$B$6:$I$2085,8,FALSE)</f>
        <v>5989.8666666666677</v>
      </c>
      <c r="H102" s="101">
        <v>17000</v>
      </c>
      <c r="I102" s="102">
        <f t="shared" si="14"/>
        <v>0.35234509803921576</v>
      </c>
      <c r="J102" s="103" t="str">
        <f t="shared" si="15"/>
        <v>Good Price</v>
      </c>
      <c r="K102" s="104">
        <f t="shared" si="16"/>
        <v>18000</v>
      </c>
      <c r="L102" s="104">
        <f t="shared" si="3"/>
        <v>3600</v>
      </c>
      <c r="M102" s="105">
        <f t="shared" si="4"/>
        <v>0.41596296296296303</v>
      </c>
      <c r="N102" s="106" t="str">
        <f t="shared" si="5"/>
        <v>Bad Price</v>
      </c>
      <c r="O102" s="123"/>
      <c r="P102" s="4"/>
      <c r="Q102" s="4"/>
      <c r="R102" s="4"/>
      <c r="S102" s="4"/>
      <c r="T102" s="115"/>
      <c r="U102" s="115"/>
      <c r="V102" s="115"/>
      <c r="W102" s="115"/>
      <c r="X102" s="115"/>
      <c r="Y102" s="115"/>
      <c r="Z102" s="115"/>
      <c r="AA102" s="115"/>
      <c r="AB102" s="115"/>
    </row>
    <row r="103" spans="1:28" ht="13">
      <c r="A103" s="97">
        <f t="shared" si="6"/>
        <v>99</v>
      </c>
      <c r="B103" s="72" t="s">
        <v>28</v>
      </c>
      <c r="C103" s="22" t="s">
        <v>117</v>
      </c>
      <c r="D103" s="98" t="s">
        <v>981</v>
      </c>
      <c r="E103" s="22"/>
      <c r="F103" s="22" t="str">
        <f>VLOOKUP(D103,Master!$V$7:$W$1000,2,FALSE)</f>
        <v>B029</v>
      </c>
      <c r="G103" s="100">
        <f>VLOOKUP(D103,'Menu Kitchen'!$B$6:$I$2085,8,FALSE)</f>
        <v>5271.75</v>
      </c>
      <c r="H103" s="101">
        <v>20000</v>
      </c>
      <c r="I103" s="102">
        <f t="shared" si="14"/>
        <v>0.26358749999999997</v>
      </c>
      <c r="J103" s="103" t="str">
        <f t="shared" si="15"/>
        <v>Good Price</v>
      </c>
      <c r="K103" s="104">
        <f t="shared" si="16"/>
        <v>21000</v>
      </c>
      <c r="L103" s="104">
        <f t="shared" si="3"/>
        <v>4200</v>
      </c>
      <c r="M103" s="105">
        <f t="shared" si="4"/>
        <v>0.31379464285714287</v>
      </c>
      <c r="N103" s="106" t="str">
        <f t="shared" si="5"/>
        <v>Good Price</v>
      </c>
      <c r="O103" s="121"/>
      <c r="P103" s="4"/>
      <c r="Q103" s="4"/>
      <c r="R103" s="4"/>
      <c r="S103" s="4"/>
    </row>
    <row r="104" spans="1:28" ht="13">
      <c r="A104" s="97">
        <f t="shared" si="6"/>
        <v>100</v>
      </c>
      <c r="B104" s="72" t="s">
        <v>28</v>
      </c>
      <c r="C104" s="22" t="s">
        <v>104</v>
      </c>
      <c r="D104" s="98" t="s">
        <v>894</v>
      </c>
      <c r="E104" s="22" t="s">
        <v>1327</v>
      </c>
      <c r="F104" s="22" t="str">
        <f>VLOOKUP(D104,Master!$V$7:$W$1000,2,FALSE)</f>
        <v>B001</v>
      </c>
      <c r="G104" s="100">
        <f>VLOOKUP(D104,'Menu Kitchen'!$B$6:$I$2085,8,FALSE)</f>
        <v>14623.235000000001</v>
      </c>
      <c r="H104" s="101">
        <v>30000</v>
      </c>
      <c r="I104" s="102">
        <f t="shared" si="14"/>
        <v>0.4874411666666667</v>
      </c>
      <c r="J104" s="103" t="str">
        <f t="shared" si="15"/>
        <v>Bad Price</v>
      </c>
      <c r="K104" s="104">
        <f t="shared" si="16"/>
        <v>31000</v>
      </c>
      <c r="L104" s="104">
        <f t="shared" si="3"/>
        <v>6200</v>
      </c>
      <c r="M104" s="105">
        <f t="shared" si="4"/>
        <v>0.58964657258064523</v>
      </c>
      <c r="N104" s="106" t="str">
        <f t="shared" si="5"/>
        <v>Bad Price</v>
      </c>
      <c r="O104" s="123"/>
      <c r="P104" s="4"/>
      <c r="Q104" s="4"/>
      <c r="R104" s="4"/>
      <c r="S104" s="4"/>
      <c r="T104" s="115"/>
      <c r="U104" s="115"/>
      <c r="V104" s="115"/>
      <c r="W104" s="115"/>
      <c r="X104" s="115"/>
      <c r="Y104" s="115"/>
      <c r="Z104" s="115"/>
      <c r="AA104" s="115"/>
      <c r="AB104" s="115"/>
    </row>
    <row r="105" spans="1:28" ht="13">
      <c r="A105" s="97">
        <f t="shared" si="6"/>
        <v>101</v>
      </c>
      <c r="B105" s="72" t="s">
        <v>28</v>
      </c>
      <c r="C105" s="22" t="s">
        <v>129</v>
      </c>
      <c r="D105" s="98" t="s">
        <v>682</v>
      </c>
      <c r="E105" s="22"/>
      <c r="F105" s="22" t="str">
        <f>VLOOKUP(D105,Master!$V$7:$W$1000,2,FALSE)</f>
        <v>M0124</v>
      </c>
      <c r="G105" s="100">
        <f>VLOOKUP(D105,'Menu Kitchen'!$B$6:$I$2085,8,FALSE)</f>
        <v>16296.699762573098</v>
      </c>
      <c r="H105" s="101">
        <v>60000</v>
      </c>
      <c r="I105" s="102">
        <f t="shared" si="14"/>
        <v>0.27161166270955162</v>
      </c>
      <c r="J105" s="103" t="str">
        <f t="shared" si="15"/>
        <v>Good Price</v>
      </c>
      <c r="K105" s="112">
        <v>60000</v>
      </c>
      <c r="L105" s="112">
        <f t="shared" si="3"/>
        <v>12000</v>
      </c>
      <c r="M105" s="113">
        <f t="shared" si="4"/>
        <v>0.33951457838693955</v>
      </c>
      <c r="N105" s="114" t="str">
        <f t="shared" si="5"/>
        <v>Good Price</v>
      </c>
      <c r="O105" s="121"/>
      <c r="P105" s="4"/>
      <c r="Q105" s="4"/>
      <c r="R105" s="4"/>
      <c r="S105" s="4"/>
      <c r="T105" s="115"/>
      <c r="U105" s="115"/>
      <c r="V105" s="115"/>
      <c r="W105" s="115"/>
      <c r="X105" s="115"/>
      <c r="Y105" s="115"/>
      <c r="Z105" s="115"/>
      <c r="AA105" s="115"/>
      <c r="AB105" s="115"/>
    </row>
    <row r="106" spans="1:28" ht="13">
      <c r="A106" s="97">
        <f t="shared" si="6"/>
        <v>102</v>
      </c>
      <c r="B106" s="72" t="s">
        <v>28</v>
      </c>
      <c r="C106" s="22" t="s">
        <v>129</v>
      </c>
      <c r="D106" s="98" t="s">
        <v>673</v>
      </c>
      <c r="E106" s="22"/>
      <c r="F106" s="22" t="str">
        <f>VLOOKUP(D106,Master!$V$7:$W$1000,2,FALSE)</f>
        <v>M0122</v>
      </c>
      <c r="G106" s="100">
        <f>VLOOKUP(D106,'Menu Kitchen'!$B$6:$I$2085,8,FALSE)</f>
        <v>16609.0997625731</v>
      </c>
      <c r="H106" s="101">
        <v>55000</v>
      </c>
      <c r="I106" s="102">
        <f t="shared" si="14"/>
        <v>0.30198363204678363</v>
      </c>
      <c r="J106" s="103" t="str">
        <f t="shared" si="15"/>
        <v>Good Price</v>
      </c>
      <c r="K106" s="112">
        <v>55000</v>
      </c>
      <c r="L106" s="112">
        <f t="shared" si="3"/>
        <v>11000</v>
      </c>
      <c r="M106" s="113">
        <f t="shared" si="4"/>
        <v>0.37747954005847956</v>
      </c>
      <c r="N106" s="114" t="str">
        <f t="shared" si="5"/>
        <v>Good Price</v>
      </c>
      <c r="O106" s="121"/>
      <c r="P106" s="4"/>
      <c r="Q106" s="4"/>
      <c r="R106" s="4"/>
      <c r="S106" s="4"/>
    </row>
    <row r="107" spans="1:28" ht="13">
      <c r="A107" s="97">
        <f t="shared" si="6"/>
        <v>103</v>
      </c>
      <c r="B107" s="72" t="s">
        <v>28</v>
      </c>
      <c r="C107" s="22" t="s">
        <v>129</v>
      </c>
      <c r="D107" s="98" t="s">
        <v>678</v>
      </c>
      <c r="E107" s="22"/>
      <c r="F107" s="22" t="str">
        <f>VLOOKUP(D107,Master!$V$7:$W$1000,2,FALSE)</f>
        <v>M0123</v>
      </c>
      <c r="G107" s="100">
        <f>VLOOKUP(D107,'Menu Kitchen'!$B$6:$I$2085,8,FALSE)</f>
        <v>12000.099762573098</v>
      </c>
      <c r="H107" s="101">
        <v>50000</v>
      </c>
      <c r="I107" s="102">
        <f t="shared" si="14"/>
        <v>0.24000199525146196</v>
      </c>
      <c r="J107" s="103" t="str">
        <f t="shared" si="15"/>
        <v>Good Price</v>
      </c>
      <c r="K107" s="112">
        <v>50000</v>
      </c>
      <c r="L107" s="112">
        <f t="shared" si="3"/>
        <v>10000</v>
      </c>
      <c r="M107" s="113">
        <f t="shared" si="4"/>
        <v>0.30000249406432744</v>
      </c>
      <c r="N107" s="114" t="str">
        <f t="shared" si="5"/>
        <v>Good Price</v>
      </c>
      <c r="O107" s="121"/>
      <c r="P107" s="4"/>
      <c r="Q107" s="4"/>
      <c r="R107" s="4"/>
      <c r="S107" s="4"/>
      <c r="T107" s="115"/>
      <c r="U107" s="115"/>
      <c r="V107" s="115"/>
      <c r="W107" s="115"/>
      <c r="X107" s="115"/>
      <c r="Y107" s="115"/>
      <c r="Z107" s="115"/>
      <c r="AA107" s="115"/>
      <c r="AB107" s="115"/>
    </row>
    <row r="108" spans="1:28" ht="13">
      <c r="A108" s="97">
        <f t="shared" si="6"/>
        <v>104</v>
      </c>
      <c r="B108" s="72" t="s">
        <v>28</v>
      </c>
      <c r="C108" s="22" t="s">
        <v>129</v>
      </c>
      <c r="D108" s="98" t="s">
        <v>710</v>
      </c>
      <c r="E108" s="22"/>
      <c r="F108" s="22" t="str">
        <f>VLOOKUP(D108,Master!$V$7:$W$1000,2,FALSE)</f>
        <v>M0131</v>
      </c>
      <c r="G108" s="100">
        <f>VLOOKUP(D108,'Menu Kitchen'!$B$6:$I$2085,8,FALSE)</f>
        <v>13827.199762573098</v>
      </c>
      <c r="H108" s="101">
        <v>50000</v>
      </c>
      <c r="I108" s="102">
        <f t="shared" si="14"/>
        <v>0.27654399525146195</v>
      </c>
      <c r="J108" s="103" t="str">
        <f t="shared" si="15"/>
        <v>Good Price</v>
      </c>
      <c r="K108" s="112">
        <v>50000</v>
      </c>
      <c r="L108" s="112">
        <f t="shared" si="3"/>
        <v>10000</v>
      </c>
      <c r="M108" s="113">
        <f t="shared" si="4"/>
        <v>0.34567999406432748</v>
      </c>
      <c r="N108" s="114" t="str">
        <f t="shared" si="5"/>
        <v>Good Price</v>
      </c>
      <c r="O108" s="121"/>
      <c r="P108" s="4"/>
      <c r="Q108" s="4"/>
      <c r="R108" s="4"/>
      <c r="S108" s="4"/>
    </row>
    <row r="109" spans="1:28" ht="13">
      <c r="A109" s="97">
        <f t="shared" si="6"/>
        <v>105</v>
      </c>
      <c r="B109" s="72" t="s">
        <v>28</v>
      </c>
      <c r="C109" s="22" t="s">
        <v>117</v>
      </c>
      <c r="D109" s="98" t="s">
        <v>450</v>
      </c>
      <c r="E109" s="22"/>
      <c r="F109" s="22" t="str">
        <f>VLOOKUP(D109,Master!$V$7:$W$1000,2,FALSE)</f>
        <v>M0065</v>
      </c>
      <c r="G109" s="100">
        <f>VLOOKUP(D109,'Menu Kitchen'!$B$6:$I$2085,8,FALSE)</f>
        <v>19310.518333333337</v>
      </c>
      <c r="H109" s="101">
        <v>43000</v>
      </c>
      <c r="I109" s="102">
        <f t="shared" si="14"/>
        <v>0.44908182170542643</v>
      </c>
      <c r="J109" s="103" t="str">
        <f t="shared" si="15"/>
        <v>Bad Price</v>
      </c>
      <c r="K109" s="104">
        <f t="shared" ref="K109:K113" si="17">1000+H109</f>
        <v>44000</v>
      </c>
      <c r="L109" s="104">
        <f t="shared" si="3"/>
        <v>8800</v>
      </c>
      <c r="M109" s="105">
        <f t="shared" si="4"/>
        <v>0.54859427083333345</v>
      </c>
      <c r="N109" s="106" t="str">
        <f t="shared" si="5"/>
        <v>Bad Price</v>
      </c>
      <c r="O109" s="123"/>
      <c r="P109" s="4"/>
      <c r="Q109" s="4"/>
      <c r="R109" s="4"/>
      <c r="S109" s="4"/>
    </row>
    <row r="110" spans="1:28" ht="13">
      <c r="A110" s="97">
        <f t="shared" si="6"/>
        <v>106</v>
      </c>
      <c r="B110" s="72" t="s">
        <v>28</v>
      </c>
      <c r="C110" s="22" t="s">
        <v>104</v>
      </c>
      <c r="D110" s="98" t="s">
        <v>618</v>
      </c>
      <c r="E110" s="22"/>
      <c r="F110" s="22" t="str">
        <f>VLOOKUP(D110,Master!$V$7:$W$1000,2,FALSE)</f>
        <v>M0108</v>
      </c>
      <c r="G110" s="100">
        <f>VLOOKUP(D110,'Menu Kitchen'!$B$6:$I$2085,8,FALSE)</f>
        <v>14131.725923878512</v>
      </c>
      <c r="H110" s="101">
        <v>30000</v>
      </c>
      <c r="I110" s="102">
        <f t="shared" si="14"/>
        <v>0.47105753079595042</v>
      </c>
      <c r="J110" s="103" t="str">
        <f t="shared" si="15"/>
        <v>Bad Price</v>
      </c>
      <c r="K110" s="104">
        <f t="shared" si="17"/>
        <v>31000</v>
      </c>
      <c r="L110" s="104">
        <f t="shared" si="3"/>
        <v>6200</v>
      </c>
      <c r="M110" s="105">
        <f t="shared" si="4"/>
        <v>0.56982765822090775</v>
      </c>
      <c r="N110" s="106" t="str">
        <f t="shared" si="5"/>
        <v>Bad Price</v>
      </c>
      <c r="O110" s="123"/>
      <c r="P110" s="4"/>
      <c r="Q110" s="4"/>
      <c r="R110" s="4"/>
      <c r="S110" s="4"/>
    </row>
    <row r="111" spans="1:28" ht="13">
      <c r="A111" s="97">
        <f t="shared" si="6"/>
        <v>107</v>
      </c>
      <c r="B111" s="72" t="s">
        <v>28</v>
      </c>
      <c r="C111" s="22" t="s">
        <v>104</v>
      </c>
      <c r="D111" s="98" t="s">
        <v>612</v>
      </c>
      <c r="E111" s="22"/>
      <c r="F111" s="22" t="str">
        <f>VLOOKUP(D111,Master!$V$7:$W$1000,2,FALSE)</f>
        <v>M0106</v>
      </c>
      <c r="G111" s="100">
        <f>VLOOKUP(D111,'Menu Kitchen'!$B$6:$I$2085,8,FALSE)</f>
        <v>12316.975257211843</v>
      </c>
      <c r="H111" s="101">
        <v>30000</v>
      </c>
      <c r="I111" s="102">
        <f t="shared" si="14"/>
        <v>0.41056584190706141</v>
      </c>
      <c r="J111" s="103" t="str">
        <f t="shared" si="15"/>
        <v>Bad Price</v>
      </c>
      <c r="K111" s="104">
        <f t="shared" si="17"/>
        <v>31000</v>
      </c>
      <c r="L111" s="104">
        <f t="shared" si="3"/>
        <v>6200</v>
      </c>
      <c r="M111" s="105">
        <f t="shared" si="4"/>
        <v>0.49665222811338078</v>
      </c>
      <c r="N111" s="106" t="str">
        <f t="shared" si="5"/>
        <v>Bad Price</v>
      </c>
      <c r="O111" s="123"/>
      <c r="P111" s="4"/>
      <c r="Q111" s="4"/>
      <c r="R111" s="4"/>
      <c r="S111" s="4"/>
    </row>
    <row r="112" spans="1:28" ht="13">
      <c r="A112" s="97">
        <f t="shared" si="6"/>
        <v>108</v>
      </c>
      <c r="B112" s="72" t="s">
        <v>28</v>
      </c>
      <c r="C112" s="22" t="s">
        <v>104</v>
      </c>
      <c r="D112" s="98" t="s">
        <v>629</v>
      </c>
      <c r="E112" s="22"/>
      <c r="F112" s="22" t="str">
        <f>VLOOKUP(D112,Master!$V$7:$W$1000,2,FALSE)</f>
        <v>M0111</v>
      </c>
      <c r="G112" s="100">
        <f>VLOOKUP(D112,'Menu Kitchen'!$B$6:$I$2085,8,FALSE)</f>
        <v>12616.147469545958</v>
      </c>
      <c r="H112" s="101">
        <v>30000</v>
      </c>
      <c r="I112" s="102">
        <f t="shared" si="14"/>
        <v>0.4205382489848653</v>
      </c>
      <c r="J112" s="103" t="str">
        <f t="shared" si="15"/>
        <v>Bad Price</v>
      </c>
      <c r="K112" s="104">
        <f t="shared" si="17"/>
        <v>31000</v>
      </c>
      <c r="L112" s="104">
        <f t="shared" si="3"/>
        <v>6200</v>
      </c>
      <c r="M112" s="105">
        <f t="shared" si="4"/>
        <v>0.5087156237720144</v>
      </c>
      <c r="N112" s="106" t="str">
        <f t="shared" si="5"/>
        <v>Bad Price</v>
      </c>
      <c r="O112" s="123"/>
      <c r="P112" s="4"/>
      <c r="Q112" s="4"/>
      <c r="R112" s="4"/>
      <c r="S112" s="4"/>
    </row>
    <row r="113" spans="1:28" ht="13">
      <c r="A113" s="97">
        <f t="shared" si="6"/>
        <v>109</v>
      </c>
      <c r="B113" s="72" t="s">
        <v>28</v>
      </c>
      <c r="C113" s="22" t="s">
        <v>104</v>
      </c>
      <c r="D113" s="98" t="s">
        <v>633</v>
      </c>
      <c r="E113" s="22"/>
      <c r="F113" s="22" t="str">
        <f>VLOOKUP(D113,Master!$V$7:$W$1000,2,FALSE)</f>
        <v>M0112</v>
      </c>
      <c r="G113" s="100">
        <f>VLOOKUP(D113,'Menu Kitchen'!$B$6:$I$2085,8,FALSE)</f>
        <v>11961.991219545958</v>
      </c>
      <c r="H113" s="101">
        <v>30000</v>
      </c>
      <c r="I113" s="102">
        <f t="shared" si="14"/>
        <v>0.39873304065153192</v>
      </c>
      <c r="J113" s="103" t="str">
        <f t="shared" si="15"/>
        <v>Bad Price</v>
      </c>
      <c r="K113" s="104">
        <f t="shared" si="17"/>
        <v>31000</v>
      </c>
      <c r="L113" s="104">
        <f t="shared" si="3"/>
        <v>6200</v>
      </c>
      <c r="M113" s="105">
        <f t="shared" si="4"/>
        <v>0.48233835562685318</v>
      </c>
      <c r="N113" s="106" t="str">
        <f t="shared" si="5"/>
        <v>Bad Price</v>
      </c>
      <c r="O113" s="123"/>
      <c r="P113" s="4"/>
      <c r="Q113" s="4"/>
      <c r="R113" s="4"/>
      <c r="S113" s="4"/>
    </row>
    <row r="114" spans="1:28" ht="13">
      <c r="A114" s="97">
        <f t="shared" si="6"/>
        <v>110</v>
      </c>
      <c r="B114" s="72" t="s">
        <v>28</v>
      </c>
      <c r="C114" s="22" t="s">
        <v>117</v>
      </c>
      <c r="D114" s="98" t="s">
        <v>442</v>
      </c>
      <c r="E114" s="22"/>
      <c r="F114" s="22" t="str">
        <f>VLOOKUP(D114,Master!$V$7:$W$1000,2,FALSE)</f>
        <v>M0063</v>
      </c>
      <c r="G114" s="100">
        <f>VLOOKUP(D114,'Menu Kitchen'!$B$6:$I$2085,8,FALSE)</f>
        <v>12429.850421926911</v>
      </c>
      <c r="H114" s="101">
        <v>30000</v>
      </c>
      <c r="I114" s="102">
        <f t="shared" si="14"/>
        <v>0.41432834739756369</v>
      </c>
      <c r="J114" s="103" t="str">
        <f t="shared" si="15"/>
        <v>Bad Price</v>
      </c>
      <c r="K114" s="112">
        <v>30000</v>
      </c>
      <c r="L114" s="112">
        <f t="shared" si="3"/>
        <v>6000</v>
      </c>
      <c r="M114" s="113">
        <f t="shared" si="4"/>
        <v>0.5179104342469546</v>
      </c>
      <c r="N114" s="114" t="str">
        <f t="shared" si="5"/>
        <v>Bad Price</v>
      </c>
      <c r="O114" s="123"/>
      <c r="P114" s="4"/>
      <c r="Q114" s="4"/>
      <c r="R114" s="4"/>
      <c r="S114" s="4"/>
    </row>
    <row r="115" spans="1:28" ht="13">
      <c r="A115" s="97">
        <f t="shared" si="6"/>
        <v>111</v>
      </c>
      <c r="B115" s="72" t="s">
        <v>28</v>
      </c>
      <c r="C115" s="22" t="s">
        <v>148</v>
      </c>
      <c r="D115" s="98" t="s">
        <v>1007</v>
      </c>
      <c r="E115" s="22"/>
      <c r="F115" s="22" t="str">
        <f>VLOOKUP(D115,Master!$V$7:$W$1000,2,FALSE)</f>
        <v>B038</v>
      </c>
      <c r="G115" s="100">
        <f>VLOOKUP(D115,'Menu Kitchen'!$B$6:$I$2085,8,FALSE)</f>
        <v>9588.9309253642987</v>
      </c>
      <c r="H115" s="101">
        <v>35000</v>
      </c>
      <c r="I115" s="102">
        <f t="shared" si="14"/>
        <v>0.27396945501040854</v>
      </c>
      <c r="J115" s="103" t="str">
        <f t="shared" si="15"/>
        <v>Good Price</v>
      </c>
      <c r="K115" s="104">
        <f t="shared" ref="K115:K142" si="18">1000+H115</f>
        <v>36000</v>
      </c>
      <c r="L115" s="104">
        <f t="shared" si="3"/>
        <v>7200</v>
      </c>
      <c r="M115" s="105">
        <f t="shared" si="4"/>
        <v>0.33294899046403814</v>
      </c>
      <c r="N115" s="106" t="str">
        <f t="shared" si="5"/>
        <v>Good Price</v>
      </c>
      <c r="O115" s="121"/>
      <c r="P115" s="4"/>
      <c r="Q115" s="4"/>
      <c r="R115" s="4"/>
      <c r="S115" s="4"/>
    </row>
    <row r="116" spans="1:28" ht="13">
      <c r="A116" s="97">
        <f t="shared" si="6"/>
        <v>112</v>
      </c>
      <c r="B116" s="72" t="s">
        <v>28</v>
      </c>
      <c r="C116" s="22" t="s">
        <v>148</v>
      </c>
      <c r="D116" s="98" t="s">
        <v>841</v>
      </c>
      <c r="E116" s="22"/>
      <c r="F116" s="22" t="str">
        <f>VLOOKUP(D116,Master!$V$7:$W$1000,2,FALSE)</f>
        <v>M0158</v>
      </c>
      <c r="G116" s="100">
        <f>VLOOKUP(D116,'Menu Kitchen'!$B$6:$I$2085,8,FALSE)</f>
        <v>13555.191508142079</v>
      </c>
      <c r="H116" s="101">
        <v>35000</v>
      </c>
      <c r="I116" s="102">
        <f t="shared" si="14"/>
        <v>0.38729118594691653</v>
      </c>
      <c r="J116" s="103" t="str">
        <f t="shared" si="15"/>
        <v>Bad Price</v>
      </c>
      <c r="K116" s="104">
        <f t="shared" si="18"/>
        <v>36000</v>
      </c>
      <c r="L116" s="104">
        <f t="shared" si="3"/>
        <v>7200</v>
      </c>
      <c r="M116" s="105">
        <f t="shared" si="4"/>
        <v>0.47066637181048887</v>
      </c>
      <c r="N116" s="106" t="str">
        <f t="shared" si="5"/>
        <v>Bad Price</v>
      </c>
      <c r="O116" s="123"/>
      <c r="P116" s="4"/>
      <c r="Q116" s="4"/>
      <c r="R116" s="4"/>
      <c r="S116" s="4"/>
      <c r="T116" s="115"/>
      <c r="U116" s="115"/>
      <c r="V116" s="115"/>
      <c r="W116" s="115"/>
      <c r="X116" s="115"/>
      <c r="Y116" s="115"/>
      <c r="Z116" s="115"/>
      <c r="AA116" s="115"/>
      <c r="AB116" s="115"/>
    </row>
    <row r="117" spans="1:28" ht="13">
      <c r="A117" s="97">
        <f t="shared" si="6"/>
        <v>113</v>
      </c>
      <c r="B117" s="72" t="s">
        <v>28</v>
      </c>
      <c r="C117" s="22" t="s">
        <v>148</v>
      </c>
      <c r="D117" s="98" t="s">
        <v>972</v>
      </c>
      <c r="E117" s="22"/>
      <c r="F117" s="22" t="str">
        <f>VLOOKUP(D117,Master!$V$7:$W$1000,2,FALSE)</f>
        <v>B026</v>
      </c>
      <c r="G117" s="100">
        <f>VLOOKUP(D117,'Menu Kitchen'!$B$6:$I$2085,8,FALSE)</f>
        <v>13054.621307924866</v>
      </c>
      <c r="H117" s="101">
        <v>37000</v>
      </c>
      <c r="I117" s="102">
        <f t="shared" si="14"/>
        <v>0.35282760291688831</v>
      </c>
      <c r="J117" s="103" t="str">
        <f t="shared" si="15"/>
        <v>Good Price</v>
      </c>
      <c r="K117" s="104">
        <f t="shared" si="18"/>
        <v>38000</v>
      </c>
      <c r="L117" s="104">
        <f t="shared" si="3"/>
        <v>7600</v>
      </c>
      <c r="M117" s="105">
        <f t="shared" si="4"/>
        <v>0.42942833249752849</v>
      </c>
      <c r="N117" s="106" t="str">
        <f t="shared" si="5"/>
        <v>Bad Price</v>
      </c>
      <c r="O117" s="123"/>
      <c r="P117" s="4"/>
      <c r="Q117" s="4"/>
      <c r="R117" s="4"/>
      <c r="S117" s="4"/>
    </row>
    <row r="118" spans="1:28" ht="13">
      <c r="A118" s="97">
        <f t="shared" si="6"/>
        <v>114</v>
      </c>
      <c r="B118" s="72" t="s">
        <v>28</v>
      </c>
      <c r="C118" s="22" t="s">
        <v>148</v>
      </c>
      <c r="D118" s="98" t="s">
        <v>975</v>
      </c>
      <c r="E118" s="22"/>
      <c r="F118" s="22" t="str">
        <f>VLOOKUP(D118,Master!$V$7:$W$1000,2,FALSE)</f>
        <v>B027</v>
      </c>
      <c r="G118" s="100">
        <f>VLOOKUP(D118,'Menu Kitchen'!$B$6:$I$2085,8,FALSE)</f>
        <v>18360.56453094909</v>
      </c>
      <c r="H118" s="101">
        <v>50000</v>
      </c>
      <c r="I118" s="102">
        <f t="shared" si="14"/>
        <v>0.36721129061898178</v>
      </c>
      <c r="J118" s="103" t="str">
        <f t="shared" si="15"/>
        <v>Bad Price</v>
      </c>
      <c r="K118" s="104">
        <f t="shared" si="18"/>
        <v>51000</v>
      </c>
      <c r="L118" s="104">
        <f t="shared" si="3"/>
        <v>10200</v>
      </c>
      <c r="M118" s="105">
        <f t="shared" si="4"/>
        <v>0.45001383654286986</v>
      </c>
      <c r="N118" s="106" t="str">
        <f t="shared" si="5"/>
        <v>Bad Price</v>
      </c>
      <c r="O118" s="123"/>
      <c r="P118" s="4"/>
      <c r="Q118" s="4"/>
      <c r="R118" s="4"/>
      <c r="S118" s="4"/>
    </row>
    <row r="119" spans="1:28" ht="13">
      <c r="A119" s="97">
        <f t="shared" si="6"/>
        <v>115</v>
      </c>
      <c r="B119" s="72" t="s">
        <v>28</v>
      </c>
      <c r="C119" s="22" t="s">
        <v>104</v>
      </c>
      <c r="D119" s="98" t="s">
        <v>422</v>
      </c>
      <c r="E119" s="22"/>
      <c r="F119" s="22" t="str">
        <f>VLOOKUP(D119,Master!$V$7:$W$1000,2,FALSE)</f>
        <v>M0058</v>
      </c>
      <c r="G119" s="100">
        <f>VLOOKUP(D119,'Menu Kitchen'!$B$6:$I$2085,8,FALSE)</f>
        <v>10543.648279019268</v>
      </c>
      <c r="H119" s="101">
        <v>30000</v>
      </c>
      <c r="I119" s="102">
        <f t="shared" si="14"/>
        <v>0.35145494263397559</v>
      </c>
      <c r="J119" s="103" t="str">
        <f t="shared" si="15"/>
        <v>Good Price</v>
      </c>
      <c r="K119" s="104">
        <f t="shared" si="18"/>
        <v>31000</v>
      </c>
      <c r="L119" s="104">
        <f t="shared" si="3"/>
        <v>6200</v>
      </c>
      <c r="M119" s="105">
        <f t="shared" si="4"/>
        <v>0.42514710802497047</v>
      </c>
      <c r="N119" s="106" t="str">
        <f t="shared" si="5"/>
        <v>Bad Price</v>
      </c>
      <c r="O119" s="123"/>
      <c r="P119" s="4"/>
      <c r="Q119" s="4"/>
      <c r="R119" s="4"/>
      <c r="S119" s="4"/>
    </row>
    <row r="120" spans="1:28" ht="13">
      <c r="A120" s="97">
        <f t="shared" si="6"/>
        <v>116</v>
      </c>
      <c r="B120" s="72" t="s">
        <v>28</v>
      </c>
      <c r="C120" s="22" t="s">
        <v>148</v>
      </c>
      <c r="D120" s="98" t="s">
        <v>978</v>
      </c>
      <c r="E120" s="22"/>
      <c r="F120" s="22" t="str">
        <f>VLOOKUP(D120,Master!$V$7:$W$1000,2,FALSE)</f>
        <v>B028</v>
      </c>
      <c r="G120" s="100">
        <f>VLOOKUP(D120,'Menu Kitchen'!$B$6:$I$2085,8,FALSE)</f>
        <v>16852.087801855527</v>
      </c>
      <c r="H120" s="101">
        <v>48000</v>
      </c>
      <c r="I120" s="102">
        <f t="shared" si="14"/>
        <v>0.35108516253865679</v>
      </c>
      <c r="J120" s="103" t="str">
        <f t="shared" si="15"/>
        <v>Good Price</v>
      </c>
      <c r="K120" s="104">
        <f t="shared" si="18"/>
        <v>49000</v>
      </c>
      <c r="L120" s="104">
        <f t="shared" si="3"/>
        <v>9800</v>
      </c>
      <c r="M120" s="105">
        <f t="shared" si="4"/>
        <v>0.42990019902692672</v>
      </c>
      <c r="N120" s="106" t="str">
        <f t="shared" si="5"/>
        <v>Bad Price</v>
      </c>
      <c r="O120" s="123"/>
      <c r="P120" s="4"/>
      <c r="Q120" s="4"/>
      <c r="R120" s="4"/>
      <c r="S120" s="4"/>
    </row>
    <row r="121" spans="1:28" ht="13">
      <c r="A121" s="97">
        <f t="shared" si="6"/>
        <v>117</v>
      </c>
      <c r="B121" s="72" t="s">
        <v>28</v>
      </c>
      <c r="C121" s="22" t="s">
        <v>148</v>
      </c>
      <c r="D121" s="98" t="s">
        <v>942</v>
      </c>
      <c r="E121" s="22"/>
      <c r="F121" s="22" t="str">
        <f>VLOOKUP(D121,Master!$V$7:$W$1000,2,FALSE)</f>
        <v>B016</v>
      </c>
      <c r="G121" s="100">
        <f>VLOOKUP(D121,'Menu Kitchen'!$B$6:$I$2085,8,FALSE)</f>
        <v>17160.766662352602</v>
      </c>
      <c r="H121" s="101">
        <v>45000</v>
      </c>
      <c r="I121" s="102">
        <f t="shared" si="14"/>
        <v>0.38135037027450225</v>
      </c>
      <c r="J121" s="103" t="str">
        <f t="shared" si="15"/>
        <v>Bad Price</v>
      </c>
      <c r="K121" s="104">
        <f t="shared" si="18"/>
        <v>46000</v>
      </c>
      <c r="L121" s="104">
        <f t="shared" si="3"/>
        <v>9200</v>
      </c>
      <c r="M121" s="105">
        <f t="shared" si="4"/>
        <v>0.46632518104219028</v>
      </c>
      <c r="N121" s="106" t="str">
        <f t="shared" si="5"/>
        <v>Bad Price</v>
      </c>
      <c r="O121" s="123"/>
      <c r="P121" s="4"/>
      <c r="Q121" s="4"/>
      <c r="R121" s="4"/>
      <c r="S121" s="4"/>
    </row>
    <row r="122" spans="1:28" ht="13">
      <c r="A122" s="97">
        <f t="shared" si="6"/>
        <v>118</v>
      </c>
      <c r="B122" s="72" t="s">
        <v>28</v>
      </c>
      <c r="C122" s="22" t="s">
        <v>148</v>
      </c>
      <c r="D122" s="98" t="s">
        <v>945</v>
      </c>
      <c r="E122" s="22" t="s">
        <v>1328</v>
      </c>
      <c r="F122" s="22" t="str">
        <f>VLOOKUP(D122,Master!$V$7:$W$1000,2,FALSE)</f>
        <v>B017</v>
      </c>
      <c r="G122" s="100">
        <f>VLOOKUP(D122,'Menu Kitchen'!$B$6:$I$2085,8,FALSE)</f>
        <v>18004.237547469562</v>
      </c>
      <c r="H122" s="101">
        <v>45000</v>
      </c>
      <c r="I122" s="102">
        <f t="shared" si="14"/>
        <v>0.40009416772154582</v>
      </c>
      <c r="J122" s="103" t="str">
        <f t="shared" si="15"/>
        <v>Bad Price</v>
      </c>
      <c r="K122" s="104">
        <f t="shared" si="18"/>
        <v>46000</v>
      </c>
      <c r="L122" s="104">
        <f t="shared" si="3"/>
        <v>9200</v>
      </c>
      <c r="M122" s="105">
        <f t="shared" si="4"/>
        <v>0.48924558552906416</v>
      </c>
      <c r="N122" s="106" t="str">
        <f t="shared" si="5"/>
        <v>Bad Price</v>
      </c>
      <c r="O122" s="123"/>
      <c r="P122" s="4"/>
      <c r="Q122" s="4"/>
      <c r="R122" s="4"/>
      <c r="S122" s="4"/>
    </row>
    <row r="123" spans="1:28" ht="13">
      <c r="A123" s="97">
        <f t="shared" si="6"/>
        <v>119</v>
      </c>
      <c r="B123" s="72" t="s">
        <v>28</v>
      </c>
      <c r="C123" s="22" t="s">
        <v>148</v>
      </c>
      <c r="D123" s="98" t="s">
        <v>936</v>
      </c>
      <c r="E123" s="22"/>
      <c r="F123" s="22" t="str">
        <f>VLOOKUP(D123,Master!$V$7:$W$1000,2,FALSE)</f>
        <v>B014</v>
      </c>
      <c r="G123" s="100">
        <f>VLOOKUP(D123,'Menu Kitchen'!$B$6:$I$2085,8,FALSE)</f>
        <v>15675.766662352602</v>
      </c>
      <c r="H123" s="101">
        <v>42000</v>
      </c>
      <c r="I123" s="102">
        <f t="shared" si="14"/>
        <v>0.37323253957982383</v>
      </c>
      <c r="J123" s="103" t="str">
        <f t="shared" si="15"/>
        <v>Bad Price</v>
      </c>
      <c r="K123" s="104">
        <f t="shared" si="18"/>
        <v>43000</v>
      </c>
      <c r="L123" s="104">
        <f t="shared" si="3"/>
        <v>8600</v>
      </c>
      <c r="M123" s="105">
        <f t="shared" si="4"/>
        <v>0.45569089134745938</v>
      </c>
      <c r="N123" s="106" t="str">
        <f t="shared" si="5"/>
        <v>Bad Price</v>
      </c>
      <c r="O123" s="123"/>
      <c r="P123" s="4"/>
      <c r="Q123" s="4"/>
      <c r="R123" s="4"/>
      <c r="S123" s="4"/>
    </row>
    <row r="124" spans="1:28" ht="13">
      <c r="A124" s="97">
        <f t="shared" si="6"/>
        <v>120</v>
      </c>
      <c r="B124" s="72" t="s">
        <v>28</v>
      </c>
      <c r="C124" s="22" t="s">
        <v>148</v>
      </c>
      <c r="D124" s="98" t="s">
        <v>939</v>
      </c>
      <c r="E124" s="22" t="s">
        <v>1329</v>
      </c>
      <c r="F124" s="22" t="str">
        <f>VLOOKUP(D124,Master!$V$7:$W$1000,2,FALSE)</f>
        <v>B015</v>
      </c>
      <c r="G124" s="100">
        <f>VLOOKUP(D124,'Menu Kitchen'!$B$6:$I$2085,8,FALSE)</f>
        <v>16519.237547469562</v>
      </c>
      <c r="H124" s="101">
        <v>42000</v>
      </c>
      <c r="I124" s="102">
        <f t="shared" si="14"/>
        <v>0.39331517970165625</v>
      </c>
      <c r="J124" s="103" t="str">
        <f t="shared" si="15"/>
        <v>Bad Price</v>
      </c>
      <c r="K124" s="104">
        <f t="shared" si="18"/>
        <v>43000</v>
      </c>
      <c r="L124" s="104">
        <f t="shared" si="3"/>
        <v>8600</v>
      </c>
      <c r="M124" s="105">
        <f t="shared" si="4"/>
        <v>0.48021039382178959</v>
      </c>
      <c r="N124" s="106" t="str">
        <f t="shared" si="5"/>
        <v>Bad Price</v>
      </c>
      <c r="O124" s="123"/>
      <c r="P124" s="4"/>
      <c r="Q124" s="4"/>
      <c r="R124" s="4"/>
      <c r="S124" s="4"/>
      <c r="T124" s="115"/>
      <c r="U124" s="115"/>
      <c r="V124" s="115"/>
      <c r="W124" s="115"/>
      <c r="X124" s="115"/>
      <c r="Y124" s="115"/>
      <c r="Z124" s="115"/>
      <c r="AA124" s="115"/>
      <c r="AB124" s="115"/>
    </row>
    <row r="125" spans="1:28" ht="13">
      <c r="A125" s="97">
        <f t="shared" si="6"/>
        <v>121</v>
      </c>
      <c r="B125" s="72" t="s">
        <v>28</v>
      </c>
      <c r="C125" s="22" t="s">
        <v>148</v>
      </c>
      <c r="D125" s="98" t="s">
        <v>845</v>
      </c>
      <c r="E125" s="22"/>
      <c r="F125" s="22" t="str">
        <f>VLOOKUP(D125,Master!$V$7:$W$1000,2,FALSE)</f>
        <v>M0159</v>
      </c>
      <c r="G125" s="100">
        <f>VLOOKUP(D125,'Menu Kitchen'!$B$6:$I$2085,8,FALSE)</f>
        <v>16705.366662352601</v>
      </c>
      <c r="H125" s="101">
        <v>38000</v>
      </c>
      <c r="I125" s="102">
        <f t="shared" si="14"/>
        <v>0.43961491216717369</v>
      </c>
      <c r="J125" s="103" t="str">
        <f t="shared" si="15"/>
        <v>Bad Price</v>
      </c>
      <c r="K125" s="104">
        <f t="shared" si="18"/>
        <v>39000</v>
      </c>
      <c r="L125" s="104">
        <f t="shared" si="3"/>
        <v>7800</v>
      </c>
      <c r="M125" s="105">
        <f t="shared" si="4"/>
        <v>0.53542841866514745</v>
      </c>
      <c r="N125" s="106" t="str">
        <f t="shared" si="5"/>
        <v>Bad Price</v>
      </c>
      <c r="O125" s="123"/>
      <c r="P125" s="4"/>
      <c r="Q125" s="4"/>
      <c r="R125" s="4"/>
      <c r="S125" s="4"/>
      <c r="T125" s="115"/>
      <c r="U125" s="115"/>
      <c r="V125" s="115"/>
      <c r="W125" s="115"/>
      <c r="X125" s="115"/>
      <c r="Y125" s="115"/>
      <c r="Z125" s="115"/>
      <c r="AA125" s="115"/>
      <c r="AB125" s="115"/>
    </row>
    <row r="126" spans="1:28" ht="13">
      <c r="A126" s="97">
        <f t="shared" si="6"/>
        <v>122</v>
      </c>
      <c r="B126" s="72" t="s">
        <v>28</v>
      </c>
      <c r="C126" s="22" t="s">
        <v>148</v>
      </c>
      <c r="D126" s="98" t="s">
        <v>963</v>
      </c>
      <c r="E126" s="22" t="s">
        <v>1330</v>
      </c>
      <c r="F126" s="22" t="str">
        <f>VLOOKUP(D126,Master!$V$7:$W$1000,2,FALSE)</f>
        <v>B023</v>
      </c>
      <c r="G126" s="100">
        <f>VLOOKUP(D126,'Menu Kitchen'!$B$6:$I$2085,8,FALSE)</f>
        <v>10161.752053538901</v>
      </c>
      <c r="H126" s="101">
        <v>35000</v>
      </c>
      <c r="I126" s="102">
        <f t="shared" si="14"/>
        <v>0.2903357729582543</v>
      </c>
      <c r="J126" s="103" t="str">
        <f t="shared" si="15"/>
        <v>Good Price</v>
      </c>
      <c r="K126" s="104">
        <f t="shared" si="18"/>
        <v>36000</v>
      </c>
      <c r="L126" s="104">
        <f t="shared" si="3"/>
        <v>7200</v>
      </c>
      <c r="M126" s="105">
        <f t="shared" si="4"/>
        <v>0.35283861297010072</v>
      </c>
      <c r="N126" s="106" t="str">
        <f t="shared" si="5"/>
        <v>Good Price</v>
      </c>
      <c r="O126" s="121"/>
      <c r="P126" s="4"/>
      <c r="Q126" s="4"/>
      <c r="R126" s="4"/>
      <c r="S126" s="4"/>
    </row>
    <row r="127" spans="1:28" ht="13">
      <c r="A127" s="97">
        <f t="shared" si="6"/>
        <v>123</v>
      </c>
      <c r="B127" s="72" t="s">
        <v>28</v>
      </c>
      <c r="C127" s="22" t="s">
        <v>148</v>
      </c>
      <c r="D127" s="98" t="s">
        <v>775</v>
      </c>
      <c r="E127" s="22" t="s">
        <v>825</v>
      </c>
      <c r="F127" s="22" t="str">
        <f>VLOOKUP(D127,Master!$V$7:$W$1000,2,FALSE)</f>
        <v>M0144</v>
      </c>
      <c r="G127" s="100">
        <f>VLOOKUP(D127,'Menu Kitchen'!$B$6:$I$2085,8,FALSE)</f>
        <v>10161.752053538901</v>
      </c>
      <c r="H127" s="101">
        <v>37000</v>
      </c>
      <c r="I127" s="102">
        <f t="shared" si="14"/>
        <v>0.27464194739294329</v>
      </c>
      <c r="J127" s="103" t="str">
        <f t="shared" si="15"/>
        <v>Good Price</v>
      </c>
      <c r="K127" s="104">
        <f t="shared" si="18"/>
        <v>38000</v>
      </c>
      <c r="L127" s="104">
        <f t="shared" si="3"/>
        <v>7600</v>
      </c>
      <c r="M127" s="105">
        <f t="shared" si="4"/>
        <v>0.33426815965588491</v>
      </c>
      <c r="N127" s="106" t="str">
        <f t="shared" si="5"/>
        <v>Good Price</v>
      </c>
      <c r="O127" s="121"/>
      <c r="P127" s="4"/>
      <c r="Q127" s="4"/>
      <c r="R127" s="4"/>
      <c r="S127" s="4"/>
      <c r="T127" s="115"/>
      <c r="U127" s="115"/>
      <c r="V127" s="115"/>
      <c r="W127" s="115"/>
      <c r="X127" s="115"/>
      <c r="Y127" s="115"/>
      <c r="Z127" s="115"/>
      <c r="AA127" s="115"/>
      <c r="AB127" s="115"/>
    </row>
    <row r="128" spans="1:28" ht="13">
      <c r="A128" s="97">
        <f t="shared" si="6"/>
        <v>124</v>
      </c>
      <c r="B128" s="72" t="s">
        <v>28</v>
      </c>
      <c r="C128" s="22" t="s">
        <v>148</v>
      </c>
      <c r="D128" s="98" t="s">
        <v>813</v>
      </c>
      <c r="E128" s="22"/>
      <c r="F128" s="22" t="str">
        <f>VLOOKUP(D128,Master!$V$7:$W$1000,2,FALSE)</f>
        <v>M0151</v>
      </c>
      <c r="G128" s="100">
        <f>VLOOKUP(D128,'Menu Kitchen'!$B$6:$I$2085,8,FALSE)</f>
        <v>10504.100925644167</v>
      </c>
      <c r="H128" s="101">
        <v>37000</v>
      </c>
      <c r="I128" s="102">
        <f t="shared" si="14"/>
        <v>0.28389461961200452</v>
      </c>
      <c r="J128" s="103" t="str">
        <f t="shared" si="15"/>
        <v>Good Price</v>
      </c>
      <c r="K128" s="104">
        <f t="shared" si="18"/>
        <v>38000</v>
      </c>
      <c r="L128" s="104">
        <f t="shared" si="3"/>
        <v>7600</v>
      </c>
      <c r="M128" s="105">
        <f t="shared" si="4"/>
        <v>0.34552963571197914</v>
      </c>
      <c r="N128" s="106" t="str">
        <f t="shared" si="5"/>
        <v>Good Price</v>
      </c>
      <c r="O128" s="121"/>
      <c r="P128" s="4"/>
      <c r="Q128" s="4"/>
      <c r="R128" s="4"/>
      <c r="S128" s="4"/>
      <c r="T128" s="115"/>
      <c r="U128" s="115"/>
      <c r="V128" s="115"/>
      <c r="W128" s="115"/>
      <c r="X128" s="115"/>
      <c r="Y128" s="115"/>
      <c r="Z128" s="115"/>
      <c r="AA128" s="115"/>
      <c r="AB128" s="115"/>
    </row>
    <row r="129" spans="1:28" ht="13">
      <c r="A129" s="97">
        <f t="shared" si="6"/>
        <v>125</v>
      </c>
      <c r="B129" s="72" t="s">
        <v>28</v>
      </c>
      <c r="C129" s="22" t="s">
        <v>148</v>
      </c>
      <c r="D129" s="98" t="s">
        <v>833</v>
      </c>
      <c r="E129" s="22" t="s">
        <v>1331</v>
      </c>
      <c r="F129" s="22" t="str">
        <f>VLOOKUP(D129,Master!$V$7:$W$1000,2,FALSE)</f>
        <v>M0156</v>
      </c>
      <c r="G129" s="100">
        <f>VLOOKUP(D129,'Menu Kitchen'!$B$6:$I$2085,8,FALSE)</f>
        <v>13911.270925364301</v>
      </c>
      <c r="H129" s="101">
        <v>40000</v>
      </c>
      <c r="I129" s="102">
        <f t="shared" si="14"/>
        <v>0.34778177313410752</v>
      </c>
      <c r="J129" s="103" t="str">
        <f t="shared" si="15"/>
        <v>Good Price</v>
      </c>
      <c r="K129" s="104">
        <f t="shared" si="18"/>
        <v>41000</v>
      </c>
      <c r="L129" s="104">
        <f t="shared" si="3"/>
        <v>8200</v>
      </c>
      <c r="M129" s="105">
        <f t="shared" si="4"/>
        <v>0.42412411357817992</v>
      </c>
      <c r="N129" s="106" t="str">
        <f t="shared" si="5"/>
        <v>Bad Price</v>
      </c>
      <c r="O129" s="123"/>
      <c r="P129" s="4"/>
      <c r="Q129" s="4"/>
      <c r="R129" s="4"/>
      <c r="S129" s="4"/>
      <c r="T129" s="115"/>
      <c r="U129" s="115"/>
      <c r="V129" s="115"/>
      <c r="W129" s="115"/>
      <c r="X129" s="115"/>
      <c r="Y129" s="115"/>
      <c r="Z129" s="115"/>
      <c r="AA129" s="115"/>
      <c r="AB129" s="115"/>
    </row>
    <row r="130" spans="1:28" ht="13">
      <c r="A130" s="97">
        <f t="shared" si="6"/>
        <v>126</v>
      </c>
      <c r="B130" s="72" t="s">
        <v>28</v>
      </c>
      <c r="C130" s="22" t="s">
        <v>148</v>
      </c>
      <c r="D130" s="98" t="s">
        <v>948</v>
      </c>
      <c r="E130" s="22" t="s">
        <v>1332</v>
      </c>
      <c r="F130" s="22" t="str">
        <f>VLOOKUP(D130,Master!$V$7:$W$1000,2,FALSE)</f>
        <v>B018</v>
      </c>
      <c r="G130" s="100">
        <f>VLOOKUP(D130,'Menu Kitchen'!$B$6:$I$2085,8,FALSE)</f>
        <v>7058.8880506822625</v>
      </c>
      <c r="H130" s="101">
        <v>25000</v>
      </c>
      <c r="I130" s="102">
        <f t="shared" si="14"/>
        <v>0.28235552202729047</v>
      </c>
      <c r="J130" s="103" t="str">
        <f t="shared" si="15"/>
        <v>Good Price</v>
      </c>
      <c r="K130" s="104">
        <f t="shared" si="18"/>
        <v>26000</v>
      </c>
      <c r="L130" s="104">
        <f t="shared" si="3"/>
        <v>5200</v>
      </c>
      <c r="M130" s="105">
        <f t="shared" si="4"/>
        <v>0.33936961782126263</v>
      </c>
      <c r="N130" s="106" t="str">
        <f t="shared" si="5"/>
        <v>Good Price</v>
      </c>
      <c r="O130" s="121"/>
      <c r="P130" s="4"/>
      <c r="Q130" s="4"/>
      <c r="R130" s="4"/>
      <c r="S130" s="4"/>
    </row>
    <row r="131" spans="1:28" ht="13">
      <c r="A131" s="97">
        <f t="shared" si="6"/>
        <v>127</v>
      </c>
      <c r="B131" s="72" t="s">
        <v>28</v>
      </c>
      <c r="C131" s="22" t="s">
        <v>148</v>
      </c>
      <c r="D131" s="98" t="s">
        <v>951</v>
      </c>
      <c r="E131" s="22" t="s">
        <v>1332</v>
      </c>
      <c r="F131" s="22" t="str">
        <f>VLOOKUP(D131,Master!$V$7:$W$1000,2,FALSE)</f>
        <v>B019</v>
      </c>
      <c r="G131" s="100">
        <f>VLOOKUP(D131,'Menu Kitchen'!$B$6:$I$2085,8,FALSE)</f>
        <v>7058.8880506822625</v>
      </c>
      <c r="H131" s="101">
        <v>25000</v>
      </c>
      <c r="I131" s="102">
        <f t="shared" si="14"/>
        <v>0.28235552202729047</v>
      </c>
      <c r="J131" s="103" t="str">
        <f t="shared" si="15"/>
        <v>Good Price</v>
      </c>
      <c r="K131" s="104">
        <f t="shared" si="18"/>
        <v>26000</v>
      </c>
      <c r="L131" s="104">
        <f t="shared" si="3"/>
        <v>5200</v>
      </c>
      <c r="M131" s="105">
        <f t="shared" si="4"/>
        <v>0.33936961782126263</v>
      </c>
      <c r="N131" s="106" t="str">
        <f t="shared" si="5"/>
        <v>Good Price</v>
      </c>
      <c r="O131" s="121"/>
      <c r="P131" s="4"/>
      <c r="Q131" s="4"/>
      <c r="R131" s="4"/>
      <c r="S131" s="4"/>
      <c r="T131" s="115"/>
      <c r="U131" s="115"/>
      <c r="V131" s="115"/>
      <c r="W131" s="115"/>
      <c r="X131" s="115"/>
      <c r="Y131" s="115"/>
      <c r="Z131" s="115"/>
      <c r="AA131" s="115"/>
      <c r="AB131" s="115"/>
    </row>
    <row r="132" spans="1:28" ht="13">
      <c r="A132" s="97">
        <f t="shared" si="6"/>
        <v>128</v>
      </c>
      <c r="B132" s="72" t="s">
        <v>28</v>
      </c>
      <c r="C132" s="22" t="s">
        <v>148</v>
      </c>
      <c r="D132" s="98" t="s">
        <v>954</v>
      </c>
      <c r="E132" s="22" t="s">
        <v>1332</v>
      </c>
      <c r="F132" s="22" t="str">
        <f>VLOOKUP(D132,Master!$V$7:$W$1000,2,FALSE)</f>
        <v>B020</v>
      </c>
      <c r="G132" s="100">
        <f>VLOOKUP(D132,'Menu Kitchen'!$B$6:$I$2085,8,FALSE)</f>
        <v>7378.5755506822625</v>
      </c>
      <c r="H132" s="101">
        <v>25000</v>
      </c>
      <c r="I132" s="102">
        <f t="shared" si="14"/>
        <v>0.29514302202729048</v>
      </c>
      <c r="J132" s="103" t="str">
        <f t="shared" si="15"/>
        <v>Good Price</v>
      </c>
      <c r="K132" s="104">
        <f t="shared" si="18"/>
        <v>26000</v>
      </c>
      <c r="L132" s="104">
        <f t="shared" si="3"/>
        <v>5200</v>
      </c>
      <c r="M132" s="105">
        <f t="shared" si="4"/>
        <v>0.35473920916741647</v>
      </c>
      <c r="N132" s="106" t="str">
        <f t="shared" si="5"/>
        <v>Good Price</v>
      </c>
      <c r="O132" s="121"/>
      <c r="P132" s="4"/>
      <c r="Q132" s="4"/>
      <c r="R132" s="4"/>
      <c r="S132" s="4"/>
    </row>
    <row r="133" spans="1:28" ht="13">
      <c r="A133" s="97">
        <f t="shared" si="6"/>
        <v>129</v>
      </c>
      <c r="B133" s="72" t="s">
        <v>28</v>
      </c>
      <c r="C133" s="22" t="s">
        <v>165</v>
      </c>
      <c r="D133" s="98" t="s">
        <v>969</v>
      </c>
      <c r="E133" s="22"/>
      <c r="F133" s="22" t="str">
        <f>VLOOKUP(D133,Master!$V$7:$W$1000,2,FALSE)</f>
        <v>B025</v>
      </c>
      <c r="G133" s="100">
        <f>VLOOKUP(D133,'Menu Kitchen'!$B$6:$I$2085,8,FALSE)</f>
        <v>1802.35</v>
      </c>
      <c r="H133" s="101">
        <v>6000</v>
      </c>
      <c r="I133" s="102">
        <f t="shared" si="14"/>
        <v>0.30039166666666667</v>
      </c>
      <c r="J133" s="103" t="str">
        <f t="shared" si="15"/>
        <v>Good Price</v>
      </c>
      <c r="K133" s="104">
        <f t="shared" si="18"/>
        <v>7000</v>
      </c>
      <c r="L133" s="104">
        <f t="shared" si="3"/>
        <v>1400</v>
      </c>
      <c r="M133" s="105">
        <f t="shared" si="4"/>
        <v>0.32184821428571425</v>
      </c>
      <c r="N133" s="106" t="str">
        <f t="shared" si="5"/>
        <v>Good Price</v>
      </c>
      <c r="O133" s="121"/>
      <c r="P133" s="4"/>
      <c r="Q133" s="4"/>
      <c r="R133" s="4"/>
      <c r="S133" s="4"/>
    </row>
    <row r="134" spans="1:28" ht="13">
      <c r="A134" s="97">
        <f t="shared" si="6"/>
        <v>130</v>
      </c>
      <c r="B134" s="72" t="s">
        <v>28</v>
      </c>
      <c r="C134" s="22" t="s">
        <v>165</v>
      </c>
      <c r="D134" s="98" t="s">
        <v>1010</v>
      </c>
      <c r="E134" s="22"/>
      <c r="F134" s="22" t="str">
        <f>VLOOKUP(D134,Master!$V$7:$W$1000,2,FALSE)</f>
        <v>B039</v>
      </c>
      <c r="G134" s="100">
        <f>VLOOKUP(D134,'Menu Kitchen'!$B$6:$I$2085,8,FALSE)</f>
        <v>2022.35</v>
      </c>
      <c r="H134" s="101">
        <v>6000</v>
      </c>
      <c r="I134" s="102">
        <f t="shared" si="14"/>
        <v>0.33705833333333329</v>
      </c>
      <c r="J134" s="103" t="str">
        <f t="shared" si="15"/>
        <v>Good Price</v>
      </c>
      <c r="K134" s="104">
        <f t="shared" si="18"/>
        <v>7000</v>
      </c>
      <c r="L134" s="104">
        <f t="shared" si="3"/>
        <v>1400</v>
      </c>
      <c r="M134" s="105">
        <f t="shared" si="4"/>
        <v>0.36113392857142856</v>
      </c>
      <c r="N134" s="106" t="str">
        <f t="shared" si="5"/>
        <v>Good Price</v>
      </c>
      <c r="O134" s="123"/>
      <c r="P134" s="4"/>
      <c r="Q134" s="4"/>
      <c r="R134" s="4"/>
      <c r="S134" s="4"/>
    </row>
    <row r="135" spans="1:28" ht="13">
      <c r="A135" s="97">
        <f t="shared" si="6"/>
        <v>131</v>
      </c>
      <c r="B135" s="72" t="s">
        <v>28</v>
      </c>
      <c r="C135" s="22" t="s">
        <v>165</v>
      </c>
      <c r="D135" s="98" t="s">
        <v>1013</v>
      </c>
      <c r="E135" s="22"/>
      <c r="F135" s="22" t="str">
        <f>VLOOKUP(D135,Master!$V$7:$W$1000,2,FALSE)</f>
        <v>B040</v>
      </c>
      <c r="G135" s="100">
        <f>VLOOKUP(D135,'Menu Kitchen'!$B$6:$I$2085,8,FALSE)</f>
        <v>2265.6333333333337</v>
      </c>
      <c r="H135" s="101">
        <v>10000</v>
      </c>
      <c r="I135" s="102">
        <f t="shared" si="14"/>
        <v>0.22656333333333337</v>
      </c>
      <c r="J135" s="103" t="str">
        <f t="shared" si="15"/>
        <v>Good Price</v>
      </c>
      <c r="K135" s="104">
        <f t="shared" si="18"/>
        <v>11000</v>
      </c>
      <c r="L135" s="104">
        <f t="shared" si="3"/>
        <v>2200</v>
      </c>
      <c r="M135" s="105">
        <f t="shared" si="4"/>
        <v>0.25745833333333334</v>
      </c>
      <c r="N135" s="106" t="str">
        <f t="shared" si="5"/>
        <v>Good Price</v>
      </c>
      <c r="O135" s="121"/>
      <c r="P135" s="4"/>
      <c r="Q135" s="4"/>
      <c r="R135" s="4"/>
      <c r="S135" s="4"/>
      <c r="T135" s="115"/>
      <c r="U135" s="115"/>
      <c r="V135" s="115"/>
      <c r="W135" s="115"/>
      <c r="X135" s="115"/>
      <c r="Y135" s="115"/>
      <c r="Z135" s="115"/>
      <c r="AA135" s="115"/>
      <c r="AB135" s="115"/>
    </row>
    <row r="136" spans="1:28" ht="13">
      <c r="A136" s="97">
        <f t="shared" si="6"/>
        <v>132</v>
      </c>
      <c r="B136" s="72" t="s">
        <v>28</v>
      </c>
      <c r="C136" s="22" t="s">
        <v>165</v>
      </c>
      <c r="D136" s="98" t="s">
        <v>1016</v>
      </c>
      <c r="E136" s="22"/>
      <c r="F136" s="22" t="str">
        <f>VLOOKUP(D136,Master!$V$7:$W$1000,2,FALSE)</f>
        <v>B041</v>
      </c>
      <c r="G136" s="100">
        <f>VLOOKUP(D136,'Menu Kitchen'!$B$6:$I$2085,8,FALSE)</f>
        <v>2265.6333333333337</v>
      </c>
      <c r="H136" s="101">
        <v>10000</v>
      </c>
      <c r="I136" s="102">
        <f t="shared" si="14"/>
        <v>0.22656333333333337</v>
      </c>
      <c r="J136" s="103" t="str">
        <f t="shared" si="15"/>
        <v>Good Price</v>
      </c>
      <c r="K136" s="104">
        <f t="shared" si="18"/>
        <v>11000</v>
      </c>
      <c r="L136" s="104">
        <f t="shared" si="3"/>
        <v>2200</v>
      </c>
      <c r="M136" s="105">
        <f t="shared" si="4"/>
        <v>0.25745833333333334</v>
      </c>
      <c r="N136" s="106" t="str">
        <f t="shared" si="5"/>
        <v>Good Price</v>
      </c>
      <c r="O136" s="121"/>
      <c r="P136" s="4"/>
      <c r="Q136" s="4"/>
      <c r="R136" s="4"/>
      <c r="S136" s="4"/>
      <c r="T136" s="115"/>
      <c r="U136" s="115"/>
      <c r="V136" s="115"/>
      <c r="W136" s="115"/>
      <c r="X136" s="115"/>
      <c r="Y136" s="115"/>
      <c r="Z136" s="115"/>
      <c r="AA136" s="115"/>
      <c r="AB136" s="115"/>
    </row>
    <row r="137" spans="1:28" ht="13">
      <c r="A137" s="97">
        <f t="shared" si="6"/>
        <v>133</v>
      </c>
      <c r="B137" s="72" t="s">
        <v>28</v>
      </c>
      <c r="C137" s="22" t="s">
        <v>129</v>
      </c>
      <c r="D137" s="98" t="s">
        <v>418</v>
      </c>
      <c r="E137" s="22"/>
      <c r="F137" s="22" t="str">
        <f>VLOOKUP(D137,Master!$V$7:$W$1000,2,FALSE)</f>
        <v>M0057</v>
      </c>
      <c r="G137" s="100">
        <f>VLOOKUP(D137,'Menu Kitchen'!$B$6:$I$2085,8,FALSE)</f>
        <v>11231.171111111111</v>
      </c>
      <c r="H137" s="101">
        <v>28000</v>
      </c>
      <c r="I137" s="102">
        <f t="shared" si="14"/>
        <v>0.40111325396825398</v>
      </c>
      <c r="J137" s="103" t="str">
        <f t="shared" si="15"/>
        <v>Bad Price</v>
      </c>
      <c r="K137" s="104">
        <f t="shared" si="18"/>
        <v>29000</v>
      </c>
      <c r="L137" s="104">
        <f t="shared" si="3"/>
        <v>5800</v>
      </c>
      <c r="M137" s="105">
        <f t="shared" si="4"/>
        <v>0.48410220306513407</v>
      </c>
      <c r="N137" s="106" t="str">
        <f t="shared" si="5"/>
        <v>Bad Price</v>
      </c>
      <c r="O137" s="123"/>
      <c r="P137" s="4"/>
      <c r="Q137" s="4"/>
      <c r="R137" s="4"/>
      <c r="S137" s="4"/>
    </row>
    <row r="138" spans="1:28" ht="13">
      <c r="A138" s="97">
        <f t="shared" si="6"/>
        <v>134</v>
      </c>
      <c r="B138" s="72" t="s">
        <v>28</v>
      </c>
      <c r="C138" s="22" t="s">
        <v>129</v>
      </c>
      <c r="D138" s="98" t="s">
        <v>410</v>
      </c>
      <c r="E138" s="22"/>
      <c r="F138" s="22" t="str">
        <f>VLOOKUP(D138,Master!$V$7:$W$1000,2,FALSE)</f>
        <v>M0055</v>
      </c>
      <c r="G138" s="100">
        <f>VLOOKUP(D138,'Menu Kitchen'!$B$6:$I$2085,8,FALSE)</f>
        <v>8305.7944444444456</v>
      </c>
      <c r="H138" s="101">
        <v>25000</v>
      </c>
      <c r="I138" s="102">
        <f t="shared" si="14"/>
        <v>0.33223177777777785</v>
      </c>
      <c r="J138" s="103" t="str">
        <f t="shared" si="15"/>
        <v>Good Price</v>
      </c>
      <c r="K138" s="104">
        <f t="shared" si="18"/>
        <v>26000</v>
      </c>
      <c r="L138" s="104">
        <f t="shared" si="3"/>
        <v>5200</v>
      </c>
      <c r="M138" s="105">
        <f t="shared" si="4"/>
        <v>0.39931704059829065</v>
      </c>
      <c r="N138" s="106" t="str">
        <f t="shared" si="5"/>
        <v>Bad Price</v>
      </c>
      <c r="O138" s="123"/>
      <c r="P138" s="4"/>
      <c r="Q138" s="4"/>
      <c r="R138" s="4"/>
      <c r="S138" s="4"/>
    </row>
    <row r="139" spans="1:28" ht="13">
      <c r="A139" s="97">
        <f t="shared" si="6"/>
        <v>135</v>
      </c>
      <c r="B139" s="72" t="s">
        <v>28</v>
      </c>
      <c r="C139" s="22" t="s">
        <v>129</v>
      </c>
      <c r="D139" s="98" t="s">
        <v>550</v>
      </c>
      <c r="E139" s="22"/>
      <c r="F139" s="22" t="str">
        <f>VLOOKUP(D139,Master!$V$7:$W$1000,2,FALSE)</f>
        <v>M0090</v>
      </c>
      <c r="G139" s="100">
        <f>VLOOKUP(D139,'Menu Kitchen'!$B$6:$I$2085,8,FALSE)</f>
        <v>6461.2364243943193</v>
      </c>
      <c r="H139" s="101">
        <v>28000</v>
      </c>
      <c r="I139" s="102">
        <f t="shared" si="14"/>
        <v>0.23075844372836854</v>
      </c>
      <c r="J139" s="103" t="str">
        <f t="shared" si="15"/>
        <v>Good Price</v>
      </c>
      <c r="K139" s="104">
        <f t="shared" si="18"/>
        <v>29000</v>
      </c>
      <c r="L139" s="104">
        <f t="shared" si="3"/>
        <v>5800</v>
      </c>
      <c r="M139" s="105">
        <f t="shared" si="4"/>
        <v>0.27850157001699655</v>
      </c>
      <c r="N139" s="106" t="str">
        <f t="shared" si="5"/>
        <v>Good Price</v>
      </c>
      <c r="O139" s="121"/>
      <c r="P139" s="4"/>
      <c r="Q139" s="4"/>
      <c r="R139" s="4"/>
      <c r="S139" s="4"/>
      <c r="T139" s="115"/>
      <c r="U139" s="115"/>
      <c r="V139" s="115"/>
      <c r="W139" s="115"/>
      <c r="X139" s="115"/>
      <c r="Y139" s="115"/>
      <c r="Z139" s="115"/>
      <c r="AA139" s="115"/>
      <c r="AB139" s="115"/>
    </row>
    <row r="140" spans="1:28" ht="13">
      <c r="A140" s="97">
        <f t="shared" si="6"/>
        <v>136</v>
      </c>
      <c r="B140" s="72" t="s">
        <v>28</v>
      </c>
      <c r="C140" s="22" t="s">
        <v>129</v>
      </c>
      <c r="D140" s="98" t="s">
        <v>754</v>
      </c>
      <c r="E140" s="22"/>
      <c r="F140" s="22" t="str">
        <f>VLOOKUP(D140,Master!$V$7:$W$1000,2,FALSE)</f>
        <v>M0142</v>
      </c>
      <c r="G140" s="100">
        <f>VLOOKUP(D140,'Menu Kitchen'!$B$6:$I$2085,8,FALSE)</f>
        <v>9670.142572542467</v>
      </c>
      <c r="H140" s="101">
        <v>30000</v>
      </c>
      <c r="I140" s="102">
        <f t="shared" si="14"/>
        <v>0.32233808575141554</v>
      </c>
      <c r="J140" s="103" t="str">
        <f t="shared" si="15"/>
        <v>Good Price</v>
      </c>
      <c r="K140" s="104">
        <f t="shared" si="18"/>
        <v>31000</v>
      </c>
      <c r="L140" s="104">
        <f t="shared" si="3"/>
        <v>6200</v>
      </c>
      <c r="M140" s="105">
        <f t="shared" si="4"/>
        <v>0.38992510373155109</v>
      </c>
      <c r="N140" s="106" t="str">
        <f t="shared" si="5"/>
        <v>Bad Price</v>
      </c>
      <c r="O140" s="123"/>
      <c r="P140" s="4"/>
      <c r="Q140" s="4"/>
      <c r="R140" s="4"/>
      <c r="S140" s="4"/>
      <c r="T140" s="115"/>
      <c r="U140" s="115"/>
      <c r="V140" s="115"/>
      <c r="W140" s="115"/>
      <c r="X140" s="115"/>
      <c r="Y140" s="115"/>
      <c r="Z140" s="115"/>
      <c r="AA140" s="115"/>
      <c r="AB140" s="115"/>
    </row>
    <row r="141" spans="1:28" ht="13">
      <c r="A141" s="97">
        <f t="shared" si="6"/>
        <v>137</v>
      </c>
      <c r="B141" s="72" t="s">
        <v>28</v>
      </c>
      <c r="C141" s="22" t="s">
        <v>104</v>
      </c>
      <c r="D141" s="98" t="s">
        <v>1019</v>
      </c>
      <c r="E141" s="22"/>
      <c r="F141" s="22" t="str">
        <f>VLOOKUP(D141,Master!$V$7:$W$1000,2,FALSE)</f>
        <v>B042</v>
      </c>
      <c r="G141" s="100">
        <f>VLOOKUP(D141,'Menu Kitchen'!$B$6:$I$2085,8,FALSE)</f>
        <v>19119.905675364298</v>
      </c>
      <c r="H141" s="101">
        <v>48000</v>
      </c>
      <c r="I141" s="102">
        <f t="shared" si="14"/>
        <v>0.39833136823675619</v>
      </c>
      <c r="J141" s="103" t="str">
        <f t="shared" si="15"/>
        <v>Bad Price</v>
      </c>
      <c r="K141" s="104">
        <f t="shared" si="18"/>
        <v>49000</v>
      </c>
      <c r="L141" s="104">
        <f t="shared" si="3"/>
        <v>9800</v>
      </c>
      <c r="M141" s="105">
        <f t="shared" si="4"/>
        <v>0.48775269580010966</v>
      </c>
      <c r="N141" s="106" t="str">
        <f t="shared" si="5"/>
        <v>Bad Price</v>
      </c>
      <c r="O141" s="123"/>
      <c r="P141" s="4"/>
      <c r="Q141" s="4"/>
      <c r="R141" s="4"/>
      <c r="S141" s="4"/>
    </row>
    <row r="142" spans="1:28" ht="13">
      <c r="A142" s="97">
        <f t="shared" si="6"/>
        <v>138</v>
      </c>
      <c r="B142" s="72" t="s">
        <v>28</v>
      </c>
      <c r="C142" s="22" t="s">
        <v>140</v>
      </c>
      <c r="D142" s="98" t="s">
        <v>446</v>
      </c>
      <c r="E142" s="22"/>
      <c r="F142" s="22" t="str">
        <f>VLOOKUP(D142,Master!$V$7:$W$1000,2,FALSE)</f>
        <v>M0064</v>
      </c>
      <c r="G142" s="100">
        <f>VLOOKUP(D142,'Menu Kitchen'!$B$6:$I$2085,8,FALSE)</f>
        <v>11177.571428571428</v>
      </c>
      <c r="H142" s="101">
        <v>22000</v>
      </c>
      <c r="I142" s="102">
        <f t="shared" si="14"/>
        <v>0.50807142857142851</v>
      </c>
      <c r="J142" s="103" t="str">
        <f t="shared" si="15"/>
        <v>Bad Price</v>
      </c>
      <c r="K142" s="104">
        <f t="shared" si="18"/>
        <v>23000</v>
      </c>
      <c r="L142" s="104">
        <f t="shared" si="3"/>
        <v>4600</v>
      </c>
      <c r="M142" s="105">
        <f t="shared" si="4"/>
        <v>0.60747670807453413</v>
      </c>
      <c r="N142" s="106" t="str">
        <f t="shared" si="5"/>
        <v>Bad Price</v>
      </c>
      <c r="O142" s="123"/>
      <c r="P142" s="4"/>
      <c r="Q142" s="4"/>
      <c r="R142" s="4"/>
      <c r="S142" s="4"/>
    </row>
    <row r="143" spans="1:28" ht="13">
      <c r="A143" s="97">
        <f t="shared" si="6"/>
        <v>139</v>
      </c>
      <c r="B143" s="72" t="s">
        <v>28</v>
      </c>
      <c r="C143" s="22" t="s">
        <v>140</v>
      </c>
      <c r="D143" s="98" t="s">
        <v>458</v>
      </c>
      <c r="E143" s="22" t="s">
        <v>1333</v>
      </c>
      <c r="F143" s="22" t="str">
        <f>VLOOKUP(D143,Master!$V$7:$W$1000,2,FALSE)</f>
        <v>M0067</v>
      </c>
      <c r="G143" s="100">
        <f>VLOOKUP(D143,'Menu Kitchen'!$B$6:$I$2085,8,FALSE)</f>
        <v>8139.1278571428575</v>
      </c>
      <c r="H143" s="101">
        <v>25000</v>
      </c>
      <c r="I143" s="102">
        <f t="shared" si="14"/>
        <v>0.32556511428571427</v>
      </c>
      <c r="J143" s="103" t="str">
        <f t="shared" si="15"/>
        <v>Good Price</v>
      </c>
      <c r="K143" s="112">
        <v>25000</v>
      </c>
      <c r="L143" s="112">
        <f t="shared" si="3"/>
        <v>5000</v>
      </c>
      <c r="M143" s="113">
        <f t="shared" si="4"/>
        <v>0.40695639285714286</v>
      </c>
      <c r="N143" s="114" t="str">
        <f t="shared" si="5"/>
        <v>Bad Price</v>
      </c>
      <c r="O143" s="123"/>
      <c r="P143" s="4"/>
      <c r="Q143" s="4"/>
      <c r="R143" s="4"/>
      <c r="S143" s="4"/>
    </row>
    <row r="144" spans="1:28" ht="13">
      <c r="A144" s="97">
        <f t="shared" si="6"/>
        <v>140</v>
      </c>
      <c r="B144" s="72" t="s">
        <v>28</v>
      </c>
      <c r="C144" s="22" t="s">
        <v>148</v>
      </c>
      <c r="D144" s="98" t="s">
        <v>462</v>
      </c>
      <c r="E144" s="22" t="s">
        <v>1334</v>
      </c>
      <c r="F144" s="22" t="str">
        <f>VLOOKUP(D144,Master!$V$7:$W$1000,2,FALSE)</f>
        <v>M0068</v>
      </c>
      <c r="G144" s="100">
        <f>VLOOKUP(D144,'Menu Kitchen'!$B$6:$I$2085,8,FALSE)</f>
        <v>2347.3879781420765</v>
      </c>
      <c r="H144" s="101">
        <v>7000</v>
      </c>
      <c r="I144" s="102">
        <f t="shared" si="14"/>
        <v>0.33534113973458235</v>
      </c>
      <c r="J144" s="103" t="str">
        <f t="shared" si="15"/>
        <v>Good Price</v>
      </c>
      <c r="K144" s="104">
        <f>1000+H144</f>
        <v>8000</v>
      </c>
      <c r="L144" s="104">
        <f t="shared" si="3"/>
        <v>1600</v>
      </c>
      <c r="M144" s="105">
        <f t="shared" si="4"/>
        <v>0.36677937158469942</v>
      </c>
      <c r="N144" s="106" t="str">
        <f t="shared" si="5"/>
        <v>Good Price</v>
      </c>
      <c r="O144" s="123"/>
      <c r="P144" s="4"/>
      <c r="Q144" s="4"/>
      <c r="R144" s="4"/>
      <c r="S144" s="4"/>
    </row>
    <row r="145" spans="1:28" ht="13">
      <c r="A145" s="97">
        <f t="shared" si="6"/>
        <v>141</v>
      </c>
      <c r="B145" s="72"/>
      <c r="C145" s="72"/>
      <c r="D145" s="22"/>
      <c r="E145" s="22"/>
      <c r="F145" s="22"/>
      <c r="G145" s="124"/>
      <c r="H145" s="125"/>
      <c r="I145" s="126"/>
      <c r="J145" s="127"/>
      <c r="K145" s="128"/>
      <c r="L145" s="128"/>
      <c r="M145" s="129"/>
      <c r="N145" s="130"/>
      <c r="O145" s="121"/>
      <c r="P145" s="4"/>
      <c r="Q145" s="4"/>
      <c r="R145" s="4"/>
      <c r="S145" s="4"/>
      <c r="T145" s="115"/>
      <c r="U145" s="115"/>
      <c r="V145" s="115"/>
      <c r="W145" s="115"/>
      <c r="X145" s="115"/>
      <c r="Y145" s="115"/>
      <c r="Z145" s="115"/>
      <c r="AA145" s="115"/>
      <c r="AB145" s="115"/>
    </row>
    <row r="146" spans="1:28" ht="13">
      <c r="A146" s="97">
        <f t="shared" si="6"/>
        <v>142</v>
      </c>
      <c r="B146" s="72"/>
      <c r="C146" s="72"/>
      <c r="D146" s="22"/>
      <c r="E146" s="22"/>
      <c r="F146" s="22"/>
      <c r="G146" s="124"/>
      <c r="H146" s="125"/>
      <c r="I146" s="126"/>
      <c r="J146" s="127"/>
      <c r="K146" s="128"/>
      <c r="L146" s="128"/>
      <c r="M146" s="129"/>
      <c r="N146" s="130"/>
      <c r="O146" s="121"/>
      <c r="P146" s="4"/>
      <c r="Q146" s="4"/>
      <c r="R146" s="4"/>
      <c r="S146" s="4"/>
    </row>
    <row r="147" spans="1:28" ht="13">
      <c r="A147" s="97">
        <f t="shared" si="6"/>
        <v>143</v>
      </c>
      <c r="B147" s="72"/>
      <c r="C147" s="72"/>
      <c r="D147" s="22"/>
      <c r="E147" s="22"/>
      <c r="F147" s="22"/>
      <c r="G147" s="124"/>
      <c r="H147" s="125"/>
      <c r="I147" s="126"/>
      <c r="J147" s="127"/>
      <c r="K147" s="128"/>
      <c r="L147" s="128"/>
      <c r="M147" s="129"/>
      <c r="N147" s="130"/>
      <c r="O147" s="121"/>
      <c r="P147" s="4"/>
      <c r="Q147" s="4"/>
      <c r="R147" s="4"/>
      <c r="S147" s="4"/>
    </row>
    <row r="148" spans="1:28" ht="13">
      <c r="A148" s="97">
        <f t="shared" si="6"/>
        <v>144</v>
      </c>
      <c r="B148" s="72"/>
      <c r="C148" s="72"/>
      <c r="D148" s="22"/>
      <c r="E148" s="22"/>
      <c r="F148" s="22"/>
      <c r="G148" s="124"/>
      <c r="H148" s="125"/>
      <c r="I148" s="126"/>
      <c r="J148" s="127"/>
      <c r="K148" s="128"/>
      <c r="L148" s="128"/>
      <c r="M148" s="129"/>
      <c r="N148" s="130"/>
      <c r="O148" s="121"/>
      <c r="P148" s="4"/>
      <c r="Q148" s="4"/>
      <c r="R148" s="4"/>
      <c r="S148" s="4"/>
      <c r="T148" s="115"/>
      <c r="U148" s="115"/>
      <c r="V148" s="115"/>
      <c r="W148" s="115"/>
      <c r="X148" s="115"/>
      <c r="Y148" s="115"/>
      <c r="Z148" s="115"/>
      <c r="AA148" s="115"/>
      <c r="AB148" s="115"/>
    </row>
    <row r="149" spans="1:28" ht="13">
      <c r="A149" s="97">
        <f t="shared" si="6"/>
        <v>145</v>
      </c>
      <c r="B149" s="72"/>
      <c r="C149" s="72"/>
      <c r="D149" s="22"/>
      <c r="E149" s="131"/>
      <c r="F149" s="131"/>
      <c r="G149" s="124"/>
      <c r="H149" s="125"/>
      <c r="I149" s="126"/>
      <c r="J149" s="127"/>
      <c r="K149" s="128"/>
      <c r="L149" s="128"/>
      <c r="M149" s="129"/>
      <c r="N149" s="130"/>
      <c r="O149" s="121"/>
      <c r="P149" s="4"/>
      <c r="Q149" s="4"/>
      <c r="R149" s="4"/>
      <c r="S149" s="4"/>
      <c r="T149" s="115"/>
      <c r="U149" s="115"/>
      <c r="V149" s="115"/>
      <c r="W149" s="115"/>
      <c r="X149" s="115"/>
      <c r="Y149" s="115"/>
      <c r="Z149" s="115"/>
      <c r="AA149" s="115"/>
      <c r="AB149" s="115"/>
    </row>
    <row r="150" spans="1:28" ht="13">
      <c r="A150" s="97">
        <f t="shared" si="6"/>
        <v>146</v>
      </c>
      <c r="B150" s="72"/>
      <c r="C150" s="72"/>
      <c r="D150" s="22"/>
      <c r="E150" s="131"/>
      <c r="F150" s="131"/>
      <c r="G150" s="124"/>
      <c r="H150" s="125"/>
      <c r="I150" s="126"/>
      <c r="J150" s="127"/>
      <c r="K150" s="128"/>
      <c r="L150" s="128"/>
      <c r="M150" s="129"/>
      <c r="N150" s="130"/>
      <c r="O150" s="121"/>
      <c r="P150" s="4"/>
      <c r="Q150" s="4"/>
      <c r="R150" s="4"/>
      <c r="S150" s="4"/>
      <c r="T150" s="115"/>
      <c r="U150" s="115"/>
      <c r="V150" s="115"/>
      <c r="W150" s="115"/>
      <c r="X150" s="115"/>
      <c r="Y150" s="115"/>
      <c r="Z150" s="115"/>
      <c r="AA150" s="115"/>
      <c r="AB150" s="115"/>
    </row>
    <row r="151" spans="1:28" ht="13">
      <c r="A151" s="97">
        <f t="shared" si="6"/>
        <v>147</v>
      </c>
      <c r="B151" s="72"/>
      <c r="C151" s="72"/>
      <c r="D151" s="22"/>
      <c r="E151" s="131"/>
      <c r="F151" s="131"/>
      <c r="G151" s="124"/>
      <c r="H151" s="125"/>
      <c r="I151" s="126"/>
      <c r="J151" s="127"/>
      <c r="K151" s="128"/>
      <c r="L151" s="128"/>
      <c r="M151" s="129"/>
      <c r="N151" s="130"/>
      <c r="O151" s="121"/>
      <c r="P151" s="4"/>
      <c r="Q151" s="4"/>
      <c r="R151" s="4"/>
      <c r="S151" s="4"/>
    </row>
    <row r="152" spans="1:28" ht="13">
      <c r="A152" s="97">
        <f t="shared" si="6"/>
        <v>148</v>
      </c>
      <c r="B152" s="72"/>
      <c r="C152" s="72"/>
      <c r="D152" s="22"/>
      <c r="E152" s="131"/>
      <c r="F152" s="131"/>
      <c r="G152" s="124"/>
      <c r="H152" s="125"/>
      <c r="I152" s="126"/>
      <c r="J152" s="127"/>
      <c r="K152" s="128"/>
      <c r="L152" s="128"/>
      <c r="M152" s="129"/>
      <c r="N152" s="130"/>
      <c r="O152" s="121"/>
      <c r="P152" s="4"/>
      <c r="Q152" s="4"/>
      <c r="R152" s="4"/>
      <c r="S152" s="4"/>
    </row>
    <row r="153" spans="1:28" ht="13">
      <c r="A153" s="97">
        <f t="shared" si="6"/>
        <v>149</v>
      </c>
      <c r="B153" s="72"/>
      <c r="C153" s="72"/>
      <c r="D153" s="22"/>
      <c r="E153" s="131"/>
      <c r="F153" s="131"/>
      <c r="G153" s="124"/>
      <c r="H153" s="125"/>
      <c r="I153" s="126"/>
      <c r="J153" s="127"/>
      <c r="K153" s="128"/>
      <c r="L153" s="128"/>
      <c r="M153" s="129"/>
      <c r="N153" s="130"/>
      <c r="O153" s="121"/>
      <c r="P153" s="4"/>
      <c r="Q153" s="4"/>
      <c r="R153" s="4"/>
      <c r="S153" s="4"/>
    </row>
    <row r="154" spans="1:28" ht="13">
      <c r="A154" s="97">
        <f t="shared" si="6"/>
        <v>150</v>
      </c>
      <c r="B154" s="72"/>
      <c r="C154" s="72"/>
      <c r="D154" s="22"/>
      <c r="E154" s="131"/>
      <c r="F154" s="131"/>
      <c r="G154" s="124"/>
      <c r="H154" s="125"/>
      <c r="I154" s="126"/>
      <c r="J154" s="127"/>
      <c r="K154" s="128"/>
      <c r="L154" s="128"/>
      <c r="M154" s="129"/>
      <c r="N154" s="130"/>
      <c r="O154" s="121"/>
      <c r="P154" s="4"/>
      <c r="Q154" s="4"/>
      <c r="R154" s="4"/>
      <c r="S154" s="4"/>
    </row>
    <row r="155" spans="1:28" ht="13">
      <c r="A155" s="97">
        <f t="shared" si="6"/>
        <v>151</v>
      </c>
      <c r="B155" s="72"/>
      <c r="C155" s="72"/>
      <c r="D155" s="22"/>
      <c r="E155" s="131"/>
      <c r="F155" s="131"/>
      <c r="G155" s="124"/>
      <c r="H155" s="125"/>
      <c r="I155" s="126"/>
      <c r="J155" s="127"/>
      <c r="K155" s="128"/>
      <c r="L155" s="128"/>
      <c r="M155" s="129"/>
      <c r="N155" s="130"/>
      <c r="O155" s="121"/>
      <c r="P155" s="4"/>
      <c r="Q155" s="4"/>
      <c r="R155" s="4"/>
      <c r="S155" s="4"/>
      <c r="T155" s="115"/>
      <c r="U155" s="115"/>
      <c r="V155" s="115"/>
      <c r="W155" s="115"/>
      <c r="X155" s="115"/>
      <c r="Y155" s="115"/>
      <c r="Z155" s="115"/>
      <c r="AA155" s="115"/>
      <c r="AB155" s="115"/>
    </row>
    <row r="156" spans="1:28" ht="13">
      <c r="A156" s="97">
        <f t="shared" si="6"/>
        <v>152</v>
      </c>
      <c r="B156" s="72"/>
      <c r="C156" s="72"/>
      <c r="D156" s="22"/>
      <c r="E156" s="131"/>
      <c r="F156" s="131"/>
      <c r="G156" s="124"/>
      <c r="H156" s="125"/>
      <c r="I156" s="126"/>
      <c r="J156" s="127"/>
      <c r="K156" s="128"/>
      <c r="L156" s="128"/>
      <c r="M156" s="129"/>
      <c r="N156" s="130"/>
      <c r="O156" s="121"/>
      <c r="P156" s="4"/>
      <c r="Q156" s="4"/>
      <c r="R156" s="4"/>
      <c r="S156" s="4"/>
    </row>
    <row r="157" spans="1:28" ht="13">
      <c r="A157" s="97">
        <f t="shared" si="6"/>
        <v>153</v>
      </c>
      <c r="B157" s="72"/>
      <c r="C157" s="72"/>
      <c r="D157" s="22"/>
      <c r="E157" s="131"/>
      <c r="F157" s="131"/>
      <c r="G157" s="124"/>
      <c r="H157" s="125"/>
      <c r="I157" s="126"/>
      <c r="J157" s="127"/>
      <c r="K157" s="128"/>
      <c r="L157" s="128"/>
      <c r="M157" s="129"/>
      <c r="N157" s="130"/>
      <c r="O157" s="121"/>
      <c r="P157" s="4"/>
      <c r="Q157" s="4"/>
      <c r="R157" s="4"/>
      <c r="S157" s="4"/>
    </row>
    <row r="158" spans="1:28" ht="13">
      <c r="A158" s="97">
        <f t="shared" si="6"/>
        <v>154</v>
      </c>
      <c r="B158" s="72"/>
      <c r="C158" s="72"/>
      <c r="D158" s="22"/>
      <c r="E158" s="131"/>
      <c r="F158" s="131"/>
      <c r="G158" s="124"/>
      <c r="H158" s="125"/>
      <c r="I158" s="126"/>
      <c r="J158" s="127"/>
      <c r="K158" s="128"/>
      <c r="L158" s="128"/>
      <c r="M158" s="129"/>
      <c r="N158" s="130"/>
      <c r="O158" s="121"/>
      <c r="P158" s="4"/>
      <c r="Q158" s="4"/>
      <c r="R158" s="4"/>
      <c r="S158" s="4"/>
    </row>
    <row r="159" spans="1:28" ht="13">
      <c r="A159" s="97">
        <f t="shared" si="6"/>
        <v>155</v>
      </c>
      <c r="B159" s="72"/>
      <c r="C159" s="72"/>
      <c r="D159" s="22"/>
      <c r="E159" s="131"/>
      <c r="F159" s="131"/>
      <c r="G159" s="124"/>
      <c r="H159" s="125"/>
      <c r="I159" s="126"/>
      <c r="J159" s="127"/>
      <c r="K159" s="128"/>
      <c r="L159" s="128"/>
      <c r="M159" s="129"/>
      <c r="N159" s="130"/>
      <c r="O159" s="121"/>
      <c r="P159" s="4"/>
      <c r="Q159" s="4"/>
      <c r="R159" s="4"/>
      <c r="S159" s="4"/>
    </row>
    <row r="160" spans="1:28" ht="13">
      <c r="A160" s="97">
        <f t="shared" si="6"/>
        <v>156</v>
      </c>
      <c r="B160" s="72"/>
      <c r="C160" s="72"/>
      <c r="D160" s="22"/>
      <c r="E160" s="131"/>
      <c r="F160" s="131"/>
      <c r="G160" s="124"/>
      <c r="H160" s="125"/>
      <c r="I160" s="126"/>
      <c r="J160" s="127"/>
      <c r="K160" s="128"/>
      <c r="L160" s="128"/>
      <c r="M160" s="129"/>
      <c r="N160" s="130"/>
      <c r="O160" s="121"/>
      <c r="P160" s="4"/>
      <c r="Q160" s="4"/>
      <c r="R160" s="4"/>
      <c r="S160" s="4"/>
    </row>
    <row r="161" spans="1:28" ht="13">
      <c r="A161" s="97">
        <f t="shared" si="6"/>
        <v>157</v>
      </c>
      <c r="B161" s="72"/>
      <c r="C161" s="72"/>
      <c r="D161" s="22"/>
      <c r="E161" s="131"/>
      <c r="F161" s="131"/>
      <c r="G161" s="124"/>
      <c r="H161" s="125"/>
      <c r="I161" s="126"/>
      <c r="J161" s="127"/>
      <c r="K161" s="128"/>
      <c r="L161" s="128"/>
      <c r="M161" s="129"/>
      <c r="N161" s="130"/>
      <c r="O161" s="121"/>
      <c r="P161" s="4"/>
      <c r="Q161" s="4"/>
      <c r="R161" s="4"/>
      <c r="S161" s="4"/>
    </row>
    <row r="162" spans="1:28" ht="13">
      <c r="A162" s="97">
        <f t="shared" si="6"/>
        <v>158</v>
      </c>
      <c r="B162" s="72"/>
      <c r="C162" s="72"/>
      <c r="D162" s="22"/>
      <c r="E162" s="131"/>
      <c r="F162" s="131"/>
      <c r="G162" s="124"/>
      <c r="H162" s="125"/>
      <c r="I162" s="126"/>
      <c r="J162" s="127"/>
      <c r="K162" s="128"/>
      <c r="L162" s="128"/>
      <c r="M162" s="129"/>
      <c r="N162" s="130"/>
      <c r="O162" s="121"/>
      <c r="P162" s="4"/>
      <c r="Q162" s="4"/>
      <c r="R162" s="4"/>
      <c r="S162" s="4"/>
    </row>
    <row r="163" spans="1:28" ht="13">
      <c r="A163" s="97">
        <f t="shared" si="6"/>
        <v>159</v>
      </c>
      <c r="B163" s="72"/>
      <c r="C163" s="72"/>
      <c r="D163" s="22"/>
      <c r="E163" s="131"/>
      <c r="F163" s="131"/>
      <c r="G163" s="124"/>
      <c r="H163" s="125"/>
      <c r="I163" s="126"/>
      <c r="J163" s="127"/>
      <c r="K163" s="128"/>
      <c r="L163" s="128"/>
      <c r="M163" s="129"/>
      <c r="N163" s="130"/>
      <c r="O163" s="121"/>
      <c r="P163" s="4"/>
      <c r="Q163" s="4"/>
      <c r="R163" s="4"/>
      <c r="S163" s="4"/>
    </row>
    <row r="164" spans="1:28" ht="13">
      <c r="A164" s="97">
        <f t="shared" si="6"/>
        <v>160</v>
      </c>
      <c r="B164" s="72"/>
      <c r="C164" s="72"/>
      <c r="D164" s="22"/>
      <c r="E164" s="131"/>
      <c r="F164" s="131"/>
      <c r="G164" s="124"/>
      <c r="H164" s="125"/>
      <c r="I164" s="126"/>
      <c r="J164" s="127"/>
      <c r="K164" s="128"/>
      <c r="L164" s="128"/>
      <c r="M164" s="129"/>
      <c r="N164" s="130"/>
      <c r="O164" s="121"/>
      <c r="P164" s="4"/>
      <c r="Q164" s="4"/>
      <c r="R164" s="4"/>
      <c r="S164" s="4"/>
      <c r="T164" s="115"/>
      <c r="U164" s="115"/>
      <c r="V164" s="115"/>
      <c r="W164" s="115"/>
      <c r="X164" s="115"/>
      <c r="Y164" s="115"/>
      <c r="Z164" s="115"/>
      <c r="AA164" s="115"/>
      <c r="AB164" s="115"/>
    </row>
    <row r="165" spans="1:28" ht="13">
      <c r="A165" s="97">
        <f t="shared" si="6"/>
        <v>161</v>
      </c>
      <c r="B165" s="72"/>
      <c r="C165" s="72"/>
      <c r="D165" s="22"/>
      <c r="E165" s="131"/>
      <c r="F165" s="131"/>
      <c r="G165" s="124"/>
      <c r="H165" s="125"/>
      <c r="I165" s="126"/>
      <c r="J165" s="127"/>
      <c r="K165" s="128"/>
      <c r="L165" s="128"/>
      <c r="M165" s="129"/>
      <c r="N165" s="130"/>
      <c r="O165" s="121"/>
      <c r="P165" s="4"/>
      <c r="Q165" s="4"/>
      <c r="R165" s="4"/>
      <c r="S165" s="4"/>
      <c r="T165" s="115"/>
      <c r="U165" s="115"/>
      <c r="V165" s="115"/>
      <c r="W165" s="115"/>
      <c r="X165" s="115"/>
      <c r="Y165" s="115"/>
      <c r="Z165" s="115"/>
      <c r="AA165" s="115"/>
      <c r="AB165" s="115"/>
    </row>
    <row r="166" spans="1:28" ht="13">
      <c r="A166" s="97">
        <f t="shared" si="6"/>
        <v>162</v>
      </c>
      <c r="B166" s="72"/>
      <c r="C166" s="72"/>
      <c r="D166" s="22"/>
      <c r="E166" s="131"/>
      <c r="F166" s="131"/>
      <c r="G166" s="124"/>
      <c r="H166" s="125"/>
      <c r="I166" s="126"/>
      <c r="J166" s="127"/>
      <c r="K166" s="128"/>
      <c r="L166" s="128"/>
      <c r="M166" s="129"/>
      <c r="N166" s="130"/>
      <c r="O166" s="121"/>
      <c r="P166" s="4"/>
      <c r="Q166" s="4"/>
      <c r="R166" s="4"/>
      <c r="S166" s="4"/>
      <c r="T166" s="115"/>
      <c r="U166" s="115"/>
      <c r="V166" s="115"/>
      <c r="W166" s="115"/>
      <c r="X166" s="115"/>
      <c r="Y166" s="115"/>
      <c r="Z166" s="115"/>
      <c r="AA166" s="115"/>
      <c r="AB166" s="115"/>
    </row>
    <row r="167" spans="1:28" ht="13">
      <c r="A167" s="97">
        <f t="shared" si="6"/>
        <v>163</v>
      </c>
      <c r="B167" s="72"/>
      <c r="C167" s="72"/>
      <c r="D167" s="22"/>
      <c r="E167" s="131"/>
      <c r="F167" s="131"/>
      <c r="G167" s="124"/>
      <c r="H167" s="125"/>
      <c r="I167" s="126"/>
      <c r="J167" s="127"/>
      <c r="K167" s="128"/>
      <c r="L167" s="128"/>
      <c r="M167" s="129"/>
      <c r="N167" s="130"/>
      <c r="O167" s="121"/>
      <c r="P167" s="4"/>
      <c r="Q167" s="4"/>
      <c r="R167" s="4"/>
      <c r="S167" s="4"/>
    </row>
    <row r="168" spans="1:28" ht="13">
      <c r="A168" s="97">
        <f t="shared" si="6"/>
        <v>164</v>
      </c>
      <c r="B168" s="72"/>
      <c r="C168" s="72"/>
      <c r="D168" s="22"/>
      <c r="E168" s="131"/>
      <c r="F168" s="131"/>
      <c r="G168" s="124"/>
      <c r="H168" s="125"/>
      <c r="I168" s="126"/>
      <c r="J168" s="127"/>
      <c r="K168" s="128"/>
      <c r="L168" s="128"/>
      <c r="M168" s="129"/>
      <c r="N168" s="130"/>
      <c r="O168" s="121"/>
      <c r="P168" s="4"/>
      <c r="Q168" s="4"/>
      <c r="R168" s="4"/>
      <c r="S168" s="4"/>
      <c r="T168" s="115"/>
      <c r="U168" s="115"/>
      <c r="V168" s="115"/>
      <c r="W168" s="115"/>
      <c r="X168" s="115"/>
      <c r="Y168" s="115"/>
      <c r="Z168" s="115"/>
      <c r="AA168" s="115"/>
      <c r="AB168" s="115"/>
    </row>
    <row r="169" spans="1:28" ht="13">
      <c r="A169" s="97">
        <f t="shared" si="6"/>
        <v>165</v>
      </c>
      <c r="B169" s="72"/>
      <c r="C169" s="72"/>
      <c r="D169" s="22"/>
      <c r="E169" s="131"/>
      <c r="F169" s="131"/>
      <c r="G169" s="124"/>
      <c r="H169" s="125"/>
      <c r="I169" s="126"/>
      <c r="J169" s="127"/>
      <c r="K169" s="128"/>
      <c r="L169" s="128"/>
      <c r="M169" s="129"/>
      <c r="N169" s="130"/>
      <c r="O169" s="121"/>
      <c r="P169" s="4"/>
      <c r="Q169" s="4"/>
      <c r="R169" s="4"/>
      <c r="S169" s="4"/>
    </row>
    <row r="170" spans="1:28" ht="13">
      <c r="A170" s="97">
        <f t="shared" si="6"/>
        <v>166</v>
      </c>
      <c r="B170" s="72"/>
      <c r="C170" s="72"/>
      <c r="D170" s="22"/>
      <c r="E170" s="131"/>
      <c r="F170" s="131"/>
      <c r="G170" s="124"/>
      <c r="H170" s="125"/>
      <c r="I170" s="126"/>
      <c r="J170" s="127"/>
      <c r="K170" s="128"/>
      <c r="L170" s="128"/>
      <c r="M170" s="129"/>
      <c r="N170" s="130"/>
      <c r="O170" s="121"/>
      <c r="P170" s="4"/>
      <c r="Q170" s="4"/>
      <c r="R170" s="4"/>
      <c r="S170" s="4"/>
    </row>
    <row r="171" spans="1:28" ht="13">
      <c r="A171" s="97">
        <f t="shared" si="6"/>
        <v>167</v>
      </c>
      <c r="B171" s="72"/>
      <c r="C171" s="72"/>
      <c r="D171" s="22"/>
      <c r="E171" s="131"/>
      <c r="F171" s="131"/>
      <c r="G171" s="124"/>
      <c r="H171" s="125"/>
      <c r="I171" s="126"/>
      <c r="J171" s="127"/>
      <c r="K171" s="128"/>
      <c r="L171" s="128"/>
      <c r="M171" s="129"/>
      <c r="N171" s="130"/>
      <c r="O171" s="121"/>
      <c r="P171" s="4"/>
      <c r="Q171" s="4"/>
      <c r="R171" s="4"/>
      <c r="S171" s="4"/>
    </row>
    <row r="172" spans="1:28" ht="13">
      <c r="A172" s="97">
        <f t="shared" si="6"/>
        <v>168</v>
      </c>
      <c r="B172" s="72"/>
      <c r="C172" s="72"/>
      <c r="D172" s="22"/>
      <c r="E172" s="131"/>
      <c r="F172" s="131"/>
      <c r="G172" s="124"/>
      <c r="H172" s="125"/>
      <c r="I172" s="126"/>
      <c r="J172" s="127"/>
      <c r="K172" s="128"/>
      <c r="L172" s="128"/>
      <c r="M172" s="129"/>
      <c r="N172" s="130"/>
      <c r="O172" s="121"/>
      <c r="P172" s="4"/>
      <c r="Q172" s="4"/>
      <c r="R172" s="4"/>
      <c r="S172" s="4"/>
      <c r="T172" s="115"/>
      <c r="U172" s="115"/>
      <c r="V172" s="115"/>
      <c r="W172" s="115"/>
      <c r="X172" s="115"/>
      <c r="Y172" s="115"/>
      <c r="Z172" s="115"/>
      <c r="AA172" s="115"/>
      <c r="AB172" s="115"/>
    </row>
    <row r="173" spans="1:28" ht="13">
      <c r="A173" s="97">
        <f t="shared" si="6"/>
        <v>169</v>
      </c>
      <c r="B173" s="72"/>
      <c r="C173" s="72"/>
      <c r="D173" s="22"/>
      <c r="E173" s="131"/>
      <c r="F173" s="131"/>
      <c r="G173" s="124"/>
      <c r="H173" s="125"/>
      <c r="I173" s="126"/>
      <c r="J173" s="127"/>
      <c r="K173" s="128"/>
      <c r="L173" s="128"/>
      <c r="M173" s="129"/>
      <c r="N173" s="130"/>
      <c r="O173" s="121"/>
      <c r="P173" s="4"/>
      <c r="Q173" s="4"/>
      <c r="R173" s="4"/>
      <c r="S173" s="4"/>
    </row>
    <row r="174" spans="1:28" ht="13">
      <c r="A174" s="97">
        <f t="shared" si="6"/>
        <v>170</v>
      </c>
      <c r="B174" s="72"/>
      <c r="C174" s="72"/>
      <c r="D174" s="22"/>
      <c r="E174" s="131"/>
      <c r="F174" s="131"/>
      <c r="G174" s="124"/>
      <c r="H174" s="125"/>
      <c r="I174" s="126"/>
      <c r="J174" s="127"/>
      <c r="K174" s="128"/>
      <c r="L174" s="128"/>
      <c r="M174" s="129"/>
      <c r="N174" s="130"/>
      <c r="O174" s="121"/>
      <c r="P174" s="4"/>
      <c r="Q174" s="4"/>
      <c r="R174" s="4"/>
      <c r="S174" s="4"/>
    </row>
    <row r="175" spans="1:28" ht="13">
      <c r="A175" s="97">
        <f t="shared" si="6"/>
        <v>171</v>
      </c>
      <c r="B175" s="72"/>
      <c r="C175" s="72"/>
      <c r="D175" s="22"/>
      <c r="E175" s="131"/>
      <c r="F175" s="131"/>
      <c r="G175" s="124"/>
      <c r="H175" s="125"/>
      <c r="I175" s="126"/>
      <c r="J175" s="127"/>
      <c r="K175" s="128"/>
      <c r="L175" s="128"/>
      <c r="M175" s="129"/>
      <c r="N175" s="130"/>
      <c r="O175" s="121"/>
      <c r="P175" s="4"/>
      <c r="Q175" s="4"/>
      <c r="R175" s="4"/>
      <c r="S175" s="4"/>
    </row>
    <row r="176" spans="1:28" ht="13">
      <c r="A176" s="97">
        <f t="shared" si="6"/>
        <v>172</v>
      </c>
      <c r="B176" s="72"/>
      <c r="C176" s="72"/>
      <c r="D176" s="22"/>
      <c r="E176" s="131"/>
      <c r="F176" s="131"/>
      <c r="G176" s="124"/>
      <c r="H176" s="125"/>
      <c r="I176" s="126"/>
      <c r="J176" s="127"/>
      <c r="K176" s="128"/>
      <c r="L176" s="128"/>
      <c r="M176" s="129"/>
      <c r="N176" s="130"/>
      <c r="O176" s="121"/>
      <c r="P176" s="4"/>
      <c r="Q176" s="4"/>
      <c r="R176" s="4"/>
      <c r="S176" s="4"/>
    </row>
    <row r="177" spans="1:19" ht="13">
      <c r="A177" s="97">
        <f t="shared" si="6"/>
        <v>173</v>
      </c>
      <c r="B177" s="72"/>
      <c r="C177" s="72"/>
      <c r="D177" s="22"/>
      <c r="E177" s="131"/>
      <c r="F177" s="131"/>
      <c r="G177" s="124"/>
      <c r="H177" s="125"/>
      <c r="I177" s="126"/>
      <c r="J177" s="127"/>
      <c r="K177" s="128"/>
      <c r="L177" s="128"/>
      <c r="M177" s="129"/>
      <c r="N177" s="130"/>
      <c r="O177" s="121"/>
      <c r="P177" s="4"/>
      <c r="Q177" s="4"/>
      <c r="R177" s="4"/>
      <c r="S177" s="4"/>
    </row>
    <row r="178" spans="1:19" ht="13">
      <c r="A178" s="97">
        <f t="shared" si="6"/>
        <v>174</v>
      </c>
      <c r="B178" s="72"/>
      <c r="C178" s="72"/>
      <c r="D178" s="22"/>
      <c r="E178" s="131"/>
      <c r="F178" s="131"/>
      <c r="G178" s="124"/>
      <c r="H178" s="125"/>
      <c r="I178" s="126"/>
      <c r="J178" s="127"/>
      <c r="K178" s="128"/>
      <c r="L178" s="128"/>
      <c r="M178" s="129"/>
      <c r="N178" s="130"/>
      <c r="O178" s="121"/>
      <c r="P178" s="4"/>
      <c r="Q178" s="4"/>
      <c r="R178" s="4"/>
      <c r="S178" s="4"/>
    </row>
    <row r="179" spans="1:19" ht="13">
      <c r="A179" s="97">
        <f t="shared" si="6"/>
        <v>175</v>
      </c>
      <c r="B179" s="72"/>
      <c r="C179" s="72"/>
      <c r="D179" s="22"/>
      <c r="E179" s="131"/>
      <c r="F179" s="131"/>
      <c r="G179" s="124"/>
      <c r="H179" s="125"/>
      <c r="I179" s="126"/>
      <c r="J179" s="127"/>
      <c r="K179" s="128"/>
      <c r="L179" s="128"/>
      <c r="M179" s="129"/>
      <c r="N179" s="130"/>
      <c r="O179" s="121"/>
      <c r="P179" s="4"/>
      <c r="Q179" s="4"/>
      <c r="R179" s="4"/>
      <c r="S179" s="4"/>
    </row>
    <row r="180" spans="1:19" ht="13">
      <c r="A180" s="97">
        <f t="shared" si="6"/>
        <v>176</v>
      </c>
      <c r="B180" s="72"/>
      <c r="C180" s="72"/>
      <c r="D180" s="22"/>
      <c r="E180" s="131"/>
      <c r="F180" s="131"/>
      <c r="G180" s="124"/>
      <c r="H180" s="125"/>
      <c r="I180" s="126"/>
      <c r="J180" s="127"/>
      <c r="K180" s="128"/>
      <c r="L180" s="128"/>
      <c r="M180" s="129"/>
      <c r="N180" s="130"/>
      <c r="O180" s="121"/>
      <c r="P180" s="4"/>
      <c r="Q180" s="4"/>
      <c r="R180" s="4"/>
      <c r="S180" s="4"/>
    </row>
    <row r="181" spans="1:19" ht="13">
      <c r="A181" s="97">
        <f t="shared" si="6"/>
        <v>177</v>
      </c>
      <c r="B181" s="72"/>
      <c r="C181" s="72"/>
      <c r="D181" s="22"/>
      <c r="E181" s="131"/>
      <c r="F181" s="131"/>
      <c r="G181" s="124"/>
      <c r="H181" s="125"/>
      <c r="I181" s="126"/>
      <c r="J181" s="127"/>
      <c r="K181" s="128"/>
      <c r="L181" s="128"/>
      <c r="M181" s="129"/>
      <c r="N181" s="130"/>
      <c r="O181" s="121"/>
      <c r="P181" s="4"/>
      <c r="Q181" s="4"/>
      <c r="R181" s="4"/>
      <c r="S181" s="4"/>
    </row>
    <row r="182" spans="1:19" ht="13">
      <c r="A182" s="97">
        <f t="shared" si="6"/>
        <v>178</v>
      </c>
      <c r="B182" s="72"/>
      <c r="C182" s="72"/>
      <c r="D182" s="22"/>
      <c r="E182" s="131"/>
      <c r="F182" s="131"/>
      <c r="G182" s="124"/>
      <c r="H182" s="125"/>
      <c r="I182" s="126"/>
      <c r="J182" s="127"/>
      <c r="K182" s="128"/>
      <c r="L182" s="128"/>
      <c r="M182" s="129"/>
      <c r="N182" s="130"/>
      <c r="O182" s="121"/>
      <c r="P182" s="4"/>
      <c r="Q182" s="4"/>
      <c r="R182" s="4"/>
      <c r="S182" s="4"/>
    </row>
    <row r="183" spans="1:19" ht="13">
      <c r="A183" s="97">
        <f t="shared" si="6"/>
        <v>179</v>
      </c>
      <c r="B183" s="72"/>
      <c r="C183" s="72"/>
      <c r="D183" s="22"/>
      <c r="E183" s="131"/>
      <c r="F183" s="131"/>
      <c r="G183" s="124"/>
      <c r="H183" s="125"/>
      <c r="I183" s="126"/>
      <c r="J183" s="127"/>
      <c r="K183" s="128"/>
      <c r="L183" s="128"/>
      <c r="M183" s="129"/>
      <c r="N183" s="130"/>
      <c r="O183" s="121"/>
      <c r="P183" s="4"/>
      <c r="Q183" s="4"/>
      <c r="R183" s="4"/>
      <c r="S183" s="4"/>
    </row>
    <row r="184" spans="1:19" ht="13">
      <c r="A184" s="97">
        <f t="shared" si="6"/>
        <v>180</v>
      </c>
      <c r="B184" s="72"/>
      <c r="C184" s="72"/>
      <c r="D184" s="22"/>
      <c r="E184" s="131"/>
      <c r="F184" s="131"/>
      <c r="G184" s="124"/>
      <c r="H184" s="125"/>
      <c r="I184" s="126"/>
      <c r="J184" s="127"/>
      <c r="K184" s="128"/>
      <c r="L184" s="128"/>
      <c r="M184" s="129"/>
      <c r="N184" s="130"/>
      <c r="O184" s="121"/>
      <c r="P184" s="4"/>
      <c r="Q184" s="4"/>
      <c r="R184" s="4"/>
      <c r="S184" s="4"/>
    </row>
    <row r="185" spans="1:19" ht="13">
      <c r="A185" s="97">
        <f t="shared" si="6"/>
        <v>181</v>
      </c>
      <c r="B185" s="72"/>
      <c r="C185" s="72"/>
      <c r="D185" s="22"/>
      <c r="E185" s="131"/>
      <c r="F185" s="131"/>
      <c r="G185" s="124"/>
      <c r="H185" s="125"/>
      <c r="I185" s="126"/>
      <c r="J185" s="127"/>
      <c r="K185" s="128"/>
      <c r="L185" s="128"/>
      <c r="M185" s="129"/>
      <c r="N185" s="130"/>
      <c r="O185" s="121"/>
      <c r="P185" s="4"/>
      <c r="Q185" s="4"/>
      <c r="R185" s="4"/>
      <c r="S185" s="4"/>
    </row>
    <row r="186" spans="1:19" ht="13">
      <c r="A186" s="97">
        <f t="shared" si="6"/>
        <v>182</v>
      </c>
      <c r="B186" s="72"/>
      <c r="C186" s="72"/>
      <c r="D186" s="22"/>
      <c r="E186" s="131"/>
      <c r="F186" s="131"/>
      <c r="G186" s="124"/>
      <c r="H186" s="125"/>
      <c r="I186" s="126"/>
      <c r="J186" s="127"/>
      <c r="K186" s="128"/>
      <c r="L186" s="128"/>
      <c r="M186" s="129"/>
      <c r="N186" s="130"/>
      <c r="O186" s="121"/>
      <c r="P186" s="4"/>
      <c r="Q186" s="4"/>
      <c r="R186" s="4"/>
      <c r="S186" s="4"/>
    </row>
    <row r="187" spans="1:19" ht="13">
      <c r="A187" s="97">
        <f t="shared" si="6"/>
        <v>183</v>
      </c>
      <c r="B187" s="72"/>
      <c r="C187" s="72"/>
      <c r="D187" s="22"/>
      <c r="E187" s="131"/>
      <c r="F187" s="131"/>
      <c r="G187" s="124"/>
      <c r="H187" s="125"/>
      <c r="I187" s="126"/>
      <c r="J187" s="127"/>
      <c r="K187" s="128"/>
      <c r="L187" s="128"/>
      <c r="M187" s="129"/>
      <c r="N187" s="130"/>
      <c r="O187" s="121"/>
      <c r="P187" s="4"/>
      <c r="Q187" s="4"/>
      <c r="R187" s="4"/>
      <c r="S187" s="4"/>
    </row>
    <row r="188" spans="1:19" ht="13">
      <c r="A188" s="97">
        <f t="shared" si="6"/>
        <v>184</v>
      </c>
      <c r="B188" s="72"/>
      <c r="C188" s="72"/>
      <c r="D188" s="22"/>
      <c r="E188" s="131"/>
      <c r="F188" s="131"/>
      <c r="G188" s="124"/>
      <c r="H188" s="125"/>
      <c r="I188" s="126"/>
      <c r="J188" s="127"/>
      <c r="K188" s="128"/>
      <c r="L188" s="128"/>
      <c r="M188" s="129"/>
      <c r="N188" s="130"/>
      <c r="O188" s="121"/>
      <c r="P188" s="4"/>
      <c r="Q188" s="4"/>
      <c r="R188" s="4"/>
      <c r="S188" s="4"/>
    </row>
    <row r="189" spans="1:19" ht="13">
      <c r="A189" s="97">
        <f t="shared" si="6"/>
        <v>185</v>
      </c>
      <c r="B189" s="72"/>
      <c r="C189" s="72"/>
      <c r="D189" s="22"/>
      <c r="E189" s="131"/>
      <c r="F189" s="131"/>
      <c r="G189" s="124"/>
      <c r="H189" s="125"/>
      <c r="I189" s="126"/>
      <c r="J189" s="127"/>
      <c r="K189" s="128"/>
      <c r="L189" s="128"/>
      <c r="M189" s="129"/>
      <c r="N189" s="130"/>
      <c r="O189" s="121"/>
      <c r="P189" s="4"/>
      <c r="Q189" s="4"/>
      <c r="R189" s="4"/>
      <c r="S189" s="4"/>
    </row>
    <row r="190" spans="1:19" ht="13">
      <c r="A190" s="97">
        <f t="shared" si="6"/>
        <v>186</v>
      </c>
      <c r="B190" s="72"/>
      <c r="C190" s="72"/>
      <c r="D190" s="22"/>
      <c r="E190" s="131"/>
      <c r="F190" s="131"/>
      <c r="G190" s="124"/>
      <c r="H190" s="125"/>
      <c r="I190" s="126"/>
      <c r="J190" s="127"/>
      <c r="K190" s="128"/>
      <c r="L190" s="128"/>
      <c r="M190" s="129"/>
      <c r="N190" s="130"/>
      <c r="O190" s="121"/>
      <c r="P190" s="4"/>
      <c r="Q190" s="4"/>
      <c r="R190" s="4"/>
      <c r="S190" s="4"/>
    </row>
    <row r="191" spans="1:19" ht="13">
      <c r="A191" s="97">
        <f t="shared" si="6"/>
        <v>187</v>
      </c>
      <c r="B191" s="72"/>
      <c r="C191" s="72"/>
      <c r="D191" s="22"/>
      <c r="E191" s="131"/>
      <c r="F191" s="131"/>
      <c r="G191" s="124"/>
      <c r="H191" s="125"/>
      <c r="I191" s="126"/>
      <c r="J191" s="127"/>
      <c r="K191" s="128"/>
      <c r="L191" s="128"/>
      <c r="M191" s="129"/>
      <c r="N191" s="130"/>
      <c r="O191" s="121"/>
      <c r="P191" s="4"/>
      <c r="Q191" s="4"/>
      <c r="R191" s="4"/>
      <c r="S191" s="4"/>
    </row>
    <row r="192" spans="1:19" ht="13">
      <c r="A192" s="97">
        <f t="shared" si="6"/>
        <v>188</v>
      </c>
      <c r="B192" s="72"/>
      <c r="C192" s="72"/>
      <c r="D192" s="22"/>
      <c r="E192" s="131"/>
      <c r="F192" s="131"/>
      <c r="G192" s="124"/>
      <c r="H192" s="125"/>
      <c r="I192" s="126"/>
      <c r="J192" s="127"/>
      <c r="K192" s="128"/>
      <c r="L192" s="128"/>
      <c r="M192" s="129"/>
      <c r="N192" s="130"/>
      <c r="O192" s="121"/>
      <c r="P192" s="4"/>
      <c r="Q192" s="4"/>
      <c r="R192" s="4"/>
      <c r="S192" s="4"/>
    </row>
    <row r="193" spans="1:19" ht="13">
      <c r="A193" s="97">
        <f t="shared" si="6"/>
        <v>189</v>
      </c>
      <c r="B193" s="72"/>
      <c r="C193" s="72"/>
      <c r="D193" s="22"/>
      <c r="E193" s="131"/>
      <c r="F193" s="131"/>
      <c r="G193" s="124"/>
      <c r="H193" s="125"/>
      <c r="I193" s="126"/>
      <c r="J193" s="127"/>
      <c r="K193" s="128"/>
      <c r="L193" s="128"/>
      <c r="M193" s="129"/>
      <c r="N193" s="130"/>
      <c r="O193" s="121"/>
      <c r="P193" s="4"/>
      <c r="Q193" s="4"/>
      <c r="R193" s="4"/>
      <c r="S193" s="4"/>
    </row>
    <row r="194" spans="1:19" ht="13">
      <c r="A194" s="97">
        <f t="shared" si="6"/>
        <v>190</v>
      </c>
      <c r="B194" s="72"/>
      <c r="C194" s="72"/>
      <c r="D194" s="22"/>
      <c r="E194" s="131"/>
      <c r="F194" s="131"/>
      <c r="G194" s="124"/>
      <c r="H194" s="125"/>
      <c r="I194" s="126"/>
      <c r="J194" s="127"/>
      <c r="K194" s="128"/>
      <c r="L194" s="128"/>
      <c r="M194" s="129"/>
      <c r="N194" s="130"/>
      <c r="O194" s="121"/>
      <c r="P194" s="4"/>
      <c r="Q194" s="4"/>
      <c r="R194" s="4"/>
      <c r="S194" s="4"/>
    </row>
    <row r="195" spans="1:19" ht="13">
      <c r="A195" s="97">
        <f t="shared" si="6"/>
        <v>191</v>
      </c>
      <c r="B195" s="72"/>
      <c r="C195" s="72"/>
      <c r="D195" s="22"/>
      <c r="E195" s="131"/>
      <c r="F195" s="131"/>
      <c r="G195" s="124"/>
      <c r="H195" s="125"/>
      <c r="I195" s="126"/>
      <c r="J195" s="127"/>
      <c r="K195" s="128"/>
      <c r="L195" s="128"/>
      <c r="M195" s="129"/>
      <c r="N195" s="130"/>
      <c r="O195" s="121"/>
      <c r="P195" s="4"/>
      <c r="Q195" s="4"/>
      <c r="R195" s="4"/>
      <c r="S195" s="4"/>
    </row>
    <row r="196" spans="1:19" ht="13">
      <c r="A196" s="97">
        <f t="shared" si="6"/>
        <v>192</v>
      </c>
      <c r="B196" s="72"/>
      <c r="C196" s="72"/>
      <c r="D196" s="22"/>
      <c r="E196" s="131"/>
      <c r="F196" s="131"/>
      <c r="G196" s="124"/>
      <c r="H196" s="125"/>
      <c r="I196" s="126"/>
      <c r="J196" s="127"/>
      <c r="K196" s="128"/>
      <c r="L196" s="128"/>
      <c r="M196" s="129"/>
      <c r="N196" s="130"/>
      <c r="O196" s="121"/>
      <c r="P196" s="4"/>
      <c r="Q196" s="4"/>
      <c r="R196" s="4"/>
      <c r="S196" s="4"/>
    </row>
    <row r="197" spans="1:19" ht="13">
      <c r="A197" s="97">
        <f t="shared" si="6"/>
        <v>193</v>
      </c>
      <c r="B197" s="72"/>
      <c r="C197" s="72"/>
      <c r="D197" s="22"/>
      <c r="E197" s="131"/>
      <c r="F197" s="131"/>
      <c r="G197" s="124"/>
      <c r="H197" s="125"/>
      <c r="I197" s="126"/>
      <c r="J197" s="127"/>
      <c r="K197" s="128"/>
      <c r="L197" s="128"/>
      <c r="M197" s="129"/>
      <c r="N197" s="130"/>
      <c r="O197" s="121"/>
      <c r="P197" s="4"/>
      <c r="Q197" s="4"/>
      <c r="R197" s="4"/>
      <c r="S197" s="4"/>
    </row>
    <row r="198" spans="1:19" ht="13">
      <c r="A198" s="97">
        <f t="shared" si="6"/>
        <v>194</v>
      </c>
      <c r="B198" s="72"/>
      <c r="C198" s="72"/>
      <c r="D198" s="22"/>
      <c r="E198" s="131"/>
      <c r="F198" s="131"/>
      <c r="G198" s="124"/>
      <c r="H198" s="125"/>
      <c r="I198" s="126"/>
      <c r="J198" s="127"/>
      <c r="K198" s="128"/>
      <c r="L198" s="128"/>
      <c r="M198" s="129"/>
      <c r="N198" s="130"/>
      <c r="O198" s="121"/>
      <c r="P198" s="4"/>
      <c r="Q198" s="4"/>
      <c r="R198" s="4"/>
      <c r="S198" s="4"/>
    </row>
    <row r="199" spans="1:19" ht="13">
      <c r="A199" s="97">
        <f t="shared" si="6"/>
        <v>195</v>
      </c>
      <c r="B199" s="72"/>
      <c r="C199" s="72"/>
      <c r="D199" s="22"/>
      <c r="E199" s="131"/>
      <c r="F199" s="131"/>
      <c r="G199" s="124"/>
      <c r="H199" s="125"/>
      <c r="I199" s="126"/>
      <c r="J199" s="127"/>
      <c r="K199" s="128"/>
      <c r="L199" s="128"/>
      <c r="M199" s="129"/>
      <c r="N199" s="130"/>
      <c r="O199" s="121"/>
      <c r="P199" s="4"/>
      <c r="Q199" s="4"/>
      <c r="R199" s="4"/>
      <c r="S199" s="4"/>
    </row>
    <row r="200" spans="1:19" ht="13">
      <c r="A200" s="97">
        <f t="shared" si="6"/>
        <v>196</v>
      </c>
      <c r="B200" s="72"/>
      <c r="C200" s="72"/>
      <c r="D200" s="22"/>
      <c r="E200" s="131"/>
      <c r="F200" s="131"/>
      <c r="G200" s="124"/>
      <c r="H200" s="125"/>
      <c r="I200" s="126"/>
      <c r="J200" s="127"/>
      <c r="K200" s="128"/>
      <c r="L200" s="128"/>
      <c r="M200" s="129"/>
      <c r="N200" s="130"/>
      <c r="O200" s="121"/>
      <c r="P200" s="4"/>
      <c r="Q200" s="4"/>
      <c r="R200" s="4"/>
      <c r="S200" s="4"/>
    </row>
    <row r="201" spans="1:19" ht="13">
      <c r="A201" s="97">
        <f t="shared" si="6"/>
        <v>197</v>
      </c>
      <c r="B201" s="72"/>
      <c r="C201" s="72"/>
      <c r="D201" s="22"/>
      <c r="E201" s="131"/>
      <c r="F201" s="131"/>
      <c r="G201" s="124"/>
      <c r="H201" s="125"/>
      <c r="I201" s="126"/>
      <c r="J201" s="127"/>
      <c r="K201" s="128"/>
      <c r="L201" s="128"/>
      <c r="M201" s="129"/>
      <c r="N201" s="130"/>
      <c r="O201" s="121"/>
      <c r="P201" s="4"/>
      <c r="Q201" s="4"/>
      <c r="R201" s="4"/>
      <c r="S201" s="4"/>
    </row>
    <row r="202" spans="1:19" ht="13">
      <c r="A202" s="97">
        <f t="shared" si="6"/>
        <v>198</v>
      </c>
      <c r="B202" s="72"/>
      <c r="C202" s="72"/>
      <c r="D202" s="22"/>
      <c r="E202" s="131"/>
      <c r="F202" s="131"/>
      <c r="G202" s="124"/>
      <c r="H202" s="125"/>
      <c r="I202" s="126"/>
      <c r="J202" s="127"/>
      <c r="K202" s="128"/>
      <c r="L202" s="128"/>
      <c r="M202" s="129"/>
      <c r="N202" s="130"/>
      <c r="O202" s="121"/>
      <c r="P202" s="4"/>
      <c r="Q202" s="4"/>
      <c r="R202" s="4"/>
      <c r="S202" s="4"/>
    </row>
    <row r="203" spans="1:19" ht="13">
      <c r="A203" s="97">
        <f t="shared" si="6"/>
        <v>199</v>
      </c>
      <c r="B203" s="72"/>
      <c r="C203" s="72"/>
      <c r="D203" s="22"/>
      <c r="E203" s="131"/>
      <c r="F203" s="131"/>
      <c r="G203" s="124"/>
      <c r="H203" s="125"/>
      <c r="I203" s="126"/>
      <c r="J203" s="127"/>
      <c r="K203" s="128"/>
      <c r="L203" s="128"/>
      <c r="M203" s="129"/>
      <c r="N203" s="130"/>
      <c r="O203" s="121"/>
      <c r="P203" s="4"/>
      <c r="Q203" s="4"/>
      <c r="R203" s="4"/>
      <c r="S203" s="4"/>
    </row>
    <row r="204" spans="1:19" ht="13">
      <c r="A204" s="97">
        <f t="shared" si="6"/>
        <v>200</v>
      </c>
      <c r="B204" s="72"/>
      <c r="C204" s="72"/>
      <c r="D204" s="22"/>
      <c r="E204" s="131"/>
      <c r="F204" s="131"/>
      <c r="G204" s="124"/>
      <c r="H204" s="125"/>
      <c r="I204" s="126"/>
      <c r="J204" s="127"/>
      <c r="K204" s="128"/>
      <c r="L204" s="128"/>
      <c r="M204" s="129"/>
      <c r="N204" s="130"/>
      <c r="O204" s="121"/>
      <c r="P204" s="4"/>
      <c r="Q204" s="4"/>
      <c r="R204" s="4"/>
      <c r="S204" s="4"/>
    </row>
    <row r="205" spans="1:19" ht="13">
      <c r="A205" s="97">
        <f t="shared" si="6"/>
        <v>201</v>
      </c>
      <c r="B205" s="72"/>
      <c r="C205" s="72"/>
      <c r="D205" s="22"/>
      <c r="E205" s="131"/>
      <c r="F205" s="131"/>
      <c r="G205" s="124"/>
      <c r="H205" s="125"/>
      <c r="I205" s="126"/>
      <c r="J205" s="127"/>
      <c r="K205" s="128"/>
      <c r="L205" s="128"/>
      <c r="M205" s="129"/>
      <c r="N205" s="130"/>
      <c r="O205" s="121"/>
      <c r="P205" s="4"/>
      <c r="Q205" s="4"/>
      <c r="R205" s="4"/>
      <c r="S205" s="4"/>
    </row>
    <row r="206" spans="1:19" ht="13">
      <c r="A206" s="97">
        <f t="shared" si="6"/>
        <v>202</v>
      </c>
      <c r="B206" s="72"/>
      <c r="C206" s="72"/>
      <c r="D206" s="22"/>
      <c r="E206" s="131"/>
      <c r="F206" s="131"/>
      <c r="G206" s="124"/>
      <c r="H206" s="125"/>
      <c r="I206" s="126"/>
      <c r="J206" s="127"/>
      <c r="K206" s="128"/>
      <c r="L206" s="128"/>
      <c r="M206" s="129"/>
      <c r="N206" s="130"/>
      <c r="O206" s="121"/>
      <c r="P206" s="4"/>
      <c r="Q206" s="4"/>
      <c r="R206" s="4"/>
      <c r="S206" s="4"/>
    </row>
    <row r="207" spans="1:19" ht="13">
      <c r="A207" s="97">
        <f t="shared" si="6"/>
        <v>203</v>
      </c>
      <c r="B207" s="72"/>
      <c r="C207" s="72"/>
      <c r="D207" s="22"/>
      <c r="E207" s="131"/>
      <c r="F207" s="131"/>
      <c r="G207" s="124"/>
      <c r="H207" s="125"/>
      <c r="I207" s="126"/>
      <c r="J207" s="127"/>
      <c r="K207" s="128"/>
      <c r="L207" s="128"/>
      <c r="M207" s="129"/>
      <c r="N207" s="130"/>
      <c r="O207" s="121"/>
      <c r="P207" s="4"/>
      <c r="Q207" s="4"/>
      <c r="R207" s="4"/>
      <c r="S207" s="4"/>
    </row>
    <row r="208" spans="1:19" ht="13">
      <c r="A208" s="97">
        <f t="shared" si="6"/>
        <v>204</v>
      </c>
      <c r="B208" s="72"/>
      <c r="C208" s="72"/>
      <c r="D208" s="22"/>
      <c r="E208" s="131"/>
      <c r="F208" s="131"/>
      <c r="G208" s="124"/>
      <c r="H208" s="125"/>
      <c r="I208" s="126"/>
      <c r="J208" s="127"/>
      <c r="K208" s="128"/>
      <c r="L208" s="128"/>
      <c r="M208" s="129"/>
      <c r="N208" s="130"/>
      <c r="O208" s="121"/>
      <c r="P208" s="4"/>
      <c r="Q208" s="4"/>
      <c r="R208" s="4"/>
      <c r="S208" s="4"/>
    </row>
    <row r="209" spans="1:19" ht="13">
      <c r="A209" s="97">
        <f t="shared" si="6"/>
        <v>205</v>
      </c>
      <c r="B209" s="72"/>
      <c r="C209" s="72"/>
      <c r="D209" s="22"/>
      <c r="E209" s="131"/>
      <c r="F209" s="131"/>
      <c r="G209" s="124"/>
      <c r="H209" s="125"/>
      <c r="I209" s="126"/>
      <c r="J209" s="127"/>
      <c r="K209" s="128"/>
      <c r="L209" s="128"/>
      <c r="M209" s="129"/>
      <c r="N209" s="130"/>
      <c r="O209" s="121"/>
      <c r="P209" s="4"/>
      <c r="Q209" s="4"/>
      <c r="R209" s="4"/>
      <c r="S209" s="4"/>
    </row>
    <row r="210" spans="1:19" ht="13">
      <c r="A210" s="97">
        <f t="shared" si="6"/>
        <v>206</v>
      </c>
      <c r="B210" s="72"/>
      <c r="C210" s="72"/>
      <c r="D210" s="22"/>
      <c r="E210" s="131"/>
      <c r="F210" s="131"/>
      <c r="G210" s="124"/>
      <c r="H210" s="125"/>
      <c r="I210" s="126"/>
      <c r="J210" s="127"/>
      <c r="K210" s="128"/>
      <c r="L210" s="128"/>
      <c r="M210" s="129"/>
      <c r="N210" s="130"/>
      <c r="O210" s="121"/>
      <c r="P210" s="4"/>
      <c r="Q210" s="4"/>
      <c r="R210" s="4"/>
      <c r="S210" s="4"/>
    </row>
    <row r="211" spans="1:19" ht="13">
      <c r="A211" s="97">
        <f t="shared" si="6"/>
        <v>207</v>
      </c>
      <c r="B211" s="72"/>
      <c r="C211" s="72"/>
      <c r="D211" s="22"/>
      <c r="E211" s="131"/>
      <c r="F211" s="131"/>
      <c r="G211" s="124"/>
      <c r="H211" s="125"/>
      <c r="I211" s="126"/>
      <c r="J211" s="127"/>
      <c r="K211" s="128"/>
      <c r="L211" s="128"/>
      <c r="M211" s="129"/>
      <c r="N211" s="130"/>
      <c r="O211" s="121"/>
      <c r="P211" s="4"/>
      <c r="Q211" s="4"/>
      <c r="R211" s="4"/>
      <c r="S211" s="4"/>
    </row>
    <row r="212" spans="1:19" ht="13">
      <c r="A212" s="97">
        <f t="shared" si="6"/>
        <v>208</v>
      </c>
      <c r="B212" s="72"/>
      <c r="C212" s="72"/>
      <c r="D212" s="22"/>
      <c r="E212" s="131"/>
      <c r="F212" s="131"/>
      <c r="G212" s="124"/>
      <c r="H212" s="125"/>
      <c r="I212" s="126"/>
      <c r="J212" s="127"/>
      <c r="K212" s="128"/>
      <c r="L212" s="128"/>
      <c r="M212" s="129"/>
      <c r="N212" s="130"/>
      <c r="O212" s="121"/>
      <c r="P212" s="4"/>
      <c r="Q212" s="4"/>
      <c r="R212" s="4"/>
      <c r="S212" s="4"/>
    </row>
    <row r="213" spans="1:19" ht="13">
      <c r="A213" s="97">
        <f t="shared" si="6"/>
        <v>209</v>
      </c>
      <c r="B213" s="72"/>
      <c r="C213" s="72"/>
      <c r="D213" s="22"/>
      <c r="E213" s="131"/>
      <c r="F213" s="131"/>
      <c r="G213" s="124"/>
      <c r="H213" s="125"/>
      <c r="I213" s="126"/>
      <c r="J213" s="127"/>
      <c r="K213" s="128"/>
      <c r="L213" s="128"/>
      <c r="M213" s="129"/>
      <c r="N213" s="130"/>
      <c r="O213" s="121"/>
      <c r="P213" s="4"/>
      <c r="Q213" s="4"/>
      <c r="R213" s="4"/>
      <c r="S213" s="4"/>
    </row>
    <row r="214" spans="1:19" ht="13">
      <c r="A214" s="97">
        <f t="shared" si="6"/>
        <v>210</v>
      </c>
      <c r="B214" s="72"/>
      <c r="C214" s="72"/>
      <c r="D214" s="22"/>
      <c r="E214" s="131"/>
      <c r="F214" s="131"/>
      <c r="G214" s="124"/>
      <c r="H214" s="125"/>
      <c r="I214" s="126"/>
      <c r="J214" s="127"/>
      <c r="K214" s="128"/>
      <c r="L214" s="128"/>
      <c r="M214" s="129"/>
      <c r="N214" s="130"/>
      <c r="O214" s="121"/>
      <c r="P214" s="4"/>
      <c r="Q214" s="4"/>
      <c r="R214" s="4"/>
      <c r="S214" s="4"/>
    </row>
    <row r="215" spans="1:19" ht="13">
      <c r="A215" s="97">
        <f t="shared" si="6"/>
        <v>211</v>
      </c>
      <c r="B215" s="72"/>
      <c r="C215" s="72"/>
      <c r="D215" s="22"/>
      <c r="E215" s="131"/>
      <c r="F215" s="131"/>
      <c r="G215" s="124"/>
      <c r="H215" s="125"/>
      <c r="I215" s="126"/>
      <c r="J215" s="127"/>
      <c r="K215" s="128"/>
      <c r="L215" s="128"/>
      <c r="M215" s="129"/>
      <c r="N215" s="130"/>
      <c r="O215" s="121"/>
      <c r="P215" s="4"/>
      <c r="Q215" s="4"/>
      <c r="R215" s="4"/>
      <c r="S215" s="4"/>
    </row>
    <row r="216" spans="1:19" ht="13">
      <c r="A216" s="97">
        <f t="shared" si="6"/>
        <v>212</v>
      </c>
      <c r="B216" s="72"/>
      <c r="C216" s="72"/>
      <c r="D216" s="22"/>
      <c r="E216" s="131"/>
      <c r="F216" s="131"/>
      <c r="G216" s="124"/>
      <c r="H216" s="125"/>
      <c r="I216" s="126"/>
      <c r="J216" s="127"/>
      <c r="K216" s="128"/>
      <c r="L216" s="128"/>
      <c r="M216" s="129"/>
      <c r="N216" s="130"/>
      <c r="O216" s="121"/>
      <c r="P216" s="4"/>
      <c r="Q216" s="4"/>
      <c r="R216" s="4"/>
      <c r="S216" s="4"/>
    </row>
    <row r="217" spans="1:19" ht="13">
      <c r="A217" s="97">
        <f t="shared" si="6"/>
        <v>213</v>
      </c>
      <c r="B217" s="72"/>
      <c r="C217" s="72"/>
      <c r="D217" s="22"/>
      <c r="E217" s="131"/>
      <c r="F217" s="131"/>
      <c r="G217" s="124"/>
      <c r="H217" s="125"/>
      <c r="I217" s="126"/>
      <c r="J217" s="127"/>
      <c r="K217" s="128"/>
      <c r="L217" s="128"/>
      <c r="M217" s="129"/>
      <c r="N217" s="130"/>
      <c r="O217" s="121"/>
      <c r="P217" s="4"/>
      <c r="Q217" s="4"/>
      <c r="R217" s="4"/>
      <c r="S217" s="4"/>
    </row>
    <row r="218" spans="1:19" ht="13">
      <c r="A218" s="79" t="s">
        <v>1283</v>
      </c>
      <c r="B218" s="79" t="s">
        <v>1283</v>
      </c>
      <c r="C218" s="79" t="s">
        <v>1283</v>
      </c>
      <c r="D218" s="79" t="s">
        <v>1283</v>
      </c>
      <c r="E218" s="79"/>
      <c r="F218" s="79" t="s">
        <v>1283</v>
      </c>
      <c r="G218" s="79" t="s">
        <v>1283</v>
      </c>
      <c r="H218" s="79" t="s">
        <v>1283</v>
      </c>
      <c r="I218" s="79" t="s">
        <v>1283</v>
      </c>
      <c r="J218" s="79" t="s">
        <v>1283</v>
      </c>
      <c r="K218" s="79" t="s">
        <v>1283</v>
      </c>
      <c r="L218" s="79" t="s">
        <v>1283</v>
      </c>
      <c r="M218" s="79" t="s">
        <v>1283</v>
      </c>
      <c r="N218" s="79" t="s">
        <v>1283</v>
      </c>
      <c r="O218" s="4"/>
      <c r="P218" s="4"/>
      <c r="Q218" s="4"/>
      <c r="R218" s="4"/>
      <c r="S218" s="4"/>
    </row>
    <row r="256" spans="7:7" ht="13">
      <c r="G256" s="132"/>
    </row>
  </sheetData>
  <mergeCells count="2">
    <mergeCell ref="H3:J3"/>
    <mergeCell ref="K3:N3"/>
  </mergeCell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ErrorMessage="1" xr:uid="{00000000-0002-0000-0100-000000000000}">
          <x14:formula1>
            <xm:f>Master!$V$7:$V$1000</xm:f>
          </x14:formula1>
          <xm:sqref>D5:D217</xm:sqref>
        </x14:dataValidation>
        <x14:dataValidation type="list" allowBlank="1" showErrorMessage="1" xr:uid="{00000000-0002-0000-0100-000001000000}">
          <x14:formula1>
            <xm:f>Master!$P$7:$P$15</xm:f>
          </x14:formula1>
          <xm:sqref>B5:B217</xm:sqref>
        </x14:dataValidation>
        <x14:dataValidation type="list" allowBlank="1" showErrorMessage="1" xr:uid="{00000000-0002-0000-0100-000002000000}">
          <x14:formula1>
            <xm:f>Master!$T$7:$T$30</xm:f>
          </x14:formula1>
          <xm:sqref>C5:C217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2105"/>
  <sheetViews>
    <sheetView topLeftCell="A5" workbookViewId="0">
      <selection activeCell="C36" sqref="C36"/>
    </sheetView>
  </sheetViews>
  <sheetFormatPr baseColWidth="10" defaultColWidth="12.6640625" defaultRowHeight="15.75" customHeight="1"/>
  <cols>
    <col min="2" max="2" width="28.33203125" customWidth="1"/>
    <col min="3" max="3" width="30.6640625" customWidth="1"/>
    <col min="12" max="27" width="12.6640625" hidden="1"/>
  </cols>
  <sheetData>
    <row r="1" spans="1:11" ht="18">
      <c r="A1" s="418" t="s">
        <v>1335</v>
      </c>
      <c r="B1" s="419"/>
      <c r="C1" s="419"/>
      <c r="D1" s="4"/>
      <c r="E1" s="4"/>
      <c r="F1" s="4"/>
      <c r="G1" s="4"/>
      <c r="H1" s="4"/>
      <c r="I1" s="4"/>
      <c r="J1" s="4"/>
    </row>
    <row r="2" spans="1:11" ht="18">
      <c r="A2" s="418" t="s">
        <v>2</v>
      </c>
      <c r="B2" s="419"/>
      <c r="C2" s="419"/>
      <c r="D2" s="4"/>
      <c r="E2" s="4"/>
      <c r="F2" s="4"/>
      <c r="G2" s="4"/>
      <c r="H2" s="4"/>
      <c r="I2" s="4"/>
      <c r="J2" s="4"/>
    </row>
    <row r="3" spans="1:11" ht="15.75" customHeight="1">
      <c r="A3" s="4"/>
      <c r="B3" s="4"/>
      <c r="C3" s="4"/>
      <c r="D3" s="4"/>
      <c r="E3" s="4"/>
      <c r="F3" s="4"/>
      <c r="G3" s="4"/>
      <c r="H3" s="4"/>
      <c r="I3" s="4"/>
      <c r="J3" s="4"/>
    </row>
    <row r="4" spans="1:11" ht="15.75" customHeight="1">
      <c r="A4" s="90"/>
      <c r="B4" s="90"/>
      <c r="C4" s="90"/>
      <c r="D4" s="90"/>
      <c r="E4" s="90"/>
      <c r="F4" s="90"/>
      <c r="G4" s="90"/>
      <c r="H4" s="90"/>
      <c r="I4" s="90"/>
      <c r="J4" s="4"/>
    </row>
    <row r="5" spans="1:11" ht="15.75" customHeight="1">
      <c r="A5" s="133" t="s">
        <v>5</v>
      </c>
      <c r="B5" s="92" t="s">
        <v>19</v>
      </c>
      <c r="C5" s="92" t="s">
        <v>1336</v>
      </c>
      <c r="D5" s="93" t="s">
        <v>1337</v>
      </c>
      <c r="E5" s="92" t="s">
        <v>1338</v>
      </c>
      <c r="F5" s="93" t="s">
        <v>1339</v>
      </c>
      <c r="G5" s="93" t="s">
        <v>1340</v>
      </c>
      <c r="H5" s="93" t="s">
        <v>1341</v>
      </c>
      <c r="I5" s="93" t="s">
        <v>1286</v>
      </c>
      <c r="J5" s="93" t="s">
        <v>1289</v>
      </c>
      <c r="K5" s="93" t="s">
        <v>1342</v>
      </c>
    </row>
    <row r="6" spans="1:11" ht="15.75" customHeight="1">
      <c r="A6" s="134" t="str">
        <f>VLOOKUP(B6,Master!$V$7:$W$150,2,FALSE)</f>
        <v>M0049</v>
      </c>
      <c r="B6" s="135" t="s">
        <v>388</v>
      </c>
      <c r="C6" s="136"/>
      <c r="D6" s="136"/>
      <c r="E6" s="137"/>
      <c r="F6" s="136"/>
      <c r="G6" s="138">
        <f>SUM(G7:G18)</f>
        <v>4425.6499999999996</v>
      </c>
      <c r="H6" s="139">
        <v>0.1</v>
      </c>
      <c r="I6" s="138">
        <f>G6+(G6*H6)</f>
        <v>4868.2149999999992</v>
      </c>
      <c r="J6" s="140" t="b">
        <v>0</v>
      </c>
      <c r="K6" s="140" t="b">
        <v>0</v>
      </c>
    </row>
    <row r="7" spans="1:11" ht="15.75" customHeight="1">
      <c r="A7" s="141"/>
      <c r="B7" s="4"/>
      <c r="C7" s="4" t="s">
        <v>795</v>
      </c>
      <c r="D7" s="142">
        <v>3</v>
      </c>
      <c r="E7" s="4" t="str">
        <f>VLOOKUP(C7,Master!$B$6:$N$1000,9,FALSE)</f>
        <v>unit</v>
      </c>
      <c r="F7" s="143">
        <f>VLOOKUP(C7,Master!$B$6:$N$1000,10,FALSE)</f>
        <v>800</v>
      </c>
      <c r="G7" s="144">
        <f t="shared" ref="G7:G16" si="0">D7*F7</f>
        <v>2400</v>
      </c>
      <c r="H7" s="145"/>
      <c r="I7" s="145"/>
      <c r="J7" s="145"/>
    </row>
    <row r="8" spans="1:11" ht="15.75" customHeight="1">
      <c r="A8" s="141"/>
      <c r="B8" s="4"/>
      <c r="C8" s="4" t="s">
        <v>671</v>
      </c>
      <c r="D8" s="146">
        <v>5</v>
      </c>
      <c r="E8" s="4" t="str">
        <f>VLOOKUP(C8,Master!$B$6:$N$1000,9,FALSE)</f>
        <v>gr</v>
      </c>
      <c r="F8" s="143">
        <f>VLOOKUP(C8,Master!$B$6:$N$1000,10,FALSE)</f>
        <v>50</v>
      </c>
      <c r="G8" s="144">
        <f t="shared" si="0"/>
        <v>250</v>
      </c>
      <c r="H8" s="145"/>
      <c r="I8" s="145"/>
      <c r="J8" s="145"/>
    </row>
    <row r="9" spans="1:11" ht="15.75" customHeight="1">
      <c r="A9" s="141"/>
      <c r="B9" s="4"/>
      <c r="C9" s="4" t="s">
        <v>819</v>
      </c>
      <c r="D9" s="146">
        <v>3</v>
      </c>
      <c r="E9" s="4" t="str">
        <f>VLOOKUP(C9,Master!$B$6:$N$1000,9,FALSE)</f>
        <v>gr</v>
      </c>
      <c r="F9" s="143">
        <f>VLOOKUP(C9,Master!$B$6:$N$1000,10,FALSE)</f>
        <v>13</v>
      </c>
      <c r="G9" s="144">
        <f t="shared" si="0"/>
        <v>39</v>
      </c>
      <c r="H9" s="145"/>
      <c r="I9" s="145"/>
      <c r="J9" s="145"/>
    </row>
    <row r="10" spans="1:11" ht="15.75" customHeight="1">
      <c r="A10" s="141"/>
      <c r="B10" s="4"/>
      <c r="C10" s="4" t="s">
        <v>712</v>
      </c>
      <c r="D10" s="146">
        <v>2</v>
      </c>
      <c r="E10" s="4" t="str">
        <f>VLOOKUP(C10,Master!$B$6:$N$1000,9,FALSE)</f>
        <v>gr</v>
      </c>
      <c r="F10" s="143">
        <f>VLOOKUP(C10,Master!$B$6:$N$1000,10,FALSE)</f>
        <v>40</v>
      </c>
      <c r="G10" s="144">
        <f t="shared" si="0"/>
        <v>80</v>
      </c>
      <c r="H10" s="145"/>
      <c r="I10" s="145"/>
      <c r="J10" s="145"/>
    </row>
    <row r="11" spans="1:11" ht="15.75" customHeight="1">
      <c r="A11" s="141"/>
      <c r="B11" s="4"/>
      <c r="C11" s="4" t="s">
        <v>898</v>
      </c>
      <c r="D11" s="146">
        <v>2</v>
      </c>
      <c r="E11" s="4" t="str">
        <f>VLOOKUP(C11,Master!$B$6:$N$1000,9,FALSE)</f>
        <v>gr</v>
      </c>
      <c r="F11" s="143">
        <f>VLOOKUP(C11,Master!$B$6:$N$1000,10,FALSE)</f>
        <v>64.2</v>
      </c>
      <c r="G11" s="144">
        <f t="shared" si="0"/>
        <v>128.4</v>
      </c>
      <c r="H11" s="145"/>
      <c r="I11" s="145"/>
      <c r="J11" s="145"/>
    </row>
    <row r="12" spans="1:11" ht="15.75" customHeight="1">
      <c r="A12" s="141"/>
      <c r="B12" s="4"/>
      <c r="C12" s="4" t="s">
        <v>1134</v>
      </c>
      <c r="D12" s="146">
        <v>4</v>
      </c>
      <c r="E12" s="4" t="str">
        <f>VLOOKUP(C12,Master!$B$6:$N$1000,9,FALSE)</f>
        <v>gr</v>
      </c>
      <c r="F12" s="143">
        <f>VLOOKUP(C12,Master!$B$6:$N$1000,10,FALSE)</f>
        <v>40</v>
      </c>
      <c r="G12" s="144">
        <f t="shared" si="0"/>
        <v>160</v>
      </c>
      <c r="H12" s="145"/>
      <c r="I12" s="145"/>
      <c r="J12" s="145"/>
    </row>
    <row r="13" spans="1:11" ht="15.75" customHeight="1">
      <c r="A13" s="141"/>
      <c r="B13" s="4"/>
      <c r="C13" s="4" t="s">
        <v>2045</v>
      </c>
      <c r="D13" s="146">
        <v>5</v>
      </c>
      <c r="E13" s="4" t="str">
        <f>VLOOKUP(C13,Master!$B$6:$N$1000,9,FALSE)</f>
        <v>gr</v>
      </c>
      <c r="F13" s="143">
        <f>VLOOKUP(C13,Master!$B$6:$N$1000,10,FALSE)</f>
        <v>14.25</v>
      </c>
      <c r="G13" s="144">
        <f t="shared" si="0"/>
        <v>71.25</v>
      </c>
      <c r="H13" s="145"/>
      <c r="I13" s="145"/>
      <c r="J13" s="145"/>
    </row>
    <row r="14" spans="1:11" ht="15.75" customHeight="1">
      <c r="A14" s="141"/>
      <c r="B14" s="4"/>
      <c r="C14" s="4" t="s">
        <v>2043</v>
      </c>
      <c r="D14" s="146">
        <v>2</v>
      </c>
      <c r="E14" s="4" t="str">
        <f>VLOOKUP(C14,Master!$B$6:$N$1000,9,FALSE)</f>
        <v>gr</v>
      </c>
      <c r="F14" s="143">
        <f>VLOOKUP(C14,Master!$B$6:$N$1000,10,FALSE)</f>
        <v>38.5</v>
      </c>
      <c r="G14" s="144">
        <f t="shared" si="0"/>
        <v>77</v>
      </c>
      <c r="H14" s="145"/>
      <c r="I14" s="145"/>
      <c r="J14" s="145"/>
    </row>
    <row r="15" spans="1:11" ht="15.75" customHeight="1">
      <c r="A15" s="141"/>
      <c r="B15" s="4"/>
      <c r="C15" s="4" t="s">
        <v>799</v>
      </c>
      <c r="D15" s="146">
        <v>2</v>
      </c>
      <c r="E15" s="4" t="str">
        <f>VLOOKUP(C15,Master!$B$6:$N$1000,9,FALSE)</f>
        <v>gr</v>
      </c>
      <c r="F15" s="143">
        <f>VLOOKUP(C15,Master!$B$6:$N$1000,10,FALSE)</f>
        <v>90</v>
      </c>
      <c r="G15" s="144">
        <f t="shared" si="0"/>
        <v>180</v>
      </c>
      <c r="H15" s="145"/>
      <c r="I15" s="145"/>
      <c r="J15" s="145" t="s">
        <v>1343</v>
      </c>
    </row>
    <row r="16" spans="1:11" ht="15.75" customHeight="1">
      <c r="A16" s="141"/>
      <c r="B16" s="4"/>
      <c r="C16" s="147" t="s">
        <v>1103</v>
      </c>
      <c r="D16" s="146">
        <v>1</v>
      </c>
      <c r="E16" s="4" t="str">
        <f>VLOOKUP(C16,Master!$B$6:$N$1000,9,FALSE)</f>
        <v>pcs</v>
      </c>
      <c r="F16" s="143">
        <f>VLOOKUP(C16,Master!$B$6:$N$1000,10,FALSE)</f>
        <v>1040</v>
      </c>
      <c r="G16" s="144">
        <f t="shared" si="0"/>
        <v>1040</v>
      </c>
      <c r="H16" s="145"/>
      <c r="I16" s="145"/>
      <c r="J16" s="145"/>
    </row>
    <row r="17" spans="1:11" ht="15.75" customHeight="1">
      <c r="A17" s="141"/>
      <c r="B17" s="4"/>
      <c r="C17" s="4"/>
      <c r="D17" s="146"/>
      <c r="E17" s="4"/>
      <c r="F17" s="143"/>
      <c r="G17" s="144"/>
      <c r="H17" s="145"/>
      <c r="I17" s="145"/>
      <c r="J17" s="145"/>
    </row>
    <row r="18" spans="1:11" ht="15.75" customHeight="1">
      <c r="A18" s="148"/>
      <c r="B18" s="90"/>
      <c r="C18" s="90"/>
      <c r="D18" s="149"/>
      <c r="E18" s="4"/>
      <c r="F18" s="143"/>
      <c r="G18" s="150"/>
      <c r="H18" s="151"/>
      <c r="I18" s="151"/>
      <c r="J18" s="145"/>
    </row>
    <row r="19" spans="1:11" ht="15.75" customHeight="1">
      <c r="A19" s="134" t="str">
        <f>VLOOKUP(B19,Master!$V$7:$W$150,2,FALSE)</f>
        <v>M0052</v>
      </c>
      <c r="B19" s="152" t="s">
        <v>400</v>
      </c>
      <c r="C19" s="153"/>
      <c r="D19" s="153"/>
      <c r="E19" s="154"/>
      <c r="F19" s="153"/>
      <c r="G19" s="155">
        <f>SUM(G20:G25)</f>
        <v>7503.2</v>
      </c>
      <c r="H19" s="139">
        <v>0.1</v>
      </c>
      <c r="I19" s="155">
        <f>G19+(G19*H19)</f>
        <v>8253.52</v>
      </c>
      <c r="J19" s="140" t="b">
        <v>0</v>
      </c>
      <c r="K19" s="140" t="b">
        <v>0</v>
      </c>
    </row>
    <row r="20" spans="1:11" ht="15.75" customHeight="1">
      <c r="A20" s="141"/>
      <c r="B20" s="4"/>
      <c r="C20" s="4" t="s">
        <v>925</v>
      </c>
      <c r="D20" s="146">
        <v>150</v>
      </c>
      <c r="E20" s="4" t="str">
        <f>VLOOKUP(C20,Master!$B$6:$N$1000,9,FALSE)</f>
        <v>gr</v>
      </c>
      <c r="F20" s="143">
        <f>VLOOKUP(C20,Master!$B$6:$N$1000,10,FALSE)</f>
        <v>39.738</v>
      </c>
      <c r="G20" s="144">
        <f t="shared" ref="G20:G24" si="1">D20*F20</f>
        <v>5960.7</v>
      </c>
      <c r="H20" s="145"/>
      <c r="I20" s="145"/>
      <c r="J20" s="145"/>
    </row>
    <row r="21" spans="1:11" ht="15.75" customHeight="1">
      <c r="A21" s="141"/>
      <c r="B21" s="4"/>
      <c r="C21" s="4" t="s">
        <v>2043</v>
      </c>
      <c r="D21" s="146">
        <v>3</v>
      </c>
      <c r="E21" s="4" t="str">
        <f>VLOOKUP(C21,Master!$B$6:$N$1000,9,FALSE)</f>
        <v>gr</v>
      </c>
      <c r="F21" s="143">
        <f>VLOOKUP(C21,Master!$B$6:$N$1000,10,FALSE)</f>
        <v>38.5</v>
      </c>
      <c r="G21" s="144">
        <f t="shared" si="1"/>
        <v>115.5</v>
      </c>
      <c r="H21" s="145"/>
      <c r="I21" s="145"/>
      <c r="J21" s="145"/>
    </row>
    <row r="22" spans="1:11" ht="15.75" customHeight="1">
      <c r="A22" s="141"/>
      <c r="B22" s="4"/>
      <c r="C22" s="4" t="s">
        <v>2061</v>
      </c>
      <c r="D22" s="146">
        <v>10</v>
      </c>
      <c r="E22" s="4" t="str">
        <f>VLOOKUP(C22,Master!$B$6:$N$1000,9,FALSE)</f>
        <v>gr</v>
      </c>
      <c r="F22" s="143">
        <f>VLOOKUP(C22,Master!$B$6:$N$1000,10,FALSE)</f>
        <v>22.2</v>
      </c>
      <c r="G22" s="144">
        <f t="shared" si="1"/>
        <v>222</v>
      </c>
      <c r="H22" s="145"/>
      <c r="I22" s="145"/>
      <c r="J22" s="145"/>
    </row>
    <row r="23" spans="1:11" ht="15.75" customHeight="1">
      <c r="A23" s="141"/>
      <c r="B23" s="4"/>
      <c r="C23" s="4" t="s">
        <v>1074</v>
      </c>
      <c r="D23" s="146">
        <v>10</v>
      </c>
      <c r="E23" s="4" t="str">
        <f>VLOOKUP(C23,Master!$B$6:$N$1000,9,FALSE)</f>
        <v>gr</v>
      </c>
      <c r="F23" s="143">
        <f>VLOOKUP(C23,Master!$B$6:$N$1000,10,FALSE)</f>
        <v>16.5</v>
      </c>
      <c r="G23" s="144">
        <f t="shared" si="1"/>
        <v>165</v>
      </c>
      <c r="H23" s="145"/>
      <c r="I23" s="145"/>
      <c r="J23" s="145"/>
    </row>
    <row r="24" spans="1:11" ht="15.75" customHeight="1">
      <c r="A24" s="141"/>
      <c r="B24" s="4"/>
      <c r="C24" s="4" t="s">
        <v>1103</v>
      </c>
      <c r="D24" s="146">
        <v>1</v>
      </c>
      <c r="E24" s="4" t="str">
        <f>VLOOKUP(C24,Master!$B$6:$N$1000,9,FALSE)</f>
        <v>pcs</v>
      </c>
      <c r="F24" s="143">
        <f>VLOOKUP(C24,Master!$B$6:$N$1000,10,FALSE)</f>
        <v>1040</v>
      </c>
      <c r="G24" s="144">
        <f t="shared" si="1"/>
        <v>1040</v>
      </c>
      <c r="H24" s="145"/>
      <c r="I24" s="145"/>
      <c r="J24" s="145"/>
    </row>
    <row r="25" spans="1:11" ht="15.75" customHeight="1">
      <c r="A25" s="148"/>
      <c r="B25" s="90"/>
      <c r="C25" s="4"/>
      <c r="D25" s="146"/>
      <c r="E25" s="4"/>
      <c r="F25" s="143"/>
      <c r="G25" s="144"/>
      <c r="H25" s="151"/>
      <c r="I25" s="151"/>
      <c r="J25" s="145"/>
    </row>
    <row r="26" spans="1:11" ht="15.75" customHeight="1">
      <c r="A26" s="134" t="str">
        <f>VLOOKUP(B26,Master!$V$7:$W$150,2,FALSE)</f>
        <v>M0053</v>
      </c>
      <c r="B26" s="135" t="s">
        <v>404</v>
      </c>
      <c r="C26" s="153"/>
      <c r="D26" s="153"/>
      <c r="E26" s="154"/>
      <c r="F26" s="153"/>
      <c r="G26" s="138">
        <f>SUM(G27:G34)</f>
        <v>8149.5166666666664</v>
      </c>
      <c r="H26" s="139">
        <v>0.1</v>
      </c>
      <c r="I26" s="138">
        <f>G26+(G26*H26)</f>
        <v>8964.4683333333323</v>
      </c>
      <c r="J26" s="140" t="b">
        <v>0</v>
      </c>
      <c r="K26" s="140" t="b">
        <v>0</v>
      </c>
    </row>
    <row r="27" spans="1:11" ht="15.75" customHeight="1">
      <c r="A27" s="141"/>
      <c r="B27" s="4"/>
      <c r="C27" s="4" t="s">
        <v>925</v>
      </c>
      <c r="D27" s="146">
        <v>75</v>
      </c>
      <c r="E27" s="4" t="str">
        <f>VLOOKUP(C27,Master!$B$6:$N$1000,9,FALSE)</f>
        <v>gr</v>
      </c>
      <c r="F27" s="143">
        <f>VLOOKUP(C27,Master!$B$6:$N$1000,10,FALSE)</f>
        <v>39.738</v>
      </c>
      <c r="G27" s="144">
        <f t="shared" ref="G27:G31" si="2">D27*F27</f>
        <v>2980.35</v>
      </c>
      <c r="H27" s="145"/>
      <c r="I27" s="145"/>
      <c r="J27" s="145"/>
    </row>
    <row r="28" spans="1:11" ht="15.75" customHeight="1">
      <c r="A28" s="141"/>
      <c r="B28" s="4"/>
      <c r="C28" s="4" t="s">
        <v>2039</v>
      </c>
      <c r="D28" s="146">
        <v>1</v>
      </c>
      <c r="E28" s="4" t="str">
        <f>VLOOKUP(C28,Master!$B$6:$N$1000,9,FALSE)</f>
        <v>pcs</v>
      </c>
      <c r="F28" s="143">
        <f>VLOOKUP(C28,Master!$B$6:$N$1000,10,FALSE)</f>
        <v>4666.666666666667</v>
      </c>
      <c r="G28" s="144">
        <f t="shared" si="2"/>
        <v>4666.666666666667</v>
      </c>
      <c r="H28" s="145"/>
      <c r="I28" s="145"/>
      <c r="J28" s="145"/>
    </row>
    <row r="29" spans="1:11" ht="15.75" customHeight="1">
      <c r="A29" s="141"/>
      <c r="B29" s="4"/>
      <c r="C29" s="4" t="s">
        <v>2043</v>
      </c>
      <c r="D29" s="146">
        <v>3</v>
      </c>
      <c r="E29" s="4" t="str">
        <f>VLOOKUP(C29,Master!$B$6:$N$1000,9,FALSE)</f>
        <v>gr</v>
      </c>
      <c r="F29" s="143">
        <f>VLOOKUP(C29,Master!$B$6:$N$1000,10,FALSE)</f>
        <v>38.5</v>
      </c>
      <c r="G29" s="144">
        <f t="shared" si="2"/>
        <v>115.5</v>
      </c>
      <c r="H29" s="145"/>
      <c r="I29" s="145"/>
      <c r="J29" s="145"/>
    </row>
    <row r="30" spans="1:11" ht="15.75" customHeight="1">
      <c r="A30" s="141"/>
      <c r="B30" s="4"/>
      <c r="C30" s="4" t="s">
        <v>1074</v>
      </c>
      <c r="D30" s="146">
        <v>10</v>
      </c>
      <c r="E30" s="4" t="str">
        <f>VLOOKUP(C30,Master!$B$6:$N$1000,9,FALSE)</f>
        <v>gr</v>
      </c>
      <c r="F30" s="143">
        <f>VLOOKUP(C30,Master!$B$6:$N$1000,10,FALSE)</f>
        <v>16.5</v>
      </c>
      <c r="G30" s="144">
        <f t="shared" si="2"/>
        <v>165</v>
      </c>
      <c r="H30" s="145"/>
      <c r="I30" s="145"/>
      <c r="J30" s="145"/>
    </row>
    <row r="31" spans="1:11" ht="15.75" customHeight="1">
      <c r="A31" s="141"/>
      <c r="B31" s="4"/>
      <c r="C31" s="4" t="s">
        <v>2061</v>
      </c>
      <c r="D31" s="146">
        <v>10</v>
      </c>
      <c r="E31" s="4" t="str">
        <f>VLOOKUP(C31,Master!$B$6:$N$1000,9,FALSE)</f>
        <v>gr</v>
      </c>
      <c r="F31" s="143">
        <f>VLOOKUP(C31,Master!$B$6:$N$1000,10,FALSE)</f>
        <v>22.2</v>
      </c>
      <c r="G31" s="144">
        <f t="shared" si="2"/>
        <v>222</v>
      </c>
      <c r="H31" s="145"/>
      <c r="I31" s="145"/>
      <c r="J31" s="145"/>
    </row>
    <row r="32" spans="1:11" ht="15.75" customHeight="1">
      <c r="A32" s="141"/>
      <c r="B32" s="4"/>
      <c r="C32" s="4" t="s">
        <v>1103</v>
      </c>
      <c r="D32" s="146">
        <v>1</v>
      </c>
      <c r="E32" s="4" t="str">
        <f>VLOOKUP(C32,Master!$B$6:$N$1000,9,FALSE)</f>
        <v>pcs</v>
      </c>
      <c r="F32" s="143"/>
      <c r="G32" s="144"/>
      <c r="H32" s="145"/>
      <c r="I32" s="145"/>
      <c r="J32" s="145"/>
    </row>
    <row r="33" spans="1:11" ht="15.75" customHeight="1">
      <c r="A33" s="141"/>
      <c r="B33" s="4"/>
      <c r="C33" s="90"/>
      <c r="D33" s="149"/>
      <c r="E33" s="4"/>
      <c r="F33" s="143"/>
      <c r="G33" s="150"/>
      <c r="H33" s="151"/>
      <c r="I33" s="145"/>
      <c r="J33" s="145"/>
    </row>
    <row r="34" spans="1:11" ht="15.75" customHeight="1">
      <c r="A34" s="148"/>
      <c r="B34" s="90"/>
      <c r="C34" s="90"/>
      <c r="D34" s="149"/>
      <c r="E34" s="4"/>
      <c r="F34" s="143"/>
      <c r="G34" s="150"/>
      <c r="H34" s="151"/>
      <c r="I34" s="151"/>
      <c r="J34" s="145"/>
    </row>
    <row r="35" spans="1:11" ht="15.75" customHeight="1">
      <c r="A35" s="134" t="str">
        <f>VLOOKUP(B35,Master!$V$7:$W$150,2,FALSE)</f>
        <v>M0055</v>
      </c>
      <c r="B35" s="135" t="s">
        <v>410</v>
      </c>
      <c r="C35" s="153"/>
      <c r="D35" s="153"/>
      <c r="E35" s="154"/>
      <c r="F35" s="153"/>
      <c r="G35" s="138">
        <f>SUM(G36:G47)</f>
        <v>7550.7222222222226</v>
      </c>
      <c r="H35" s="139">
        <v>0.1</v>
      </c>
      <c r="I35" s="138">
        <f>G35+(G35*H35)</f>
        <v>8305.7944444444456</v>
      </c>
      <c r="J35" s="140" t="b">
        <v>0</v>
      </c>
      <c r="K35" s="140" t="b">
        <v>0</v>
      </c>
    </row>
    <row r="36" spans="1:11" ht="15.75" customHeight="1">
      <c r="A36" s="141"/>
      <c r="B36" s="4"/>
      <c r="C36" s="4" t="s">
        <v>243</v>
      </c>
      <c r="D36" s="146">
        <v>1</v>
      </c>
      <c r="E36" s="4" t="str">
        <f>VLOOKUP(C36,Master!$B$6:$N$1000,9,FALSE)</f>
        <v>gr/pcs</v>
      </c>
      <c r="F36" s="143">
        <f>VLOOKUP(C36,Master!$B$6:$N$1000,10,FALSE)</f>
        <v>1601.7222222222222</v>
      </c>
      <c r="G36" s="144">
        <f t="shared" ref="G36:G47" si="3">D36*F36</f>
        <v>1601.7222222222222</v>
      </c>
      <c r="H36" s="145"/>
      <c r="I36" s="145"/>
      <c r="J36" s="145"/>
    </row>
    <row r="37" spans="1:11" ht="15.75" customHeight="1">
      <c r="A37" s="141"/>
      <c r="B37" s="4"/>
      <c r="C37" s="4" t="s">
        <v>2038</v>
      </c>
      <c r="D37" s="146">
        <v>20</v>
      </c>
      <c r="E37" s="4" t="str">
        <f>VLOOKUP(C37,Master!$B$6:$N$1000,9,FALSE)</f>
        <v>gr</v>
      </c>
      <c r="F37" s="143">
        <f>VLOOKUP(C37,Master!$B$6:$N$1000,10,FALSE)</f>
        <v>86</v>
      </c>
      <c r="G37" s="144">
        <f t="shared" si="3"/>
        <v>1720</v>
      </c>
      <c r="H37" s="145"/>
      <c r="I37" s="145"/>
      <c r="J37" s="145"/>
    </row>
    <row r="38" spans="1:11" ht="15.75" customHeight="1">
      <c r="A38" s="141"/>
      <c r="B38" s="4"/>
      <c r="C38" s="4" t="s">
        <v>716</v>
      </c>
      <c r="D38" s="146">
        <v>10</v>
      </c>
      <c r="E38" s="4" t="str">
        <f>VLOOKUP(C38,Master!$B$6:$N$1000,9,FALSE)</f>
        <v>gr</v>
      </c>
      <c r="F38" s="143">
        <f>VLOOKUP(C38,Master!$B$6:$N$1000,10,FALSE)</f>
        <v>45</v>
      </c>
      <c r="G38" s="144">
        <f t="shared" si="3"/>
        <v>450</v>
      </c>
      <c r="H38" s="145"/>
      <c r="I38" s="145"/>
      <c r="J38" s="145"/>
    </row>
    <row r="39" spans="1:11" ht="15.75" customHeight="1">
      <c r="A39" s="141"/>
      <c r="B39" s="4"/>
      <c r="C39" s="4" t="s">
        <v>732</v>
      </c>
      <c r="D39" s="146">
        <v>5</v>
      </c>
      <c r="E39" s="4" t="str">
        <f>VLOOKUP(C39,Master!$B$6:$N$1000,9,FALSE)</f>
        <v>gr</v>
      </c>
      <c r="F39" s="143">
        <f>VLOOKUP(C39,Master!$B$6:$N$1000,10,FALSE)</f>
        <v>40</v>
      </c>
      <c r="G39" s="144">
        <f t="shared" si="3"/>
        <v>200</v>
      </c>
      <c r="H39" s="145"/>
      <c r="I39" s="145"/>
      <c r="J39" s="145"/>
    </row>
    <row r="40" spans="1:11" ht="15.75" customHeight="1">
      <c r="A40" s="141"/>
      <c r="B40" s="4"/>
      <c r="C40" s="4" t="s">
        <v>671</v>
      </c>
      <c r="D40" s="146">
        <v>5</v>
      </c>
      <c r="E40" s="4" t="str">
        <f>VLOOKUP(C40,Master!$B$6:$N$1000,9,FALSE)</f>
        <v>gr</v>
      </c>
      <c r="F40" s="143">
        <f>VLOOKUP(C40,Master!$B$6:$N$1000,10,FALSE)</f>
        <v>50</v>
      </c>
      <c r="G40" s="144">
        <f t="shared" si="3"/>
        <v>250</v>
      </c>
      <c r="H40" s="145"/>
      <c r="I40" s="145"/>
      <c r="J40" s="145"/>
    </row>
    <row r="41" spans="1:11" ht="15.75" customHeight="1">
      <c r="A41" s="141"/>
      <c r="B41" s="4"/>
      <c r="C41" s="4" t="s">
        <v>712</v>
      </c>
      <c r="D41" s="146">
        <v>5</v>
      </c>
      <c r="E41" s="4" t="str">
        <f>VLOOKUP(C41,Master!$B$6:$N$1000,9,FALSE)</f>
        <v>gr</v>
      </c>
      <c r="F41" s="143">
        <f>VLOOKUP(C41,Master!$B$6:$N$1000,10,FALSE)</f>
        <v>40</v>
      </c>
      <c r="G41" s="144">
        <f t="shared" si="3"/>
        <v>200</v>
      </c>
      <c r="H41" s="145"/>
      <c r="I41" s="145"/>
      <c r="J41" s="145"/>
    </row>
    <row r="42" spans="1:11" ht="15.75" customHeight="1">
      <c r="A42" s="141"/>
      <c r="B42" s="4"/>
      <c r="C42" s="4" t="s">
        <v>1134</v>
      </c>
      <c r="D42" s="146">
        <v>5</v>
      </c>
      <c r="E42" s="4" t="str">
        <f>VLOOKUP(C42,Master!$B$6:$N$1000,9,FALSE)</f>
        <v>gr</v>
      </c>
      <c r="F42" s="143">
        <f>VLOOKUP(C42,Master!$B$6:$N$1000,10,FALSE)</f>
        <v>40</v>
      </c>
      <c r="G42" s="144">
        <f t="shared" si="3"/>
        <v>200</v>
      </c>
      <c r="H42" s="145"/>
      <c r="I42" s="145"/>
      <c r="J42" s="145"/>
    </row>
    <row r="43" spans="1:11" ht="15.75" customHeight="1">
      <c r="A43" s="141"/>
      <c r="B43" s="4"/>
      <c r="C43" s="4" t="s">
        <v>799</v>
      </c>
      <c r="D43" s="146">
        <v>2</v>
      </c>
      <c r="E43" s="4" t="str">
        <f>VLOOKUP(C43,Master!$B$6:$N$1000,9,FALSE)</f>
        <v>gr</v>
      </c>
      <c r="F43" s="143">
        <f>VLOOKUP(C43,Master!$B$6:$N$1000,10,FALSE)</f>
        <v>90</v>
      </c>
      <c r="G43" s="144">
        <f t="shared" si="3"/>
        <v>180</v>
      </c>
      <c r="H43" s="145"/>
      <c r="I43" s="145"/>
      <c r="J43" s="145"/>
    </row>
    <row r="44" spans="1:11" ht="15.75" customHeight="1">
      <c r="A44" s="141"/>
      <c r="B44" s="4"/>
      <c r="C44" s="4" t="s">
        <v>2043</v>
      </c>
      <c r="D44" s="146">
        <v>2</v>
      </c>
      <c r="E44" s="4" t="str">
        <f>VLOOKUP(C44,Master!$B$6:$N$1000,9,FALSE)</f>
        <v>gr</v>
      </c>
      <c r="F44" s="143">
        <f>VLOOKUP(C44,Master!$B$6:$N$1000,10,FALSE)</f>
        <v>38.5</v>
      </c>
      <c r="G44" s="144">
        <f t="shared" si="3"/>
        <v>77</v>
      </c>
      <c r="H44" s="145"/>
      <c r="I44" s="145"/>
      <c r="J44" s="145"/>
    </row>
    <row r="45" spans="1:11" ht="15.75" customHeight="1">
      <c r="A45" s="141"/>
      <c r="B45" s="4"/>
      <c r="C45" s="4" t="s">
        <v>720</v>
      </c>
      <c r="D45" s="146">
        <v>1</v>
      </c>
      <c r="E45" s="4" t="str">
        <f>VLOOKUP(C45,Master!$B$6:$N$1000,9,FALSE)</f>
        <v>gr</v>
      </c>
      <c r="F45" s="143">
        <f>VLOOKUP(C45,Master!$B$6:$N$1000,10,FALSE)</f>
        <v>280</v>
      </c>
      <c r="G45" s="144">
        <f t="shared" si="3"/>
        <v>280</v>
      </c>
      <c r="H45" s="145"/>
      <c r="I45" s="145"/>
      <c r="J45" s="145"/>
    </row>
    <row r="46" spans="1:11" ht="15.75" customHeight="1">
      <c r="A46" s="141"/>
      <c r="B46" s="4"/>
      <c r="C46" s="4" t="s">
        <v>910</v>
      </c>
      <c r="D46" s="146">
        <v>0.8</v>
      </c>
      <c r="E46" s="4" t="str">
        <f>VLOOKUP(C46,Master!$B$6:$N$1000,9,FALSE)</f>
        <v>pcs</v>
      </c>
      <c r="F46" s="143">
        <f>VLOOKUP(C46,Master!$B$6:$N$1000,10,FALSE)</f>
        <v>1690</v>
      </c>
      <c r="G46" s="144">
        <f t="shared" si="3"/>
        <v>1352</v>
      </c>
      <c r="H46" s="145"/>
      <c r="I46" s="145"/>
      <c r="J46" s="145"/>
    </row>
    <row r="47" spans="1:11" ht="15.75" customHeight="1">
      <c r="A47" s="148"/>
      <c r="B47" s="90"/>
      <c r="C47" s="90" t="s">
        <v>1103</v>
      </c>
      <c r="D47" s="149">
        <v>1</v>
      </c>
      <c r="E47" s="4" t="str">
        <f>VLOOKUP(C47,Master!$B$6:$N$1000,9,FALSE)</f>
        <v>pcs</v>
      </c>
      <c r="F47" s="143">
        <f>VLOOKUP(C47,Master!$B$6:$N$1000,10,FALSE)</f>
        <v>1040</v>
      </c>
      <c r="G47" s="150">
        <f t="shared" si="3"/>
        <v>1040</v>
      </c>
      <c r="H47" s="151"/>
      <c r="I47" s="151"/>
      <c r="J47" s="145"/>
    </row>
    <row r="48" spans="1:11" ht="15.75" customHeight="1">
      <c r="A48" s="134" t="str">
        <f>VLOOKUP(B48,Master!$V$7:$W$150,2,FALSE)</f>
        <v>M0125</v>
      </c>
      <c r="B48" s="135" t="s">
        <v>686</v>
      </c>
      <c r="C48" s="153"/>
      <c r="D48" s="153"/>
      <c r="E48" s="154"/>
      <c r="F48" s="153"/>
      <c r="G48" s="138">
        <f>SUM(G49:G60)</f>
        <v>7839.9278752436649</v>
      </c>
      <c r="H48" s="139">
        <v>0.1</v>
      </c>
      <c r="I48" s="138">
        <f>G48+(G48*H48)</f>
        <v>8623.9206627680323</v>
      </c>
      <c r="J48" s="140" t="b">
        <v>0</v>
      </c>
      <c r="K48" s="140" t="b">
        <v>0</v>
      </c>
    </row>
    <row r="49" spans="1:11" ht="15.75" customHeight="1">
      <c r="A49" s="141"/>
      <c r="B49" s="4"/>
      <c r="C49" s="4" t="s">
        <v>215</v>
      </c>
      <c r="D49" s="146">
        <v>1</v>
      </c>
      <c r="E49" s="4" t="str">
        <f>VLOOKUP(C49,Master!$B$6:$N$1000,9,FALSE)</f>
        <v>gr</v>
      </c>
      <c r="F49" s="143">
        <f>VLOOKUP(C49,Master!$B$6:$N$1000,10,FALSE)</f>
        <v>1890.9278752436649</v>
      </c>
      <c r="G49" s="144">
        <f t="shared" ref="G49:G60" si="4">D49*F49</f>
        <v>1890.9278752436649</v>
      </c>
      <c r="H49" s="145"/>
      <c r="I49" s="145"/>
      <c r="J49" s="145"/>
    </row>
    <row r="50" spans="1:11" ht="15.75" customHeight="1">
      <c r="A50" s="141"/>
      <c r="B50" s="4"/>
      <c r="C50" s="4" t="s">
        <v>2038</v>
      </c>
      <c r="D50" s="146">
        <v>20</v>
      </c>
      <c r="E50" s="4" t="str">
        <f>VLOOKUP(C50,Master!$B$6:$N$1000,9,FALSE)</f>
        <v>gr</v>
      </c>
      <c r="F50" s="143">
        <f>VLOOKUP(C50,Master!$B$6:$N$1000,10,FALSE)</f>
        <v>86</v>
      </c>
      <c r="G50" s="144">
        <f t="shared" si="4"/>
        <v>1720</v>
      </c>
      <c r="H50" s="145"/>
      <c r="I50" s="145"/>
      <c r="J50" s="145"/>
    </row>
    <row r="51" spans="1:11" ht="13">
      <c r="A51" s="141"/>
      <c r="B51" s="4"/>
      <c r="C51" s="4" t="s">
        <v>716</v>
      </c>
      <c r="D51" s="146">
        <v>10</v>
      </c>
      <c r="E51" s="4" t="str">
        <f>VLOOKUP(C51,Master!$B$6:$N$1000,9,FALSE)</f>
        <v>gr</v>
      </c>
      <c r="F51" s="143">
        <f>VLOOKUP(C51,Master!$B$6:$N$1000,10,FALSE)</f>
        <v>45</v>
      </c>
      <c r="G51" s="144">
        <f t="shared" si="4"/>
        <v>450</v>
      </c>
      <c r="H51" s="145"/>
      <c r="I51" s="145"/>
      <c r="J51" s="145"/>
    </row>
    <row r="52" spans="1:11" ht="13">
      <c r="A52" s="141"/>
      <c r="B52" s="4"/>
      <c r="C52" s="4" t="s">
        <v>732</v>
      </c>
      <c r="D52" s="146">
        <v>5</v>
      </c>
      <c r="E52" s="4" t="str">
        <f>VLOOKUP(C52,Master!$B$6:$N$1000,9,FALSE)</f>
        <v>gr</v>
      </c>
      <c r="F52" s="143">
        <f>VLOOKUP(C52,Master!$B$6:$N$1000,10,FALSE)</f>
        <v>40</v>
      </c>
      <c r="G52" s="144">
        <f t="shared" si="4"/>
        <v>200</v>
      </c>
      <c r="H52" s="145"/>
      <c r="I52" s="145"/>
      <c r="J52" s="145"/>
    </row>
    <row r="53" spans="1:11" ht="13">
      <c r="A53" s="141"/>
      <c r="B53" s="4"/>
      <c r="C53" s="4" t="s">
        <v>671</v>
      </c>
      <c r="D53" s="146">
        <v>5</v>
      </c>
      <c r="E53" s="4" t="str">
        <f>VLOOKUP(C53,Master!$B$6:$N$1000,9,FALSE)</f>
        <v>gr</v>
      </c>
      <c r="F53" s="143">
        <f>VLOOKUP(C53,Master!$B$6:$N$1000,10,FALSE)</f>
        <v>50</v>
      </c>
      <c r="G53" s="144">
        <f t="shared" si="4"/>
        <v>250</v>
      </c>
      <c r="H53" s="145"/>
      <c r="I53" s="145"/>
      <c r="J53" s="145"/>
    </row>
    <row r="54" spans="1:11" ht="13">
      <c r="A54" s="141"/>
      <c r="B54" s="4"/>
      <c r="C54" s="4" t="s">
        <v>712</v>
      </c>
      <c r="D54" s="146">
        <v>5</v>
      </c>
      <c r="E54" s="4" t="str">
        <f>VLOOKUP(C54,Master!$B$6:$N$1000,9,FALSE)</f>
        <v>gr</v>
      </c>
      <c r="F54" s="143">
        <f>VLOOKUP(C54,Master!$B$6:$N$1000,10,FALSE)</f>
        <v>40</v>
      </c>
      <c r="G54" s="144">
        <f t="shared" si="4"/>
        <v>200</v>
      </c>
      <c r="H54" s="145"/>
      <c r="I54" s="145"/>
      <c r="J54" s="145"/>
    </row>
    <row r="55" spans="1:11" ht="13">
      <c r="A55" s="141"/>
      <c r="B55" s="4"/>
      <c r="C55" s="4" t="s">
        <v>1134</v>
      </c>
      <c r="D55" s="146">
        <v>5</v>
      </c>
      <c r="E55" s="4" t="str">
        <f>VLOOKUP(C55,Master!$B$6:$N$1000,9,FALSE)</f>
        <v>gr</v>
      </c>
      <c r="F55" s="143">
        <f>VLOOKUP(C55,Master!$B$6:$N$1000,10,FALSE)</f>
        <v>40</v>
      </c>
      <c r="G55" s="144">
        <f t="shared" si="4"/>
        <v>200</v>
      </c>
      <c r="H55" s="145"/>
      <c r="I55" s="145"/>
      <c r="J55" s="145"/>
    </row>
    <row r="56" spans="1:11" ht="13">
      <c r="A56" s="141"/>
      <c r="B56" s="4"/>
      <c r="C56" s="4" t="s">
        <v>799</v>
      </c>
      <c r="D56" s="146">
        <v>2</v>
      </c>
      <c r="E56" s="4" t="str">
        <f>VLOOKUP(C56,Master!$B$6:$N$1000,9,FALSE)</f>
        <v>gr</v>
      </c>
      <c r="F56" s="143">
        <f>VLOOKUP(C56,Master!$B$6:$N$1000,10,FALSE)</f>
        <v>90</v>
      </c>
      <c r="G56" s="144">
        <f t="shared" si="4"/>
        <v>180</v>
      </c>
      <c r="H56" s="145"/>
      <c r="I56" s="145"/>
      <c r="J56" s="145"/>
    </row>
    <row r="57" spans="1:11" ht="13">
      <c r="A57" s="141"/>
      <c r="B57" s="4"/>
      <c r="C57" s="4" t="s">
        <v>2043</v>
      </c>
      <c r="D57" s="146">
        <v>2</v>
      </c>
      <c r="E57" s="4" t="str">
        <f>VLOOKUP(C57,Master!$B$6:$N$1000,9,FALSE)</f>
        <v>gr</v>
      </c>
      <c r="F57" s="143">
        <f>VLOOKUP(C57,Master!$B$6:$N$1000,10,FALSE)</f>
        <v>38.5</v>
      </c>
      <c r="G57" s="144">
        <f t="shared" si="4"/>
        <v>77</v>
      </c>
      <c r="H57" s="145"/>
      <c r="I57" s="145"/>
      <c r="J57" s="145"/>
    </row>
    <row r="58" spans="1:11" ht="13">
      <c r="A58" s="141"/>
      <c r="B58" s="4"/>
      <c r="C58" s="4" t="s">
        <v>720</v>
      </c>
      <c r="D58" s="146">
        <v>1</v>
      </c>
      <c r="E58" s="4" t="str">
        <f>VLOOKUP(C58,Master!$B$6:$N$1000,9,FALSE)</f>
        <v>gr</v>
      </c>
      <c r="F58" s="143">
        <f>VLOOKUP(C58,Master!$B$6:$N$1000,10,FALSE)</f>
        <v>280</v>
      </c>
      <c r="G58" s="144">
        <f t="shared" si="4"/>
        <v>280</v>
      </c>
      <c r="H58" s="145"/>
      <c r="I58" s="145"/>
      <c r="J58" s="145"/>
    </row>
    <row r="59" spans="1:11" ht="13">
      <c r="A59" s="141"/>
      <c r="B59" s="4"/>
      <c r="C59" s="4" t="s">
        <v>910</v>
      </c>
      <c r="D59" s="146">
        <v>0.8</v>
      </c>
      <c r="E59" s="4" t="str">
        <f>VLOOKUP(C59,Master!$B$6:$N$1000,9,FALSE)</f>
        <v>pcs</v>
      </c>
      <c r="F59" s="143">
        <f>VLOOKUP(C59,Master!$B$6:$N$1000,10,FALSE)</f>
        <v>1690</v>
      </c>
      <c r="G59" s="144">
        <f t="shared" si="4"/>
        <v>1352</v>
      </c>
      <c r="H59" s="145"/>
      <c r="I59" s="145"/>
      <c r="J59" s="145"/>
    </row>
    <row r="60" spans="1:11" ht="13">
      <c r="A60" s="148"/>
      <c r="B60" s="90"/>
      <c r="C60" s="90" t="s">
        <v>1103</v>
      </c>
      <c r="D60" s="149">
        <v>1</v>
      </c>
      <c r="E60" s="4" t="str">
        <f>VLOOKUP(C60,Master!$B$6:$N$1000,9,FALSE)</f>
        <v>pcs</v>
      </c>
      <c r="F60" s="143">
        <f>VLOOKUP(C60,Master!$B$6:$N$1000,10,FALSE)</f>
        <v>1040</v>
      </c>
      <c r="G60" s="150">
        <f t="shared" si="4"/>
        <v>1040</v>
      </c>
      <c r="H60" s="151"/>
      <c r="I60" s="151"/>
      <c r="J60" s="145"/>
    </row>
    <row r="61" spans="1:11" ht="13">
      <c r="A61" s="134" t="str">
        <f>VLOOKUP(B61,Master!$V$7:$W$150,2,FALSE)</f>
        <v>M0057</v>
      </c>
      <c r="B61" s="135" t="s">
        <v>418</v>
      </c>
      <c r="C61" s="153"/>
      <c r="D61" s="153"/>
      <c r="E61" s="154"/>
      <c r="F61" s="153"/>
      <c r="G61" s="138">
        <f>SUM(G62:G73)</f>
        <v>10210.155555555555</v>
      </c>
      <c r="H61" s="139">
        <v>0.1</v>
      </c>
      <c r="I61" s="138">
        <f>G61+(G61*H61)</f>
        <v>11231.171111111111</v>
      </c>
      <c r="J61" s="140" t="b">
        <v>0</v>
      </c>
      <c r="K61" s="140" t="b">
        <v>0</v>
      </c>
    </row>
    <row r="62" spans="1:11" ht="13">
      <c r="A62" s="141"/>
      <c r="B62" s="4"/>
      <c r="C62" s="4" t="s">
        <v>243</v>
      </c>
      <c r="D62" s="146">
        <v>1</v>
      </c>
      <c r="E62" s="4" t="str">
        <f>VLOOKUP(C62,Master!$B$6:$N$1000,9,FALSE)</f>
        <v>gr/pcs</v>
      </c>
      <c r="F62" s="143">
        <f>VLOOKUP(C62,Master!$B$6:$N$1000,10,FALSE)</f>
        <v>1601.7222222222222</v>
      </c>
      <c r="G62" s="144">
        <f t="shared" ref="G62:G72" si="5">D62*F62</f>
        <v>1601.7222222222222</v>
      </c>
      <c r="H62" s="145"/>
      <c r="I62" s="145"/>
      <c r="J62" s="145"/>
    </row>
    <row r="63" spans="1:11" ht="13">
      <c r="A63" s="141"/>
      <c r="B63" s="4"/>
      <c r="C63" s="4" t="s">
        <v>1981</v>
      </c>
      <c r="D63" s="146">
        <v>100</v>
      </c>
      <c r="E63" s="4" t="str">
        <f>VLOOKUP(C63,Master!$B$6:$N$1000,9,FALSE)</f>
        <v>ml</v>
      </c>
      <c r="F63" s="143">
        <f>VLOOKUP(C63,Master!$B$6:$N$1000,10,FALSE)</f>
        <v>17.094333333333335</v>
      </c>
      <c r="G63" s="144">
        <f t="shared" si="5"/>
        <v>1709.4333333333334</v>
      </c>
      <c r="H63" s="145"/>
      <c r="I63" s="145"/>
      <c r="J63" s="145"/>
    </row>
    <row r="64" spans="1:11" ht="13">
      <c r="A64" s="141"/>
      <c r="B64" s="4"/>
      <c r="C64" s="4" t="s">
        <v>2046</v>
      </c>
      <c r="D64" s="146">
        <v>20</v>
      </c>
      <c r="E64" s="4" t="str">
        <f>VLOOKUP(C64,Master!$B$6:$N$1000,9,FALSE)</f>
        <v>ml</v>
      </c>
      <c r="F64" s="143">
        <f>VLOOKUP(C64,Master!$B$6:$N$1000,10,FALSE)</f>
        <v>66</v>
      </c>
      <c r="G64" s="144">
        <f t="shared" si="5"/>
        <v>1320</v>
      </c>
      <c r="H64" s="145"/>
      <c r="I64" s="145"/>
      <c r="J64" s="145"/>
    </row>
    <row r="65" spans="1:11" ht="13">
      <c r="A65" s="141"/>
      <c r="B65" s="4"/>
      <c r="C65" s="4" t="s">
        <v>2038</v>
      </c>
      <c r="D65" s="146">
        <v>20</v>
      </c>
      <c r="E65" s="4" t="str">
        <f>VLOOKUP(C65,Master!$B$6:$N$1000,9,FALSE)</f>
        <v>gr</v>
      </c>
      <c r="F65" s="143">
        <f>VLOOKUP(C65,Master!$B$6:$N$1000,10,FALSE)</f>
        <v>86</v>
      </c>
      <c r="G65" s="144">
        <f t="shared" si="5"/>
        <v>1720</v>
      </c>
      <c r="H65" s="145"/>
      <c r="I65" s="145"/>
      <c r="J65" s="145"/>
    </row>
    <row r="66" spans="1:11" ht="13">
      <c r="A66" s="141"/>
      <c r="B66" s="4"/>
      <c r="C66" s="4" t="s">
        <v>716</v>
      </c>
      <c r="D66" s="146">
        <v>10</v>
      </c>
      <c r="E66" s="4" t="str">
        <f>VLOOKUP(C66,Master!$B$6:$N$1000,9,FALSE)</f>
        <v>gr</v>
      </c>
      <c r="F66" s="143">
        <f>VLOOKUP(C66,Master!$B$6:$N$1000,10,FALSE)</f>
        <v>45</v>
      </c>
      <c r="G66" s="144">
        <f t="shared" si="5"/>
        <v>450</v>
      </c>
      <c r="H66" s="145"/>
      <c r="I66" s="145"/>
      <c r="J66" s="145"/>
    </row>
    <row r="67" spans="1:11" ht="13">
      <c r="A67" s="141"/>
      <c r="B67" s="4"/>
      <c r="C67" s="4" t="s">
        <v>732</v>
      </c>
      <c r="D67" s="146">
        <v>5</v>
      </c>
      <c r="E67" s="4" t="str">
        <f>VLOOKUP(C67,Master!$B$6:$N$1000,9,FALSE)</f>
        <v>gr</v>
      </c>
      <c r="F67" s="143">
        <f>VLOOKUP(C67,Master!$B$6:$N$1000,10,FALSE)</f>
        <v>40</v>
      </c>
      <c r="G67" s="144">
        <f t="shared" si="5"/>
        <v>200</v>
      </c>
      <c r="H67" s="145"/>
      <c r="I67" s="145"/>
      <c r="J67" s="145"/>
    </row>
    <row r="68" spans="1:11" ht="13">
      <c r="A68" s="141"/>
      <c r="B68" s="4"/>
      <c r="C68" s="4" t="s">
        <v>2043</v>
      </c>
      <c r="D68" s="146">
        <v>2</v>
      </c>
      <c r="E68" s="4" t="str">
        <f>VLOOKUP(C68,Master!$B$6:$N$1000,9,FALSE)</f>
        <v>gr</v>
      </c>
      <c r="F68" s="143">
        <f>VLOOKUP(C68,Master!$B$6:$N$1000,10,FALSE)</f>
        <v>38.5</v>
      </c>
      <c r="G68" s="144">
        <f t="shared" si="5"/>
        <v>77</v>
      </c>
      <c r="H68" s="145"/>
      <c r="I68" s="145"/>
      <c r="J68" s="145"/>
    </row>
    <row r="69" spans="1:11" ht="13">
      <c r="A69" s="141"/>
      <c r="B69" s="4"/>
      <c r="C69" s="4" t="s">
        <v>799</v>
      </c>
      <c r="D69" s="146">
        <v>2</v>
      </c>
      <c r="E69" s="4" t="str">
        <f>VLOOKUP(C69,Master!$B$6:$N$1000,9,FALSE)</f>
        <v>gr</v>
      </c>
      <c r="F69" s="143">
        <f>VLOOKUP(C69,Master!$B$6:$N$1000,10,FALSE)</f>
        <v>90</v>
      </c>
      <c r="G69" s="144">
        <f t="shared" si="5"/>
        <v>180</v>
      </c>
      <c r="H69" s="145"/>
      <c r="I69" s="145"/>
      <c r="J69" s="145"/>
    </row>
    <row r="70" spans="1:11" ht="13">
      <c r="A70" s="141"/>
      <c r="B70" s="4"/>
      <c r="C70" s="4" t="s">
        <v>720</v>
      </c>
      <c r="D70" s="146">
        <v>2</v>
      </c>
      <c r="E70" s="4" t="str">
        <f>VLOOKUP(C70,Master!$B$6:$N$1000,9,FALSE)</f>
        <v>gr</v>
      </c>
      <c r="F70" s="143">
        <f>VLOOKUP(C70,Master!$B$6:$N$1000,10,FALSE)</f>
        <v>280</v>
      </c>
      <c r="G70" s="144">
        <f t="shared" si="5"/>
        <v>560</v>
      </c>
      <c r="H70" s="145"/>
      <c r="I70" s="145"/>
      <c r="J70" s="145"/>
    </row>
    <row r="71" spans="1:11" ht="13">
      <c r="A71" s="141"/>
      <c r="B71" s="4"/>
      <c r="C71" s="4" t="s">
        <v>910</v>
      </c>
      <c r="D71" s="146">
        <v>0.8</v>
      </c>
      <c r="E71" s="4" t="str">
        <f>VLOOKUP(C71,Master!$B$6:$N$1000,9,FALSE)</f>
        <v>pcs</v>
      </c>
      <c r="F71" s="143">
        <f>VLOOKUP(C71,Master!$B$6:$N$1000,10,FALSE)</f>
        <v>1690</v>
      </c>
      <c r="G71" s="144">
        <f t="shared" si="5"/>
        <v>1352</v>
      </c>
      <c r="H71" s="145"/>
      <c r="I71" s="145"/>
      <c r="J71" s="145"/>
    </row>
    <row r="72" spans="1:11" ht="13">
      <c r="A72" s="141"/>
      <c r="B72" s="4"/>
      <c r="C72" s="4" t="s">
        <v>1103</v>
      </c>
      <c r="D72" s="146">
        <v>1</v>
      </c>
      <c r="E72" s="4" t="str">
        <f>VLOOKUP(C72,Master!$B$6:$N$1000,9,FALSE)</f>
        <v>pcs</v>
      </c>
      <c r="F72" s="143">
        <f>VLOOKUP(C72,Master!$B$6:$N$1000,10,FALSE)</f>
        <v>1040</v>
      </c>
      <c r="G72" s="144">
        <f t="shared" si="5"/>
        <v>1040</v>
      </c>
      <c r="H72" s="145"/>
      <c r="I72" s="145"/>
      <c r="J72" s="145"/>
    </row>
    <row r="73" spans="1:11" ht="13">
      <c r="A73" s="148"/>
      <c r="B73" s="90"/>
      <c r="C73" s="90"/>
      <c r="D73" s="149"/>
      <c r="E73" s="4"/>
      <c r="F73" s="143"/>
      <c r="G73" s="150"/>
      <c r="H73" s="151"/>
      <c r="I73" s="151"/>
      <c r="J73" s="145"/>
    </row>
    <row r="74" spans="1:11" ht="13">
      <c r="A74" s="134" t="str">
        <f>VLOOKUP(B74,Master!$V$7:$W$150,2,FALSE)</f>
        <v>M0062</v>
      </c>
      <c r="B74" s="135" t="s">
        <v>438</v>
      </c>
      <c r="C74" s="153"/>
      <c r="D74" s="153"/>
      <c r="E74" s="154"/>
      <c r="F74" s="153"/>
      <c r="G74" s="138">
        <f>SUM(G75:G86)</f>
        <v>10461.247875243665</v>
      </c>
      <c r="H74" s="139">
        <v>0.1</v>
      </c>
      <c r="I74" s="138">
        <f>G74+(G74*H74)</f>
        <v>11507.372662768032</v>
      </c>
      <c r="J74" s="140" t="b">
        <v>0</v>
      </c>
      <c r="K74" s="140" t="b">
        <v>0</v>
      </c>
    </row>
    <row r="75" spans="1:11" ht="13">
      <c r="A75" s="141"/>
      <c r="B75" s="4"/>
      <c r="C75" s="4" t="s">
        <v>215</v>
      </c>
      <c r="D75" s="146">
        <v>1</v>
      </c>
      <c r="E75" s="4" t="str">
        <f>VLOOKUP(C75,Master!$B$6:$N$1000,9,FALSE)</f>
        <v>gr</v>
      </c>
      <c r="F75" s="143">
        <f>VLOOKUP(C75,Master!$B$6:$N$1000,10,FALSE)</f>
        <v>1890.9278752436649</v>
      </c>
      <c r="G75" s="144">
        <f t="shared" ref="G75:G84" si="6">D75*F75</f>
        <v>1890.9278752436649</v>
      </c>
      <c r="H75" s="145"/>
      <c r="I75" s="145"/>
      <c r="J75" s="145"/>
    </row>
    <row r="76" spans="1:11" ht="13">
      <c r="A76" s="141"/>
      <c r="B76" s="4"/>
      <c r="C76" s="4" t="s">
        <v>1981</v>
      </c>
      <c r="D76" s="146">
        <v>120</v>
      </c>
      <c r="E76" s="4" t="str">
        <f>VLOOKUP(C76,Master!$B$6:$N$1000,9,FALSE)</f>
        <v>ml</v>
      </c>
      <c r="F76" s="143">
        <f>VLOOKUP(C76,Master!$B$6:$N$1000,10,FALSE)</f>
        <v>17.094333333333335</v>
      </c>
      <c r="G76" s="144">
        <f t="shared" si="6"/>
        <v>2051.3200000000002</v>
      </c>
      <c r="H76" s="145"/>
      <c r="I76" s="145"/>
      <c r="J76" s="145"/>
    </row>
    <row r="77" spans="1:11" ht="13">
      <c r="A77" s="141"/>
      <c r="B77" s="4"/>
      <c r="C77" s="4" t="s">
        <v>2046</v>
      </c>
      <c r="D77" s="146">
        <v>30</v>
      </c>
      <c r="E77" s="4" t="str">
        <f>VLOOKUP(C77,Master!$B$6:$N$1000,9,FALSE)</f>
        <v>ml</v>
      </c>
      <c r="F77" s="143">
        <f>VLOOKUP(C77,Master!$B$6:$N$1000,10,FALSE)</f>
        <v>66</v>
      </c>
      <c r="G77" s="144">
        <f t="shared" si="6"/>
        <v>1980</v>
      </c>
      <c r="H77" s="145"/>
      <c r="I77" s="145"/>
      <c r="J77" s="145"/>
    </row>
    <row r="78" spans="1:11" ht="13">
      <c r="A78" s="141"/>
      <c r="B78" s="4"/>
      <c r="C78" s="4" t="s">
        <v>2038</v>
      </c>
      <c r="D78" s="146">
        <v>20</v>
      </c>
      <c r="E78" s="4" t="str">
        <f>VLOOKUP(C78,Master!$B$6:$N$1000,9,FALSE)</f>
        <v>gr</v>
      </c>
      <c r="F78" s="143">
        <f>VLOOKUP(C78,Master!$B$6:$N$1000,10,FALSE)</f>
        <v>86</v>
      </c>
      <c r="G78" s="144">
        <f t="shared" si="6"/>
        <v>1720</v>
      </c>
      <c r="H78" s="145"/>
      <c r="I78" s="145"/>
      <c r="J78" s="145"/>
    </row>
    <row r="79" spans="1:11" ht="13">
      <c r="A79" s="141"/>
      <c r="B79" s="4"/>
      <c r="C79" s="4" t="s">
        <v>716</v>
      </c>
      <c r="D79" s="146">
        <v>10</v>
      </c>
      <c r="E79" s="4" t="str">
        <f>VLOOKUP(C79,Master!$B$6:$N$1000,9,FALSE)</f>
        <v>gr</v>
      </c>
      <c r="F79" s="143">
        <f>VLOOKUP(C79,Master!$B$6:$N$1000,10,FALSE)</f>
        <v>45</v>
      </c>
      <c r="G79" s="144">
        <f t="shared" si="6"/>
        <v>450</v>
      </c>
      <c r="H79" s="145"/>
      <c r="I79" s="145"/>
      <c r="J79" s="145"/>
    </row>
    <row r="80" spans="1:11" ht="13">
      <c r="A80" s="141"/>
      <c r="B80" s="4"/>
      <c r="C80" s="4" t="s">
        <v>732</v>
      </c>
      <c r="D80" s="146">
        <v>5</v>
      </c>
      <c r="E80" s="4" t="str">
        <f>VLOOKUP(C80,Master!$B$6:$N$1000,9,FALSE)</f>
        <v>gr</v>
      </c>
      <c r="F80" s="143">
        <f>VLOOKUP(C80,Master!$B$6:$N$1000,10,FALSE)</f>
        <v>40</v>
      </c>
      <c r="G80" s="144">
        <f t="shared" si="6"/>
        <v>200</v>
      </c>
      <c r="H80" s="145"/>
      <c r="I80" s="145"/>
      <c r="J80" s="145"/>
    </row>
    <row r="81" spans="1:11" ht="13">
      <c r="A81" s="141"/>
      <c r="B81" s="4"/>
      <c r="C81" s="4" t="s">
        <v>2043</v>
      </c>
      <c r="D81" s="146">
        <v>2</v>
      </c>
      <c r="E81" s="4" t="str">
        <f>VLOOKUP(C81,Master!$B$6:$N$1000,9,FALSE)</f>
        <v>gr</v>
      </c>
      <c r="F81" s="143">
        <f>VLOOKUP(C81,Master!$B$6:$N$1000,10,FALSE)</f>
        <v>38.5</v>
      </c>
      <c r="G81" s="144">
        <f t="shared" si="6"/>
        <v>77</v>
      </c>
      <c r="H81" s="145"/>
      <c r="I81" s="145"/>
      <c r="J81" s="145"/>
    </row>
    <row r="82" spans="1:11" ht="13">
      <c r="A82" s="141"/>
      <c r="B82" s="4"/>
      <c r="C82" s="4" t="s">
        <v>799</v>
      </c>
      <c r="D82" s="146">
        <v>2</v>
      </c>
      <c r="E82" s="4" t="str">
        <f>VLOOKUP(C82,Master!$B$6:$N$1000,9,FALSE)</f>
        <v>gr</v>
      </c>
      <c r="F82" s="143">
        <f>VLOOKUP(C82,Master!$B$6:$N$1000,10,FALSE)</f>
        <v>90</v>
      </c>
      <c r="G82" s="144">
        <f t="shared" si="6"/>
        <v>180</v>
      </c>
      <c r="H82" s="145"/>
      <c r="I82" s="145"/>
      <c r="J82" s="145"/>
    </row>
    <row r="83" spans="1:11" ht="13">
      <c r="A83" s="141"/>
      <c r="B83" s="4"/>
      <c r="C83" s="4" t="s">
        <v>720</v>
      </c>
      <c r="D83" s="146">
        <v>2</v>
      </c>
      <c r="E83" s="4" t="str">
        <f>VLOOKUP(C83,Master!$B$6:$N$1000,9,FALSE)</f>
        <v>gr</v>
      </c>
      <c r="F83" s="143">
        <f>VLOOKUP(C83,Master!$B$6:$N$1000,10,FALSE)</f>
        <v>280</v>
      </c>
      <c r="G83" s="144">
        <f t="shared" si="6"/>
        <v>560</v>
      </c>
      <c r="H83" s="145"/>
      <c r="I83" s="145"/>
      <c r="J83" s="145"/>
    </row>
    <row r="84" spans="1:11" ht="13">
      <c r="A84" s="141"/>
      <c r="B84" s="4"/>
      <c r="C84" s="4" t="s">
        <v>910</v>
      </c>
      <c r="D84" s="146">
        <v>0.8</v>
      </c>
      <c r="E84" s="4" t="str">
        <f>VLOOKUP(C84,Master!$B$6:$N$1000,9,FALSE)</f>
        <v>pcs</v>
      </c>
      <c r="F84" s="143">
        <f>VLOOKUP(C84,Master!$B$6:$N$1000,10,FALSE)</f>
        <v>1690</v>
      </c>
      <c r="G84" s="144">
        <f t="shared" si="6"/>
        <v>1352</v>
      </c>
      <c r="H84" s="145"/>
      <c r="I84" s="145"/>
      <c r="J84" s="145"/>
    </row>
    <row r="85" spans="1:11" ht="13">
      <c r="A85" s="141"/>
      <c r="B85" s="4"/>
      <c r="C85" s="4" t="s">
        <v>1103</v>
      </c>
      <c r="D85" s="146">
        <v>1</v>
      </c>
      <c r="E85" s="4" t="str">
        <f>VLOOKUP(C85,Master!$B$6:$N$1000,9,FALSE)</f>
        <v>pcs</v>
      </c>
      <c r="F85" s="143"/>
      <c r="G85" s="144"/>
      <c r="H85" s="145"/>
      <c r="I85" s="145"/>
      <c r="J85" s="145"/>
    </row>
    <row r="86" spans="1:11" ht="13">
      <c r="A86" s="148"/>
      <c r="B86" s="90"/>
      <c r="C86" s="90"/>
      <c r="D86" s="149"/>
      <c r="E86" s="4"/>
      <c r="F86" s="143"/>
      <c r="G86" s="150"/>
      <c r="H86" s="151"/>
      <c r="I86" s="151"/>
      <c r="J86" s="145"/>
    </row>
    <row r="87" spans="1:11" ht="13">
      <c r="A87" s="134" t="str">
        <f>VLOOKUP(B87,Master!$V$7:$W$150,2,FALSE)</f>
        <v>M0058</v>
      </c>
      <c r="B87" s="135" t="s">
        <v>422</v>
      </c>
      <c r="C87" s="153"/>
      <c r="D87" s="153"/>
      <c r="E87" s="154"/>
      <c r="F87" s="153"/>
      <c r="G87" s="138">
        <f>SUM(G88:G99)</f>
        <v>9585.1347991084258</v>
      </c>
      <c r="H87" s="139">
        <v>0.1</v>
      </c>
      <c r="I87" s="138">
        <f>G87+(G87*H87)</f>
        <v>10543.648279019268</v>
      </c>
      <c r="J87" s="140" t="b">
        <v>0</v>
      </c>
      <c r="K87" s="140" t="b">
        <v>0</v>
      </c>
    </row>
    <row r="88" spans="1:11" ht="13">
      <c r="A88" s="141"/>
      <c r="B88" s="4"/>
      <c r="C88" s="4" t="s">
        <v>655</v>
      </c>
      <c r="D88" s="146">
        <v>60</v>
      </c>
      <c r="E88" s="4" t="str">
        <f>VLOOKUP(C88,Master!$B$6:$N$1000,9,FALSE)</f>
        <v>gr</v>
      </c>
      <c r="F88" s="143">
        <f>VLOOKUP(C88,Master!$B$6:$N$1000,10,FALSE)</f>
        <v>50</v>
      </c>
      <c r="G88" s="144">
        <f t="shared" ref="G88:G94" si="7">D88*F88</f>
        <v>3000</v>
      </c>
      <c r="H88" s="145"/>
      <c r="I88" s="145"/>
      <c r="J88" s="145"/>
    </row>
    <row r="89" spans="1:11" ht="13">
      <c r="A89" s="141"/>
      <c r="B89" s="4"/>
      <c r="C89" s="4" t="s">
        <v>251</v>
      </c>
      <c r="D89" s="146">
        <v>1</v>
      </c>
      <c r="E89" s="4" t="str">
        <f>VLOOKUP(C89,Master!$B$6:$N$1000,9,FALSE)</f>
        <v>Porsi</v>
      </c>
      <c r="F89" s="143">
        <f>VLOOKUP(C89,Master!$B$6:$N$1000,10,FALSE)</f>
        <v>1093.9890710382513</v>
      </c>
      <c r="G89" s="144">
        <f t="shared" si="7"/>
        <v>1093.9890710382513</v>
      </c>
      <c r="H89" s="145"/>
      <c r="I89" s="145"/>
      <c r="J89" s="145"/>
    </row>
    <row r="90" spans="1:11" ht="13">
      <c r="A90" s="141"/>
      <c r="B90" s="4"/>
      <c r="C90" s="4" t="s">
        <v>282</v>
      </c>
      <c r="D90" s="146">
        <v>1</v>
      </c>
      <c r="E90" s="4" t="str">
        <f>VLOOKUP(C90,Master!$B$6:$N$1000,9,FALSE)</f>
        <v>gr/pcs</v>
      </c>
      <c r="F90" s="143">
        <f>VLOOKUP(C90,Master!$B$6:$N$1000,10,FALSE)</f>
        <v>2570.7586666666666</v>
      </c>
      <c r="G90" s="144">
        <f t="shared" si="7"/>
        <v>2570.7586666666666</v>
      </c>
      <c r="H90" s="145"/>
      <c r="I90" s="145"/>
      <c r="J90" s="145"/>
    </row>
    <row r="91" spans="1:11" ht="13">
      <c r="A91" s="141"/>
      <c r="B91" s="4"/>
      <c r="C91" s="4" t="s">
        <v>67</v>
      </c>
      <c r="D91" s="146">
        <v>1</v>
      </c>
      <c r="E91" s="4" t="str">
        <f>VLOOKUP(C91,Master!$B$6:$N$1000,9,FALSE)</f>
        <v>gr/por</v>
      </c>
      <c r="F91" s="143">
        <f>VLOOKUP(C91,Master!$B$6:$N$1000,10,FALSE)</f>
        <v>1363.1870614035086</v>
      </c>
      <c r="G91" s="144">
        <f t="shared" si="7"/>
        <v>1363.1870614035086</v>
      </c>
      <c r="H91" s="145"/>
      <c r="I91" s="145"/>
      <c r="J91" s="145"/>
    </row>
    <row r="92" spans="1:11" ht="13">
      <c r="A92" s="141"/>
      <c r="B92" s="4"/>
      <c r="C92" s="4" t="s">
        <v>744</v>
      </c>
      <c r="D92" s="146">
        <v>2</v>
      </c>
      <c r="E92" s="4" t="str">
        <f>VLOOKUP(C92,Master!$B$6:$N$1000,9,FALSE)</f>
        <v>gr</v>
      </c>
      <c r="F92" s="143">
        <f>VLOOKUP(C92,Master!$B$6:$N$1000,10,FALSE)</f>
        <v>58.6</v>
      </c>
      <c r="G92" s="144">
        <f t="shared" si="7"/>
        <v>117.2</v>
      </c>
      <c r="H92" s="145"/>
      <c r="I92" s="145"/>
      <c r="J92" s="145"/>
    </row>
    <row r="93" spans="1:11" ht="13">
      <c r="A93" s="141"/>
      <c r="B93" s="4"/>
      <c r="C93" s="4" t="s">
        <v>732</v>
      </c>
      <c r="D93" s="146">
        <v>10</v>
      </c>
      <c r="E93" s="4" t="str">
        <f>VLOOKUP(C93,Master!$B$6:$N$1000,9,FALSE)</f>
        <v>gr</v>
      </c>
      <c r="F93" s="143">
        <f>VLOOKUP(C93,Master!$B$6:$N$1000,10,FALSE)</f>
        <v>40</v>
      </c>
      <c r="G93" s="144">
        <f t="shared" si="7"/>
        <v>400</v>
      </c>
      <c r="H93" s="145"/>
      <c r="I93" s="145"/>
      <c r="J93" s="145"/>
    </row>
    <row r="94" spans="1:11" ht="13">
      <c r="A94" s="141"/>
      <c r="B94" s="4"/>
      <c r="C94" s="4" t="s">
        <v>1103</v>
      </c>
      <c r="D94" s="146">
        <v>1</v>
      </c>
      <c r="E94" s="4" t="str">
        <f>VLOOKUP(C94,Master!$B$6:$N$1000,9,FALSE)</f>
        <v>pcs</v>
      </c>
      <c r="F94" s="143">
        <f>VLOOKUP(C94,Master!$B$6:$N$1000,10,FALSE)</f>
        <v>1040</v>
      </c>
      <c r="G94" s="144">
        <f t="shared" si="7"/>
        <v>1040</v>
      </c>
      <c r="H94" s="145"/>
      <c r="I94" s="145"/>
      <c r="J94" s="145"/>
    </row>
    <row r="95" spans="1:11" ht="13">
      <c r="A95" s="141"/>
      <c r="B95" s="4"/>
      <c r="C95" s="4"/>
      <c r="D95" s="146"/>
      <c r="E95" s="4"/>
      <c r="F95" s="143"/>
      <c r="G95" s="144"/>
      <c r="H95" s="145"/>
      <c r="I95" s="145"/>
      <c r="J95" s="145"/>
    </row>
    <row r="96" spans="1:11" ht="13">
      <c r="A96" s="141"/>
      <c r="B96" s="4"/>
      <c r="C96" s="4"/>
      <c r="D96" s="146"/>
      <c r="E96" s="4"/>
      <c r="F96" s="143"/>
      <c r="G96" s="144"/>
      <c r="H96" s="145"/>
      <c r="I96" s="145"/>
      <c r="J96" s="145"/>
    </row>
    <row r="97" spans="1:11" ht="13">
      <c r="A97" s="141"/>
      <c r="B97" s="4"/>
      <c r="C97" s="4"/>
      <c r="D97" s="146"/>
      <c r="E97" s="4"/>
      <c r="F97" s="143"/>
      <c r="G97" s="144"/>
      <c r="H97" s="145"/>
      <c r="I97" s="145"/>
      <c r="J97" s="145"/>
    </row>
    <row r="98" spans="1:11" ht="13">
      <c r="A98" s="141"/>
      <c r="B98" s="4"/>
      <c r="C98" s="4"/>
      <c r="D98" s="146"/>
      <c r="E98" s="4"/>
      <c r="F98" s="143"/>
      <c r="G98" s="144"/>
      <c r="H98" s="145"/>
      <c r="I98" s="145"/>
      <c r="J98" s="145"/>
    </row>
    <row r="99" spans="1:11" ht="13">
      <c r="A99" s="148"/>
      <c r="B99" s="90"/>
      <c r="C99" s="90"/>
      <c r="D99" s="149"/>
      <c r="E99" s="4"/>
      <c r="F99" s="143"/>
      <c r="G99" s="150"/>
      <c r="H99" s="151"/>
      <c r="I99" s="151"/>
      <c r="J99" s="145"/>
    </row>
    <row r="100" spans="1:11" ht="13">
      <c r="A100" s="134" t="str">
        <f>VLOOKUP(B100,Master!$V$7:$W$150,2,FALSE)</f>
        <v>M0059</v>
      </c>
      <c r="B100" s="135" t="s">
        <v>426</v>
      </c>
      <c r="C100" s="153"/>
      <c r="D100" s="153"/>
      <c r="E100" s="154"/>
      <c r="F100" s="153"/>
      <c r="G100" s="138">
        <f>SUM(G101:G112)</f>
        <v>14205.134799108428</v>
      </c>
      <c r="H100" s="139">
        <v>0.1</v>
      </c>
      <c r="I100" s="138">
        <f>G100+(G100*H100)</f>
        <v>15625.648279019271</v>
      </c>
      <c r="J100" s="140" t="b">
        <v>0</v>
      </c>
      <c r="K100" s="140" t="b">
        <v>0</v>
      </c>
    </row>
    <row r="101" spans="1:11" ht="13">
      <c r="A101" s="141"/>
      <c r="B101" s="4"/>
      <c r="C101" s="4" t="s">
        <v>1125</v>
      </c>
      <c r="D101" s="146">
        <v>60</v>
      </c>
      <c r="E101" s="4" t="str">
        <f>VLOOKUP(C101,Master!$B$6:$N$1000,9,FALSE)</f>
        <v>gr</v>
      </c>
      <c r="F101" s="143">
        <f>VLOOKUP(C101,Master!$B$6:$N$1000,10,FALSE)</f>
        <v>127</v>
      </c>
      <c r="G101" s="144">
        <f t="shared" ref="G101:G107" si="8">D101*F101</f>
        <v>7620</v>
      </c>
      <c r="H101" s="145"/>
      <c r="I101" s="145"/>
      <c r="J101" s="145"/>
    </row>
    <row r="102" spans="1:11" ht="13">
      <c r="A102" s="141"/>
      <c r="B102" s="4"/>
      <c r="C102" s="4" t="s">
        <v>251</v>
      </c>
      <c r="D102" s="146">
        <v>1</v>
      </c>
      <c r="E102" s="4" t="str">
        <f>VLOOKUP(C102,Master!$B$6:$N$1000,9,FALSE)</f>
        <v>Porsi</v>
      </c>
      <c r="F102" s="143">
        <f>VLOOKUP(C102,Master!$B$6:$N$1000,10,FALSE)</f>
        <v>1093.9890710382513</v>
      </c>
      <c r="G102" s="144">
        <f t="shared" si="8"/>
        <v>1093.9890710382513</v>
      </c>
      <c r="H102" s="145"/>
      <c r="I102" s="145"/>
      <c r="J102" s="145"/>
    </row>
    <row r="103" spans="1:11" ht="13">
      <c r="A103" s="141"/>
      <c r="B103" s="4"/>
      <c r="C103" s="4" t="s">
        <v>282</v>
      </c>
      <c r="D103" s="146">
        <v>1</v>
      </c>
      <c r="E103" s="4" t="str">
        <f>VLOOKUP(C103,Master!$B$6:$N$1000,9,FALSE)</f>
        <v>gr/pcs</v>
      </c>
      <c r="F103" s="143">
        <f>VLOOKUP(C103,Master!$B$6:$N$1000,10,FALSE)</f>
        <v>2570.7586666666666</v>
      </c>
      <c r="G103" s="144">
        <f t="shared" si="8"/>
        <v>2570.7586666666666</v>
      </c>
      <c r="H103" s="145"/>
      <c r="I103" s="145"/>
      <c r="J103" s="145"/>
    </row>
    <row r="104" spans="1:11" ht="13">
      <c r="A104" s="141"/>
      <c r="B104" s="4"/>
      <c r="C104" s="4" t="s">
        <v>67</v>
      </c>
      <c r="D104" s="146">
        <v>1</v>
      </c>
      <c r="E104" s="4" t="str">
        <f>VLOOKUP(C104,Master!$B$6:$N$1000,9,FALSE)</f>
        <v>gr/por</v>
      </c>
      <c r="F104" s="143">
        <f>VLOOKUP(C104,Master!$B$6:$N$1000,10,FALSE)</f>
        <v>1363.1870614035086</v>
      </c>
      <c r="G104" s="144">
        <f t="shared" si="8"/>
        <v>1363.1870614035086</v>
      </c>
      <c r="H104" s="145"/>
      <c r="I104" s="145"/>
      <c r="J104" s="145"/>
    </row>
    <row r="105" spans="1:11" ht="13">
      <c r="A105" s="141"/>
      <c r="B105" s="4"/>
      <c r="C105" s="4" t="s">
        <v>744</v>
      </c>
      <c r="D105" s="146">
        <v>2</v>
      </c>
      <c r="E105" s="4" t="str">
        <f>VLOOKUP(C105,Master!$B$6:$N$1000,9,FALSE)</f>
        <v>gr</v>
      </c>
      <c r="F105" s="143">
        <f>VLOOKUP(C105,Master!$B$6:$N$1000,10,FALSE)</f>
        <v>58.6</v>
      </c>
      <c r="G105" s="144">
        <f t="shared" si="8"/>
        <v>117.2</v>
      </c>
      <c r="H105" s="145"/>
      <c r="I105" s="145"/>
      <c r="J105" s="145"/>
    </row>
    <row r="106" spans="1:11" ht="13">
      <c r="A106" s="141"/>
      <c r="B106" s="4"/>
      <c r="C106" s="4" t="s">
        <v>732</v>
      </c>
      <c r="D106" s="146">
        <v>10</v>
      </c>
      <c r="E106" s="4" t="str">
        <f>VLOOKUP(C106,Master!$B$6:$N$1000,9,FALSE)</f>
        <v>gr</v>
      </c>
      <c r="F106" s="143">
        <f>VLOOKUP(C106,Master!$B$6:$N$1000,10,FALSE)</f>
        <v>40</v>
      </c>
      <c r="G106" s="144">
        <f t="shared" si="8"/>
        <v>400</v>
      </c>
      <c r="H106" s="145"/>
      <c r="I106" s="145"/>
      <c r="J106" s="145"/>
    </row>
    <row r="107" spans="1:11" ht="13">
      <c r="A107" s="141"/>
      <c r="B107" s="4"/>
      <c r="C107" s="4" t="s">
        <v>1103</v>
      </c>
      <c r="D107" s="146">
        <v>1</v>
      </c>
      <c r="E107" s="4" t="str">
        <f>VLOOKUP(C107,Master!$B$6:$N$1000,9,FALSE)</f>
        <v>pcs</v>
      </c>
      <c r="F107" s="143">
        <f>VLOOKUP(C107,Master!$B$6:$N$1000,10,FALSE)</f>
        <v>1040</v>
      </c>
      <c r="G107" s="144">
        <f t="shared" si="8"/>
        <v>1040</v>
      </c>
      <c r="H107" s="145"/>
      <c r="I107" s="145"/>
      <c r="J107" s="145"/>
    </row>
    <row r="108" spans="1:11" ht="13">
      <c r="A108" s="141"/>
      <c r="B108" s="4"/>
      <c r="C108" s="4"/>
      <c r="D108" s="146"/>
      <c r="E108" s="4"/>
      <c r="F108" s="143"/>
      <c r="G108" s="144"/>
      <c r="H108" s="145"/>
      <c r="I108" s="145"/>
      <c r="J108" s="145"/>
    </row>
    <row r="109" spans="1:11" ht="13">
      <c r="A109" s="141"/>
      <c r="B109" s="4"/>
      <c r="C109" s="4"/>
      <c r="D109" s="146"/>
      <c r="E109" s="4"/>
      <c r="F109" s="143"/>
      <c r="G109" s="144"/>
      <c r="H109" s="145"/>
      <c r="I109" s="145"/>
      <c r="J109" s="145"/>
    </row>
    <row r="110" spans="1:11" ht="13">
      <c r="A110" s="141"/>
      <c r="B110" s="4"/>
      <c r="C110" s="4"/>
      <c r="D110" s="146"/>
      <c r="E110" s="4"/>
      <c r="F110" s="143"/>
      <c r="G110" s="144"/>
      <c r="H110" s="145"/>
      <c r="I110" s="145"/>
      <c r="J110" s="145"/>
    </row>
    <row r="111" spans="1:11" ht="13">
      <c r="A111" s="141"/>
      <c r="B111" s="4"/>
      <c r="C111" s="4"/>
      <c r="D111" s="146"/>
      <c r="E111" s="4"/>
      <c r="F111" s="143"/>
      <c r="G111" s="144"/>
      <c r="H111" s="145"/>
      <c r="I111" s="145"/>
      <c r="J111" s="145"/>
    </row>
    <row r="112" spans="1:11" ht="13">
      <c r="A112" s="148"/>
      <c r="B112" s="90"/>
      <c r="C112" s="90"/>
      <c r="D112" s="149"/>
      <c r="E112" s="4"/>
      <c r="F112" s="143"/>
      <c r="G112" s="150"/>
      <c r="H112" s="151"/>
      <c r="I112" s="151"/>
      <c r="J112" s="145"/>
    </row>
    <row r="113" spans="1:11" ht="13">
      <c r="A113" s="134" t="str">
        <f>VLOOKUP(B113,Master!$V$7:$W$150,2,FALSE)</f>
        <v>M0063</v>
      </c>
      <c r="B113" s="135" t="s">
        <v>442</v>
      </c>
      <c r="C113" s="153"/>
      <c r="D113" s="153"/>
      <c r="E113" s="154"/>
      <c r="F113" s="153"/>
      <c r="G113" s="138">
        <f>SUM(G114:G124)</f>
        <v>11299.864019933555</v>
      </c>
      <c r="H113" s="139">
        <v>0.1</v>
      </c>
      <c r="I113" s="138">
        <f>G113+(G113*H113)</f>
        <v>12429.850421926911</v>
      </c>
      <c r="J113" s="140" t="b">
        <v>0</v>
      </c>
      <c r="K113" s="140" t="b">
        <v>0</v>
      </c>
    </row>
    <row r="114" spans="1:11" ht="13">
      <c r="A114" s="141"/>
      <c r="B114" s="4"/>
      <c r="C114" s="4" t="s">
        <v>2046</v>
      </c>
      <c r="D114" s="146">
        <v>30</v>
      </c>
      <c r="E114" s="4" t="str">
        <f>VLOOKUP(C114,Master!$B$6:$N$1000,9,FALSE)</f>
        <v>ml</v>
      </c>
      <c r="F114" s="143">
        <f>VLOOKUP(C114,Master!$B$6:$N$1000,10,FALSE)</f>
        <v>66</v>
      </c>
      <c r="G114" s="144">
        <f t="shared" ref="G114:G124" si="9">D114*F114</f>
        <v>1980</v>
      </c>
      <c r="H114" s="145"/>
      <c r="I114" s="145"/>
      <c r="J114" s="145"/>
      <c r="K114" s="132" t="s">
        <v>1344</v>
      </c>
    </row>
    <row r="115" spans="1:11" ht="13">
      <c r="A115" s="141"/>
      <c r="B115" s="4"/>
      <c r="C115" s="4" t="s">
        <v>1981</v>
      </c>
      <c r="D115" s="146">
        <v>120</v>
      </c>
      <c r="E115" s="4" t="str">
        <f>VLOOKUP(C115,Master!$B$6:$N$1000,9,FALSE)</f>
        <v>ml</v>
      </c>
      <c r="F115" s="143">
        <f>VLOOKUP(C115,Master!$B$6:$N$1000,10,FALSE)</f>
        <v>17.094333333333335</v>
      </c>
      <c r="G115" s="144">
        <f t="shared" si="9"/>
        <v>2051.3200000000002</v>
      </c>
      <c r="H115" s="145"/>
      <c r="I115" s="145"/>
      <c r="J115" s="145"/>
    </row>
    <row r="116" spans="1:11" ht="13">
      <c r="A116" s="141"/>
      <c r="B116" s="4"/>
      <c r="C116" s="4" t="s">
        <v>732</v>
      </c>
      <c r="D116" s="146">
        <v>5</v>
      </c>
      <c r="E116" s="4" t="str">
        <f>VLOOKUP(C116,Master!$B$6:$N$1000,9,FALSE)</f>
        <v>gr</v>
      </c>
      <c r="F116" s="143">
        <f>VLOOKUP(C116,Master!$B$6:$N$1000,10,FALSE)</f>
        <v>40</v>
      </c>
      <c r="G116" s="144">
        <f t="shared" si="9"/>
        <v>200</v>
      </c>
      <c r="H116" s="145"/>
      <c r="I116" s="145"/>
      <c r="J116" s="145"/>
    </row>
    <row r="117" spans="1:11" ht="13">
      <c r="A117" s="141"/>
      <c r="B117" s="4"/>
      <c r="C117" s="4" t="s">
        <v>293</v>
      </c>
      <c r="D117" s="146">
        <v>1</v>
      </c>
      <c r="E117" s="4" t="str">
        <f>VLOOKUP(C117,Master!$B$6:$N$1000,9,FALSE)</f>
        <v>gr/pcs</v>
      </c>
      <c r="F117" s="143">
        <f>VLOOKUP(C117,Master!$B$6:$N$1000,10,FALSE)</f>
        <v>864.65116279069764</v>
      </c>
      <c r="G117" s="144">
        <f t="shared" si="9"/>
        <v>864.65116279069764</v>
      </c>
      <c r="H117" s="145"/>
      <c r="I117" s="145"/>
      <c r="J117" s="145"/>
    </row>
    <row r="118" spans="1:11" ht="13">
      <c r="A118" s="141"/>
      <c r="B118" s="4"/>
      <c r="C118" s="4" t="s">
        <v>655</v>
      </c>
      <c r="D118" s="146">
        <v>60</v>
      </c>
      <c r="E118" s="4" t="str">
        <f>VLOOKUP(C118,Master!$B$6:$N$1000,9,FALSE)</f>
        <v>gr</v>
      </c>
      <c r="F118" s="143">
        <f>VLOOKUP(C118,Master!$B$6:$N$1000,10,FALSE)</f>
        <v>50</v>
      </c>
      <c r="G118" s="144">
        <f t="shared" si="9"/>
        <v>3000</v>
      </c>
      <c r="H118" s="145"/>
      <c r="I118" s="145"/>
      <c r="J118" s="145"/>
    </row>
    <row r="119" spans="1:11" ht="13">
      <c r="A119" s="141"/>
      <c r="B119" s="4"/>
      <c r="C119" s="4" t="s">
        <v>2045</v>
      </c>
      <c r="D119" s="146">
        <v>3</v>
      </c>
      <c r="E119" s="4" t="str">
        <f>VLOOKUP(C119,Master!$B$6:$N$1000,9,FALSE)</f>
        <v>gr</v>
      </c>
      <c r="F119" s="143">
        <f>VLOOKUP(C119,Master!$B$6:$N$1000,10,FALSE)</f>
        <v>14.25</v>
      </c>
      <c r="G119" s="144">
        <f t="shared" si="9"/>
        <v>42.75</v>
      </c>
      <c r="H119" s="145"/>
      <c r="I119" s="145"/>
      <c r="J119" s="145"/>
    </row>
    <row r="120" spans="1:11" ht="13">
      <c r="A120" s="141"/>
      <c r="B120" s="4"/>
      <c r="C120" s="4" t="s">
        <v>1989</v>
      </c>
      <c r="D120" s="146">
        <v>3</v>
      </c>
      <c r="E120" s="4" t="str">
        <f>VLOOKUP(C120,Master!$B$6:$N$1000,9,FALSE)</f>
        <v>gr</v>
      </c>
      <c r="F120" s="143">
        <f>VLOOKUP(C120,Master!$B$6:$N$1000,10,FALSE)</f>
        <v>39</v>
      </c>
      <c r="G120" s="144">
        <f t="shared" si="9"/>
        <v>117</v>
      </c>
      <c r="H120" s="145"/>
      <c r="I120" s="145"/>
      <c r="J120" s="145"/>
    </row>
    <row r="121" spans="1:11" ht="13">
      <c r="A121" s="4"/>
      <c r="B121" s="4"/>
      <c r="C121" s="4" t="s">
        <v>998</v>
      </c>
      <c r="D121" s="146">
        <v>2</v>
      </c>
      <c r="E121" s="4" t="str">
        <f>VLOOKUP(C121,Master!$B$6:$N$1000,9,FALSE)</f>
        <v>gr</v>
      </c>
      <c r="F121" s="143">
        <f>VLOOKUP(C121,Master!$B$6:$N$1000,10,FALSE)</f>
        <v>60</v>
      </c>
      <c r="G121" s="144">
        <f t="shared" si="9"/>
        <v>120</v>
      </c>
      <c r="H121" s="145"/>
      <c r="I121" s="145"/>
      <c r="J121" s="145"/>
    </row>
    <row r="122" spans="1:11" ht="13">
      <c r="A122" s="4"/>
      <c r="B122" s="4"/>
      <c r="C122" s="4" t="s">
        <v>2043</v>
      </c>
      <c r="D122" s="146">
        <v>10</v>
      </c>
      <c r="E122" s="4" t="str">
        <f>VLOOKUP(C122,Master!$B$6:$N$1000,9,FALSE)</f>
        <v>gr</v>
      </c>
      <c r="F122" s="143">
        <f>VLOOKUP(C122,Master!$B$6:$N$1000,10,FALSE)</f>
        <v>38.5</v>
      </c>
      <c r="G122" s="144">
        <f t="shared" si="9"/>
        <v>385</v>
      </c>
      <c r="H122" s="145"/>
      <c r="I122" s="145"/>
      <c r="J122" s="145"/>
    </row>
    <row r="123" spans="1:11" ht="13">
      <c r="A123" s="4"/>
      <c r="B123" s="4"/>
      <c r="C123" s="4" t="s">
        <v>799</v>
      </c>
      <c r="D123" s="146">
        <v>2</v>
      </c>
      <c r="E123" s="4" t="str">
        <f>VLOOKUP(C123,Master!$B$6:$N$1000,9,FALSE)</f>
        <v>gr</v>
      </c>
      <c r="F123" s="143">
        <f>VLOOKUP(C123,Master!$B$6:$N$1000,10,FALSE)</f>
        <v>90</v>
      </c>
      <c r="G123" s="144">
        <f t="shared" si="9"/>
        <v>180</v>
      </c>
      <c r="H123" s="145"/>
      <c r="I123" s="145"/>
      <c r="J123" s="145"/>
      <c r="K123" s="132"/>
    </row>
    <row r="124" spans="1:11" ht="13">
      <c r="A124" s="4"/>
      <c r="B124" s="4"/>
      <c r="C124" s="4" t="s">
        <v>756</v>
      </c>
      <c r="D124" s="146">
        <v>46</v>
      </c>
      <c r="E124" s="4" t="str">
        <f>VLOOKUP(C124,Master!$B$6:$N$1000,9,FALSE)</f>
        <v>gr</v>
      </c>
      <c r="F124" s="143">
        <f>VLOOKUP(C124,Master!$B$6:$N$1000,10,FALSE)</f>
        <v>51.285714285714285</v>
      </c>
      <c r="G124" s="144">
        <f t="shared" si="9"/>
        <v>2359.1428571428569</v>
      </c>
      <c r="H124" s="145"/>
      <c r="I124" s="145"/>
      <c r="J124" s="145"/>
      <c r="K124" s="132"/>
    </row>
    <row r="125" spans="1:11" ht="13">
      <c r="A125" s="4"/>
      <c r="B125" s="4"/>
      <c r="C125" s="145"/>
      <c r="D125" s="146"/>
      <c r="E125" s="4"/>
      <c r="F125" s="143"/>
      <c r="G125" s="144"/>
      <c r="H125" s="145"/>
      <c r="I125" s="145"/>
      <c r="J125" s="145"/>
      <c r="K125" s="132"/>
    </row>
    <row r="126" spans="1:11" ht="13">
      <c r="A126" s="156" t="str">
        <f>VLOOKUP(B126,Master!$V$7:$W$150,2,FALSE)</f>
        <v>M0064</v>
      </c>
      <c r="B126" s="157" t="s">
        <v>446</v>
      </c>
      <c r="C126" s="153"/>
      <c r="D126" s="153"/>
      <c r="E126" s="154"/>
      <c r="F126" s="153"/>
      <c r="G126" s="138">
        <f>SUM(G127:G131)</f>
        <v>10161.428571428571</v>
      </c>
      <c r="H126" s="139">
        <v>0.1</v>
      </c>
      <c r="I126" s="138">
        <f>G126+(G126*H126)</f>
        <v>11177.571428571428</v>
      </c>
      <c r="J126" s="140" t="b">
        <v>0</v>
      </c>
      <c r="K126" s="140" t="b">
        <v>0</v>
      </c>
    </row>
    <row r="127" spans="1:11" ht="13">
      <c r="A127" s="141"/>
      <c r="B127" s="4"/>
      <c r="C127" s="147" t="s">
        <v>874</v>
      </c>
      <c r="D127" s="146">
        <v>4</v>
      </c>
      <c r="E127" s="4" t="str">
        <f>VLOOKUP(C127,Master!$B$6:$N$1000,9,FALSE)</f>
        <v>pcs</v>
      </c>
      <c r="F127" s="158">
        <f>VLOOKUP(C127,Master!$B$6:$N$1000,10,FALSE)</f>
        <v>2100</v>
      </c>
      <c r="G127" s="144">
        <f t="shared" ref="G127:G131" si="10">D127*F127</f>
        <v>8400</v>
      </c>
      <c r="H127" s="145"/>
      <c r="I127" s="145"/>
      <c r="J127" s="145" t="s">
        <v>1345</v>
      </c>
      <c r="K127" s="4"/>
    </row>
    <row r="128" spans="1:11" ht="13">
      <c r="A128" s="141"/>
      <c r="B128" s="4"/>
      <c r="C128" s="4" t="s">
        <v>782</v>
      </c>
      <c r="D128" s="146">
        <v>5</v>
      </c>
      <c r="E128" s="4" t="str">
        <f>VLOOKUP(C128,Master!$B$6:$N$1000,9,FALSE)</f>
        <v>gr</v>
      </c>
      <c r="F128" s="158">
        <f>VLOOKUP(C128,Master!$B$6:$N$1000,10,FALSE)</f>
        <v>50</v>
      </c>
      <c r="G128" s="144">
        <f t="shared" si="10"/>
        <v>250</v>
      </c>
      <c r="H128" s="145"/>
      <c r="I128" s="145"/>
      <c r="J128" s="145"/>
      <c r="K128" s="4"/>
    </row>
    <row r="129" spans="1:11" ht="13">
      <c r="A129" s="4"/>
      <c r="B129" s="4"/>
      <c r="C129" s="4" t="s">
        <v>2060</v>
      </c>
      <c r="D129" s="146">
        <v>5</v>
      </c>
      <c r="E129" s="4" t="str">
        <f>VLOOKUP(C129,Master!$B$6:$N$1000,9,FALSE)</f>
        <v>gr</v>
      </c>
      <c r="F129" s="158">
        <f>VLOOKUP(C129,Master!$B$6:$N$1000,10,FALSE)</f>
        <v>74.285714285714292</v>
      </c>
      <c r="G129" s="144">
        <f t="shared" si="10"/>
        <v>371.42857142857144</v>
      </c>
      <c r="H129" s="145"/>
      <c r="I129" s="145"/>
      <c r="J129" s="145"/>
      <c r="K129" s="4"/>
    </row>
    <row r="130" spans="1:11" ht="13">
      <c r="A130" s="141"/>
      <c r="B130" s="4"/>
      <c r="C130" s="145" t="s">
        <v>940</v>
      </c>
      <c r="D130" s="146">
        <v>0.5</v>
      </c>
      <c r="E130" s="4" t="str">
        <f>VLOOKUP(C130,Master!$B$6:$N$1000,9,FALSE)</f>
        <v>gr</v>
      </c>
      <c r="F130" s="158">
        <f>VLOOKUP(C130,Master!$B$6:$N$1000,10,FALSE)</f>
        <v>200</v>
      </c>
      <c r="G130" s="144">
        <f t="shared" si="10"/>
        <v>100</v>
      </c>
      <c r="H130" s="145"/>
      <c r="I130" s="145"/>
      <c r="J130" s="145"/>
      <c r="K130" s="121"/>
    </row>
    <row r="131" spans="1:11" ht="13">
      <c r="A131" s="148"/>
      <c r="B131" s="90"/>
      <c r="C131" s="151" t="s">
        <v>1103</v>
      </c>
      <c r="D131" s="149">
        <v>1</v>
      </c>
      <c r="E131" s="4" t="str">
        <f>VLOOKUP(C131,Master!$B$6:$N$1000,9,FALSE)</f>
        <v>pcs</v>
      </c>
      <c r="F131" s="158">
        <f>VLOOKUP(C131,Master!$B$6:$N$1000,10,FALSE)</f>
        <v>1040</v>
      </c>
      <c r="G131" s="150">
        <f t="shared" si="10"/>
        <v>1040</v>
      </c>
      <c r="H131" s="151"/>
      <c r="I131" s="151"/>
      <c r="J131" s="145"/>
      <c r="K131" s="121"/>
    </row>
    <row r="132" spans="1:11" ht="13">
      <c r="A132" s="134" t="str">
        <f>VLOOKUP(B132,Master!$V$7:$W$150,2,FALSE)</f>
        <v>M0066</v>
      </c>
      <c r="B132" s="135" t="s">
        <v>454</v>
      </c>
      <c r="C132" s="153"/>
      <c r="D132" s="153"/>
      <c r="E132" s="154"/>
      <c r="F132" s="153"/>
      <c r="G132" s="138">
        <f>SUM(G133:G139)</f>
        <v>9597.0209523809535</v>
      </c>
      <c r="H132" s="139">
        <v>0.1</v>
      </c>
      <c r="I132" s="138">
        <f>G132+(G132*H132)</f>
        <v>10556.723047619049</v>
      </c>
      <c r="J132" s="140" t="b">
        <v>0</v>
      </c>
      <c r="K132" s="140" t="b">
        <v>0</v>
      </c>
    </row>
    <row r="133" spans="1:11" ht="13">
      <c r="A133" s="141"/>
      <c r="B133" s="4"/>
      <c r="C133" s="4" t="s">
        <v>78</v>
      </c>
      <c r="D133" s="146">
        <v>1</v>
      </c>
      <c r="E133" s="4" t="str">
        <f>VLOOKUP(C133,Master!$B$6:$N$1000,9,FALSE)</f>
        <v>gr/slice</v>
      </c>
      <c r="F133" s="158">
        <f>VLOOKUP(C133,Master!$B$6:$N$1000,10,FALSE)</f>
        <v>5764.8066666666673</v>
      </c>
      <c r="G133" s="144">
        <f t="shared" ref="G133:G139" si="11">D133*F133</f>
        <v>5764.8066666666673</v>
      </c>
      <c r="H133" s="145"/>
      <c r="I133" s="145"/>
      <c r="J133" s="145"/>
      <c r="K133" s="4" t="s">
        <v>1344</v>
      </c>
    </row>
    <row r="134" spans="1:11" ht="13">
      <c r="A134" s="141"/>
      <c r="B134" s="4"/>
      <c r="C134" s="4" t="s">
        <v>1986</v>
      </c>
      <c r="D134" s="146">
        <v>50</v>
      </c>
      <c r="E134" s="4" t="str">
        <f>VLOOKUP(C134,Master!$B$6:$N$1000,9,FALSE)</f>
        <v>gr</v>
      </c>
      <c r="F134" s="158">
        <f>VLOOKUP(C134,Master!$B$6:$N$1000,10,FALSE)</f>
        <v>21.43</v>
      </c>
      <c r="G134" s="144">
        <f t="shared" si="11"/>
        <v>1071.5</v>
      </c>
      <c r="H134" s="145"/>
      <c r="I134" s="145"/>
      <c r="J134" s="145"/>
      <c r="K134" s="4"/>
    </row>
    <row r="135" spans="1:11" ht="13">
      <c r="A135" s="141"/>
      <c r="B135" s="4"/>
      <c r="C135" s="4" t="s">
        <v>2060</v>
      </c>
      <c r="D135" s="146">
        <v>20</v>
      </c>
      <c r="E135" s="4" t="str">
        <f>VLOOKUP(C135,Master!$B$6:$N$1000,9,FALSE)</f>
        <v>gr</v>
      </c>
      <c r="F135" s="158">
        <f>VLOOKUP(C135,Master!$B$6:$N$1000,10,FALSE)</f>
        <v>74.285714285714292</v>
      </c>
      <c r="G135" s="144">
        <f t="shared" si="11"/>
        <v>1485.7142857142858</v>
      </c>
      <c r="H135" s="145"/>
      <c r="I135" s="145"/>
      <c r="J135" s="145"/>
      <c r="K135" s="4"/>
    </row>
    <row r="136" spans="1:11" ht="13">
      <c r="A136" s="141"/>
      <c r="B136" s="4"/>
      <c r="C136" s="4" t="s">
        <v>937</v>
      </c>
      <c r="D136" s="146">
        <v>1</v>
      </c>
      <c r="E136" s="4" t="str">
        <f>VLOOKUP(C136,Master!$B$6:$N$1000,9,FALSE)</f>
        <v>pcs</v>
      </c>
      <c r="F136" s="158">
        <f>VLOOKUP(C136,Master!$B$6:$N$1000,10,FALSE)</f>
        <v>425</v>
      </c>
      <c r="G136" s="144">
        <f t="shared" si="11"/>
        <v>425</v>
      </c>
      <c r="H136" s="145"/>
      <c r="I136" s="145"/>
      <c r="J136" s="145"/>
      <c r="K136" s="4"/>
    </row>
    <row r="137" spans="1:11" ht="13">
      <c r="A137" s="141"/>
      <c r="B137" s="4"/>
      <c r="C137" s="4" t="s">
        <v>940</v>
      </c>
      <c r="D137" s="146">
        <v>0.5</v>
      </c>
      <c r="E137" s="4" t="str">
        <f>VLOOKUP(C137,Master!$B$6:$N$1000,9,FALSE)</f>
        <v>gr</v>
      </c>
      <c r="F137" s="158">
        <f>VLOOKUP(C137,Master!$B$6:$N$1000,10,FALSE)</f>
        <v>200</v>
      </c>
      <c r="G137" s="144">
        <f t="shared" si="11"/>
        <v>100</v>
      </c>
      <c r="H137" s="145"/>
      <c r="I137" s="145"/>
      <c r="J137" s="145"/>
      <c r="K137" s="4"/>
    </row>
    <row r="138" spans="1:11" ht="13">
      <c r="A138" s="141"/>
      <c r="B138" s="4"/>
      <c r="C138" s="145" t="s">
        <v>782</v>
      </c>
      <c r="D138" s="146">
        <v>15</v>
      </c>
      <c r="E138" s="4" t="str">
        <f>VLOOKUP(C138,Master!$B$6:$N$1000,9,FALSE)</f>
        <v>gr</v>
      </c>
      <c r="F138" s="158">
        <f>VLOOKUP(C138,Master!$B$6:$N$1000,10,FALSE)</f>
        <v>50</v>
      </c>
      <c r="G138" s="144">
        <f t="shared" si="11"/>
        <v>750</v>
      </c>
      <c r="H138" s="145"/>
      <c r="I138" s="145"/>
      <c r="J138" s="145"/>
      <c r="K138" s="121"/>
    </row>
    <row r="139" spans="1:11" ht="13">
      <c r="A139" s="148"/>
      <c r="B139" s="90"/>
      <c r="C139" s="151" t="s">
        <v>866</v>
      </c>
      <c r="D139" s="146">
        <v>0</v>
      </c>
      <c r="E139" s="4" t="str">
        <f>VLOOKUP(C139,Master!$B$6:$N$1000,9,FALSE)</f>
        <v>pcs</v>
      </c>
      <c r="F139" s="158">
        <f>VLOOKUP(C139,Master!$B$6:$N$1000,10,FALSE)</f>
        <v>3080</v>
      </c>
      <c r="G139" s="144">
        <f t="shared" si="11"/>
        <v>0</v>
      </c>
      <c r="H139" s="151"/>
      <c r="I139" s="151"/>
      <c r="J139" s="145"/>
      <c r="K139" s="121"/>
    </row>
    <row r="140" spans="1:11" ht="13">
      <c r="A140" s="134" t="str">
        <f>VLOOKUP(B140,Master!$V$7:$W$150,2,FALSE)</f>
        <v>M0067</v>
      </c>
      <c r="B140" s="152" t="s">
        <v>458</v>
      </c>
      <c r="C140" s="153"/>
      <c r="D140" s="153"/>
      <c r="E140" s="154"/>
      <c r="F140" s="153"/>
      <c r="G140" s="155">
        <f>SUM(G141:G147)</f>
        <v>7399.2071428571435</v>
      </c>
      <c r="H140" s="139">
        <v>0.1</v>
      </c>
      <c r="I140" s="155">
        <f>G140+(G140*H140)</f>
        <v>8139.1278571428575</v>
      </c>
      <c r="J140" s="140" t="b">
        <v>0</v>
      </c>
      <c r="K140" s="140" t="b">
        <v>0</v>
      </c>
    </row>
    <row r="141" spans="1:11" ht="13">
      <c r="A141" s="141"/>
      <c r="B141" s="4"/>
      <c r="C141" s="4" t="s">
        <v>89</v>
      </c>
      <c r="D141" s="146">
        <v>1</v>
      </c>
      <c r="E141" s="4" t="str">
        <f>VLOOKUP(C141,Master!$B$6:$N$1000,9,FALSE)</f>
        <v>gr/por</v>
      </c>
      <c r="F141" s="158">
        <f>VLOOKUP(C141,Master!$B$6:$N$1000,10,FALSE)</f>
        <v>4952.75</v>
      </c>
      <c r="G141" s="144">
        <f t="shared" ref="G141:G147" si="12">D141*F141</f>
        <v>4952.75</v>
      </c>
      <c r="H141" s="145"/>
      <c r="I141" s="145"/>
      <c r="J141" s="145"/>
      <c r="K141" s="4" t="s">
        <v>1344</v>
      </c>
    </row>
    <row r="142" spans="1:11" ht="13">
      <c r="A142" s="141"/>
      <c r="B142" s="4"/>
      <c r="C142" s="4" t="s">
        <v>1986</v>
      </c>
      <c r="D142" s="146">
        <v>20</v>
      </c>
      <c r="E142" s="4" t="str">
        <f>VLOOKUP(C142,Master!$B$6:$N$1000,9,FALSE)</f>
        <v>gr</v>
      </c>
      <c r="F142" s="158">
        <f>VLOOKUP(C142,Master!$B$6:$N$1000,10,FALSE)</f>
        <v>21.43</v>
      </c>
      <c r="G142" s="144">
        <f t="shared" si="12"/>
        <v>428.6</v>
      </c>
      <c r="H142" s="145"/>
      <c r="I142" s="145"/>
      <c r="J142" s="145"/>
      <c r="K142" s="4"/>
    </row>
    <row r="143" spans="1:11" ht="13">
      <c r="A143" s="141"/>
      <c r="B143" s="4"/>
      <c r="C143" s="4" t="s">
        <v>2060</v>
      </c>
      <c r="D143" s="146">
        <v>10</v>
      </c>
      <c r="E143" s="4" t="str">
        <f>VLOOKUP(C143,Master!$B$6:$N$1000,9,FALSE)</f>
        <v>gr</v>
      </c>
      <c r="F143" s="158">
        <f>VLOOKUP(C143,Master!$B$6:$N$1000,10,FALSE)</f>
        <v>74.285714285714292</v>
      </c>
      <c r="G143" s="144">
        <f t="shared" si="12"/>
        <v>742.85714285714289</v>
      </c>
      <c r="H143" s="145"/>
      <c r="I143" s="145"/>
      <c r="J143" s="145"/>
      <c r="K143" s="4"/>
    </row>
    <row r="144" spans="1:11" ht="13">
      <c r="A144" s="141"/>
      <c r="B144" s="4"/>
      <c r="C144" s="4" t="s">
        <v>937</v>
      </c>
      <c r="D144" s="146">
        <v>1</v>
      </c>
      <c r="E144" s="4" t="str">
        <f>VLOOKUP(C144,Master!$B$6:$N$1000,9,FALSE)</f>
        <v>pcs</v>
      </c>
      <c r="F144" s="158">
        <f>VLOOKUP(C144,Master!$B$6:$N$1000,10,FALSE)</f>
        <v>425</v>
      </c>
      <c r="G144" s="144">
        <f t="shared" si="12"/>
        <v>425</v>
      </c>
      <c r="H144" s="145"/>
      <c r="I144" s="145"/>
      <c r="J144" s="145"/>
      <c r="K144" s="4"/>
    </row>
    <row r="145" spans="1:11" ht="13">
      <c r="A145" s="141"/>
      <c r="B145" s="4"/>
      <c r="C145" s="4" t="s">
        <v>940</v>
      </c>
      <c r="D145" s="146">
        <v>0.5</v>
      </c>
      <c r="E145" s="4" t="str">
        <f>VLOOKUP(C145,Master!$B$6:$N$1000,9,FALSE)</f>
        <v>gr</v>
      </c>
      <c r="F145" s="158">
        <f>VLOOKUP(C145,Master!$B$6:$N$1000,10,FALSE)</f>
        <v>200</v>
      </c>
      <c r="G145" s="144">
        <f t="shared" si="12"/>
        <v>100</v>
      </c>
      <c r="H145" s="145"/>
      <c r="I145" s="145"/>
      <c r="J145" s="145"/>
      <c r="K145" s="4"/>
    </row>
    <row r="146" spans="1:11" ht="13">
      <c r="A146" s="141"/>
      <c r="B146" s="4"/>
      <c r="C146" s="145" t="s">
        <v>782</v>
      </c>
      <c r="D146" s="146">
        <v>15</v>
      </c>
      <c r="E146" s="4" t="str">
        <f>VLOOKUP(C146,Master!$B$6:$N$1000,9,FALSE)</f>
        <v>gr</v>
      </c>
      <c r="F146" s="158">
        <f>VLOOKUP(C146,Master!$B$6:$N$1000,10,FALSE)</f>
        <v>50</v>
      </c>
      <c r="G146" s="144">
        <f t="shared" si="12"/>
        <v>750</v>
      </c>
      <c r="H146" s="145"/>
      <c r="I146" s="145"/>
      <c r="J146" s="145"/>
      <c r="K146" s="121"/>
    </row>
    <row r="147" spans="1:11" ht="13">
      <c r="A147" s="141"/>
      <c r="B147" s="4"/>
      <c r="C147" s="145" t="s">
        <v>866</v>
      </c>
      <c r="D147" s="146">
        <v>0</v>
      </c>
      <c r="E147" s="4" t="str">
        <f>VLOOKUP(C147,Master!$B$6:$N$1000,9,FALSE)</f>
        <v>pcs</v>
      </c>
      <c r="F147" s="158">
        <f>VLOOKUP(C147,Master!$B$6:$N$1000,10,FALSE)</f>
        <v>3080</v>
      </c>
      <c r="G147" s="144">
        <f t="shared" si="12"/>
        <v>0</v>
      </c>
      <c r="H147" s="145"/>
      <c r="I147" s="145"/>
      <c r="J147" s="145"/>
      <c r="K147" s="121"/>
    </row>
    <row r="148" spans="1:11" ht="13">
      <c r="A148" s="156" t="str">
        <f>VLOOKUP(B148,Master!$V$7:$W$150,2,FALSE)</f>
        <v>M0068</v>
      </c>
      <c r="B148" s="152" t="s">
        <v>462</v>
      </c>
      <c r="C148" s="153"/>
      <c r="D148" s="153"/>
      <c r="E148" s="154"/>
      <c r="F148" s="153"/>
      <c r="G148" s="155">
        <f>SUM(G149:G150)</f>
        <v>2133.9890710382515</v>
      </c>
      <c r="H148" s="139">
        <v>0.1</v>
      </c>
      <c r="I148" s="155">
        <f>G148+(G148*H148)</f>
        <v>2347.3879781420765</v>
      </c>
      <c r="J148" s="140" t="b">
        <v>0</v>
      </c>
      <c r="K148" s="140" t="b">
        <v>0</v>
      </c>
    </row>
    <row r="149" spans="1:11" ht="13">
      <c r="A149" s="4"/>
      <c r="B149" s="4"/>
      <c r="C149" s="145" t="s">
        <v>251</v>
      </c>
      <c r="D149" s="146">
        <v>1</v>
      </c>
      <c r="E149" s="4" t="str">
        <f>VLOOKUP(C149,Master!$B$6:$N$1000,9,FALSE)</f>
        <v>Porsi</v>
      </c>
      <c r="F149" s="158">
        <f>VLOOKUP(C149,Master!$B$6:$N$1000,10,FALSE)</f>
        <v>1093.9890710382513</v>
      </c>
      <c r="G149" s="144">
        <f t="shared" ref="G149:G150" si="13">D149*F149</f>
        <v>1093.9890710382513</v>
      </c>
      <c r="H149" s="145"/>
      <c r="I149" s="145"/>
      <c r="J149" s="145"/>
      <c r="K149" s="121"/>
    </row>
    <row r="150" spans="1:11" ht="13">
      <c r="A150" s="148"/>
      <c r="B150" s="90"/>
      <c r="C150" s="151" t="s">
        <v>1103</v>
      </c>
      <c r="D150" s="149">
        <v>1</v>
      </c>
      <c r="E150" s="4" t="str">
        <f>VLOOKUP(C150,Master!$B$6:$N$1000,9,FALSE)</f>
        <v>pcs</v>
      </c>
      <c r="F150" s="158">
        <f>VLOOKUP(C150,Master!$B$6:$N$1000,10,FALSE)</f>
        <v>1040</v>
      </c>
      <c r="G150" s="150">
        <f t="shared" si="13"/>
        <v>1040</v>
      </c>
      <c r="H150" s="151"/>
      <c r="I150" s="151"/>
      <c r="J150" s="145"/>
      <c r="K150" s="121"/>
    </row>
    <row r="151" spans="1:11" ht="13">
      <c r="A151" s="134" t="str">
        <f>VLOOKUP(B151,Master!$V$7:$W$150,2,FALSE)</f>
        <v>M0051</v>
      </c>
      <c r="B151" s="135" t="s">
        <v>396</v>
      </c>
      <c r="C151" s="136"/>
      <c r="D151" s="153"/>
      <c r="E151" s="154"/>
      <c r="F151" s="153"/>
      <c r="G151" s="138">
        <f>SUM(G152:G156)</f>
        <v>8604.8148148148139</v>
      </c>
      <c r="H151" s="139">
        <v>0.1</v>
      </c>
      <c r="I151" s="138">
        <f>G151+(G151*H151)</f>
        <v>9465.2962962962956</v>
      </c>
      <c r="J151" s="140" t="b">
        <v>0</v>
      </c>
      <c r="K151" s="140" t="b">
        <v>0</v>
      </c>
    </row>
    <row r="152" spans="1:11" ht="13">
      <c r="A152" s="141"/>
      <c r="B152" s="4"/>
      <c r="C152" s="4" t="s">
        <v>675</v>
      </c>
      <c r="D152" s="146">
        <v>10</v>
      </c>
      <c r="E152" s="4" t="str">
        <f>VLOOKUP(C152,Master!$B$6:$N$1000,9,FALSE)</f>
        <v>unit</v>
      </c>
      <c r="F152" s="158">
        <f>VLOOKUP(C152,Master!$B$6:$N$1000,10,FALSE)</f>
        <v>675</v>
      </c>
      <c r="G152" s="144">
        <f t="shared" ref="G152:G154" si="14">D152*F152</f>
        <v>6750</v>
      </c>
      <c r="H152" s="145"/>
      <c r="I152" s="145"/>
      <c r="J152" s="145"/>
      <c r="K152" s="4"/>
    </row>
    <row r="153" spans="1:11" ht="13">
      <c r="A153" s="141"/>
      <c r="B153" s="4"/>
      <c r="C153" s="4" t="s">
        <v>173</v>
      </c>
      <c r="D153" s="146">
        <v>1</v>
      </c>
      <c r="E153" s="4" t="str">
        <f>VLOOKUP(C153,Master!$B$6:$N$1000,9,FALSE)</f>
        <v>gr/slice</v>
      </c>
      <c r="F153" s="158">
        <f>VLOOKUP(C153,Master!$B$6:$N$1000,10,FALSE)</f>
        <v>814.81481481481478</v>
      </c>
      <c r="G153" s="144">
        <f t="shared" si="14"/>
        <v>814.81481481481478</v>
      </c>
      <c r="H153" s="145"/>
      <c r="I153" s="145"/>
      <c r="J153" s="145"/>
      <c r="K153" s="4"/>
    </row>
    <row r="154" spans="1:11" ht="13">
      <c r="A154" s="141"/>
      <c r="B154" s="4"/>
      <c r="C154" s="4" t="s">
        <v>1103</v>
      </c>
      <c r="D154" s="146">
        <v>1</v>
      </c>
      <c r="E154" s="4" t="str">
        <f>VLOOKUP(C154,Master!$B$6:$N$1000,9,FALSE)</f>
        <v>pcs</v>
      </c>
      <c r="F154" s="158">
        <f>VLOOKUP(C154,Master!$B$6:$N$1000,10,FALSE)</f>
        <v>1040</v>
      </c>
      <c r="G154" s="144">
        <f t="shared" si="14"/>
        <v>1040</v>
      </c>
      <c r="H154" s="145"/>
      <c r="I154" s="145"/>
      <c r="J154" s="145"/>
      <c r="K154" s="4"/>
    </row>
    <row r="155" spans="1:11" ht="13">
      <c r="A155" s="141"/>
      <c r="B155" s="4"/>
      <c r="C155" s="145"/>
      <c r="D155" s="145"/>
      <c r="E155" s="4"/>
      <c r="F155" s="159"/>
      <c r="G155" s="121"/>
      <c r="H155" s="145"/>
      <c r="I155" s="145"/>
      <c r="J155" s="145"/>
      <c r="K155" s="121"/>
    </row>
    <row r="156" spans="1:11" ht="13">
      <c r="A156" s="148"/>
      <c r="B156" s="90"/>
      <c r="C156" s="151"/>
      <c r="D156" s="151"/>
      <c r="E156" s="4"/>
      <c r="F156" s="159"/>
      <c r="G156" s="107"/>
      <c r="H156" s="151"/>
      <c r="I156" s="151"/>
      <c r="J156" s="145"/>
      <c r="K156" s="121"/>
    </row>
    <row r="157" spans="1:11" ht="13">
      <c r="A157" s="134" t="str">
        <f>VLOOKUP(B157,Master!$V$7:$W$150,2,FALSE)</f>
        <v>M0095</v>
      </c>
      <c r="B157" s="135" t="s">
        <v>568</v>
      </c>
      <c r="C157" s="136"/>
      <c r="D157" s="153"/>
      <c r="E157" s="154"/>
      <c r="F157" s="153"/>
      <c r="G157" s="138">
        <f>SUM(G158:G163)</f>
        <v>7800.1407407407405</v>
      </c>
      <c r="H157" s="139">
        <v>0.1</v>
      </c>
      <c r="I157" s="138">
        <f>G157+(G157*H157)</f>
        <v>8580.154814814814</v>
      </c>
      <c r="J157" s="140" t="b">
        <v>0</v>
      </c>
      <c r="K157" s="140" t="b">
        <v>0</v>
      </c>
    </row>
    <row r="158" spans="1:11" ht="13">
      <c r="A158" s="141"/>
      <c r="B158" s="4"/>
      <c r="C158" s="4" t="s">
        <v>910</v>
      </c>
      <c r="D158" s="146">
        <v>2</v>
      </c>
      <c r="E158" s="4" t="str">
        <f>VLOOKUP(C158,Master!$B$6:$N$1000,9,FALSE)</f>
        <v>pcs</v>
      </c>
      <c r="F158" s="158">
        <f>VLOOKUP(C158,Master!$B$6:$N$1000,10,FALSE)</f>
        <v>1690</v>
      </c>
      <c r="G158" s="144">
        <f t="shared" ref="G158:G161" si="15">D158*F158</f>
        <v>3380</v>
      </c>
      <c r="H158" s="145"/>
      <c r="I158" s="145"/>
      <c r="J158" s="145"/>
      <c r="K158" s="4"/>
    </row>
    <row r="159" spans="1:11" ht="13">
      <c r="A159" s="141"/>
      <c r="B159" s="4"/>
      <c r="C159" s="4" t="s">
        <v>112</v>
      </c>
      <c r="D159" s="146">
        <v>1</v>
      </c>
      <c r="E159" s="4" t="str">
        <f>VLOOKUP(C159,Master!$B$6:$N$1000,9,FALSE)</f>
        <v>gr/pcs</v>
      </c>
      <c r="F159" s="158">
        <f>VLOOKUP(C159,Master!$B$6:$N$1000,10,FALSE)</f>
        <v>2300.1407407407405</v>
      </c>
      <c r="G159" s="144">
        <f t="shared" si="15"/>
        <v>2300.1407407407405</v>
      </c>
      <c r="H159" s="145"/>
      <c r="I159" s="145"/>
      <c r="J159" s="145"/>
      <c r="K159" s="4"/>
    </row>
    <row r="160" spans="1:11" ht="13">
      <c r="A160" s="141"/>
      <c r="B160" s="4"/>
      <c r="C160" s="4" t="s">
        <v>2063</v>
      </c>
      <c r="D160" s="146">
        <v>10</v>
      </c>
      <c r="E160" s="4" t="str">
        <f>VLOOKUP(C160,Master!$B$6:$N$1000,9,FALSE)</f>
        <v>gr</v>
      </c>
      <c r="F160" s="158">
        <f>VLOOKUP(C160,Master!$B$6:$N$1000,10,FALSE)</f>
        <v>108</v>
      </c>
      <c r="G160" s="144">
        <f t="shared" si="15"/>
        <v>1080</v>
      </c>
      <c r="H160" s="145"/>
      <c r="I160" s="145"/>
      <c r="J160" s="145"/>
      <c r="K160" s="4"/>
    </row>
    <row r="161" spans="1:11" ht="13">
      <c r="A161" s="141"/>
      <c r="B161" s="4"/>
      <c r="C161" s="4" t="s">
        <v>1103</v>
      </c>
      <c r="D161" s="146">
        <v>1</v>
      </c>
      <c r="E161" s="4" t="str">
        <f>VLOOKUP(C161,Master!$B$6:$N$1000,9,FALSE)</f>
        <v>pcs</v>
      </c>
      <c r="F161" s="158">
        <f>VLOOKUP(C161,Master!$B$6:$N$1000,10,FALSE)</f>
        <v>1040</v>
      </c>
      <c r="G161" s="144">
        <f t="shared" si="15"/>
        <v>1040</v>
      </c>
      <c r="H161" s="145"/>
      <c r="I161" s="145"/>
      <c r="J161" s="145"/>
      <c r="K161" s="4"/>
    </row>
    <row r="162" spans="1:11" ht="13">
      <c r="A162" s="141"/>
      <c r="B162" s="4"/>
      <c r="C162" s="145"/>
      <c r="D162" s="145"/>
      <c r="E162" s="4"/>
      <c r="F162" s="159"/>
      <c r="G162" s="121"/>
      <c r="H162" s="145"/>
      <c r="I162" s="145"/>
      <c r="J162" s="145"/>
      <c r="K162" s="4"/>
    </row>
    <row r="163" spans="1:11" ht="13">
      <c r="A163" s="148"/>
      <c r="B163" s="90"/>
      <c r="C163" s="145"/>
      <c r="D163" s="145"/>
      <c r="E163" s="4"/>
      <c r="F163" s="159"/>
      <c r="G163" s="121"/>
      <c r="H163" s="151"/>
      <c r="I163" s="151"/>
      <c r="J163" s="145"/>
      <c r="K163" s="4"/>
    </row>
    <row r="164" spans="1:11" ht="13">
      <c r="A164" s="134" t="str">
        <f>VLOOKUP(B164,Master!$V$7:$W$150,2,FALSE)</f>
        <v>M0097</v>
      </c>
      <c r="B164" s="135" t="s">
        <v>576</v>
      </c>
      <c r="C164" s="153"/>
      <c r="D164" s="153"/>
      <c r="E164" s="154"/>
      <c r="F164" s="153"/>
      <c r="G164" s="155">
        <f>SUM(G165:G171)</f>
        <v>9300.8407407407394</v>
      </c>
      <c r="H164" s="139">
        <v>0.1</v>
      </c>
      <c r="I164" s="138">
        <f>G164+(G164*H164)</f>
        <v>10230.924814814813</v>
      </c>
      <c r="J164" s="140" t="b">
        <v>0</v>
      </c>
      <c r="K164" s="4"/>
    </row>
    <row r="165" spans="1:11" ht="13">
      <c r="A165" s="141"/>
      <c r="B165" s="4"/>
      <c r="C165" s="4" t="s">
        <v>925</v>
      </c>
      <c r="D165" s="146">
        <v>150</v>
      </c>
      <c r="E165" s="4" t="str">
        <f>VLOOKUP(C165,Master!$B$6:$N$1000,9,FALSE)</f>
        <v>gr</v>
      </c>
      <c r="F165" s="158">
        <f>VLOOKUP(C165,Master!$B$6:$N$1000,10,FALSE)</f>
        <v>39.738</v>
      </c>
      <c r="G165" s="144">
        <f t="shared" ref="G165:G167" si="16">D165*F165</f>
        <v>5960.7</v>
      </c>
      <c r="H165" s="145"/>
      <c r="I165" s="145"/>
      <c r="J165" s="145"/>
      <c r="K165" s="4"/>
    </row>
    <row r="166" spans="1:11" ht="13">
      <c r="A166" s="141"/>
      <c r="B166" s="4"/>
      <c r="C166" s="4" t="s">
        <v>112</v>
      </c>
      <c r="D166" s="146">
        <v>1</v>
      </c>
      <c r="E166" s="4" t="str">
        <f>VLOOKUP(C166,Master!$B$6:$N$1000,9,FALSE)</f>
        <v>gr/pcs</v>
      </c>
      <c r="F166" s="158">
        <f>VLOOKUP(C166,Master!$B$6:$N$1000,10,FALSE)</f>
        <v>2300.1407407407405</v>
      </c>
      <c r="G166" s="144">
        <f t="shared" si="16"/>
        <v>2300.1407407407405</v>
      </c>
      <c r="H166" s="145"/>
      <c r="I166" s="145"/>
      <c r="J166" s="145"/>
      <c r="K166" s="4"/>
    </row>
    <row r="167" spans="1:11" ht="13">
      <c r="A167" s="141"/>
      <c r="B167" s="4"/>
      <c r="C167" s="4" t="s">
        <v>1103</v>
      </c>
      <c r="D167" s="146">
        <v>1</v>
      </c>
      <c r="E167" s="4" t="str">
        <f>VLOOKUP(C167,Master!$B$6:$N$1000,9,FALSE)</f>
        <v>pcs</v>
      </c>
      <c r="F167" s="158">
        <f>VLOOKUP(C167,Master!$B$6:$N$1000,10,FALSE)</f>
        <v>1040</v>
      </c>
      <c r="G167" s="144">
        <f t="shared" si="16"/>
        <v>1040</v>
      </c>
      <c r="H167" s="145"/>
      <c r="I167" s="145"/>
      <c r="J167" s="145"/>
      <c r="K167" s="4"/>
    </row>
    <row r="168" spans="1:11" ht="13">
      <c r="A168" s="141"/>
      <c r="B168" s="4"/>
      <c r="C168" s="4"/>
      <c r="D168" s="145"/>
      <c r="E168" s="4"/>
      <c r="F168" s="159"/>
      <c r="G168" s="121"/>
      <c r="H168" s="145"/>
      <c r="I168" s="145"/>
      <c r="J168" s="145"/>
      <c r="K168" s="4"/>
    </row>
    <row r="169" spans="1:11" ht="13">
      <c r="A169" s="141"/>
      <c r="B169" s="4"/>
      <c r="C169" s="4"/>
      <c r="D169" s="145"/>
      <c r="E169" s="4"/>
      <c r="F169" s="159"/>
      <c r="G169" s="121"/>
      <c r="H169" s="145"/>
      <c r="I169" s="145"/>
      <c r="J169" s="145"/>
      <c r="K169" s="4"/>
    </row>
    <row r="170" spans="1:11" ht="13">
      <c r="A170" s="141"/>
      <c r="B170" s="4"/>
      <c r="C170" s="145"/>
      <c r="D170" s="145"/>
      <c r="E170" s="4"/>
      <c r="F170" s="159"/>
      <c r="G170" s="121"/>
      <c r="H170" s="145"/>
      <c r="I170" s="145"/>
      <c r="J170" s="145"/>
      <c r="K170" s="4"/>
    </row>
    <row r="171" spans="1:11" ht="13">
      <c r="A171" s="148"/>
      <c r="B171" s="90"/>
      <c r="C171" s="151"/>
      <c r="D171" s="151"/>
      <c r="E171" s="4"/>
      <c r="F171" s="159"/>
      <c r="G171" s="107"/>
      <c r="H171" s="151"/>
      <c r="I171" s="151"/>
      <c r="J171" s="145"/>
      <c r="K171" s="4"/>
    </row>
    <row r="172" spans="1:11" ht="13">
      <c r="A172" s="134" t="str">
        <f>VLOOKUP(B172,Master!$V$7:$W$150,2,FALSE)</f>
        <v>M0098</v>
      </c>
      <c r="B172" s="135" t="s">
        <v>580</v>
      </c>
      <c r="C172" s="136"/>
      <c r="D172" s="153"/>
      <c r="E172" s="154"/>
      <c r="F172" s="153"/>
      <c r="G172" s="138">
        <f>SUM(G173:G178)</f>
        <v>12387.6875</v>
      </c>
      <c r="H172" s="139">
        <v>0.1</v>
      </c>
      <c r="I172" s="138">
        <f>G172+(G172*H172)</f>
        <v>13626.456249999999</v>
      </c>
      <c r="J172" s="140" t="b">
        <v>0</v>
      </c>
      <c r="K172" s="4"/>
    </row>
    <row r="173" spans="1:11" ht="13">
      <c r="A173" s="141"/>
      <c r="B173" s="4"/>
      <c r="C173" s="4" t="s">
        <v>925</v>
      </c>
      <c r="D173" s="146">
        <v>150</v>
      </c>
      <c r="E173" s="4" t="str">
        <f>VLOOKUP(C173,Master!$B$6:$N$1000,9,FALSE)</f>
        <v>gr</v>
      </c>
      <c r="F173" s="158">
        <f>VLOOKUP(C173,Master!$B$6:$N$1000,10,FALSE)</f>
        <v>39.738</v>
      </c>
      <c r="G173" s="144">
        <f t="shared" ref="G173:G178" si="17">D173*F173</f>
        <v>5960.7</v>
      </c>
      <c r="H173" s="145"/>
      <c r="I173" s="145"/>
      <c r="J173" s="145"/>
      <c r="K173" s="4"/>
    </row>
    <row r="174" spans="1:11" ht="13">
      <c r="A174" s="141"/>
      <c r="B174" s="4"/>
      <c r="C174" s="4" t="s">
        <v>267</v>
      </c>
      <c r="D174" s="146">
        <v>1</v>
      </c>
      <c r="E174" s="4" t="str">
        <f>VLOOKUP(C174,Master!$B$6:$N$1000,9,FALSE)</f>
        <v>Porsi</v>
      </c>
      <c r="F174" s="158">
        <f>VLOOKUP(C174,Master!$B$6:$N$1000,10,FALSE)</f>
        <v>58.987500000000004</v>
      </c>
      <c r="G174" s="144">
        <f t="shared" si="17"/>
        <v>58.987500000000004</v>
      </c>
      <c r="H174" s="145"/>
      <c r="I174" s="145"/>
      <c r="J174" s="145"/>
      <c r="K174" s="4"/>
    </row>
    <row r="175" spans="1:11" ht="13">
      <c r="A175" s="141"/>
      <c r="B175" s="4"/>
      <c r="C175" s="4" t="s">
        <v>153</v>
      </c>
      <c r="D175" s="146">
        <v>1</v>
      </c>
      <c r="E175" s="4" t="str">
        <f>VLOOKUP(C175,Master!$B$6:$N$1000,9,FALSE)</f>
        <v>gr</v>
      </c>
      <c r="F175" s="158">
        <f>VLOOKUP(C175,Master!$B$6:$N$1000,10,FALSE)</f>
        <v>4554</v>
      </c>
      <c r="G175" s="144">
        <f t="shared" si="17"/>
        <v>4554</v>
      </c>
      <c r="H175" s="145"/>
      <c r="I175" s="145"/>
      <c r="J175" s="145"/>
      <c r="K175" s="4"/>
    </row>
    <row r="176" spans="1:11" ht="13">
      <c r="A176" s="141"/>
      <c r="B176" s="4"/>
      <c r="C176" s="4" t="s">
        <v>1074</v>
      </c>
      <c r="D176" s="146">
        <v>20</v>
      </c>
      <c r="E176" s="4" t="str">
        <f>VLOOKUP(C176,Master!$B$6:$N$1000,9,FALSE)</f>
        <v>gr</v>
      </c>
      <c r="F176" s="158">
        <f>VLOOKUP(C176,Master!$B$6:$N$1000,10,FALSE)</f>
        <v>16.5</v>
      </c>
      <c r="G176" s="144">
        <f t="shared" si="17"/>
        <v>330</v>
      </c>
      <c r="H176" s="145"/>
      <c r="I176" s="145"/>
      <c r="J176" s="145"/>
      <c r="K176" s="4"/>
    </row>
    <row r="177" spans="1:11" ht="13">
      <c r="A177" s="141"/>
      <c r="B177" s="4"/>
      <c r="C177" s="145" t="s">
        <v>2061</v>
      </c>
      <c r="D177" s="146">
        <v>20</v>
      </c>
      <c r="E177" s="4" t="str">
        <f>VLOOKUP(C177,Master!$B$6:$N$1000,9,FALSE)</f>
        <v>gr</v>
      </c>
      <c r="F177" s="158">
        <f>VLOOKUP(C177,Master!$B$6:$N$1000,10,FALSE)</f>
        <v>22.2</v>
      </c>
      <c r="G177" s="144">
        <f t="shared" si="17"/>
        <v>444</v>
      </c>
      <c r="H177" s="145"/>
      <c r="I177" s="145"/>
      <c r="J177" s="145"/>
      <c r="K177" s="4"/>
    </row>
    <row r="178" spans="1:11" ht="13">
      <c r="A178" s="148"/>
      <c r="B178" s="90"/>
      <c r="C178" s="151" t="s">
        <v>1103</v>
      </c>
      <c r="D178" s="149">
        <v>1</v>
      </c>
      <c r="E178" s="4" t="str">
        <f>VLOOKUP(C178,Master!$B$6:$N$1000,9,FALSE)</f>
        <v>pcs</v>
      </c>
      <c r="F178" s="158">
        <f>VLOOKUP(C178,Master!$B$6:$N$1000,10,FALSE)</f>
        <v>1040</v>
      </c>
      <c r="G178" s="150">
        <f t="shared" si="17"/>
        <v>1040</v>
      </c>
      <c r="H178" s="151"/>
      <c r="I178" s="151"/>
      <c r="J178" s="145"/>
      <c r="K178" s="4"/>
    </row>
    <row r="179" spans="1:11" ht="13">
      <c r="A179" s="134" t="str">
        <f>VLOOKUP(B179,Master!$V$7:$W$150,2,FALSE)</f>
        <v>M0099</v>
      </c>
      <c r="B179" s="135" t="s">
        <v>584</v>
      </c>
      <c r="C179" s="136"/>
      <c r="D179" s="153"/>
      <c r="E179" s="154"/>
      <c r="F179" s="153"/>
      <c r="G179" s="138">
        <f>SUM(G180:G187)</f>
        <v>8318.5</v>
      </c>
      <c r="H179" s="139">
        <v>0.1</v>
      </c>
      <c r="I179" s="138">
        <f>G179+(G179*H179)</f>
        <v>9150.35</v>
      </c>
      <c r="J179" s="140" t="b">
        <v>0</v>
      </c>
      <c r="K179" s="4"/>
    </row>
    <row r="180" spans="1:11" ht="13">
      <c r="A180" s="141"/>
      <c r="B180" s="4"/>
      <c r="C180" s="4" t="s">
        <v>655</v>
      </c>
      <c r="D180" s="146">
        <v>120</v>
      </c>
      <c r="E180" s="4" t="str">
        <f>VLOOKUP(C180,Master!$B$6:$N$1000,9,FALSE)</f>
        <v>gr</v>
      </c>
      <c r="F180" s="158">
        <f>VLOOKUP(C180,Master!$B$6:$N$1000,10,FALSE)</f>
        <v>50</v>
      </c>
      <c r="G180" s="144">
        <f t="shared" ref="G180:G185" si="18">D180*F180</f>
        <v>6000</v>
      </c>
      <c r="H180" s="145"/>
      <c r="I180" s="145"/>
      <c r="J180" s="145"/>
      <c r="K180" s="4"/>
    </row>
    <row r="181" spans="1:11" ht="13">
      <c r="A181" s="141"/>
      <c r="B181" s="4"/>
      <c r="C181" s="4" t="s">
        <v>2045</v>
      </c>
      <c r="D181" s="146">
        <v>30</v>
      </c>
      <c r="E181" s="4" t="str">
        <f>VLOOKUP(C181,Master!$B$6:$N$1000,9,FALSE)</f>
        <v>gr</v>
      </c>
      <c r="F181" s="158">
        <f>VLOOKUP(C181,Master!$B$6:$N$1000,10,FALSE)</f>
        <v>14.25</v>
      </c>
      <c r="G181" s="144">
        <f t="shared" si="18"/>
        <v>427.5</v>
      </c>
      <c r="H181" s="145"/>
      <c r="I181" s="145"/>
      <c r="J181" s="145"/>
      <c r="K181" s="4"/>
    </row>
    <row r="182" spans="1:11" ht="13">
      <c r="A182" s="141"/>
      <c r="B182" s="4"/>
      <c r="C182" s="4" t="s">
        <v>2043</v>
      </c>
      <c r="D182" s="146">
        <v>2</v>
      </c>
      <c r="E182" s="4" t="str">
        <f>VLOOKUP(C182,Master!$B$6:$N$1000,9,FALSE)</f>
        <v>gr</v>
      </c>
      <c r="F182" s="158">
        <f>VLOOKUP(C182,Master!$B$6:$N$1000,10,FALSE)</f>
        <v>38.5</v>
      </c>
      <c r="G182" s="144">
        <f t="shared" si="18"/>
        <v>77</v>
      </c>
      <c r="H182" s="145"/>
      <c r="I182" s="145"/>
      <c r="J182" s="145"/>
      <c r="K182" s="4"/>
    </row>
    <row r="183" spans="1:11" ht="13">
      <c r="A183" s="141"/>
      <c r="B183" s="4"/>
      <c r="C183" s="4" t="s">
        <v>2061</v>
      </c>
      <c r="D183" s="146">
        <v>20</v>
      </c>
      <c r="E183" s="4" t="str">
        <f>VLOOKUP(C183,Master!$B$6:$N$1000,9,FALSE)</f>
        <v>gr</v>
      </c>
      <c r="F183" s="158">
        <f>VLOOKUP(C183,Master!$B$6:$N$1000,10,FALSE)</f>
        <v>22.2</v>
      </c>
      <c r="G183" s="144">
        <f t="shared" si="18"/>
        <v>444</v>
      </c>
      <c r="H183" s="145"/>
      <c r="I183" s="145"/>
      <c r="J183" s="145"/>
      <c r="K183" s="4"/>
    </row>
    <row r="184" spans="1:11" ht="13">
      <c r="A184" s="141"/>
      <c r="B184" s="4"/>
      <c r="C184" s="145" t="s">
        <v>1074</v>
      </c>
      <c r="D184" s="146">
        <v>20</v>
      </c>
      <c r="E184" s="4" t="str">
        <f>VLOOKUP(C184,Master!$B$6:$N$1000,9,FALSE)</f>
        <v>gr</v>
      </c>
      <c r="F184" s="158">
        <f>VLOOKUP(C184,Master!$B$6:$N$1000,10,FALSE)</f>
        <v>16.5</v>
      </c>
      <c r="G184" s="144">
        <f t="shared" si="18"/>
        <v>330</v>
      </c>
      <c r="H184" s="145"/>
      <c r="I184" s="145"/>
      <c r="J184" s="145"/>
      <c r="K184" s="4"/>
    </row>
    <row r="185" spans="1:11" ht="13">
      <c r="A185" s="141"/>
      <c r="B185" s="4"/>
      <c r="C185" s="151" t="s">
        <v>1103</v>
      </c>
      <c r="D185" s="149">
        <v>1</v>
      </c>
      <c r="E185" s="4" t="str">
        <f>VLOOKUP(C185,Master!$B$6:$N$1000,9,FALSE)</f>
        <v>pcs</v>
      </c>
      <c r="F185" s="158">
        <f>VLOOKUP(C185,Master!$B$6:$N$1000,10,FALSE)</f>
        <v>1040</v>
      </c>
      <c r="G185" s="144">
        <f t="shared" si="18"/>
        <v>1040</v>
      </c>
      <c r="H185" s="145"/>
      <c r="I185" s="145"/>
      <c r="J185" s="145"/>
      <c r="K185" s="4"/>
    </row>
    <row r="186" spans="1:11" ht="13">
      <c r="A186" s="141"/>
      <c r="B186" s="4"/>
      <c r="C186" s="145"/>
      <c r="D186" s="146"/>
      <c r="E186" s="4"/>
      <c r="F186" s="158"/>
      <c r="G186" s="144"/>
      <c r="H186" s="145"/>
      <c r="I186" s="145"/>
      <c r="J186" s="145"/>
      <c r="K186" s="4"/>
    </row>
    <row r="187" spans="1:11" ht="13">
      <c r="A187" s="148"/>
      <c r="B187" s="90"/>
      <c r="C187" s="151"/>
      <c r="D187" s="149"/>
      <c r="E187" s="4"/>
      <c r="F187" s="158"/>
      <c r="G187" s="150"/>
      <c r="H187" s="151"/>
      <c r="I187" s="151"/>
      <c r="J187" s="145"/>
      <c r="K187" s="4"/>
    </row>
    <row r="188" spans="1:11" ht="13">
      <c r="A188" s="134" t="str">
        <f>VLOOKUP(B188,Master!$V$7:$W$150,2,FALSE)</f>
        <v>M0065</v>
      </c>
      <c r="B188" s="135" t="s">
        <v>450</v>
      </c>
      <c r="C188" s="136"/>
      <c r="D188" s="153"/>
      <c r="E188" s="154"/>
      <c r="F188" s="153"/>
      <c r="G188" s="138">
        <f>SUM(G189:G197)</f>
        <v>17555.01666666667</v>
      </c>
      <c r="H188" s="139">
        <v>0.1</v>
      </c>
      <c r="I188" s="138">
        <f>G188+(G188*H188)</f>
        <v>19310.518333333337</v>
      </c>
      <c r="J188" s="140" t="b">
        <v>0</v>
      </c>
      <c r="K188" s="4"/>
    </row>
    <row r="189" spans="1:11" ht="13">
      <c r="A189" s="141"/>
      <c r="B189" s="4"/>
      <c r="C189" s="4" t="s">
        <v>311</v>
      </c>
      <c r="D189" s="146">
        <v>1</v>
      </c>
      <c r="E189" s="4" t="str">
        <f>VLOOKUP(C189,Master!$B$6:$N$1000,9,FALSE)</f>
        <v>pcs</v>
      </c>
      <c r="F189" s="158">
        <f>VLOOKUP(C189,Master!$B$6:$N$1000,10,FALSE)</f>
        <v>8481</v>
      </c>
      <c r="G189" s="144">
        <f t="shared" ref="G189:G194" si="19">D189*F189</f>
        <v>8481</v>
      </c>
      <c r="H189" s="145"/>
      <c r="I189" s="145"/>
      <c r="J189" s="145"/>
      <c r="K189" s="4"/>
    </row>
    <row r="190" spans="1:11" ht="13">
      <c r="A190" s="141"/>
      <c r="B190" s="4"/>
      <c r="C190" s="4" t="s">
        <v>2039</v>
      </c>
      <c r="D190" s="146">
        <v>1</v>
      </c>
      <c r="E190" s="4" t="str">
        <f>VLOOKUP(C190,Master!$B$6:$N$1000,9,FALSE)</f>
        <v>pcs</v>
      </c>
      <c r="F190" s="158">
        <f>VLOOKUP(C190,Master!$B$6:$N$1000,10,FALSE)</f>
        <v>4666.666666666667</v>
      </c>
      <c r="G190" s="144">
        <f t="shared" si="19"/>
        <v>4666.666666666667</v>
      </c>
      <c r="H190" s="145"/>
      <c r="I190" s="145"/>
      <c r="J190" s="145"/>
      <c r="K190" s="4"/>
    </row>
    <row r="191" spans="1:11" ht="13">
      <c r="A191" s="141"/>
      <c r="B191" s="4"/>
      <c r="C191" s="4" t="s">
        <v>925</v>
      </c>
      <c r="D191" s="146">
        <v>75</v>
      </c>
      <c r="E191" s="4" t="str">
        <f>VLOOKUP(C191,Master!$B$6:$N$1000,9,FALSE)</f>
        <v>gr</v>
      </c>
      <c r="F191" s="158">
        <f>VLOOKUP(C191,Master!$B$6:$N$1000,10,FALSE)</f>
        <v>39.738</v>
      </c>
      <c r="G191" s="144">
        <f t="shared" si="19"/>
        <v>2980.35</v>
      </c>
      <c r="H191" s="145"/>
      <c r="I191" s="145"/>
      <c r="J191" s="145"/>
      <c r="K191" s="4"/>
    </row>
    <row r="192" spans="1:11" ht="13">
      <c r="A192" s="141"/>
      <c r="B192" s="4"/>
      <c r="C192" s="4" t="s">
        <v>2061</v>
      </c>
      <c r="D192" s="146">
        <v>10</v>
      </c>
      <c r="E192" s="4" t="str">
        <f>VLOOKUP(C192,Master!$B$6:$N$1000,9,FALSE)</f>
        <v>gr</v>
      </c>
      <c r="F192" s="158">
        <f>VLOOKUP(C192,Master!$B$6:$N$1000,10,FALSE)</f>
        <v>22.2</v>
      </c>
      <c r="G192" s="144">
        <f t="shared" si="19"/>
        <v>222</v>
      </c>
      <c r="H192" s="145"/>
      <c r="I192" s="145"/>
      <c r="J192" s="145"/>
      <c r="K192" s="4"/>
    </row>
    <row r="193" spans="1:11" ht="13">
      <c r="A193" s="141"/>
      <c r="B193" s="4"/>
      <c r="C193" s="4" t="s">
        <v>1074</v>
      </c>
      <c r="D193" s="146">
        <v>10</v>
      </c>
      <c r="E193" s="4" t="str">
        <f>VLOOKUP(C193,Master!$B$6:$N$1000,9,FALSE)</f>
        <v>gr</v>
      </c>
      <c r="F193" s="158">
        <f>VLOOKUP(C193,Master!$B$6:$N$1000,10,FALSE)</f>
        <v>16.5</v>
      </c>
      <c r="G193" s="144">
        <f t="shared" si="19"/>
        <v>165</v>
      </c>
      <c r="H193" s="145"/>
      <c r="I193" s="145"/>
      <c r="J193" s="145"/>
      <c r="K193" s="4"/>
    </row>
    <row r="194" spans="1:11" ht="13">
      <c r="A194" s="141"/>
      <c r="B194" s="4"/>
      <c r="C194" s="4" t="s">
        <v>1103</v>
      </c>
      <c r="D194" s="146">
        <v>1</v>
      </c>
      <c r="E194" s="4" t="str">
        <f>VLOOKUP(C194,Master!$B$6:$N$1000,9,FALSE)</f>
        <v>pcs</v>
      </c>
      <c r="F194" s="158">
        <f>VLOOKUP(C194,Master!$B$6:$N$1000,10,FALSE)</f>
        <v>1040</v>
      </c>
      <c r="G194" s="144">
        <f t="shared" si="19"/>
        <v>1040</v>
      </c>
      <c r="H194" s="145"/>
      <c r="I194" s="145"/>
      <c r="J194" s="145"/>
      <c r="K194" s="4"/>
    </row>
    <row r="195" spans="1:11" ht="13">
      <c r="A195" s="141"/>
      <c r="B195" s="4"/>
      <c r="C195" s="145"/>
      <c r="D195" s="145"/>
      <c r="E195" s="4"/>
      <c r="F195" s="159"/>
      <c r="G195" s="121"/>
      <c r="H195" s="145"/>
      <c r="I195" s="145"/>
      <c r="J195" s="145"/>
      <c r="K195" s="4"/>
    </row>
    <row r="196" spans="1:11" ht="13">
      <c r="A196" s="141"/>
      <c r="B196" s="4"/>
      <c r="C196" s="145"/>
      <c r="D196" s="145"/>
      <c r="E196" s="4"/>
      <c r="F196" s="159"/>
      <c r="G196" s="121"/>
      <c r="H196" s="145"/>
      <c r="I196" s="145"/>
      <c r="J196" s="145"/>
      <c r="K196" s="4"/>
    </row>
    <row r="197" spans="1:11" ht="13">
      <c r="A197" s="148"/>
      <c r="B197" s="90"/>
      <c r="C197" s="151"/>
      <c r="D197" s="151"/>
      <c r="E197" s="4"/>
      <c r="F197" s="159"/>
      <c r="G197" s="107"/>
      <c r="H197" s="151"/>
      <c r="I197" s="151"/>
      <c r="J197" s="145"/>
      <c r="K197" s="4"/>
    </row>
    <row r="198" spans="1:11" ht="13">
      <c r="A198" s="134" t="str">
        <f>VLOOKUP(B198,Master!$V$7:$W$150,2,FALSE)</f>
        <v>M0102</v>
      </c>
      <c r="B198" s="135" t="s">
        <v>596</v>
      </c>
      <c r="C198" s="136"/>
      <c r="D198" s="153"/>
      <c r="E198" s="154"/>
      <c r="F198" s="153"/>
      <c r="G198" s="138">
        <f>SUM(G199:G207)</f>
        <v>10397.163386243386</v>
      </c>
      <c r="H198" s="139">
        <v>0.1</v>
      </c>
      <c r="I198" s="138">
        <f>G198+(G198*H198)</f>
        <v>11436.879724867726</v>
      </c>
      <c r="J198" s="140" t="b">
        <v>0</v>
      </c>
      <c r="K198" s="4"/>
    </row>
    <row r="199" spans="1:11" ht="13">
      <c r="A199" s="141"/>
      <c r="B199" s="4"/>
      <c r="C199" s="4" t="s">
        <v>229</v>
      </c>
      <c r="D199" s="146">
        <v>1</v>
      </c>
      <c r="E199" s="4" t="str">
        <f>VLOOKUP(C199,Master!$B$6:$N$1000,9,FALSE)</f>
        <v>Porsi</v>
      </c>
      <c r="F199" s="158">
        <f>VLOOKUP(C199,Master!$B$6:$N$1000,10,FALSE)</f>
        <v>8819.8395767195761</v>
      </c>
      <c r="G199" s="144">
        <f t="shared" ref="G199:G201" si="20">D199*F199</f>
        <v>8819.8395767195761</v>
      </c>
      <c r="H199" s="145"/>
      <c r="I199" s="145"/>
      <c r="J199" s="145"/>
      <c r="K199" s="4"/>
    </row>
    <row r="200" spans="1:11" ht="13">
      <c r="A200" s="141"/>
      <c r="B200" s="4"/>
      <c r="C200" s="4" t="s">
        <v>101</v>
      </c>
      <c r="D200" s="146">
        <v>1</v>
      </c>
      <c r="E200" s="4" t="str">
        <f>VLOOKUP(C200,Master!$B$6:$N$1000,9,FALSE)</f>
        <v>Porsi</v>
      </c>
      <c r="F200" s="158">
        <f>VLOOKUP(C200,Master!$B$6:$N$1000,10,FALSE)</f>
        <v>537.32380952380959</v>
      </c>
      <c r="G200" s="144">
        <f t="shared" si="20"/>
        <v>537.32380952380959</v>
      </c>
      <c r="H200" s="145"/>
      <c r="I200" s="145"/>
      <c r="J200" s="145"/>
      <c r="K200" s="4"/>
    </row>
    <row r="201" spans="1:11" ht="13">
      <c r="A201" s="141"/>
      <c r="B201" s="4"/>
      <c r="C201" s="4" t="s">
        <v>1103</v>
      </c>
      <c r="D201" s="146">
        <v>1</v>
      </c>
      <c r="E201" s="4" t="str">
        <f>VLOOKUP(C201,Master!$B$6:$N$1000,9,FALSE)</f>
        <v>pcs</v>
      </c>
      <c r="F201" s="158">
        <f>VLOOKUP(C201,Master!$B$6:$N$1000,10,FALSE)</f>
        <v>1040</v>
      </c>
      <c r="G201" s="144">
        <f t="shared" si="20"/>
        <v>1040</v>
      </c>
      <c r="H201" s="145"/>
      <c r="I201" s="145"/>
      <c r="J201" s="145"/>
      <c r="K201" s="4"/>
    </row>
    <row r="202" spans="1:11" ht="13">
      <c r="A202" s="141"/>
      <c r="B202" s="4"/>
      <c r="C202" s="4"/>
      <c r="D202" s="145"/>
      <c r="E202" s="4"/>
      <c r="F202" s="159"/>
      <c r="G202" s="121"/>
      <c r="H202" s="145"/>
      <c r="I202" s="145"/>
      <c r="J202" s="145"/>
      <c r="K202" s="4"/>
    </row>
    <row r="203" spans="1:11" ht="13">
      <c r="A203" s="141"/>
      <c r="B203" s="4"/>
      <c r="C203" s="4"/>
      <c r="D203" s="145"/>
      <c r="E203" s="4"/>
      <c r="F203" s="159"/>
      <c r="G203" s="121"/>
      <c r="H203" s="145"/>
      <c r="I203" s="145"/>
      <c r="J203" s="145"/>
      <c r="K203" s="4"/>
    </row>
    <row r="204" spans="1:11" ht="13">
      <c r="A204" s="141"/>
      <c r="B204" s="4"/>
      <c r="C204" s="4"/>
      <c r="D204" s="145"/>
      <c r="E204" s="4"/>
      <c r="F204" s="159"/>
      <c r="G204" s="121"/>
      <c r="H204" s="145"/>
      <c r="I204" s="145"/>
      <c r="J204" s="145"/>
      <c r="K204" s="4"/>
    </row>
    <row r="205" spans="1:11" ht="13">
      <c r="A205" s="141"/>
      <c r="B205" s="4"/>
      <c r="C205" s="4"/>
      <c r="D205" s="145"/>
      <c r="E205" s="4"/>
      <c r="F205" s="159"/>
      <c r="G205" s="121"/>
      <c r="H205" s="145"/>
      <c r="I205" s="145"/>
      <c r="J205" s="145"/>
      <c r="K205" s="4"/>
    </row>
    <row r="206" spans="1:11" ht="13">
      <c r="A206" s="141"/>
      <c r="B206" s="4"/>
      <c r="C206" s="145"/>
      <c r="D206" s="145"/>
      <c r="E206" s="4"/>
      <c r="F206" s="159"/>
      <c r="G206" s="121"/>
      <c r="H206" s="145"/>
      <c r="I206" s="145"/>
      <c r="J206" s="145"/>
      <c r="K206" s="4"/>
    </row>
    <row r="207" spans="1:11" ht="13">
      <c r="A207" s="90"/>
      <c r="B207" s="90"/>
      <c r="C207" s="151"/>
      <c r="D207" s="151"/>
      <c r="E207" s="4"/>
      <c r="F207" s="159"/>
      <c r="G207" s="121"/>
      <c r="H207" s="151"/>
      <c r="I207" s="151"/>
      <c r="J207" s="145"/>
      <c r="K207" s="4"/>
    </row>
    <row r="208" spans="1:11" ht="13">
      <c r="A208" s="134" t="str">
        <f>VLOOKUP(B208,Master!$V$7:$W$150,2,FALSE)</f>
        <v>M0103</v>
      </c>
      <c r="B208" s="135" t="s">
        <v>600</v>
      </c>
      <c r="C208" s="136"/>
      <c r="D208" s="153"/>
      <c r="E208" s="154"/>
      <c r="F208" s="153"/>
      <c r="G208" s="155">
        <f>SUM(G209:G217)</f>
        <v>13377.513386243387</v>
      </c>
      <c r="H208" s="139">
        <v>0.1</v>
      </c>
      <c r="I208" s="138">
        <f>G208+(G208*H208)</f>
        <v>14715.264724867726</v>
      </c>
      <c r="J208" s="140" t="b">
        <v>0</v>
      </c>
      <c r="K208" s="4"/>
    </row>
    <row r="209" spans="1:11" ht="13">
      <c r="A209" s="141"/>
      <c r="B209" s="4"/>
      <c r="C209" s="4" t="s">
        <v>229</v>
      </c>
      <c r="D209" s="146">
        <v>1</v>
      </c>
      <c r="E209" s="4" t="str">
        <f>VLOOKUP(C209,Master!$B$6:$N$1000,9,FALSE)</f>
        <v>Porsi</v>
      </c>
      <c r="F209" s="158">
        <f>VLOOKUP(C209,Master!$B$6:$N$1000,10,FALSE)</f>
        <v>8819.8395767195761</v>
      </c>
      <c r="G209" s="144">
        <f t="shared" ref="G209:G212" si="21">D209*F209</f>
        <v>8819.8395767195761</v>
      </c>
      <c r="H209" s="145"/>
      <c r="I209" s="145"/>
      <c r="J209" s="145"/>
      <c r="K209" s="4"/>
    </row>
    <row r="210" spans="1:11" ht="13">
      <c r="A210" s="141"/>
      <c r="B210" s="4"/>
      <c r="C210" s="4" t="s">
        <v>101</v>
      </c>
      <c r="D210" s="146">
        <v>1</v>
      </c>
      <c r="E210" s="4" t="str">
        <f>VLOOKUP(C210,Master!$B$6:$N$1000,9,FALSE)</f>
        <v>Porsi</v>
      </c>
      <c r="F210" s="158">
        <f>VLOOKUP(C210,Master!$B$6:$N$1000,10,FALSE)</f>
        <v>537.32380952380959</v>
      </c>
      <c r="G210" s="144">
        <f t="shared" si="21"/>
        <v>537.32380952380959</v>
      </c>
      <c r="H210" s="145"/>
      <c r="I210" s="145"/>
      <c r="J210" s="145"/>
      <c r="K210" s="4"/>
    </row>
    <row r="211" spans="1:11" ht="13">
      <c r="A211" s="141"/>
      <c r="B211" s="4"/>
      <c r="C211" s="4" t="s">
        <v>925</v>
      </c>
      <c r="D211" s="146">
        <v>75</v>
      </c>
      <c r="E211" s="4" t="str">
        <f>VLOOKUP(C211,Master!$B$6:$N$1000,9,FALSE)</f>
        <v>gr</v>
      </c>
      <c r="F211" s="158">
        <f>VLOOKUP(C211,Master!$B$6:$N$1000,10,FALSE)</f>
        <v>39.738</v>
      </c>
      <c r="G211" s="144">
        <f t="shared" si="21"/>
        <v>2980.35</v>
      </c>
      <c r="H211" s="145"/>
      <c r="I211" s="145"/>
      <c r="J211" s="145"/>
      <c r="K211" s="4"/>
    </row>
    <row r="212" spans="1:11" ht="13">
      <c r="A212" s="141"/>
      <c r="B212" s="4"/>
      <c r="C212" s="4" t="s">
        <v>1103</v>
      </c>
      <c r="D212" s="146">
        <v>1</v>
      </c>
      <c r="E212" s="4" t="str">
        <f>VLOOKUP(C212,Master!$B$6:$N$1000,9,FALSE)</f>
        <v>pcs</v>
      </c>
      <c r="F212" s="158">
        <f>VLOOKUP(C212,Master!$B$6:$N$1000,10,FALSE)</f>
        <v>1040</v>
      </c>
      <c r="G212" s="144">
        <f t="shared" si="21"/>
        <v>1040</v>
      </c>
      <c r="H212" s="145"/>
      <c r="I212" s="145"/>
      <c r="J212" s="145"/>
      <c r="K212" s="4"/>
    </row>
    <row r="213" spans="1:11" ht="13">
      <c r="A213" s="141"/>
      <c r="B213" s="4"/>
      <c r="C213" s="4"/>
      <c r="D213" s="145"/>
      <c r="E213" s="4"/>
      <c r="F213" s="159"/>
      <c r="G213" s="121"/>
      <c r="H213" s="145"/>
      <c r="I213" s="145"/>
      <c r="J213" s="145"/>
      <c r="K213" s="4"/>
    </row>
    <row r="214" spans="1:11" ht="13">
      <c r="A214" s="141"/>
      <c r="B214" s="4"/>
      <c r="C214" s="4"/>
      <c r="D214" s="145"/>
      <c r="E214" s="4"/>
      <c r="F214" s="159"/>
      <c r="G214" s="121"/>
      <c r="H214" s="145"/>
      <c r="I214" s="145"/>
      <c r="J214" s="145"/>
      <c r="K214" s="4"/>
    </row>
    <row r="215" spans="1:11" ht="13">
      <c r="A215" s="141"/>
      <c r="B215" s="4"/>
      <c r="C215" s="4"/>
      <c r="D215" s="145"/>
      <c r="E215" s="4"/>
      <c r="F215" s="159"/>
      <c r="G215" s="121"/>
      <c r="H215" s="145"/>
      <c r="I215" s="145"/>
      <c r="J215" s="145"/>
      <c r="K215" s="4"/>
    </row>
    <row r="216" spans="1:11" ht="13">
      <c r="A216" s="141"/>
      <c r="B216" s="4"/>
      <c r="C216" s="145"/>
      <c r="D216" s="145"/>
      <c r="E216" s="4"/>
      <c r="F216" s="159"/>
      <c r="G216" s="121"/>
      <c r="H216" s="145"/>
      <c r="I216" s="145"/>
      <c r="J216" s="145"/>
      <c r="K216" s="4"/>
    </row>
    <row r="217" spans="1:11" ht="13">
      <c r="A217" s="148"/>
      <c r="B217" s="90"/>
      <c r="C217" s="151"/>
      <c r="D217" s="145"/>
      <c r="E217" s="4"/>
      <c r="F217" s="159"/>
      <c r="G217" s="121"/>
      <c r="H217" s="151"/>
      <c r="I217" s="151"/>
      <c r="J217" s="145"/>
      <c r="K217" s="4"/>
    </row>
    <row r="218" spans="1:11" ht="13">
      <c r="A218" s="134" t="str">
        <f>VLOOKUP(B218,Master!$V$7:$W$150,2,FALSE)</f>
        <v>M0106</v>
      </c>
      <c r="B218" s="135" t="s">
        <v>612</v>
      </c>
      <c r="C218" s="136"/>
      <c r="D218" s="153"/>
      <c r="E218" s="154"/>
      <c r="F218" s="153"/>
      <c r="G218" s="155">
        <f>SUM(G219:G236)</f>
        <v>11197.250233828949</v>
      </c>
      <c r="H218" s="139">
        <v>0.1</v>
      </c>
      <c r="I218" s="138">
        <f>G218+(G218*H218)</f>
        <v>12316.975257211843</v>
      </c>
      <c r="J218" s="140" t="b">
        <v>0</v>
      </c>
      <c r="K218" s="4"/>
    </row>
    <row r="219" spans="1:11" ht="13">
      <c r="A219" s="141"/>
      <c r="B219" s="4"/>
      <c r="C219" s="4" t="s">
        <v>655</v>
      </c>
      <c r="D219" s="146">
        <v>60</v>
      </c>
      <c r="E219" s="4" t="str">
        <f>VLOOKUP(C219,Master!$B$6:$N$1000,9,FALSE)</f>
        <v>gr</v>
      </c>
      <c r="F219" s="158">
        <f>VLOOKUP(C219,Master!$B$6:$N$1000,10,FALSE)</f>
        <v>50</v>
      </c>
      <c r="G219" s="144">
        <f t="shared" ref="G219:G231" si="22">D219*F219</f>
        <v>3000</v>
      </c>
      <c r="H219" s="145"/>
      <c r="I219" s="145"/>
      <c r="J219" s="145"/>
      <c r="K219" s="4"/>
    </row>
    <row r="220" spans="1:11" ht="13">
      <c r="A220" s="141"/>
      <c r="B220" s="4"/>
      <c r="C220" s="4" t="s">
        <v>293</v>
      </c>
      <c r="D220" s="146">
        <v>1</v>
      </c>
      <c r="E220" s="4" t="str">
        <f>VLOOKUP(C220,Master!$B$6:$N$1000,9,FALSE)</f>
        <v>gr/pcs</v>
      </c>
      <c r="F220" s="158">
        <f>VLOOKUP(C220,Master!$B$6:$N$1000,10,FALSE)</f>
        <v>864.65116279069764</v>
      </c>
      <c r="G220" s="144">
        <f t="shared" si="22"/>
        <v>864.65116279069764</v>
      </c>
      <c r="H220" s="145"/>
      <c r="I220" s="145"/>
      <c r="J220" s="145"/>
      <c r="K220" s="4"/>
    </row>
    <row r="221" spans="1:11" ht="13">
      <c r="A221" s="141"/>
      <c r="B221" s="4"/>
      <c r="C221" s="4" t="s">
        <v>659</v>
      </c>
      <c r="D221" s="146">
        <v>1</v>
      </c>
      <c r="E221" s="4" t="str">
        <f>VLOOKUP(C221,Master!$B$6:$N$1000,9,FALSE)</f>
        <v>pcs</v>
      </c>
      <c r="F221" s="158">
        <f>VLOOKUP(C221,Master!$B$6:$N$1000,10,FALSE)</f>
        <v>1866.6666666666667</v>
      </c>
      <c r="G221" s="144">
        <f t="shared" si="22"/>
        <v>1866.6666666666667</v>
      </c>
      <c r="H221" s="145"/>
      <c r="I221" s="145"/>
      <c r="J221" s="145"/>
      <c r="K221" s="4"/>
    </row>
    <row r="222" spans="1:11" ht="13">
      <c r="A222" s="141"/>
      <c r="B222" s="4"/>
      <c r="C222" s="4" t="s">
        <v>1981</v>
      </c>
      <c r="D222" s="146">
        <v>10</v>
      </c>
      <c r="E222" s="4" t="str">
        <f>VLOOKUP(C222,Master!$B$6:$N$1000,9,FALSE)</f>
        <v>ml</v>
      </c>
      <c r="F222" s="158">
        <f>VLOOKUP(C222,Master!$B$6:$N$1000,10,FALSE)</f>
        <v>17.094333333333335</v>
      </c>
      <c r="G222" s="144">
        <f t="shared" si="22"/>
        <v>170.94333333333336</v>
      </c>
      <c r="H222" s="145"/>
      <c r="I222" s="145"/>
      <c r="J222" s="145"/>
      <c r="K222" s="4"/>
    </row>
    <row r="223" spans="1:11" ht="13">
      <c r="A223" s="141"/>
      <c r="B223" s="4"/>
      <c r="C223" s="4" t="s">
        <v>251</v>
      </c>
      <c r="D223" s="146">
        <v>1</v>
      </c>
      <c r="E223" s="4" t="str">
        <f>VLOOKUP(C223,Master!$B$6:$N$1000,9,FALSE)</f>
        <v>Porsi</v>
      </c>
      <c r="F223" s="158">
        <f>VLOOKUP(C223,Master!$B$6:$N$1000,10,FALSE)</f>
        <v>1093.9890710382513</v>
      </c>
      <c r="G223" s="144">
        <f t="shared" si="22"/>
        <v>1093.9890710382513</v>
      </c>
      <c r="H223" s="145"/>
      <c r="I223" s="145"/>
      <c r="J223" s="145"/>
      <c r="K223" s="4"/>
    </row>
    <row r="224" spans="1:11" ht="13">
      <c r="A224" s="141"/>
      <c r="B224" s="4"/>
      <c r="C224" s="4" t="s">
        <v>671</v>
      </c>
      <c r="D224" s="146">
        <v>5</v>
      </c>
      <c r="E224" s="4" t="str">
        <f>VLOOKUP(C224,Master!$B$6:$N$1000,9,FALSE)</f>
        <v>gr</v>
      </c>
      <c r="F224" s="158">
        <f>VLOOKUP(C224,Master!$B$6:$N$1000,10,FALSE)</f>
        <v>50</v>
      </c>
      <c r="G224" s="144">
        <f t="shared" si="22"/>
        <v>250</v>
      </c>
      <c r="H224" s="145"/>
      <c r="I224" s="145"/>
      <c r="J224" s="145"/>
      <c r="K224" s="4"/>
    </row>
    <row r="225" spans="1:11" ht="13">
      <c r="A225" s="141"/>
      <c r="B225" s="4"/>
      <c r="C225" s="4" t="s">
        <v>1134</v>
      </c>
      <c r="D225" s="146">
        <v>5</v>
      </c>
      <c r="E225" s="4" t="str">
        <f>VLOOKUP(C225,Master!$B$6:$N$1000,9,FALSE)</f>
        <v>gr</v>
      </c>
      <c r="F225" s="158">
        <f>VLOOKUP(C225,Master!$B$6:$N$1000,10,FALSE)</f>
        <v>40</v>
      </c>
      <c r="G225" s="144">
        <f t="shared" si="22"/>
        <v>200</v>
      </c>
      <c r="H225" s="145"/>
      <c r="I225" s="145"/>
      <c r="J225" s="145"/>
      <c r="K225" s="4"/>
    </row>
    <row r="226" spans="1:11" ht="13">
      <c r="A226" s="141"/>
      <c r="B226" s="4"/>
      <c r="C226" s="4" t="s">
        <v>815</v>
      </c>
      <c r="D226" s="146">
        <v>2</v>
      </c>
      <c r="E226" s="4" t="str">
        <f>VLOOKUP(C226,Master!$B$6:$N$1000,9,FALSE)</f>
        <v>gr</v>
      </c>
      <c r="F226" s="158">
        <f>VLOOKUP(C226,Master!$B$6:$N$1000,10,FALSE)</f>
        <v>12</v>
      </c>
      <c r="G226" s="144">
        <f t="shared" si="22"/>
        <v>24</v>
      </c>
      <c r="H226" s="145"/>
      <c r="I226" s="145"/>
      <c r="J226" s="145"/>
      <c r="K226" s="4"/>
    </row>
    <row r="227" spans="1:11" ht="13">
      <c r="A227" s="141"/>
      <c r="B227" s="4"/>
      <c r="C227" s="4" t="s">
        <v>732</v>
      </c>
      <c r="D227" s="146">
        <v>5</v>
      </c>
      <c r="E227" s="4" t="str">
        <f>VLOOKUP(C227,Master!$B$6:$N$1000,9,FALSE)</f>
        <v>gr</v>
      </c>
      <c r="F227" s="158">
        <f>VLOOKUP(C227,Master!$B$6:$N$1000,10,FALSE)</f>
        <v>40</v>
      </c>
      <c r="G227" s="144">
        <f t="shared" si="22"/>
        <v>200</v>
      </c>
      <c r="H227" s="145"/>
      <c r="I227" s="145"/>
      <c r="J227" s="145"/>
      <c r="K227" s="4"/>
    </row>
    <row r="228" spans="1:11" ht="13">
      <c r="A228" s="141"/>
      <c r="B228" s="4"/>
      <c r="C228" s="4" t="s">
        <v>720</v>
      </c>
      <c r="D228" s="146">
        <v>1</v>
      </c>
      <c r="E228" s="4" t="str">
        <f>VLOOKUP(C228,Master!$B$6:$N$1000,9,FALSE)</f>
        <v>gr</v>
      </c>
      <c r="F228" s="158">
        <f>VLOOKUP(C228,Master!$B$6:$N$1000,10,FALSE)</f>
        <v>280</v>
      </c>
      <c r="G228" s="144">
        <f t="shared" si="22"/>
        <v>280</v>
      </c>
      <c r="H228" s="145"/>
      <c r="I228" s="145"/>
      <c r="J228" s="145"/>
      <c r="K228" s="4"/>
    </row>
    <row r="229" spans="1:11" ht="13">
      <c r="A229" s="141"/>
      <c r="B229" s="4"/>
      <c r="C229" s="4" t="s">
        <v>2043</v>
      </c>
      <c r="D229" s="146">
        <v>2</v>
      </c>
      <c r="E229" s="4" t="str">
        <f>VLOOKUP(C229,Master!$B$6:$N$1000,9,FALSE)</f>
        <v>gr</v>
      </c>
      <c r="F229" s="158">
        <f>VLOOKUP(C229,Master!$B$6:$N$1000,10,FALSE)</f>
        <v>38.5</v>
      </c>
      <c r="G229" s="144">
        <f t="shared" si="22"/>
        <v>77</v>
      </c>
      <c r="H229" s="145"/>
      <c r="I229" s="145"/>
      <c r="J229" s="145"/>
      <c r="K229" s="4"/>
    </row>
    <row r="230" spans="1:11" ht="13">
      <c r="A230" s="141"/>
      <c r="B230" s="4"/>
      <c r="C230" s="4" t="s">
        <v>799</v>
      </c>
      <c r="D230" s="146">
        <v>1</v>
      </c>
      <c r="E230" s="4" t="str">
        <f>VLOOKUP(C230,Master!$B$6:$N$1000,9,FALSE)</f>
        <v>gr</v>
      </c>
      <c r="F230" s="158">
        <f>VLOOKUP(C230,Master!$B$6:$N$1000,10,FALSE)</f>
        <v>90</v>
      </c>
      <c r="G230" s="144">
        <f t="shared" si="22"/>
        <v>90</v>
      </c>
      <c r="H230" s="145"/>
      <c r="I230" s="145"/>
      <c r="J230" s="145"/>
      <c r="K230" s="4"/>
    </row>
    <row r="231" spans="1:11" ht="13">
      <c r="A231" s="141"/>
      <c r="B231" s="4"/>
      <c r="C231" s="4" t="s">
        <v>866</v>
      </c>
      <c r="D231" s="146">
        <v>1</v>
      </c>
      <c r="E231" s="4" t="str">
        <f>VLOOKUP(C231,Master!$B$6:$N$1000,9,FALSE)</f>
        <v>pcs</v>
      </c>
      <c r="F231" s="158">
        <f>VLOOKUP(C231,Master!$B$6:$N$1000,10,FALSE)</f>
        <v>3080</v>
      </c>
      <c r="G231" s="144">
        <f t="shared" si="22"/>
        <v>3080</v>
      </c>
      <c r="H231" s="145"/>
      <c r="I231" s="145"/>
      <c r="J231" s="145"/>
      <c r="K231" s="4"/>
    </row>
    <row r="232" spans="1:11" ht="13">
      <c r="A232" s="141"/>
      <c r="B232" s="4"/>
      <c r="C232" s="4"/>
      <c r="D232" s="145"/>
      <c r="E232" s="4"/>
      <c r="F232" s="159"/>
      <c r="G232" s="121"/>
      <c r="H232" s="145"/>
      <c r="I232" s="145"/>
      <c r="J232" s="145"/>
      <c r="K232" s="4"/>
    </row>
    <row r="233" spans="1:11" ht="13">
      <c r="A233" s="141"/>
      <c r="B233" s="4"/>
      <c r="C233" s="4"/>
      <c r="D233" s="145"/>
      <c r="E233" s="4"/>
      <c r="F233" s="159"/>
      <c r="G233" s="121"/>
      <c r="H233" s="145"/>
      <c r="I233" s="145"/>
      <c r="J233" s="145"/>
      <c r="K233" s="4"/>
    </row>
    <row r="234" spans="1:11" ht="13">
      <c r="A234" s="141"/>
      <c r="B234" s="4"/>
      <c r="C234" s="4"/>
      <c r="D234" s="145"/>
      <c r="E234" s="4"/>
      <c r="F234" s="159"/>
      <c r="G234" s="121"/>
      <c r="H234" s="145"/>
      <c r="I234" s="145"/>
      <c r="J234" s="145"/>
      <c r="K234" s="4"/>
    </row>
    <row r="235" spans="1:11" ht="13">
      <c r="A235" s="141"/>
      <c r="B235" s="4"/>
      <c r="C235" s="145"/>
      <c r="D235" s="145"/>
      <c r="E235" s="4"/>
      <c r="F235" s="159"/>
      <c r="G235" s="121"/>
      <c r="H235" s="145"/>
      <c r="I235" s="145"/>
      <c r="J235" s="145"/>
      <c r="K235" s="4"/>
    </row>
    <row r="236" spans="1:11" ht="13">
      <c r="A236" s="148"/>
      <c r="B236" s="90"/>
      <c r="C236" s="151"/>
      <c r="D236" s="151"/>
      <c r="E236" s="4"/>
      <c r="F236" s="159"/>
      <c r="G236" s="107"/>
      <c r="H236" s="151"/>
      <c r="I236" s="151"/>
      <c r="J236" s="145"/>
      <c r="K236" s="4"/>
    </row>
    <row r="237" spans="1:11" ht="13">
      <c r="A237" s="134" t="str">
        <f>VLOOKUP(B237,Master!$V$7:$W$150,2,FALSE)</f>
        <v>M0107</v>
      </c>
      <c r="B237" s="135" t="s">
        <v>615</v>
      </c>
      <c r="C237" s="136"/>
      <c r="D237" s="153"/>
      <c r="E237" s="154"/>
      <c r="F237" s="153"/>
      <c r="G237" s="138">
        <f>SUM(G238:G255)</f>
        <v>13590.398900495615</v>
      </c>
      <c r="H237" s="139">
        <v>0.1</v>
      </c>
      <c r="I237" s="138">
        <f>G237+(G237*H237)</f>
        <v>14949.438790545177</v>
      </c>
      <c r="J237" s="140" t="b">
        <v>0</v>
      </c>
      <c r="K237" s="4"/>
    </row>
    <row r="238" spans="1:11" ht="13">
      <c r="A238" s="141"/>
      <c r="B238" s="4"/>
      <c r="C238" s="4" t="s">
        <v>639</v>
      </c>
      <c r="D238" s="146">
        <v>50</v>
      </c>
      <c r="E238" s="4" t="str">
        <f>VLOOKUP(C238,Master!$B$6:$N$1000,9,FALSE)</f>
        <v>gr</v>
      </c>
      <c r="F238" s="158">
        <f>VLOOKUP(C238,Master!$B$6:$N$1000,10,FALSE)</f>
        <v>145</v>
      </c>
      <c r="G238" s="144">
        <f t="shared" ref="G238:G248" si="23">D238*F238</f>
        <v>7250</v>
      </c>
      <c r="H238" s="145"/>
      <c r="I238" s="145"/>
      <c r="J238" s="145"/>
      <c r="K238" s="4"/>
    </row>
    <row r="239" spans="1:11" ht="13">
      <c r="A239" s="141"/>
      <c r="B239" s="4"/>
      <c r="C239" s="4" t="s">
        <v>293</v>
      </c>
      <c r="D239" s="146">
        <v>1</v>
      </c>
      <c r="E239" s="4" t="str">
        <f>VLOOKUP(C239,Master!$B$6:$N$1000,9,FALSE)</f>
        <v>gr/pcs</v>
      </c>
      <c r="F239" s="158">
        <f>VLOOKUP(C239,Master!$B$6:$N$1000,10,FALSE)</f>
        <v>864.65116279069764</v>
      </c>
      <c r="G239" s="144">
        <f t="shared" si="23"/>
        <v>864.65116279069764</v>
      </c>
      <c r="H239" s="145"/>
      <c r="I239" s="145"/>
      <c r="J239" s="145"/>
      <c r="K239" s="4"/>
    </row>
    <row r="240" spans="1:11" ht="13">
      <c r="A240" s="141"/>
      <c r="B240" s="4"/>
      <c r="C240" s="4" t="s">
        <v>282</v>
      </c>
      <c r="D240" s="146">
        <v>1</v>
      </c>
      <c r="E240" s="4" t="str">
        <f>VLOOKUP(C240,Master!$B$6:$N$1000,9,FALSE)</f>
        <v>gr/pcs</v>
      </c>
      <c r="F240" s="158">
        <f>VLOOKUP(C240,Master!$B$6:$N$1000,10,FALSE)</f>
        <v>2570.7586666666666</v>
      </c>
      <c r="G240" s="144">
        <f t="shared" si="23"/>
        <v>2570.7586666666666</v>
      </c>
      <c r="H240" s="145"/>
      <c r="I240" s="145"/>
      <c r="J240" s="145"/>
      <c r="K240" s="4"/>
    </row>
    <row r="241" spans="1:11" ht="13">
      <c r="A241" s="141"/>
      <c r="B241" s="4"/>
      <c r="C241" s="4" t="s">
        <v>251</v>
      </c>
      <c r="D241" s="146">
        <v>1</v>
      </c>
      <c r="E241" s="4" t="str">
        <f>VLOOKUP(C241,Master!$B$6:$N$1000,9,FALSE)</f>
        <v>Porsi</v>
      </c>
      <c r="F241" s="158">
        <f>VLOOKUP(C241,Master!$B$6:$N$1000,10,FALSE)</f>
        <v>1093.9890710382513</v>
      </c>
      <c r="G241" s="144">
        <f t="shared" si="23"/>
        <v>1093.9890710382513</v>
      </c>
      <c r="H241" s="145"/>
      <c r="I241" s="145"/>
      <c r="J241" s="145"/>
      <c r="K241" s="4"/>
    </row>
    <row r="242" spans="1:11" ht="13">
      <c r="A242" s="141"/>
      <c r="B242" s="4"/>
      <c r="C242" s="4" t="s">
        <v>671</v>
      </c>
      <c r="D242" s="146">
        <v>2</v>
      </c>
      <c r="E242" s="4" t="str">
        <f>VLOOKUP(C242,Master!$B$6:$N$1000,9,FALSE)</f>
        <v>gr</v>
      </c>
      <c r="F242" s="158">
        <f>VLOOKUP(C242,Master!$B$6:$N$1000,10,FALSE)</f>
        <v>50</v>
      </c>
      <c r="G242" s="144">
        <f t="shared" si="23"/>
        <v>100</v>
      </c>
      <c r="H242" s="145"/>
      <c r="I242" s="145"/>
      <c r="J242" s="145"/>
      <c r="K242" s="4"/>
    </row>
    <row r="243" spans="1:11" ht="13">
      <c r="A243" s="141"/>
      <c r="B243" s="4"/>
      <c r="C243" s="4" t="s">
        <v>815</v>
      </c>
      <c r="D243" s="146">
        <v>2</v>
      </c>
      <c r="E243" s="4" t="str">
        <f>VLOOKUP(C243,Master!$B$6:$N$1000,9,FALSE)</f>
        <v>gr</v>
      </c>
      <c r="F243" s="158">
        <f>VLOOKUP(C243,Master!$B$6:$N$1000,10,FALSE)</f>
        <v>12</v>
      </c>
      <c r="G243" s="144">
        <f t="shared" si="23"/>
        <v>24</v>
      </c>
      <c r="H243" s="145"/>
      <c r="I243" s="145"/>
      <c r="J243" s="145"/>
      <c r="K243" s="4"/>
    </row>
    <row r="244" spans="1:11" ht="13">
      <c r="A244" s="141"/>
      <c r="B244" s="4"/>
      <c r="C244" s="4" t="s">
        <v>732</v>
      </c>
      <c r="D244" s="146">
        <v>5</v>
      </c>
      <c r="E244" s="4" t="str">
        <f>VLOOKUP(C244,Master!$B$6:$N$1000,9,FALSE)</f>
        <v>gr</v>
      </c>
      <c r="F244" s="158">
        <f>VLOOKUP(C244,Master!$B$6:$N$1000,10,FALSE)</f>
        <v>40</v>
      </c>
      <c r="G244" s="144">
        <f t="shared" si="23"/>
        <v>200</v>
      </c>
      <c r="H244" s="145"/>
      <c r="I244" s="145"/>
      <c r="J244" s="145"/>
      <c r="K244" s="4"/>
    </row>
    <row r="245" spans="1:11" ht="13">
      <c r="A245" s="141"/>
      <c r="B245" s="4"/>
      <c r="C245" s="4" t="s">
        <v>720</v>
      </c>
      <c r="D245" s="146">
        <v>1</v>
      </c>
      <c r="E245" s="4" t="str">
        <f>VLOOKUP(C245,Master!$B$6:$N$1000,9,FALSE)</f>
        <v>gr</v>
      </c>
      <c r="F245" s="158">
        <f>VLOOKUP(C245,Master!$B$6:$N$1000,10,FALSE)</f>
        <v>280</v>
      </c>
      <c r="G245" s="144">
        <f t="shared" si="23"/>
        <v>280</v>
      </c>
      <c r="H245" s="145"/>
      <c r="I245" s="145"/>
      <c r="J245" s="145"/>
      <c r="K245" s="4"/>
    </row>
    <row r="246" spans="1:11" ht="13">
      <c r="A246" s="141"/>
      <c r="B246" s="4"/>
      <c r="C246" s="4" t="s">
        <v>2043</v>
      </c>
      <c r="D246" s="146">
        <v>2</v>
      </c>
      <c r="E246" s="4" t="str">
        <f>VLOOKUP(C246,Master!$B$6:$N$1000,9,FALSE)</f>
        <v>gr</v>
      </c>
      <c r="F246" s="158">
        <f>VLOOKUP(C246,Master!$B$6:$N$1000,10,FALSE)</f>
        <v>38.5</v>
      </c>
      <c r="G246" s="144">
        <f t="shared" si="23"/>
        <v>77</v>
      </c>
      <c r="H246" s="145"/>
      <c r="I246" s="145"/>
      <c r="J246" s="145"/>
      <c r="K246" s="4"/>
    </row>
    <row r="247" spans="1:11" ht="13">
      <c r="A247" s="141"/>
      <c r="B247" s="4"/>
      <c r="C247" s="4" t="s">
        <v>799</v>
      </c>
      <c r="D247" s="146">
        <v>1</v>
      </c>
      <c r="E247" s="4" t="str">
        <f>VLOOKUP(C247,Master!$B$6:$N$1000,9,FALSE)</f>
        <v>gr</v>
      </c>
      <c r="F247" s="158">
        <f>VLOOKUP(C247,Master!$B$6:$N$1000,10,FALSE)</f>
        <v>90</v>
      </c>
      <c r="G247" s="144">
        <f t="shared" si="23"/>
        <v>90</v>
      </c>
      <c r="H247" s="145"/>
      <c r="I247" s="145"/>
      <c r="J247" s="145"/>
      <c r="K247" s="4"/>
    </row>
    <row r="248" spans="1:11" ht="13">
      <c r="A248" s="141"/>
      <c r="B248" s="4"/>
      <c r="C248" s="4" t="s">
        <v>1103</v>
      </c>
      <c r="D248" s="146">
        <v>1</v>
      </c>
      <c r="E248" s="4" t="str">
        <f>VLOOKUP(C248,Master!$B$6:$N$1000,9,FALSE)</f>
        <v>pcs</v>
      </c>
      <c r="F248" s="158">
        <f>VLOOKUP(C248,Master!$B$6:$N$1000,10,FALSE)</f>
        <v>1040</v>
      </c>
      <c r="G248" s="144">
        <f t="shared" si="23"/>
        <v>1040</v>
      </c>
      <c r="H248" s="145"/>
      <c r="I248" s="145"/>
      <c r="J248" s="145"/>
      <c r="K248" s="4"/>
    </row>
    <row r="249" spans="1:11" ht="13">
      <c r="A249" s="141"/>
      <c r="B249" s="4"/>
      <c r="C249" s="4"/>
      <c r="D249" s="145"/>
      <c r="E249" s="4"/>
      <c r="F249" s="159"/>
      <c r="G249" s="121"/>
      <c r="H249" s="145"/>
      <c r="I249" s="145"/>
      <c r="J249" s="145"/>
      <c r="K249" s="4"/>
    </row>
    <row r="250" spans="1:11" ht="13">
      <c r="A250" s="141"/>
      <c r="B250" s="4"/>
      <c r="C250" s="4"/>
      <c r="D250" s="145"/>
      <c r="E250" s="4"/>
      <c r="F250" s="159"/>
      <c r="G250" s="121"/>
      <c r="H250" s="145"/>
      <c r="I250" s="145"/>
      <c r="J250" s="145"/>
      <c r="K250" s="4"/>
    </row>
    <row r="251" spans="1:11" ht="13">
      <c r="A251" s="141"/>
      <c r="B251" s="4"/>
      <c r="C251" s="4"/>
      <c r="D251" s="145"/>
      <c r="E251" s="4"/>
      <c r="F251" s="159"/>
      <c r="G251" s="121"/>
      <c r="H251" s="145"/>
      <c r="I251" s="145"/>
      <c r="J251" s="145"/>
      <c r="K251" s="4"/>
    </row>
    <row r="252" spans="1:11" ht="13">
      <c r="A252" s="141"/>
      <c r="B252" s="4"/>
      <c r="C252" s="4"/>
      <c r="D252" s="145"/>
      <c r="E252" s="4"/>
      <c r="F252" s="159"/>
      <c r="G252" s="121"/>
      <c r="H252" s="145"/>
      <c r="I252" s="145"/>
      <c r="J252" s="145"/>
      <c r="K252" s="4"/>
    </row>
    <row r="253" spans="1:11" ht="13">
      <c r="A253" s="141"/>
      <c r="B253" s="4"/>
      <c r="C253" s="4"/>
      <c r="D253" s="145"/>
      <c r="E253" s="4"/>
      <c r="F253" s="159"/>
      <c r="G253" s="121"/>
      <c r="H253" s="145"/>
      <c r="I253" s="145"/>
      <c r="J253" s="145"/>
      <c r="K253" s="4"/>
    </row>
    <row r="254" spans="1:11" ht="13">
      <c r="A254" s="141"/>
      <c r="B254" s="4"/>
      <c r="C254" s="145"/>
      <c r="D254" s="145"/>
      <c r="E254" s="4"/>
      <c r="F254" s="159"/>
      <c r="G254" s="121"/>
      <c r="H254" s="145"/>
      <c r="I254" s="145"/>
      <c r="J254" s="145"/>
      <c r="K254" s="4"/>
    </row>
    <row r="255" spans="1:11" ht="13">
      <c r="A255" s="148"/>
      <c r="B255" s="90"/>
      <c r="C255" s="151"/>
      <c r="D255" s="151"/>
      <c r="E255" s="4"/>
      <c r="F255" s="159"/>
      <c r="G255" s="107"/>
      <c r="H255" s="151"/>
      <c r="I255" s="151"/>
      <c r="J255" s="145"/>
      <c r="K255" s="4"/>
    </row>
    <row r="256" spans="1:11" ht="13">
      <c r="A256" s="134" t="str">
        <f>VLOOKUP(B256,Master!$V$7:$W$150,2,FALSE)</f>
        <v>M0108</v>
      </c>
      <c r="B256" s="135" t="s">
        <v>618</v>
      </c>
      <c r="C256" s="136"/>
      <c r="D256" s="153"/>
      <c r="E256" s="154"/>
      <c r="F256" s="153"/>
      <c r="G256" s="138">
        <f>SUM(G257:G271)</f>
        <v>12847.023567162283</v>
      </c>
      <c r="H256" s="139">
        <v>0.1</v>
      </c>
      <c r="I256" s="138">
        <f>G256+(G256*H256)</f>
        <v>14131.725923878512</v>
      </c>
      <c r="J256" s="140" t="b">
        <v>0</v>
      </c>
      <c r="K256" s="4"/>
    </row>
    <row r="257" spans="1:11" ht="13">
      <c r="A257" s="141"/>
      <c r="B257" s="4"/>
      <c r="C257" s="4" t="s">
        <v>655</v>
      </c>
      <c r="D257" s="146">
        <v>60</v>
      </c>
      <c r="E257" s="4" t="str">
        <f>VLOOKUP(C257,Master!$B$6:$N$1000,9,FALSE)</f>
        <v>gr</v>
      </c>
      <c r="F257" s="158">
        <f>VLOOKUP(C257,Master!$B$6:$N$1000,10,FALSE)</f>
        <v>50</v>
      </c>
      <c r="G257" s="144">
        <f t="shared" ref="G257:G268" si="24">D257*F257</f>
        <v>3000</v>
      </c>
      <c r="H257" s="145"/>
      <c r="I257" s="145"/>
      <c r="J257" s="145"/>
      <c r="K257" s="4"/>
    </row>
    <row r="258" spans="1:11" ht="13">
      <c r="A258" s="141"/>
      <c r="B258" s="4"/>
      <c r="C258" s="4" t="s">
        <v>251</v>
      </c>
      <c r="D258" s="146">
        <v>1</v>
      </c>
      <c r="E258" s="4" t="str">
        <f>VLOOKUP(C258,Master!$B$6:$N$1000,9,FALSE)</f>
        <v>Porsi</v>
      </c>
      <c r="F258" s="158">
        <f>VLOOKUP(C258,Master!$B$6:$N$1000,10,FALSE)</f>
        <v>1093.9890710382513</v>
      </c>
      <c r="G258" s="144">
        <f t="shared" si="24"/>
        <v>1093.9890710382513</v>
      </c>
      <c r="H258" s="145"/>
      <c r="I258" s="145"/>
      <c r="J258" s="145"/>
      <c r="K258" s="4"/>
    </row>
    <row r="259" spans="1:11" ht="13">
      <c r="A259" s="141"/>
      <c r="B259" s="4"/>
      <c r="C259" s="4" t="s">
        <v>293</v>
      </c>
      <c r="D259" s="146">
        <v>1</v>
      </c>
      <c r="E259" s="4" t="str">
        <f>VLOOKUP(C259,Master!$B$6:$N$1000,9,FALSE)</f>
        <v>gr/pcs</v>
      </c>
      <c r="F259" s="158">
        <f>VLOOKUP(C259,Master!$B$6:$N$1000,10,FALSE)</f>
        <v>864.65116279069764</v>
      </c>
      <c r="G259" s="144">
        <f t="shared" si="24"/>
        <v>864.65116279069764</v>
      </c>
      <c r="H259" s="145"/>
      <c r="I259" s="145"/>
      <c r="J259" s="145"/>
      <c r="K259" s="4"/>
    </row>
    <row r="260" spans="1:11" ht="13">
      <c r="A260" s="141"/>
      <c r="B260" s="4"/>
      <c r="C260" s="4" t="s">
        <v>659</v>
      </c>
      <c r="D260" s="146">
        <v>1</v>
      </c>
      <c r="E260" s="4" t="str">
        <f>VLOOKUP(C260,Master!$B$6:$N$1000,9,FALSE)</f>
        <v>pcs</v>
      </c>
      <c r="F260" s="158">
        <f>VLOOKUP(C260,Master!$B$6:$N$1000,10,FALSE)</f>
        <v>1866.6666666666667</v>
      </c>
      <c r="G260" s="144">
        <f t="shared" si="24"/>
        <v>1866.6666666666667</v>
      </c>
      <c r="H260" s="145"/>
      <c r="I260" s="145"/>
      <c r="J260" s="145"/>
      <c r="K260" s="4"/>
    </row>
    <row r="261" spans="1:11" ht="13">
      <c r="A261" s="141"/>
      <c r="B261" s="4"/>
      <c r="C261" s="4" t="s">
        <v>1981</v>
      </c>
      <c r="D261" s="146">
        <v>50</v>
      </c>
      <c r="E261" s="4" t="str">
        <f>VLOOKUP(C261,Master!$B$6:$N$1000,9,FALSE)</f>
        <v>ml</v>
      </c>
      <c r="F261" s="158">
        <f>VLOOKUP(C261,Master!$B$6:$N$1000,10,FALSE)</f>
        <v>17.094333333333335</v>
      </c>
      <c r="G261" s="144">
        <f t="shared" si="24"/>
        <v>854.7166666666667</v>
      </c>
      <c r="H261" s="145"/>
      <c r="I261" s="145"/>
      <c r="J261" s="145"/>
      <c r="K261" s="4"/>
    </row>
    <row r="262" spans="1:11" ht="13">
      <c r="A262" s="141"/>
      <c r="B262" s="4"/>
      <c r="C262" s="4" t="s">
        <v>2046</v>
      </c>
      <c r="D262" s="146">
        <v>15</v>
      </c>
      <c r="E262" s="4" t="str">
        <f>VLOOKUP(C262,Master!$B$6:$N$1000,9,FALSE)</f>
        <v>ml</v>
      </c>
      <c r="F262" s="158">
        <f>VLOOKUP(C262,Master!$B$6:$N$1000,10,FALSE)</f>
        <v>66</v>
      </c>
      <c r="G262" s="144">
        <f t="shared" si="24"/>
        <v>990</v>
      </c>
      <c r="H262" s="145"/>
      <c r="I262" s="145"/>
      <c r="J262" s="145"/>
      <c r="K262" s="4"/>
    </row>
    <row r="263" spans="1:11" ht="13">
      <c r="A263" s="141"/>
      <c r="B263" s="4"/>
      <c r="C263" s="4" t="s">
        <v>732</v>
      </c>
      <c r="D263" s="146">
        <v>5</v>
      </c>
      <c r="E263" s="4" t="str">
        <f>VLOOKUP(C263,Master!$B$6:$N$1000,9,FALSE)</f>
        <v>gr</v>
      </c>
      <c r="F263" s="158">
        <f>VLOOKUP(C263,Master!$B$6:$N$1000,10,FALSE)</f>
        <v>40</v>
      </c>
      <c r="G263" s="144">
        <f t="shared" si="24"/>
        <v>200</v>
      </c>
      <c r="H263" s="145"/>
      <c r="I263" s="145"/>
      <c r="J263" s="145"/>
      <c r="K263" s="4"/>
    </row>
    <row r="264" spans="1:11" ht="13">
      <c r="A264" s="141"/>
      <c r="B264" s="4"/>
      <c r="C264" s="4" t="s">
        <v>716</v>
      </c>
      <c r="D264" s="146">
        <v>10</v>
      </c>
      <c r="E264" s="4" t="str">
        <f>VLOOKUP(C264,Master!$B$6:$N$1000,9,FALSE)</f>
        <v>gr</v>
      </c>
      <c r="F264" s="158">
        <f>VLOOKUP(C264,Master!$B$6:$N$1000,10,FALSE)</f>
        <v>45</v>
      </c>
      <c r="G264" s="144">
        <f t="shared" si="24"/>
        <v>450</v>
      </c>
      <c r="H264" s="145"/>
      <c r="I264" s="145"/>
      <c r="J264" s="145"/>
      <c r="K264" s="4"/>
    </row>
    <row r="265" spans="1:11" ht="13">
      <c r="A265" s="141"/>
      <c r="B265" s="4"/>
      <c r="C265" s="4" t="s">
        <v>2043</v>
      </c>
      <c r="D265" s="146">
        <v>2</v>
      </c>
      <c r="E265" s="4" t="str">
        <f>VLOOKUP(C265,Master!$B$6:$N$1000,9,FALSE)</f>
        <v>gr</v>
      </c>
      <c r="F265" s="158">
        <f>VLOOKUP(C265,Master!$B$6:$N$1000,10,FALSE)</f>
        <v>38.5</v>
      </c>
      <c r="G265" s="144">
        <f t="shared" si="24"/>
        <v>77</v>
      </c>
      <c r="H265" s="145"/>
      <c r="I265" s="145"/>
      <c r="J265" s="145"/>
      <c r="K265" s="4"/>
    </row>
    <row r="266" spans="1:11" ht="13">
      <c r="A266" s="141"/>
      <c r="B266" s="4"/>
      <c r="C266" s="4" t="s">
        <v>799</v>
      </c>
      <c r="D266" s="146">
        <v>1</v>
      </c>
      <c r="E266" s="4" t="str">
        <f>VLOOKUP(C266,Master!$B$6:$N$1000,9,FALSE)</f>
        <v>gr</v>
      </c>
      <c r="F266" s="158">
        <f>VLOOKUP(C266,Master!$B$6:$N$1000,10,FALSE)</f>
        <v>90</v>
      </c>
      <c r="G266" s="144">
        <f t="shared" si="24"/>
        <v>90</v>
      </c>
      <c r="H266" s="145"/>
      <c r="I266" s="145"/>
      <c r="J266" s="145"/>
      <c r="K266" s="4"/>
    </row>
    <row r="267" spans="1:11" ht="13">
      <c r="A267" s="141"/>
      <c r="B267" s="4"/>
      <c r="C267" s="4" t="s">
        <v>720</v>
      </c>
      <c r="D267" s="146">
        <v>1</v>
      </c>
      <c r="E267" s="4" t="str">
        <f>VLOOKUP(C267,Master!$B$6:$N$1000,9,FALSE)</f>
        <v>gr</v>
      </c>
      <c r="F267" s="158">
        <f>VLOOKUP(C267,Master!$B$6:$N$1000,10,FALSE)</f>
        <v>280</v>
      </c>
      <c r="G267" s="144">
        <f t="shared" si="24"/>
        <v>280</v>
      </c>
      <c r="H267" s="145"/>
      <c r="I267" s="145"/>
      <c r="J267" s="145"/>
      <c r="K267" s="4"/>
    </row>
    <row r="268" spans="1:11" ht="13">
      <c r="A268" s="141"/>
      <c r="B268" s="4"/>
      <c r="C268" s="4" t="s">
        <v>866</v>
      </c>
      <c r="D268" s="146">
        <v>1</v>
      </c>
      <c r="E268" s="4" t="str">
        <f>VLOOKUP(C268,Master!$B$6:$N$1000,9,FALSE)</f>
        <v>pcs</v>
      </c>
      <c r="F268" s="158">
        <f>VLOOKUP(C268,Master!$B$6:$N$1000,10,FALSE)</f>
        <v>3080</v>
      </c>
      <c r="G268" s="144">
        <f t="shared" si="24"/>
        <v>3080</v>
      </c>
      <c r="H268" s="145"/>
      <c r="I268" s="145"/>
      <c r="J268" s="145"/>
      <c r="K268" s="4"/>
    </row>
    <row r="269" spans="1:11" ht="13">
      <c r="A269" s="141"/>
      <c r="B269" s="4"/>
      <c r="C269" s="4"/>
      <c r="D269" s="145"/>
      <c r="E269" s="4"/>
      <c r="F269" s="159"/>
      <c r="G269" s="121"/>
      <c r="H269" s="145"/>
      <c r="I269" s="145"/>
      <c r="J269" s="145"/>
      <c r="K269" s="4"/>
    </row>
    <row r="270" spans="1:11" ht="13">
      <c r="A270" s="141"/>
      <c r="B270" s="4"/>
      <c r="C270" s="145"/>
      <c r="D270" s="145"/>
      <c r="E270" s="4"/>
      <c r="F270" s="159"/>
      <c r="G270" s="121"/>
      <c r="H270" s="145"/>
      <c r="I270" s="145"/>
      <c r="J270" s="145"/>
      <c r="K270" s="4"/>
    </row>
    <row r="271" spans="1:11" ht="13">
      <c r="A271" s="148"/>
      <c r="B271" s="90"/>
      <c r="C271" s="151"/>
      <c r="D271" s="151"/>
      <c r="E271" s="4"/>
      <c r="F271" s="159"/>
      <c r="G271" s="107"/>
      <c r="H271" s="151"/>
      <c r="I271" s="151"/>
      <c r="J271" s="145"/>
      <c r="K271" s="4"/>
    </row>
    <row r="272" spans="1:11" ht="13">
      <c r="A272" s="134" t="str">
        <f>VLOOKUP(B272,Master!$V$7:$W$150,2,FALSE)</f>
        <v>M0109</v>
      </c>
      <c r="B272" s="135" t="s">
        <v>621</v>
      </c>
      <c r="C272" s="136"/>
      <c r="D272" s="153"/>
      <c r="E272" s="154"/>
      <c r="F272" s="153"/>
      <c r="G272" s="138">
        <f>SUM(G273:G287)</f>
        <v>15610.387233828949</v>
      </c>
      <c r="H272" s="139">
        <v>0.1</v>
      </c>
      <c r="I272" s="138">
        <f>G272+(G272*H272)</f>
        <v>17171.425957211846</v>
      </c>
      <c r="J272" s="140" t="b">
        <v>0</v>
      </c>
      <c r="K272" s="4"/>
    </row>
    <row r="273" spans="1:11" ht="13">
      <c r="A273" s="141"/>
      <c r="B273" s="4"/>
      <c r="C273" s="4" t="s">
        <v>1125</v>
      </c>
      <c r="D273" s="146">
        <v>50</v>
      </c>
      <c r="E273" s="4" t="str">
        <f>VLOOKUP(C273,Master!$B$6:$N$1000,9,FALSE)</f>
        <v>gr</v>
      </c>
      <c r="F273" s="158">
        <f>VLOOKUP(C273,Master!$B$6:$N$1000,10,FALSE)</f>
        <v>127</v>
      </c>
      <c r="G273" s="144">
        <f t="shared" ref="G273:G283" si="25">D273*F273</f>
        <v>6350</v>
      </c>
      <c r="H273" s="145"/>
      <c r="I273" s="145"/>
      <c r="J273" s="145"/>
      <c r="K273" s="4"/>
    </row>
    <row r="274" spans="1:11" ht="13">
      <c r="A274" s="141"/>
      <c r="B274" s="4"/>
      <c r="C274" s="4" t="s">
        <v>293</v>
      </c>
      <c r="D274" s="146">
        <v>1</v>
      </c>
      <c r="E274" s="4" t="str">
        <f>VLOOKUP(C274,Master!$B$6:$N$1000,9,FALSE)</f>
        <v>gr/pcs</v>
      </c>
      <c r="F274" s="158">
        <f>VLOOKUP(C274,Master!$B$6:$N$1000,10,FALSE)</f>
        <v>864.65116279069764</v>
      </c>
      <c r="G274" s="144">
        <f t="shared" si="25"/>
        <v>864.65116279069764</v>
      </c>
      <c r="H274" s="145"/>
      <c r="I274" s="145"/>
      <c r="J274" s="145"/>
      <c r="K274" s="4"/>
    </row>
    <row r="275" spans="1:11" ht="13">
      <c r="A275" s="141"/>
      <c r="B275" s="4"/>
      <c r="C275" s="4" t="s">
        <v>125</v>
      </c>
      <c r="D275" s="146">
        <v>1</v>
      </c>
      <c r="E275" s="4" t="str">
        <f>VLOOKUP(C275,Master!$B$6:$N$1000,9,FALSE)</f>
        <v>gr/por</v>
      </c>
      <c r="F275" s="158">
        <f>VLOOKUP(C275,Master!$B$6:$N$1000,10,FALSE)</f>
        <v>1883.9883333333335</v>
      </c>
      <c r="G275" s="144">
        <f t="shared" si="25"/>
        <v>1883.9883333333335</v>
      </c>
      <c r="H275" s="145"/>
      <c r="I275" s="145"/>
      <c r="J275" s="145"/>
      <c r="K275" s="4"/>
    </row>
    <row r="276" spans="1:11" ht="13">
      <c r="A276" s="141"/>
      <c r="B276" s="4"/>
      <c r="C276" s="4" t="s">
        <v>282</v>
      </c>
      <c r="D276" s="146">
        <v>1</v>
      </c>
      <c r="E276" s="4" t="str">
        <f>VLOOKUP(C276,Master!$B$6:$N$1000,9,FALSE)</f>
        <v>gr/pcs</v>
      </c>
      <c r="F276" s="158">
        <f>VLOOKUP(C276,Master!$B$6:$N$1000,10,FALSE)</f>
        <v>2570.7586666666666</v>
      </c>
      <c r="G276" s="144">
        <f t="shared" si="25"/>
        <v>2570.7586666666666</v>
      </c>
      <c r="H276" s="145"/>
      <c r="I276" s="145"/>
      <c r="J276" s="145"/>
      <c r="K276" s="4"/>
    </row>
    <row r="277" spans="1:11" ht="13">
      <c r="A277" s="141"/>
      <c r="B277" s="4"/>
      <c r="C277" s="4" t="s">
        <v>251</v>
      </c>
      <c r="D277" s="146">
        <v>1</v>
      </c>
      <c r="E277" s="4" t="str">
        <f>VLOOKUP(C277,Master!$B$6:$N$1000,9,FALSE)</f>
        <v>Porsi</v>
      </c>
      <c r="F277" s="158">
        <f>VLOOKUP(C277,Master!$B$6:$N$1000,10,FALSE)</f>
        <v>1093.9890710382513</v>
      </c>
      <c r="G277" s="144">
        <f t="shared" si="25"/>
        <v>1093.9890710382513</v>
      </c>
      <c r="H277" s="145"/>
      <c r="I277" s="145"/>
      <c r="J277" s="145"/>
      <c r="K277" s="4"/>
    </row>
    <row r="278" spans="1:11" ht="13">
      <c r="A278" s="141"/>
      <c r="B278" s="4"/>
      <c r="C278" s="4" t="s">
        <v>716</v>
      </c>
      <c r="D278" s="146">
        <v>16</v>
      </c>
      <c r="E278" s="4" t="str">
        <f>VLOOKUP(C278,Master!$B$6:$N$1000,9,FALSE)</f>
        <v>gr</v>
      </c>
      <c r="F278" s="158">
        <f>VLOOKUP(C278,Master!$B$6:$N$1000,10,FALSE)</f>
        <v>45</v>
      </c>
      <c r="G278" s="144">
        <f t="shared" si="25"/>
        <v>720</v>
      </c>
      <c r="H278" s="145"/>
      <c r="I278" s="145"/>
      <c r="J278" s="145"/>
      <c r="K278" s="4"/>
    </row>
    <row r="279" spans="1:11" ht="13">
      <c r="A279" s="141"/>
      <c r="B279" s="4"/>
      <c r="C279" s="4" t="s">
        <v>732</v>
      </c>
      <c r="D279" s="146">
        <v>16</v>
      </c>
      <c r="E279" s="4" t="str">
        <f>VLOOKUP(C279,Master!$B$6:$N$1000,9,FALSE)</f>
        <v>gr</v>
      </c>
      <c r="F279" s="158">
        <f>VLOOKUP(C279,Master!$B$6:$N$1000,10,FALSE)</f>
        <v>40</v>
      </c>
      <c r="G279" s="144">
        <f t="shared" si="25"/>
        <v>640</v>
      </c>
      <c r="H279" s="145"/>
      <c r="I279" s="145"/>
      <c r="J279" s="145"/>
      <c r="K279" s="4"/>
    </row>
    <row r="280" spans="1:11" ht="13">
      <c r="A280" s="141"/>
      <c r="B280" s="4"/>
      <c r="C280" s="4" t="s">
        <v>2043</v>
      </c>
      <c r="D280" s="146">
        <v>2</v>
      </c>
      <c r="E280" s="4" t="str">
        <f>VLOOKUP(C280,Master!$B$6:$N$1000,9,FALSE)</f>
        <v>gr</v>
      </c>
      <c r="F280" s="158">
        <f>VLOOKUP(C280,Master!$B$6:$N$1000,10,FALSE)</f>
        <v>38.5</v>
      </c>
      <c r="G280" s="144">
        <f t="shared" si="25"/>
        <v>77</v>
      </c>
      <c r="H280" s="145"/>
      <c r="I280" s="145"/>
      <c r="J280" s="145"/>
      <c r="K280" s="4"/>
    </row>
    <row r="281" spans="1:11" ht="13">
      <c r="A281" s="141"/>
      <c r="B281" s="4"/>
      <c r="C281" s="4" t="s">
        <v>799</v>
      </c>
      <c r="D281" s="146">
        <v>1</v>
      </c>
      <c r="E281" s="4" t="str">
        <f>VLOOKUP(C281,Master!$B$6:$N$1000,9,FALSE)</f>
        <v>gr</v>
      </c>
      <c r="F281" s="158">
        <f>VLOOKUP(C281,Master!$B$6:$N$1000,10,FALSE)</f>
        <v>90</v>
      </c>
      <c r="G281" s="144">
        <f t="shared" si="25"/>
        <v>90</v>
      </c>
      <c r="H281" s="145"/>
      <c r="I281" s="145"/>
      <c r="J281" s="145"/>
      <c r="K281" s="4"/>
    </row>
    <row r="282" spans="1:11" ht="13">
      <c r="A282" s="141"/>
      <c r="B282" s="4"/>
      <c r="C282" s="4" t="s">
        <v>720</v>
      </c>
      <c r="D282" s="146">
        <v>1</v>
      </c>
      <c r="E282" s="4" t="str">
        <f>VLOOKUP(C282,Master!$B$6:$N$1000,9,FALSE)</f>
        <v>gr</v>
      </c>
      <c r="F282" s="158">
        <f>VLOOKUP(C282,Master!$B$6:$N$1000,10,FALSE)</f>
        <v>280</v>
      </c>
      <c r="G282" s="144">
        <f t="shared" si="25"/>
        <v>280</v>
      </c>
      <c r="H282" s="145"/>
      <c r="I282" s="145"/>
      <c r="J282" s="145"/>
      <c r="K282" s="4"/>
    </row>
    <row r="283" spans="1:11" ht="13">
      <c r="A283" s="141"/>
      <c r="B283" s="4"/>
      <c r="C283" s="4" t="s">
        <v>1103</v>
      </c>
      <c r="D283" s="146">
        <v>1</v>
      </c>
      <c r="E283" s="4" t="str">
        <f>VLOOKUP(C283,Master!$B$6:$N$1000,9,FALSE)</f>
        <v>pcs</v>
      </c>
      <c r="F283" s="158">
        <f>VLOOKUP(C283,Master!$B$6:$N$1000,10,FALSE)</f>
        <v>1040</v>
      </c>
      <c r="G283" s="144">
        <f t="shared" si="25"/>
        <v>1040</v>
      </c>
      <c r="H283" s="145"/>
      <c r="I283" s="145"/>
      <c r="J283" s="145"/>
      <c r="K283" s="4"/>
    </row>
    <row r="284" spans="1:11" ht="13">
      <c r="A284" s="141"/>
      <c r="B284" s="4"/>
      <c r="C284" s="4"/>
      <c r="D284" s="145"/>
      <c r="E284" s="4"/>
      <c r="F284" s="159"/>
      <c r="G284" s="121"/>
      <c r="H284" s="145"/>
      <c r="I284" s="145"/>
      <c r="J284" s="145"/>
      <c r="K284" s="4"/>
    </row>
    <row r="285" spans="1:11" ht="13">
      <c r="A285" s="141"/>
      <c r="B285" s="4"/>
      <c r="C285" s="4"/>
      <c r="D285" s="145"/>
      <c r="E285" s="4"/>
      <c r="F285" s="159"/>
      <c r="G285" s="121"/>
      <c r="H285" s="145"/>
      <c r="I285" s="145"/>
      <c r="J285" s="145"/>
      <c r="K285" s="4"/>
    </row>
    <row r="286" spans="1:11" ht="13">
      <c r="A286" s="141"/>
      <c r="B286" s="4"/>
      <c r="C286" s="145"/>
      <c r="D286" s="145"/>
      <c r="E286" s="4"/>
      <c r="F286" s="159"/>
      <c r="G286" s="121"/>
      <c r="H286" s="145"/>
      <c r="I286" s="145"/>
      <c r="J286" s="145"/>
      <c r="K286" s="4"/>
    </row>
    <row r="287" spans="1:11" ht="13">
      <c r="A287" s="148"/>
      <c r="B287" s="90"/>
      <c r="C287" s="151"/>
      <c r="D287" s="151"/>
      <c r="E287" s="4"/>
      <c r="F287" s="159"/>
      <c r="G287" s="107"/>
      <c r="H287" s="151"/>
      <c r="I287" s="151"/>
      <c r="J287" s="145"/>
      <c r="K287" s="4"/>
    </row>
    <row r="288" spans="1:11" ht="13">
      <c r="A288" s="134" t="str">
        <f>VLOOKUP(B288,Master!$V$7:$W$150,2,FALSE)</f>
        <v>M0111</v>
      </c>
      <c r="B288" s="135" t="s">
        <v>629</v>
      </c>
      <c r="C288" s="136"/>
      <c r="D288" s="153"/>
      <c r="E288" s="154"/>
      <c r="F288" s="153"/>
      <c r="G288" s="138">
        <f>SUM(G289:G300)</f>
        <v>11469.224972314507</v>
      </c>
      <c r="H288" s="139">
        <v>0.1</v>
      </c>
      <c r="I288" s="138">
        <f>G288+(G288*H288)</f>
        <v>12616.147469545958</v>
      </c>
      <c r="J288" s="140" t="b">
        <v>0</v>
      </c>
      <c r="K288" s="4"/>
    </row>
    <row r="289" spans="1:11" ht="13">
      <c r="A289" s="141"/>
      <c r="B289" s="4"/>
      <c r="C289" s="4" t="s">
        <v>298</v>
      </c>
      <c r="D289" s="146">
        <v>1</v>
      </c>
      <c r="E289" s="4" t="str">
        <f>VLOOKUP(C289,Master!$B$6:$N$1000,9,FALSE)</f>
        <v>gr/pcs</v>
      </c>
      <c r="F289" s="158">
        <f>VLOOKUP(C289,Master!$B$6:$N$1000,10,FALSE)</f>
        <v>5399.9</v>
      </c>
      <c r="G289" s="144">
        <f t="shared" ref="G289:G297" si="26">D289*F289</f>
        <v>5399.9</v>
      </c>
      <c r="H289" s="145"/>
      <c r="I289" s="145"/>
      <c r="J289" s="145"/>
      <c r="K289" s="4"/>
    </row>
    <row r="290" spans="1:11" ht="13">
      <c r="A290" s="141"/>
      <c r="B290" s="4"/>
      <c r="C290" s="4" t="s">
        <v>101</v>
      </c>
      <c r="D290" s="146">
        <v>1</v>
      </c>
      <c r="E290" s="4" t="str">
        <f>VLOOKUP(C290,Master!$B$6:$N$1000,9,FALSE)</f>
        <v>Porsi</v>
      </c>
      <c r="F290" s="158">
        <f>VLOOKUP(C290,Master!$B$6:$N$1000,10,FALSE)</f>
        <v>537.32380952380959</v>
      </c>
      <c r="G290" s="144">
        <f t="shared" si="26"/>
        <v>537.32380952380959</v>
      </c>
      <c r="H290" s="145"/>
      <c r="I290" s="145"/>
      <c r="J290" s="145"/>
      <c r="K290" s="4"/>
    </row>
    <row r="291" spans="1:11" ht="13">
      <c r="A291" s="141"/>
      <c r="B291" s="4"/>
      <c r="C291" s="4" t="s">
        <v>293</v>
      </c>
      <c r="D291" s="146">
        <v>1</v>
      </c>
      <c r="E291" s="4" t="str">
        <f>VLOOKUP(C291,Master!$B$6:$N$1000,9,FALSE)</f>
        <v>gr/pcs</v>
      </c>
      <c r="F291" s="158">
        <f>VLOOKUP(C291,Master!$B$6:$N$1000,10,FALSE)</f>
        <v>864.65116279069764</v>
      </c>
      <c r="G291" s="144">
        <f t="shared" si="26"/>
        <v>864.65116279069764</v>
      </c>
      <c r="H291" s="145"/>
      <c r="I291" s="145"/>
      <c r="J291" s="145"/>
      <c r="K291" s="4"/>
    </row>
    <row r="292" spans="1:11" ht="13">
      <c r="A292" s="141"/>
      <c r="B292" s="4"/>
      <c r="C292" s="4" t="s">
        <v>925</v>
      </c>
      <c r="D292" s="146">
        <v>75</v>
      </c>
      <c r="E292" s="4" t="str">
        <f>VLOOKUP(C292,Master!$B$6:$N$1000,9,FALSE)</f>
        <v>gr</v>
      </c>
      <c r="F292" s="158">
        <f>VLOOKUP(C292,Master!$B$6:$N$1000,10,FALSE)</f>
        <v>39.738</v>
      </c>
      <c r="G292" s="144">
        <f t="shared" si="26"/>
        <v>2980.35</v>
      </c>
      <c r="H292" s="145"/>
      <c r="I292" s="145"/>
      <c r="J292" s="145"/>
      <c r="K292" s="4"/>
    </row>
    <row r="293" spans="1:11" ht="13">
      <c r="A293" s="141"/>
      <c r="B293" s="4"/>
      <c r="C293" s="4" t="s">
        <v>732</v>
      </c>
      <c r="D293" s="146">
        <v>5</v>
      </c>
      <c r="E293" s="4" t="str">
        <f>VLOOKUP(C293,Master!$B$6:$N$1000,9,FALSE)</f>
        <v>gr</v>
      </c>
      <c r="F293" s="158">
        <f>VLOOKUP(C293,Master!$B$6:$N$1000,10,FALSE)</f>
        <v>40</v>
      </c>
      <c r="G293" s="144">
        <f t="shared" si="26"/>
        <v>200</v>
      </c>
      <c r="H293" s="145"/>
      <c r="I293" s="145"/>
      <c r="J293" s="145"/>
      <c r="K293" s="4"/>
    </row>
    <row r="294" spans="1:11" ht="13">
      <c r="A294" s="141"/>
      <c r="B294" s="4"/>
      <c r="C294" s="4" t="s">
        <v>2043</v>
      </c>
      <c r="D294" s="146">
        <v>2</v>
      </c>
      <c r="E294" s="4" t="str">
        <f>VLOOKUP(C294,Master!$B$6:$N$1000,9,FALSE)</f>
        <v>gr</v>
      </c>
      <c r="F294" s="158">
        <f>VLOOKUP(C294,Master!$B$6:$N$1000,10,FALSE)</f>
        <v>38.5</v>
      </c>
      <c r="G294" s="144">
        <f t="shared" si="26"/>
        <v>77</v>
      </c>
      <c r="H294" s="145"/>
      <c r="I294" s="145"/>
      <c r="J294" s="145"/>
      <c r="K294" s="4"/>
    </row>
    <row r="295" spans="1:11" ht="13">
      <c r="A295" s="141"/>
      <c r="B295" s="4"/>
      <c r="C295" s="4" t="s">
        <v>799</v>
      </c>
      <c r="D295" s="146">
        <v>1</v>
      </c>
      <c r="E295" s="4" t="str">
        <f>VLOOKUP(C295,Master!$B$6:$N$1000,9,FALSE)</f>
        <v>gr</v>
      </c>
      <c r="F295" s="158">
        <f>VLOOKUP(C295,Master!$B$6:$N$1000,10,FALSE)</f>
        <v>90</v>
      </c>
      <c r="G295" s="144">
        <f t="shared" si="26"/>
        <v>90</v>
      </c>
      <c r="H295" s="145"/>
      <c r="I295" s="145"/>
      <c r="J295" s="145"/>
      <c r="K295" s="4"/>
    </row>
    <row r="296" spans="1:11" ht="13">
      <c r="A296" s="141"/>
      <c r="B296" s="4"/>
      <c r="C296" s="4" t="s">
        <v>720</v>
      </c>
      <c r="D296" s="146">
        <v>1</v>
      </c>
      <c r="E296" s="4" t="str">
        <f>VLOOKUP(C296,Master!$B$6:$N$1000,9,FALSE)</f>
        <v>gr</v>
      </c>
      <c r="F296" s="158">
        <f>VLOOKUP(C296,Master!$B$6:$N$1000,10,FALSE)</f>
        <v>280</v>
      </c>
      <c r="G296" s="144">
        <f t="shared" si="26"/>
        <v>280</v>
      </c>
      <c r="H296" s="145"/>
      <c r="I296" s="145"/>
      <c r="J296" s="145"/>
      <c r="K296" s="4"/>
    </row>
    <row r="297" spans="1:11" ht="13">
      <c r="A297" s="141"/>
      <c r="B297" s="4"/>
      <c r="C297" s="4" t="s">
        <v>1103</v>
      </c>
      <c r="D297" s="146">
        <v>1</v>
      </c>
      <c r="E297" s="4" t="str">
        <f>VLOOKUP(C297,Master!$B$6:$N$1000,9,FALSE)</f>
        <v>pcs</v>
      </c>
      <c r="F297" s="158">
        <f>VLOOKUP(C297,Master!$B$6:$N$1000,10,FALSE)</f>
        <v>1040</v>
      </c>
      <c r="G297" s="144">
        <f t="shared" si="26"/>
        <v>1040</v>
      </c>
      <c r="H297" s="145"/>
      <c r="I297" s="145"/>
      <c r="J297" s="145"/>
      <c r="K297" s="4"/>
    </row>
    <row r="298" spans="1:11" ht="13">
      <c r="A298" s="141"/>
      <c r="B298" s="4"/>
      <c r="C298" s="4"/>
      <c r="D298" s="145"/>
      <c r="E298" s="4"/>
      <c r="F298" s="159"/>
      <c r="G298" s="121"/>
      <c r="H298" s="145"/>
      <c r="I298" s="145"/>
      <c r="J298" s="145"/>
      <c r="K298" s="4"/>
    </row>
    <row r="299" spans="1:11" ht="13">
      <c r="A299" s="141"/>
      <c r="B299" s="4"/>
      <c r="C299" s="145"/>
      <c r="D299" s="145"/>
      <c r="E299" s="4"/>
      <c r="F299" s="159"/>
      <c r="G299" s="121"/>
      <c r="H299" s="145"/>
      <c r="I299" s="145"/>
      <c r="J299" s="145"/>
      <c r="K299" s="4"/>
    </row>
    <row r="300" spans="1:11" ht="13">
      <c r="A300" s="148"/>
      <c r="B300" s="90"/>
      <c r="C300" s="151"/>
      <c r="D300" s="151"/>
      <c r="E300" s="4"/>
      <c r="F300" s="159"/>
      <c r="G300" s="107"/>
      <c r="H300" s="151"/>
      <c r="I300" s="151"/>
      <c r="J300" s="145"/>
      <c r="K300" s="4"/>
    </row>
    <row r="301" spans="1:11" ht="13">
      <c r="A301" s="134" t="str">
        <f>VLOOKUP(B301,Master!$V$7:$W$150,2,FALSE)</f>
        <v>M0112</v>
      </c>
      <c r="B301" s="135" t="s">
        <v>633</v>
      </c>
      <c r="C301" s="136"/>
      <c r="D301" s="153"/>
      <c r="E301" s="154"/>
      <c r="F301" s="153"/>
      <c r="G301" s="138">
        <f>SUM(G302:G313)</f>
        <v>10874.537472314507</v>
      </c>
      <c r="H301" s="139">
        <v>0.1</v>
      </c>
      <c r="I301" s="138">
        <f>G301+(G301*H301)</f>
        <v>11961.991219545958</v>
      </c>
      <c r="J301" s="140" t="b">
        <v>0</v>
      </c>
      <c r="K301" s="4"/>
    </row>
    <row r="302" spans="1:11" ht="13">
      <c r="A302" s="141"/>
      <c r="B302" s="4"/>
      <c r="C302" s="4" t="s">
        <v>275</v>
      </c>
      <c r="D302" s="146">
        <v>1</v>
      </c>
      <c r="E302" s="4" t="str">
        <f>VLOOKUP(C302,Master!$B$6:$N$1000,9,FALSE)</f>
        <v>gr</v>
      </c>
      <c r="F302" s="158">
        <f>VLOOKUP(C302,Master!$B$6:$N$1000,10,FALSE)</f>
        <v>4805.2124999999996</v>
      </c>
      <c r="G302" s="144">
        <f t="shared" ref="G302:G310" si="27">D302*F302</f>
        <v>4805.2124999999996</v>
      </c>
      <c r="H302" s="145"/>
      <c r="I302" s="145"/>
      <c r="J302" s="145"/>
      <c r="K302" s="4"/>
    </row>
    <row r="303" spans="1:11" ht="13">
      <c r="A303" s="141"/>
      <c r="B303" s="4"/>
      <c r="C303" s="4" t="s">
        <v>101</v>
      </c>
      <c r="D303" s="146">
        <v>1</v>
      </c>
      <c r="E303" s="4" t="str">
        <f>VLOOKUP(C303,Master!$B$6:$N$1000,9,FALSE)</f>
        <v>Porsi</v>
      </c>
      <c r="F303" s="158">
        <f>VLOOKUP(C303,Master!$B$6:$N$1000,10,FALSE)</f>
        <v>537.32380952380959</v>
      </c>
      <c r="G303" s="144">
        <f t="shared" si="27"/>
        <v>537.32380952380959</v>
      </c>
      <c r="H303" s="145"/>
      <c r="I303" s="145"/>
      <c r="J303" s="145"/>
      <c r="K303" s="4"/>
    </row>
    <row r="304" spans="1:11" ht="13">
      <c r="A304" s="141"/>
      <c r="B304" s="4"/>
      <c r="C304" s="4" t="s">
        <v>293</v>
      </c>
      <c r="D304" s="146">
        <v>1</v>
      </c>
      <c r="E304" s="4" t="str">
        <f>VLOOKUP(C304,Master!$B$6:$N$1000,9,FALSE)</f>
        <v>gr/pcs</v>
      </c>
      <c r="F304" s="158">
        <f>VLOOKUP(C304,Master!$B$6:$N$1000,10,FALSE)</f>
        <v>864.65116279069764</v>
      </c>
      <c r="G304" s="144">
        <f t="shared" si="27"/>
        <v>864.65116279069764</v>
      </c>
      <c r="H304" s="145"/>
      <c r="I304" s="145"/>
      <c r="J304" s="145"/>
      <c r="K304" s="4"/>
    </row>
    <row r="305" spans="1:11" ht="13">
      <c r="A305" s="141"/>
      <c r="B305" s="4"/>
      <c r="C305" s="4" t="s">
        <v>925</v>
      </c>
      <c r="D305" s="146">
        <v>75</v>
      </c>
      <c r="E305" s="4" t="str">
        <f>VLOOKUP(C305,Master!$B$6:$N$1000,9,FALSE)</f>
        <v>gr</v>
      </c>
      <c r="F305" s="158">
        <f>VLOOKUP(C305,Master!$B$6:$N$1000,10,FALSE)</f>
        <v>39.738</v>
      </c>
      <c r="G305" s="144">
        <f t="shared" si="27"/>
        <v>2980.35</v>
      </c>
      <c r="H305" s="145"/>
      <c r="I305" s="145"/>
      <c r="J305" s="145"/>
      <c r="K305" s="4"/>
    </row>
    <row r="306" spans="1:11" ht="13">
      <c r="A306" s="141"/>
      <c r="B306" s="4"/>
      <c r="C306" s="4" t="s">
        <v>732</v>
      </c>
      <c r="D306" s="146">
        <v>5</v>
      </c>
      <c r="E306" s="4" t="str">
        <f>VLOOKUP(C306,Master!$B$6:$N$1000,9,FALSE)</f>
        <v>gr</v>
      </c>
      <c r="F306" s="158">
        <f>VLOOKUP(C306,Master!$B$6:$N$1000,10,FALSE)</f>
        <v>40</v>
      </c>
      <c r="G306" s="144">
        <f t="shared" si="27"/>
        <v>200</v>
      </c>
      <c r="H306" s="145"/>
      <c r="I306" s="145"/>
      <c r="J306" s="145"/>
      <c r="K306" s="4"/>
    </row>
    <row r="307" spans="1:11" ht="13">
      <c r="A307" s="141"/>
      <c r="B307" s="4"/>
      <c r="C307" s="4" t="s">
        <v>2043</v>
      </c>
      <c r="D307" s="146">
        <v>2</v>
      </c>
      <c r="E307" s="4" t="str">
        <f>VLOOKUP(C307,Master!$B$6:$N$1000,9,FALSE)</f>
        <v>gr</v>
      </c>
      <c r="F307" s="158">
        <f>VLOOKUP(C307,Master!$B$6:$N$1000,10,FALSE)</f>
        <v>38.5</v>
      </c>
      <c r="G307" s="144">
        <f t="shared" si="27"/>
        <v>77</v>
      </c>
      <c r="H307" s="145"/>
      <c r="I307" s="145"/>
      <c r="J307" s="145"/>
      <c r="K307" s="4"/>
    </row>
    <row r="308" spans="1:11" ht="13">
      <c r="A308" s="141"/>
      <c r="B308" s="4"/>
      <c r="C308" s="4" t="s">
        <v>799</v>
      </c>
      <c r="D308" s="146">
        <v>1</v>
      </c>
      <c r="E308" s="4" t="str">
        <f>VLOOKUP(C308,Master!$B$6:$N$1000,9,FALSE)</f>
        <v>gr</v>
      </c>
      <c r="F308" s="158">
        <f>VLOOKUP(C308,Master!$B$6:$N$1000,10,FALSE)</f>
        <v>90</v>
      </c>
      <c r="G308" s="144">
        <f t="shared" si="27"/>
        <v>90</v>
      </c>
      <c r="H308" s="145"/>
      <c r="I308" s="145"/>
      <c r="J308" s="145"/>
      <c r="K308" s="4"/>
    </row>
    <row r="309" spans="1:11" ht="13">
      <c r="A309" s="141"/>
      <c r="B309" s="4"/>
      <c r="C309" s="4" t="s">
        <v>720</v>
      </c>
      <c r="D309" s="146">
        <v>1</v>
      </c>
      <c r="E309" s="4" t="str">
        <f>VLOOKUP(C309,Master!$B$6:$N$1000,9,FALSE)</f>
        <v>gr</v>
      </c>
      <c r="F309" s="158">
        <f>VLOOKUP(C309,Master!$B$6:$N$1000,10,FALSE)</f>
        <v>280</v>
      </c>
      <c r="G309" s="144">
        <f t="shared" si="27"/>
        <v>280</v>
      </c>
      <c r="H309" s="145"/>
      <c r="I309" s="145"/>
      <c r="J309" s="145"/>
      <c r="K309" s="4"/>
    </row>
    <row r="310" spans="1:11" ht="13">
      <c r="A310" s="141"/>
      <c r="B310" s="4"/>
      <c r="C310" s="4" t="s">
        <v>1103</v>
      </c>
      <c r="D310" s="146">
        <v>1</v>
      </c>
      <c r="E310" s="4" t="str">
        <f>VLOOKUP(C310,Master!$B$6:$N$1000,9,FALSE)</f>
        <v>pcs</v>
      </c>
      <c r="F310" s="158">
        <f>VLOOKUP(C310,Master!$B$6:$N$1000,10,FALSE)</f>
        <v>1040</v>
      </c>
      <c r="G310" s="144">
        <f t="shared" si="27"/>
        <v>1040</v>
      </c>
      <c r="H310" s="145"/>
      <c r="I310" s="145"/>
      <c r="J310" s="145"/>
      <c r="K310" s="4"/>
    </row>
    <row r="311" spans="1:11" ht="13">
      <c r="A311" s="141"/>
      <c r="B311" s="4"/>
      <c r="C311" s="4"/>
      <c r="D311" s="145"/>
      <c r="E311" s="4"/>
      <c r="F311" s="159"/>
      <c r="G311" s="121"/>
      <c r="H311" s="145"/>
      <c r="I311" s="145"/>
      <c r="J311" s="145"/>
      <c r="K311" s="4"/>
    </row>
    <row r="312" spans="1:11" ht="13">
      <c r="A312" s="141"/>
      <c r="B312" s="4"/>
      <c r="C312" s="145"/>
      <c r="D312" s="145"/>
      <c r="E312" s="4"/>
      <c r="F312" s="159"/>
      <c r="G312" s="121"/>
      <c r="H312" s="145"/>
      <c r="I312" s="145"/>
      <c r="J312" s="145"/>
      <c r="K312" s="4"/>
    </row>
    <row r="313" spans="1:11" ht="13">
      <c r="A313" s="148"/>
      <c r="B313" s="90"/>
      <c r="C313" s="151"/>
      <c r="D313" s="151"/>
      <c r="E313" s="4"/>
      <c r="F313" s="159"/>
      <c r="G313" s="107"/>
      <c r="H313" s="151"/>
      <c r="I313" s="151"/>
      <c r="J313" s="145"/>
      <c r="K313" s="4"/>
    </row>
    <row r="314" spans="1:11" ht="13">
      <c r="A314" s="134" t="str">
        <f>VLOOKUP(B314,Master!$V$7:$W$150,2,FALSE)</f>
        <v>M0116</v>
      </c>
      <c r="B314" s="135" t="s">
        <v>649</v>
      </c>
      <c r="C314" s="136"/>
      <c r="D314" s="153"/>
      <c r="E314" s="154"/>
      <c r="F314" s="153"/>
      <c r="G314" s="138">
        <f>SUM(G315:G318)</f>
        <v>6631.8629629629631</v>
      </c>
      <c r="H314" s="139">
        <v>0.1</v>
      </c>
      <c r="I314" s="138">
        <f>G314+(G314*H314)</f>
        <v>7295.04925925926</v>
      </c>
      <c r="J314" s="140" t="b">
        <v>0</v>
      </c>
      <c r="K314" s="4"/>
    </row>
    <row r="315" spans="1:11" ht="13">
      <c r="A315" s="141"/>
      <c r="B315" s="4"/>
      <c r="C315" s="4" t="s">
        <v>243</v>
      </c>
      <c r="D315" s="146">
        <v>1</v>
      </c>
      <c r="E315" s="4" t="str">
        <f>VLOOKUP(C315,Master!$B$6:$N$1000,9,FALSE)</f>
        <v>gr/pcs</v>
      </c>
      <c r="F315" s="158">
        <f>VLOOKUP(C315,Master!$B$6:$N$1000,10,FALSE)</f>
        <v>1601.7222222222222</v>
      </c>
      <c r="G315" s="144">
        <f t="shared" ref="G315:G318" si="28">D315*F315</f>
        <v>1601.7222222222222</v>
      </c>
      <c r="H315" s="145"/>
      <c r="I315" s="145"/>
      <c r="J315" s="145"/>
      <c r="K315" s="4"/>
    </row>
    <row r="316" spans="1:11" ht="13">
      <c r="A316" s="141"/>
      <c r="B316" s="4"/>
      <c r="C316" s="4" t="s">
        <v>112</v>
      </c>
      <c r="D316" s="146">
        <v>1</v>
      </c>
      <c r="E316" s="4" t="str">
        <f>VLOOKUP(C316,Master!$B$6:$N$1000,9,FALSE)</f>
        <v>gr/pcs</v>
      </c>
      <c r="F316" s="158">
        <f>VLOOKUP(C316,Master!$B$6:$N$1000,10,FALSE)</f>
        <v>2300.1407407407405</v>
      </c>
      <c r="G316" s="144">
        <f t="shared" si="28"/>
        <v>2300.1407407407405</v>
      </c>
      <c r="H316" s="145"/>
      <c r="I316" s="145"/>
      <c r="J316" s="145"/>
      <c r="K316" s="4"/>
    </row>
    <row r="317" spans="1:11" ht="13">
      <c r="A317" s="141"/>
      <c r="B317" s="4"/>
      <c r="C317" s="4" t="s">
        <v>910</v>
      </c>
      <c r="D317" s="146">
        <v>1</v>
      </c>
      <c r="E317" s="4" t="str">
        <f>VLOOKUP(C317,Master!$B$6:$N$1000,9,FALSE)</f>
        <v>pcs</v>
      </c>
      <c r="F317" s="158">
        <f>VLOOKUP(C317,Master!$B$6:$N$1000,10,FALSE)</f>
        <v>1690</v>
      </c>
      <c r="G317" s="144">
        <f t="shared" si="28"/>
        <v>1690</v>
      </c>
      <c r="H317" s="145"/>
      <c r="I317" s="145"/>
      <c r="J317" s="145"/>
      <c r="K317" s="4"/>
    </row>
    <row r="318" spans="1:11" ht="13">
      <c r="A318" s="141"/>
      <c r="B318" s="4"/>
      <c r="C318" s="4" t="s">
        <v>1103</v>
      </c>
      <c r="D318" s="146">
        <v>1</v>
      </c>
      <c r="E318" s="4" t="str">
        <f>VLOOKUP(C318,Master!$B$6:$N$1000,9,FALSE)</f>
        <v>pcs</v>
      </c>
      <c r="F318" s="158">
        <f>VLOOKUP(C318,Master!$B$6:$N$1000,10,FALSE)</f>
        <v>1040</v>
      </c>
      <c r="G318" s="144">
        <f t="shared" si="28"/>
        <v>1040</v>
      </c>
      <c r="H318" s="145"/>
      <c r="I318" s="145"/>
      <c r="J318" s="145"/>
      <c r="K318" s="4"/>
    </row>
    <row r="319" spans="1:11" ht="13">
      <c r="A319" s="141"/>
      <c r="B319" s="4"/>
      <c r="C319" s="4"/>
      <c r="D319" s="145"/>
      <c r="E319" s="4"/>
      <c r="F319" s="159"/>
      <c r="G319" s="121"/>
      <c r="H319" s="145"/>
      <c r="I319" s="145"/>
      <c r="J319" s="145"/>
      <c r="K319" s="4"/>
    </row>
    <row r="320" spans="1:11" ht="13">
      <c r="A320" s="141"/>
      <c r="B320" s="4"/>
      <c r="C320" s="4"/>
      <c r="D320" s="145"/>
      <c r="E320" s="4"/>
      <c r="F320" s="159"/>
      <c r="G320" s="121"/>
      <c r="H320" s="145"/>
      <c r="I320" s="145"/>
      <c r="J320" s="145"/>
      <c r="K320" s="4"/>
    </row>
    <row r="321" spans="1:11" ht="13">
      <c r="A321" s="141"/>
      <c r="B321" s="4"/>
      <c r="C321" s="4"/>
      <c r="D321" s="145"/>
      <c r="E321" s="4"/>
      <c r="F321" s="159"/>
      <c r="G321" s="121"/>
      <c r="H321" s="145"/>
      <c r="I321" s="145"/>
      <c r="J321" s="145"/>
      <c r="K321" s="4"/>
    </row>
    <row r="322" spans="1:11" ht="13">
      <c r="A322" s="141"/>
      <c r="B322" s="4"/>
      <c r="C322" s="4"/>
      <c r="D322" s="145"/>
      <c r="E322" s="4"/>
      <c r="F322" s="159"/>
      <c r="G322" s="121"/>
      <c r="H322" s="145"/>
      <c r="I322" s="145"/>
      <c r="J322" s="145"/>
      <c r="K322" s="4"/>
    </row>
    <row r="323" spans="1:11" ht="13">
      <c r="A323" s="141"/>
      <c r="B323" s="4"/>
      <c r="C323" s="4"/>
      <c r="D323" s="145"/>
      <c r="E323" s="4"/>
      <c r="F323" s="159"/>
      <c r="G323" s="121"/>
      <c r="H323" s="145"/>
      <c r="I323" s="145"/>
      <c r="J323" s="145"/>
      <c r="K323" s="4"/>
    </row>
    <row r="324" spans="1:11" ht="13">
      <c r="A324" s="141"/>
      <c r="B324" s="4"/>
      <c r="C324" s="145"/>
      <c r="D324" s="145"/>
      <c r="E324" s="4"/>
      <c r="F324" s="159"/>
      <c r="G324" s="121"/>
      <c r="H324" s="145"/>
      <c r="I324" s="145"/>
      <c r="J324" s="145"/>
      <c r="K324" s="4"/>
    </row>
    <row r="325" spans="1:11" ht="13">
      <c r="A325" s="148"/>
      <c r="B325" s="90"/>
      <c r="C325" s="151"/>
      <c r="D325" s="151"/>
      <c r="E325" s="4"/>
      <c r="F325" s="159"/>
      <c r="G325" s="107"/>
      <c r="H325" s="151"/>
      <c r="I325" s="151"/>
      <c r="J325" s="145"/>
      <c r="K325" s="4"/>
    </row>
    <row r="326" spans="1:11" ht="13">
      <c r="A326" s="134" t="str">
        <f>VLOOKUP(B326,Master!$V$7:$W$150,2,FALSE)</f>
        <v>M0117</v>
      </c>
      <c r="B326" s="135" t="s">
        <v>653</v>
      </c>
      <c r="C326" s="136"/>
      <c r="D326" s="153"/>
      <c r="E326" s="154"/>
      <c r="F326" s="153"/>
      <c r="G326" s="138">
        <f>SUM(G327:G330)</f>
        <v>6921.0686159844054</v>
      </c>
      <c r="H326" s="139">
        <v>0.1</v>
      </c>
      <c r="I326" s="138">
        <f>G326+(G326*H326)</f>
        <v>7613.1754775828458</v>
      </c>
      <c r="J326" s="140" t="b">
        <v>0</v>
      </c>
      <c r="K326" s="4"/>
    </row>
    <row r="327" spans="1:11" ht="13">
      <c r="A327" s="141"/>
      <c r="B327" s="4"/>
      <c r="C327" s="4" t="s">
        <v>215</v>
      </c>
      <c r="D327" s="146">
        <v>1</v>
      </c>
      <c r="E327" s="4" t="str">
        <f>VLOOKUP(C327,Master!$B$6:$N$1000,9,FALSE)</f>
        <v>gr</v>
      </c>
      <c r="F327" s="158">
        <f>VLOOKUP(C327,Master!$B$6:$N$1000,10,FALSE)</f>
        <v>1890.9278752436649</v>
      </c>
      <c r="G327" s="144">
        <f t="shared" ref="G327:G330" si="29">D327*F327</f>
        <v>1890.9278752436649</v>
      </c>
      <c r="H327" s="145"/>
      <c r="I327" s="145"/>
      <c r="J327" s="145"/>
      <c r="K327" s="4"/>
    </row>
    <row r="328" spans="1:11" ht="13">
      <c r="A328" s="141"/>
      <c r="B328" s="4"/>
      <c r="C328" s="4" t="s">
        <v>112</v>
      </c>
      <c r="D328" s="146">
        <v>1</v>
      </c>
      <c r="E328" s="4" t="str">
        <f>VLOOKUP(C328,Master!$B$6:$N$1000,9,FALSE)</f>
        <v>gr/pcs</v>
      </c>
      <c r="F328" s="158">
        <f>VLOOKUP(C328,Master!$B$6:$N$1000,10,FALSE)</f>
        <v>2300.1407407407405</v>
      </c>
      <c r="G328" s="144">
        <f t="shared" si="29"/>
        <v>2300.1407407407405</v>
      </c>
      <c r="H328" s="145"/>
      <c r="I328" s="145"/>
      <c r="J328" s="145"/>
      <c r="K328" s="4"/>
    </row>
    <row r="329" spans="1:11" ht="13">
      <c r="A329" s="141"/>
      <c r="B329" s="4"/>
      <c r="C329" s="4" t="s">
        <v>910</v>
      </c>
      <c r="D329" s="146">
        <v>1</v>
      </c>
      <c r="E329" s="4" t="str">
        <f>VLOOKUP(C329,Master!$B$6:$N$1000,9,FALSE)</f>
        <v>pcs</v>
      </c>
      <c r="F329" s="158">
        <f>VLOOKUP(C329,Master!$B$6:$N$1000,10,FALSE)</f>
        <v>1690</v>
      </c>
      <c r="G329" s="144">
        <f t="shared" si="29"/>
        <v>1690</v>
      </c>
      <c r="H329" s="145"/>
      <c r="I329" s="145"/>
      <c r="J329" s="145"/>
      <c r="K329" s="4"/>
    </row>
    <row r="330" spans="1:11" ht="13">
      <c r="A330" s="141"/>
      <c r="B330" s="4"/>
      <c r="C330" s="4" t="s">
        <v>1103</v>
      </c>
      <c r="D330" s="146">
        <v>1</v>
      </c>
      <c r="E330" s="4" t="str">
        <f>VLOOKUP(C330,Master!$B$6:$N$1000,9,FALSE)</f>
        <v>pcs</v>
      </c>
      <c r="F330" s="158">
        <f>VLOOKUP(C330,Master!$B$6:$N$1000,10,FALSE)</f>
        <v>1040</v>
      </c>
      <c r="G330" s="144">
        <f t="shared" si="29"/>
        <v>1040</v>
      </c>
      <c r="H330" s="145"/>
      <c r="I330" s="145"/>
      <c r="J330" s="145"/>
      <c r="K330" s="4"/>
    </row>
    <row r="331" spans="1:11" ht="13">
      <c r="A331" s="141"/>
      <c r="B331" s="4"/>
      <c r="C331" s="4"/>
      <c r="D331" s="145"/>
      <c r="E331" s="4"/>
      <c r="F331" s="159"/>
      <c r="G331" s="121"/>
      <c r="H331" s="145"/>
      <c r="I331" s="145"/>
      <c r="J331" s="145"/>
      <c r="K331" s="4"/>
    </row>
    <row r="332" spans="1:11" ht="13">
      <c r="A332" s="141"/>
      <c r="B332" s="4"/>
      <c r="C332" s="4"/>
      <c r="D332" s="145"/>
      <c r="E332" s="4"/>
      <c r="F332" s="159"/>
      <c r="G332" s="121"/>
      <c r="H332" s="145"/>
      <c r="I332" s="145"/>
      <c r="J332" s="145"/>
      <c r="K332" s="4"/>
    </row>
    <row r="333" spans="1:11" ht="13">
      <c r="A333" s="141"/>
      <c r="B333" s="4"/>
      <c r="C333" s="4"/>
      <c r="D333" s="145"/>
      <c r="E333" s="4"/>
      <c r="F333" s="159"/>
      <c r="G333" s="121"/>
      <c r="H333" s="145"/>
      <c r="I333" s="145"/>
      <c r="J333" s="145"/>
      <c r="K333" s="4"/>
    </row>
    <row r="334" spans="1:11" ht="13">
      <c r="A334" s="141"/>
      <c r="B334" s="4"/>
      <c r="C334" s="4"/>
      <c r="D334" s="145"/>
      <c r="E334" s="4"/>
      <c r="F334" s="159"/>
      <c r="G334" s="121"/>
      <c r="H334" s="145"/>
      <c r="I334" s="145"/>
      <c r="J334" s="145"/>
      <c r="K334" s="4"/>
    </row>
    <row r="335" spans="1:11" ht="13">
      <c r="A335" s="141"/>
      <c r="B335" s="4"/>
      <c r="C335" s="4"/>
      <c r="D335" s="145"/>
      <c r="E335" s="4"/>
      <c r="F335" s="159"/>
      <c r="G335" s="121"/>
      <c r="H335" s="145"/>
      <c r="I335" s="145"/>
      <c r="J335" s="145"/>
      <c r="K335" s="4"/>
    </row>
    <row r="336" spans="1:11" ht="13">
      <c r="A336" s="141"/>
      <c r="B336" s="4"/>
      <c r="C336" s="145"/>
      <c r="D336" s="145"/>
      <c r="E336" s="4"/>
      <c r="F336" s="159"/>
      <c r="G336" s="121"/>
      <c r="H336" s="145"/>
      <c r="I336" s="145"/>
      <c r="J336" s="145"/>
      <c r="K336" s="4"/>
    </row>
    <row r="337" spans="1:11" ht="13">
      <c r="A337" s="148"/>
      <c r="B337" s="90"/>
      <c r="C337" s="151"/>
      <c r="D337" s="151"/>
      <c r="E337" s="4"/>
      <c r="F337" s="159"/>
      <c r="G337" s="107"/>
      <c r="H337" s="151"/>
      <c r="I337" s="151"/>
      <c r="J337" s="145"/>
      <c r="K337" s="4"/>
    </row>
    <row r="338" spans="1:11" ht="13">
      <c r="A338" s="134" t="str">
        <f>VLOOKUP(B338,Master!$V$7:$W$150,2,FALSE)</f>
        <v>M0118</v>
      </c>
      <c r="B338" s="135" t="s">
        <v>657</v>
      </c>
      <c r="C338" s="136"/>
      <c r="D338" s="153"/>
      <c r="E338" s="154"/>
      <c r="F338" s="153"/>
      <c r="G338" s="138">
        <f>SUM(G339:G350)</f>
        <v>12592.722222222223</v>
      </c>
      <c r="H338" s="139">
        <v>0.1</v>
      </c>
      <c r="I338" s="138">
        <f>G338+(G338*H338)</f>
        <v>13851.994444444445</v>
      </c>
      <c r="J338" s="140" t="b">
        <v>0</v>
      </c>
      <c r="K338" s="4"/>
    </row>
    <row r="339" spans="1:11" ht="13">
      <c r="A339" s="141"/>
      <c r="B339" s="4"/>
      <c r="C339" s="4" t="s">
        <v>243</v>
      </c>
      <c r="D339" s="146">
        <v>1</v>
      </c>
      <c r="E339" s="4" t="str">
        <f>VLOOKUP(C339,Master!$B$6:$N$1000,9,FALSE)</f>
        <v>gr/pcs</v>
      </c>
      <c r="F339" s="158">
        <f>VLOOKUP(C339,Master!$B$6:$N$1000,10,FALSE)</f>
        <v>1601.7222222222222</v>
      </c>
      <c r="G339" s="144">
        <f t="shared" ref="G339:G348" si="30">D339*F339</f>
        <v>1601.7222222222222</v>
      </c>
      <c r="H339" s="145"/>
      <c r="I339" s="145"/>
      <c r="J339" s="145"/>
      <c r="K339" s="4"/>
    </row>
    <row r="340" spans="1:11" ht="13">
      <c r="A340" s="141"/>
      <c r="B340" s="4"/>
      <c r="C340" s="4" t="s">
        <v>2038</v>
      </c>
      <c r="D340" s="146">
        <v>20</v>
      </c>
      <c r="E340" s="4" t="str">
        <f>VLOOKUP(C340,Master!$B$6:$N$1000,9,FALSE)</f>
        <v>gr</v>
      </c>
      <c r="F340" s="158">
        <f>VLOOKUP(C340,Master!$B$6:$N$1000,10,FALSE)</f>
        <v>86</v>
      </c>
      <c r="G340" s="144">
        <f t="shared" si="30"/>
        <v>1720</v>
      </c>
      <c r="H340" s="145"/>
      <c r="I340" s="145"/>
      <c r="J340" s="145"/>
      <c r="K340" s="4"/>
    </row>
    <row r="341" spans="1:11" ht="13">
      <c r="A341" s="141"/>
      <c r="B341" s="4"/>
      <c r="C341" s="4" t="s">
        <v>716</v>
      </c>
      <c r="D341" s="146">
        <v>20</v>
      </c>
      <c r="E341" s="4" t="str">
        <f>VLOOKUP(C341,Master!$B$6:$N$1000,9,FALSE)</f>
        <v>gr</v>
      </c>
      <c r="F341" s="158">
        <f>VLOOKUP(C341,Master!$B$6:$N$1000,10,FALSE)</f>
        <v>45</v>
      </c>
      <c r="G341" s="144">
        <f t="shared" si="30"/>
        <v>900</v>
      </c>
      <c r="H341" s="145"/>
      <c r="I341" s="145"/>
      <c r="J341" s="145"/>
      <c r="K341" s="4"/>
    </row>
    <row r="342" spans="1:11" ht="13">
      <c r="A342" s="141"/>
      <c r="B342" s="4"/>
      <c r="C342" s="4" t="s">
        <v>732</v>
      </c>
      <c r="D342" s="146">
        <v>16</v>
      </c>
      <c r="E342" s="4" t="str">
        <f>VLOOKUP(C342,Master!$B$6:$N$1000,9,FALSE)</f>
        <v>gr</v>
      </c>
      <c r="F342" s="158">
        <f>VLOOKUP(C342,Master!$B$6:$N$1000,10,FALSE)</f>
        <v>40</v>
      </c>
      <c r="G342" s="144">
        <f t="shared" si="30"/>
        <v>640</v>
      </c>
      <c r="H342" s="145"/>
      <c r="I342" s="145"/>
      <c r="J342" s="145"/>
      <c r="K342" s="4"/>
    </row>
    <row r="343" spans="1:11" ht="13">
      <c r="A343" s="141"/>
      <c r="B343" s="4"/>
      <c r="C343" s="4" t="s">
        <v>2043</v>
      </c>
      <c r="D343" s="146">
        <v>2</v>
      </c>
      <c r="E343" s="4" t="str">
        <f>VLOOKUP(C343,Master!$B$6:$N$1000,9,FALSE)</f>
        <v>gr</v>
      </c>
      <c r="F343" s="158">
        <f>VLOOKUP(C343,Master!$B$6:$N$1000,10,FALSE)</f>
        <v>38.5</v>
      </c>
      <c r="G343" s="144">
        <f t="shared" si="30"/>
        <v>77</v>
      </c>
      <c r="H343" s="145"/>
      <c r="I343" s="145"/>
      <c r="J343" s="145"/>
      <c r="K343" s="4"/>
    </row>
    <row r="344" spans="1:11" ht="13">
      <c r="A344" s="141"/>
      <c r="B344" s="4"/>
      <c r="C344" s="4" t="s">
        <v>799</v>
      </c>
      <c r="D344" s="146">
        <v>1</v>
      </c>
      <c r="E344" s="4" t="str">
        <f>VLOOKUP(C344,Master!$B$6:$N$1000,9,FALSE)</f>
        <v>gr</v>
      </c>
      <c r="F344" s="158">
        <f>VLOOKUP(C344,Master!$B$6:$N$1000,10,FALSE)</f>
        <v>90</v>
      </c>
      <c r="G344" s="144">
        <f t="shared" si="30"/>
        <v>90</v>
      </c>
      <c r="H344" s="145"/>
      <c r="I344" s="145"/>
      <c r="J344" s="145"/>
      <c r="K344" s="4"/>
    </row>
    <row r="345" spans="1:11" ht="13">
      <c r="A345" s="141"/>
      <c r="B345" s="4"/>
      <c r="C345" s="4" t="s">
        <v>720</v>
      </c>
      <c r="D345" s="146">
        <v>1</v>
      </c>
      <c r="E345" s="4" t="str">
        <f>VLOOKUP(C345,Master!$B$6:$N$1000,9,FALSE)</f>
        <v>gr</v>
      </c>
      <c r="F345" s="158">
        <f>VLOOKUP(C345,Master!$B$6:$N$1000,10,FALSE)</f>
        <v>280</v>
      </c>
      <c r="G345" s="144">
        <f t="shared" si="30"/>
        <v>280</v>
      </c>
      <c r="H345" s="145"/>
      <c r="I345" s="145"/>
      <c r="J345" s="145"/>
      <c r="K345" s="4"/>
    </row>
    <row r="346" spans="1:11" ht="13">
      <c r="A346" s="141"/>
      <c r="B346" s="4"/>
      <c r="C346" s="4" t="s">
        <v>153</v>
      </c>
      <c r="D346" s="146">
        <v>1</v>
      </c>
      <c r="E346" s="4" t="str">
        <f>VLOOKUP(C346,Master!$B$6:$N$1000,9,FALSE)</f>
        <v>gr</v>
      </c>
      <c r="F346" s="158">
        <f>VLOOKUP(C346,Master!$B$6:$N$1000,10,FALSE)</f>
        <v>4554</v>
      </c>
      <c r="G346" s="144">
        <f t="shared" si="30"/>
        <v>4554</v>
      </c>
      <c r="H346" s="145"/>
      <c r="I346" s="145"/>
      <c r="J346" s="145"/>
      <c r="K346" s="4"/>
    </row>
    <row r="347" spans="1:11" ht="13">
      <c r="A347" s="141"/>
      <c r="B347" s="4"/>
      <c r="C347" s="4" t="s">
        <v>910</v>
      </c>
      <c r="D347" s="146">
        <v>1</v>
      </c>
      <c r="E347" s="4" t="str">
        <f>VLOOKUP(C347,Master!$B$6:$N$1000,9,FALSE)</f>
        <v>pcs</v>
      </c>
      <c r="F347" s="158">
        <f>VLOOKUP(C347,Master!$B$6:$N$1000,10,FALSE)</f>
        <v>1690</v>
      </c>
      <c r="G347" s="144">
        <f t="shared" si="30"/>
        <v>1690</v>
      </c>
      <c r="H347" s="145"/>
      <c r="I347" s="145"/>
      <c r="J347" s="145"/>
      <c r="K347" s="4"/>
    </row>
    <row r="348" spans="1:11" ht="13">
      <c r="A348" s="141"/>
      <c r="B348" s="4"/>
      <c r="C348" s="4" t="s">
        <v>1103</v>
      </c>
      <c r="D348" s="146">
        <v>1</v>
      </c>
      <c r="E348" s="4" t="str">
        <f>VLOOKUP(C348,Master!$B$6:$N$1000,9,FALSE)</f>
        <v>pcs</v>
      </c>
      <c r="F348" s="158">
        <f>VLOOKUP(C348,Master!$B$6:$N$1000,10,FALSE)</f>
        <v>1040</v>
      </c>
      <c r="G348" s="144">
        <f t="shared" si="30"/>
        <v>1040</v>
      </c>
      <c r="H348" s="145"/>
      <c r="I348" s="145"/>
      <c r="J348" s="145"/>
      <c r="K348" s="4"/>
    </row>
    <row r="349" spans="1:11" ht="13">
      <c r="A349" s="141"/>
      <c r="B349" s="4"/>
      <c r="C349" s="145"/>
      <c r="D349" s="145"/>
      <c r="E349" s="4"/>
      <c r="F349" s="159"/>
      <c r="G349" s="121"/>
      <c r="H349" s="145"/>
      <c r="I349" s="145"/>
      <c r="J349" s="145"/>
      <c r="K349" s="4"/>
    </row>
    <row r="350" spans="1:11" ht="13">
      <c r="A350" s="148"/>
      <c r="B350" s="90"/>
      <c r="C350" s="151"/>
      <c r="D350" s="151"/>
      <c r="E350" s="4"/>
      <c r="F350" s="159"/>
      <c r="G350" s="107"/>
      <c r="H350" s="151"/>
      <c r="I350" s="151"/>
      <c r="J350" s="145"/>
      <c r="K350" s="4"/>
    </row>
    <row r="351" spans="1:11" ht="13">
      <c r="A351" s="134" t="str">
        <f>VLOOKUP(B351,Master!$V$7:$W$150,2,FALSE)</f>
        <v>M0119</v>
      </c>
      <c r="B351" s="135" t="s">
        <v>661</v>
      </c>
      <c r="C351" s="136"/>
      <c r="D351" s="153"/>
      <c r="E351" s="154"/>
      <c r="F351" s="153"/>
      <c r="G351" s="138">
        <f>SUM(G352:G363)</f>
        <v>12881.927875243666</v>
      </c>
      <c r="H351" s="139">
        <v>0.1</v>
      </c>
      <c r="I351" s="138">
        <f>G351+(G351*H351)</f>
        <v>14170.120662768033</v>
      </c>
      <c r="J351" s="140" t="b">
        <v>0</v>
      </c>
      <c r="K351" s="4"/>
    </row>
    <row r="352" spans="1:11" ht="13">
      <c r="A352" s="141"/>
      <c r="B352" s="4"/>
      <c r="C352" s="4" t="s">
        <v>215</v>
      </c>
      <c r="D352" s="146">
        <v>1</v>
      </c>
      <c r="E352" s="4" t="str">
        <f>VLOOKUP(C352,Master!$B$6:$N$1000,9,FALSE)</f>
        <v>gr</v>
      </c>
      <c r="F352" s="158">
        <f>VLOOKUP(C352,Master!$B$6:$N$1000,10,FALSE)</f>
        <v>1890.9278752436649</v>
      </c>
      <c r="G352" s="144">
        <f t="shared" ref="G352:G361" si="31">D352*F352</f>
        <v>1890.9278752436649</v>
      </c>
      <c r="H352" s="145"/>
      <c r="I352" s="145"/>
      <c r="J352" s="145"/>
      <c r="K352" s="4"/>
    </row>
    <row r="353" spans="1:11" ht="13">
      <c r="A353" s="141"/>
      <c r="B353" s="4"/>
      <c r="C353" s="4" t="s">
        <v>2038</v>
      </c>
      <c r="D353" s="146">
        <v>20</v>
      </c>
      <c r="E353" s="4" t="str">
        <f>VLOOKUP(C353,Master!$B$6:$N$1000,9,FALSE)</f>
        <v>gr</v>
      </c>
      <c r="F353" s="158">
        <f>VLOOKUP(C353,Master!$B$6:$N$1000,10,FALSE)</f>
        <v>86</v>
      </c>
      <c r="G353" s="144">
        <f t="shared" si="31"/>
        <v>1720</v>
      </c>
      <c r="H353" s="145"/>
      <c r="I353" s="145"/>
      <c r="J353" s="145"/>
      <c r="K353" s="4"/>
    </row>
    <row r="354" spans="1:11" ht="13">
      <c r="A354" s="141"/>
      <c r="B354" s="4"/>
      <c r="C354" s="4" t="s">
        <v>716</v>
      </c>
      <c r="D354" s="146">
        <v>20</v>
      </c>
      <c r="E354" s="4" t="str">
        <f>VLOOKUP(C354,Master!$B$6:$N$1000,9,FALSE)</f>
        <v>gr</v>
      </c>
      <c r="F354" s="158">
        <f>VLOOKUP(C354,Master!$B$6:$N$1000,10,FALSE)</f>
        <v>45</v>
      </c>
      <c r="G354" s="144">
        <f t="shared" si="31"/>
        <v>900</v>
      </c>
      <c r="H354" s="145"/>
      <c r="I354" s="145"/>
      <c r="J354" s="145"/>
      <c r="K354" s="4"/>
    </row>
    <row r="355" spans="1:11" ht="13">
      <c r="A355" s="141"/>
      <c r="B355" s="4"/>
      <c r="C355" s="4" t="s">
        <v>732</v>
      </c>
      <c r="D355" s="146">
        <v>16</v>
      </c>
      <c r="E355" s="4" t="str">
        <f>VLOOKUP(C355,Master!$B$6:$N$1000,9,FALSE)</f>
        <v>gr</v>
      </c>
      <c r="F355" s="158">
        <f>VLOOKUP(C355,Master!$B$6:$N$1000,10,FALSE)</f>
        <v>40</v>
      </c>
      <c r="G355" s="144">
        <f t="shared" si="31"/>
        <v>640</v>
      </c>
      <c r="H355" s="145"/>
      <c r="I355" s="145"/>
      <c r="J355" s="145"/>
      <c r="K355" s="4"/>
    </row>
    <row r="356" spans="1:11" ht="13">
      <c r="A356" s="141"/>
      <c r="B356" s="4"/>
      <c r="C356" s="4" t="s">
        <v>2043</v>
      </c>
      <c r="D356" s="146">
        <v>2</v>
      </c>
      <c r="E356" s="4" t="str">
        <f>VLOOKUP(C356,Master!$B$6:$N$1000,9,FALSE)</f>
        <v>gr</v>
      </c>
      <c r="F356" s="158">
        <f>VLOOKUP(C356,Master!$B$6:$N$1000,10,FALSE)</f>
        <v>38.5</v>
      </c>
      <c r="G356" s="144">
        <f t="shared" si="31"/>
        <v>77</v>
      </c>
      <c r="H356" s="145"/>
      <c r="I356" s="145"/>
      <c r="J356" s="145"/>
      <c r="K356" s="4"/>
    </row>
    <row r="357" spans="1:11" ht="13">
      <c r="A357" s="141"/>
      <c r="B357" s="4"/>
      <c r="C357" s="4" t="s">
        <v>799</v>
      </c>
      <c r="D357" s="146">
        <v>1</v>
      </c>
      <c r="E357" s="4" t="str">
        <f>VLOOKUP(C357,Master!$B$6:$N$1000,9,FALSE)</f>
        <v>gr</v>
      </c>
      <c r="F357" s="158">
        <f>VLOOKUP(C357,Master!$B$6:$N$1000,10,FALSE)</f>
        <v>90</v>
      </c>
      <c r="G357" s="144">
        <f t="shared" si="31"/>
        <v>90</v>
      </c>
      <c r="H357" s="145"/>
      <c r="I357" s="145"/>
      <c r="J357" s="145"/>
      <c r="K357" s="4"/>
    </row>
    <row r="358" spans="1:11" ht="13">
      <c r="A358" s="141"/>
      <c r="B358" s="4"/>
      <c r="C358" s="4" t="s">
        <v>720</v>
      </c>
      <c r="D358" s="146">
        <v>1</v>
      </c>
      <c r="E358" s="4" t="str">
        <f>VLOOKUP(C358,Master!$B$6:$N$1000,9,FALSE)</f>
        <v>gr</v>
      </c>
      <c r="F358" s="158">
        <f>VLOOKUP(C358,Master!$B$6:$N$1000,10,FALSE)</f>
        <v>280</v>
      </c>
      <c r="G358" s="144">
        <f t="shared" si="31"/>
        <v>280</v>
      </c>
      <c r="H358" s="145"/>
      <c r="I358" s="145"/>
      <c r="J358" s="145"/>
      <c r="K358" s="4"/>
    </row>
    <row r="359" spans="1:11" ht="13">
      <c r="A359" s="141"/>
      <c r="B359" s="4"/>
      <c r="C359" s="4" t="s">
        <v>153</v>
      </c>
      <c r="D359" s="146">
        <v>1</v>
      </c>
      <c r="E359" s="4" t="str">
        <f>VLOOKUP(C359,Master!$B$6:$N$1000,9,FALSE)</f>
        <v>gr</v>
      </c>
      <c r="F359" s="158">
        <f>VLOOKUP(C359,Master!$B$6:$N$1000,10,FALSE)</f>
        <v>4554</v>
      </c>
      <c r="G359" s="144">
        <f t="shared" si="31"/>
        <v>4554</v>
      </c>
      <c r="H359" s="145"/>
      <c r="I359" s="145"/>
      <c r="J359" s="145"/>
      <c r="K359" s="4"/>
    </row>
    <row r="360" spans="1:11" ht="13">
      <c r="A360" s="141"/>
      <c r="B360" s="4"/>
      <c r="C360" s="4" t="s">
        <v>910</v>
      </c>
      <c r="D360" s="146">
        <v>1</v>
      </c>
      <c r="E360" s="4" t="str">
        <f>VLOOKUP(C360,Master!$B$6:$N$1000,9,FALSE)</f>
        <v>pcs</v>
      </c>
      <c r="F360" s="158">
        <f>VLOOKUP(C360,Master!$B$6:$N$1000,10,FALSE)</f>
        <v>1690</v>
      </c>
      <c r="G360" s="144">
        <f t="shared" si="31"/>
        <v>1690</v>
      </c>
      <c r="H360" s="145"/>
      <c r="I360" s="145"/>
      <c r="J360" s="145"/>
      <c r="K360" s="4"/>
    </row>
    <row r="361" spans="1:11" ht="13">
      <c r="A361" s="141"/>
      <c r="B361" s="4"/>
      <c r="C361" s="4" t="s">
        <v>1103</v>
      </c>
      <c r="D361" s="146">
        <v>1</v>
      </c>
      <c r="E361" s="4" t="str">
        <f>VLOOKUP(C361,Master!$B$6:$N$1000,9,FALSE)</f>
        <v>pcs</v>
      </c>
      <c r="F361" s="158">
        <f>VLOOKUP(C361,Master!$B$6:$N$1000,10,FALSE)</f>
        <v>1040</v>
      </c>
      <c r="G361" s="144">
        <f t="shared" si="31"/>
        <v>1040</v>
      </c>
      <c r="H361" s="145"/>
      <c r="I361" s="145"/>
      <c r="J361" s="145"/>
      <c r="K361" s="4"/>
    </row>
    <row r="362" spans="1:11" ht="13">
      <c r="A362" s="141"/>
      <c r="B362" s="4"/>
      <c r="C362" s="145"/>
      <c r="D362" s="145"/>
      <c r="E362" s="4"/>
      <c r="F362" s="159"/>
      <c r="G362" s="121"/>
      <c r="H362" s="145"/>
      <c r="I362" s="145"/>
      <c r="J362" s="145"/>
      <c r="K362" s="4"/>
    </row>
    <row r="363" spans="1:11" ht="13">
      <c r="A363" s="148"/>
      <c r="B363" s="90"/>
      <c r="C363" s="151"/>
      <c r="D363" s="151"/>
      <c r="E363" s="4"/>
      <c r="F363" s="159"/>
      <c r="G363" s="107"/>
      <c r="H363" s="151"/>
      <c r="I363" s="151"/>
      <c r="J363" s="145"/>
      <c r="K363" s="4"/>
    </row>
    <row r="364" spans="1:11" ht="13">
      <c r="A364" s="134" t="str">
        <f>VLOOKUP(B364,Master!$V$7:$W$150,2,FALSE)</f>
        <v>M0121</v>
      </c>
      <c r="B364" s="135" t="s">
        <v>669</v>
      </c>
      <c r="C364" s="136"/>
      <c r="D364" s="153"/>
      <c r="E364" s="154"/>
      <c r="F364" s="153"/>
      <c r="G364" s="138">
        <f>SUM(G365:G381)</f>
        <v>8125.723297256749</v>
      </c>
      <c r="H364" s="139">
        <v>0.1</v>
      </c>
      <c r="I364" s="138">
        <f>G364+(G364*H364)</f>
        <v>8938.2956269824244</v>
      </c>
      <c r="J364" s="140" t="b">
        <v>0</v>
      </c>
      <c r="K364" s="4"/>
    </row>
    <row r="365" spans="1:11" ht="13">
      <c r="A365" s="141"/>
      <c r="B365" s="4"/>
      <c r="C365" s="4" t="s">
        <v>251</v>
      </c>
      <c r="D365" s="146">
        <v>1</v>
      </c>
      <c r="E365" s="4" t="str">
        <f>VLOOKUP(C365,Master!$B$6:$N$1000,9,FALSE)</f>
        <v>Porsi</v>
      </c>
      <c r="F365" s="158">
        <f>VLOOKUP(C365,Master!$B$6:$N$1000,10,FALSE)</f>
        <v>1093.9890710382513</v>
      </c>
      <c r="G365" s="144">
        <f t="shared" ref="G365:G375" si="32">D365*F365</f>
        <v>1093.9890710382513</v>
      </c>
      <c r="H365" s="145"/>
      <c r="I365" s="145"/>
      <c r="J365" s="145"/>
      <c r="K365" s="4"/>
    </row>
    <row r="366" spans="1:11" ht="13">
      <c r="A366" s="141"/>
      <c r="B366" s="4"/>
      <c r="C366" s="4" t="s">
        <v>293</v>
      </c>
      <c r="D366" s="146">
        <v>1</v>
      </c>
      <c r="E366" s="4" t="str">
        <f>VLOOKUP(C366,Master!$B$6:$N$1000,9,FALSE)</f>
        <v>gr/pcs</v>
      </c>
      <c r="F366" s="158">
        <f>VLOOKUP(C366,Master!$B$6:$N$1000,10,FALSE)</f>
        <v>864.65116279069764</v>
      </c>
      <c r="G366" s="144">
        <f t="shared" si="32"/>
        <v>864.65116279069764</v>
      </c>
      <c r="H366" s="145"/>
      <c r="I366" s="145"/>
      <c r="J366" s="145"/>
      <c r="K366" s="4"/>
    </row>
    <row r="367" spans="1:11" ht="13">
      <c r="A367" s="141"/>
      <c r="B367" s="4"/>
      <c r="C367" s="4" t="s">
        <v>26</v>
      </c>
      <c r="D367" s="146">
        <v>1</v>
      </c>
      <c r="E367" s="4" t="str">
        <f>VLOOKUP(C367,Master!$B$6:$N$1000,9,FALSE)</f>
        <v>ml</v>
      </c>
      <c r="F367" s="158">
        <f>VLOOKUP(C367,Master!$B$6:$N$1000,10,FALSE)</f>
        <v>321.82692307692309</v>
      </c>
      <c r="G367" s="144">
        <f t="shared" si="32"/>
        <v>321.82692307692309</v>
      </c>
      <c r="H367" s="145"/>
      <c r="I367" s="145"/>
      <c r="J367" s="145"/>
      <c r="K367" s="4"/>
    </row>
    <row r="368" spans="1:11" ht="13">
      <c r="A368" s="141"/>
      <c r="B368" s="4"/>
      <c r="C368" s="4" t="s">
        <v>659</v>
      </c>
      <c r="D368" s="146">
        <v>1</v>
      </c>
      <c r="E368" s="4" t="str">
        <f>VLOOKUP(C368,Master!$B$6:$N$1000,9,FALSE)</f>
        <v>pcs</v>
      </c>
      <c r="F368" s="158">
        <f>VLOOKUP(C368,Master!$B$6:$N$1000,10,FALSE)</f>
        <v>1866.6666666666667</v>
      </c>
      <c r="G368" s="144">
        <f t="shared" si="32"/>
        <v>1866.6666666666667</v>
      </c>
      <c r="H368" s="145"/>
      <c r="I368" s="145"/>
      <c r="J368" s="145"/>
      <c r="K368" s="4"/>
    </row>
    <row r="369" spans="1:11" ht="13">
      <c r="A369" s="141"/>
      <c r="B369" s="4"/>
      <c r="C369" s="4" t="s">
        <v>732</v>
      </c>
      <c r="D369" s="146">
        <v>16</v>
      </c>
      <c r="E369" s="4" t="str">
        <f>VLOOKUP(C369,Master!$B$6:$N$1000,9,FALSE)</f>
        <v>gr</v>
      </c>
      <c r="F369" s="158">
        <f>VLOOKUP(C369,Master!$B$6:$N$1000,10,FALSE)</f>
        <v>40</v>
      </c>
      <c r="G369" s="144">
        <f t="shared" si="32"/>
        <v>640</v>
      </c>
      <c r="H369" s="145"/>
      <c r="I369" s="145"/>
      <c r="J369" s="145"/>
      <c r="K369" s="4"/>
    </row>
    <row r="370" spans="1:11" ht="13">
      <c r="A370" s="141"/>
      <c r="B370" s="4"/>
      <c r="C370" s="4" t="s">
        <v>735</v>
      </c>
      <c r="D370" s="146">
        <v>5</v>
      </c>
      <c r="E370" s="4" t="str">
        <f>VLOOKUP(C370,Master!$B$6:$N$1000,9,FALSE)</f>
        <v>gr</v>
      </c>
      <c r="F370" s="158">
        <f>VLOOKUP(C370,Master!$B$6:$N$1000,10,FALSE)</f>
        <v>75</v>
      </c>
      <c r="G370" s="144">
        <f t="shared" si="32"/>
        <v>375</v>
      </c>
      <c r="H370" s="145"/>
      <c r="I370" s="145"/>
      <c r="J370" s="145"/>
      <c r="K370" s="4"/>
    </row>
    <row r="371" spans="1:11" ht="13">
      <c r="A371" s="141"/>
      <c r="B371" s="4"/>
      <c r="C371" s="4" t="s">
        <v>2043</v>
      </c>
      <c r="D371" s="146">
        <v>2</v>
      </c>
      <c r="E371" s="4" t="str">
        <f>VLOOKUP(C371,Master!$B$6:$N$1000,9,FALSE)</f>
        <v>gr</v>
      </c>
      <c r="F371" s="158">
        <f>VLOOKUP(C371,Master!$B$6:$N$1000,10,FALSE)</f>
        <v>38.5</v>
      </c>
      <c r="G371" s="144">
        <f t="shared" si="32"/>
        <v>77</v>
      </c>
      <c r="H371" s="145"/>
      <c r="I371" s="145"/>
      <c r="J371" s="145"/>
      <c r="K371" s="4"/>
    </row>
    <row r="372" spans="1:11" ht="13">
      <c r="A372" s="141"/>
      <c r="B372" s="4"/>
      <c r="C372" s="4" t="s">
        <v>799</v>
      </c>
      <c r="D372" s="146">
        <v>2</v>
      </c>
      <c r="E372" s="4" t="str">
        <f>VLOOKUP(C372,Master!$B$6:$N$1000,9,FALSE)</f>
        <v>gr</v>
      </c>
      <c r="F372" s="158">
        <f>VLOOKUP(C372,Master!$B$6:$N$1000,10,FALSE)</f>
        <v>90</v>
      </c>
      <c r="G372" s="144">
        <f t="shared" si="32"/>
        <v>180</v>
      </c>
      <c r="H372" s="145"/>
      <c r="I372" s="145"/>
      <c r="J372" s="145"/>
      <c r="K372" s="4"/>
    </row>
    <row r="373" spans="1:11" ht="13">
      <c r="A373" s="141"/>
      <c r="B373" s="4"/>
      <c r="C373" s="4" t="s">
        <v>259</v>
      </c>
      <c r="D373" s="146">
        <v>1</v>
      </c>
      <c r="E373" s="4" t="str">
        <f>VLOOKUP(C373,Master!$B$6:$N$1000,9,FALSE)</f>
        <v>gr</v>
      </c>
      <c r="F373" s="158">
        <f>VLOOKUP(C373,Master!$B$6:$N$1000,10,FALSE)</f>
        <v>1114.5894736842106</v>
      </c>
      <c r="G373" s="144">
        <f t="shared" si="32"/>
        <v>1114.5894736842106</v>
      </c>
      <c r="H373" s="145"/>
      <c r="I373" s="145"/>
      <c r="J373" s="145"/>
      <c r="K373" s="4"/>
    </row>
    <row r="374" spans="1:11" ht="13">
      <c r="A374" s="141"/>
      <c r="B374" s="4"/>
      <c r="C374" s="4" t="s">
        <v>931</v>
      </c>
      <c r="D374" s="146">
        <v>30</v>
      </c>
      <c r="E374" s="4" t="str">
        <f>VLOOKUP(C374,Master!$B$6:$N$1000,9,FALSE)</f>
        <v>gr</v>
      </c>
      <c r="F374" s="158">
        <f>VLOOKUP(C374,Master!$B$6:$N$1000,10,FALSE)</f>
        <v>18.399999999999999</v>
      </c>
      <c r="G374" s="144">
        <f t="shared" si="32"/>
        <v>552</v>
      </c>
      <c r="H374" s="145"/>
      <c r="I374" s="145"/>
      <c r="J374" s="145"/>
      <c r="K374" s="4"/>
    </row>
    <row r="375" spans="1:11" ht="13">
      <c r="A375" s="141"/>
      <c r="B375" s="4"/>
      <c r="C375" s="4" t="s">
        <v>1103</v>
      </c>
      <c r="D375" s="146">
        <v>1</v>
      </c>
      <c r="E375" s="4" t="str">
        <f>VLOOKUP(C375,Master!$B$6:$N$1000,9,FALSE)</f>
        <v>pcs</v>
      </c>
      <c r="F375" s="158">
        <f>VLOOKUP(C375,Master!$B$6:$N$1000,10,FALSE)</f>
        <v>1040</v>
      </c>
      <c r="G375" s="144">
        <f t="shared" si="32"/>
        <v>1040</v>
      </c>
      <c r="H375" s="145"/>
      <c r="I375" s="145"/>
      <c r="J375" s="145"/>
      <c r="K375" s="4"/>
    </row>
    <row r="376" spans="1:11" ht="13">
      <c r="A376" s="141"/>
      <c r="B376" s="4"/>
      <c r="C376" s="4"/>
      <c r="D376" s="145"/>
      <c r="E376" s="4"/>
      <c r="F376" s="159"/>
      <c r="G376" s="121"/>
      <c r="H376" s="145"/>
      <c r="I376" s="145"/>
      <c r="J376" s="145"/>
      <c r="K376" s="4"/>
    </row>
    <row r="377" spans="1:11" ht="13">
      <c r="A377" s="141"/>
      <c r="B377" s="4"/>
      <c r="C377" s="4"/>
      <c r="D377" s="145"/>
      <c r="E377" s="4"/>
      <c r="F377" s="159"/>
      <c r="G377" s="121"/>
      <c r="H377" s="145"/>
      <c r="I377" s="145"/>
      <c r="J377" s="145"/>
      <c r="K377" s="4"/>
    </row>
    <row r="378" spans="1:11" ht="13">
      <c r="A378" s="141"/>
      <c r="B378" s="4"/>
      <c r="C378" s="4"/>
      <c r="D378" s="145"/>
      <c r="E378" s="4"/>
      <c r="F378" s="159"/>
      <c r="G378" s="121"/>
      <c r="H378" s="145"/>
      <c r="I378" s="145"/>
      <c r="J378" s="145"/>
      <c r="K378" s="4"/>
    </row>
    <row r="379" spans="1:11" ht="13">
      <c r="A379" s="141"/>
      <c r="B379" s="4"/>
      <c r="C379" s="4"/>
      <c r="D379" s="145"/>
      <c r="E379" s="4"/>
      <c r="F379" s="159"/>
      <c r="G379" s="121"/>
      <c r="H379" s="145"/>
      <c r="I379" s="145"/>
      <c r="J379" s="145"/>
      <c r="K379" s="4"/>
    </row>
    <row r="380" spans="1:11" ht="13">
      <c r="A380" s="141"/>
      <c r="B380" s="4"/>
      <c r="C380" s="145"/>
      <c r="D380" s="145"/>
      <c r="E380" s="4"/>
      <c r="F380" s="159"/>
      <c r="G380" s="121"/>
      <c r="H380" s="145"/>
      <c r="I380" s="145"/>
      <c r="J380" s="145"/>
      <c r="K380" s="4"/>
    </row>
    <row r="381" spans="1:11" ht="13">
      <c r="A381" s="148"/>
      <c r="B381" s="90"/>
      <c r="C381" s="151"/>
      <c r="D381" s="151"/>
      <c r="E381" s="4"/>
      <c r="F381" s="159"/>
      <c r="G381" s="107"/>
      <c r="H381" s="151"/>
      <c r="I381" s="151"/>
      <c r="J381" s="145"/>
      <c r="K381" s="4"/>
    </row>
    <row r="382" spans="1:11" ht="13">
      <c r="A382" s="134" t="str">
        <f>VLOOKUP(B382,Master!$V$7:$W$150,2,FALSE)</f>
        <v>M0122</v>
      </c>
      <c r="B382" s="135" t="s">
        <v>673</v>
      </c>
      <c r="C382" s="136"/>
      <c r="D382" s="153"/>
      <c r="E382" s="154"/>
      <c r="F382" s="153"/>
      <c r="G382" s="138">
        <f>SUM(G383:G388)</f>
        <v>15099.181602339182</v>
      </c>
      <c r="H382" s="139">
        <v>0.1</v>
      </c>
      <c r="I382" s="138">
        <f>G382+(G382*H382)</f>
        <v>16609.0997625731</v>
      </c>
      <c r="J382" s="140" t="b">
        <v>0</v>
      </c>
      <c r="K382" s="4"/>
    </row>
    <row r="383" spans="1:11" ht="13">
      <c r="A383" s="141"/>
      <c r="B383" s="4"/>
      <c r="C383" s="4" t="s">
        <v>145</v>
      </c>
      <c r="D383" s="146">
        <v>1</v>
      </c>
      <c r="E383" s="4" t="str">
        <f>VLOOKUP(C383,Master!$B$6:$N$1000,9,FALSE)</f>
        <v>gr</v>
      </c>
      <c r="F383" s="158">
        <f>VLOOKUP(C383,Master!$B$6:$N$1000,10,FALSE)</f>
        <v>2108.7128654970761</v>
      </c>
      <c r="G383" s="144">
        <f t="shared" ref="G383:G388" si="33">D383*F383</f>
        <v>2108.7128654970761</v>
      </c>
      <c r="H383" s="145"/>
      <c r="I383" s="145"/>
      <c r="J383" s="145"/>
      <c r="K383" s="4"/>
    </row>
    <row r="384" spans="1:11" ht="13">
      <c r="A384" s="141"/>
      <c r="B384" s="4"/>
      <c r="C384" s="4" t="s">
        <v>2038</v>
      </c>
      <c r="D384" s="146">
        <v>40</v>
      </c>
      <c r="E384" s="4" t="str">
        <f>VLOOKUP(C384,Master!$B$6:$N$1000,9,FALSE)</f>
        <v>gr</v>
      </c>
      <c r="F384" s="158">
        <f>VLOOKUP(C384,Master!$B$6:$N$1000,10,FALSE)</f>
        <v>86</v>
      </c>
      <c r="G384" s="144">
        <f t="shared" si="33"/>
        <v>3440</v>
      </c>
      <c r="H384" s="145"/>
      <c r="I384" s="145"/>
      <c r="J384" s="145"/>
      <c r="K384" s="4"/>
    </row>
    <row r="385" spans="1:11" ht="13">
      <c r="A385" s="141"/>
      <c r="B385" s="4"/>
      <c r="C385" s="4" t="s">
        <v>2063</v>
      </c>
      <c r="D385" s="146">
        <v>50</v>
      </c>
      <c r="E385" s="4" t="str">
        <f>VLOOKUP(C385,Master!$B$6:$N$1000,9,FALSE)</f>
        <v>gr</v>
      </c>
      <c r="F385" s="158">
        <f>VLOOKUP(C385,Master!$B$6:$N$1000,10,FALSE)</f>
        <v>108</v>
      </c>
      <c r="G385" s="144">
        <f t="shared" si="33"/>
        <v>5400</v>
      </c>
      <c r="H385" s="145"/>
      <c r="I385" s="145"/>
      <c r="J385" s="145"/>
      <c r="K385" s="4"/>
    </row>
    <row r="386" spans="1:11" ht="13">
      <c r="A386" s="141"/>
      <c r="B386" s="4"/>
      <c r="C386" s="4" t="s">
        <v>236</v>
      </c>
      <c r="D386" s="146">
        <v>1</v>
      </c>
      <c r="E386" s="4" t="str">
        <f>VLOOKUP(C386,Master!$B$6:$N$1000,9,FALSE)</f>
        <v>gr</v>
      </c>
      <c r="F386" s="158">
        <f>VLOOKUP(C386,Master!$B$6:$N$1000,10,FALSE)</f>
        <v>500.46873684210522</v>
      </c>
      <c r="G386" s="144">
        <f t="shared" si="33"/>
        <v>500.46873684210522</v>
      </c>
      <c r="H386" s="145"/>
      <c r="I386" s="145"/>
      <c r="J386" s="145"/>
      <c r="K386" s="4"/>
    </row>
    <row r="387" spans="1:11" ht="13">
      <c r="A387" s="141"/>
      <c r="B387" s="4"/>
      <c r="C387" s="145" t="s">
        <v>1156</v>
      </c>
      <c r="D387" s="146">
        <v>3</v>
      </c>
      <c r="E387" s="4" t="str">
        <f>VLOOKUP(C387,Master!$B$6:$N$1000,9,FALSE)</f>
        <v>gr</v>
      </c>
      <c r="F387" s="158">
        <f>VLOOKUP(C387,Master!$B$6:$N$1000,10,FALSE)</f>
        <v>250</v>
      </c>
      <c r="G387" s="144">
        <f t="shared" si="33"/>
        <v>750</v>
      </c>
      <c r="H387" s="145"/>
      <c r="I387" s="145"/>
      <c r="J387" s="145"/>
      <c r="K387" s="4"/>
    </row>
    <row r="388" spans="1:11" ht="13">
      <c r="A388" s="148"/>
      <c r="B388" s="90"/>
      <c r="C388" s="151" t="s">
        <v>1198</v>
      </c>
      <c r="D388" s="149">
        <v>1</v>
      </c>
      <c r="E388" s="4" t="str">
        <f>VLOOKUP(C388,Master!$B$6:$N$1000,9,FALSE)</f>
        <v>pcs</v>
      </c>
      <c r="F388" s="158">
        <f>VLOOKUP(C388,Master!$B$6:$N$1000,10,FALSE)</f>
        <v>2900</v>
      </c>
      <c r="G388" s="144">
        <f t="shared" si="33"/>
        <v>2900</v>
      </c>
      <c r="H388" s="151"/>
      <c r="I388" s="151"/>
      <c r="J388" s="145"/>
      <c r="K388" s="4"/>
    </row>
    <row r="389" spans="1:11" ht="13">
      <c r="A389" s="134" t="str">
        <f>VLOOKUP(B389,Master!$V$7:$W$150,2,FALSE)</f>
        <v>M0123</v>
      </c>
      <c r="B389" s="135" t="s">
        <v>678</v>
      </c>
      <c r="C389" s="136"/>
      <c r="D389" s="153"/>
      <c r="E389" s="154"/>
      <c r="F389" s="153"/>
      <c r="G389" s="138">
        <f>SUM(G390:G394)</f>
        <v>10909.18160233918</v>
      </c>
      <c r="H389" s="139">
        <v>0.1</v>
      </c>
      <c r="I389" s="138">
        <f>G389+(G389*H389)</f>
        <v>12000.099762573098</v>
      </c>
      <c r="J389" s="140" t="b">
        <v>0</v>
      </c>
      <c r="K389" s="4"/>
    </row>
    <row r="390" spans="1:11" ht="13">
      <c r="A390" s="141"/>
      <c r="B390" s="4"/>
      <c r="C390" s="4" t="s">
        <v>145</v>
      </c>
      <c r="D390" s="146">
        <v>1</v>
      </c>
      <c r="E390" s="4" t="str">
        <f>VLOOKUP(C390,Master!$B$6:$N$1000,9,FALSE)</f>
        <v>gr</v>
      </c>
      <c r="F390" s="158">
        <f>VLOOKUP(C390,Master!$B$6:$N$1000,10,FALSE)</f>
        <v>2108.7128654970761</v>
      </c>
      <c r="G390" s="144">
        <f t="shared" ref="G390:G393" si="34">D390*F390</f>
        <v>2108.7128654970761</v>
      </c>
      <c r="H390" s="145"/>
      <c r="I390" s="145"/>
      <c r="J390" s="145"/>
      <c r="K390" s="4"/>
    </row>
    <row r="391" spans="1:11" ht="13">
      <c r="A391" s="141"/>
      <c r="B391" s="4"/>
      <c r="C391" s="4" t="s">
        <v>236</v>
      </c>
      <c r="D391" s="146">
        <v>1</v>
      </c>
      <c r="E391" s="4" t="str">
        <f>VLOOKUP(C391,Master!$B$6:$N$1000,9,FALSE)</f>
        <v>gr</v>
      </c>
      <c r="F391" s="158">
        <f>VLOOKUP(C391,Master!$B$6:$N$1000,10,FALSE)</f>
        <v>500.46873684210522</v>
      </c>
      <c r="G391" s="144">
        <f t="shared" si="34"/>
        <v>500.46873684210522</v>
      </c>
      <c r="H391" s="145"/>
      <c r="I391" s="145"/>
      <c r="J391" s="145"/>
      <c r="K391" s="4"/>
    </row>
    <row r="392" spans="1:11" ht="13">
      <c r="A392" s="141"/>
      <c r="B392" s="4"/>
      <c r="C392" s="4" t="s">
        <v>2063</v>
      </c>
      <c r="D392" s="146">
        <v>50</v>
      </c>
      <c r="E392" s="4" t="str">
        <f>VLOOKUP(C392,Master!$B$6:$N$1000,9,FALSE)</f>
        <v>gr</v>
      </c>
      <c r="F392" s="158">
        <f>VLOOKUP(C392,Master!$B$6:$N$1000,10,FALSE)</f>
        <v>108</v>
      </c>
      <c r="G392" s="144">
        <f t="shared" si="34"/>
        <v>5400</v>
      </c>
      <c r="H392" s="145"/>
      <c r="I392" s="145"/>
      <c r="J392" s="145"/>
      <c r="K392" s="4"/>
    </row>
    <row r="393" spans="1:11" ht="13">
      <c r="A393" s="141"/>
      <c r="B393" s="4"/>
      <c r="C393" s="145" t="s">
        <v>1198</v>
      </c>
      <c r="D393" s="146">
        <v>1</v>
      </c>
      <c r="E393" s="4" t="str">
        <f>VLOOKUP(C393,Master!$B$6:$N$1000,9,FALSE)</f>
        <v>pcs</v>
      </c>
      <c r="F393" s="158">
        <f>VLOOKUP(C393,Master!$B$6:$N$1000,10,FALSE)</f>
        <v>2900</v>
      </c>
      <c r="G393" s="144">
        <f t="shared" si="34"/>
        <v>2900</v>
      </c>
      <c r="H393" s="145"/>
      <c r="I393" s="145"/>
      <c r="J393" s="145"/>
      <c r="K393" s="4"/>
    </row>
    <row r="394" spans="1:11" ht="13">
      <c r="A394" s="148"/>
      <c r="B394" s="90"/>
      <c r="C394" s="151"/>
      <c r="D394" s="151"/>
      <c r="E394" s="4"/>
      <c r="F394" s="159"/>
      <c r="G394" s="107"/>
      <c r="H394" s="151"/>
      <c r="I394" s="151"/>
      <c r="J394" s="145"/>
      <c r="K394" s="4"/>
    </row>
    <row r="395" spans="1:11" ht="13">
      <c r="A395" s="134" t="str">
        <f>VLOOKUP(B395,Master!$V$7:$W$150,2,FALSE)</f>
        <v>M0124</v>
      </c>
      <c r="B395" s="135" t="s">
        <v>682</v>
      </c>
      <c r="C395" s="136"/>
      <c r="D395" s="153"/>
      <c r="E395" s="154"/>
      <c r="F395" s="153"/>
      <c r="G395" s="138">
        <f>SUM(G396:G404)</f>
        <v>14815.18160233918</v>
      </c>
      <c r="H395" s="139">
        <v>0.1</v>
      </c>
      <c r="I395" s="138">
        <f>G395+(G395*H395)</f>
        <v>16296.699762573098</v>
      </c>
      <c r="J395" s="140" t="b">
        <v>0</v>
      </c>
      <c r="K395" s="4"/>
    </row>
    <row r="396" spans="1:11" ht="13">
      <c r="A396" s="141"/>
      <c r="B396" s="4"/>
      <c r="C396" s="4" t="s">
        <v>145</v>
      </c>
      <c r="D396" s="146">
        <v>1</v>
      </c>
      <c r="E396" s="4" t="str">
        <f>VLOOKUP(C396,Master!$B$6:$N$1000,9,FALSE)</f>
        <v>gr</v>
      </c>
      <c r="F396" s="158">
        <f>VLOOKUP(C396,Master!$B$6:$N$1000,10,FALSE)</f>
        <v>2108.7128654970761</v>
      </c>
      <c r="G396" s="144">
        <f t="shared" ref="G396:G404" si="35">D396*F396</f>
        <v>2108.7128654970761</v>
      </c>
      <c r="H396" s="145"/>
      <c r="I396" s="145"/>
      <c r="J396" s="145"/>
      <c r="K396" s="4"/>
    </row>
    <row r="397" spans="1:11" ht="13">
      <c r="A397" s="141"/>
      <c r="B397" s="4"/>
      <c r="C397" s="4" t="s">
        <v>236</v>
      </c>
      <c r="D397" s="146">
        <v>1</v>
      </c>
      <c r="E397" s="4" t="str">
        <f>VLOOKUP(C397,Master!$B$6:$N$1000,9,FALSE)</f>
        <v>gr</v>
      </c>
      <c r="F397" s="158">
        <f>VLOOKUP(C397,Master!$B$6:$N$1000,10,FALSE)</f>
        <v>500.46873684210522</v>
      </c>
      <c r="G397" s="144">
        <f t="shared" si="35"/>
        <v>500.46873684210522</v>
      </c>
      <c r="H397" s="145"/>
      <c r="I397" s="145"/>
      <c r="J397" s="145"/>
      <c r="K397" s="4"/>
    </row>
    <row r="398" spans="1:11" ht="13">
      <c r="A398" s="141"/>
      <c r="B398" s="4"/>
      <c r="C398" s="4" t="s">
        <v>2038</v>
      </c>
      <c r="D398" s="146">
        <v>20</v>
      </c>
      <c r="E398" s="4" t="str">
        <f>VLOOKUP(C398,Master!$B$6:$N$1000,9,FALSE)</f>
        <v>gr</v>
      </c>
      <c r="F398" s="158">
        <f>VLOOKUP(C398,Master!$B$6:$N$1000,10,FALSE)</f>
        <v>86</v>
      </c>
      <c r="G398" s="144">
        <f t="shared" si="35"/>
        <v>1720</v>
      </c>
      <c r="H398" s="145"/>
      <c r="I398" s="145"/>
      <c r="J398" s="145"/>
      <c r="K398" s="4"/>
    </row>
    <row r="399" spans="1:11" ht="13">
      <c r="A399" s="141"/>
      <c r="B399" s="4"/>
      <c r="C399" s="4" t="s">
        <v>744</v>
      </c>
      <c r="D399" s="146">
        <v>10</v>
      </c>
      <c r="E399" s="4" t="str">
        <f>VLOOKUP(C399,Master!$B$6:$N$1000,9,FALSE)</f>
        <v>gr</v>
      </c>
      <c r="F399" s="158">
        <f>VLOOKUP(C399,Master!$B$6:$N$1000,10,FALSE)</f>
        <v>58.6</v>
      </c>
      <c r="G399" s="144">
        <f t="shared" si="35"/>
        <v>586</v>
      </c>
      <c r="H399" s="145"/>
      <c r="I399" s="145"/>
      <c r="J399" s="145"/>
      <c r="K399" s="4"/>
    </row>
    <row r="400" spans="1:11" ht="13">
      <c r="A400" s="141"/>
      <c r="B400" s="4"/>
      <c r="C400" s="4" t="s">
        <v>732</v>
      </c>
      <c r="D400" s="146">
        <v>10</v>
      </c>
      <c r="E400" s="4" t="str">
        <f>VLOOKUP(C400,Master!$B$6:$N$1000,9,FALSE)</f>
        <v>gr</v>
      </c>
      <c r="F400" s="158">
        <f>VLOOKUP(C400,Master!$B$6:$N$1000,10,FALSE)</f>
        <v>40</v>
      </c>
      <c r="G400" s="144">
        <f t="shared" si="35"/>
        <v>400</v>
      </c>
      <c r="H400" s="145"/>
      <c r="I400" s="145"/>
      <c r="J400" s="145"/>
      <c r="K400" s="4"/>
    </row>
    <row r="401" spans="1:11" ht="13">
      <c r="A401" s="141"/>
      <c r="B401" s="4"/>
      <c r="C401" s="4" t="s">
        <v>716</v>
      </c>
      <c r="D401" s="146">
        <v>10</v>
      </c>
      <c r="E401" s="4" t="str">
        <f>VLOOKUP(C401,Master!$B$6:$N$1000,9,FALSE)</f>
        <v>gr</v>
      </c>
      <c r="F401" s="158">
        <f>VLOOKUP(C401,Master!$B$6:$N$1000,10,FALSE)</f>
        <v>45</v>
      </c>
      <c r="G401" s="144">
        <f t="shared" si="35"/>
        <v>450</v>
      </c>
      <c r="H401" s="145"/>
      <c r="I401" s="145"/>
      <c r="J401" s="145"/>
      <c r="K401" s="4"/>
    </row>
    <row r="402" spans="1:11" ht="13">
      <c r="A402" s="141"/>
      <c r="B402" s="4"/>
      <c r="C402" s="4" t="s">
        <v>2063</v>
      </c>
      <c r="D402" s="146">
        <v>50</v>
      </c>
      <c r="E402" s="4" t="str">
        <f>VLOOKUP(C402,Master!$B$6:$N$1000,9,FALSE)</f>
        <v>gr</v>
      </c>
      <c r="F402" s="158">
        <f>VLOOKUP(C402,Master!$B$6:$N$1000,10,FALSE)</f>
        <v>108</v>
      </c>
      <c r="G402" s="144">
        <f t="shared" si="35"/>
        <v>5400</v>
      </c>
      <c r="H402" s="145"/>
      <c r="I402" s="145"/>
      <c r="J402" s="145"/>
      <c r="K402" s="4"/>
    </row>
    <row r="403" spans="1:11" ht="13">
      <c r="A403" s="141"/>
      <c r="B403" s="4"/>
      <c r="C403" s="145" t="s">
        <v>1156</v>
      </c>
      <c r="D403" s="146">
        <v>3</v>
      </c>
      <c r="E403" s="4" t="str">
        <f>VLOOKUP(C403,Master!$B$6:$N$1000,9,FALSE)</f>
        <v>gr</v>
      </c>
      <c r="F403" s="158">
        <f>VLOOKUP(C403,Master!$B$6:$N$1000,10,FALSE)</f>
        <v>250</v>
      </c>
      <c r="G403" s="144">
        <f t="shared" si="35"/>
        <v>750</v>
      </c>
      <c r="H403" s="145"/>
      <c r="I403" s="145"/>
      <c r="J403" s="145"/>
      <c r="K403" s="4"/>
    </row>
    <row r="404" spans="1:11" ht="13">
      <c r="A404" s="148"/>
      <c r="B404" s="90"/>
      <c r="C404" s="151" t="s">
        <v>1198</v>
      </c>
      <c r="D404" s="149">
        <v>1</v>
      </c>
      <c r="E404" s="4" t="str">
        <f>VLOOKUP(C404,Master!$B$6:$N$1000,9,FALSE)</f>
        <v>pcs</v>
      </c>
      <c r="F404" s="158">
        <f>VLOOKUP(C404,Master!$B$6:$N$1000,10,FALSE)</f>
        <v>2900</v>
      </c>
      <c r="G404" s="144">
        <f t="shared" si="35"/>
        <v>2900</v>
      </c>
      <c r="H404" s="151"/>
      <c r="I404" s="151"/>
      <c r="J404" s="145"/>
      <c r="K404" s="4"/>
    </row>
    <row r="405" spans="1:11" ht="13">
      <c r="A405" s="134" t="str">
        <f>VLOOKUP(B405,Master!$V$7:$W$150,2,FALSE)</f>
        <v>M0058</v>
      </c>
      <c r="B405" s="135" t="s">
        <v>422</v>
      </c>
      <c r="C405" s="136"/>
      <c r="D405" s="153"/>
      <c r="E405" s="154"/>
      <c r="F405" s="153"/>
      <c r="G405" s="138">
        <f>SUM(G406:G416)</f>
        <v>10879.934799108427</v>
      </c>
      <c r="H405" s="139">
        <v>0.1</v>
      </c>
      <c r="I405" s="138">
        <f>G405+(G405*H405)</f>
        <v>11967.92827901927</v>
      </c>
      <c r="J405" s="140" t="b">
        <v>0</v>
      </c>
      <c r="K405" s="4"/>
    </row>
    <row r="406" spans="1:11" ht="13">
      <c r="A406" s="141"/>
      <c r="B406" s="4"/>
      <c r="C406" s="4" t="s">
        <v>251</v>
      </c>
      <c r="D406" s="146">
        <v>1</v>
      </c>
      <c r="E406" s="4" t="str">
        <f>VLOOKUP(C406,Master!$B$6:$N$1000,9,FALSE)</f>
        <v>Porsi</v>
      </c>
      <c r="F406" s="158">
        <f>VLOOKUP(C406,Master!$B$6:$N$1000,10,FALSE)</f>
        <v>1093.9890710382513</v>
      </c>
      <c r="G406" s="144">
        <f t="shared" ref="G406:G412" si="36">D406*F406</f>
        <v>1093.9890710382513</v>
      </c>
      <c r="H406" s="145"/>
      <c r="I406" s="145"/>
      <c r="J406" s="145"/>
      <c r="K406" s="4"/>
    </row>
    <row r="407" spans="1:11" ht="13">
      <c r="A407" s="141"/>
      <c r="B407" s="4"/>
      <c r="C407" s="4" t="s">
        <v>282</v>
      </c>
      <c r="D407" s="146">
        <v>1</v>
      </c>
      <c r="E407" s="4" t="str">
        <f>VLOOKUP(C407,Master!$B$6:$N$1000,9,FALSE)</f>
        <v>gr/pcs</v>
      </c>
      <c r="F407" s="158">
        <f>VLOOKUP(C407,Master!$B$6:$N$1000,10,FALSE)</f>
        <v>2570.7586666666666</v>
      </c>
      <c r="G407" s="144">
        <f t="shared" si="36"/>
        <v>2570.7586666666666</v>
      </c>
      <c r="H407" s="145"/>
      <c r="I407" s="145"/>
      <c r="J407" s="145"/>
      <c r="K407" s="4"/>
    </row>
    <row r="408" spans="1:11" ht="13">
      <c r="A408" s="141"/>
      <c r="B408" s="4"/>
      <c r="C408" s="4" t="s">
        <v>67</v>
      </c>
      <c r="D408" s="146">
        <v>1</v>
      </c>
      <c r="E408" s="4" t="str">
        <f>VLOOKUP(C408,Master!$B$6:$N$1000,9,FALSE)</f>
        <v>gr/por</v>
      </c>
      <c r="F408" s="158">
        <f>VLOOKUP(C408,Master!$B$6:$N$1000,10,FALSE)</f>
        <v>1363.1870614035086</v>
      </c>
      <c r="G408" s="144">
        <f t="shared" si="36"/>
        <v>1363.1870614035086</v>
      </c>
      <c r="H408" s="145"/>
      <c r="I408" s="145"/>
      <c r="J408" s="145"/>
      <c r="K408" s="4"/>
    </row>
    <row r="409" spans="1:11" ht="13">
      <c r="A409" s="141"/>
      <c r="B409" s="4"/>
      <c r="C409" s="4" t="s">
        <v>744</v>
      </c>
      <c r="D409" s="146">
        <v>20</v>
      </c>
      <c r="E409" s="4" t="str">
        <f>VLOOKUP(C409,Master!$B$6:$N$1000,9,FALSE)</f>
        <v>gr</v>
      </c>
      <c r="F409" s="158">
        <f>VLOOKUP(C409,Master!$B$6:$N$1000,10,FALSE)</f>
        <v>58.6</v>
      </c>
      <c r="G409" s="144">
        <f t="shared" si="36"/>
        <v>1172</v>
      </c>
      <c r="H409" s="145"/>
      <c r="I409" s="145"/>
      <c r="J409" s="145"/>
      <c r="K409" s="4"/>
    </row>
    <row r="410" spans="1:11" ht="13">
      <c r="A410" s="141"/>
      <c r="B410" s="4"/>
      <c r="C410" s="4" t="s">
        <v>732</v>
      </c>
      <c r="D410" s="146">
        <v>16</v>
      </c>
      <c r="E410" s="4" t="str">
        <f>VLOOKUP(C410,Master!$B$6:$N$1000,9,FALSE)</f>
        <v>gr</v>
      </c>
      <c r="F410" s="158">
        <f>VLOOKUP(C410,Master!$B$6:$N$1000,10,FALSE)</f>
        <v>40</v>
      </c>
      <c r="G410" s="144">
        <f t="shared" si="36"/>
        <v>640</v>
      </c>
      <c r="H410" s="145"/>
      <c r="I410" s="145"/>
      <c r="J410" s="145"/>
      <c r="K410" s="4"/>
    </row>
    <row r="411" spans="1:11" ht="13">
      <c r="A411" s="141"/>
      <c r="B411" s="4"/>
      <c r="C411" s="4" t="s">
        <v>655</v>
      </c>
      <c r="D411" s="146">
        <v>60</v>
      </c>
      <c r="E411" s="4" t="str">
        <f>VLOOKUP(C411,Master!$B$6:$N$1000,9,FALSE)</f>
        <v>gr</v>
      </c>
      <c r="F411" s="158">
        <f>VLOOKUP(C411,Master!$B$6:$N$1000,10,FALSE)</f>
        <v>50</v>
      </c>
      <c r="G411" s="144">
        <f t="shared" si="36"/>
        <v>3000</v>
      </c>
      <c r="H411" s="145"/>
      <c r="I411" s="145"/>
      <c r="J411" s="145"/>
      <c r="K411" s="4"/>
    </row>
    <row r="412" spans="1:11" ht="13">
      <c r="A412" s="141"/>
      <c r="B412" s="4"/>
      <c r="C412" s="4" t="s">
        <v>1103</v>
      </c>
      <c r="D412" s="146">
        <v>1</v>
      </c>
      <c r="E412" s="4" t="str">
        <f>VLOOKUP(C412,Master!$B$6:$N$1000,9,FALSE)</f>
        <v>pcs</v>
      </c>
      <c r="F412" s="158">
        <f>VLOOKUP(C412,Master!$B$6:$N$1000,10,FALSE)</f>
        <v>1040</v>
      </c>
      <c r="G412" s="144">
        <f t="shared" si="36"/>
        <v>1040</v>
      </c>
      <c r="H412" s="145"/>
      <c r="I412" s="145"/>
      <c r="J412" s="145"/>
      <c r="K412" s="4"/>
    </row>
    <row r="413" spans="1:11" ht="13">
      <c r="A413" s="141"/>
      <c r="B413" s="4"/>
      <c r="C413" s="4"/>
      <c r="D413" s="145"/>
      <c r="E413" s="4"/>
      <c r="F413" s="159"/>
      <c r="G413" s="121"/>
      <c r="H413" s="145"/>
      <c r="I413" s="145"/>
      <c r="J413" s="145"/>
      <c r="K413" s="4"/>
    </row>
    <row r="414" spans="1:11" ht="13">
      <c r="A414" s="141"/>
      <c r="B414" s="4"/>
      <c r="C414" s="4"/>
      <c r="D414" s="145"/>
      <c r="E414" s="4"/>
      <c r="F414" s="159"/>
      <c r="G414" s="121"/>
      <c r="H414" s="145"/>
      <c r="I414" s="145"/>
      <c r="J414" s="145"/>
      <c r="K414" s="4"/>
    </row>
    <row r="415" spans="1:11" ht="13">
      <c r="A415" s="141"/>
      <c r="B415" s="4"/>
      <c r="C415" s="145"/>
      <c r="D415" s="145"/>
      <c r="E415" s="4"/>
      <c r="F415" s="159"/>
      <c r="G415" s="121"/>
      <c r="H415" s="145"/>
      <c r="I415" s="145"/>
      <c r="J415" s="145"/>
      <c r="K415" s="4"/>
    </row>
    <row r="416" spans="1:11" ht="13">
      <c r="A416" s="148"/>
      <c r="B416" s="90"/>
      <c r="C416" s="151"/>
      <c r="D416" s="151"/>
      <c r="E416" s="4"/>
      <c r="F416" s="159"/>
      <c r="G416" s="107"/>
      <c r="H416" s="151"/>
      <c r="I416" s="151"/>
      <c r="J416" s="145"/>
      <c r="K416" s="4"/>
    </row>
    <row r="417" spans="1:11" ht="13">
      <c r="A417" s="134" t="str">
        <f>VLOOKUP(B417,Master!$V$7:$W$150,2,FALSE)</f>
        <v>M0059</v>
      </c>
      <c r="B417" s="135" t="s">
        <v>426</v>
      </c>
      <c r="C417" s="136"/>
      <c r="D417" s="153"/>
      <c r="E417" s="154"/>
      <c r="F417" s="153"/>
      <c r="G417" s="138">
        <f>SUM(G418:G428)</f>
        <v>15129.934799108427</v>
      </c>
      <c r="H417" s="139">
        <v>0.1</v>
      </c>
      <c r="I417" s="138">
        <f>G417+(G417*H417)</f>
        <v>16642.92827901927</v>
      </c>
      <c r="J417" s="140" t="b">
        <v>0</v>
      </c>
      <c r="K417" s="4"/>
    </row>
    <row r="418" spans="1:11" ht="13">
      <c r="A418" s="141"/>
      <c r="B418" s="4"/>
      <c r="C418" s="4" t="s">
        <v>251</v>
      </c>
      <c r="D418" s="146">
        <v>1</v>
      </c>
      <c r="E418" s="4" t="str">
        <f>VLOOKUP(C418,Master!$B$6:$N$1000,9,FALSE)</f>
        <v>Porsi</v>
      </c>
      <c r="F418" s="158">
        <f>VLOOKUP(C418,Master!$B$6:$N$1000,10,FALSE)</f>
        <v>1093.9890710382513</v>
      </c>
      <c r="G418" s="144">
        <f t="shared" ref="G418:G424" si="37">D418*F418</f>
        <v>1093.9890710382513</v>
      </c>
      <c r="H418" s="145"/>
      <c r="I418" s="145"/>
      <c r="J418" s="145"/>
      <c r="K418" s="4"/>
    </row>
    <row r="419" spans="1:11" ht="13">
      <c r="A419" s="141"/>
      <c r="B419" s="4"/>
      <c r="C419" s="4" t="s">
        <v>282</v>
      </c>
      <c r="D419" s="146">
        <v>1</v>
      </c>
      <c r="E419" s="4" t="str">
        <f>VLOOKUP(C419,Master!$B$6:$N$1000,9,FALSE)</f>
        <v>gr/pcs</v>
      </c>
      <c r="F419" s="158">
        <f>VLOOKUP(C419,Master!$B$6:$N$1000,10,FALSE)</f>
        <v>2570.7586666666666</v>
      </c>
      <c r="G419" s="144">
        <f t="shared" si="37"/>
        <v>2570.7586666666666</v>
      </c>
      <c r="H419" s="145"/>
      <c r="I419" s="145"/>
      <c r="J419" s="145"/>
      <c r="K419" s="4"/>
    </row>
    <row r="420" spans="1:11" ht="13">
      <c r="A420" s="141"/>
      <c r="B420" s="4"/>
      <c r="C420" s="4" t="s">
        <v>67</v>
      </c>
      <c r="D420" s="146">
        <v>1</v>
      </c>
      <c r="E420" s="4" t="str">
        <f>VLOOKUP(C420,Master!$B$6:$N$1000,9,FALSE)</f>
        <v>gr/por</v>
      </c>
      <c r="F420" s="158">
        <f>VLOOKUP(C420,Master!$B$6:$N$1000,10,FALSE)</f>
        <v>1363.1870614035086</v>
      </c>
      <c r="G420" s="144">
        <f t="shared" si="37"/>
        <v>1363.1870614035086</v>
      </c>
      <c r="H420" s="145"/>
      <c r="I420" s="145"/>
      <c r="J420" s="145"/>
      <c r="K420" s="4"/>
    </row>
    <row r="421" spans="1:11" ht="13">
      <c r="A421" s="141"/>
      <c r="B421" s="4"/>
      <c r="C421" s="4" t="s">
        <v>744</v>
      </c>
      <c r="D421" s="146">
        <v>20</v>
      </c>
      <c r="E421" s="4" t="str">
        <f>VLOOKUP(C421,Master!$B$6:$N$1000,9,FALSE)</f>
        <v>gr</v>
      </c>
      <c r="F421" s="158">
        <f>VLOOKUP(C421,Master!$B$6:$N$1000,10,FALSE)</f>
        <v>58.6</v>
      </c>
      <c r="G421" s="144">
        <f t="shared" si="37"/>
        <v>1172</v>
      </c>
      <c r="H421" s="145"/>
      <c r="I421" s="145"/>
      <c r="J421" s="145"/>
      <c r="K421" s="4"/>
    </row>
    <row r="422" spans="1:11" ht="13">
      <c r="A422" s="141"/>
      <c r="B422" s="4"/>
      <c r="C422" s="4" t="s">
        <v>732</v>
      </c>
      <c r="D422" s="146">
        <v>16</v>
      </c>
      <c r="E422" s="4" t="str">
        <f>VLOOKUP(C422,Master!$B$6:$N$1000,9,FALSE)</f>
        <v>gr</v>
      </c>
      <c r="F422" s="158">
        <f>VLOOKUP(C422,Master!$B$6:$N$1000,10,FALSE)</f>
        <v>40</v>
      </c>
      <c r="G422" s="144">
        <f t="shared" si="37"/>
        <v>640</v>
      </c>
      <c r="H422" s="145"/>
      <c r="I422" s="145"/>
      <c r="J422" s="145"/>
      <c r="K422" s="4"/>
    </row>
    <row r="423" spans="1:11" ht="13">
      <c r="A423" s="141"/>
      <c r="B423" s="4"/>
      <c r="C423" s="4" t="s">
        <v>639</v>
      </c>
      <c r="D423" s="146">
        <v>50</v>
      </c>
      <c r="E423" s="4" t="str">
        <f>VLOOKUP(C423,Master!$B$6:$N$1000,9,FALSE)</f>
        <v>gr</v>
      </c>
      <c r="F423" s="158">
        <f>VLOOKUP(C423,Master!$B$6:$N$1000,10,FALSE)</f>
        <v>145</v>
      </c>
      <c r="G423" s="144">
        <f t="shared" si="37"/>
        <v>7250</v>
      </c>
      <c r="H423" s="145"/>
      <c r="I423" s="145"/>
      <c r="J423" s="145"/>
      <c r="K423" s="4"/>
    </row>
    <row r="424" spans="1:11" ht="13">
      <c r="A424" s="141"/>
      <c r="B424" s="4"/>
      <c r="C424" s="4" t="s">
        <v>1103</v>
      </c>
      <c r="D424" s="146">
        <v>1</v>
      </c>
      <c r="E424" s="4" t="str">
        <f>VLOOKUP(C424,Master!$B$6:$N$1000,9,FALSE)</f>
        <v>pcs</v>
      </c>
      <c r="F424" s="158">
        <f>VLOOKUP(C424,Master!$B$6:$N$1000,10,FALSE)</f>
        <v>1040</v>
      </c>
      <c r="G424" s="144">
        <f t="shared" si="37"/>
        <v>1040</v>
      </c>
      <c r="H424" s="145"/>
      <c r="I424" s="145"/>
      <c r="J424" s="145"/>
      <c r="K424" s="4"/>
    </row>
    <row r="425" spans="1:11" ht="13">
      <c r="A425" s="141"/>
      <c r="B425" s="4"/>
      <c r="C425" s="4"/>
      <c r="D425" s="145"/>
      <c r="E425" s="4"/>
      <c r="F425" s="159"/>
      <c r="G425" s="121"/>
      <c r="H425" s="145"/>
      <c r="I425" s="145"/>
      <c r="J425" s="145"/>
      <c r="K425" s="4"/>
    </row>
    <row r="426" spans="1:11" ht="13">
      <c r="A426" s="141"/>
      <c r="B426" s="4"/>
      <c r="C426" s="4"/>
      <c r="D426" s="145"/>
      <c r="E426" s="4"/>
      <c r="F426" s="159"/>
      <c r="G426" s="121"/>
      <c r="H426" s="145"/>
      <c r="I426" s="145"/>
      <c r="J426" s="145"/>
      <c r="K426" s="4"/>
    </row>
    <row r="427" spans="1:11" ht="13">
      <c r="A427" s="141"/>
      <c r="B427" s="4"/>
      <c r="C427" s="145"/>
      <c r="D427" s="145"/>
      <c r="E427" s="4"/>
      <c r="F427" s="159"/>
      <c r="G427" s="121"/>
      <c r="H427" s="145"/>
      <c r="I427" s="145"/>
      <c r="J427" s="145"/>
      <c r="K427" s="4"/>
    </row>
    <row r="428" spans="1:11" ht="13">
      <c r="A428" s="148"/>
      <c r="B428" s="90"/>
      <c r="C428" s="151"/>
      <c r="D428" s="151"/>
      <c r="E428" s="4"/>
      <c r="F428" s="159"/>
      <c r="G428" s="107"/>
      <c r="H428" s="151"/>
      <c r="I428" s="151"/>
      <c r="J428" s="145"/>
      <c r="K428" s="4"/>
    </row>
    <row r="429" spans="1:11" ht="13">
      <c r="A429" s="160" t="str">
        <f>VLOOKUP(B429,Master!$V$7:$W$150,2,FALSE)</f>
        <v>M0139</v>
      </c>
      <c r="B429" s="135" t="s">
        <v>742</v>
      </c>
      <c r="C429" s="136"/>
      <c r="D429" s="153"/>
      <c r="E429" s="154"/>
      <c r="F429" s="153"/>
      <c r="G429" s="138">
        <f>SUM(G430:G446)</f>
        <v>11454.194849302745</v>
      </c>
      <c r="H429" s="139">
        <v>0.1</v>
      </c>
      <c r="I429" s="138">
        <f>G429+(G429*H429)</f>
        <v>12599.61433423302</v>
      </c>
      <c r="J429" s="140" t="b">
        <v>0</v>
      </c>
      <c r="K429" s="4"/>
    </row>
    <row r="430" spans="1:11" ht="13">
      <c r="A430" s="141"/>
      <c r="B430" s="4"/>
      <c r="C430" s="4" t="s">
        <v>655</v>
      </c>
      <c r="D430" s="146">
        <v>120</v>
      </c>
      <c r="E430" s="4" t="str">
        <f>VLOOKUP(C430,Master!$B$6:$N$1000,9,FALSE)</f>
        <v>gr</v>
      </c>
      <c r="F430" s="158">
        <f>VLOOKUP(C430,Master!$B$6:$N$1000,10,FALSE)</f>
        <v>50</v>
      </c>
      <c r="G430" s="144">
        <f t="shared" ref="G430:G446" si="38">D430*F430</f>
        <v>6000</v>
      </c>
      <c r="H430" s="145"/>
      <c r="I430" s="145"/>
      <c r="J430" s="145"/>
      <c r="K430" s="4"/>
    </row>
    <row r="431" spans="1:11" ht="13">
      <c r="A431" s="141"/>
      <c r="B431" s="4"/>
      <c r="C431" s="4" t="s">
        <v>2045</v>
      </c>
      <c r="D431" s="146">
        <v>20</v>
      </c>
      <c r="E431" s="4" t="str">
        <f>VLOOKUP(C431,Master!$B$6:$N$1000,9,FALSE)</f>
        <v>gr</v>
      </c>
      <c r="F431" s="158">
        <f>VLOOKUP(C431,Master!$B$6:$N$1000,10,FALSE)</f>
        <v>14.25</v>
      </c>
      <c r="G431" s="144">
        <f t="shared" si="38"/>
        <v>285</v>
      </c>
      <c r="H431" s="145"/>
      <c r="I431" s="145"/>
      <c r="J431" s="145"/>
      <c r="K431" s="4"/>
    </row>
    <row r="432" spans="1:11" ht="13">
      <c r="A432" s="141"/>
      <c r="B432" s="4"/>
      <c r="C432" s="4" t="s">
        <v>1988</v>
      </c>
      <c r="D432" s="146">
        <v>20</v>
      </c>
      <c r="E432" s="4" t="str">
        <f>VLOOKUP(C432,Master!$B$6:$N$1000,9,FALSE)</f>
        <v>ml</v>
      </c>
      <c r="F432" s="158">
        <f>VLOOKUP(C432,Master!$B$6:$N$1000,10,FALSE)</f>
        <v>16.222222222222221</v>
      </c>
      <c r="G432" s="144">
        <f t="shared" si="38"/>
        <v>324.44444444444446</v>
      </c>
      <c r="H432" s="145"/>
      <c r="I432" s="145"/>
      <c r="J432" s="145"/>
      <c r="K432" s="4"/>
    </row>
    <row r="433" spans="1:11" ht="13">
      <c r="A433" s="141"/>
      <c r="B433" s="4"/>
      <c r="C433" s="4" t="s">
        <v>2061</v>
      </c>
      <c r="D433" s="146">
        <v>5</v>
      </c>
      <c r="E433" s="4" t="str">
        <f>VLOOKUP(C433,Master!$B$6:$N$1000,9,FALSE)</f>
        <v>gr</v>
      </c>
      <c r="F433" s="158">
        <f>VLOOKUP(C433,Master!$B$6:$N$1000,10,FALSE)</f>
        <v>22.2</v>
      </c>
      <c r="G433" s="144">
        <f t="shared" si="38"/>
        <v>111</v>
      </c>
      <c r="H433" s="145"/>
      <c r="I433" s="145"/>
      <c r="J433" s="145"/>
      <c r="K433" s="4"/>
    </row>
    <row r="434" spans="1:11" ht="13">
      <c r="A434" s="141"/>
      <c r="B434" s="4"/>
      <c r="C434" s="4" t="s">
        <v>1074</v>
      </c>
      <c r="D434" s="146">
        <v>15</v>
      </c>
      <c r="E434" s="4" t="str">
        <f>VLOOKUP(C434,Master!$B$6:$N$1000,9,FALSE)</f>
        <v>gr</v>
      </c>
      <c r="F434" s="158">
        <f>VLOOKUP(C434,Master!$B$6:$N$1000,10,FALSE)</f>
        <v>16.5</v>
      </c>
      <c r="G434" s="144">
        <f t="shared" si="38"/>
        <v>247.5</v>
      </c>
      <c r="H434" s="145"/>
      <c r="I434" s="145"/>
      <c r="J434" s="145"/>
      <c r="K434" s="4"/>
    </row>
    <row r="435" spans="1:11" ht="13">
      <c r="A435" s="141"/>
      <c r="B435" s="4"/>
      <c r="C435" s="4" t="s">
        <v>732</v>
      </c>
      <c r="D435" s="146">
        <v>15</v>
      </c>
      <c r="E435" s="4" t="str">
        <f>VLOOKUP(C435,Master!$B$6:$N$1000,9,FALSE)</f>
        <v>gr</v>
      </c>
      <c r="F435" s="158">
        <f>VLOOKUP(C435,Master!$B$6:$N$1000,10,FALSE)</f>
        <v>40</v>
      </c>
      <c r="G435" s="144">
        <f t="shared" si="38"/>
        <v>600</v>
      </c>
      <c r="H435" s="145"/>
      <c r="I435" s="145"/>
      <c r="J435" s="145"/>
      <c r="K435" s="4"/>
    </row>
    <row r="436" spans="1:11" ht="13">
      <c r="A436" s="141"/>
      <c r="B436" s="4"/>
      <c r="C436" s="4" t="s">
        <v>651</v>
      </c>
      <c r="D436" s="146">
        <v>4</v>
      </c>
      <c r="E436" s="4" t="str">
        <f>VLOOKUP(C436,Master!$B$6:$N$1000,9,FALSE)</f>
        <v>gr</v>
      </c>
      <c r="F436" s="158">
        <f>VLOOKUP(C436,Master!$B$6:$N$1000,10,FALSE)</f>
        <v>18</v>
      </c>
      <c r="G436" s="144">
        <f t="shared" si="38"/>
        <v>72</v>
      </c>
      <c r="H436" s="145"/>
      <c r="I436" s="145"/>
      <c r="J436" s="145"/>
      <c r="K436" s="4"/>
    </row>
    <row r="437" spans="1:11" ht="13">
      <c r="A437" s="141"/>
      <c r="B437" s="4"/>
      <c r="C437" s="4" t="s">
        <v>1020</v>
      </c>
      <c r="D437" s="146">
        <v>5</v>
      </c>
      <c r="E437" s="4" t="str">
        <f>VLOOKUP(C437,Master!$B$6:$N$1000,9,FALSE)</f>
        <v>gr</v>
      </c>
      <c r="F437" s="158">
        <f>VLOOKUP(C437,Master!$B$6:$N$1000,10,FALSE)</f>
        <v>24</v>
      </c>
      <c r="G437" s="144">
        <f t="shared" si="38"/>
        <v>120</v>
      </c>
      <c r="H437" s="145"/>
      <c r="I437" s="145"/>
      <c r="J437" s="145"/>
      <c r="K437" s="4"/>
    </row>
    <row r="438" spans="1:11" ht="13">
      <c r="A438" s="141"/>
      <c r="B438" s="4"/>
      <c r="C438" s="4" t="s">
        <v>1050</v>
      </c>
      <c r="D438" s="146">
        <v>3</v>
      </c>
      <c r="E438" s="4" t="str">
        <f>VLOOKUP(C438,Master!$B$6:$N$1000,9,FALSE)</f>
        <v>gr</v>
      </c>
      <c r="F438" s="158">
        <f>VLOOKUP(C438,Master!$B$6:$N$1000,10,FALSE)</f>
        <v>19.600000000000001</v>
      </c>
      <c r="G438" s="144">
        <f t="shared" si="38"/>
        <v>58.800000000000004</v>
      </c>
      <c r="H438" s="145"/>
      <c r="I438" s="145"/>
      <c r="J438" s="145"/>
      <c r="K438" s="4"/>
    </row>
    <row r="439" spans="1:11" ht="13">
      <c r="A439" s="141"/>
      <c r="B439" s="4"/>
      <c r="C439" s="4" t="s">
        <v>735</v>
      </c>
      <c r="D439" s="146">
        <v>5</v>
      </c>
      <c r="E439" s="4" t="str">
        <f>VLOOKUP(C439,Master!$B$6:$N$1000,9,FALSE)</f>
        <v>gr</v>
      </c>
      <c r="F439" s="158">
        <f>VLOOKUP(C439,Master!$B$6:$N$1000,10,FALSE)</f>
        <v>75</v>
      </c>
      <c r="G439" s="144">
        <f t="shared" si="38"/>
        <v>375</v>
      </c>
      <c r="H439" s="145"/>
      <c r="I439" s="145"/>
      <c r="J439" s="145"/>
      <c r="K439" s="4"/>
    </row>
    <row r="440" spans="1:11" ht="13">
      <c r="A440" s="141"/>
      <c r="B440" s="4"/>
      <c r="C440" s="4" t="s">
        <v>1060</v>
      </c>
      <c r="D440" s="146">
        <v>3</v>
      </c>
      <c r="E440" s="4" t="str">
        <f>VLOOKUP(C440,Master!$B$6:$N$1000,9,FALSE)</f>
        <v>ml</v>
      </c>
      <c r="F440" s="158">
        <f>VLOOKUP(C440,Master!$B$6:$N$1000,10,FALSE)</f>
        <v>60.833333333333336</v>
      </c>
      <c r="G440" s="144">
        <f t="shared" si="38"/>
        <v>182.5</v>
      </c>
      <c r="H440" s="145"/>
      <c r="I440" s="145"/>
      <c r="J440" s="145"/>
      <c r="K440" s="4"/>
    </row>
    <row r="441" spans="1:11" ht="13">
      <c r="A441" s="141"/>
      <c r="B441" s="4"/>
      <c r="C441" s="4" t="s">
        <v>2052</v>
      </c>
      <c r="D441" s="146">
        <v>100</v>
      </c>
      <c r="E441" s="4" t="str">
        <f>VLOOKUP(C441,Master!$B$6:$N$1000,9,FALSE)</f>
        <v>ml</v>
      </c>
      <c r="F441" s="158">
        <f>VLOOKUP(C441,Master!$B$6:$N$1000,10,FALSE)</f>
        <v>0.66315789473684206</v>
      </c>
      <c r="G441" s="144">
        <f t="shared" si="38"/>
        <v>66.315789473684205</v>
      </c>
      <c r="H441" s="145"/>
      <c r="I441" s="145"/>
      <c r="J441" s="145"/>
      <c r="K441" s="4"/>
    </row>
    <row r="442" spans="1:11" ht="13">
      <c r="A442" s="141"/>
      <c r="B442" s="4"/>
      <c r="C442" s="4" t="s">
        <v>1002</v>
      </c>
      <c r="D442" s="146">
        <v>5</v>
      </c>
      <c r="E442" s="4" t="str">
        <f>VLOOKUP(C442,Master!$B$6:$N$1000,9,FALSE)</f>
        <v>gr</v>
      </c>
      <c r="F442" s="158">
        <f>VLOOKUP(C442,Master!$B$6:$N$1000,10,FALSE)</f>
        <v>20.5</v>
      </c>
      <c r="G442" s="144">
        <f t="shared" si="38"/>
        <v>102.5</v>
      </c>
      <c r="H442" s="145"/>
      <c r="I442" s="145"/>
      <c r="J442" s="145"/>
      <c r="K442" s="4"/>
    </row>
    <row r="443" spans="1:11" ht="13">
      <c r="A443" s="141"/>
      <c r="B443" s="4"/>
      <c r="C443" s="4" t="s">
        <v>764</v>
      </c>
      <c r="D443" s="146">
        <v>8</v>
      </c>
      <c r="E443" s="4" t="str">
        <f>VLOOKUP(C443,Master!$B$6:$N$1000,9,FALSE)</f>
        <v>gr</v>
      </c>
      <c r="F443" s="158">
        <f>VLOOKUP(C443,Master!$B$6:$N$1000,10,FALSE)</f>
        <v>15</v>
      </c>
      <c r="G443" s="144">
        <f t="shared" si="38"/>
        <v>120</v>
      </c>
      <c r="H443" s="145"/>
      <c r="I443" s="145"/>
      <c r="J443" s="145"/>
      <c r="K443" s="4"/>
    </row>
    <row r="444" spans="1:11" ht="13">
      <c r="A444" s="141"/>
      <c r="B444" s="4"/>
      <c r="C444" s="4" t="s">
        <v>1980</v>
      </c>
      <c r="D444" s="146">
        <v>8</v>
      </c>
      <c r="E444" s="4" t="str">
        <f>VLOOKUP(C444,Master!$B$6:$N$1000,9,FALSE)</f>
        <v>gr</v>
      </c>
      <c r="F444" s="158">
        <f>VLOOKUP(C444,Master!$B$6:$N$1000,10,FALSE)</f>
        <v>17.5</v>
      </c>
      <c r="G444" s="144">
        <f t="shared" si="38"/>
        <v>140</v>
      </c>
      <c r="H444" s="145"/>
      <c r="I444" s="145"/>
      <c r="J444" s="145"/>
      <c r="K444" s="4"/>
    </row>
    <row r="445" spans="1:11" ht="13">
      <c r="A445" s="141"/>
      <c r="B445" s="4"/>
      <c r="C445" s="145" t="s">
        <v>26</v>
      </c>
      <c r="D445" s="146">
        <v>5</v>
      </c>
      <c r="E445" s="4" t="str">
        <f>VLOOKUP(C445,Master!$B$6:$N$1000,9,FALSE)</f>
        <v>ml</v>
      </c>
      <c r="F445" s="158">
        <f>VLOOKUP(C445,Master!$B$6:$N$1000,10,FALSE)</f>
        <v>321.82692307692309</v>
      </c>
      <c r="G445" s="144">
        <f t="shared" si="38"/>
        <v>1609.1346153846155</v>
      </c>
      <c r="H445" s="145"/>
      <c r="I445" s="145"/>
      <c r="J445" s="145"/>
      <c r="K445" s="4"/>
    </row>
    <row r="446" spans="1:11" ht="13">
      <c r="A446" s="148"/>
      <c r="B446" s="90"/>
      <c r="C446" s="151" t="s">
        <v>1103</v>
      </c>
      <c r="D446" s="149">
        <v>1</v>
      </c>
      <c r="E446" s="4" t="str">
        <f>VLOOKUP(C446,Master!$B$6:$N$1000,9,FALSE)</f>
        <v>pcs</v>
      </c>
      <c r="F446" s="158">
        <f>VLOOKUP(C446,Master!$B$6:$N$1000,10,FALSE)</f>
        <v>1040</v>
      </c>
      <c r="G446" s="144">
        <f t="shared" si="38"/>
        <v>1040</v>
      </c>
      <c r="H446" s="151"/>
      <c r="I446" s="151"/>
      <c r="J446" s="145"/>
      <c r="K446" s="4"/>
    </row>
    <row r="447" spans="1:11" ht="13">
      <c r="A447" s="160" t="str">
        <f>VLOOKUP(B447,Master!$V$7:$W$158,2,FALSE)</f>
        <v>M0143</v>
      </c>
      <c r="B447" s="135" t="s">
        <v>758</v>
      </c>
      <c r="C447" s="136"/>
      <c r="D447" s="153"/>
      <c r="E447" s="154"/>
      <c r="F447" s="153"/>
      <c r="G447" s="138">
        <f>SUM(G448:G455)</f>
        <v>16553.909576886203</v>
      </c>
      <c r="H447" s="139">
        <v>0.1</v>
      </c>
      <c r="I447" s="138">
        <f>G447+(G447*H447)</f>
        <v>18209.300534574824</v>
      </c>
      <c r="J447" s="140" t="b">
        <v>0</v>
      </c>
      <c r="K447" s="4"/>
    </row>
    <row r="448" spans="1:11" ht="13">
      <c r="A448" s="4"/>
      <c r="B448" s="4"/>
      <c r="C448" s="4" t="s">
        <v>432</v>
      </c>
      <c r="D448" s="146">
        <v>1</v>
      </c>
      <c r="E448" s="4" t="str">
        <f>VLOOKUP(C448,Master!$B$6:$N$1000,9,FALSE)</f>
        <v>porsi</v>
      </c>
      <c r="F448" s="158">
        <f>VLOOKUP(C448,Master!$B$6:$N$1000,10,FALSE)</f>
        <v>8171.2583333333341</v>
      </c>
      <c r="G448" s="144">
        <f t="shared" ref="G448:G455" si="39">D448*F448</f>
        <v>8171.2583333333341</v>
      </c>
      <c r="H448" s="4"/>
      <c r="I448" s="4"/>
      <c r="J448" s="4"/>
      <c r="K448" s="4"/>
    </row>
    <row r="449" spans="1:11" ht="13">
      <c r="A449" s="4"/>
      <c r="B449" s="4"/>
      <c r="C449" s="4" t="s">
        <v>416</v>
      </c>
      <c r="D449" s="146">
        <v>1</v>
      </c>
      <c r="E449" s="4" t="str">
        <f>VLOOKUP(C449,Master!$B$6:$N$1000,9,FALSE)</f>
        <v>porsi</v>
      </c>
      <c r="F449" s="158">
        <f>VLOOKUP(C449,Master!$B$6:$N$1000,10,FALSE)</f>
        <v>1145.4508421052631</v>
      </c>
      <c r="G449" s="144">
        <f t="shared" si="39"/>
        <v>1145.4508421052631</v>
      </c>
      <c r="H449" s="4"/>
      <c r="I449" s="4"/>
      <c r="J449" s="4"/>
      <c r="K449" s="4"/>
    </row>
    <row r="450" spans="1:11" ht="13">
      <c r="A450" s="4"/>
      <c r="B450" s="4"/>
      <c r="C450" s="4" t="s">
        <v>436</v>
      </c>
      <c r="D450" s="146">
        <v>1</v>
      </c>
      <c r="E450" s="4" t="str">
        <f>VLOOKUP(C450,Master!$B$6:$N$1000,9,FALSE)</f>
        <v>porsi</v>
      </c>
      <c r="F450" s="158">
        <f>VLOOKUP(C450,Master!$B$6:$N$1000,10,FALSE)</f>
        <v>1281.8666666666668</v>
      </c>
      <c r="G450" s="144">
        <f t="shared" si="39"/>
        <v>1281.8666666666668</v>
      </c>
      <c r="H450" s="4"/>
      <c r="I450" s="4"/>
      <c r="J450" s="4"/>
      <c r="K450" s="4"/>
    </row>
    <row r="451" spans="1:11" ht="13">
      <c r="A451" s="4"/>
      <c r="B451" s="4"/>
      <c r="C451" s="4" t="s">
        <v>420</v>
      </c>
      <c r="D451" s="146">
        <v>1</v>
      </c>
      <c r="E451" s="4" t="str">
        <f>VLOOKUP(C451,Master!$B$6:$N$1000,9,FALSE)</f>
        <v>porsi</v>
      </c>
      <c r="F451" s="158">
        <f>VLOOKUP(C451,Master!$B$6:$N$1000,10,FALSE)</f>
        <v>3541.34466374269</v>
      </c>
      <c r="G451" s="144">
        <f t="shared" si="39"/>
        <v>3541.34466374269</v>
      </c>
      <c r="H451" s="4"/>
      <c r="I451" s="4"/>
      <c r="J451" s="4"/>
      <c r="K451" s="4"/>
    </row>
    <row r="452" spans="1:11" ht="13">
      <c r="A452" s="4"/>
      <c r="B452" s="4"/>
      <c r="C452" s="4" t="s">
        <v>251</v>
      </c>
      <c r="D452" s="146">
        <v>1</v>
      </c>
      <c r="E452" s="4" t="str">
        <f>VLOOKUP(C452,Master!$B$6:$N$1000,9,FALSE)</f>
        <v>Porsi</v>
      </c>
      <c r="F452" s="158">
        <f>VLOOKUP(C452,Master!$B$6:$N$1000,10,FALSE)</f>
        <v>1093.9890710382513</v>
      </c>
      <c r="G452" s="144">
        <f t="shared" si="39"/>
        <v>1093.9890710382513</v>
      </c>
      <c r="H452" s="4"/>
      <c r="I452" s="4"/>
      <c r="J452" s="4"/>
      <c r="K452" s="4"/>
    </row>
    <row r="453" spans="1:11" ht="13">
      <c r="A453" s="4"/>
      <c r="B453" s="4"/>
      <c r="C453" s="4" t="s">
        <v>827</v>
      </c>
      <c r="D453" s="146">
        <v>50</v>
      </c>
      <c r="E453" s="4" t="str">
        <f>VLOOKUP(C453,Master!$B$6:$N$1000,9,FALSE)</f>
        <v>gr</v>
      </c>
      <c r="F453" s="158">
        <f>VLOOKUP(C453,Master!$B$6:$N$1000,10,FALSE)</f>
        <v>12</v>
      </c>
      <c r="G453" s="144">
        <f t="shared" si="39"/>
        <v>600</v>
      </c>
      <c r="H453" s="4"/>
      <c r="I453" s="4"/>
      <c r="J453" s="4"/>
      <c r="K453" s="4"/>
    </row>
    <row r="454" spans="1:11" ht="13">
      <c r="A454" s="4"/>
      <c r="B454" s="4"/>
      <c r="C454" s="145" t="s">
        <v>1142</v>
      </c>
      <c r="D454" s="146">
        <v>50</v>
      </c>
      <c r="E454" s="4" t="str">
        <f>VLOOKUP(C454,Master!$B$6:$N$1000,9,FALSE)</f>
        <v>gr</v>
      </c>
      <c r="F454" s="158">
        <f>VLOOKUP(C454,Master!$B$6:$N$1000,10,FALSE)</f>
        <v>14</v>
      </c>
      <c r="G454" s="144">
        <f t="shared" si="39"/>
        <v>700</v>
      </c>
      <c r="H454" s="81"/>
      <c r="I454" s="121"/>
      <c r="J454" s="121"/>
      <c r="K454" s="4"/>
    </row>
    <row r="455" spans="1:11" ht="13">
      <c r="A455" s="4"/>
      <c r="B455" s="4"/>
      <c r="C455" s="145" t="s">
        <v>1154</v>
      </c>
      <c r="D455" s="146">
        <v>1</v>
      </c>
      <c r="E455" s="4" t="str">
        <f>VLOOKUP(C455,Master!$B$6:$N$1000,9,FALSE)</f>
        <v>gr</v>
      </c>
      <c r="F455" s="158">
        <f>VLOOKUP(C455,Master!$B$6:$N$1000,10,FALSE)</f>
        <v>20</v>
      </c>
      <c r="G455" s="144">
        <f t="shared" si="39"/>
        <v>20</v>
      </c>
      <c r="H455" s="81"/>
      <c r="I455" s="121"/>
      <c r="J455" s="121"/>
      <c r="K455" s="4"/>
    </row>
    <row r="456" spans="1:11" ht="13">
      <c r="A456" s="161" t="str">
        <f>VLOOKUP(B456,Master!$V$7:$W$158,2,FALSE)</f>
        <v>M0144</v>
      </c>
      <c r="B456" s="152" t="s">
        <v>762</v>
      </c>
      <c r="C456" s="153"/>
      <c r="D456" s="153"/>
      <c r="E456" s="154"/>
      <c r="F456" s="153"/>
      <c r="G456" s="155">
        <f>SUM(G457:G464)</f>
        <v>16316.442095892053</v>
      </c>
      <c r="H456" s="139">
        <v>0.1</v>
      </c>
      <c r="I456" s="155">
        <f>G456+(G456*H456)</f>
        <v>17948.086305481258</v>
      </c>
      <c r="J456" s="140" t="b">
        <v>0</v>
      </c>
      <c r="K456" s="4"/>
    </row>
    <row r="457" spans="1:11" ht="13">
      <c r="A457" s="4"/>
      <c r="B457" s="4"/>
      <c r="C457" s="4" t="s">
        <v>432</v>
      </c>
      <c r="D457" s="146">
        <v>1</v>
      </c>
      <c r="E457" s="4" t="str">
        <f>VLOOKUP(C457,Master!$B$6:$N$1000,9,FALSE)</f>
        <v>porsi</v>
      </c>
      <c r="F457" s="158">
        <f>VLOOKUP(C457,Master!$B$6:$N$1000,10,FALSE)</f>
        <v>8171.2583333333341</v>
      </c>
      <c r="G457" s="144">
        <f t="shared" ref="G457:G464" si="40">D457*F457</f>
        <v>8171.2583333333341</v>
      </c>
      <c r="H457" s="4"/>
      <c r="I457" s="4"/>
      <c r="J457" s="4"/>
      <c r="K457" s="4"/>
    </row>
    <row r="458" spans="1:11" ht="13">
      <c r="A458" s="4"/>
      <c r="B458" s="4"/>
      <c r="C458" s="4" t="s">
        <v>412</v>
      </c>
      <c r="D458" s="146">
        <v>1</v>
      </c>
      <c r="E458" s="4" t="str">
        <f>VLOOKUP(C458,Master!$B$6:$N$1000,9,FALSE)</f>
        <v>porsi</v>
      </c>
      <c r="F458" s="158">
        <f>VLOOKUP(C458,Master!$B$6:$N$1000,10,FALSE)</f>
        <v>1057.9833611111112</v>
      </c>
      <c r="G458" s="144">
        <f t="shared" si="40"/>
        <v>1057.9833611111112</v>
      </c>
      <c r="H458" s="4"/>
      <c r="I458" s="4"/>
      <c r="J458" s="4"/>
      <c r="K458" s="4"/>
    </row>
    <row r="459" spans="1:11" ht="13">
      <c r="A459" s="4"/>
      <c r="B459" s="4"/>
      <c r="C459" s="4" t="s">
        <v>436</v>
      </c>
      <c r="D459" s="146">
        <v>1</v>
      </c>
      <c r="E459" s="4" t="str">
        <f>VLOOKUP(C459,Master!$B$6:$N$1000,9,FALSE)</f>
        <v>porsi</v>
      </c>
      <c r="F459" s="158">
        <f>VLOOKUP(C459,Master!$B$6:$N$1000,10,FALSE)</f>
        <v>1281.8666666666668</v>
      </c>
      <c r="G459" s="144">
        <f t="shared" si="40"/>
        <v>1281.8666666666668</v>
      </c>
      <c r="H459" s="4"/>
      <c r="I459" s="4"/>
      <c r="J459" s="4"/>
      <c r="K459" s="4"/>
    </row>
    <row r="460" spans="1:11" ht="13">
      <c r="A460" s="4"/>
      <c r="B460" s="4"/>
      <c r="C460" s="4" t="s">
        <v>420</v>
      </c>
      <c r="D460" s="146">
        <v>1</v>
      </c>
      <c r="E460" s="4" t="str">
        <f>VLOOKUP(C460,Master!$B$6:$N$1000,9,FALSE)</f>
        <v>porsi</v>
      </c>
      <c r="F460" s="158">
        <f>VLOOKUP(C460,Master!$B$6:$N$1000,10,FALSE)</f>
        <v>3541.34466374269</v>
      </c>
      <c r="G460" s="144">
        <f t="shared" si="40"/>
        <v>3541.34466374269</v>
      </c>
      <c r="H460" s="4"/>
      <c r="I460" s="4"/>
      <c r="J460" s="4"/>
      <c r="K460" s="4"/>
    </row>
    <row r="461" spans="1:11" ht="13">
      <c r="A461" s="4"/>
      <c r="B461" s="4"/>
      <c r="C461" s="4" t="s">
        <v>251</v>
      </c>
      <c r="D461" s="146">
        <v>1</v>
      </c>
      <c r="E461" s="4" t="str">
        <f>VLOOKUP(C461,Master!$B$6:$N$1000,9,FALSE)</f>
        <v>Porsi</v>
      </c>
      <c r="F461" s="158">
        <f>VLOOKUP(C461,Master!$B$6:$N$1000,10,FALSE)</f>
        <v>1093.9890710382513</v>
      </c>
      <c r="G461" s="144">
        <f t="shared" si="40"/>
        <v>1093.9890710382513</v>
      </c>
      <c r="H461" s="4"/>
      <c r="I461" s="4"/>
      <c r="J461" s="4"/>
      <c r="K461" s="4"/>
    </row>
    <row r="462" spans="1:11" ht="13">
      <c r="A462" s="4"/>
      <c r="B462" s="4"/>
      <c r="C462" s="4" t="s">
        <v>827</v>
      </c>
      <c r="D462" s="146">
        <v>50</v>
      </c>
      <c r="E462" s="4" t="str">
        <f>VLOOKUP(C462,Master!$B$6:$N$1000,9,FALSE)</f>
        <v>gr</v>
      </c>
      <c r="F462" s="158">
        <f>VLOOKUP(C462,Master!$B$6:$N$1000,10,FALSE)</f>
        <v>12</v>
      </c>
      <c r="G462" s="144">
        <f t="shared" si="40"/>
        <v>600</v>
      </c>
      <c r="H462" s="4"/>
      <c r="I462" s="4"/>
      <c r="J462" s="4"/>
      <c r="K462" s="4"/>
    </row>
    <row r="463" spans="1:11" ht="13">
      <c r="A463" s="4"/>
      <c r="B463" s="4"/>
      <c r="C463" s="145" t="s">
        <v>1140</v>
      </c>
      <c r="D463" s="146">
        <v>50</v>
      </c>
      <c r="E463" s="4" t="str">
        <f>VLOOKUP(C463,Master!$B$6:$N$1000,9,FALSE)</f>
        <v>gr</v>
      </c>
      <c r="F463" s="158">
        <f>VLOOKUP(C463,Master!$B$6:$N$1000,10,FALSE)</f>
        <v>11</v>
      </c>
      <c r="G463" s="144">
        <f t="shared" si="40"/>
        <v>550</v>
      </c>
      <c r="H463" s="81"/>
      <c r="I463" s="121"/>
      <c r="J463" s="121"/>
      <c r="K463" s="4"/>
    </row>
    <row r="464" spans="1:11" ht="13">
      <c r="A464" s="4"/>
      <c r="B464" s="4"/>
      <c r="C464" s="145" t="s">
        <v>1154</v>
      </c>
      <c r="D464" s="146">
        <v>1</v>
      </c>
      <c r="E464" s="4" t="str">
        <f>VLOOKUP(C464,Master!$B$6:$N$1000,9,FALSE)</f>
        <v>gr</v>
      </c>
      <c r="F464" s="158">
        <f>VLOOKUP(C464,Master!$B$6:$N$1000,10,FALSE)</f>
        <v>20</v>
      </c>
      <c r="G464" s="144">
        <f t="shared" si="40"/>
        <v>20</v>
      </c>
      <c r="H464" s="81"/>
      <c r="I464" s="121"/>
      <c r="J464" s="121"/>
      <c r="K464" s="4"/>
    </row>
    <row r="465" spans="1:11" ht="13">
      <c r="A465" s="161" t="str">
        <f>VLOOKUP(B465,Master!$V$7:$W$158,2,FALSE)</f>
        <v>M0143</v>
      </c>
      <c r="B465" s="152" t="s">
        <v>778</v>
      </c>
      <c r="C465" s="153"/>
      <c r="D465" s="153"/>
      <c r="E465" s="154"/>
      <c r="F465" s="153"/>
      <c r="G465" s="155">
        <f>SUM(G466:G473)</f>
        <v>13832.651243552871</v>
      </c>
      <c r="H465" s="139">
        <v>0.1</v>
      </c>
      <c r="I465" s="155">
        <f>G465+(G465*H465)</f>
        <v>15215.916367908158</v>
      </c>
      <c r="J465" s="140" t="b">
        <v>0</v>
      </c>
      <c r="K465" s="4"/>
    </row>
    <row r="466" spans="1:11" ht="14">
      <c r="A466" s="4"/>
      <c r="B466" s="4"/>
      <c r="C466" s="4" t="s">
        <v>1131</v>
      </c>
      <c r="D466" s="162">
        <v>50</v>
      </c>
      <c r="E466" s="4" t="str">
        <f>VLOOKUP(C466,Master!$B$6:$N$1000,9,FALSE)</f>
        <v>gr</v>
      </c>
      <c r="F466" s="158">
        <f>VLOOKUP(C466,Master!$B$6:$N$1000,10,FALSE)</f>
        <v>112</v>
      </c>
      <c r="G466" s="144">
        <f t="shared" ref="G466:G473" si="41">D466*F466</f>
        <v>5600</v>
      </c>
      <c r="H466" s="4"/>
      <c r="I466" s="4"/>
      <c r="J466" s="4"/>
      <c r="K466" s="4"/>
    </row>
    <row r="467" spans="1:11" ht="13">
      <c r="A467" s="4"/>
      <c r="B467" s="4"/>
      <c r="C467" s="4" t="s">
        <v>416</v>
      </c>
      <c r="D467" s="146">
        <v>1</v>
      </c>
      <c r="E467" s="4" t="str">
        <f>VLOOKUP(C467,Master!$B$6:$N$1000,9,FALSE)</f>
        <v>porsi</v>
      </c>
      <c r="F467" s="158">
        <f>VLOOKUP(C467,Master!$B$6:$N$1000,10,FALSE)</f>
        <v>1145.4508421052631</v>
      </c>
      <c r="G467" s="144">
        <f t="shared" si="41"/>
        <v>1145.4508421052631</v>
      </c>
      <c r="H467" s="4"/>
      <c r="I467" s="4"/>
      <c r="J467" s="4"/>
      <c r="K467" s="4"/>
    </row>
    <row r="468" spans="1:11" ht="13">
      <c r="A468" s="4"/>
      <c r="B468" s="4"/>
      <c r="C468" s="4" t="s">
        <v>436</v>
      </c>
      <c r="D468" s="146">
        <v>1</v>
      </c>
      <c r="E468" s="4" t="str">
        <f>VLOOKUP(C468,Master!$B$6:$N$1000,9,FALSE)</f>
        <v>porsi</v>
      </c>
      <c r="F468" s="158">
        <f>VLOOKUP(C468,Master!$B$6:$N$1000,10,FALSE)</f>
        <v>1281.8666666666668</v>
      </c>
      <c r="G468" s="144">
        <f t="shared" si="41"/>
        <v>1281.8666666666668</v>
      </c>
      <c r="H468" s="4"/>
      <c r="I468" s="4"/>
      <c r="J468" s="4"/>
      <c r="K468" s="4"/>
    </row>
    <row r="469" spans="1:11" ht="13">
      <c r="A469" s="4"/>
      <c r="B469" s="4"/>
      <c r="C469" s="4" t="s">
        <v>420</v>
      </c>
      <c r="D469" s="146">
        <v>1</v>
      </c>
      <c r="E469" s="4" t="str">
        <f>VLOOKUP(C469,Master!$B$6:$N$1000,9,FALSE)</f>
        <v>porsi</v>
      </c>
      <c r="F469" s="158">
        <f>VLOOKUP(C469,Master!$B$6:$N$1000,10,FALSE)</f>
        <v>3541.34466374269</v>
      </c>
      <c r="G469" s="144">
        <f t="shared" si="41"/>
        <v>3541.34466374269</v>
      </c>
      <c r="H469" s="4"/>
      <c r="I469" s="4"/>
      <c r="J469" s="4"/>
      <c r="K469" s="4"/>
    </row>
    <row r="470" spans="1:11" ht="13">
      <c r="A470" s="4"/>
      <c r="B470" s="4"/>
      <c r="C470" s="4" t="s">
        <v>251</v>
      </c>
      <c r="D470" s="146">
        <v>1</v>
      </c>
      <c r="E470" s="4" t="str">
        <f>VLOOKUP(C470,Master!$B$6:$N$1000,9,FALSE)</f>
        <v>Porsi</v>
      </c>
      <c r="F470" s="158">
        <f>VLOOKUP(C470,Master!$B$6:$N$1000,10,FALSE)</f>
        <v>1093.9890710382513</v>
      </c>
      <c r="G470" s="144">
        <f t="shared" si="41"/>
        <v>1093.9890710382513</v>
      </c>
      <c r="H470" s="4"/>
      <c r="I470" s="4"/>
      <c r="J470" s="4"/>
      <c r="K470" s="4"/>
    </row>
    <row r="471" spans="1:11" ht="13">
      <c r="A471" s="4"/>
      <c r="B471" s="4"/>
      <c r="C471" s="4" t="s">
        <v>827</v>
      </c>
      <c r="D471" s="146">
        <v>50</v>
      </c>
      <c r="E471" s="4" t="str">
        <f>VLOOKUP(C471,Master!$B$6:$N$1000,9,FALSE)</f>
        <v>gr</v>
      </c>
      <c r="F471" s="158">
        <f>VLOOKUP(C471,Master!$B$6:$N$1000,10,FALSE)</f>
        <v>12</v>
      </c>
      <c r="G471" s="144">
        <f t="shared" si="41"/>
        <v>600</v>
      </c>
      <c r="H471" s="4"/>
      <c r="I471" s="4"/>
      <c r="J471" s="4"/>
      <c r="K471" s="4"/>
    </row>
    <row r="472" spans="1:11" ht="13">
      <c r="A472" s="4"/>
      <c r="B472" s="4"/>
      <c r="C472" s="145" t="s">
        <v>1140</v>
      </c>
      <c r="D472" s="146">
        <v>50</v>
      </c>
      <c r="E472" s="4" t="str">
        <f>VLOOKUP(C472,Master!$B$6:$N$1000,9,FALSE)</f>
        <v>gr</v>
      </c>
      <c r="F472" s="158">
        <f>VLOOKUP(C472,Master!$B$6:$N$1000,10,FALSE)</f>
        <v>11</v>
      </c>
      <c r="G472" s="144">
        <f t="shared" si="41"/>
        <v>550</v>
      </c>
      <c r="H472" s="81"/>
      <c r="I472" s="121"/>
      <c r="J472" s="121"/>
      <c r="K472" s="4"/>
    </row>
    <row r="473" spans="1:11" ht="13">
      <c r="A473" s="4"/>
      <c r="B473" s="4"/>
      <c r="C473" s="145" t="s">
        <v>1154</v>
      </c>
      <c r="D473" s="146">
        <v>1</v>
      </c>
      <c r="E473" s="4" t="str">
        <f>VLOOKUP(C473,Master!$B$6:$N$1000,9,FALSE)</f>
        <v>gr</v>
      </c>
      <c r="F473" s="158">
        <f>VLOOKUP(C473,Master!$B$6:$N$1000,10,FALSE)</f>
        <v>20</v>
      </c>
      <c r="G473" s="144">
        <f t="shared" si="41"/>
        <v>20</v>
      </c>
      <c r="H473" s="81"/>
      <c r="I473" s="121"/>
      <c r="J473" s="121"/>
      <c r="K473" s="4"/>
    </row>
    <row r="474" spans="1:11" ht="13">
      <c r="A474" s="161" t="str">
        <f>VLOOKUP(B474,Master!$V$7:$W$158,2,FALSE)</f>
        <v>M0144</v>
      </c>
      <c r="B474" s="152" t="s">
        <v>781</v>
      </c>
      <c r="C474" s="153"/>
      <c r="D474" s="153"/>
      <c r="E474" s="154"/>
      <c r="F474" s="153"/>
      <c r="G474" s="155">
        <f>SUM(G475:G482)</f>
        <v>13745.18376255872</v>
      </c>
      <c r="H474" s="139">
        <v>0.1</v>
      </c>
      <c r="I474" s="155">
        <f>G474+(G474*H474)</f>
        <v>15119.702138814591</v>
      </c>
      <c r="J474" s="140" t="b">
        <v>0</v>
      </c>
      <c r="K474" s="4"/>
    </row>
    <row r="475" spans="1:11" ht="13">
      <c r="A475" s="4"/>
      <c r="B475" s="4"/>
      <c r="C475" s="4" t="s">
        <v>1131</v>
      </c>
      <c r="D475" s="146">
        <v>50</v>
      </c>
      <c r="E475" s="4" t="str">
        <f>VLOOKUP(C475,Master!$B$6:$N$1000,9,FALSE)</f>
        <v>gr</v>
      </c>
      <c r="F475" s="158">
        <f>VLOOKUP(C475,Master!$B$6:$N$1000,10,FALSE)</f>
        <v>112</v>
      </c>
      <c r="G475" s="144">
        <f t="shared" ref="G475:G482" si="42">D475*F475</f>
        <v>5600</v>
      </c>
      <c r="H475" s="4"/>
      <c r="I475" s="4"/>
      <c r="J475" s="4"/>
      <c r="K475" s="4"/>
    </row>
    <row r="476" spans="1:11" ht="13">
      <c r="A476" s="4"/>
      <c r="B476" s="4"/>
      <c r="C476" s="4" t="s">
        <v>412</v>
      </c>
      <c r="D476" s="146">
        <v>1</v>
      </c>
      <c r="E476" s="4" t="str">
        <f>VLOOKUP(C476,Master!$B$6:$N$1000,9,FALSE)</f>
        <v>porsi</v>
      </c>
      <c r="F476" s="158">
        <f>VLOOKUP(C476,Master!$B$6:$N$1000,10,FALSE)</f>
        <v>1057.9833611111112</v>
      </c>
      <c r="G476" s="144">
        <f t="shared" si="42"/>
        <v>1057.9833611111112</v>
      </c>
      <c r="H476" s="4"/>
      <c r="I476" s="4"/>
      <c r="J476" s="4"/>
      <c r="K476" s="4"/>
    </row>
    <row r="477" spans="1:11" ht="13">
      <c r="A477" s="4"/>
      <c r="B477" s="4"/>
      <c r="C477" s="4" t="s">
        <v>436</v>
      </c>
      <c r="D477" s="146">
        <v>1</v>
      </c>
      <c r="E477" s="4" t="str">
        <f>VLOOKUP(C477,Master!$B$6:$N$1000,9,FALSE)</f>
        <v>porsi</v>
      </c>
      <c r="F477" s="158">
        <f>VLOOKUP(C477,Master!$B$6:$N$1000,10,FALSE)</f>
        <v>1281.8666666666668</v>
      </c>
      <c r="G477" s="144">
        <f t="shared" si="42"/>
        <v>1281.8666666666668</v>
      </c>
      <c r="H477" s="4"/>
      <c r="I477" s="4"/>
      <c r="J477" s="4"/>
      <c r="K477" s="4"/>
    </row>
    <row r="478" spans="1:11" ht="13">
      <c r="A478" s="4"/>
      <c r="B478" s="4"/>
      <c r="C478" s="4" t="s">
        <v>420</v>
      </c>
      <c r="D478" s="146">
        <v>1</v>
      </c>
      <c r="E478" s="4" t="str">
        <f>VLOOKUP(C478,Master!$B$6:$N$1000,9,FALSE)</f>
        <v>porsi</v>
      </c>
      <c r="F478" s="158">
        <f>VLOOKUP(C478,Master!$B$6:$N$1000,10,FALSE)</f>
        <v>3541.34466374269</v>
      </c>
      <c r="G478" s="144">
        <f t="shared" si="42"/>
        <v>3541.34466374269</v>
      </c>
      <c r="H478" s="4"/>
      <c r="I478" s="4"/>
      <c r="J478" s="4"/>
      <c r="K478" s="4"/>
    </row>
    <row r="479" spans="1:11" ht="13">
      <c r="A479" s="4"/>
      <c r="B479" s="4"/>
      <c r="C479" s="4" t="s">
        <v>251</v>
      </c>
      <c r="D479" s="146">
        <v>1</v>
      </c>
      <c r="E479" s="4" t="str">
        <f>VLOOKUP(C479,Master!$B$6:$N$1000,9,FALSE)</f>
        <v>Porsi</v>
      </c>
      <c r="F479" s="158">
        <f>VLOOKUP(C479,Master!$B$6:$N$1000,10,FALSE)</f>
        <v>1093.9890710382513</v>
      </c>
      <c r="G479" s="144">
        <f t="shared" si="42"/>
        <v>1093.9890710382513</v>
      </c>
      <c r="H479" s="4"/>
      <c r="I479" s="4"/>
      <c r="J479" s="4"/>
      <c r="K479" s="4"/>
    </row>
    <row r="480" spans="1:11" ht="13">
      <c r="A480" s="4"/>
      <c r="B480" s="4"/>
      <c r="C480" s="4" t="s">
        <v>827</v>
      </c>
      <c r="D480" s="146">
        <v>50</v>
      </c>
      <c r="E480" s="4" t="str">
        <f>VLOOKUP(C480,Master!$B$6:$N$1000,9,FALSE)</f>
        <v>gr</v>
      </c>
      <c r="F480" s="158">
        <f>VLOOKUP(C480,Master!$B$6:$N$1000,10,FALSE)</f>
        <v>12</v>
      </c>
      <c r="G480" s="144">
        <f t="shared" si="42"/>
        <v>600</v>
      </c>
      <c r="H480" s="4"/>
      <c r="I480" s="4"/>
      <c r="J480" s="4"/>
      <c r="K480" s="4"/>
    </row>
    <row r="481" spans="1:11" ht="13">
      <c r="A481" s="4"/>
      <c r="B481" s="4"/>
      <c r="C481" s="145" t="s">
        <v>1140</v>
      </c>
      <c r="D481" s="146">
        <v>50</v>
      </c>
      <c r="E481" s="4" t="str">
        <f>VLOOKUP(C481,Master!$B$6:$N$1000,9,FALSE)</f>
        <v>gr</v>
      </c>
      <c r="F481" s="158">
        <f>VLOOKUP(C481,Master!$B$6:$N$1000,10,FALSE)</f>
        <v>11</v>
      </c>
      <c r="G481" s="144">
        <f t="shared" si="42"/>
        <v>550</v>
      </c>
      <c r="H481" s="81"/>
      <c r="I481" s="121"/>
      <c r="J481" s="121"/>
      <c r="K481" s="4"/>
    </row>
    <row r="482" spans="1:11" ht="13">
      <c r="A482" s="4"/>
      <c r="B482" s="4"/>
      <c r="C482" s="145" t="s">
        <v>1154</v>
      </c>
      <c r="D482" s="146">
        <v>1</v>
      </c>
      <c r="E482" s="4" t="str">
        <f>VLOOKUP(C482,Master!$B$6:$N$1000,9,FALSE)</f>
        <v>gr</v>
      </c>
      <c r="F482" s="158">
        <f>VLOOKUP(C482,Master!$B$6:$N$1000,10,FALSE)</f>
        <v>20</v>
      </c>
      <c r="G482" s="144">
        <f t="shared" si="42"/>
        <v>20</v>
      </c>
      <c r="H482" s="81"/>
      <c r="I482" s="121"/>
      <c r="J482" s="121"/>
      <c r="K482" s="4"/>
    </row>
    <row r="483" spans="1:11" ht="13">
      <c r="A483" s="161" t="str">
        <f>VLOOKUP(B483,Master!$V$7:$W$158,2,FALSE)</f>
        <v>M0143</v>
      </c>
      <c r="B483" s="163" t="s">
        <v>772</v>
      </c>
      <c r="C483" s="153"/>
      <c r="D483" s="153"/>
      <c r="E483" s="154"/>
      <c r="F483" s="153"/>
      <c r="G483" s="155">
        <f>SUM(G484:G491)</f>
        <v>13337.888743552872</v>
      </c>
      <c r="H483" s="139">
        <v>0.1</v>
      </c>
      <c r="I483" s="155">
        <f>G483+(G483*H483)</f>
        <v>14671.677617908159</v>
      </c>
      <c r="J483" s="140" t="b">
        <v>0</v>
      </c>
      <c r="K483" s="4"/>
    </row>
    <row r="484" spans="1:11" ht="13">
      <c r="A484" s="4"/>
      <c r="B484" s="4"/>
      <c r="C484" s="4" t="s">
        <v>424</v>
      </c>
      <c r="D484" s="146">
        <v>1</v>
      </c>
      <c r="E484" s="4" t="str">
        <f>VLOOKUP(C484,Master!$B$6:$N$1000,9,FALSE)</f>
        <v>porsi</v>
      </c>
      <c r="F484" s="158">
        <f>VLOOKUP(C484,Master!$B$6:$N$1000,10,FALSE)</f>
        <v>5105.2375000000002</v>
      </c>
      <c r="G484" s="144">
        <f t="shared" ref="G484:G491" si="43">D484*F484</f>
        <v>5105.2375000000002</v>
      </c>
      <c r="H484" s="4"/>
      <c r="I484" s="4"/>
      <c r="J484" s="4"/>
      <c r="K484" s="4"/>
    </row>
    <row r="485" spans="1:11" ht="13">
      <c r="A485" s="4"/>
      <c r="B485" s="4"/>
      <c r="C485" s="4" t="s">
        <v>416</v>
      </c>
      <c r="D485" s="146">
        <v>1</v>
      </c>
      <c r="E485" s="4" t="str">
        <f>VLOOKUP(C485,Master!$B$6:$N$1000,9,FALSE)</f>
        <v>porsi</v>
      </c>
      <c r="F485" s="158">
        <f>VLOOKUP(C485,Master!$B$6:$N$1000,10,FALSE)</f>
        <v>1145.4508421052631</v>
      </c>
      <c r="G485" s="144">
        <f t="shared" si="43"/>
        <v>1145.4508421052631</v>
      </c>
      <c r="H485" s="4"/>
      <c r="I485" s="4"/>
      <c r="J485" s="4"/>
      <c r="K485" s="4"/>
    </row>
    <row r="486" spans="1:11" ht="13">
      <c r="A486" s="4"/>
      <c r="B486" s="4"/>
      <c r="C486" s="4" t="s">
        <v>436</v>
      </c>
      <c r="D486" s="146">
        <v>1</v>
      </c>
      <c r="E486" s="4" t="str">
        <f>VLOOKUP(C486,Master!$B$6:$N$1000,9,FALSE)</f>
        <v>porsi</v>
      </c>
      <c r="F486" s="158">
        <f>VLOOKUP(C486,Master!$B$6:$N$1000,10,FALSE)</f>
        <v>1281.8666666666668</v>
      </c>
      <c r="G486" s="144">
        <f t="shared" si="43"/>
        <v>1281.8666666666668</v>
      </c>
      <c r="H486" s="4"/>
      <c r="I486" s="4"/>
      <c r="J486" s="4"/>
      <c r="K486" s="4"/>
    </row>
    <row r="487" spans="1:11" ht="13">
      <c r="A487" s="4"/>
      <c r="B487" s="4"/>
      <c r="C487" s="4" t="s">
        <v>420</v>
      </c>
      <c r="D487" s="146">
        <v>1</v>
      </c>
      <c r="E487" s="4" t="str">
        <f>VLOOKUP(C487,Master!$B$6:$N$1000,9,FALSE)</f>
        <v>porsi</v>
      </c>
      <c r="F487" s="158">
        <f>VLOOKUP(C487,Master!$B$6:$N$1000,10,FALSE)</f>
        <v>3541.34466374269</v>
      </c>
      <c r="G487" s="144">
        <f t="shared" si="43"/>
        <v>3541.34466374269</v>
      </c>
      <c r="H487" s="4"/>
      <c r="I487" s="4"/>
      <c r="J487" s="4"/>
      <c r="K487" s="4"/>
    </row>
    <row r="488" spans="1:11" ht="13">
      <c r="A488" s="4"/>
      <c r="B488" s="4"/>
      <c r="C488" s="4" t="s">
        <v>251</v>
      </c>
      <c r="D488" s="146">
        <v>1</v>
      </c>
      <c r="E488" s="4" t="str">
        <f>VLOOKUP(C488,Master!$B$6:$N$1000,9,FALSE)</f>
        <v>Porsi</v>
      </c>
      <c r="F488" s="158">
        <f>VLOOKUP(C488,Master!$B$6:$N$1000,10,FALSE)</f>
        <v>1093.9890710382513</v>
      </c>
      <c r="G488" s="144">
        <f t="shared" si="43"/>
        <v>1093.9890710382513</v>
      </c>
      <c r="H488" s="4"/>
      <c r="I488" s="4"/>
      <c r="J488" s="4"/>
      <c r="K488" s="4"/>
    </row>
    <row r="489" spans="1:11" ht="13">
      <c r="A489" s="4"/>
      <c r="B489" s="4"/>
      <c r="C489" s="4" t="s">
        <v>827</v>
      </c>
      <c r="D489" s="146">
        <v>50</v>
      </c>
      <c r="E489" s="4" t="str">
        <f>VLOOKUP(C489,Master!$B$6:$N$1000,9,FALSE)</f>
        <v>gr</v>
      </c>
      <c r="F489" s="158">
        <f>VLOOKUP(C489,Master!$B$6:$N$1000,10,FALSE)</f>
        <v>12</v>
      </c>
      <c r="G489" s="144">
        <f t="shared" si="43"/>
        <v>600</v>
      </c>
      <c r="H489" s="4"/>
      <c r="I489" s="4"/>
      <c r="J489" s="4"/>
      <c r="K489" s="4"/>
    </row>
    <row r="490" spans="1:11" ht="13">
      <c r="A490" s="4"/>
      <c r="B490" s="4"/>
      <c r="C490" s="145" t="s">
        <v>1140</v>
      </c>
      <c r="D490" s="146">
        <v>50</v>
      </c>
      <c r="E490" s="4" t="str">
        <f>VLOOKUP(C490,Master!$B$6:$N$1000,9,FALSE)</f>
        <v>gr</v>
      </c>
      <c r="F490" s="158">
        <f>VLOOKUP(C490,Master!$B$6:$N$1000,10,FALSE)</f>
        <v>11</v>
      </c>
      <c r="G490" s="144">
        <f t="shared" si="43"/>
        <v>550</v>
      </c>
      <c r="H490" s="81"/>
      <c r="I490" s="121"/>
      <c r="J490" s="121"/>
      <c r="K490" s="4"/>
    </row>
    <row r="491" spans="1:11" ht="13">
      <c r="A491" s="4"/>
      <c r="B491" s="4"/>
      <c r="C491" s="145" t="s">
        <v>1154</v>
      </c>
      <c r="D491" s="146">
        <v>1</v>
      </c>
      <c r="E491" s="4" t="str">
        <f>VLOOKUP(C491,Master!$B$6:$N$1000,9,FALSE)</f>
        <v>gr</v>
      </c>
      <c r="F491" s="158">
        <f>VLOOKUP(C491,Master!$B$6:$N$1000,10,FALSE)</f>
        <v>20</v>
      </c>
      <c r="G491" s="144">
        <f t="shared" si="43"/>
        <v>20</v>
      </c>
      <c r="H491" s="81"/>
      <c r="I491" s="121"/>
      <c r="J491" s="121"/>
      <c r="K491" s="4"/>
    </row>
    <row r="492" spans="1:11" ht="13">
      <c r="A492" s="161" t="str">
        <f>VLOOKUP(B492,Master!$V$7:$W$158,2,FALSE)</f>
        <v>M0144</v>
      </c>
      <c r="B492" s="152" t="s">
        <v>775</v>
      </c>
      <c r="C492" s="153"/>
      <c r="D492" s="153"/>
      <c r="E492" s="154"/>
      <c r="F492" s="153"/>
      <c r="G492" s="155">
        <f>SUM(G493:G500)</f>
        <v>9237.9564123080927</v>
      </c>
      <c r="H492" s="139">
        <v>0.1</v>
      </c>
      <c r="I492" s="155">
        <f>G492+(G492*H492)</f>
        <v>10161.752053538901</v>
      </c>
      <c r="J492" s="140" t="b">
        <v>0</v>
      </c>
      <c r="K492" s="4"/>
    </row>
    <row r="493" spans="1:11" ht="13">
      <c r="A493" s="4"/>
      <c r="B493" s="4"/>
      <c r="C493" s="4" t="s">
        <v>251</v>
      </c>
      <c r="D493" s="146">
        <v>1</v>
      </c>
      <c r="E493" s="4" t="str">
        <f>VLOOKUP(C493,Master!$B$6:$N$1000,9,FALSE)</f>
        <v>Porsi</v>
      </c>
      <c r="F493" s="158">
        <f>VLOOKUP(C493,Master!$B$6:$N$1000,10,FALSE)</f>
        <v>1093.9890710382513</v>
      </c>
      <c r="G493" s="144">
        <f t="shared" ref="G493:G500" si="44">D493*F493</f>
        <v>1093.9890710382513</v>
      </c>
      <c r="H493" s="4"/>
      <c r="I493" s="4"/>
      <c r="J493" s="4"/>
      <c r="K493" s="4"/>
    </row>
    <row r="494" spans="1:11" ht="13">
      <c r="A494" s="4"/>
      <c r="B494" s="4"/>
      <c r="C494" s="4" t="s">
        <v>424</v>
      </c>
      <c r="D494" s="146">
        <v>1</v>
      </c>
      <c r="E494" s="4" t="str">
        <f>VLOOKUP(C494,Master!$B$6:$N$1000,9,FALSE)</f>
        <v>porsi</v>
      </c>
      <c r="F494" s="158">
        <f>VLOOKUP(C494,Master!$B$6:$N$1000,10,FALSE)</f>
        <v>5105.2375000000002</v>
      </c>
      <c r="G494" s="144">
        <f t="shared" si="44"/>
        <v>5105.2375000000002</v>
      </c>
      <c r="H494" s="4"/>
      <c r="I494" s="4"/>
      <c r="J494" s="4"/>
      <c r="K494" s="4"/>
    </row>
    <row r="495" spans="1:11" ht="13">
      <c r="A495" s="4"/>
      <c r="B495" s="4"/>
      <c r="C495" s="4" t="s">
        <v>322</v>
      </c>
      <c r="D495" s="146">
        <v>1</v>
      </c>
      <c r="E495" s="4" t="str">
        <f>VLOOKUP(C495,Master!$B$6:$N$1000,9,FALSE)</f>
        <v>pcs</v>
      </c>
      <c r="F495" s="158">
        <f>VLOOKUP(C495,Master!$B$6:$N$1000,10,FALSE)</f>
        <v>275</v>
      </c>
      <c r="G495" s="144">
        <f t="shared" si="44"/>
        <v>275</v>
      </c>
      <c r="H495" s="4"/>
      <c r="I495" s="4"/>
      <c r="J495" s="4"/>
      <c r="K495" s="4"/>
    </row>
    <row r="496" spans="1:11" ht="13">
      <c r="A496" s="4"/>
      <c r="B496" s="4"/>
      <c r="C496" s="4" t="s">
        <v>795</v>
      </c>
      <c r="D496" s="146">
        <v>1</v>
      </c>
      <c r="E496" s="4" t="str">
        <f>VLOOKUP(C496,Master!$B$6:$N$1000,9,FALSE)</f>
        <v>unit</v>
      </c>
      <c r="F496" s="158">
        <f>VLOOKUP(C496,Master!$B$6:$N$1000,10,FALSE)</f>
        <v>800</v>
      </c>
      <c r="G496" s="144">
        <f t="shared" si="44"/>
        <v>800</v>
      </c>
      <c r="H496" s="4"/>
      <c r="I496" s="4"/>
      <c r="J496" s="4"/>
      <c r="K496" s="4"/>
    </row>
    <row r="497" spans="1:11" ht="13">
      <c r="A497" s="4"/>
      <c r="B497" s="4"/>
      <c r="C497" s="4" t="s">
        <v>1237</v>
      </c>
      <c r="D497" s="146">
        <v>30</v>
      </c>
      <c r="E497" s="4" t="str">
        <f>VLOOKUP(C497,Master!$B$6:$N$1000,9,FALSE)</f>
        <v>gr</v>
      </c>
      <c r="F497" s="158">
        <f>VLOOKUP(C497,Master!$B$6:$N$1000,10,FALSE)</f>
        <v>20</v>
      </c>
      <c r="G497" s="144">
        <f t="shared" si="44"/>
        <v>600</v>
      </c>
      <c r="H497" s="4"/>
      <c r="I497" s="4"/>
      <c r="J497" s="4"/>
      <c r="K497" s="4"/>
    </row>
    <row r="498" spans="1:11" ht="13">
      <c r="A498" s="4"/>
      <c r="B498" s="4"/>
      <c r="C498" s="4" t="s">
        <v>476</v>
      </c>
      <c r="D498" s="146">
        <v>1</v>
      </c>
      <c r="E498" s="4" t="str">
        <f>VLOOKUP(C498,Master!$B$6:$N$1000,9,FALSE)</f>
        <v>porsi</v>
      </c>
      <c r="F498" s="158">
        <f>VLOOKUP(C498,Master!$B$6:$N$1000,10,FALSE)</f>
        <v>1188.7298412698412</v>
      </c>
      <c r="G498" s="144">
        <f t="shared" si="44"/>
        <v>1188.7298412698412</v>
      </c>
      <c r="H498" s="4"/>
      <c r="I498" s="4"/>
      <c r="J498" s="4"/>
      <c r="K498" s="4"/>
    </row>
    <row r="499" spans="1:11" ht="13">
      <c r="A499" s="4"/>
      <c r="B499" s="4"/>
      <c r="C499" s="145" t="s">
        <v>827</v>
      </c>
      <c r="D499" s="146">
        <v>10</v>
      </c>
      <c r="E499" s="4" t="str">
        <f>VLOOKUP(C499,Master!$B$6:$N$1000,9,FALSE)</f>
        <v>gr</v>
      </c>
      <c r="F499" s="158">
        <f>VLOOKUP(C499,Master!$B$6:$N$1000,10,FALSE)</f>
        <v>12</v>
      </c>
      <c r="G499" s="144">
        <f t="shared" si="44"/>
        <v>120</v>
      </c>
      <c r="H499" s="81"/>
      <c r="I499" s="121"/>
      <c r="J499" s="121"/>
      <c r="K499" s="4"/>
    </row>
    <row r="500" spans="1:11" ht="13">
      <c r="A500" s="4"/>
      <c r="B500" s="4"/>
      <c r="C500" s="145" t="s">
        <v>1140</v>
      </c>
      <c r="D500" s="146">
        <v>5</v>
      </c>
      <c r="E500" s="4" t="str">
        <f>VLOOKUP(C500,Master!$B$6:$N$1000,9,FALSE)</f>
        <v>gr</v>
      </c>
      <c r="F500" s="158">
        <f>VLOOKUP(C500,Master!$B$6:$N$1000,10,FALSE)</f>
        <v>11</v>
      </c>
      <c r="G500" s="144">
        <f t="shared" si="44"/>
        <v>55</v>
      </c>
      <c r="H500" s="81"/>
      <c r="I500" s="121"/>
      <c r="J500" s="121"/>
      <c r="K500" s="4"/>
    </row>
    <row r="501" spans="1:11" ht="13">
      <c r="A501" s="161" t="str">
        <f>VLOOKUP(B501,Master!$V$7:$W$158,2,FALSE)</f>
        <v>M0143</v>
      </c>
      <c r="B501" s="152" t="s">
        <v>766</v>
      </c>
      <c r="C501" s="153"/>
      <c r="D501" s="153"/>
      <c r="E501" s="154"/>
      <c r="F501" s="153"/>
      <c r="G501" s="155">
        <f>SUM(G502:G509)</f>
        <v>20704.480190921291</v>
      </c>
      <c r="H501" s="139">
        <v>0.1</v>
      </c>
      <c r="I501" s="155">
        <f>G501+(G501*H501)</f>
        <v>22774.928210013419</v>
      </c>
      <c r="J501" s="140" t="b">
        <v>0</v>
      </c>
      <c r="K501" s="4"/>
    </row>
    <row r="502" spans="1:11" ht="13">
      <c r="A502" s="4"/>
      <c r="B502" s="4"/>
      <c r="C502" s="4" t="s">
        <v>428</v>
      </c>
      <c r="D502" s="146">
        <v>1</v>
      </c>
      <c r="E502" s="4" t="str">
        <f>VLOOKUP(C502,Master!$B$6:$N$1000,9,FALSE)</f>
        <v>porsi</v>
      </c>
      <c r="F502" s="158">
        <f>VLOOKUP(C502,Master!$B$6:$N$1000,10,FALSE)</f>
        <v>12471.82894736842</v>
      </c>
      <c r="G502" s="144">
        <f t="shared" ref="G502:G509" si="45">D502*F502</f>
        <v>12471.82894736842</v>
      </c>
      <c r="H502" s="4"/>
      <c r="I502" s="4"/>
      <c r="J502" s="4"/>
      <c r="K502" s="4"/>
    </row>
    <row r="503" spans="1:11" ht="13">
      <c r="A503" s="4"/>
      <c r="B503" s="4"/>
      <c r="C503" s="4" t="s">
        <v>416</v>
      </c>
      <c r="D503" s="146">
        <v>1</v>
      </c>
      <c r="E503" s="4" t="str">
        <f>VLOOKUP(C503,Master!$B$6:$N$1000,9,FALSE)</f>
        <v>porsi</v>
      </c>
      <c r="F503" s="158">
        <f>VLOOKUP(C503,Master!$B$6:$N$1000,10,FALSE)</f>
        <v>1145.4508421052631</v>
      </c>
      <c r="G503" s="144">
        <f t="shared" si="45"/>
        <v>1145.4508421052631</v>
      </c>
      <c r="H503" s="4"/>
      <c r="I503" s="4"/>
      <c r="J503" s="4"/>
      <c r="K503" s="4"/>
    </row>
    <row r="504" spans="1:11" ht="13">
      <c r="A504" s="4"/>
      <c r="B504" s="4"/>
      <c r="C504" s="4" t="s">
        <v>436</v>
      </c>
      <c r="D504" s="146">
        <v>1</v>
      </c>
      <c r="E504" s="4" t="str">
        <f>VLOOKUP(C504,Master!$B$6:$N$1000,9,FALSE)</f>
        <v>porsi</v>
      </c>
      <c r="F504" s="158">
        <f>VLOOKUP(C504,Master!$B$6:$N$1000,10,FALSE)</f>
        <v>1281.8666666666668</v>
      </c>
      <c r="G504" s="144">
        <f t="shared" si="45"/>
        <v>1281.8666666666668</v>
      </c>
      <c r="H504" s="4"/>
      <c r="I504" s="4"/>
      <c r="J504" s="4"/>
      <c r="K504" s="4"/>
    </row>
    <row r="505" spans="1:11" ht="13">
      <c r="A505" s="4"/>
      <c r="B505" s="4"/>
      <c r="C505" s="4" t="s">
        <v>420</v>
      </c>
      <c r="D505" s="146">
        <v>1</v>
      </c>
      <c r="E505" s="4" t="str">
        <f>VLOOKUP(C505,Master!$B$6:$N$1000,9,FALSE)</f>
        <v>porsi</v>
      </c>
      <c r="F505" s="158">
        <f>VLOOKUP(C505,Master!$B$6:$N$1000,10,FALSE)</f>
        <v>3541.34466374269</v>
      </c>
      <c r="G505" s="144">
        <f t="shared" si="45"/>
        <v>3541.34466374269</v>
      </c>
      <c r="H505" s="4"/>
      <c r="I505" s="4"/>
      <c r="J505" s="4"/>
      <c r="K505" s="4"/>
    </row>
    <row r="506" spans="1:11" ht="13">
      <c r="A506" s="4"/>
      <c r="B506" s="4"/>
      <c r="C506" s="4" t="s">
        <v>251</v>
      </c>
      <c r="D506" s="146">
        <v>1</v>
      </c>
      <c r="E506" s="4" t="str">
        <f>VLOOKUP(C506,Master!$B$6:$N$1000,9,FALSE)</f>
        <v>Porsi</v>
      </c>
      <c r="F506" s="158">
        <f>VLOOKUP(C506,Master!$B$6:$N$1000,10,FALSE)</f>
        <v>1093.9890710382513</v>
      </c>
      <c r="G506" s="144">
        <f t="shared" si="45"/>
        <v>1093.9890710382513</v>
      </c>
      <c r="H506" s="4"/>
      <c r="I506" s="4"/>
      <c r="J506" s="4"/>
      <c r="K506" s="4"/>
    </row>
    <row r="507" spans="1:11" ht="13">
      <c r="A507" s="4"/>
      <c r="B507" s="4"/>
      <c r="C507" s="4" t="s">
        <v>827</v>
      </c>
      <c r="D507" s="146">
        <v>50</v>
      </c>
      <c r="E507" s="4" t="str">
        <f>VLOOKUP(C507,Master!$B$6:$N$1000,9,FALSE)</f>
        <v>gr</v>
      </c>
      <c r="F507" s="158">
        <f>VLOOKUP(C507,Master!$B$6:$N$1000,10,FALSE)</f>
        <v>12</v>
      </c>
      <c r="G507" s="144">
        <f t="shared" si="45"/>
        <v>600</v>
      </c>
      <c r="H507" s="4"/>
      <c r="I507" s="4"/>
      <c r="J507" s="4"/>
      <c r="K507" s="4"/>
    </row>
    <row r="508" spans="1:11" ht="13">
      <c r="A508" s="4"/>
      <c r="B508" s="4"/>
      <c r="C508" s="145" t="s">
        <v>1140</v>
      </c>
      <c r="D508" s="146">
        <v>50</v>
      </c>
      <c r="E508" s="4" t="str">
        <f>VLOOKUP(C508,Master!$B$6:$N$1000,9,FALSE)</f>
        <v>gr</v>
      </c>
      <c r="F508" s="158">
        <f>VLOOKUP(C508,Master!$B$6:$N$1000,10,FALSE)</f>
        <v>11</v>
      </c>
      <c r="G508" s="144">
        <f t="shared" si="45"/>
        <v>550</v>
      </c>
      <c r="H508" s="81"/>
      <c r="I508" s="121"/>
      <c r="J508" s="121"/>
      <c r="K508" s="4"/>
    </row>
    <row r="509" spans="1:11" ht="13">
      <c r="A509" s="4"/>
      <c r="B509" s="4"/>
      <c r="C509" s="145" t="s">
        <v>1154</v>
      </c>
      <c r="D509" s="146">
        <v>1</v>
      </c>
      <c r="E509" s="4" t="str">
        <f>VLOOKUP(C509,Master!$B$6:$N$1000,9,FALSE)</f>
        <v>gr</v>
      </c>
      <c r="F509" s="158">
        <f>VLOOKUP(C509,Master!$B$6:$N$1000,10,FALSE)</f>
        <v>20</v>
      </c>
      <c r="G509" s="144">
        <f t="shared" si="45"/>
        <v>20</v>
      </c>
      <c r="H509" s="81"/>
      <c r="I509" s="121"/>
      <c r="J509" s="121"/>
      <c r="K509" s="4"/>
    </row>
    <row r="510" spans="1:11" ht="13">
      <c r="A510" s="161" t="str">
        <f>VLOOKUP(B510,Master!$V$7:$W$158,2,FALSE)</f>
        <v>M0144</v>
      </c>
      <c r="B510" s="152" t="s">
        <v>769</v>
      </c>
      <c r="C510" s="153"/>
      <c r="D510" s="153"/>
      <c r="E510" s="154"/>
      <c r="F510" s="153"/>
      <c r="G510" s="155">
        <f>SUM(G511:G518)</f>
        <v>20617.012709927138</v>
      </c>
      <c r="H510" s="139">
        <v>0.1</v>
      </c>
      <c r="I510" s="155">
        <f>G510+(G510*H510)</f>
        <v>22678.713980919852</v>
      </c>
      <c r="J510" s="140" t="b">
        <v>0</v>
      </c>
      <c r="K510" s="4"/>
    </row>
    <row r="511" spans="1:11" ht="13">
      <c r="A511" s="4"/>
      <c r="B511" s="4"/>
      <c r="C511" s="4" t="s">
        <v>428</v>
      </c>
      <c r="D511" s="146">
        <v>1</v>
      </c>
      <c r="E511" s="4" t="str">
        <f>VLOOKUP(C511,Master!$B$6:$N$1000,9,FALSE)</f>
        <v>porsi</v>
      </c>
      <c r="F511" s="158">
        <f>VLOOKUP(C511,Master!$B$6:$N$1000,10,FALSE)</f>
        <v>12471.82894736842</v>
      </c>
      <c r="G511" s="144">
        <f t="shared" ref="G511:G518" si="46">D511*F511</f>
        <v>12471.82894736842</v>
      </c>
      <c r="H511" s="4"/>
      <c r="I511" s="4"/>
      <c r="J511" s="4"/>
      <c r="K511" s="4"/>
    </row>
    <row r="512" spans="1:11" ht="13">
      <c r="A512" s="4"/>
      <c r="B512" s="4"/>
      <c r="C512" s="4" t="s">
        <v>412</v>
      </c>
      <c r="D512" s="146">
        <v>1</v>
      </c>
      <c r="E512" s="4" t="str">
        <f>VLOOKUP(C512,Master!$B$6:$N$1000,9,FALSE)</f>
        <v>porsi</v>
      </c>
      <c r="F512" s="158">
        <f>VLOOKUP(C512,Master!$B$6:$N$1000,10,FALSE)</f>
        <v>1057.9833611111112</v>
      </c>
      <c r="G512" s="144">
        <f t="shared" si="46"/>
        <v>1057.9833611111112</v>
      </c>
      <c r="H512" s="4"/>
      <c r="I512" s="4"/>
      <c r="J512" s="4"/>
      <c r="K512" s="4"/>
    </row>
    <row r="513" spans="1:11" ht="13">
      <c r="A513" s="4"/>
      <c r="B513" s="4"/>
      <c r="C513" s="4" t="s">
        <v>436</v>
      </c>
      <c r="D513" s="146">
        <v>1</v>
      </c>
      <c r="E513" s="4" t="str">
        <f>VLOOKUP(C513,Master!$B$6:$N$1000,9,FALSE)</f>
        <v>porsi</v>
      </c>
      <c r="F513" s="158">
        <f>VLOOKUP(C513,Master!$B$6:$N$1000,10,FALSE)</f>
        <v>1281.8666666666668</v>
      </c>
      <c r="G513" s="144">
        <f t="shared" si="46"/>
        <v>1281.8666666666668</v>
      </c>
      <c r="H513" s="4"/>
      <c r="I513" s="4"/>
      <c r="J513" s="4"/>
      <c r="K513" s="4"/>
    </row>
    <row r="514" spans="1:11" ht="13">
      <c r="A514" s="4"/>
      <c r="B514" s="4"/>
      <c r="C514" s="4" t="s">
        <v>420</v>
      </c>
      <c r="D514" s="146">
        <v>1</v>
      </c>
      <c r="E514" s="4" t="str">
        <f>VLOOKUP(C514,Master!$B$6:$N$1000,9,FALSE)</f>
        <v>porsi</v>
      </c>
      <c r="F514" s="158">
        <f>VLOOKUP(C514,Master!$B$6:$N$1000,10,FALSE)</f>
        <v>3541.34466374269</v>
      </c>
      <c r="G514" s="144">
        <f t="shared" si="46"/>
        <v>3541.34466374269</v>
      </c>
      <c r="H514" s="4"/>
      <c r="I514" s="4"/>
      <c r="J514" s="4"/>
      <c r="K514" s="4"/>
    </row>
    <row r="515" spans="1:11" ht="13">
      <c r="A515" s="4"/>
      <c r="B515" s="4"/>
      <c r="C515" s="4" t="s">
        <v>251</v>
      </c>
      <c r="D515" s="146">
        <v>1</v>
      </c>
      <c r="E515" s="4" t="str">
        <f>VLOOKUP(C515,Master!$B$6:$N$1000,9,FALSE)</f>
        <v>Porsi</v>
      </c>
      <c r="F515" s="158">
        <f>VLOOKUP(C515,Master!$B$6:$N$1000,10,FALSE)</f>
        <v>1093.9890710382513</v>
      </c>
      <c r="G515" s="144">
        <f t="shared" si="46"/>
        <v>1093.9890710382513</v>
      </c>
      <c r="H515" s="4"/>
      <c r="I515" s="4"/>
      <c r="J515" s="4"/>
      <c r="K515" s="4"/>
    </row>
    <row r="516" spans="1:11" ht="13">
      <c r="A516" s="4"/>
      <c r="B516" s="4"/>
      <c r="C516" s="4" t="s">
        <v>827</v>
      </c>
      <c r="D516" s="146">
        <v>50</v>
      </c>
      <c r="E516" s="4" t="str">
        <f>VLOOKUP(C516,Master!$B$6:$N$1000,9,FALSE)</f>
        <v>gr</v>
      </c>
      <c r="F516" s="158">
        <f>VLOOKUP(C516,Master!$B$6:$N$1000,10,FALSE)</f>
        <v>12</v>
      </c>
      <c r="G516" s="144">
        <f t="shared" si="46"/>
        <v>600</v>
      </c>
      <c r="H516" s="4"/>
      <c r="I516" s="4"/>
      <c r="J516" s="4"/>
      <c r="K516" s="4"/>
    </row>
    <row r="517" spans="1:11" ht="13">
      <c r="A517" s="4"/>
      <c r="B517" s="4"/>
      <c r="C517" s="145" t="s">
        <v>1140</v>
      </c>
      <c r="D517" s="146">
        <v>50</v>
      </c>
      <c r="E517" s="4" t="str">
        <f>VLOOKUP(C517,Master!$B$6:$N$1000,9,FALSE)</f>
        <v>gr</v>
      </c>
      <c r="F517" s="158">
        <f>VLOOKUP(C517,Master!$B$6:$N$1000,10,FALSE)</f>
        <v>11</v>
      </c>
      <c r="G517" s="144">
        <f t="shared" si="46"/>
        <v>550</v>
      </c>
      <c r="H517" s="81"/>
      <c r="I517" s="121"/>
      <c r="J517" s="121"/>
      <c r="K517" s="4"/>
    </row>
    <row r="518" spans="1:11" ht="13">
      <c r="A518" s="4"/>
      <c r="B518" s="4"/>
      <c r="C518" s="145" t="s">
        <v>1154</v>
      </c>
      <c r="D518" s="146">
        <v>1</v>
      </c>
      <c r="E518" s="4" t="str">
        <f>VLOOKUP(C518,Master!$B$6:$N$1000,9,FALSE)</f>
        <v>gr</v>
      </c>
      <c r="F518" s="158">
        <f>VLOOKUP(C518,Master!$B$6:$N$1000,10,FALSE)</f>
        <v>20</v>
      </c>
      <c r="G518" s="144">
        <f t="shared" si="46"/>
        <v>20</v>
      </c>
      <c r="H518" s="81"/>
      <c r="I518" s="121"/>
      <c r="J518" s="121"/>
      <c r="K518" s="4"/>
    </row>
    <row r="519" spans="1:11" ht="13">
      <c r="A519" s="161" t="str">
        <f>VLOOKUP(B519,Master!$V$7:$W$158,2,FALSE)</f>
        <v>M0143</v>
      </c>
      <c r="B519" s="152" t="s">
        <v>784</v>
      </c>
      <c r="C519" s="153"/>
      <c r="D519" s="153"/>
      <c r="E519" s="154"/>
      <c r="F519" s="153"/>
      <c r="G519" s="155">
        <f>SUM(G520:G528)</f>
        <v>9175.7651710304053</v>
      </c>
      <c r="H519" s="139">
        <v>0.1</v>
      </c>
      <c r="I519" s="155">
        <f>G519+(G519*H519)</f>
        <v>10093.341688133445</v>
      </c>
      <c r="J519" s="140" t="b">
        <v>0</v>
      </c>
      <c r="K519" s="4"/>
    </row>
    <row r="520" spans="1:11" ht="13">
      <c r="A520" s="4"/>
      <c r="B520" s="4"/>
      <c r="C520" s="4" t="s">
        <v>655</v>
      </c>
      <c r="D520" s="146">
        <v>60</v>
      </c>
      <c r="E520" s="4" t="str">
        <f>VLOOKUP(C520,Master!$B$6:$N$1000,9,FALSE)</f>
        <v>gr</v>
      </c>
      <c r="F520" s="158">
        <f>VLOOKUP(C520,Master!$B$6:$N$1000,10,FALSE)</f>
        <v>50</v>
      </c>
      <c r="G520" s="144">
        <f t="shared" ref="G520:G529" si="47">D520*F520</f>
        <v>3000</v>
      </c>
      <c r="H520" s="4"/>
      <c r="I520" s="4"/>
      <c r="J520" s="4"/>
      <c r="K520" s="4"/>
    </row>
    <row r="521" spans="1:11" ht="13">
      <c r="A521" s="4"/>
      <c r="B521" s="4"/>
      <c r="C521" s="4" t="s">
        <v>2062</v>
      </c>
      <c r="D521" s="146">
        <v>10</v>
      </c>
      <c r="E521" s="4" t="str">
        <f>VLOOKUP(C521,Master!$B$6:$N$1000,9,FALSE)</f>
        <v>gr</v>
      </c>
      <c r="F521" s="158">
        <f>VLOOKUP(C521,Master!$B$6:$N$1000,10,FALSE)</f>
        <v>86.666666666666671</v>
      </c>
      <c r="G521" s="144">
        <f t="shared" si="47"/>
        <v>866.66666666666674</v>
      </c>
      <c r="H521" s="4"/>
      <c r="I521" s="4"/>
      <c r="J521" s="4"/>
      <c r="K521" s="4"/>
    </row>
    <row r="522" spans="1:11" ht="13">
      <c r="A522" s="4"/>
      <c r="B522" s="4"/>
      <c r="C522" s="4" t="s">
        <v>1123</v>
      </c>
      <c r="D522" s="146">
        <v>10</v>
      </c>
      <c r="E522" s="4" t="str">
        <f>VLOOKUP(C522,Master!$B$6:$N$1000,9,FALSE)</f>
        <v>ml</v>
      </c>
      <c r="F522" s="158">
        <f>VLOOKUP(C522,Master!$B$6:$N$1000,10,FALSE)</f>
        <v>60.833333333333336</v>
      </c>
      <c r="G522" s="144">
        <f t="shared" si="47"/>
        <v>608.33333333333337</v>
      </c>
      <c r="H522" s="4"/>
      <c r="I522" s="4"/>
      <c r="J522" s="4"/>
      <c r="K522" s="4"/>
    </row>
    <row r="523" spans="1:11" ht="13">
      <c r="A523" s="4"/>
      <c r="B523" s="4"/>
      <c r="C523" s="4" t="s">
        <v>712</v>
      </c>
      <c r="D523" s="146">
        <v>10</v>
      </c>
      <c r="E523" s="4" t="str">
        <f>VLOOKUP(C523,Master!$B$6:$N$1000,9,FALSE)</f>
        <v>gr</v>
      </c>
      <c r="F523" s="158">
        <f>VLOOKUP(C523,Master!$B$6:$N$1000,10,FALSE)</f>
        <v>40</v>
      </c>
      <c r="G523" s="144">
        <f t="shared" si="47"/>
        <v>400</v>
      </c>
      <c r="H523" s="4"/>
      <c r="I523" s="4"/>
      <c r="J523" s="4"/>
      <c r="K523" s="4"/>
    </row>
    <row r="524" spans="1:11" ht="13">
      <c r="A524" s="4"/>
      <c r="B524" s="4"/>
      <c r="C524" s="4" t="s">
        <v>1066</v>
      </c>
      <c r="D524" s="146">
        <v>10</v>
      </c>
      <c r="E524" s="4" t="str">
        <f>VLOOKUP(C524,Master!$B$6:$N$1000,9,FALSE)</f>
        <v>gr</v>
      </c>
      <c r="F524" s="158">
        <f>VLOOKUP(C524,Master!$B$6:$N$1000,10,FALSE)</f>
        <v>16</v>
      </c>
      <c r="G524" s="144">
        <f t="shared" si="47"/>
        <v>160</v>
      </c>
      <c r="H524" s="4"/>
      <c r="I524" s="4"/>
      <c r="J524" s="4"/>
      <c r="K524" s="4"/>
    </row>
    <row r="525" spans="1:11" ht="13">
      <c r="A525" s="4"/>
      <c r="B525" s="4"/>
      <c r="C525" s="4" t="s">
        <v>764</v>
      </c>
      <c r="D525" s="146">
        <v>10</v>
      </c>
      <c r="E525" s="4" t="str">
        <f>VLOOKUP(C525,Master!$B$6:$N$1000,9,FALSE)</f>
        <v>gr</v>
      </c>
      <c r="F525" s="158">
        <f>VLOOKUP(C525,Master!$B$6:$N$1000,10,FALSE)</f>
        <v>15</v>
      </c>
      <c r="G525" s="144">
        <f t="shared" si="47"/>
        <v>150</v>
      </c>
      <c r="H525" s="4"/>
      <c r="I525" s="4"/>
      <c r="J525" s="4"/>
      <c r="K525" s="4"/>
    </row>
    <row r="526" spans="1:11" ht="13">
      <c r="A526" s="4"/>
      <c r="B526" s="4"/>
      <c r="C526" s="4" t="s">
        <v>799</v>
      </c>
      <c r="D526" s="146">
        <v>10</v>
      </c>
      <c r="E526" s="4" t="str">
        <f>VLOOKUP(C526,Master!$B$6:$N$1000,9,FALSE)</f>
        <v>gr</v>
      </c>
      <c r="F526" s="158">
        <f>VLOOKUP(C526,Master!$B$6:$N$1000,10,FALSE)</f>
        <v>90</v>
      </c>
      <c r="G526" s="144">
        <f t="shared" si="47"/>
        <v>900</v>
      </c>
      <c r="H526" s="4"/>
      <c r="I526" s="4"/>
      <c r="J526" s="4"/>
      <c r="K526" s="4"/>
    </row>
    <row r="527" spans="1:11" ht="13">
      <c r="A527" s="4"/>
      <c r="B527" s="4"/>
      <c r="C527" s="4" t="s">
        <v>440</v>
      </c>
      <c r="D527" s="146">
        <v>1</v>
      </c>
      <c r="E527" s="4" t="str">
        <f>VLOOKUP(C527,Master!$B$6:$N$1000,9,FALSE)</f>
        <v>porsi</v>
      </c>
      <c r="F527" s="158">
        <f>VLOOKUP(C527,Master!$B$6:$N$1000,10,FALSE)</f>
        <v>110.4151710304054</v>
      </c>
      <c r="G527" s="144">
        <f t="shared" si="47"/>
        <v>110.4151710304054</v>
      </c>
      <c r="H527" s="4"/>
      <c r="I527" s="4"/>
      <c r="J527" s="4"/>
      <c r="K527" s="4"/>
    </row>
    <row r="528" spans="1:11" ht="13">
      <c r="A528" s="4"/>
      <c r="B528" s="4"/>
      <c r="C528" s="145" t="s">
        <v>925</v>
      </c>
      <c r="D528" s="146">
        <v>75</v>
      </c>
      <c r="E528" s="4" t="str">
        <f>VLOOKUP(C528,Master!$B$6:$N$1000,9,FALSE)</f>
        <v>gr</v>
      </c>
      <c r="F528" s="158">
        <f>VLOOKUP(C528,Master!$B$6:$N$1000,10,FALSE)</f>
        <v>39.738</v>
      </c>
      <c r="G528" s="144">
        <f t="shared" si="47"/>
        <v>2980.35</v>
      </c>
      <c r="H528" s="81"/>
      <c r="I528" s="121"/>
      <c r="J528" s="121"/>
      <c r="K528" s="4"/>
    </row>
    <row r="529" spans="1:11" ht="13">
      <c r="A529" s="4"/>
      <c r="B529" s="4"/>
      <c r="C529" s="145" t="s">
        <v>1103</v>
      </c>
      <c r="D529" s="146">
        <v>1</v>
      </c>
      <c r="E529" s="4" t="str">
        <f>VLOOKUP(C529,Master!$B$6:$N$1000,9,FALSE)</f>
        <v>pcs</v>
      </c>
      <c r="F529" s="158">
        <f>VLOOKUP(C529,Master!$B$6:$N$1000,10,FALSE)</f>
        <v>1040</v>
      </c>
      <c r="G529" s="144">
        <f t="shared" si="47"/>
        <v>1040</v>
      </c>
      <c r="H529" s="81"/>
      <c r="I529" s="121"/>
      <c r="J529" s="121"/>
      <c r="K529" s="4"/>
    </row>
    <row r="530" spans="1:11" ht="13">
      <c r="A530" s="161" t="str">
        <f>VLOOKUP(B530,Master!$V$7:$W$158,2,FALSE)</f>
        <v>M0135</v>
      </c>
      <c r="B530" s="152" t="s">
        <v>726</v>
      </c>
      <c r="C530" s="153"/>
      <c r="D530" s="153"/>
      <c r="E530" s="154"/>
      <c r="F530" s="153"/>
      <c r="G530" s="155">
        <f>SUM(G531:G547)</f>
        <v>5162450</v>
      </c>
      <c r="H530" s="139">
        <v>0.1</v>
      </c>
      <c r="I530" s="155">
        <f>G530+(G530*H530)</f>
        <v>5678695</v>
      </c>
      <c r="J530" s="140" t="b">
        <v>0</v>
      </c>
      <c r="K530" s="4"/>
    </row>
    <row r="531" spans="1:11" ht="13">
      <c r="A531" s="164"/>
      <c r="B531" s="164"/>
      <c r="C531" s="164" t="s">
        <v>1127</v>
      </c>
      <c r="D531" s="165">
        <v>30000</v>
      </c>
      <c r="E531" s="164" t="str">
        <f>VLOOKUP(C531,Master!$B$6:$N$1000,9,FALSE)</f>
        <v>gr</v>
      </c>
      <c r="F531" s="158">
        <f>VLOOKUP(C531,Master!$B$6:$N$1000,10,FALSE)</f>
        <v>43</v>
      </c>
      <c r="G531" s="158">
        <f t="shared" ref="G531:G542" si="48">D531*F531</f>
        <v>1290000</v>
      </c>
      <c r="H531" s="164"/>
      <c r="I531" s="159"/>
      <c r="J531" s="121"/>
      <c r="K531" s="4"/>
    </row>
    <row r="532" spans="1:11" ht="13">
      <c r="A532" s="164"/>
      <c r="B532" s="164"/>
      <c r="C532" s="164" t="s">
        <v>732</v>
      </c>
      <c r="D532" s="165">
        <v>3500</v>
      </c>
      <c r="E532" s="164" t="str">
        <f>VLOOKUP(C532,Master!$B$6:$N$1000,9,FALSE)</f>
        <v>gr</v>
      </c>
      <c r="F532" s="158">
        <f>VLOOKUP(C532,Master!$B$6:$N$1000,10,FALSE)</f>
        <v>40</v>
      </c>
      <c r="G532" s="158">
        <f t="shared" si="48"/>
        <v>140000</v>
      </c>
      <c r="H532" s="164"/>
      <c r="I532" s="164"/>
      <c r="J532" s="4"/>
      <c r="K532" s="4"/>
    </row>
    <row r="533" spans="1:11" ht="13">
      <c r="A533" s="164"/>
      <c r="B533" s="164"/>
      <c r="C533" s="164" t="s">
        <v>744</v>
      </c>
      <c r="D533" s="165">
        <v>2000</v>
      </c>
      <c r="E533" s="164" t="str">
        <f>VLOOKUP(C533,Master!$B$6:$N$1000,9,FALSE)</f>
        <v>gr</v>
      </c>
      <c r="F533" s="158">
        <f>VLOOKUP(C533,Master!$B$6:$N$1000,10,FALSE)</f>
        <v>58.6</v>
      </c>
      <c r="G533" s="158">
        <f t="shared" si="48"/>
        <v>117200</v>
      </c>
      <c r="H533" s="164"/>
      <c r="I533" s="164"/>
      <c r="J533" s="4"/>
      <c r="K533" s="4"/>
    </row>
    <row r="534" spans="1:11" ht="13">
      <c r="A534" s="164"/>
      <c r="B534" s="164"/>
      <c r="C534" s="164" t="s">
        <v>1074</v>
      </c>
      <c r="D534" s="165">
        <v>2000</v>
      </c>
      <c r="E534" s="164" t="str">
        <f>VLOOKUP(C534,Master!$B$6:$N$1000,9,FALSE)</f>
        <v>gr</v>
      </c>
      <c r="F534" s="158">
        <f>VLOOKUP(C534,Master!$B$6:$N$1000,10,FALSE)</f>
        <v>16.5</v>
      </c>
      <c r="G534" s="158">
        <f t="shared" si="48"/>
        <v>33000</v>
      </c>
      <c r="H534" s="164"/>
      <c r="I534" s="164"/>
      <c r="J534" s="4"/>
      <c r="K534" s="4"/>
    </row>
    <row r="535" spans="1:11" ht="13">
      <c r="A535" s="164"/>
      <c r="B535" s="164"/>
      <c r="C535" s="164" t="s">
        <v>1123</v>
      </c>
      <c r="D535" s="165">
        <v>600</v>
      </c>
      <c r="E535" s="164" t="str">
        <f>VLOOKUP(C535,Master!$B$6:$N$1000,9,FALSE)</f>
        <v>ml</v>
      </c>
      <c r="F535" s="158">
        <f>VLOOKUP(C535,Master!$B$6:$N$1000,10,FALSE)</f>
        <v>60.833333333333336</v>
      </c>
      <c r="G535" s="158">
        <f t="shared" si="48"/>
        <v>36500</v>
      </c>
      <c r="H535" s="164"/>
      <c r="I535" s="164"/>
      <c r="J535" s="4"/>
      <c r="K535" s="4"/>
    </row>
    <row r="536" spans="1:11" ht="13">
      <c r="A536" s="164"/>
      <c r="B536" s="164"/>
      <c r="C536" s="164" t="s">
        <v>2043</v>
      </c>
      <c r="D536" s="165">
        <v>1000</v>
      </c>
      <c r="E536" s="164" t="str">
        <f>VLOOKUP(C536,Master!$B$6:$N$1000,9,FALSE)</f>
        <v>gr</v>
      </c>
      <c r="F536" s="158">
        <f>VLOOKUP(C536,Master!$B$6:$N$1000,10,FALSE)</f>
        <v>38.5</v>
      </c>
      <c r="G536" s="158">
        <f t="shared" si="48"/>
        <v>38500</v>
      </c>
      <c r="H536" s="164"/>
      <c r="I536" s="164"/>
      <c r="J536" s="4"/>
      <c r="K536" s="4"/>
    </row>
    <row r="537" spans="1:11" ht="13">
      <c r="A537" s="164"/>
      <c r="B537" s="164"/>
      <c r="C537" s="164" t="s">
        <v>1980</v>
      </c>
      <c r="D537" s="165">
        <v>1000</v>
      </c>
      <c r="E537" s="164" t="str">
        <f>VLOOKUP(C537,Master!$B$6:$N$1000,9,FALSE)</f>
        <v>gr</v>
      </c>
      <c r="F537" s="158">
        <f>VLOOKUP(C537,Master!$B$6:$N$1000,10,FALSE)</f>
        <v>17.5</v>
      </c>
      <c r="G537" s="158">
        <f t="shared" si="48"/>
        <v>17500</v>
      </c>
      <c r="H537" s="164"/>
      <c r="I537" s="164"/>
      <c r="J537" s="4"/>
      <c r="K537" s="4"/>
    </row>
    <row r="538" spans="1:11" ht="13">
      <c r="A538" s="164"/>
      <c r="B538" s="164"/>
      <c r="C538" s="164" t="s">
        <v>799</v>
      </c>
      <c r="D538" s="165">
        <v>250</v>
      </c>
      <c r="E538" s="164" t="str">
        <f>VLOOKUP(C538,Master!$B$6:$N$1000,9,FALSE)</f>
        <v>gr</v>
      </c>
      <c r="F538" s="158">
        <f>VLOOKUP(C538,Master!$B$6:$N$1000,10,FALSE)</f>
        <v>90</v>
      </c>
      <c r="G538" s="158">
        <f t="shared" si="48"/>
        <v>22500</v>
      </c>
      <c r="H538" s="164"/>
      <c r="I538" s="164"/>
      <c r="J538" s="4"/>
      <c r="K538" s="4"/>
    </row>
    <row r="539" spans="1:11" ht="13">
      <c r="A539" s="164"/>
      <c r="B539" s="164"/>
      <c r="C539" s="164" t="s">
        <v>651</v>
      </c>
      <c r="D539" s="165">
        <v>3000</v>
      </c>
      <c r="E539" s="164" t="str">
        <f>VLOOKUP(C539,Master!$B$6:$N$1000,9,FALSE)</f>
        <v>gr</v>
      </c>
      <c r="F539" s="158">
        <f>VLOOKUP(C539,Master!$B$6:$N$1000,10,FALSE)</f>
        <v>18</v>
      </c>
      <c r="G539" s="158">
        <f t="shared" si="48"/>
        <v>54000</v>
      </c>
      <c r="H539" s="164"/>
      <c r="I539" s="164"/>
      <c r="J539" s="4"/>
      <c r="K539" s="4"/>
    </row>
    <row r="540" spans="1:11" ht="13">
      <c r="A540" s="164"/>
      <c r="B540" s="164"/>
      <c r="C540" s="164" t="s">
        <v>1020</v>
      </c>
      <c r="D540" s="165">
        <v>2000</v>
      </c>
      <c r="E540" s="164" t="str">
        <f>VLOOKUP(C540,Master!$B$6:$N$1000,9,FALSE)</f>
        <v>gr</v>
      </c>
      <c r="F540" s="158">
        <f>VLOOKUP(C540,Master!$B$6:$N$1000,10,FALSE)</f>
        <v>24</v>
      </c>
      <c r="G540" s="158">
        <f t="shared" si="48"/>
        <v>48000</v>
      </c>
      <c r="H540" s="164"/>
      <c r="I540" s="164"/>
      <c r="J540" s="4"/>
      <c r="K540" s="4"/>
    </row>
    <row r="541" spans="1:11" ht="13">
      <c r="A541" s="164"/>
      <c r="B541" s="164"/>
      <c r="C541" s="164" t="s">
        <v>760</v>
      </c>
      <c r="D541" s="165">
        <v>25000</v>
      </c>
      <c r="E541" s="164" t="str">
        <f>VLOOKUP(C541,Master!$B$6:$N$1000,9,FALSE)</f>
        <v>gr</v>
      </c>
      <c r="F541" s="158">
        <f>VLOOKUP(C541,Master!$B$6:$N$1000,10,FALSE)</f>
        <v>14.56</v>
      </c>
      <c r="G541" s="158">
        <f t="shared" si="48"/>
        <v>364000</v>
      </c>
      <c r="H541" s="164"/>
      <c r="I541" s="164"/>
      <c r="J541" s="4"/>
      <c r="K541" s="4"/>
    </row>
    <row r="542" spans="1:11" ht="13">
      <c r="A542" s="164"/>
      <c r="B542" s="4"/>
      <c r="C542" s="164" t="s">
        <v>2045</v>
      </c>
      <c r="D542" s="165">
        <v>5000</v>
      </c>
      <c r="E542" s="164" t="str">
        <f>VLOOKUP(C542,Master!$B$6:$N$1000,9,FALSE)</f>
        <v>gr</v>
      </c>
      <c r="F542" s="158">
        <f>VLOOKUP(C542,Master!$B$6:$N$1000,10,FALSE)</f>
        <v>14.25</v>
      </c>
      <c r="G542" s="158">
        <f t="shared" si="48"/>
        <v>71250</v>
      </c>
      <c r="H542" s="4"/>
      <c r="I542" s="4"/>
      <c r="J542" s="4"/>
      <c r="K542" s="4"/>
    </row>
    <row r="543" spans="1:11" ht="13">
      <c r="A543" s="164"/>
      <c r="B543" s="4"/>
      <c r="C543" s="4" t="s">
        <v>1346</v>
      </c>
      <c r="D543" s="166">
        <v>4</v>
      </c>
      <c r="E543" s="164" t="s">
        <v>741</v>
      </c>
      <c r="F543" s="158"/>
      <c r="G543" s="158">
        <v>200000</v>
      </c>
      <c r="H543" s="4"/>
      <c r="I543" s="4"/>
      <c r="J543" s="4"/>
      <c r="K543" s="4"/>
    </row>
    <row r="544" spans="1:11" ht="13">
      <c r="A544" s="164"/>
      <c r="B544" s="4"/>
      <c r="C544" s="4" t="s">
        <v>1347</v>
      </c>
      <c r="D544" s="166">
        <v>4</v>
      </c>
      <c r="E544" s="164" t="s">
        <v>741</v>
      </c>
      <c r="F544" s="158"/>
      <c r="G544" s="158">
        <v>170000</v>
      </c>
      <c r="H544" s="4"/>
      <c r="I544" s="4"/>
      <c r="J544" s="4"/>
      <c r="K544" s="4"/>
    </row>
    <row r="545" spans="1:11" ht="13">
      <c r="A545" s="164"/>
      <c r="B545" s="4"/>
      <c r="C545" s="4" t="s">
        <v>1348</v>
      </c>
      <c r="D545" s="166">
        <v>200</v>
      </c>
      <c r="E545" s="164" t="s">
        <v>1349</v>
      </c>
      <c r="F545" s="158"/>
      <c r="G545" s="158">
        <v>500000</v>
      </c>
      <c r="H545" s="4"/>
      <c r="I545" s="4"/>
      <c r="J545" s="4"/>
      <c r="K545" s="4"/>
    </row>
    <row r="546" spans="1:11" ht="13">
      <c r="A546" s="164"/>
      <c r="B546" s="4"/>
      <c r="C546" s="4" t="s">
        <v>1350</v>
      </c>
      <c r="D546" s="166">
        <v>200</v>
      </c>
      <c r="E546" s="164" t="s">
        <v>306</v>
      </c>
      <c r="F546" s="158"/>
      <c r="G546" s="158">
        <v>60000</v>
      </c>
      <c r="H546" s="4"/>
      <c r="I546" s="4"/>
      <c r="J546" s="4"/>
      <c r="K546" s="4"/>
    </row>
    <row r="547" spans="1:11" ht="13">
      <c r="A547" s="164"/>
      <c r="B547" s="4"/>
      <c r="C547" s="145" t="s">
        <v>1351</v>
      </c>
      <c r="D547" s="146">
        <v>1</v>
      </c>
      <c r="E547" s="164" t="s">
        <v>741</v>
      </c>
      <c r="F547" s="158"/>
      <c r="G547" s="158">
        <v>2000000</v>
      </c>
      <c r="H547" s="81"/>
      <c r="I547" s="121"/>
      <c r="J547" s="121"/>
      <c r="K547" s="4"/>
    </row>
    <row r="548" spans="1:11" ht="13">
      <c r="A548" s="164"/>
      <c r="B548" s="4"/>
      <c r="C548" s="145"/>
      <c r="D548" s="145"/>
      <c r="E548" s="4"/>
      <c r="F548" s="145" t="s">
        <v>1352</v>
      </c>
      <c r="G548" s="144">
        <f>SUM(G531:G547)</f>
        <v>5162450</v>
      </c>
      <c r="H548" s="81"/>
      <c r="I548" s="121"/>
      <c r="J548" s="121"/>
      <c r="K548" s="4"/>
    </row>
    <row r="549" spans="1:11" ht="13">
      <c r="A549" s="161" t="str">
        <f>VLOOKUP(B549,Master!$V$7:$W$158,2,FALSE)</f>
        <v>M0137</v>
      </c>
      <c r="B549" s="152" t="s">
        <v>162</v>
      </c>
      <c r="C549" s="153"/>
      <c r="D549" s="153"/>
      <c r="E549" s="154"/>
      <c r="F549" s="153"/>
      <c r="G549" s="155">
        <f>SUM(G550:G553)</f>
        <v>3462.9375</v>
      </c>
      <c r="H549" s="139">
        <v>0.1</v>
      </c>
      <c r="I549" s="155">
        <f>G549+(G549*H549)</f>
        <v>3809.2312499999998</v>
      </c>
      <c r="J549" s="140" t="b">
        <v>0</v>
      </c>
      <c r="K549" s="4"/>
    </row>
    <row r="550" spans="1:11" ht="13">
      <c r="A550" s="164"/>
      <c r="B550" s="164"/>
      <c r="C550" s="164" t="s">
        <v>795</v>
      </c>
      <c r="D550" s="165">
        <v>3</v>
      </c>
      <c r="E550" s="164" t="str">
        <f>VLOOKUP(C550,Master!$B$6:$N$270,9,FALSE)</f>
        <v>unit</v>
      </c>
      <c r="F550" s="158">
        <f>VLOOKUP(C550,Master!$B$6:$N$270,10,FALSE)</f>
        <v>800</v>
      </c>
      <c r="G550" s="158">
        <f t="shared" ref="G550:G553" si="49">D550*F550</f>
        <v>2400</v>
      </c>
      <c r="H550" s="164"/>
      <c r="I550" s="159"/>
      <c r="J550" s="121"/>
      <c r="K550" s="4"/>
    </row>
    <row r="551" spans="1:11" ht="13">
      <c r="A551" s="164"/>
      <c r="B551" s="4"/>
      <c r="C551" s="164" t="s">
        <v>1064</v>
      </c>
      <c r="D551" s="165">
        <v>10</v>
      </c>
      <c r="E551" s="164" t="str">
        <f>VLOOKUP(C551,Master!$B$6:$N$270,9,FALSE)</f>
        <v>gr</v>
      </c>
      <c r="F551" s="158">
        <f>VLOOKUP(C551,Master!$B$6:$N$270,10,FALSE)</f>
        <v>37.700000000000003</v>
      </c>
      <c r="G551" s="158">
        <f t="shared" si="49"/>
        <v>377</v>
      </c>
      <c r="H551" s="4"/>
      <c r="I551" s="4"/>
      <c r="J551" s="4"/>
      <c r="K551" s="4"/>
    </row>
    <row r="552" spans="1:11" ht="13">
      <c r="A552" s="164"/>
      <c r="B552" s="4"/>
      <c r="C552" s="167" t="s">
        <v>671</v>
      </c>
      <c r="D552" s="165">
        <v>5</v>
      </c>
      <c r="E552" s="164" t="str">
        <f>VLOOKUP(C552,Master!$B$6:$N$270,9,FALSE)</f>
        <v>gr</v>
      </c>
      <c r="F552" s="158">
        <f>VLOOKUP(C552,Master!$B$6:$N$270,10,FALSE)</f>
        <v>50</v>
      </c>
      <c r="G552" s="158">
        <f t="shared" si="49"/>
        <v>250</v>
      </c>
      <c r="H552" s="81"/>
      <c r="I552" s="121"/>
      <c r="J552" s="121"/>
      <c r="K552" s="4"/>
    </row>
    <row r="553" spans="1:11" ht="13">
      <c r="A553" s="164"/>
      <c r="B553" s="4"/>
      <c r="C553" s="167" t="s">
        <v>2042</v>
      </c>
      <c r="D553" s="165">
        <v>15</v>
      </c>
      <c r="E553" s="164" t="str">
        <f>VLOOKUP(C553,Master!$B$6:$N$270,9,FALSE)</f>
        <v>gr</v>
      </c>
      <c r="F553" s="158">
        <f>VLOOKUP(C553,Master!$B$6:$N$270,10,FALSE)</f>
        <v>29.0625</v>
      </c>
      <c r="G553" s="158">
        <f t="shared" si="49"/>
        <v>435.9375</v>
      </c>
      <c r="H553" s="81"/>
      <c r="I553" s="121"/>
      <c r="J553" s="121"/>
      <c r="K553" s="4"/>
    </row>
    <row r="554" spans="1:11" ht="13">
      <c r="A554" s="161" t="str">
        <f>VLOOKUP(B554,Master!$V$7:$W$158,2,FALSE)</f>
        <v>M0144</v>
      </c>
      <c r="B554" s="152" t="s">
        <v>182</v>
      </c>
      <c r="C554" s="153"/>
      <c r="D554" s="153"/>
      <c r="E554" s="154"/>
      <c r="F554" s="153"/>
      <c r="G554" s="155">
        <f>SUM(G555:G560)</f>
        <v>4780.4375</v>
      </c>
      <c r="H554" s="139">
        <v>0.1</v>
      </c>
      <c r="I554" s="155">
        <f>G554+(G554*H554)</f>
        <v>5258.4812499999998</v>
      </c>
      <c r="J554" s="140" t="b">
        <v>0</v>
      </c>
      <c r="K554" s="4"/>
    </row>
    <row r="555" spans="1:11" ht="13">
      <c r="A555" s="164"/>
      <c r="B555" s="164"/>
      <c r="C555" s="164" t="s">
        <v>1050</v>
      </c>
      <c r="D555" s="165">
        <v>150</v>
      </c>
      <c r="E555" s="164" t="str">
        <f>VLOOKUP(C555,Master!$B$6:$N$270,9,FALSE)</f>
        <v>gr</v>
      </c>
      <c r="F555" s="158">
        <f>VLOOKUP(C555,Master!$B$6:$N$270,10,FALSE)</f>
        <v>19.600000000000001</v>
      </c>
      <c r="G555" s="158">
        <f t="shared" ref="G555:G560" si="50">D555*F555</f>
        <v>2940</v>
      </c>
      <c r="H555" s="164"/>
      <c r="I555" s="159"/>
      <c r="J555" s="121"/>
      <c r="K555" s="4"/>
    </row>
    <row r="556" spans="1:11" ht="13">
      <c r="A556" s="164"/>
      <c r="B556" s="4"/>
      <c r="C556" s="164" t="s">
        <v>2045</v>
      </c>
      <c r="D556" s="165">
        <v>50</v>
      </c>
      <c r="E556" s="164" t="str">
        <f>VLOOKUP(C556,Master!$B$6:$N$270,9,FALSE)</f>
        <v>gr</v>
      </c>
      <c r="F556" s="158">
        <f>VLOOKUP(C556,Master!$B$6:$N$270,10,FALSE)</f>
        <v>14.25</v>
      </c>
      <c r="G556" s="158">
        <f t="shared" si="50"/>
        <v>712.5</v>
      </c>
      <c r="H556" s="4"/>
      <c r="I556" s="4"/>
      <c r="J556" s="4"/>
      <c r="K556" s="4"/>
    </row>
    <row r="557" spans="1:11" ht="13">
      <c r="A557" s="164"/>
      <c r="B557" s="4"/>
      <c r="C557" s="164" t="s">
        <v>819</v>
      </c>
      <c r="D557" s="165">
        <v>5</v>
      </c>
      <c r="E557" s="164" t="str">
        <f>VLOOKUP(C557,Master!$B$6:$N$270,9,FALSE)</f>
        <v>gr</v>
      </c>
      <c r="F557" s="158">
        <f>VLOOKUP(C557,Master!$B$6:$N$270,10,FALSE)</f>
        <v>13</v>
      </c>
      <c r="G557" s="158">
        <f t="shared" si="50"/>
        <v>65</v>
      </c>
      <c r="H557" s="4"/>
      <c r="I557" s="4"/>
      <c r="J557" s="4"/>
      <c r="K557" s="4"/>
    </row>
    <row r="558" spans="1:11" ht="13">
      <c r="A558" s="164"/>
      <c r="B558" s="4"/>
      <c r="C558" s="164" t="s">
        <v>1064</v>
      </c>
      <c r="D558" s="165">
        <v>10</v>
      </c>
      <c r="E558" s="164" t="str">
        <f>VLOOKUP(C558,Master!$B$6:$N$270,9,FALSE)</f>
        <v>gr</v>
      </c>
      <c r="F558" s="158">
        <f>VLOOKUP(C558,Master!$B$6:$N$270,10,FALSE)</f>
        <v>37.700000000000003</v>
      </c>
      <c r="G558" s="158">
        <f t="shared" si="50"/>
        <v>377</v>
      </c>
      <c r="H558" s="4"/>
      <c r="I558" s="4"/>
      <c r="J558" s="4"/>
      <c r="K558" s="4"/>
    </row>
    <row r="559" spans="1:11" ht="13">
      <c r="A559" s="164"/>
      <c r="B559" s="4"/>
      <c r="C559" s="167" t="s">
        <v>671</v>
      </c>
      <c r="D559" s="165">
        <v>5</v>
      </c>
      <c r="E559" s="164" t="str">
        <f>VLOOKUP(C559,Master!$B$6:$N$270,9,FALSE)</f>
        <v>gr</v>
      </c>
      <c r="F559" s="158">
        <f>VLOOKUP(C559,Master!$B$6:$N$270,10,FALSE)</f>
        <v>50</v>
      </c>
      <c r="G559" s="158">
        <f t="shared" si="50"/>
        <v>250</v>
      </c>
      <c r="H559" s="81"/>
      <c r="I559" s="121"/>
      <c r="J559" s="121"/>
      <c r="K559" s="4"/>
    </row>
    <row r="560" spans="1:11" ht="13">
      <c r="A560" s="164"/>
      <c r="B560" s="4"/>
      <c r="C560" s="167" t="s">
        <v>2042</v>
      </c>
      <c r="D560" s="165">
        <v>15</v>
      </c>
      <c r="E560" s="164" t="str">
        <f>VLOOKUP(C560,Master!$B$6:$N$270,9,FALSE)</f>
        <v>gr</v>
      </c>
      <c r="F560" s="158">
        <f>VLOOKUP(C560,Master!$B$6:$N$270,10,FALSE)</f>
        <v>29.0625</v>
      </c>
      <c r="G560" s="158">
        <f t="shared" si="50"/>
        <v>435.9375</v>
      </c>
      <c r="H560" s="81"/>
      <c r="I560" s="121"/>
      <c r="J560" s="121"/>
      <c r="K560" s="4"/>
    </row>
    <row r="561" spans="1:11" ht="13">
      <c r="A561" s="156" t="str">
        <f>VLOOKUP(B561,Master!$V$7:$W$150,2,FALSE)</f>
        <v>M0090</v>
      </c>
      <c r="B561" s="152" t="s">
        <v>550</v>
      </c>
      <c r="C561" s="153"/>
      <c r="D561" s="153"/>
      <c r="E561" s="154"/>
      <c r="F561" s="153"/>
      <c r="G561" s="155">
        <f>SUM(G562:G568)</f>
        <v>5873.8512949039268</v>
      </c>
      <c r="H561" s="139">
        <v>0.1</v>
      </c>
      <c r="I561" s="155">
        <f>G561+(G561*H561)</f>
        <v>6461.2364243943193</v>
      </c>
      <c r="J561" s="140" t="b">
        <v>0</v>
      </c>
      <c r="K561" s="4"/>
    </row>
    <row r="562" spans="1:11" ht="13">
      <c r="A562" s="141"/>
      <c r="B562" s="4"/>
      <c r="C562" s="4" t="s">
        <v>207</v>
      </c>
      <c r="D562" s="146">
        <v>1</v>
      </c>
      <c r="E562" s="4" t="str">
        <f>VLOOKUP(C562,Master!$B$6:$N$1000,9,FALSE)</f>
        <v>gr</v>
      </c>
      <c r="F562" s="158">
        <f>VLOOKUP(C562,Master!$B$6:$N$1000,10,FALSE)</f>
        <v>1593.8512949039266</v>
      </c>
      <c r="G562" s="144">
        <f t="shared" ref="G562:G568" si="51">D562*F562</f>
        <v>1593.8512949039266</v>
      </c>
      <c r="H562" s="145"/>
      <c r="I562" s="145"/>
      <c r="J562" s="145"/>
      <c r="K562" s="4"/>
    </row>
    <row r="563" spans="1:11" ht="13">
      <c r="A563" s="164"/>
      <c r="B563" s="4"/>
      <c r="C563" s="4" t="s">
        <v>1048</v>
      </c>
      <c r="D563" s="146"/>
      <c r="E563" s="4" t="str">
        <f>VLOOKUP(C563,Master!$B$6:$N$1000,9,FALSE)</f>
        <v>gr</v>
      </c>
      <c r="F563" s="158">
        <f>VLOOKUP(C563,Master!$B$6:$N$1000,10,FALSE)</f>
        <v>75</v>
      </c>
      <c r="G563" s="144">
        <f t="shared" si="51"/>
        <v>0</v>
      </c>
      <c r="H563" s="4"/>
      <c r="I563" s="4"/>
      <c r="J563" s="4"/>
      <c r="K563" s="4"/>
    </row>
    <row r="564" spans="1:11" ht="13">
      <c r="A564" s="164"/>
      <c r="B564" s="4"/>
      <c r="C564" s="4" t="s">
        <v>1981</v>
      </c>
      <c r="D564" s="146"/>
      <c r="E564" s="4" t="str">
        <f>VLOOKUP(C564,Master!$B$6:$N$1000,9,FALSE)</f>
        <v>ml</v>
      </c>
      <c r="F564" s="158">
        <f>VLOOKUP(C564,Master!$B$6:$N$1000,10,FALSE)</f>
        <v>17.094333333333335</v>
      </c>
      <c r="G564" s="144">
        <f t="shared" si="51"/>
        <v>0</v>
      </c>
      <c r="H564" s="4"/>
      <c r="I564" s="4"/>
      <c r="J564" s="4"/>
      <c r="K564" s="4"/>
    </row>
    <row r="565" spans="1:11" ht="13">
      <c r="A565" s="164"/>
      <c r="B565" s="4"/>
      <c r="C565" s="145" t="s">
        <v>2046</v>
      </c>
      <c r="D565" s="146"/>
      <c r="E565" s="4" t="str">
        <f>VLOOKUP(C565,Master!$B$6:$N$1000,9,FALSE)</f>
        <v>ml</v>
      </c>
      <c r="F565" s="158">
        <f>VLOOKUP(C565,Master!$B$6:$N$1000,10,FALSE)</f>
        <v>66</v>
      </c>
      <c r="G565" s="144">
        <f t="shared" si="51"/>
        <v>0</v>
      </c>
      <c r="H565" s="81"/>
      <c r="I565" s="121"/>
      <c r="J565" s="121"/>
      <c r="K565" s="4"/>
    </row>
    <row r="566" spans="1:11" ht="13">
      <c r="A566" s="164"/>
      <c r="B566" s="4"/>
      <c r="C566" s="145" t="s">
        <v>764</v>
      </c>
      <c r="D566" s="146"/>
      <c r="E566" s="4" t="str">
        <f>VLOOKUP(C566,Master!$B$6:$N$1000,9,FALSE)</f>
        <v>gr</v>
      </c>
      <c r="F566" s="158">
        <f>VLOOKUP(C566,Master!$B$6:$N$1000,10,FALSE)</f>
        <v>15</v>
      </c>
      <c r="G566" s="144">
        <f t="shared" si="51"/>
        <v>0</v>
      </c>
      <c r="H566" s="81"/>
      <c r="I566" s="121"/>
      <c r="J566" s="121"/>
      <c r="K566" s="4"/>
    </row>
    <row r="567" spans="1:11" ht="13">
      <c r="A567" s="164"/>
      <c r="B567" s="4"/>
      <c r="C567" s="145" t="s">
        <v>2063</v>
      </c>
      <c r="D567" s="146">
        <v>30</v>
      </c>
      <c r="E567" s="4" t="str">
        <f>VLOOKUP(C567,Master!$B$6:$N$1000,9,FALSE)</f>
        <v>gr</v>
      </c>
      <c r="F567" s="158">
        <f>VLOOKUP(C567,Master!$B$6:$N$1000,10,FALSE)</f>
        <v>108</v>
      </c>
      <c r="G567" s="144">
        <f t="shared" si="51"/>
        <v>3240</v>
      </c>
      <c r="H567" s="81"/>
      <c r="I567" s="121"/>
      <c r="J567" s="121"/>
      <c r="K567" s="4"/>
    </row>
    <row r="568" spans="1:11" ht="13">
      <c r="A568" s="164"/>
      <c r="B568" s="4"/>
      <c r="C568" s="145" t="s">
        <v>1103</v>
      </c>
      <c r="D568" s="146">
        <v>1</v>
      </c>
      <c r="E568" s="4" t="str">
        <f>VLOOKUP(C568,Master!$B$6:$N$1000,9,FALSE)</f>
        <v>pcs</v>
      </c>
      <c r="F568" s="158">
        <f>VLOOKUP(C568,Master!$B$6:$N$1000,10,FALSE)</f>
        <v>1040</v>
      </c>
      <c r="G568" s="144">
        <f t="shared" si="51"/>
        <v>1040</v>
      </c>
      <c r="H568" s="81"/>
      <c r="I568" s="121"/>
      <c r="J568" s="121"/>
      <c r="K568" s="4"/>
    </row>
    <row r="569" spans="1:11" ht="13">
      <c r="A569" s="164"/>
      <c r="B569" s="4"/>
      <c r="C569" s="145"/>
      <c r="D569" s="146"/>
      <c r="E569" s="4"/>
      <c r="F569" s="158"/>
      <c r="G569" s="144"/>
      <c r="H569" s="81"/>
      <c r="I569" s="121"/>
      <c r="J569" s="121"/>
      <c r="K569" s="4"/>
    </row>
    <row r="570" spans="1:11" ht="13">
      <c r="A570" s="156" t="str">
        <f>VLOOKUP(B570,Master!$V$7:$W$150,2,FALSE)</f>
        <v>M0060</v>
      </c>
      <c r="B570" s="152" t="s">
        <v>430</v>
      </c>
      <c r="C570" s="153"/>
      <c r="D570" s="153"/>
      <c r="E570" s="154"/>
      <c r="F570" s="153"/>
      <c r="G570" s="155">
        <f>SUM(G571:G576)</f>
        <v>11283.741820337971</v>
      </c>
      <c r="H570" s="139">
        <v>0.1</v>
      </c>
      <c r="I570" s="155">
        <f>G570+(G570*H570)</f>
        <v>12412.116002371768</v>
      </c>
      <c r="J570" s="140" t="b">
        <v>0</v>
      </c>
      <c r="K570" s="4"/>
    </row>
    <row r="571" spans="1:11" ht="13">
      <c r="A571" s="141"/>
      <c r="B571" s="4"/>
      <c r="C571" s="4" t="s">
        <v>275</v>
      </c>
      <c r="D571" s="146">
        <v>1</v>
      </c>
      <c r="E571" s="4" t="str">
        <f>VLOOKUP(C571,Master!$B$6:$N$1000,9,FALSE)</f>
        <v>gr</v>
      </c>
      <c r="F571" s="158">
        <f>VLOOKUP(C571,Master!$B$6:$N$1000,10,FALSE)</f>
        <v>4805.2124999999996</v>
      </c>
      <c r="G571" s="144">
        <f t="shared" ref="G571:G576" si="52">D571*F571</f>
        <v>4805.2124999999996</v>
      </c>
      <c r="H571" s="145"/>
      <c r="I571" s="145"/>
      <c r="J571" s="145"/>
      <c r="K571" s="4"/>
    </row>
    <row r="572" spans="1:11" ht="13">
      <c r="A572" s="164"/>
      <c r="B572" s="4"/>
      <c r="C572" s="145" t="s">
        <v>251</v>
      </c>
      <c r="D572" s="146">
        <v>1</v>
      </c>
      <c r="E572" s="4" t="str">
        <f>VLOOKUP(C572,Master!$B$6:$N$1000,9,FALSE)</f>
        <v>Porsi</v>
      </c>
      <c r="F572" s="158">
        <f>VLOOKUP(C572,Master!$B$6:$N$1000,10,FALSE)</f>
        <v>1093.9890710382513</v>
      </c>
      <c r="G572" s="144">
        <f t="shared" si="52"/>
        <v>1093.9890710382513</v>
      </c>
      <c r="H572" s="81"/>
      <c r="I572" s="121"/>
      <c r="J572" s="121"/>
      <c r="K572" s="4"/>
    </row>
    <row r="573" spans="1:11" ht="13">
      <c r="A573" s="164"/>
      <c r="B573" s="4"/>
      <c r="C573" s="145" t="s">
        <v>282</v>
      </c>
      <c r="D573" s="146">
        <v>1</v>
      </c>
      <c r="E573" s="4" t="str">
        <f>VLOOKUP(C573,Master!$B$6:$N$1000,9,FALSE)</f>
        <v>gr/pcs</v>
      </c>
      <c r="F573" s="158">
        <f>VLOOKUP(C573,Master!$B$6:$N$1000,10,FALSE)</f>
        <v>2570.7586666666666</v>
      </c>
      <c r="G573" s="144">
        <f t="shared" si="52"/>
        <v>2570.7586666666666</v>
      </c>
      <c r="H573" s="81"/>
      <c r="I573" s="121"/>
      <c r="J573" s="121"/>
      <c r="K573" s="4"/>
    </row>
    <row r="574" spans="1:11" ht="13">
      <c r="A574" s="164"/>
      <c r="B574" s="4"/>
      <c r="C574" s="145" t="s">
        <v>1058</v>
      </c>
      <c r="D574" s="146">
        <v>0</v>
      </c>
      <c r="E574" s="4" t="str">
        <f>VLOOKUP(C574,Master!$B$6:$N$1000,9,FALSE)</f>
        <v>gr</v>
      </c>
      <c r="F574" s="158">
        <f>VLOOKUP(C574,Master!$B$6:$N$1000,10,FALSE)</f>
        <v>45</v>
      </c>
      <c r="G574" s="144">
        <f t="shared" si="52"/>
        <v>0</v>
      </c>
      <c r="H574" s="81"/>
      <c r="I574" s="121"/>
      <c r="J574" s="121"/>
      <c r="K574" s="4"/>
    </row>
    <row r="575" spans="1:11" ht="13">
      <c r="A575" s="164"/>
      <c r="B575" s="4"/>
      <c r="C575" s="145" t="s">
        <v>191</v>
      </c>
      <c r="D575" s="146">
        <v>1</v>
      </c>
      <c r="E575" s="4" t="str">
        <f>VLOOKUP(C575,Master!$B$6:$N$1000,9,FALSE)</f>
        <v>gr</v>
      </c>
      <c r="F575" s="158">
        <f>VLOOKUP(C575,Master!$B$6:$N$1000,10,FALSE)</f>
        <v>1773.7815826330534</v>
      </c>
      <c r="G575" s="144">
        <f t="shared" si="52"/>
        <v>1773.7815826330534</v>
      </c>
      <c r="H575" s="81"/>
      <c r="I575" s="121"/>
      <c r="J575" s="121"/>
      <c r="K575" s="4"/>
    </row>
    <row r="576" spans="1:11" ht="13">
      <c r="A576" s="164"/>
      <c r="B576" s="4"/>
      <c r="C576" s="145" t="s">
        <v>1103</v>
      </c>
      <c r="D576" s="146">
        <v>1</v>
      </c>
      <c r="E576" s="4" t="str">
        <f>VLOOKUP(C576,Master!$B$6:$N$1000,9,FALSE)</f>
        <v>pcs</v>
      </c>
      <c r="F576" s="158">
        <f>VLOOKUP(C576,Master!$B$6:$N$1000,10,FALSE)</f>
        <v>1040</v>
      </c>
      <c r="G576" s="144">
        <f t="shared" si="52"/>
        <v>1040</v>
      </c>
      <c r="H576" s="81"/>
      <c r="I576" s="121"/>
      <c r="J576" s="121"/>
      <c r="K576" s="4"/>
    </row>
    <row r="577" spans="1:11" ht="13">
      <c r="A577" s="156" t="str">
        <f>VLOOKUP(B577,Master!$V$7:$W$150,2,FALSE)</f>
        <v>M0138</v>
      </c>
      <c r="B577" s="152" t="s">
        <v>737</v>
      </c>
      <c r="C577" s="153"/>
      <c r="D577" s="153"/>
      <c r="E577" s="154"/>
      <c r="F577" s="153"/>
      <c r="G577" s="155">
        <f>SUM(G578:G588)</f>
        <v>10966.295233828949</v>
      </c>
      <c r="H577" s="139">
        <v>0.1</v>
      </c>
      <c r="I577" s="155">
        <f>G577+(G577*H577)</f>
        <v>12062.924757211844</v>
      </c>
      <c r="J577" s="140" t="b">
        <v>0</v>
      </c>
      <c r="K577" s="4"/>
    </row>
    <row r="578" spans="1:11" ht="13">
      <c r="A578" s="141"/>
      <c r="B578" s="4"/>
      <c r="C578" s="4" t="s">
        <v>251</v>
      </c>
      <c r="D578" s="146">
        <v>1</v>
      </c>
      <c r="E578" s="4" t="str">
        <f>VLOOKUP(C578,Master!$B$6:$N$1000,9,FALSE)</f>
        <v>Porsi</v>
      </c>
      <c r="F578" s="158">
        <f>VLOOKUP(C578,Master!$B$6:$N$1000,10,FALSE)</f>
        <v>1093.9890710382513</v>
      </c>
      <c r="G578" s="144">
        <f t="shared" ref="G578:G588" si="53">D578*F578</f>
        <v>1093.9890710382513</v>
      </c>
      <c r="H578" s="145"/>
      <c r="I578" s="145"/>
      <c r="J578" s="145"/>
      <c r="K578" s="4"/>
    </row>
    <row r="579" spans="1:11" ht="13">
      <c r="A579" s="164"/>
      <c r="B579" s="4"/>
      <c r="C579" s="4" t="s">
        <v>655</v>
      </c>
      <c r="D579" s="146">
        <v>60</v>
      </c>
      <c r="E579" s="4" t="str">
        <f>VLOOKUP(C579,Master!$B$6:$N$1000,9,FALSE)</f>
        <v>gr</v>
      </c>
      <c r="F579" s="158">
        <f>VLOOKUP(C579,Master!$B$6:$N$1000,10,FALSE)</f>
        <v>50</v>
      </c>
      <c r="G579" s="144">
        <f t="shared" si="53"/>
        <v>3000</v>
      </c>
      <c r="H579" s="4"/>
      <c r="I579" s="4"/>
      <c r="J579" s="4"/>
      <c r="K579" s="4"/>
    </row>
    <row r="580" spans="1:11" ht="13">
      <c r="A580" s="164"/>
      <c r="B580" s="4"/>
      <c r="C580" s="4" t="s">
        <v>125</v>
      </c>
      <c r="D580" s="146">
        <v>1</v>
      </c>
      <c r="E580" s="4" t="str">
        <f>VLOOKUP(C580,Master!$B$6:$N$1000,9,FALSE)</f>
        <v>gr/por</v>
      </c>
      <c r="F580" s="158">
        <f>VLOOKUP(C580,Master!$B$6:$N$1000,10,FALSE)</f>
        <v>1883.9883333333335</v>
      </c>
      <c r="G580" s="144">
        <f t="shared" si="53"/>
        <v>1883.9883333333335</v>
      </c>
      <c r="H580" s="4"/>
      <c r="I580" s="4"/>
      <c r="J580" s="4"/>
      <c r="K580" s="4"/>
    </row>
    <row r="581" spans="1:11" ht="13">
      <c r="A581" s="164"/>
      <c r="B581" s="4"/>
      <c r="C581" s="4" t="s">
        <v>732</v>
      </c>
      <c r="D581" s="146">
        <v>16</v>
      </c>
      <c r="E581" s="4" t="str">
        <f>VLOOKUP(C581,Master!$B$6:$N$1000,9,FALSE)</f>
        <v>gr</v>
      </c>
      <c r="F581" s="158">
        <f>VLOOKUP(C581,Master!$B$6:$N$1000,10,FALSE)</f>
        <v>40</v>
      </c>
      <c r="G581" s="144">
        <f t="shared" si="53"/>
        <v>640</v>
      </c>
      <c r="H581" s="4"/>
      <c r="I581" s="4"/>
      <c r="J581" s="4"/>
      <c r="K581" s="4"/>
    </row>
    <row r="582" spans="1:11" ht="13">
      <c r="A582" s="164"/>
      <c r="B582" s="4"/>
      <c r="C582" s="4" t="s">
        <v>293</v>
      </c>
      <c r="D582" s="146">
        <v>1</v>
      </c>
      <c r="E582" s="4" t="str">
        <f>VLOOKUP(C582,Master!$B$6:$N$1000,9,FALSE)</f>
        <v>gr/pcs</v>
      </c>
      <c r="F582" s="158">
        <f>VLOOKUP(C582,Master!$B$6:$N$1000,10,FALSE)</f>
        <v>864.65116279069764</v>
      </c>
      <c r="G582" s="144">
        <f t="shared" si="53"/>
        <v>864.65116279069764</v>
      </c>
      <c r="H582" s="4"/>
      <c r="I582" s="4"/>
      <c r="J582" s="4"/>
      <c r="K582" s="4"/>
    </row>
    <row r="583" spans="1:11" ht="13">
      <c r="A583" s="164"/>
      <c r="B583" s="4"/>
      <c r="C583" s="4" t="s">
        <v>887</v>
      </c>
      <c r="D583" s="146">
        <v>5</v>
      </c>
      <c r="E583" s="4" t="str">
        <f>VLOOKUP(C583,Master!$B$6:$N$1000,9,FALSE)</f>
        <v>gr</v>
      </c>
      <c r="F583" s="158">
        <f>VLOOKUP(C583,Master!$B$6:$N$1000,10,FALSE)</f>
        <v>26</v>
      </c>
      <c r="G583" s="144">
        <f t="shared" si="53"/>
        <v>130</v>
      </c>
      <c r="H583" s="4"/>
      <c r="I583" s="4"/>
      <c r="J583" s="4"/>
      <c r="K583" s="4"/>
    </row>
    <row r="584" spans="1:11" ht="13">
      <c r="A584" s="164"/>
      <c r="B584" s="4"/>
      <c r="C584" s="145" t="s">
        <v>2043</v>
      </c>
      <c r="D584" s="146">
        <v>2</v>
      </c>
      <c r="E584" s="4" t="str">
        <f>VLOOKUP(C584,Master!$B$6:$N$1000,9,FALSE)</f>
        <v>gr</v>
      </c>
      <c r="F584" s="158">
        <f>VLOOKUP(C584,Master!$B$6:$N$1000,10,FALSE)</f>
        <v>38.5</v>
      </c>
      <c r="G584" s="144">
        <f t="shared" si="53"/>
        <v>77</v>
      </c>
      <c r="H584" s="81"/>
      <c r="I584" s="121"/>
      <c r="J584" s="121"/>
      <c r="K584" s="4"/>
    </row>
    <row r="585" spans="1:11" ht="13">
      <c r="A585" s="164"/>
      <c r="B585" s="4"/>
      <c r="C585" s="145" t="s">
        <v>720</v>
      </c>
      <c r="D585" s="146">
        <v>1</v>
      </c>
      <c r="E585" s="4" t="str">
        <f>VLOOKUP(C585,Master!$B$6:$N$1000,9,FALSE)</f>
        <v>gr</v>
      </c>
      <c r="F585" s="158">
        <f>VLOOKUP(C585,Master!$B$6:$N$1000,10,FALSE)</f>
        <v>280</v>
      </c>
      <c r="G585" s="144">
        <f t="shared" si="53"/>
        <v>280</v>
      </c>
      <c r="H585" s="81"/>
      <c r="I585" s="121"/>
      <c r="J585" s="121"/>
      <c r="K585" s="4"/>
    </row>
    <row r="586" spans="1:11" ht="13">
      <c r="A586" s="164"/>
      <c r="B586" s="4"/>
      <c r="C586" s="145" t="s">
        <v>799</v>
      </c>
      <c r="D586" s="146">
        <v>1</v>
      </c>
      <c r="E586" s="4" t="str">
        <f>VLOOKUP(C586,Master!$B$6:$N$1000,9,FALSE)</f>
        <v>gr</v>
      </c>
      <c r="F586" s="158">
        <f>VLOOKUP(C586,Master!$B$6:$N$1000,10,FALSE)</f>
        <v>90</v>
      </c>
      <c r="G586" s="144">
        <f t="shared" si="53"/>
        <v>90</v>
      </c>
      <c r="H586" s="81"/>
      <c r="I586" s="121"/>
      <c r="J586" s="121"/>
      <c r="K586" s="4"/>
    </row>
    <row r="587" spans="1:11" ht="13">
      <c r="A587" s="164"/>
      <c r="B587" s="4"/>
      <c r="C587" s="145" t="s">
        <v>659</v>
      </c>
      <c r="D587" s="146">
        <v>1</v>
      </c>
      <c r="E587" s="4" t="str">
        <f>VLOOKUP(C587,Master!$B$6:$N$1000,9,FALSE)</f>
        <v>pcs</v>
      </c>
      <c r="F587" s="158">
        <f>VLOOKUP(C587,Master!$B$6:$N$1000,10,FALSE)</f>
        <v>1866.6666666666667</v>
      </c>
      <c r="G587" s="144">
        <f t="shared" si="53"/>
        <v>1866.6666666666667</v>
      </c>
      <c r="H587" s="81"/>
      <c r="I587" s="121"/>
      <c r="J587" s="121"/>
      <c r="K587" s="4"/>
    </row>
    <row r="588" spans="1:11" ht="13">
      <c r="A588" s="164"/>
      <c r="B588" s="4"/>
      <c r="C588" s="145" t="s">
        <v>1103</v>
      </c>
      <c r="D588" s="146">
        <v>1</v>
      </c>
      <c r="E588" s="4" t="str">
        <f>VLOOKUP(C588,Master!$B$6:$N$1000,9,FALSE)</f>
        <v>pcs</v>
      </c>
      <c r="F588" s="158">
        <f>VLOOKUP(C588,Master!$B$6:$N$1000,10,FALSE)</f>
        <v>1040</v>
      </c>
      <c r="G588" s="144">
        <f t="shared" si="53"/>
        <v>1040</v>
      </c>
      <c r="H588" s="81"/>
      <c r="I588" s="121"/>
      <c r="J588" s="121"/>
      <c r="K588" s="4"/>
    </row>
    <row r="589" spans="1:11" ht="13">
      <c r="A589" s="156" t="str">
        <f>VLOOKUP(B589,Master!$V$7:$W$150,2,FALSE)</f>
        <v>M0141</v>
      </c>
      <c r="B589" s="152" t="s">
        <v>750</v>
      </c>
      <c r="C589" s="153"/>
      <c r="D589" s="153"/>
      <c r="E589" s="154"/>
      <c r="F589" s="153"/>
      <c r="G589" s="155">
        <f>SUM(G590:G600)</f>
        <v>15216.295233828949</v>
      </c>
      <c r="H589" s="139">
        <v>0.1</v>
      </c>
      <c r="I589" s="155">
        <f>G589+(G589*H589)</f>
        <v>16737.924757211844</v>
      </c>
      <c r="J589" s="140" t="b">
        <v>0</v>
      </c>
      <c r="K589" s="4"/>
    </row>
    <row r="590" spans="1:11" ht="13">
      <c r="A590" s="141"/>
      <c r="B590" s="4"/>
      <c r="C590" s="4" t="s">
        <v>251</v>
      </c>
      <c r="D590" s="146">
        <v>1</v>
      </c>
      <c r="E590" s="4" t="str">
        <f>VLOOKUP(C590,Master!$B$6:$N$1000,9,FALSE)</f>
        <v>Porsi</v>
      </c>
      <c r="F590" s="158">
        <f>VLOOKUP(C590,Master!$B$6:$N$1000,10,FALSE)</f>
        <v>1093.9890710382513</v>
      </c>
      <c r="G590" s="144">
        <f t="shared" ref="G590:G600" si="54">D590*F590</f>
        <v>1093.9890710382513</v>
      </c>
      <c r="H590" s="145"/>
      <c r="I590" s="145"/>
      <c r="J590" s="145"/>
      <c r="K590" s="4"/>
    </row>
    <row r="591" spans="1:11" ht="13">
      <c r="A591" s="164"/>
      <c r="B591" s="4"/>
      <c r="C591" s="4" t="s">
        <v>639</v>
      </c>
      <c r="D591" s="146">
        <v>50</v>
      </c>
      <c r="E591" s="4" t="str">
        <f>VLOOKUP(C591,Master!$B$6:$N$1000,9,FALSE)</f>
        <v>gr</v>
      </c>
      <c r="F591" s="158">
        <f>VLOOKUP(C591,Master!$B$6:$N$1000,10,FALSE)</f>
        <v>145</v>
      </c>
      <c r="G591" s="144">
        <f t="shared" si="54"/>
        <v>7250</v>
      </c>
      <c r="H591" s="4"/>
      <c r="I591" s="4"/>
      <c r="J591" s="4"/>
      <c r="K591" s="4"/>
    </row>
    <row r="592" spans="1:11" ht="13">
      <c r="A592" s="164"/>
      <c r="B592" s="4"/>
      <c r="C592" s="4" t="s">
        <v>125</v>
      </c>
      <c r="D592" s="146">
        <v>1</v>
      </c>
      <c r="E592" s="4" t="str">
        <f>VLOOKUP(C592,Master!$B$6:$N$1000,9,FALSE)</f>
        <v>gr/por</v>
      </c>
      <c r="F592" s="158">
        <f>VLOOKUP(C592,Master!$B$6:$N$1000,10,FALSE)</f>
        <v>1883.9883333333335</v>
      </c>
      <c r="G592" s="144">
        <f t="shared" si="54"/>
        <v>1883.9883333333335</v>
      </c>
      <c r="H592" s="4"/>
      <c r="I592" s="4"/>
      <c r="J592" s="4"/>
      <c r="K592" s="4"/>
    </row>
    <row r="593" spans="1:11" ht="13">
      <c r="A593" s="164"/>
      <c r="B593" s="4"/>
      <c r="C593" s="4" t="s">
        <v>732</v>
      </c>
      <c r="D593" s="146">
        <v>16</v>
      </c>
      <c r="E593" s="4" t="str">
        <f>VLOOKUP(C593,Master!$B$6:$N$1000,9,FALSE)</f>
        <v>gr</v>
      </c>
      <c r="F593" s="158">
        <f>VLOOKUP(C593,Master!$B$6:$N$1000,10,FALSE)</f>
        <v>40</v>
      </c>
      <c r="G593" s="144">
        <f t="shared" si="54"/>
        <v>640</v>
      </c>
      <c r="H593" s="4"/>
      <c r="I593" s="4"/>
      <c r="J593" s="4"/>
      <c r="K593" s="4"/>
    </row>
    <row r="594" spans="1:11" ht="13">
      <c r="A594" s="164"/>
      <c r="B594" s="4"/>
      <c r="C594" s="4" t="s">
        <v>293</v>
      </c>
      <c r="D594" s="146">
        <v>1</v>
      </c>
      <c r="E594" s="4" t="str">
        <f>VLOOKUP(C594,Master!$B$6:$N$1000,9,FALSE)</f>
        <v>gr/pcs</v>
      </c>
      <c r="F594" s="158">
        <f>VLOOKUP(C594,Master!$B$6:$N$1000,10,FALSE)</f>
        <v>864.65116279069764</v>
      </c>
      <c r="G594" s="144">
        <f t="shared" si="54"/>
        <v>864.65116279069764</v>
      </c>
      <c r="H594" s="4"/>
      <c r="I594" s="4"/>
      <c r="J594" s="4"/>
      <c r="K594" s="4"/>
    </row>
    <row r="595" spans="1:11" ht="13">
      <c r="A595" s="164"/>
      <c r="B595" s="4"/>
      <c r="C595" s="4" t="s">
        <v>887</v>
      </c>
      <c r="D595" s="146">
        <v>5</v>
      </c>
      <c r="E595" s="4" t="str">
        <f>VLOOKUP(C595,Master!$B$6:$N$1000,9,FALSE)</f>
        <v>gr</v>
      </c>
      <c r="F595" s="158">
        <f>VLOOKUP(C595,Master!$B$6:$N$1000,10,FALSE)</f>
        <v>26</v>
      </c>
      <c r="G595" s="144">
        <f t="shared" si="54"/>
        <v>130</v>
      </c>
      <c r="H595" s="4"/>
      <c r="I595" s="4"/>
      <c r="J595" s="4"/>
      <c r="K595" s="4"/>
    </row>
    <row r="596" spans="1:11" ht="13">
      <c r="A596" s="164"/>
      <c r="B596" s="4"/>
      <c r="C596" s="145" t="s">
        <v>2043</v>
      </c>
      <c r="D596" s="146">
        <v>2</v>
      </c>
      <c r="E596" s="4" t="str">
        <f>VLOOKUP(C596,Master!$B$6:$N$1000,9,FALSE)</f>
        <v>gr</v>
      </c>
      <c r="F596" s="158">
        <f>VLOOKUP(C596,Master!$B$6:$N$1000,10,FALSE)</f>
        <v>38.5</v>
      </c>
      <c r="G596" s="144">
        <f t="shared" si="54"/>
        <v>77</v>
      </c>
      <c r="H596" s="81"/>
      <c r="I596" s="121"/>
      <c r="J596" s="121"/>
      <c r="K596" s="4"/>
    </row>
    <row r="597" spans="1:11" ht="13">
      <c r="A597" s="164"/>
      <c r="B597" s="4"/>
      <c r="C597" s="145" t="s">
        <v>720</v>
      </c>
      <c r="D597" s="146">
        <v>1</v>
      </c>
      <c r="E597" s="4" t="str">
        <f>VLOOKUP(C597,Master!$B$6:$N$1000,9,FALSE)</f>
        <v>gr</v>
      </c>
      <c r="F597" s="158">
        <f>VLOOKUP(C597,Master!$B$6:$N$1000,10,FALSE)</f>
        <v>280</v>
      </c>
      <c r="G597" s="144">
        <f t="shared" si="54"/>
        <v>280</v>
      </c>
      <c r="H597" s="81"/>
      <c r="I597" s="121"/>
      <c r="J597" s="121"/>
      <c r="K597" s="4"/>
    </row>
    <row r="598" spans="1:11" ht="13">
      <c r="A598" s="164"/>
      <c r="B598" s="4"/>
      <c r="C598" s="145" t="s">
        <v>799</v>
      </c>
      <c r="D598" s="146">
        <v>1</v>
      </c>
      <c r="E598" s="4" t="str">
        <f>VLOOKUP(C598,Master!$B$6:$N$1000,9,FALSE)</f>
        <v>gr</v>
      </c>
      <c r="F598" s="158">
        <f>VLOOKUP(C598,Master!$B$6:$N$1000,10,FALSE)</f>
        <v>90</v>
      </c>
      <c r="G598" s="144">
        <f t="shared" si="54"/>
        <v>90</v>
      </c>
      <c r="H598" s="81"/>
      <c r="I598" s="121"/>
      <c r="J598" s="121"/>
      <c r="K598" s="4"/>
    </row>
    <row r="599" spans="1:11" ht="13">
      <c r="A599" s="164"/>
      <c r="B599" s="4"/>
      <c r="C599" s="145" t="s">
        <v>659</v>
      </c>
      <c r="D599" s="146">
        <v>1</v>
      </c>
      <c r="E599" s="4" t="str">
        <f>VLOOKUP(C599,Master!$B$6:$N$1000,9,FALSE)</f>
        <v>pcs</v>
      </c>
      <c r="F599" s="158">
        <f>VLOOKUP(C599,Master!$B$6:$N$1000,10,FALSE)</f>
        <v>1866.6666666666667</v>
      </c>
      <c r="G599" s="144">
        <f t="shared" si="54"/>
        <v>1866.6666666666667</v>
      </c>
      <c r="H599" s="81"/>
      <c r="I599" s="121"/>
      <c r="J599" s="121"/>
      <c r="K599" s="4"/>
    </row>
    <row r="600" spans="1:11" ht="13">
      <c r="A600" s="164"/>
      <c r="B600" s="4"/>
      <c r="C600" s="145" t="s">
        <v>1103</v>
      </c>
      <c r="D600" s="146">
        <v>1</v>
      </c>
      <c r="E600" s="4" t="str">
        <f>VLOOKUP(C600,Master!$B$6:$N$1000,9,FALSE)</f>
        <v>pcs</v>
      </c>
      <c r="F600" s="158">
        <f>VLOOKUP(C600,Master!$B$6:$N$1000,10,FALSE)</f>
        <v>1040</v>
      </c>
      <c r="G600" s="144">
        <f t="shared" si="54"/>
        <v>1040</v>
      </c>
      <c r="H600" s="81"/>
      <c r="I600" s="121"/>
      <c r="J600" s="121"/>
      <c r="K600" s="4"/>
    </row>
    <row r="601" spans="1:11" ht="13">
      <c r="A601" s="156" t="str">
        <f>VLOOKUP(B601,Master!$V$7:$W$150,2,FALSE)</f>
        <v>M0142</v>
      </c>
      <c r="B601" s="152" t="s">
        <v>754</v>
      </c>
      <c r="C601" s="153"/>
      <c r="D601" s="153"/>
      <c r="E601" s="154"/>
      <c r="F601" s="153"/>
      <c r="G601" s="155">
        <f>SUM(G602:G611)</f>
        <v>8791.0387023113344</v>
      </c>
      <c r="H601" s="139">
        <v>0.1</v>
      </c>
      <c r="I601" s="155">
        <f>G601+(G601*H601)</f>
        <v>9670.142572542467</v>
      </c>
      <c r="J601" s="140" t="b">
        <v>0</v>
      </c>
      <c r="K601" s="4"/>
    </row>
    <row r="602" spans="1:11" ht="13">
      <c r="A602" s="141"/>
      <c r="B602" s="4"/>
      <c r="C602" s="4" t="s">
        <v>207</v>
      </c>
      <c r="D602" s="146">
        <v>1</v>
      </c>
      <c r="E602" s="4" t="str">
        <f>VLOOKUP(C602,Master!$B$6:$N$1000,9,FALSE)</f>
        <v>gr</v>
      </c>
      <c r="F602" s="158">
        <f>VLOOKUP(C602,Master!$B$6:$N$1000,10,FALSE)</f>
        <v>1593.8512949039266</v>
      </c>
      <c r="G602" s="144">
        <f t="shared" ref="G602:G610" si="55">D602*F602</f>
        <v>1593.8512949039266</v>
      </c>
      <c r="H602" s="145"/>
      <c r="I602" s="145"/>
      <c r="J602" s="145"/>
      <c r="K602" s="4"/>
    </row>
    <row r="603" spans="1:11" ht="13">
      <c r="A603" s="164"/>
      <c r="B603" s="4"/>
      <c r="C603" s="4" t="s">
        <v>1981</v>
      </c>
      <c r="D603" s="146">
        <v>80</v>
      </c>
      <c r="E603" s="4" t="str">
        <f>VLOOKUP(C603,Master!$B$6:$N$1000,9,FALSE)</f>
        <v>ml</v>
      </c>
      <c r="F603" s="158">
        <f>VLOOKUP(C603,Master!$B$6:$N$1000,10,FALSE)</f>
        <v>17.094333333333335</v>
      </c>
      <c r="G603" s="144">
        <f t="shared" si="55"/>
        <v>1367.5466666666669</v>
      </c>
      <c r="H603" s="4"/>
      <c r="I603" s="4"/>
      <c r="J603" s="4"/>
      <c r="K603" s="4"/>
    </row>
    <row r="604" spans="1:11" ht="13">
      <c r="A604" s="164"/>
      <c r="B604" s="4"/>
      <c r="C604" s="4" t="s">
        <v>2046</v>
      </c>
      <c r="D604" s="146">
        <v>20</v>
      </c>
      <c r="E604" s="4" t="str">
        <f>VLOOKUP(C604,Master!$B$6:$N$1000,9,FALSE)</f>
        <v>ml</v>
      </c>
      <c r="F604" s="158">
        <f>VLOOKUP(C604,Master!$B$6:$N$1000,10,FALSE)</f>
        <v>66</v>
      </c>
      <c r="G604" s="144">
        <f t="shared" si="55"/>
        <v>1320</v>
      </c>
      <c r="H604" s="4"/>
      <c r="I604" s="4"/>
      <c r="J604" s="4"/>
      <c r="K604" s="4"/>
    </row>
    <row r="605" spans="1:11" ht="13">
      <c r="A605" s="164"/>
      <c r="B605" s="4"/>
      <c r="C605" s="4" t="s">
        <v>112</v>
      </c>
      <c r="D605" s="146">
        <v>1</v>
      </c>
      <c r="E605" s="4" t="str">
        <f>VLOOKUP(C605,Master!$B$6:$N$1000,9,FALSE)</f>
        <v>gr/pcs</v>
      </c>
      <c r="F605" s="158">
        <f>VLOOKUP(C605,Master!$B$6:$N$1000,10,FALSE)</f>
        <v>2300.1407407407405</v>
      </c>
      <c r="G605" s="144">
        <f t="shared" si="55"/>
        <v>2300.1407407407405</v>
      </c>
      <c r="H605" s="4"/>
      <c r="I605" s="4"/>
      <c r="J605" s="4"/>
      <c r="K605" s="4"/>
    </row>
    <row r="606" spans="1:11" ht="13">
      <c r="A606" s="164"/>
      <c r="B606" s="4"/>
      <c r="C606" s="4" t="s">
        <v>2063</v>
      </c>
      <c r="D606" s="146">
        <v>15</v>
      </c>
      <c r="E606" s="4" t="str">
        <f>VLOOKUP(C606,Master!$B$6:$N$1000,9,FALSE)</f>
        <v>gr</v>
      </c>
      <c r="F606" s="158">
        <f>VLOOKUP(C606,Master!$B$6:$N$1000,10,FALSE)</f>
        <v>108</v>
      </c>
      <c r="G606" s="144">
        <f t="shared" si="55"/>
        <v>1620</v>
      </c>
      <c r="H606" s="4"/>
      <c r="I606" s="4"/>
      <c r="J606" s="4"/>
      <c r="K606" s="4"/>
    </row>
    <row r="607" spans="1:11" ht="13">
      <c r="A607" s="164"/>
      <c r="B607" s="4"/>
      <c r="C607" s="145" t="s">
        <v>2045</v>
      </c>
      <c r="D607" s="146">
        <v>10</v>
      </c>
      <c r="E607" s="4" t="str">
        <f>VLOOKUP(C607,Master!$B$6:$N$1000,9,FALSE)</f>
        <v>gr</v>
      </c>
      <c r="F607" s="158">
        <f>VLOOKUP(C607,Master!$B$6:$N$1000,10,FALSE)</f>
        <v>14.25</v>
      </c>
      <c r="G607" s="144">
        <f t="shared" si="55"/>
        <v>142.5</v>
      </c>
      <c r="H607" s="81"/>
      <c r="I607" s="121"/>
      <c r="J607" s="121"/>
      <c r="K607" s="4"/>
    </row>
    <row r="608" spans="1:11" ht="13">
      <c r="A608" s="164"/>
      <c r="B608" s="4"/>
      <c r="C608" s="145" t="s">
        <v>720</v>
      </c>
      <c r="D608" s="146">
        <v>1</v>
      </c>
      <c r="E608" s="4" t="str">
        <f>VLOOKUP(C608,Master!$B$6:$N$1000,9,FALSE)</f>
        <v>gr</v>
      </c>
      <c r="F608" s="158">
        <f>VLOOKUP(C608,Master!$B$6:$N$1000,10,FALSE)</f>
        <v>280</v>
      </c>
      <c r="G608" s="144">
        <f t="shared" si="55"/>
        <v>280</v>
      </c>
      <c r="H608" s="81"/>
      <c r="I608" s="121"/>
      <c r="J608" s="121"/>
      <c r="K608" s="4"/>
    </row>
    <row r="609" spans="1:11" ht="13">
      <c r="A609" s="164"/>
      <c r="B609" s="4"/>
      <c r="C609" s="145" t="s">
        <v>2043</v>
      </c>
      <c r="D609" s="146">
        <v>2</v>
      </c>
      <c r="E609" s="4" t="str">
        <f>VLOOKUP(C609,Master!$B$6:$N$1000,9,FALSE)</f>
        <v>gr</v>
      </c>
      <c r="F609" s="158">
        <f>VLOOKUP(C609,Master!$B$6:$N$1000,10,FALSE)</f>
        <v>38.5</v>
      </c>
      <c r="G609" s="144">
        <f t="shared" si="55"/>
        <v>77</v>
      </c>
      <c r="H609" s="81"/>
      <c r="I609" s="121"/>
      <c r="J609" s="121"/>
      <c r="K609" s="4"/>
    </row>
    <row r="610" spans="1:11" ht="13">
      <c r="A610" s="164"/>
      <c r="B610" s="4"/>
      <c r="C610" s="145" t="s">
        <v>799</v>
      </c>
      <c r="D610" s="146">
        <v>1</v>
      </c>
      <c r="E610" s="4" t="str">
        <f>VLOOKUP(C610,Master!$B$6:$N$1000,9,FALSE)</f>
        <v>gr</v>
      </c>
      <c r="F610" s="158">
        <f>VLOOKUP(C610,Master!$B$6:$N$1000,10,FALSE)</f>
        <v>90</v>
      </c>
      <c r="G610" s="144">
        <f t="shared" si="55"/>
        <v>90</v>
      </c>
      <c r="H610" s="81"/>
      <c r="I610" s="121"/>
      <c r="J610" s="121"/>
      <c r="K610" s="4"/>
    </row>
    <row r="611" spans="1:11" ht="13">
      <c r="A611" s="164"/>
      <c r="B611" s="4"/>
      <c r="C611" s="145"/>
      <c r="D611" s="146"/>
      <c r="E611" s="4"/>
      <c r="F611" s="158"/>
      <c r="G611" s="144"/>
      <c r="H611" s="81"/>
      <c r="I611" s="121"/>
      <c r="J611" s="121"/>
      <c r="K611" s="4"/>
    </row>
    <row r="612" spans="1:11" ht="13">
      <c r="A612" s="156" t="str">
        <f>VLOOKUP(B612,Master!$V$7:$W$150,2,FALSE)</f>
        <v>M0130</v>
      </c>
      <c r="B612" s="152" t="s">
        <v>706</v>
      </c>
      <c r="C612" s="153"/>
      <c r="D612" s="153"/>
      <c r="E612" s="154"/>
      <c r="F612" s="153"/>
      <c r="G612" s="155">
        <f>SUM(G613:G620)</f>
        <v>22482.508269005848</v>
      </c>
      <c r="H612" s="139">
        <v>0.1</v>
      </c>
      <c r="I612" s="155">
        <f>G612+(G612*H612)</f>
        <v>24730.759095906433</v>
      </c>
      <c r="J612" s="140" t="b">
        <v>0</v>
      </c>
      <c r="K612" s="4"/>
    </row>
    <row r="613" spans="1:11" ht="13">
      <c r="A613" s="141"/>
      <c r="B613" s="4"/>
      <c r="C613" s="4" t="s">
        <v>145</v>
      </c>
      <c r="D613" s="146">
        <v>1</v>
      </c>
      <c r="E613" s="4" t="str">
        <f>VLOOKUP(C613,Master!$B$6:$N$1000,9,FALSE)</f>
        <v>gr</v>
      </c>
      <c r="F613" s="158">
        <f>VLOOKUP(C613,Master!$B$6:$N$1000,10,FALSE)</f>
        <v>2108.7128654970761</v>
      </c>
      <c r="G613" s="144">
        <f t="shared" ref="G613:G620" si="56">D613*F613</f>
        <v>2108.7128654970761</v>
      </c>
      <c r="H613" s="145"/>
      <c r="I613" s="145"/>
      <c r="J613" s="145"/>
      <c r="K613" s="4"/>
    </row>
    <row r="614" spans="1:11" ht="13">
      <c r="A614" s="164"/>
      <c r="B614" s="4"/>
      <c r="C614" s="4" t="s">
        <v>236</v>
      </c>
      <c r="D614" s="146">
        <v>1</v>
      </c>
      <c r="E614" s="4" t="str">
        <f>VLOOKUP(C614,Master!$B$6:$N$1000,9,FALSE)</f>
        <v>gr</v>
      </c>
      <c r="F614" s="158">
        <f>VLOOKUP(C614,Master!$B$6:$N$1000,10,FALSE)</f>
        <v>500.46873684210522</v>
      </c>
      <c r="G614" s="144">
        <f t="shared" si="56"/>
        <v>500.46873684210522</v>
      </c>
      <c r="H614" s="4"/>
      <c r="I614" s="4"/>
      <c r="J614" s="4"/>
      <c r="K614" s="4"/>
    </row>
    <row r="615" spans="1:11" ht="13">
      <c r="A615" s="164"/>
      <c r="B615" s="4"/>
      <c r="C615" s="4" t="s">
        <v>2038</v>
      </c>
      <c r="D615" s="146">
        <v>20</v>
      </c>
      <c r="E615" s="4" t="str">
        <f>VLOOKUP(C615,Master!$B$6:$N$1000,9,FALSE)</f>
        <v>gr</v>
      </c>
      <c r="F615" s="158">
        <f>VLOOKUP(C615,Master!$B$6:$N$1000,10,FALSE)</f>
        <v>86</v>
      </c>
      <c r="G615" s="144">
        <f t="shared" si="56"/>
        <v>1720</v>
      </c>
      <c r="H615" s="4"/>
      <c r="I615" s="4"/>
      <c r="J615" s="4"/>
      <c r="K615" s="4"/>
    </row>
    <row r="616" spans="1:11" ht="13">
      <c r="A616" s="164"/>
      <c r="B616" s="4"/>
      <c r="C616" s="145" t="s">
        <v>2039</v>
      </c>
      <c r="D616" s="146">
        <v>1</v>
      </c>
      <c r="E616" s="4" t="str">
        <f>VLOOKUP(C616,Master!$B$6:$N$1000,9,FALSE)</f>
        <v>pcs</v>
      </c>
      <c r="F616" s="158">
        <f>VLOOKUP(C616,Master!$B$6:$N$1000,10,FALSE)</f>
        <v>4666.666666666667</v>
      </c>
      <c r="G616" s="144">
        <f t="shared" si="56"/>
        <v>4666.666666666667</v>
      </c>
      <c r="H616" s="81"/>
      <c r="I616" s="121"/>
      <c r="J616" s="121"/>
      <c r="K616" s="4"/>
    </row>
    <row r="617" spans="1:11" ht="13">
      <c r="A617" s="164"/>
      <c r="B617" s="4"/>
      <c r="C617" s="145" t="s">
        <v>883</v>
      </c>
      <c r="D617" s="146">
        <v>30</v>
      </c>
      <c r="E617" s="4" t="str">
        <f>VLOOKUP(C617,Master!$B$6:$N$1000,9,FALSE)</f>
        <v>gr</v>
      </c>
      <c r="F617" s="158">
        <f>VLOOKUP(C617,Master!$B$6:$N$1000,10,FALSE)</f>
        <v>156.22200000000001</v>
      </c>
      <c r="G617" s="144">
        <f t="shared" si="56"/>
        <v>4686.66</v>
      </c>
      <c r="H617" s="81"/>
      <c r="I617" s="121"/>
      <c r="J617" s="121"/>
      <c r="K617" s="4"/>
    </row>
    <row r="618" spans="1:11" ht="13">
      <c r="A618" s="164"/>
      <c r="B618" s="4"/>
      <c r="C618" s="145" t="s">
        <v>2063</v>
      </c>
      <c r="D618" s="146">
        <v>50</v>
      </c>
      <c r="E618" s="4" t="str">
        <f>VLOOKUP(C618,Master!$B$6:$N$1000,9,FALSE)</f>
        <v>gr</v>
      </c>
      <c r="F618" s="158">
        <f>VLOOKUP(C618,Master!$B$6:$N$1000,10,FALSE)</f>
        <v>108</v>
      </c>
      <c r="G618" s="144">
        <f t="shared" si="56"/>
        <v>5400</v>
      </c>
      <c r="H618" s="81"/>
      <c r="I618" s="121"/>
      <c r="J618" s="121"/>
      <c r="K618" s="4"/>
    </row>
    <row r="619" spans="1:11" ht="13">
      <c r="A619" s="164"/>
      <c r="B619" s="4"/>
      <c r="C619" s="145" t="s">
        <v>1156</v>
      </c>
      <c r="D619" s="146">
        <v>2</v>
      </c>
      <c r="E619" s="4" t="str">
        <f>VLOOKUP(C619,Master!$B$6:$N$1000,9,FALSE)</f>
        <v>gr</v>
      </c>
      <c r="F619" s="158">
        <f>VLOOKUP(C619,Master!$B$6:$N$1000,10,FALSE)</f>
        <v>250</v>
      </c>
      <c r="G619" s="144">
        <f t="shared" si="56"/>
        <v>500</v>
      </c>
      <c r="H619" s="81"/>
      <c r="I619" s="121"/>
      <c r="J619" s="121"/>
      <c r="K619" s="4"/>
    </row>
    <row r="620" spans="1:11" ht="13">
      <c r="A620" s="164"/>
      <c r="B620" s="4"/>
      <c r="C620" s="145" t="s">
        <v>1198</v>
      </c>
      <c r="D620" s="146">
        <v>1</v>
      </c>
      <c r="E620" s="4" t="str">
        <f>VLOOKUP(C620,Master!$B$6:$N$1000,9,FALSE)</f>
        <v>pcs</v>
      </c>
      <c r="F620" s="158">
        <f>VLOOKUP(C620,Master!$B$6:$N$1000,10,FALSE)</f>
        <v>2900</v>
      </c>
      <c r="G620" s="144">
        <f t="shared" si="56"/>
        <v>2900</v>
      </c>
      <c r="H620" s="81"/>
      <c r="I620" s="121"/>
      <c r="J620" s="121"/>
      <c r="K620" s="4"/>
    </row>
    <row r="621" spans="1:11" ht="13">
      <c r="A621" s="156" t="str">
        <f>VLOOKUP(B621,Master!$V$7:$W$150,2,FALSE)</f>
        <v>M0131</v>
      </c>
      <c r="B621" s="152" t="s">
        <v>710</v>
      </c>
      <c r="C621" s="153"/>
      <c r="D621" s="153"/>
      <c r="E621" s="154"/>
      <c r="F621" s="153"/>
      <c r="G621" s="155">
        <f>SUM(G622:G629)</f>
        <v>12570.18160233918</v>
      </c>
      <c r="H621" s="139">
        <v>0.1</v>
      </c>
      <c r="I621" s="155">
        <f>G621+(G621*H621)</f>
        <v>13827.199762573098</v>
      </c>
      <c r="J621" s="140" t="b">
        <v>0</v>
      </c>
      <c r="K621" s="4"/>
    </row>
    <row r="622" spans="1:11" ht="13">
      <c r="A622" s="141"/>
      <c r="B622" s="4"/>
      <c r="C622" s="4" t="s">
        <v>145</v>
      </c>
      <c r="D622" s="146">
        <v>1</v>
      </c>
      <c r="E622" s="4" t="str">
        <f>VLOOKUP(C622,Master!$B$6:$N$1000,9,FALSE)</f>
        <v>gr</v>
      </c>
      <c r="F622" s="158">
        <f>VLOOKUP(C622,Master!$B$6:$N$1000,10,FALSE)</f>
        <v>2108.7128654970761</v>
      </c>
      <c r="G622" s="144">
        <f t="shared" ref="G622:G628" si="57">D622*F622</f>
        <v>2108.7128654970761</v>
      </c>
      <c r="H622" s="145"/>
      <c r="I622" s="145"/>
      <c r="J622" s="145"/>
      <c r="K622" s="4"/>
    </row>
    <row r="623" spans="1:11" ht="13">
      <c r="A623" s="164"/>
      <c r="B623" s="4"/>
      <c r="C623" s="4" t="s">
        <v>236</v>
      </c>
      <c r="D623" s="146">
        <v>1</v>
      </c>
      <c r="E623" s="4" t="str">
        <f>VLOOKUP(C623,Master!$B$6:$N$1000,9,FALSE)</f>
        <v>gr</v>
      </c>
      <c r="F623" s="158">
        <f>VLOOKUP(C623,Master!$B$6:$N$1000,10,FALSE)</f>
        <v>500.46873684210522</v>
      </c>
      <c r="G623" s="144">
        <f t="shared" si="57"/>
        <v>500.46873684210522</v>
      </c>
      <c r="H623" s="4"/>
      <c r="I623" s="4"/>
      <c r="J623" s="4"/>
      <c r="K623" s="4"/>
    </row>
    <row r="624" spans="1:11" ht="13">
      <c r="A624" s="164"/>
      <c r="B624" s="4"/>
      <c r="C624" s="4" t="s">
        <v>744</v>
      </c>
      <c r="D624" s="146">
        <v>10</v>
      </c>
      <c r="E624" s="4" t="str">
        <f>VLOOKUP(C624,Master!$B$6:$N$1000,9,FALSE)</f>
        <v>gr</v>
      </c>
      <c r="F624" s="158">
        <f>VLOOKUP(C624,Master!$B$6:$N$1000,10,FALSE)</f>
        <v>58.6</v>
      </c>
      <c r="G624" s="144">
        <f t="shared" si="57"/>
        <v>586</v>
      </c>
      <c r="H624" s="4"/>
      <c r="I624" s="4"/>
      <c r="J624" s="4"/>
      <c r="K624" s="4"/>
    </row>
    <row r="625" spans="1:11" ht="13">
      <c r="A625" s="164"/>
      <c r="B625" s="4"/>
      <c r="C625" s="145" t="s">
        <v>716</v>
      </c>
      <c r="D625" s="146">
        <v>15</v>
      </c>
      <c r="E625" s="4" t="str">
        <f>VLOOKUP(C625,Master!$B$6:$N$1000,9,FALSE)</f>
        <v>gr</v>
      </c>
      <c r="F625" s="158">
        <f>VLOOKUP(C625,Master!$B$6:$N$1000,10,FALSE)</f>
        <v>45</v>
      </c>
      <c r="G625" s="144">
        <f t="shared" si="57"/>
        <v>675</v>
      </c>
      <c r="H625" s="81"/>
      <c r="I625" s="121"/>
      <c r="J625" s="121"/>
      <c r="K625" s="4"/>
    </row>
    <row r="626" spans="1:11" ht="13">
      <c r="A626" s="164"/>
      <c r="B626" s="4"/>
      <c r="C626" s="145" t="s">
        <v>732</v>
      </c>
      <c r="D626" s="146">
        <v>10</v>
      </c>
      <c r="E626" s="4" t="str">
        <f>VLOOKUP(C626,Master!$B$6:$N$1000,9,FALSE)</f>
        <v>gr</v>
      </c>
      <c r="F626" s="158">
        <f>VLOOKUP(C626,Master!$B$6:$N$1000,10,FALSE)</f>
        <v>40</v>
      </c>
      <c r="G626" s="144">
        <f t="shared" si="57"/>
        <v>400</v>
      </c>
      <c r="H626" s="81"/>
      <c r="I626" s="121"/>
      <c r="J626" s="121"/>
      <c r="K626" s="4"/>
    </row>
    <row r="627" spans="1:11" ht="13">
      <c r="A627" s="164"/>
      <c r="B627" s="4"/>
      <c r="C627" s="145" t="s">
        <v>2063</v>
      </c>
      <c r="D627" s="146">
        <v>50</v>
      </c>
      <c r="E627" s="4" t="str">
        <f>VLOOKUP(C627,Master!$B$6:$N$1000,9,FALSE)</f>
        <v>gr</v>
      </c>
      <c r="F627" s="158">
        <f>VLOOKUP(C627,Master!$B$6:$N$1000,10,FALSE)</f>
        <v>108</v>
      </c>
      <c r="G627" s="144">
        <f t="shared" si="57"/>
        <v>5400</v>
      </c>
      <c r="H627" s="81"/>
      <c r="I627" s="121"/>
      <c r="J627" s="121"/>
      <c r="K627" s="4"/>
    </row>
    <row r="628" spans="1:11" ht="13">
      <c r="A628" s="164"/>
      <c r="B628" s="4"/>
      <c r="C628" s="145" t="s">
        <v>1198</v>
      </c>
      <c r="D628" s="146">
        <v>1</v>
      </c>
      <c r="E628" s="4" t="str">
        <f>VLOOKUP(C628,Master!$B$6:$N$1000,9,FALSE)</f>
        <v>pcs</v>
      </c>
      <c r="F628" s="158">
        <f>VLOOKUP(C628,Master!$B$6:$N$1000,10,FALSE)</f>
        <v>2900</v>
      </c>
      <c r="G628" s="144">
        <f t="shared" si="57"/>
        <v>2900</v>
      </c>
      <c r="H628" s="81"/>
      <c r="I628" s="121"/>
      <c r="J628" s="121"/>
      <c r="K628" s="4"/>
    </row>
    <row r="629" spans="1:11" ht="13">
      <c r="A629" s="164"/>
      <c r="B629" s="4"/>
      <c r="C629" s="145"/>
      <c r="D629" s="146"/>
      <c r="E629" s="4"/>
      <c r="F629" s="158"/>
      <c r="G629" s="144"/>
      <c r="H629" s="81"/>
      <c r="I629" s="121"/>
      <c r="J629" s="121"/>
      <c r="K629" s="4"/>
    </row>
    <row r="630" spans="1:11" ht="13">
      <c r="A630" s="156" t="str">
        <f>VLOOKUP(B630,Master!$V$7:$W$150,2,FALSE)</f>
        <v>M0129</v>
      </c>
      <c r="B630" s="152" t="s">
        <v>702</v>
      </c>
      <c r="C630" s="153"/>
      <c r="D630" s="153"/>
      <c r="E630" s="154"/>
      <c r="F630" s="153"/>
      <c r="G630" s="155">
        <f>SUM(G631:G644)</f>
        <v>15481.072237501417</v>
      </c>
      <c r="H630" s="139">
        <v>0.1</v>
      </c>
      <c r="I630" s="155">
        <f>G630+(G630*H630)</f>
        <v>17029.179461251559</v>
      </c>
      <c r="J630" s="140" t="b">
        <v>0</v>
      </c>
      <c r="K630" s="4"/>
    </row>
    <row r="631" spans="1:11" ht="13">
      <c r="A631" s="141"/>
      <c r="B631" s="4"/>
      <c r="C631" s="4" t="s">
        <v>251</v>
      </c>
      <c r="D631" s="146">
        <v>1</v>
      </c>
      <c r="E631" s="4" t="str">
        <f>VLOOKUP(C631,Master!$B$6:$N$1000,9,FALSE)</f>
        <v>Porsi</v>
      </c>
      <c r="F631" s="158">
        <f>VLOOKUP(C631,Master!$B$6:$N$1000,10,FALSE)</f>
        <v>1093.9890710382513</v>
      </c>
      <c r="G631" s="144">
        <f t="shared" ref="G631:G644" si="58">D631*F631</f>
        <v>1093.9890710382513</v>
      </c>
      <c r="H631" s="145"/>
      <c r="I631" s="145"/>
      <c r="J631" s="145"/>
      <c r="K631" s="4"/>
    </row>
    <row r="632" spans="1:11" ht="13">
      <c r="A632" s="164"/>
      <c r="B632" s="4"/>
      <c r="C632" s="4" t="s">
        <v>229</v>
      </c>
      <c r="D632" s="146">
        <v>1</v>
      </c>
      <c r="E632" s="4" t="str">
        <f>VLOOKUP(C632,Master!$B$6:$N$1000,9,FALSE)</f>
        <v>Porsi</v>
      </c>
      <c r="F632" s="158">
        <f>VLOOKUP(C632,Master!$B$6:$N$1000,10,FALSE)</f>
        <v>8819.8395767195761</v>
      </c>
      <c r="G632" s="144">
        <f t="shared" si="58"/>
        <v>8819.8395767195761</v>
      </c>
      <c r="H632" s="4"/>
      <c r="I632" s="4"/>
      <c r="J632" s="4"/>
      <c r="K632" s="4"/>
    </row>
    <row r="633" spans="1:11" ht="13">
      <c r="A633" s="164"/>
      <c r="B633" s="4"/>
      <c r="C633" s="4" t="s">
        <v>732</v>
      </c>
      <c r="D633" s="146">
        <v>16</v>
      </c>
      <c r="E633" s="4" t="str">
        <f>VLOOKUP(C633,Master!$B$6:$N$1000,9,FALSE)</f>
        <v>gr</v>
      </c>
      <c r="F633" s="158">
        <f>VLOOKUP(C633,Master!$B$6:$N$1000,10,FALSE)</f>
        <v>40</v>
      </c>
      <c r="G633" s="144">
        <f t="shared" si="58"/>
        <v>640</v>
      </c>
      <c r="H633" s="4"/>
      <c r="I633" s="4"/>
      <c r="J633" s="4"/>
      <c r="K633" s="4"/>
    </row>
    <row r="634" spans="1:11" ht="13">
      <c r="A634" s="164"/>
      <c r="B634" s="4"/>
      <c r="C634" s="4" t="s">
        <v>712</v>
      </c>
      <c r="D634" s="146">
        <v>5</v>
      </c>
      <c r="E634" s="4" t="str">
        <f>VLOOKUP(C634,Master!$B$6:$N$1000,9,FALSE)</f>
        <v>gr</v>
      </c>
      <c r="F634" s="158">
        <f>VLOOKUP(C634,Master!$B$6:$N$1000,10,FALSE)</f>
        <v>40</v>
      </c>
      <c r="G634" s="144">
        <f t="shared" si="58"/>
        <v>200</v>
      </c>
      <c r="H634" s="4"/>
      <c r="I634" s="4"/>
      <c r="J634" s="4"/>
      <c r="K634" s="4"/>
    </row>
    <row r="635" spans="1:11" ht="13">
      <c r="A635" s="164"/>
      <c r="B635" s="4"/>
      <c r="C635" s="4" t="s">
        <v>1064</v>
      </c>
      <c r="D635" s="146">
        <v>5</v>
      </c>
      <c r="E635" s="4" t="str">
        <f>VLOOKUP(C635,Master!$B$6:$N$1000,9,FALSE)</f>
        <v>gr</v>
      </c>
      <c r="F635" s="158">
        <f>VLOOKUP(C635,Master!$B$6:$N$1000,10,FALSE)</f>
        <v>37.700000000000003</v>
      </c>
      <c r="G635" s="144">
        <f t="shared" si="58"/>
        <v>188.5</v>
      </c>
      <c r="H635" s="4"/>
      <c r="I635" s="4"/>
      <c r="J635" s="4"/>
      <c r="K635" s="4"/>
    </row>
    <row r="636" spans="1:11" ht="13">
      <c r="A636" s="164"/>
      <c r="B636" s="4"/>
      <c r="C636" s="4" t="s">
        <v>2042</v>
      </c>
      <c r="D636" s="146">
        <v>20</v>
      </c>
      <c r="E636" s="4" t="str">
        <f>VLOOKUP(C636,Master!$B$6:$N$1000,9,FALSE)</f>
        <v>gr</v>
      </c>
      <c r="F636" s="158">
        <f>VLOOKUP(C636,Master!$B$6:$N$1000,10,FALSE)</f>
        <v>29.0625</v>
      </c>
      <c r="G636" s="144">
        <f t="shared" si="58"/>
        <v>581.25</v>
      </c>
      <c r="H636" s="4"/>
      <c r="I636" s="4"/>
      <c r="J636" s="4"/>
      <c r="K636" s="4"/>
    </row>
    <row r="637" spans="1:11" ht="13">
      <c r="A637" s="164"/>
      <c r="B637" s="4"/>
      <c r="C637" s="4" t="s">
        <v>2043</v>
      </c>
      <c r="D637" s="146">
        <v>2</v>
      </c>
      <c r="E637" s="4" t="str">
        <f>VLOOKUP(C637,Master!$B$6:$N$1000,9,FALSE)</f>
        <v>gr</v>
      </c>
      <c r="F637" s="158">
        <f>VLOOKUP(C637,Master!$B$6:$N$1000,10,FALSE)</f>
        <v>38.5</v>
      </c>
      <c r="G637" s="144">
        <f t="shared" si="58"/>
        <v>77</v>
      </c>
      <c r="H637" s="4"/>
      <c r="I637" s="4"/>
      <c r="J637" s="4"/>
      <c r="K637" s="4"/>
    </row>
    <row r="638" spans="1:11" ht="13">
      <c r="A638" s="164"/>
      <c r="B638" s="4"/>
      <c r="C638" s="4" t="s">
        <v>764</v>
      </c>
      <c r="D638" s="146">
        <v>1</v>
      </c>
      <c r="E638" s="4" t="str">
        <f>VLOOKUP(C638,Master!$B$6:$N$1000,9,FALSE)</f>
        <v>gr</v>
      </c>
      <c r="F638" s="158">
        <f>VLOOKUP(C638,Master!$B$6:$N$1000,10,FALSE)</f>
        <v>15</v>
      </c>
      <c r="G638" s="144">
        <f t="shared" si="58"/>
        <v>15</v>
      </c>
      <c r="H638" s="4"/>
      <c r="I638" s="4"/>
      <c r="J638" s="4"/>
      <c r="K638" s="4"/>
    </row>
    <row r="639" spans="1:11" ht="13">
      <c r="A639" s="164"/>
      <c r="B639" s="4"/>
      <c r="C639" s="4" t="s">
        <v>1000</v>
      </c>
      <c r="D639" s="146">
        <v>2</v>
      </c>
      <c r="E639" s="4" t="str">
        <f>VLOOKUP(C639,Master!$B$6:$N$1000,9,FALSE)</f>
        <v>gr</v>
      </c>
      <c r="F639" s="158">
        <f>VLOOKUP(C639,Master!$B$6:$N$1000,10,FALSE)</f>
        <v>44.5</v>
      </c>
      <c r="G639" s="144">
        <f t="shared" si="58"/>
        <v>89</v>
      </c>
      <c r="H639" s="4"/>
      <c r="I639" s="4"/>
      <c r="J639" s="4"/>
      <c r="K639" s="4"/>
    </row>
    <row r="640" spans="1:11" ht="13">
      <c r="A640" s="164"/>
      <c r="B640" s="4"/>
      <c r="C640" s="145" t="s">
        <v>799</v>
      </c>
      <c r="D640" s="146">
        <v>2</v>
      </c>
      <c r="E640" s="4" t="str">
        <f>VLOOKUP(C640,Master!$B$6:$N$1000,9,FALSE)</f>
        <v>gr</v>
      </c>
      <c r="F640" s="158">
        <f>VLOOKUP(C640,Master!$B$6:$N$1000,10,FALSE)</f>
        <v>90</v>
      </c>
      <c r="G640" s="144">
        <f t="shared" si="58"/>
        <v>180</v>
      </c>
      <c r="H640" s="81"/>
      <c r="I640" s="121"/>
      <c r="J640" s="121"/>
      <c r="K640" s="4"/>
    </row>
    <row r="641" spans="1:11" ht="13">
      <c r="A641" s="164"/>
      <c r="B641" s="4"/>
      <c r="C641" s="145" t="s">
        <v>931</v>
      </c>
      <c r="D641" s="146">
        <v>20</v>
      </c>
      <c r="E641" s="4" t="str">
        <f>VLOOKUP(C641,Master!$B$6:$N$1000,9,FALSE)</f>
        <v>gr</v>
      </c>
      <c r="F641" s="158">
        <f>VLOOKUP(C641,Master!$B$6:$N$1000,10,FALSE)</f>
        <v>18.399999999999999</v>
      </c>
      <c r="G641" s="144">
        <f t="shared" si="58"/>
        <v>368</v>
      </c>
      <c r="H641" s="81"/>
      <c r="I641" s="121"/>
      <c r="J641" s="121"/>
      <c r="K641" s="4"/>
    </row>
    <row r="642" spans="1:11" ht="13">
      <c r="A642" s="164"/>
      <c r="B642" s="4"/>
      <c r="C642" s="145" t="s">
        <v>26</v>
      </c>
      <c r="D642" s="146">
        <v>1</v>
      </c>
      <c r="E642" s="4" t="str">
        <f>VLOOKUP(C642,Master!$B$6:$N$1000,9,FALSE)</f>
        <v>ml</v>
      </c>
      <c r="F642" s="158">
        <f>VLOOKUP(C642,Master!$B$6:$N$1000,10,FALSE)</f>
        <v>321.82692307692309</v>
      </c>
      <c r="G642" s="144">
        <f t="shared" si="58"/>
        <v>321.82692307692309</v>
      </c>
      <c r="H642" s="81"/>
      <c r="I642" s="121"/>
      <c r="J642" s="121"/>
      <c r="K642" s="4"/>
    </row>
    <row r="643" spans="1:11" ht="13">
      <c r="A643" s="164"/>
      <c r="B643" s="4"/>
      <c r="C643" s="145" t="s">
        <v>659</v>
      </c>
      <c r="D643" s="146">
        <v>1</v>
      </c>
      <c r="E643" s="4" t="str">
        <f>VLOOKUP(C643,Master!$B$6:$N$1000,9,FALSE)</f>
        <v>pcs</v>
      </c>
      <c r="F643" s="158">
        <f>VLOOKUP(C643,Master!$B$6:$N$1000,10,FALSE)</f>
        <v>1866.6666666666667</v>
      </c>
      <c r="G643" s="144">
        <f t="shared" si="58"/>
        <v>1866.6666666666667</v>
      </c>
      <c r="H643" s="81"/>
      <c r="I643" s="121"/>
      <c r="J643" s="121"/>
      <c r="K643" s="4"/>
    </row>
    <row r="644" spans="1:11" ht="13">
      <c r="A644" s="164"/>
      <c r="B644" s="4"/>
      <c r="C644" s="145" t="s">
        <v>1103</v>
      </c>
      <c r="D644" s="146">
        <v>1</v>
      </c>
      <c r="E644" s="4" t="str">
        <f>VLOOKUP(C644,Master!$B$6:$N$1000,9,FALSE)</f>
        <v>pcs</v>
      </c>
      <c r="F644" s="158">
        <f>VLOOKUP(C644,Master!$B$6:$N$1000,10,FALSE)</f>
        <v>1040</v>
      </c>
      <c r="G644" s="144">
        <f t="shared" si="58"/>
        <v>1040</v>
      </c>
      <c r="H644" s="81"/>
      <c r="I644" s="121"/>
      <c r="J644" s="121"/>
      <c r="K644" s="4"/>
    </row>
    <row r="645" spans="1:11" ht="13">
      <c r="A645" s="156" t="str">
        <f>VLOOKUP(B645,Master!$V$7:$W$150,2,FALSE)</f>
        <v>M0050</v>
      </c>
      <c r="B645" s="152" t="s">
        <v>392</v>
      </c>
      <c r="C645" s="153"/>
      <c r="D645" s="153"/>
      <c r="E645" s="154"/>
      <c r="F645" s="153"/>
      <c r="G645" s="155">
        <f>SUM(G646:G653)</f>
        <v>8549.4</v>
      </c>
      <c r="H645" s="139">
        <v>0.1</v>
      </c>
      <c r="I645" s="155">
        <f>G645+(G645*H645)</f>
        <v>9404.34</v>
      </c>
      <c r="J645" s="140" t="b">
        <v>0</v>
      </c>
      <c r="K645" s="4"/>
    </row>
    <row r="646" spans="1:11" ht="13">
      <c r="A646" s="141"/>
      <c r="B646" s="4"/>
      <c r="C646" s="4" t="s">
        <v>675</v>
      </c>
      <c r="D646" s="146">
        <v>10</v>
      </c>
      <c r="E646" s="4" t="str">
        <f>VLOOKUP(C646,Master!$B$6:$N$1000,9,FALSE)</f>
        <v>unit</v>
      </c>
      <c r="F646" s="158">
        <f>VLOOKUP(C646,Master!$B$6:$N$1000,10,FALSE)</f>
        <v>675</v>
      </c>
      <c r="G646" s="144">
        <f t="shared" ref="G646:G653" si="59">D646*F646</f>
        <v>6750</v>
      </c>
      <c r="H646" s="145"/>
      <c r="I646" s="145"/>
      <c r="J646" s="145"/>
      <c r="K646" s="4"/>
    </row>
    <row r="647" spans="1:11" ht="13">
      <c r="A647" s="164"/>
      <c r="B647" s="4"/>
      <c r="C647" s="4" t="s">
        <v>671</v>
      </c>
      <c r="D647" s="146">
        <v>5</v>
      </c>
      <c r="E647" s="4" t="str">
        <f>VLOOKUP(C647,Master!$B$6:$N$1000,9,FALSE)</f>
        <v>gr</v>
      </c>
      <c r="F647" s="158">
        <f>VLOOKUP(C647,Master!$B$6:$N$1000,10,FALSE)</f>
        <v>50</v>
      </c>
      <c r="G647" s="144">
        <f t="shared" si="59"/>
        <v>250</v>
      </c>
      <c r="H647" s="4"/>
      <c r="I647" s="4"/>
      <c r="J647" s="4"/>
      <c r="K647" s="4"/>
    </row>
    <row r="648" spans="1:11" ht="13">
      <c r="A648" s="164"/>
      <c r="B648" s="4"/>
      <c r="C648" s="4" t="s">
        <v>815</v>
      </c>
      <c r="D648" s="146">
        <v>2</v>
      </c>
      <c r="E648" s="4" t="str">
        <f>VLOOKUP(C648,Master!$B$6:$N$1000,9,FALSE)</f>
        <v>gr</v>
      </c>
      <c r="F648" s="158">
        <f>VLOOKUP(C648,Master!$B$6:$N$1000,10,FALSE)</f>
        <v>12</v>
      </c>
      <c r="G648" s="144">
        <f t="shared" si="59"/>
        <v>24</v>
      </c>
      <c r="H648" s="4"/>
      <c r="I648" s="4"/>
      <c r="J648" s="4"/>
      <c r="K648" s="4"/>
    </row>
    <row r="649" spans="1:11" ht="13">
      <c r="A649" s="164"/>
      <c r="B649" s="4"/>
      <c r="C649" s="4" t="s">
        <v>712</v>
      </c>
      <c r="D649" s="146">
        <v>2</v>
      </c>
      <c r="E649" s="4" t="str">
        <f>VLOOKUP(C649,Master!$B$6:$N$1000,9,FALSE)</f>
        <v>gr</v>
      </c>
      <c r="F649" s="158">
        <f>VLOOKUP(C649,Master!$B$6:$N$1000,10,FALSE)</f>
        <v>40</v>
      </c>
      <c r="G649" s="144">
        <f t="shared" si="59"/>
        <v>80</v>
      </c>
      <c r="H649" s="4"/>
      <c r="I649" s="4"/>
      <c r="J649" s="4"/>
      <c r="K649" s="4"/>
    </row>
    <row r="650" spans="1:11" ht="13">
      <c r="A650" s="164"/>
      <c r="B650" s="4"/>
      <c r="C650" s="145" t="s">
        <v>898</v>
      </c>
      <c r="D650" s="146">
        <v>2</v>
      </c>
      <c r="E650" s="4" t="str">
        <f>VLOOKUP(C650,Master!$B$6:$N$1000,9,FALSE)</f>
        <v>gr</v>
      </c>
      <c r="F650" s="158">
        <f>VLOOKUP(C650,Master!$B$6:$N$1000,10,FALSE)</f>
        <v>64.2</v>
      </c>
      <c r="G650" s="144">
        <f t="shared" si="59"/>
        <v>128.4</v>
      </c>
      <c r="H650" s="81"/>
      <c r="I650" s="121"/>
      <c r="J650" s="121"/>
      <c r="K650" s="4"/>
    </row>
    <row r="651" spans="1:11" ht="13">
      <c r="A651" s="164"/>
      <c r="B651" s="4"/>
      <c r="C651" s="145" t="s">
        <v>1134</v>
      </c>
      <c r="D651" s="146">
        <v>5</v>
      </c>
      <c r="E651" s="4" t="str">
        <f>VLOOKUP(C651,Master!$B$6:$N$1000,9,FALSE)</f>
        <v>gr</v>
      </c>
      <c r="F651" s="158">
        <f>VLOOKUP(C651,Master!$B$6:$N$1000,10,FALSE)</f>
        <v>40</v>
      </c>
      <c r="G651" s="144">
        <f t="shared" si="59"/>
        <v>200</v>
      </c>
      <c r="H651" s="81"/>
      <c r="I651" s="121"/>
      <c r="J651" s="121"/>
      <c r="K651" s="4"/>
    </row>
    <row r="652" spans="1:11" ht="13">
      <c r="A652" s="164"/>
      <c r="B652" s="4"/>
      <c r="C652" s="145" t="s">
        <v>2043</v>
      </c>
      <c r="D652" s="146">
        <v>2</v>
      </c>
      <c r="E652" s="4" t="str">
        <f>VLOOKUP(C652,Master!$B$6:$N$1000,9,FALSE)</f>
        <v>gr</v>
      </c>
      <c r="F652" s="158">
        <f>VLOOKUP(C652,Master!$B$6:$N$1000,10,FALSE)</f>
        <v>38.5</v>
      </c>
      <c r="G652" s="144">
        <f t="shared" si="59"/>
        <v>77</v>
      </c>
      <c r="H652" s="81"/>
      <c r="I652" s="121"/>
      <c r="J652" s="121"/>
      <c r="K652" s="4"/>
    </row>
    <row r="653" spans="1:11" ht="13">
      <c r="A653" s="164"/>
      <c r="B653" s="4"/>
      <c r="C653" s="167" t="s">
        <v>1103</v>
      </c>
      <c r="D653" s="146">
        <v>1</v>
      </c>
      <c r="E653" s="4" t="str">
        <f>VLOOKUP(C653,Master!$B$6:$N$1000,9,FALSE)</f>
        <v>pcs</v>
      </c>
      <c r="F653" s="158">
        <f>VLOOKUP(C653,Master!$B$6:$N$1000,10,FALSE)</f>
        <v>1040</v>
      </c>
      <c r="G653" s="144">
        <f t="shared" si="59"/>
        <v>1040</v>
      </c>
      <c r="H653" s="81"/>
      <c r="I653" s="121"/>
      <c r="J653" s="121"/>
      <c r="K653" s="4"/>
    </row>
    <row r="654" spans="1:11" ht="13">
      <c r="A654" s="164"/>
      <c r="B654" s="4"/>
      <c r="C654" s="167"/>
      <c r="D654" s="146"/>
      <c r="E654" s="4"/>
      <c r="F654" s="158"/>
      <c r="G654" s="144"/>
      <c r="H654" s="81"/>
      <c r="I654" s="121"/>
      <c r="J654" s="121"/>
      <c r="K654" s="4"/>
    </row>
    <row r="655" spans="1:11" ht="13">
      <c r="A655" s="156" t="str">
        <f>VLOOKUP(B655,Master!$V$7:$W$1000,2,FALSE)</f>
        <v>M0151</v>
      </c>
      <c r="B655" s="152" t="s">
        <v>813</v>
      </c>
      <c r="C655" s="153"/>
      <c r="D655" s="153"/>
      <c r="E655" s="154"/>
      <c r="F655" s="153"/>
      <c r="G655" s="155">
        <f>SUM(G656:G663)</f>
        <v>9549.182659676515</v>
      </c>
      <c r="H655" s="139">
        <v>0.1</v>
      </c>
      <c r="I655" s="155">
        <f>G655+(G655*H655)</f>
        <v>10504.100925644167</v>
      </c>
      <c r="J655" s="140" t="b">
        <v>0</v>
      </c>
      <c r="K655" s="4"/>
    </row>
    <row r="656" spans="1:11" ht="13">
      <c r="A656" s="164"/>
      <c r="B656" s="4"/>
      <c r="C656" s="4" t="s">
        <v>251</v>
      </c>
      <c r="D656" s="146">
        <v>1</v>
      </c>
      <c r="E656" s="4" t="str">
        <f>VLOOKUP(C656,Master!$B$6:$N$1000,9,FALSE)</f>
        <v>Porsi</v>
      </c>
      <c r="F656" s="158">
        <f>VLOOKUP(C656,Master!$B$6:$N$1000,10,FALSE)</f>
        <v>1093.9890710382513</v>
      </c>
      <c r="G656" s="144">
        <f t="shared" ref="G656:G663" si="60">D656*F656</f>
        <v>1093.9890710382513</v>
      </c>
      <c r="H656" s="4"/>
      <c r="I656" s="4"/>
      <c r="J656" s="4"/>
      <c r="K656" s="4"/>
    </row>
    <row r="657" spans="1:11" ht="13">
      <c r="A657" s="164"/>
      <c r="B657" s="4"/>
      <c r="C657" s="4" t="s">
        <v>424</v>
      </c>
      <c r="D657" s="146">
        <v>1</v>
      </c>
      <c r="E657" s="4" t="str">
        <f>VLOOKUP(C657,Master!$B$6:$N$1000,9,FALSE)</f>
        <v>porsi</v>
      </c>
      <c r="F657" s="158">
        <f>VLOOKUP(C657,Master!$B$6:$N$1000,10,FALSE)</f>
        <v>5105.2375000000002</v>
      </c>
      <c r="G657" s="144">
        <f t="shared" si="60"/>
        <v>5105.2375000000002</v>
      </c>
      <c r="H657" s="4"/>
      <c r="I657" s="4"/>
      <c r="J657" s="4"/>
      <c r="K657" s="4"/>
    </row>
    <row r="658" spans="1:11" ht="13">
      <c r="A658" s="164"/>
      <c r="B658" s="4"/>
      <c r="C658" s="4" t="s">
        <v>317</v>
      </c>
      <c r="D658" s="146">
        <v>1</v>
      </c>
      <c r="E658" s="4" t="str">
        <f>VLOOKUP(C658,Master!$B$6:$N$1000,9,FALSE)</f>
        <v>pcs</v>
      </c>
      <c r="F658" s="158">
        <f>VLOOKUP(C658,Master!$B$6:$N$1000,10,FALSE)</f>
        <v>766.22624736842113</v>
      </c>
      <c r="G658" s="144">
        <f t="shared" si="60"/>
        <v>766.22624736842113</v>
      </c>
      <c r="H658" s="4"/>
      <c r="I658" s="4"/>
      <c r="J658" s="4"/>
      <c r="K658" s="4"/>
    </row>
    <row r="659" spans="1:11" ht="13">
      <c r="A659" s="164"/>
      <c r="B659" s="4"/>
      <c r="C659" s="145" t="s">
        <v>1237</v>
      </c>
      <c r="D659" s="146">
        <v>30</v>
      </c>
      <c r="E659" s="4" t="str">
        <f>VLOOKUP(C659,Master!$B$6:$N$1000,9,FALSE)</f>
        <v>gr</v>
      </c>
      <c r="F659" s="158">
        <f>VLOOKUP(C659,Master!$B$6:$N$1000,10,FALSE)</f>
        <v>20</v>
      </c>
      <c r="G659" s="144">
        <f t="shared" si="60"/>
        <v>600</v>
      </c>
      <c r="H659" s="81"/>
      <c r="I659" s="121"/>
      <c r="J659" s="121"/>
      <c r="K659" s="4"/>
    </row>
    <row r="660" spans="1:11" ht="13">
      <c r="A660" s="164"/>
      <c r="B660" s="4"/>
      <c r="C660" s="145" t="s">
        <v>827</v>
      </c>
      <c r="D660" s="146">
        <v>10</v>
      </c>
      <c r="E660" s="4" t="str">
        <f>VLOOKUP(C660,Master!$B$6:$N$1000,9,FALSE)</f>
        <v>gr</v>
      </c>
      <c r="F660" s="158">
        <f>VLOOKUP(C660,Master!$B$6:$N$1000,10,FALSE)</f>
        <v>12</v>
      </c>
      <c r="G660" s="144">
        <f t="shared" si="60"/>
        <v>120</v>
      </c>
      <c r="H660" s="81"/>
      <c r="I660" s="121"/>
      <c r="J660" s="121"/>
      <c r="K660" s="4"/>
    </row>
    <row r="661" spans="1:11" ht="13">
      <c r="A661" s="164"/>
      <c r="B661" s="4"/>
      <c r="C661" s="145" t="s">
        <v>322</v>
      </c>
      <c r="D661" s="146">
        <v>1</v>
      </c>
      <c r="E661" s="4" t="str">
        <f>VLOOKUP(C661,Master!$B$6:$N$1000,9,FALSE)</f>
        <v>pcs</v>
      </c>
      <c r="F661" s="158">
        <f>VLOOKUP(C661,Master!$B$6:$N$1000,10,FALSE)</f>
        <v>275</v>
      </c>
      <c r="G661" s="144">
        <f t="shared" si="60"/>
        <v>275</v>
      </c>
      <c r="H661" s="81"/>
      <c r="I661" s="121"/>
      <c r="J661" s="121"/>
      <c r="K661" s="4"/>
    </row>
    <row r="662" spans="1:11" ht="13">
      <c r="A662" s="164"/>
      <c r="B662" s="4"/>
      <c r="C662" s="145" t="s">
        <v>795</v>
      </c>
      <c r="D662" s="146">
        <v>0.5</v>
      </c>
      <c r="E662" s="4" t="str">
        <f>VLOOKUP(C662,Master!$B$6:$N$1000,9,FALSE)</f>
        <v>unit</v>
      </c>
      <c r="F662" s="158">
        <f>VLOOKUP(C662,Master!$B$6:$N$1000,10,FALSE)</f>
        <v>800</v>
      </c>
      <c r="G662" s="144">
        <f t="shared" si="60"/>
        <v>400</v>
      </c>
      <c r="H662" s="81"/>
      <c r="I662" s="121"/>
      <c r="J662" s="121"/>
      <c r="K662" s="4"/>
    </row>
    <row r="663" spans="1:11" ht="13">
      <c r="A663" s="164"/>
      <c r="B663" s="4"/>
      <c r="C663" s="145" t="s">
        <v>476</v>
      </c>
      <c r="D663" s="146">
        <v>1</v>
      </c>
      <c r="E663" s="4" t="str">
        <f>VLOOKUP(C663,Master!$B$6:$N$1000,9,FALSE)</f>
        <v>porsi</v>
      </c>
      <c r="F663" s="158">
        <f>VLOOKUP(C663,Master!$B$6:$N$1000,10,FALSE)</f>
        <v>1188.7298412698412</v>
      </c>
      <c r="G663" s="144">
        <f t="shared" si="60"/>
        <v>1188.7298412698412</v>
      </c>
      <c r="H663" s="81"/>
      <c r="I663" s="121"/>
      <c r="J663" s="121"/>
      <c r="K663" s="4"/>
    </row>
    <row r="664" spans="1:11" ht="13">
      <c r="A664" s="156" t="str">
        <f>VLOOKUP(B664,Master!$V$7:$W$1000,2,FALSE)</f>
        <v>M0152</v>
      </c>
      <c r="B664" s="152" t="s">
        <v>817</v>
      </c>
      <c r="C664" s="153"/>
      <c r="D664" s="153"/>
      <c r="E664" s="154"/>
      <c r="F664" s="153"/>
      <c r="G664" s="155">
        <f>SUM(G665:G670)</f>
        <v>21299.108912308093</v>
      </c>
      <c r="H664" s="139">
        <v>0.1</v>
      </c>
      <c r="I664" s="155">
        <f>G664+(G664*H664)</f>
        <v>23429.019803538904</v>
      </c>
      <c r="J664" s="140" t="b">
        <v>0</v>
      </c>
      <c r="K664" s="4"/>
    </row>
    <row r="665" spans="1:11" ht="13">
      <c r="A665" s="164"/>
      <c r="B665" s="4"/>
      <c r="C665" s="4" t="s">
        <v>251</v>
      </c>
      <c r="D665" s="146">
        <v>1</v>
      </c>
      <c r="E665" s="4" t="str">
        <f>VLOOKUP(C665,Master!$B$6:$N$1000,9,FALSE)</f>
        <v>Porsi</v>
      </c>
      <c r="F665" s="158">
        <f>VLOOKUP(C665,Master!$B$6:$N$1000,10,FALSE)</f>
        <v>1093.9890710382513</v>
      </c>
      <c r="G665" s="144">
        <f t="shared" ref="G665:G670" si="61">D665*F665</f>
        <v>1093.9890710382513</v>
      </c>
      <c r="H665" s="4"/>
      <c r="I665" s="4"/>
      <c r="J665" s="4"/>
      <c r="K665" s="4"/>
    </row>
    <row r="666" spans="1:11" ht="13">
      <c r="A666" s="164"/>
      <c r="B666" s="4"/>
      <c r="C666" s="145" t="s">
        <v>448</v>
      </c>
      <c r="D666" s="146">
        <v>1</v>
      </c>
      <c r="E666" s="4" t="str">
        <f>VLOOKUP(C666,Master!$B$6:$N$1000,9,FALSE)</f>
        <v>porsi</v>
      </c>
      <c r="F666" s="158">
        <f>VLOOKUP(C666,Master!$B$6:$N$1000,10,FALSE)</f>
        <v>8376.39</v>
      </c>
      <c r="G666" s="144">
        <f t="shared" si="61"/>
        <v>8376.39</v>
      </c>
      <c r="H666" s="81"/>
      <c r="I666" s="121"/>
      <c r="J666" s="121"/>
      <c r="K666" s="4"/>
    </row>
    <row r="667" spans="1:11" ht="13">
      <c r="A667" s="164"/>
      <c r="B667" s="4"/>
      <c r="C667" s="145" t="s">
        <v>827</v>
      </c>
      <c r="D667" s="146">
        <v>20</v>
      </c>
      <c r="E667" s="4" t="str">
        <f>VLOOKUP(C667,Master!$B$6:$N$1000,9,FALSE)</f>
        <v>gr</v>
      </c>
      <c r="F667" s="158">
        <f>VLOOKUP(C667,Master!$B$6:$N$1000,10,FALSE)</f>
        <v>12</v>
      </c>
      <c r="G667" s="144">
        <f t="shared" si="61"/>
        <v>240</v>
      </c>
      <c r="H667" s="81"/>
      <c r="I667" s="121"/>
      <c r="J667" s="121"/>
      <c r="K667" s="4"/>
    </row>
    <row r="668" spans="1:11" ht="13">
      <c r="A668" s="164"/>
      <c r="B668" s="4"/>
      <c r="C668" s="145" t="s">
        <v>1235</v>
      </c>
      <c r="D668" s="146">
        <v>1</v>
      </c>
      <c r="E668" s="4" t="str">
        <f>VLOOKUP(C668,Master!$B$6:$N$1000,9,FALSE)</f>
        <v>pcs</v>
      </c>
      <c r="F668" s="158">
        <f>VLOOKUP(C668,Master!$B$6:$N$1000,10,FALSE)</f>
        <v>10000</v>
      </c>
      <c r="G668" s="144">
        <f t="shared" si="61"/>
        <v>10000</v>
      </c>
      <c r="H668" s="81"/>
      <c r="I668" s="121"/>
      <c r="J668" s="121"/>
      <c r="K668" s="4"/>
    </row>
    <row r="669" spans="1:11" ht="13">
      <c r="A669" s="164"/>
      <c r="B669" s="4"/>
      <c r="C669" s="145" t="s">
        <v>795</v>
      </c>
      <c r="D669" s="146">
        <v>0.5</v>
      </c>
      <c r="E669" s="4" t="str">
        <f>VLOOKUP(C669,Master!$B$6:$N$1000,9,FALSE)</f>
        <v>unit</v>
      </c>
      <c r="F669" s="158">
        <f>VLOOKUP(C669,Master!$B$6:$N$1000,10,FALSE)</f>
        <v>800</v>
      </c>
      <c r="G669" s="144">
        <f t="shared" si="61"/>
        <v>400</v>
      </c>
      <c r="H669" s="81"/>
      <c r="I669" s="121"/>
      <c r="J669" s="121"/>
      <c r="K669" s="4"/>
    </row>
    <row r="670" spans="1:11" ht="13">
      <c r="A670" s="164"/>
      <c r="B670" s="4"/>
      <c r="C670" s="145" t="s">
        <v>476</v>
      </c>
      <c r="D670" s="146">
        <v>1</v>
      </c>
      <c r="E670" s="4" t="str">
        <f>VLOOKUP(C670,Master!$B$6:$N$1000,9,FALSE)</f>
        <v>porsi</v>
      </c>
      <c r="F670" s="158">
        <f>VLOOKUP(C670,Master!$B$6:$N$1000,10,FALSE)</f>
        <v>1188.7298412698412</v>
      </c>
      <c r="G670" s="144">
        <f t="shared" si="61"/>
        <v>1188.7298412698412</v>
      </c>
      <c r="H670" s="81"/>
      <c r="I670" s="121"/>
      <c r="J670" s="121"/>
      <c r="K670" s="4"/>
    </row>
    <row r="671" spans="1:11" ht="13">
      <c r="A671" s="156" t="str">
        <f>VLOOKUP(B671,Master!$V$7:$W$1000,2,FALSE)</f>
        <v>M0154</v>
      </c>
      <c r="B671" s="152" t="s">
        <v>825</v>
      </c>
      <c r="C671" s="153"/>
      <c r="D671" s="153"/>
      <c r="E671" s="154"/>
      <c r="F671" s="153"/>
      <c r="G671" s="155">
        <f>SUM(G672:G677)</f>
        <v>17669.209932149362</v>
      </c>
      <c r="H671" s="139">
        <v>0.1</v>
      </c>
      <c r="I671" s="155">
        <f>G671+(G671*H671)</f>
        <v>19436.130925364298</v>
      </c>
      <c r="J671" s="140" t="b">
        <v>0</v>
      </c>
      <c r="K671" s="4"/>
    </row>
    <row r="672" spans="1:11" ht="13">
      <c r="A672" s="164"/>
      <c r="B672" s="4"/>
      <c r="C672" s="4" t="s">
        <v>251</v>
      </c>
      <c r="D672" s="146">
        <v>1</v>
      </c>
      <c r="E672" s="4" t="str">
        <f>VLOOKUP(C672,Master!$B$6:$N$1000,9,FALSE)</f>
        <v>Porsi</v>
      </c>
      <c r="F672" s="158">
        <f>VLOOKUP(C672,Master!$B$6:$N$1000,10,FALSE)</f>
        <v>1093.9890710382513</v>
      </c>
      <c r="G672" s="144">
        <f t="shared" ref="G672:G677" si="62">D672*F672</f>
        <v>1093.9890710382513</v>
      </c>
      <c r="H672" s="4"/>
      <c r="I672" s="4"/>
      <c r="J672" s="4"/>
      <c r="K672" s="4"/>
    </row>
    <row r="673" spans="1:11" ht="13">
      <c r="A673" s="164"/>
      <c r="B673" s="4"/>
      <c r="C673" s="145" t="s">
        <v>424</v>
      </c>
      <c r="D673" s="146">
        <v>1</v>
      </c>
      <c r="E673" s="4" t="str">
        <f>VLOOKUP(C673,Master!$B$6:$N$1000,9,FALSE)</f>
        <v>porsi</v>
      </c>
      <c r="F673" s="158">
        <f>VLOOKUP(C673,Master!$B$6:$N$1000,10,FALSE)</f>
        <v>5105.2375000000002</v>
      </c>
      <c r="G673" s="144">
        <f t="shared" si="62"/>
        <v>5105.2375000000002</v>
      </c>
      <c r="H673" s="81"/>
      <c r="I673" s="121"/>
      <c r="J673" s="121"/>
      <c r="K673" s="4"/>
    </row>
    <row r="674" spans="1:11" ht="13">
      <c r="A674" s="164"/>
      <c r="B674" s="4"/>
      <c r="C674" s="145" t="s">
        <v>1235</v>
      </c>
      <c r="D674" s="146">
        <v>1</v>
      </c>
      <c r="E674" s="4" t="str">
        <f>VLOOKUP(C674,Master!$B$6:$N$1000,9,FALSE)</f>
        <v>pcs</v>
      </c>
      <c r="F674" s="158">
        <f>VLOOKUP(C674,Master!$B$6:$N$1000,10,FALSE)</f>
        <v>10000</v>
      </c>
      <c r="G674" s="144">
        <f t="shared" si="62"/>
        <v>10000</v>
      </c>
      <c r="H674" s="81"/>
      <c r="I674" s="121"/>
      <c r="J674" s="121"/>
      <c r="K674" s="4"/>
    </row>
    <row r="675" spans="1:11" ht="13">
      <c r="A675" s="164"/>
      <c r="B675" s="4"/>
      <c r="C675" s="145" t="s">
        <v>795</v>
      </c>
      <c r="D675" s="146">
        <v>0.5</v>
      </c>
      <c r="E675" s="4" t="str">
        <f>VLOOKUP(C675,Master!$B$6:$N$1000,9,FALSE)</f>
        <v>unit</v>
      </c>
      <c r="F675" s="158">
        <f>VLOOKUP(C675,Master!$B$6:$N$1000,10,FALSE)</f>
        <v>800</v>
      </c>
      <c r="G675" s="144">
        <f t="shared" si="62"/>
        <v>400</v>
      </c>
      <c r="H675" s="81"/>
      <c r="I675" s="121"/>
      <c r="J675" s="121"/>
      <c r="K675" s="4"/>
    </row>
    <row r="676" spans="1:11" ht="13">
      <c r="A676" s="164"/>
      <c r="B676" s="4"/>
      <c r="C676" s="145" t="s">
        <v>827</v>
      </c>
      <c r="D676" s="146">
        <v>1</v>
      </c>
      <c r="E676" s="4" t="str">
        <f>VLOOKUP(C676,Master!$B$6:$N$1000,9,FALSE)</f>
        <v>gr</v>
      </c>
      <c r="F676" s="158">
        <f>VLOOKUP(C676,Master!$B$6:$N$1000,10,FALSE)</f>
        <v>12</v>
      </c>
      <c r="G676" s="144">
        <f t="shared" si="62"/>
        <v>12</v>
      </c>
      <c r="H676" s="81"/>
      <c r="I676" s="121"/>
      <c r="J676" s="121"/>
      <c r="K676" s="4"/>
    </row>
    <row r="677" spans="1:11" ht="13">
      <c r="A677" s="164"/>
      <c r="B677" s="4"/>
      <c r="C677" s="145" t="s">
        <v>412</v>
      </c>
      <c r="D677" s="146">
        <v>1</v>
      </c>
      <c r="E677" s="4" t="str">
        <f>VLOOKUP(C677,Master!$B$6:$N$1000,9,FALSE)</f>
        <v>porsi</v>
      </c>
      <c r="F677" s="158">
        <f>VLOOKUP(C677,Master!$B$6:$N$1000,10,FALSE)</f>
        <v>1057.9833611111112</v>
      </c>
      <c r="G677" s="144">
        <f t="shared" si="62"/>
        <v>1057.9833611111112</v>
      </c>
      <c r="H677" s="81"/>
      <c r="I677" s="121"/>
      <c r="J677" s="121"/>
      <c r="K677" s="4"/>
    </row>
    <row r="678" spans="1:11" ht="13">
      <c r="A678" s="156" t="str">
        <f>VLOOKUP(B678,Master!$V$7:$W$1000,2,FALSE)</f>
        <v>M0155</v>
      </c>
      <c r="B678" s="152" t="s">
        <v>829</v>
      </c>
      <c r="C678" s="153"/>
      <c r="D678" s="153"/>
      <c r="E678" s="154"/>
      <c r="F678" s="153"/>
      <c r="G678" s="155">
        <f>SUM(G679:G681)</f>
        <v>7284.1187301587306</v>
      </c>
      <c r="H678" s="139">
        <v>0.1</v>
      </c>
      <c r="I678" s="155">
        <f>G678+(G678*H678)</f>
        <v>8012.530603174604</v>
      </c>
      <c r="J678" s="140" t="b">
        <v>0</v>
      </c>
      <c r="K678" s="4"/>
    </row>
    <row r="679" spans="1:11" ht="13">
      <c r="A679" s="164"/>
      <c r="B679" s="4"/>
      <c r="C679" s="145" t="s">
        <v>464</v>
      </c>
      <c r="D679" s="146">
        <v>1</v>
      </c>
      <c r="E679" s="4" t="str">
        <f>VLOOKUP(C679,Master!$B$6:$N$1000,9,FALSE)</f>
        <v>porsi</v>
      </c>
      <c r="F679" s="158">
        <f>VLOOKUP(C679,Master!$B$6:$N$1000,10,FALSE)</f>
        <v>5345.3888888888896</v>
      </c>
      <c r="G679" s="144">
        <f t="shared" ref="G679:G681" si="63">D679*F679</f>
        <v>5345.3888888888896</v>
      </c>
      <c r="H679" s="81"/>
      <c r="I679" s="121"/>
      <c r="J679" s="121"/>
      <c r="K679" s="4"/>
    </row>
    <row r="680" spans="1:11" ht="13">
      <c r="A680" s="164"/>
      <c r="B680" s="4"/>
      <c r="C680" s="145" t="s">
        <v>476</v>
      </c>
      <c r="D680" s="146">
        <v>1</v>
      </c>
      <c r="E680" s="4" t="str">
        <f>VLOOKUP(C680,Master!$B$6:$N$1000,9,FALSE)</f>
        <v>porsi</v>
      </c>
      <c r="F680" s="158">
        <f>VLOOKUP(C680,Master!$B$6:$N$1000,10,FALSE)</f>
        <v>1188.7298412698412</v>
      </c>
      <c r="G680" s="144">
        <f t="shared" si="63"/>
        <v>1188.7298412698412</v>
      </c>
      <c r="H680" s="81"/>
      <c r="I680" s="121"/>
      <c r="J680" s="121"/>
      <c r="K680" s="4"/>
    </row>
    <row r="681" spans="1:11" ht="13">
      <c r="A681" s="164"/>
      <c r="B681" s="4"/>
      <c r="C681" s="145" t="s">
        <v>1238</v>
      </c>
      <c r="D681" s="146">
        <v>5</v>
      </c>
      <c r="E681" s="4" t="str">
        <f>VLOOKUP(C681,Master!$B$6:$N$1000,9,FALSE)</f>
        <v>gr</v>
      </c>
      <c r="F681" s="158">
        <f>VLOOKUP(C681,Master!$B$6:$N$1000,10,FALSE)</f>
        <v>150</v>
      </c>
      <c r="G681" s="144">
        <f t="shared" si="63"/>
        <v>750</v>
      </c>
      <c r="H681" s="81"/>
      <c r="I681" s="121"/>
      <c r="J681" s="121"/>
      <c r="K681" s="4"/>
    </row>
    <row r="682" spans="1:11" ht="13">
      <c r="A682" s="156" t="str">
        <f>VLOOKUP(B682,Master!$V$7:$W$1000,2,FALSE)</f>
        <v>M0157</v>
      </c>
      <c r="B682" s="152" t="s">
        <v>837</v>
      </c>
      <c r="C682" s="153"/>
      <c r="D682" s="153"/>
      <c r="E682" s="154"/>
      <c r="F682" s="153"/>
      <c r="G682" s="155">
        <f>SUM(G683:G688)</f>
        <v>8659.3881430773217</v>
      </c>
      <c r="H682" s="139">
        <v>0.1</v>
      </c>
      <c r="I682" s="155">
        <f>G682+(G682*H682)</f>
        <v>9525.3269573850539</v>
      </c>
      <c r="J682" s="140" t="b">
        <v>0</v>
      </c>
      <c r="K682" s="4"/>
    </row>
    <row r="683" spans="1:11" ht="13">
      <c r="A683" s="164"/>
      <c r="B683" s="4"/>
      <c r="C683" s="4" t="s">
        <v>251</v>
      </c>
      <c r="D683" s="146">
        <v>1</v>
      </c>
      <c r="E683" s="4" t="str">
        <f>VLOOKUP(C683,Master!$B$6:$N$1000,9,FALSE)</f>
        <v>Porsi</v>
      </c>
      <c r="F683" s="158">
        <f>VLOOKUP(C683,Master!$B$6:$N$1000,10,FALSE)</f>
        <v>1093.9890710382513</v>
      </c>
      <c r="G683" s="144">
        <f t="shared" ref="G683:G688" si="64">D683*F683</f>
        <v>1093.9890710382513</v>
      </c>
      <c r="H683" s="4"/>
      <c r="I683" s="4"/>
      <c r="J683" s="4"/>
      <c r="K683" s="4"/>
    </row>
    <row r="684" spans="1:11" ht="13">
      <c r="A684" s="164"/>
      <c r="B684" s="4"/>
      <c r="C684" s="145" t="s">
        <v>456</v>
      </c>
      <c r="D684" s="146">
        <v>1</v>
      </c>
      <c r="E684" s="4" t="str">
        <f>VLOOKUP(C684,Master!$B$6:$N$1000,9,FALSE)</f>
        <v>porsi</v>
      </c>
      <c r="F684" s="158">
        <f>VLOOKUP(C684,Master!$B$6:$N$1000,10,FALSE)</f>
        <v>5406.6692307692301</v>
      </c>
      <c r="G684" s="144">
        <f t="shared" si="64"/>
        <v>5406.6692307692301</v>
      </c>
      <c r="H684" s="81"/>
      <c r="I684" s="121"/>
      <c r="J684" s="121"/>
      <c r="K684" s="4"/>
    </row>
    <row r="685" spans="1:11" ht="13">
      <c r="A685" s="164"/>
      <c r="B685" s="4"/>
      <c r="C685" s="145" t="s">
        <v>476</v>
      </c>
      <c r="D685" s="146">
        <v>1</v>
      </c>
      <c r="E685" s="4" t="str">
        <f>VLOOKUP(C685,Master!$B$6:$N$1000,9,FALSE)</f>
        <v>porsi</v>
      </c>
      <c r="F685" s="158">
        <f>VLOOKUP(C685,Master!$B$6:$N$1000,10,FALSE)</f>
        <v>1188.7298412698412</v>
      </c>
      <c r="G685" s="144">
        <f t="shared" si="64"/>
        <v>1188.7298412698412</v>
      </c>
      <c r="H685" s="81"/>
      <c r="I685" s="121"/>
      <c r="J685" s="121"/>
      <c r="K685" s="4"/>
    </row>
    <row r="686" spans="1:11" ht="13">
      <c r="A686" s="164"/>
      <c r="B686" s="4"/>
      <c r="C686" s="145" t="s">
        <v>1237</v>
      </c>
      <c r="D686" s="146">
        <v>20</v>
      </c>
      <c r="E686" s="4" t="str">
        <f>VLOOKUP(C686,Master!$B$6:$N$1000,9,FALSE)</f>
        <v>gr</v>
      </c>
      <c r="F686" s="158">
        <f>VLOOKUP(C686,Master!$B$6:$N$1000,10,FALSE)</f>
        <v>20</v>
      </c>
      <c r="G686" s="144">
        <f t="shared" si="64"/>
        <v>400</v>
      </c>
      <c r="H686" s="81"/>
      <c r="I686" s="121"/>
      <c r="J686" s="121"/>
      <c r="K686" s="4"/>
    </row>
    <row r="687" spans="1:11" ht="13">
      <c r="A687" s="164"/>
      <c r="B687" s="4"/>
      <c r="C687" s="145" t="s">
        <v>1074</v>
      </c>
      <c r="D687" s="146">
        <v>20</v>
      </c>
      <c r="E687" s="4" t="str">
        <f>VLOOKUP(C687,Master!$B$6:$N$1000,9,FALSE)</f>
        <v>gr</v>
      </c>
      <c r="F687" s="158">
        <f>VLOOKUP(C687,Master!$B$6:$N$1000,10,FALSE)</f>
        <v>16.5</v>
      </c>
      <c r="G687" s="144">
        <f t="shared" si="64"/>
        <v>330</v>
      </c>
      <c r="H687" s="81"/>
      <c r="I687" s="121"/>
      <c r="J687" s="121"/>
      <c r="K687" s="4"/>
    </row>
    <row r="688" spans="1:11" ht="13">
      <c r="A688" s="164"/>
      <c r="B688" s="4"/>
      <c r="C688" s="145" t="s">
        <v>827</v>
      </c>
      <c r="D688" s="146">
        <v>20</v>
      </c>
      <c r="E688" s="4" t="str">
        <f>VLOOKUP(C688,Master!$B$6:$N$1000,9,FALSE)</f>
        <v>gr</v>
      </c>
      <c r="F688" s="158">
        <f>VLOOKUP(C688,Master!$B$6:$N$1000,10,FALSE)</f>
        <v>12</v>
      </c>
      <c r="G688" s="144">
        <f t="shared" si="64"/>
        <v>240</v>
      </c>
      <c r="H688" s="81"/>
      <c r="I688" s="121"/>
      <c r="J688" s="121"/>
      <c r="K688" s="4"/>
    </row>
    <row r="689" spans="1:11" ht="13">
      <c r="A689" s="156" t="str">
        <f>VLOOKUP(B689,Master!$V$7:$W$1000,2,FALSE)</f>
        <v>M0158</v>
      </c>
      <c r="B689" s="152" t="s">
        <v>841</v>
      </c>
      <c r="C689" s="153"/>
      <c r="D689" s="153"/>
      <c r="E689" s="154"/>
      <c r="F689" s="153"/>
      <c r="G689" s="155">
        <f>SUM(G690:G692)</f>
        <v>12322.901371038253</v>
      </c>
      <c r="H689" s="139">
        <v>0.1</v>
      </c>
      <c r="I689" s="155">
        <f>G689+(G689*H689)</f>
        <v>13555.191508142079</v>
      </c>
      <c r="J689" s="140" t="b">
        <v>0</v>
      </c>
      <c r="K689" s="4"/>
    </row>
    <row r="690" spans="1:11" ht="13">
      <c r="A690" s="164"/>
      <c r="B690" s="4"/>
      <c r="C690" s="145" t="s">
        <v>251</v>
      </c>
      <c r="D690" s="146">
        <v>1</v>
      </c>
      <c r="E690" s="4" t="str">
        <f>VLOOKUP(C690,Master!$B$6:$N$1000,9,FALSE)</f>
        <v>Porsi</v>
      </c>
      <c r="F690" s="158">
        <f>VLOOKUP(C690,Master!$B$6:$N$1000,10,FALSE)</f>
        <v>1093.9890710382513</v>
      </c>
      <c r="G690" s="144">
        <f t="shared" ref="G690:G692" si="65">D690*F690</f>
        <v>1093.9890710382513</v>
      </c>
      <c r="H690" s="81"/>
      <c r="I690" s="121"/>
      <c r="J690" s="121"/>
      <c r="K690" s="4"/>
    </row>
    <row r="691" spans="1:11" ht="13">
      <c r="A691" s="164"/>
      <c r="B691" s="4"/>
      <c r="C691" s="145" t="s">
        <v>468</v>
      </c>
      <c r="D691" s="146">
        <v>1</v>
      </c>
      <c r="E691" s="4" t="str">
        <f>VLOOKUP(C691,Master!$B$6:$N$1000,9,FALSE)</f>
        <v>porsi</v>
      </c>
      <c r="F691" s="158">
        <f>VLOOKUP(C691,Master!$B$6:$N$1000,10,FALSE)</f>
        <v>10028.912300000002</v>
      </c>
      <c r="G691" s="144">
        <f t="shared" si="65"/>
        <v>10028.912300000002</v>
      </c>
      <c r="H691" s="81"/>
      <c r="I691" s="121"/>
      <c r="J691" s="121"/>
      <c r="K691" s="4"/>
    </row>
    <row r="692" spans="1:11" ht="13">
      <c r="A692" s="164"/>
      <c r="B692" s="4"/>
      <c r="C692" s="145" t="s">
        <v>1237</v>
      </c>
      <c r="D692" s="146">
        <v>60</v>
      </c>
      <c r="E692" s="4" t="str">
        <f>VLOOKUP(C692,Master!$B$6:$N$1000,9,FALSE)</f>
        <v>gr</v>
      </c>
      <c r="F692" s="158">
        <f>VLOOKUP(C692,Master!$B$6:$N$1000,10,FALSE)</f>
        <v>20</v>
      </c>
      <c r="G692" s="144">
        <f t="shared" si="65"/>
        <v>1200</v>
      </c>
      <c r="H692" s="81"/>
      <c r="I692" s="121"/>
      <c r="J692" s="121"/>
      <c r="K692" s="4"/>
    </row>
    <row r="693" spans="1:11" ht="13">
      <c r="A693" s="164"/>
      <c r="B693" s="4"/>
      <c r="C693" s="145"/>
      <c r="D693" s="146"/>
      <c r="E693" s="4"/>
      <c r="F693" s="158"/>
      <c r="G693" s="144"/>
      <c r="H693" s="81"/>
      <c r="I693" s="121"/>
      <c r="J693" s="121"/>
      <c r="K693" s="4"/>
    </row>
    <row r="694" spans="1:11" ht="13">
      <c r="A694" s="164"/>
      <c r="B694" s="4"/>
      <c r="C694" s="145"/>
      <c r="D694" s="146"/>
      <c r="E694" s="4"/>
      <c r="F694" s="158"/>
      <c r="G694" s="144"/>
      <c r="H694" s="81"/>
      <c r="I694" s="121"/>
      <c r="J694" s="121"/>
      <c r="K694" s="4"/>
    </row>
    <row r="695" spans="1:11" ht="13">
      <c r="A695" s="156" t="str">
        <f>VLOOKUP(B695,Master!$V$7:$W$1000,2,FALSE)</f>
        <v>M0160</v>
      </c>
      <c r="B695" s="152" t="s">
        <v>849</v>
      </c>
      <c r="C695" s="153"/>
      <c r="D695" s="153"/>
      <c r="E695" s="154"/>
      <c r="F695" s="153"/>
      <c r="G695" s="155">
        <f>SUM(G696:G699)</f>
        <v>3964.5855789747593</v>
      </c>
      <c r="H695" s="139">
        <v>0.1</v>
      </c>
      <c r="I695" s="155">
        <f>G695+(G695*H695)</f>
        <v>4361.044136872235</v>
      </c>
      <c r="J695" s="140" t="b">
        <v>0</v>
      </c>
      <c r="K695" s="4"/>
    </row>
    <row r="696" spans="1:11" ht="13">
      <c r="A696" s="164"/>
      <c r="B696" s="4"/>
      <c r="C696" s="145" t="s">
        <v>251</v>
      </c>
      <c r="D696" s="146">
        <v>1</v>
      </c>
      <c r="E696" s="4" t="str">
        <f>VLOOKUP(C696,Master!$B$6:$N$1000,9,FALSE)</f>
        <v>Porsi</v>
      </c>
      <c r="F696" s="158">
        <f>VLOOKUP(C696,Master!$B$6:$N$1000,10,FALSE)</f>
        <v>1093.9890710382513</v>
      </c>
      <c r="G696" s="144">
        <f t="shared" ref="G696:G699" si="66">D696*F696</f>
        <v>1093.9890710382513</v>
      </c>
      <c r="H696" s="81"/>
      <c r="I696" s="121"/>
      <c r="J696" s="121"/>
      <c r="K696" s="4"/>
    </row>
    <row r="697" spans="1:11" ht="13">
      <c r="A697" s="164"/>
      <c r="B697" s="4"/>
      <c r="C697" s="145" t="s">
        <v>436</v>
      </c>
      <c r="D697" s="146">
        <v>1</v>
      </c>
      <c r="E697" s="4" t="str">
        <f>VLOOKUP(C697,Master!$B$6:$N$1000,9,FALSE)</f>
        <v>porsi</v>
      </c>
      <c r="F697" s="158">
        <f>VLOOKUP(C697,Master!$B$6:$N$1000,10,FALSE)</f>
        <v>1281.8666666666668</v>
      </c>
      <c r="G697" s="144">
        <f t="shared" si="66"/>
        <v>1281.8666666666668</v>
      </c>
      <c r="H697" s="81"/>
      <c r="I697" s="121"/>
      <c r="J697" s="121"/>
      <c r="K697" s="4"/>
    </row>
    <row r="698" spans="1:11" ht="13">
      <c r="A698" s="164"/>
      <c r="B698" s="4"/>
      <c r="C698" s="145" t="s">
        <v>476</v>
      </c>
      <c r="D698" s="146">
        <v>1</v>
      </c>
      <c r="E698" s="4" t="str">
        <f>VLOOKUP(C698,Master!$B$6:$N$1000,9,FALSE)</f>
        <v>porsi</v>
      </c>
      <c r="F698" s="158">
        <f>VLOOKUP(C698,Master!$B$6:$N$1000,10,FALSE)</f>
        <v>1188.7298412698412</v>
      </c>
      <c r="G698" s="144">
        <f t="shared" si="66"/>
        <v>1188.7298412698412</v>
      </c>
      <c r="H698" s="81"/>
      <c r="I698" s="121"/>
      <c r="J698" s="121"/>
      <c r="K698" s="4"/>
    </row>
    <row r="699" spans="1:11" ht="13">
      <c r="A699" s="164"/>
      <c r="B699" s="4"/>
      <c r="C699" s="145" t="s">
        <v>1237</v>
      </c>
      <c r="D699" s="146">
        <v>20</v>
      </c>
      <c r="E699" s="4" t="str">
        <f>VLOOKUP(C699,Master!$B$6:$N$1000,9,FALSE)</f>
        <v>gr</v>
      </c>
      <c r="F699" s="158">
        <f>VLOOKUP(C699,Master!$B$6:$N$1000,10,FALSE)</f>
        <v>20</v>
      </c>
      <c r="G699" s="144">
        <f t="shared" si="66"/>
        <v>400</v>
      </c>
      <c r="H699" s="81"/>
      <c r="I699" s="121"/>
      <c r="J699" s="121"/>
      <c r="K699" s="4"/>
    </row>
    <row r="700" spans="1:11" ht="13">
      <c r="A700" s="156" t="str">
        <f>VLOOKUP(B700,Master!$V$7:$W$1000,2,FALSE)</f>
        <v>M0161</v>
      </c>
      <c r="B700" s="152" t="s">
        <v>855</v>
      </c>
      <c r="C700" s="153"/>
      <c r="D700" s="153"/>
      <c r="E700" s="154"/>
      <c r="F700" s="153"/>
      <c r="G700" s="155">
        <f>SUM(G701:G711)</f>
        <v>14232.752841506088</v>
      </c>
      <c r="H700" s="139">
        <v>0.1</v>
      </c>
      <c r="I700" s="155">
        <f>G700+(G700*H700)</f>
        <v>15656.028125656696</v>
      </c>
      <c r="J700" s="140" t="b">
        <v>0</v>
      </c>
      <c r="K700" s="4"/>
    </row>
    <row r="701" spans="1:11" ht="13">
      <c r="A701" s="164"/>
      <c r="B701" s="4"/>
      <c r="C701" s="4" t="s">
        <v>424</v>
      </c>
      <c r="D701" s="146">
        <v>1</v>
      </c>
      <c r="E701" s="4" t="str">
        <f>VLOOKUP(C701,Master!$B$6:$N$1000,9,FALSE)</f>
        <v>porsi</v>
      </c>
      <c r="F701" s="158">
        <f>VLOOKUP(C701,Master!$B$6:$N$1000,10,FALSE)</f>
        <v>5105.2375000000002</v>
      </c>
      <c r="G701" s="144">
        <f t="shared" ref="G701:G711" si="67">D701*F701</f>
        <v>5105.2375000000002</v>
      </c>
      <c r="H701" s="4"/>
      <c r="I701" s="4"/>
      <c r="J701" s="4"/>
      <c r="K701" s="4"/>
    </row>
    <row r="702" spans="1:11" ht="13">
      <c r="A702" s="164"/>
      <c r="B702" s="4"/>
      <c r="C702" s="4" t="s">
        <v>412</v>
      </c>
      <c r="D702" s="146">
        <v>1</v>
      </c>
      <c r="E702" s="4" t="str">
        <f>VLOOKUP(C702,Master!$B$6:$N$1000,9,FALSE)</f>
        <v>porsi</v>
      </c>
      <c r="F702" s="158">
        <f>VLOOKUP(C702,Master!$B$6:$N$1000,10,FALSE)</f>
        <v>1057.9833611111112</v>
      </c>
      <c r="G702" s="144">
        <f t="shared" si="67"/>
        <v>1057.9833611111112</v>
      </c>
      <c r="H702" s="4"/>
      <c r="I702" s="4"/>
      <c r="J702" s="4"/>
      <c r="K702" s="4"/>
    </row>
    <row r="703" spans="1:11" ht="13">
      <c r="A703" s="164"/>
      <c r="B703" s="4"/>
      <c r="C703" s="4" t="s">
        <v>436</v>
      </c>
      <c r="D703" s="146">
        <v>1</v>
      </c>
      <c r="E703" s="4" t="str">
        <f>VLOOKUP(C703,Master!$B$6:$N$1000,9,FALSE)</f>
        <v>porsi</v>
      </c>
      <c r="F703" s="158">
        <f>VLOOKUP(C703,Master!$B$6:$N$1000,10,FALSE)</f>
        <v>1281.8666666666668</v>
      </c>
      <c r="G703" s="144">
        <f t="shared" si="67"/>
        <v>1281.8666666666668</v>
      </c>
      <c r="H703" s="4"/>
      <c r="I703" s="4"/>
      <c r="J703" s="4"/>
      <c r="K703" s="4"/>
    </row>
    <row r="704" spans="1:11" ht="13">
      <c r="A704" s="164"/>
      <c r="B704" s="4"/>
      <c r="C704" s="4" t="s">
        <v>420</v>
      </c>
      <c r="D704" s="146">
        <v>1</v>
      </c>
      <c r="E704" s="4" t="str">
        <f>VLOOKUP(C704,Master!$B$6:$N$1000,9,FALSE)</f>
        <v>porsi</v>
      </c>
      <c r="F704" s="158">
        <f>VLOOKUP(C704,Master!$B$6:$N$1000,10,FALSE)</f>
        <v>3541.34466374269</v>
      </c>
      <c r="G704" s="144">
        <f t="shared" si="67"/>
        <v>3541.34466374269</v>
      </c>
      <c r="H704" s="4"/>
      <c r="I704" s="4"/>
      <c r="J704" s="4"/>
      <c r="K704" s="4"/>
    </row>
    <row r="705" spans="1:11" ht="13">
      <c r="A705" s="164"/>
      <c r="B705" s="4"/>
      <c r="C705" s="145" t="s">
        <v>251</v>
      </c>
      <c r="D705" s="146">
        <v>1</v>
      </c>
      <c r="E705" s="4" t="str">
        <f>VLOOKUP(C705,Master!$B$6:$N$1000,9,FALSE)</f>
        <v>Porsi</v>
      </c>
      <c r="F705" s="158">
        <f>VLOOKUP(C705,Master!$B$6:$N$1000,10,FALSE)</f>
        <v>1093.9890710382513</v>
      </c>
      <c r="G705" s="144">
        <f t="shared" si="67"/>
        <v>1093.9890710382513</v>
      </c>
      <c r="H705" s="4"/>
      <c r="I705" s="4"/>
      <c r="J705" s="4"/>
      <c r="K705" s="4"/>
    </row>
    <row r="706" spans="1:11" ht="13">
      <c r="A706" s="164"/>
      <c r="B706" s="4"/>
      <c r="C706" s="145" t="s">
        <v>827</v>
      </c>
      <c r="D706" s="146">
        <v>25</v>
      </c>
      <c r="E706" s="4" t="str">
        <f>VLOOKUP(C706,Master!$B$6:$N$1000,9,FALSE)</f>
        <v>gr</v>
      </c>
      <c r="F706" s="158">
        <f>VLOOKUP(C706,Master!$B$6:$N$1000,10,FALSE)</f>
        <v>12</v>
      </c>
      <c r="G706" s="144">
        <f t="shared" si="67"/>
        <v>300</v>
      </c>
      <c r="H706" s="4"/>
      <c r="I706" s="4"/>
      <c r="J706" s="4"/>
      <c r="K706" s="4"/>
    </row>
    <row r="707" spans="1:11" ht="13">
      <c r="A707" s="164"/>
      <c r="B707" s="4"/>
      <c r="C707" s="145" t="s">
        <v>1140</v>
      </c>
      <c r="D707" s="146">
        <v>50</v>
      </c>
      <c r="E707" s="4" t="str">
        <f>VLOOKUP(C707,Master!$B$6:$N$1000,9,FALSE)</f>
        <v>gr</v>
      </c>
      <c r="F707" s="158">
        <f>VLOOKUP(C707,Master!$B$6:$N$1000,10,FALSE)</f>
        <v>11</v>
      </c>
      <c r="G707" s="144">
        <f t="shared" si="67"/>
        <v>550</v>
      </c>
      <c r="H707" s="81"/>
      <c r="I707" s="121"/>
      <c r="J707" s="121"/>
      <c r="K707" s="4"/>
    </row>
    <row r="708" spans="1:11" ht="13">
      <c r="A708" s="164"/>
      <c r="B708" s="4"/>
      <c r="C708" s="145" t="s">
        <v>1154</v>
      </c>
      <c r="D708" s="146">
        <v>1</v>
      </c>
      <c r="E708" s="4" t="str">
        <f>VLOOKUP(C708,Master!$B$6:$N$1000,9,FALSE)</f>
        <v>gr</v>
      </c>
      <c r="F708" s="158">
        <f>VLOOKUP(C708,Master!$B$6:$N$1000,10,FALSE)</f>
        <v>20</v>
      </c>
      <c r="G708" s="144">
        <f t="shared" si="67"/>
        <v>20</v>
      </c>
      <c r="H708" s="81"/>
      <c r="I708" s="121"/>
      <c r="J708" s="121"/>
      <c r="K708" s="4"/>
    </row>
    <row r="709" spans="1:11" ht="13">
      <c r="A709" s="164"/>
      <c r="B709" s="4"/>
      <c r="C709" s="145" t="s">
        <v>382</v>
      </c>
      <c r="D709" s="146">
        <v>120</v>
      </c>
      <c r="E709" s="4" t="str">
        <f>VLOOKUP(C709,Master!$B$6:$N$1000,9,FALSE)</f>
        <v>ml</v>
      </c>
      <c r="F709" s="144">
        <f>VLOOKUP(C709,Master!$B$6:$N$1000,10,FALSE)</f>
        <v>1.1915701754385966</v>
      </c>
      <c r="G709" s="144">
        <f t="shared" si="67"/>
        <v>142.98842105263159</v>
      </c>
      <c r="H709" s="81"/>
      <c r="I709" s="121"/>
      <c r="J709" s="121"/>
      <c r="K709" s="4"/>
    </row>
    <row r="710" spans="1:11" ht="13">
      <c r="A710" s="164"/>
      <c r="B710" s="4"/>
      <c r="C710" s="145" t="s">
        <v>378</v>
      </c>
      <c r="D710" s="146">
        <v>40</v>
      </c>
      <c r="E710" s="4" t="str">
        <f>VLOOKUP(C710,Master!$B$6:$N$1000,9,FALSE)</f>
        <v>ml</v>
      </c>
      <c r="F710" s="144">
        <f>VLOOKUP(C710,Master!$B$6:$N$1000,10,FALSE)</f>
        <v>15.983578947368422</v>
      </c>
      <c r="G710" s="144">
        <f t="shared" si="67"/>
        <v>639.34315789473681</v>
      </c>
      <c r="H710" s="81"/>
      <c r="I710" s="121"/>
      <c r="J710" s="121"/>
      <c r="K710" s="4"/>
    </row>
    <row r="711" spans="1:11" ht="13">
      <c r="A711" s="164"/>
      <c r="B711" s="4"/>
      <c r="C711" s="151" t="s">
        <v>839</v>
      </c>
      <c r="D711" s="149">
        <v>1</v>
      </c>
      <c r="E711" s="4" t="str">
        <f>VLOOKUP(C711,Master!$B$6:$N$1000,9,FALSE)</f>
        <v>pcs</v>
      </c>
      <c r="F711" s="144">
        <f>VLOOKUP(C711,Master!$B$6:$N$1000,10,FALSE)</f>
        <v>500</v>
      </c>
      <c r="G711" s="150">
        <f t="shared" si="67"/>
        <v>500</v>
      </c>
      <c r="H711" s="81"/>
      <c r="I711" s="121"/>
      <c r="J711" s="121"/>
      <c r="K711" s="4"/>
    </row>
    <row r="712" spans="1:11" ht="13">
      <c r="A712" s="156" t="str">
        <f>VLOOKUP(B712,Master!$V$7:$W$1000,2,FALSE)</f>
        <v>XXXX</v>
      </c>
      <c r="B712" s="152" t="s">
        <v>460</v>
      </c>
      <c r="C712" s="153"/>
      <c r="D712" s="153"/>
      <c r="E712" s="154"/>
      <c r="F712" s="153"/>
      <c r="G712" s="155">
        <f>SUM(G713:G722)</f>
        <v>10702.403987004638</v>
      </c>
      <c r="H712" s="139">
        <v>0.1</v>
      </c>
      <c r="I712" s="155">
        <f>G712+(G712*H712)</f>
        <v>11772.644385705102</v>
      </c>
      <c r="J712" s="140" t="b">
        <v>0</v>
      </c>
      <c r="K712" s="4"/>
    </row>
    <row r="713" spans="1:11" ht="13">
      <c r="A713" s="164"/>
      <c r="B713" s="4"/>
      <c r="C713" s="4" t="s">
        <v>251</v>
      </c>
      <c r="D713" s="146">
        <v>1</v>
      </c>
      <c r="E713" s="4" t="str">
        <f>VLOOKUP(C713,Master!$B$6:$N$1000,9,FALSE)</f>
        <v>Porsi</v>
      </c>
      <c r="F713" s="158">
        <f>VLOOKUP(C713,Master!$B$6:$N$1000,10,FALSE)</f>
        <v>1093.9890710382513</v>
      </c>
      <c r="G713" s="144">
        <f t="shared" ref="G713:G722" si="68">D713*F713</f>
        <v>1093.9890710382513</v>
      </c>
      <c r="H713" s="4"/>
      <c r="I713" s="4"/>
      <c r="J713" s="4"/>
      <c r="K713" s="4"/>
    </row>
    <row r="714" spans="1:11" ht="13">
      <c r="A714" s="164"/>
      <c r="B714" s="4"/>
      <c r="C714" s="4" t="s">
        <v>655</v>
      </c>
      <c r="D714" s="146">
        <v>60</v>
      </c>
      <c r="E714" s="4" t="str">
        <f>VLOOKUP(C714,Master!$B$6:$N$1000,9,FALSE)</f>
        <v>gr</v>
      </c>
      <c r="F714" s="158">
        <f>VLOOKUP(C714,Master!$B$6:$N$1000,10,FALSE)</f>
        <v>50</v>
      </c>
      <c r="G714" s="144">
        <f t="shared" si="68"/>
        <v>3000</v>
      </c>
      <c r="H714" s="4"/>
      <c r="I714" s="4"/>
      <c r="J714" s="4"/>
      <c r="K714" s="4"/>
    </row>
    <row r="715" spans="1:11" ht="13">
      <c r="A715" s="164"/>
      <c r="B715" s="4"/>
      <c r="C715" s="4" t="s">
        <v>659</v>
      </c>
      <c r="D715" s="146">
        <v>1</v>
      </c>
      <c r="E715" s="4" t="str">
        <f>VLOOKUP(C715,Master!$B$6:$N$1000,9,FALSE)</f>
        <v>pcs</v>
      </c>
      <c r="F715" s="158">
        <f>VLOOKUP(C715,Master!$B$6:$N$1000,10,FALSE)</f>
        <v>1866.6666666666667</v>
      </c>
      <c r="G715" s="144">
        <f t="shared" si="68"/>
        <v>1866.6666666666667</v>
      </c>
      <c r="H715" s="4"/>
      <c r="I715" s="4"/>
      <c r="J715" s="4"/>
      <c r="K715" s="4"/>
    </row>
    <row r="716" spans="1:11" ht="13">
      <c r="A716" s="164"/>
      <c r="B716" s="4"/>
      <c r="C716" s="4" t="s">
        <v>1981</v>
      </c>
      <c r="D716" s="146">
        <v>50</v>
      </c>
      <c r="E716" s="4" t="str">
        <f>VLOOKUP(C716,Master!$B$6:$N$1000,9,FALSE)</f>
        <v>ml</v>
      </c>
      <c r="F716" s="158">
        <f>VLOOKUP(C716,Master!$B$6:$N$1000,10,FALSE)</f>
        <v>17.094333333333335</v>
      </c>
      <c r="G716" s="144">
        <f t="shared" si="68"/>
        <v>854.7166666666667</v>
      </c>
      <c r="H716" s="4"/>
      <c r="I716" s="4"/>
      <c r="J716" s="4"/>
      <c r="K716" s="4"/>
    </row>
    <row r="717" spans="1:11" ht="13">
      <c r="A717" s="164"/>
      <c r="B717" s="4"/>
      <c r="C717" s="4" t="s">
        <v>191</v>
      </c>
      <c r="D717" s="146">
        <v>1</v>
      </c>
      <c r="E717" s="4" t="str">
        <f>VLOOKUP(C717,Master!$B$6:$N$1000,9,FALSE)</f>
        <v>gr</v>
      </c>
      <c r="F717" s="158">
        <f>VLOOKUP(C717,Master!$B$6:$N$1000,10,FALSE)</f>
        <v>1773.7815826330534</v>
      </c>
      <c r="G717" s="144">
        <f t="shared" si="68"/>
        <v>1773.7815826330534</v>
      </c>
      <c r="H717" s="4"/>
      <c r="I717" s="4"/>
      <c r="J717" s="4"/>
      <c r="K717" s="4"/>
    </row>
    <row r="718" spans="1:11" ht="13">
      <c r="A718" s="164"/>
      <c r="B718" s="4"/>
      <c r="C718" s="145" t="s">
        <v>2044</v>
      </c>
      <c r="D718" s="146">
        <v>20</v>
      </c>
      <c r="E718" s="4" t="str">
        <f>VLOOKUP(C718,Master!$B$6:$N$1000,9,FALSE)</f>
        <v>gr</v>
      </c>
      <c r="F718" s="158">
        <f>VLOOKUP(C718,Master!$B$6:$N$1000,10,FALSE)</f>
        <v>27.5</v>
      </c>
      <c r="G718" s="144">
        <f t="shared" si="68"/>
        <v>550</v>
      </c>
      <c r="H718" s="81"/>
      <c r="I718" s="121"/>
      <c r="J718" s="121"/>
      <c r="K718" s="4"/>
    </row>
    <row r="719" spans="1:11" ht="13">
      <c r="A719" s="164"/>
      <c r="B719" s="4"/>
      <c r="C719" s="145" t="s">
        <v>2045</v>
      </c>
      <c r="D719" s="146">
        <v>25</v>
      </c>
      <c r="E719" s="4" t="str">
        <f>VLOOKUP(C719,Master!$B$6:$N$1000,9,FALSE)</f>
        <v>gr</v>
      </c>
      <c r="F719" s="158">
        <f>VLOOKUP(C719,Master!$B$6:$N$1000,10,FALSE)</f>
        <v>14.25</v>
      </c>
      <c r="G719" s="144">
        <f t="shared" si="68"/>
        <v>356.25</v>
      </c>
      <c r="H719" s="81"/>
      <c r="I719" s="121"/>
      <c r="J719" s="121"/>
      <c r="K719" s="4"/>
    </row>
    <row r="720" spans="1:11" ht="13">
      <c r="A720" s="164"/>
      <c r="B720" s="4"/>
      <c r="C720" s="145" t="s">
        <v>2043</v>
      </c>
      <c r="D720" s="146">
        <v>2</v>
      </c>
      <c r="E720" s="4" t="str">
        <f>VLOOKUP(C720,Master!$B$6:$N$1000,9,FALSE)</f>
        <v>gr</v>
      </c>
      <c r="F720" s="158">
        <f>VLOOKUP(C720,Master!$B$6:$N$1000,10,FALSE)</f>
        <v>38.5</v>
      </c>
      <c r="G720" s="144">
        <f t="shared" si="68"/>
        <v>77</v>
      </c>
      <c r="H720" s="81"/>
      <c r="I720" s="121"/>
      <c r="J720" s="121"/>
      <c r="K720" s="4"/>
    </row>
    <row r="721" spans="1:12" ht="13">
      <c r="A721" s="164"/>
      <c r="B721" s="4"/>
      <c r="C721" s="145" t="s">
        <v>799</v>
      </c>
      <c r="D721" s="146">
        <v>1</v>
      </c>
      <c r="E721" s="4" t="str">
        <f>VLOOKUP(C721,Master!$B$6:$N$1000,9,FALSE)</f>
        <v>gr</v>
      </c>
      <c r="F721" s="158">
        <f>VLOOKUP(C721,Master!$B$6:$N$1000,10,FALSE)</f>
        <v>90</v>
      </c>
      <c r="G721" s="144">
        <f t="shared" si="68"/>
        <v>90</v>
      </c>
      <c r="H721" s="81"/>
      <c r="I721" s="121"/>
      <c r="J721" s="121"/>
      <c r="K721" s="4"/>
    </row>
    <row r="722" spans="1:12" ht="13">
      <c r="A722" s="164"/>
      <c r="B722" s="4"/>
      <c r="C722" s="145" t="s">
        <v>1103</v>
      </c>
      <c r="D722" s="146">
        <v>1</v>
      </c>
      <c r="E722" s="4" t="str">
        <f>VLOOKUP(C722,Master!$B$6:$N$1000,9,FALSE)</f>
        <v>pcs</v>
      </c>
      <c r="F722" s="158">
        <f>VLOOKUP(C722,Master!$B$6:$N$1000,10,FALSE)</f>
        <v>1040</v>
      </c>
      <c r="G722" s="144">
        <f t="shared" si="68"/>
        <v>1040</v>
      </c>
      <c r="H722" s="81"/>
      <c r="I722" s="121"/>
      <c r="J722" s="121"/>
      <c r="K722" s="4"/>
    </row>
    <row r="723" spans="1:12" ht="13">
      <c r="A723" s="156" t="str">
        <f>VLOOKUP(B723,Master!$V$7:$W$1000,2,FALSE)</f>
        <v>XXXX</v>
      </c>
      <c r="B723" s="152" t="s">
        <v>460</v>
      </c>
      <c r="C723" s="153"/>
      <c r="D723" s="153"/>
      <c r="E723" s="154"/>
      <c r="F723" s="153"/>
      <c r="G723" s="155">
        <f>SUM(G724:G725)</f>
        <v>4240</v>
      </c>
      <c r="H723" s="139">
        <v>0.1</v>
      </c>
      <c r="I723" s="155">
        <f>G723+(G723*H723)</f>
        <v>4664</v>
      </c>
      <c r="J723" s="140" t="b">
        <v>0</v>
      </c>
      <c r="K723" s="4"/>
    </row>
    <row r="724" spans="1:12" ht="13">
      <c r="A724" s="164"/>
      <c r="B724" s="4"/>
      <c r="C724" s="145" t="s">
        <v>700</v>
      </c>
      <c r="D724" s="146">
        <v>2</v>
      </c>
      <c r="E724" s="4" t="str">
        <f>VLOOKUP(C724,Master!$B$6:$N$1000,9,FALSE)</f>
        <v>pcs</v>
      </c>
      <c r="F724" s="158">
        <f>VLOOKUP(C724,Master!$B$6:$N$1000,10,FALSE)</f>
        <v>1900</v>
      </c>
      <c r="G724" s="144">
        <f t="shared" ref="G724:G725" si="69">D724*F724</f>
        <v>3800</v>
      </c>
      <c r="H724" s="81"/>
      <c r="I724" s="121"/>
      <c r="J724" s="121"/>
      <c r="K724" s="4"/>
    </row>
    <row r="725" spans="1:12" ht="13">
      <c r="A725" s="164"/>
      <c r="B725" s="4"/>
      <c r="C725" s="145" t="s">
        <v>835</v>
      </c>
      <c r="D725" s="146">
        <v>10</v>
      </c>
      <c r="E725" s="4" t="str">
        <f>VLOOKUP(C725,Master!$B$6:$N$1000,9,FALSE)</f>
        <v>gr</v>
      </c>
      <c r="F725" s="158">
        <f>VLOOKUP(C725,Master!$B$6:$N$1000,10,FALSE)</f>
        <v>44</v>
      </c>
      <c r="G725" s="144">
        <f t="shared" si="69"/>
        <v>440</v>
      </c>
      <c r="H725" s="81"/>
      <c r="I725" s="121"/>
      <c r="J725" s="121"/>
      <c r="K725" s="4"/>
      <c r="L725" s="168" t="e">
        <f>D725/J725</f>
        <v>#DIV/0!</v>
      </c>
    </row>
    <row r="726" spans="1:12" ht="13">
      <c r="A726" s="156" t="str">
        <f>VLOOKUP(B726,Master!$V$7:$W$1000,2,FALSE)</f>
        <v>M0153</v>
      </c>
      <c r="B726" s="152" t="s">
        <v>821</v>
      </c>
      <c r="C726" s="153"/>
      <c r="D726" s="153"/>
      <c r="E726" s="154"/>
      <c r="F726" s="153"/>
      <c r="G726" s="155">
        <f>SUM(G727:G731)</f>
        <v>11452.209932149362</v>
      </c>
      <c r="H726" s="139">
        <v>0.1</v>
      </c>
      <c r="I726" s="155">
        <f>G726+(G726*H726)</f>
        <v>12597.430925364299</v>
      </c>
      <c r="J726" s="140" t="b">
        <v>0</v>
      </c>
      <c r="K726" s="4"/>
      <c r="L726" s="4"/>
    </row>
    <row r="727" spans="1:12" ht="13">
      <c r="A727" s="164"/>
      <c r="B727" s="4"/>
      <c r="C727" s="4" t="s">
        <v>251</v>
      </c>
      <c r="D727" s="146">
        <v>1</v>
      </c>
      <c r="E727" s="4" t="str">
        <f>VLOOKUP(C727,Master!$B$6:$N$1000,9,FALSE)</f>
        <v>Porsi</v>
      </c>
      <c r="F727" s="158">
        <f>VLOOKUP(C727,Master!$B$6:$N$1000,10,FALSE)</f>
        <v>1093.9890710382513</v>
      </c>
      <c r="G727" s="144">
        <f t="shared" ref="G727:G731" si="70">D727*F727</f>
        <v>1093.9890710382513</v>
      </c>
      <c r="H727" s="4"/>
      <c r="I727" s="4"/>
      <c r="J727" s="4"/>
      <c r="K727" s="4"/>
      <c r="L727" s="4"/>
    </row>
    <row r="728" spans="1:12" ht="13">
      <c r="A728" s="164"/>
      <c r="B728" s="4"/>
      <c r="C728" s="145" t="s">
        <v>424</v>
      </c>
      <c r="D728" s="146">
        <v>1</v>
      </c>
      <c r="E728" s="4" t="str">
        <f>VLOOKUP(C728,Master!$B$6:$N$1000,9,FALSE)</f>
        <v>porsi</v>
      </c>
      <c r="F728" s="158">
        <f>VLOOKUP(C728,Master!$B$6:$N$1000,10,FALSE)</f>
        <v>5105.2375000000002</v>
      </c>
      <c r="G728" s="144">
        <f t="shared" si="70"/>
        <v>5105.2375000000002</v>
      </c>
      <c r="H728" s="81"/>
      <c r="I728" s="121"/>
      <c r="J728" s="121"/>
      <c r="K728" s="121"/>
      <c r="L728" s="4"/>
    </row>
    <row r="729" spans="1:12" ht="13">
      <c r="A729" s="164"/>
      <c r="B729" s="4"/>
      <c r="C729" s="145" t="s">
        <v>412</v>
      </c>
      <c r="D729" s="146">
        <v>1</v>
      </c>
      <c r="E729" s="4" t="str">
        <f>VLOOKUP(C729,Master!$B$6:$N$1000,9,FALSE)</f>
        <v>porsi</v>
      </c>
      <c r="F729" s="158">
        <f>VLOOKUP(C729,Master!$B$6:$N$1000,10,FALSE)</f>
        <v>1057.9833611111112</v>
      </c>
      <c r="G729" s="144">
        <f t="shared" si="70"/>
        <v>1057.9833611111112</v>
      </c>
      <c r="H729" s="81"/>
      <c r="I729" s="121"/>
      <c r="J729" s="121"/>
      <c r="K729" s="121"/>
      <c r="L729" s="4"/>
    </row>
    <row r="730" spans="1:12" ht="13">
      <c r="A730" s="164"/>
      <c r="B730" s="4"/>
      <c r="C730" s="145" t="s">
        <v>1237</v>
      </c>
      <c r="D730" s="146">
        <v>200</v>
      </c>
      <c r="E730" s="4" t="str">
        <f>VLOOKUP(C730,Master!$B$6:$N$1000,9,FALSE)</f>
        <v>gr</v>
      </c>
      <c r="F730" s="158">
        <f>VLOOKUP(C730,Master!$B$6:$N$1000,10,FALSE)</f>
        <v>20</v>
      </c>
      <c r="G730" s="144">
        <f t="shared" si="70"/>
        <v>4000</v>
      </c>
      <c r="H730" s="81"/>
      <c r="I730" s="121"/>
      <c r="J730" s="121"/>
      <c r="K730" s="121"/>
      <c r="L730" s="4"/>
    </row>
    <row r="731" spans="1:12" ht="13">
      <c r="A731" s="164"/>
      <c r="B731" s="4"/>
      <c r="C731" s="145" t="s">
        <v>1052</v>
      </c>
      <c r="D731" s="146">
        <v>15</v>
      </c>
      <c r="E731" s="4" t="str">
        <f>VLOOKUP(C731,Master!$B$6:$N$1000,9,FALSE)</f>
        <v>gr</v>
      </c>
      <c r="F731" s="158">
        <f>VLOOKUP(C731,Master!$B$6:$N$1000,10,FALSE)</f>
        <v>13</v>
      </c>
      <c r="G731" s="144">
        <f t="shared" si="70"/>
        <v>195</v>
      </c>
      <c r="H731" s="81"/>
      <c r="I731" s="121"/>
      <c r="J731" s="121"/>
      <c r="K731" s="121"/>
      <c r="L731" s="4"/>
    </row>
    <row r="732" spans="1:12" ht="13">
      <c r="A732" s="164"/>
      <c r="B732" s="4"/>
      <c r="C732" s="145"/>
      <c r="D732" s="145"/>
      <c r="E732" s="4"/>
      <c r="F732" s="145"/>
      <c r="G732" s="121"/>
      <c r="H732" s="81"/>
      <c r="I732" s="121"/>
      <c r="J732" s="121"/>
      <c r="K732" s="121"/>
      <c r="L732" s="4"/>
    </row>
    <row r="733" spans="1:12" ht="13">
      <c r="A733" s="134" t="str">
        <f>VLOOKUP(B733,Master!$V$7:$W$1000,2,FALSE)</f>
        <v>B001</v>
      </c>
      <c r="B733" s="135" t="s">
        <v>894</v>
      </c>
      <c r="C733" s="153"/>
      <c r="D733" s="153"/>
      <c r="E733" s="154"/>
      <c r="F733" s="153"/>
      <c r="G733" s="138">
        <f>SUM(G734:G739)</f>
        <v>13293.85</v>
      </c>
      <c r="H733" s="139">
        <v>0.1</v>
      </c>
      <c r="I733" s="138">
        <f>G733+(G733*H733)</f>
        <v>14623.235000000001</v>
      </c>
      <c r="J733" s="140" t="b">
        <v>0</v>
      </c>
      <c r="K733" s="140" t="b">
        <v>0</v>
      </c>
      <c r="L733" s="4"/>
    </row>
    <row r="734" spans="1:12" ht="13">
      <c r="A734" s="141"/>
      <c r="B734" s="4"/>
      <c r="C734" s="4" t="s">
        <v>2039</v>
      </c>
      <c r="D734" s="146">
        <v>1</v>
      </c>
      <c r="E734" s="4" t="str">
        <f>VLOOKUP(C734,Master!$B$6:$N$1000,9,FALSE)</f>
        <v>pcs</v>
      </c>
      <c r="F734" s="158">
        <f>VLOOKUP(C734,Master!$B$6:$N$1000,10,FALSE)</f>
        <v>4666.666666666667</v>
      </c>
      <c r="G734" s="144">
        <f t="shared" ref="G734:G739" si="71">D734*F734</f>
        <v>4666.666666666667</v>
      </c>
      <c r="H734" s="145"/>
      <c r="I734" s="145"/>
      <c r="J734" s="145"/>
      <c r="K734" s="4"/>
      <c r="L734" s="4"/>
    </row>
    <row r="735" spans="1:12" ht="13">
      <c r="A735" s="164"/>
      <c r="B735" s="4"/>
      <c r="C735" s="4" t="s">
        <v>2038</v>
      </c>
      <c r="D735" s="146">
        <v>20</v>
      </c>
      <c r="E735" s="4" t="str">
        <f>VLOOKUP(C735,Master!$B$6:$N$1000,9,FALSE)</f>
        <v>gr</v>
      </c>
      <c r="F735" s="158">
        <f>VLOOKUP(C735,Master!$B$6:$N$1000,10,FALSE)</f>
        <v>86</v>
      </c>
      <c r="G735" s="144">
        <f t="shared" si="71"/>
        <v>1720</v>
      </c>
      <c r="H735" s="4"/>
      <c r="I735" s="4"/>
      <c r="J735" s="4"/>
      <c r="K735" s="4"/>
      <c r="L735" s="4"/>
    </row>
    <row r="736" spans="1:12" ht="13">
      <c r="A736" s="164"/>
      <c r="B736" s="4"/>
      <c r="C736" s="145" t="s">
        <v>925</v>
      </c>
      <c r="D736" s="146">
        <v>75</v>
      </c>
      <c r="E736" s="4" t="str">
        <f>VLOOKUP(C736,Master!$B$6:$N$1000,9,FALSE)</f>
        <v>gr</v>
      </c>
      <c r="F736" s="158">
        <f>VLOOKUP(C736,Master!$B$6:$N$1000,10,FALSE)</f>
        <v>39.738</v>
      </c>
      <c r="G736" s="144">
        <f t="shared" si="71"/>
        <v>2980.35</v>
      </c>
      <c r="H736" s="81"/>
      <c r="I736" s="121"/>
      <c r="J736" s="121"/>
      <c r="K736" s="121"/>
      <c r="L736" s="4"/>
    </row>
    <row r="737" spans="1:12" ht="13">
      <c r="A737" s="164"/>
      <c r="B737" s="4"/>
      <c r="C737" s="145" t="s">
        <v>659</v>
      </c>
      <c r="D737" s="146">
        <v>2</v>
      </c>
      <c r="E737" s="4" t="str">
        <f>VLOOKUP(C737,Master!$B$6:$N$1000,9,FALSE)</f>
        <v>pcs</v>
      </c>
      <c r="F737" s="158">
        <f>VLOOKUP(C737,Master!$B$6:$N$1000,10,FALSE)</f>
        <v>1866.6666666666667</v>
      </c>
      <c r="G737" s="144">
        <f t="shared" si="71"/>
        <v>3733.3333333333335</v>
      </c>
      <c r="H737" s="81"/>
      <c r="I737" s="121"/>
      <c r="J737" s="121"/>
      <c r="K737" s="121"/>
      <c r="L737" s="4"/>
    </row>
    <row r="738" spans="1:12" ht="13">
      <c r="A738" s="164"/>
      <c r="B738" s="4"/>
      <c r="C738" s="145" t="s">
        <v>2061</v>
      </c>
      <c r="D738" s="146">
        <v>5</v>
      </c>
      <c r="E738" s="4" t="str">
        <f>VLOOKUP(C738,Master!$B$6:$N$1000,9,FALSE)</f>
        <v>gr</v>
      </c>
      <c r="F738" s="158">
        <f>VLOOKUP(C738,Master!$B$6:$N$1000,10,FALSE)</f>
        <v>22.2</v>
      </c>
      <c r="G738" s="144">
        <f t="shared" si="71"/>
        <v>111</v>
      </c>
      <c r="H738" s="81"/>
      <c r="I738" s="121"/>
      <c r="J738" s="121"/>
      <c r="K738" s="121"/>
      <c r="L738" s="4"/>
    </row>
    <row r="739" spans="1:12" ht="13">
      <c r="A739" s="164"/>
      <c r="B739" s="4"/>
      <c r="C739" s="145" t="s">
        <v>1074</v>
      </c>
      <c r="D739" s="146">
        <v>5</v>
      </c>
      <c r="E739" s="4" t="str">
        <f>VLOOKUP(C739,Master!$B$6:$N$1000,9,FALSE)</f>
        <v>gr</v>
      </c>
      <c r="F739" s="158">
        <f>VLOOKUP(C739,Master!$B$6:$N$1000,10,FALSE)</f>
        <v>16.5</v>
      </c>
      <c r="G739" s="144">
        <f t="shared" si="71"/>
        <v>82.5</v>
      </c>
      <c r="H739" s="81"/>
      <c r="I739" s="121"/>
      <c r="J739" s="121"/>
      <c r="K739" s="121"/>
      <c r="L739" s="4"/>
    </row>
    <row r="740" spans="1:12" ht="13">
      <c r="A740" s="164"/>
      <c r="B740" s="4"/>
      <c r="C740" s="145"/>
      <c r="D740" s="145"/>
      <c r="E740" s="4"/>
      <c r="F740" s="145"/>
      <c r="G740" s="121"/>
      <c r="H740" s="81"/>
      <c r="I740" s="121"/>
      <c r="J740" s="121"/>
      <c r="K740" s="121"/>
      <c r="L740" s="4"/>
    </row>
    <row r="741" spans="1:12" ht="13">
      <c r="A741" s="134" t="str">
        <f>VLOOKUP(B741,Master!$V$7:$W$1000,2,FALSE)</f>
        <v>B002</v>
      </c>
      <c r="B741" s="135" t="s">
        <v>897</v>
      </c>
      <c r="C741" s="153"/>
      <c r="D741" s="153"/>
      <c r="E741" s="154"/>
      <c r="F741" s="153"/>
      <c r="G741" s="138">
        <f>SUM(G742:G748)</f>
        <v>5445.3333333333339</v>
      </c>
      <c r="H741" s="139">
        <v>0.1</v>
      </c>
      <c r="I741" s="138">
        <f>G741+(G741*H741)</f>
        <v>5989.8666666666677</v>
      </c>
      <c r="J741" s="140" t="b">
        <v>0</v>
      </c>
      <c r="K741" s="140" t="b">
        <v>0</v>
      </c>
    </row>
    <row r="742" spans="1:12" ht="13">
      <c r="A742" s="141"/>
      <c r="B742" s="4"/>
      <c r="C742" s="4" t="s">
        <v>659</v>
      </c>
      <c r="D742" s="146">
        <v>2</v>
      </c>
      <c r="E742" s="4" t="str">
        <f>VLOOKUP(C742,Master!$B$6:$N$1000,9,FALSE)</f>
        <v>pcs</v>
      </c>
      <c r="F742" s="158">
        <f>VLOOKUP(C742,Master!$B$6:$N$1000,10,FALSE)</f>
        <v>1866.6666666666667</v>
      </c>
      <c r="G742" s="144">
        <f t="shared" ref="G742:G748" si="72">D742*F742</f>
        <v>3733.3333333333335</v>
      </c>
      <c r="H742" s="145"/>
      <c r="I742" s="145"/>
      <c r="J742" s="145"/>
      <c r="K742" s="4"/>
    </row>
    <row r="743" spans="1:12" ht="13">
      <c r="A743" s="164"/>
      <c r="B743" s="4"/>
      <c r="C743" s="4" t="s">
        <v>744</v>
      </c>
      <c r="D743" s="146">
        <v>10</v>
      </c>
      <c r="E743" s="4" t="str">
        <f>VLOOKUP(C743,Master!$B$6:$N$1000,9,FALSE)</f>
        <v>gr</v>
      </c>
      <c r="F743" s="158">
        <f>VLOOKUP(C743,Master!$B$6:$N$1000,10,FALSE)</f>
        <v>58.6</v>
      </c>
      <c r="G743" s="144">
        <f t="shared" si="72"/>
        <v>586</v>
      </c>
      <c r="H743" s="4"/>
      <c r="I743" s="4"/>
      <c r="J743" s="4"/>
      <c r="K743" s="4"/>
    </row>
    <row r="744" spans="1:12" ht="13">
      <c r="A744" s="164"/>
      <c r="B744" s="4"/>
      <c r="C744" s="145" t="s">
        <v>716</v>
      </c>
      <c r="D744" s="146">
        <v>10</v>
      </c>
      <c r="E744" s="4" t="str">
        <f>VLOOKUP(C744,Master!$B$6:$N$1000,9,FALSE)</f>
        <v>gr</v>
      </c>
      <c r="F744" s="158">
        <f>VLOOKUP(C744,Master!$B$6:$N$1000,10,FALSE)</f>
        <v>45</v>
      </c>
      <c r="G744" s="144">
        <f t="shared" si="72"/>
        <v>450</v>
      </c>
      <c r="H744" s="81"/>
      <c r="I744" s="121"/>
      <c r="J744" s="121"/>
      <c r="K744" s="121"/>
    </row>
    <row r="745" spans="1:12" ht="13">
      <c r="A745" s="164"/>
      <c r="B745" s="4"/>
      <c r="C745" s="145" t="s">
        <v>732</v>
      </c>
      <c r="D745" s="146">
        <v>10</v>
      </c>
      <c r="E745" s="4" t="str">
        <f>VLOOKUP(C745,Master!$B$6:$N$1000,9,FALSE)</f>
        <v>gr</v>
      </c>
      <c r="F745" s="158">
        <f>VLOOKUP(C745,Master!$B$6:$N$1000,10,FALSE)</f>
        <v>40</v>
      </c>
      <c r="G745" s="144">
        <f t="shared" si="72"/>
        <v>400</v>
      </c>
      <c r="H745" s="81"/>
      <c r="I745" s="121"/>
      <c r="J745" s="121"/>
      <c r="K745" s="121"/>
    </row>
    <row r="746" spans="1:12" ht="13">
      <c r="A746" s="164"/>
      <c r="B746" s="4"/>
      <c r="C746" s="145" t="s">
        <v>2061</v>
      </c>
      <c r="D746" s="146">
        <v>5</v>
      </c>
      <c r="E746" s="4" t="str">
        <f>VLOOKUP(C746,Master!$B$6:$N$1000,9,FALSE)</f>
        <v>gr</v>
      </c>
      <c r="F746" s="158">
        <f>VLOOKUP(C746,Master!$B$6:$N$1000,10,FALSE)</f>
        <v>22.2</v>
      </c>
      <c r="G746" s="144">
        <f t="shared" si="72"/>
        <v>111</v>
      </c>
      <c r="H746" s="81"/>
      <c r="I746" s="121"/>
      <c r="J746" s="121"/>
      <c r="K746" s="121"/>
    </row>
    <row r="747" spans="1:12" ht="13">
      <c r="A747" s="164"/>
      <c r="B747" s="4"/>
      <c r="C747" s="145" t="s">
        <v>1074</v>
      </c>
      <c r="D747" s="146">
        <v>5</v>
      </c>
      <c r="E747" s="4" t="str">
        <f>VLOOKUP(C747,Master!$B$6:$N$1000,9,FALSE)</f>
        <v>gr</v>
      </c>
      <c r="F747" s="158">
        <f>VLOOKUP(C747,Master!$B$6:$N$1000,10,FALSE)</f>
        <v>16.5</v>
      </c>
      <c r="G747" s="144">
        <f t="shared" si="72"/>
        <v>82.5</v>
      </c>
      <c r="H747" s="81"/>
      <c r="I747" s="121"/>
      <c r="J747" s="121"/>
      <c r="K747" s="121"/>
    </row>
    <row r="748" spans="1:12" ht="13">
      <c r="A748" s="164"/>
      <c r="B748" s="4"/>
      <c r="C748" s="145" t="s">
        <v>1074</v>
      </c>
      <c r="D748" s="145">
        <v>5</v>
      </c>
      <c r="E748" s="4" t="str">
        <f>VLOOKUP(C748,Master!$B$6:$N$1000,9,FALSE)</f>
        <v>gr</v>
      </c>
      <c r="F748" s="158">
        <f>VLOOKUP(C748,Master!$B$6:$N$1000,10,FALSE)</f>
        <v>16.5</v>
      </c>
      <c r="G748" s="144">
        <f t="shared" si="72"/>
        <v>82.5</v>
      </c>
      <c r="H748" s="81"/>
      <c r="I748" s="121"/>
      <c r="J748" s="121"/>
      <c r="K748" s="121"/>
    </row>
    <row r="749" spans="1:12" ht="13">
      <c r="A749" s="134" t="str">
        <f>VLOOKUP(B749,Master!$V$7:$W$1000,2,FALSE)</f>
        <v>B003</v>
      </c>
      <c r="B749" s="135" t="s">
        <v>900</v>
      </c>
      <c r="C749" s="153"/>
      <c r="D749" s="153"/>
      <c r="E749" s="154"/>
      <c r="F749" s="153"/>
      <c r="G749" s="138">
        <f>SUM(G750:G752)</f>
        <v>4970</v>
      </c>
      <c r="H749" s="139">
        <v>0.1</v>
      </c>
      <c r="I749" s="138">
        <f>G749+(G749*H749)</f>
        <v>5467</v>
      </c>
      <c r="J749" s="140" t="b">
        <v>0</v>
      </c>
      <c r="K749" s="140" t="b">
        <v>0</v>
      </c>
    </row>
    <row r="750" spans="1:12" ht="13">
      <c r="A750" s="141"/>
      <c r="B750" s="4"/>
      <c r="C750" s="145" t="s">
        <v>700</v>
      </c>
      <c r="D750" s="146">
        <v>2</v>
      </c>
      <c r="E750" s="4" t="str">
        <f>VLOOKUP(C750,Master!$B$6:$N$1000,9,FALSE)</f>
        <v>pcs</v>
      </c>
      <c r="F750" s="158">
        <f>VLOOKUP(C750,Master!$B$6:$N$1000,10,FALSE)</f>
        <v>1900</v>
      </c>
      <c r="G750" s="144">
        <f t="shared" ref="G750:G752" si="73">D750*F750</f>
        <v>3800</v>
      </c>
      <c r="H750" s="145"/>
      <c r="I750" s="145"/>
      <c r="J750" s="145"/>
      <c r="K750" s="121"/>
    </row>
    <row r="751" spans="1:12" ht="13">
      <c r="A751" s="164"/>
      <c r="B751" s="4"/>
      <c r="C751" s="145" t="s">
        <v>2029</v>
      </c>
      <c r="D751" s="146">
        <v>10</v>
      </c>
      <c r="E751" s="4" t="str">
        <f>VLOOKUP(C751,Master!$B$6:$N$1000,9,FALSE)</f>
        <v>gr</v>
      </c>
      <c r="F751" s="158">
        <f>VLOOKUP(C751,Master!$B$6:$N$1000,10,FALSE)</f>
        <v>42</v>
      </c>
      <c r="G751" s="144">
        <f t="shared" si="73"/>
        <v>420</v>
      </c>
      <c r="H751" s="81"/>
      <c r="I751" s="121"/>
      <c r="J751" s="121"/>
      <c r="K751" s="121"/>
    </row>
    <row r="752" spans="1:12" ht="13">
      <c r="A752" s="164"/>
      <c r="B752" s="4"/>
      <c r="C752" s="145" t="s">
        <v>782</v>
      </c>
      <c r="D752" s="146">
        <v>15</v>
      </c>
      <c r="E752" s="4" t="str">
        <f>VLOOKUP(C752,Master!$B$6:$N$1000,9,FALSE)</f>
        <v>gr</v>
      </c>
      <c r="F752" s="158">
        <f>VLOOKUP(C752,Master!$B$6:$N$1000,10,FALSE)</f>
        <v>50</v>
      </c>
      <c r="G752" s="144">
        <f t="shared" si="73"/>
        <v>750</v>
      </c>
      <c r="H752" s="81"/>
      <c r="I752" s="121"/>
      <c r="J752" s="121"/>
      <c r="K752" s="121"/>
    </row>
    <row r="753" spans="1:11" ht="13">
      <c r="A753" s="164"/>
      <c r="B753" s="4"/>
      <c r="C753" s="145"/>
      <c r="D753" s="145"/>
      <c r="E753" s="4"/>
      <c r="F753" s="145"/>
      <c r="G753" s="121"/>
      <c r="H753" s="81"/>
      <c r="I753" s="121"/>
      <c r="J753" s="121"/>
      <c r="K753" s="121"/>
    </row>
    <row r="754" spans="1:11" ht="13">
      <c r="A754" s="134" t="str">
        <f>VLOOKUP(B754,Master!$V$7:$W$1000,2,FALSE)</f>
        <v>B004</v>
      </c>
      <c r="B754" s="135" t="s">
        <v>903</v>
      </c>
      <c r="C754" s="153"/>
      <c r="D754" s="153"/>
      <c r="E754" s="154"/>
      <c r="F754" s="153"/>
      <c r="G754" s="138">
        <f>SUM(G755:G759)</f>
        <v>13074.833333333332</v>
      </c>
      <c r="H754" s="139">
        <v>0.1</v>
      </c>
      <c r="I754" s="138">
        <f>G754+(G754*H754)</f>
        <v>14382.316666666666</v>
      </c>
      <c r="J754" s="140" t="b">
        <v>0</v>
      </c>
      <c r="K754" s="140" t="b">
        <v>0</v>
      </c>
    </row>
    <row r="755" spans="1:11" ht="13">
      <c r="A755" s="141"/>
      <c r="B755" s="4"/>
      <c r="C755" s="4" t="s">
        <v>480</v>
      </c>
      <c r="D755" s="146">
        <v>1</v>
      </c>
      <c r="E755" s="4" t="str">
        <f>VLOOKUP(C755,Master!$B$6:$N$1000,9,FALSE)</f>
        <v>porsi</v>
      </c>
      <c r="F755" s="158">
        <f>VLOOKUP(C755,Master!$B$6:$N$1000,10,FALSE)</f>
        <v>10853.333333333332</v>
      </c>
      <c r="G755" s="144">
        <f t="shared" ref="G755:G758" si="74">D755*F755</f>
        <v>10853.333333333332</v>
      </c>
      <c r="H755" s="145"/>
      <c r="I755" s="145"/>
      <c r="J755" s="145"/>
      <c r="K755" s="4"/>
    </row>
    <row r="756" spans="1:11" ht="13">
      <c r="A756" s="164"/>
      <c r="B756" s="4"/>
      <c r="C756" s="145" t="s">
        <v>940</v>
      </c>
      <c r="D756" s="146">
        <v>2</v>
      </c>
      <c r="E756" s="4" t="str">
        <f>VLOOKUP(C756,Master!$B$6:$N$1000,9,FALSE)</f>
        <v>gr</v>
      </c>
      <c r="F756" s="158">
        <f>VLOOKUP(C756,Master!$B$6:$N$1000,10,FALSE)</f>
        <v>200</v>
      </c>
      <c r="G756" s="144">
        <f t="shared" si="74"/>
        <v>400</v>
      </c>
      <c r="H756" s="81"/>
      <c r="I756" s="121"/>
      <c r="J756" s="121"/>
      <c r="K756" s="121"/>
    </row>
    <row r="757" spans="1:11" ht="13">
      <c r="A757" s="164"/>
      <c r="B757" s="4"/>
      <c r="C757" s="145" t="s">
        <v>782</v>
      </c>
      <c r="D757" s="146">
        <v>15</v>
      </c>
      <c r="E757" s="4" t="str">
        <f>VLOOKUP(C757,Master!$B$6:$N$1000,9,FALSE)</f>
        <v>gr</v>
      </c>
      <c r="F757" s="158">
        <f>VLOOKUP(C757,Master!$B$6:$N$1000,10,FALSE)</f>
        <v>50</v>
      </c>
      <c r="G757" s="144">
        <f t="shared" si="74"/>
        <v>750</v>
      </c>
      <c r="H757" s="81"/>
      <c r="I757" s="121"/>
      <c r="J757" s="121"/>
      <c r="K757" s="121"/>
    </row>
    <row r="758" spans="1:11" ht="13">
      <c r="A758" s="164"/>
      <c r="B758" s="4"/>
      <c r="C758" s="145" t="s">
        <v>1986</v>
      </c>
      <c r="D758" s="146">
        <v>50</v>
      </c>
      <c r="E758" s="4" t="str">
        <f>VLOOKUP(C758,Master!$B$6:$N$1000,9,FALSE)</f>
        <v>gr</v>
      </c>
      <c r="F758" s="158">
        <f>VLOOKUP(C758,Master!$B$6:$N$1000,10,FALSE)</f>
        <v>21.43</v>
      </c>
      <c r="G758" s="144">
        <f t="shared" si="74"/>
        <v>1071.5</v>
      </c>
      <c r="H758" s="81"/>
      <c r="I758" s="121"/>
      <c r="J758" s="121"/>
      <c r="K758" s="121"/>
    </row>
    <row r="759" spans="1:11" ht="13">
      <c r="A759" s="164"/>
      <c r="B759" s="4"/>
      <c r="C759" s="145"/>
      <c r="D759" s="145"/>
      <c r="E759" s="4"/>
      <c r="F759" s="145"/>
      <c r="G759" s="121"/>
      <c r="H759" s="81"/>
      <c r="I759" s="121"/>
      <c r="J759" s="121"/>
      <c r="K759" s="121"/>
    </row>
    <row r="760" spans="1:11" ht="13">
      <c r="A760" s="164"/>
      <c r="B760" s="4"/>
      <c r="C760" s="145"/>
      <c r="D760" s="145"/>
      <c r="E760" s="4"/>
      <c r="F760" s="145"/>
      <c r="G760" s="121"/>
      <c r="H760" s="81"/>
      <c r="I760" s="121"/>
      <c r="J760" s="121"/>
      <c r="K760" s="121"/>
    </row>
    <row r="761" spans="1:11" ht="13">
      <c r="A761" s="134" t="str">
        <f>VLOOKUP(B761,Master!$V$7:$W$1000,2,FALSE)</f>
        <v>B014</v>
      </c>
      <c r="B761" s="135" t="s">
        <v>936</v>
      </c>
      <c r="C761" s="153"/>
      <c r="D761" s="153"/>
      <c r="E761" s="154"/>
      <c r="F761" s="153"/>
      <c r="G761" s="138">
        <f>SUM(G762:G770)</f>
        <v>14250.696965775092</v>
      </c>
      <c r="H761" s="139">
        <v>0.1</v>
      </c>
      <c r="I761" s="138">
        <f>G761+(G761*H761)</f>
        <v>15675.766662352602</v>
      </c>
      <c r="J761" s="140" t="b">
        <v>0</v>
      </c>
      <c r="K761" s="140" t="b">
        <v>0</v>
      </c>
    </row>
    <row r="762" spans="1:11" ht="13">
      <c r="A762" s="164"/>
      <c r="B762" s="4"/>
      <c r="C762" s="4" t="s">
        <v>251</v>
      </c>
      <c r="D762" s="146">
        <v>1</v>
      </c>
      <c r="E762" s="4" t="str">
        <f>VLOOKUP(C762,Master!$B$6:$N$1000,9,FALSE)</f>
        <v>Porsi</v>
      </c>
      <c r="F762" s="158">
        <f>VLOOKUP(C762,Master!$B$6:$N$1000,10,FALSE)</f>
        <v>1093.9890710382513</v>
      </c>
      <c r="G762" s="144">
        <f t="shared" ref="G762:G770" si="75">D762*F762</f>
        <v>1093.9890710382513</v>
      </c>
      <c r="H762" s="4"/>
      <c r="I762" s="4"/>
      <c r="J762" s="4"/>
      <c r="K762" s="4"/>
    </row>
    <row r="763" spans="1:11" ht="13">
      <c r="A763" s="164"/>
      <c r="B763" s="4"/>
      <c r="C763" s="4" t="s">
        <v>1256</v>
      </c>
      <c r="D763" s="146">
        <v>100</v>
      </c>
      <c r="E763" s="4" t="str">
        <f>VLOOKUP(C763,Master!$B$6:$N$1000,9,FALSE)</f>
        <v>gr</v>
      </c>
      <c r="F763" s="158">
        <f>VLOOKUP(C763,Master!$B$6:$N$1000,10,FALSE)</f>
        <v>110</v>
      </c>
      <c r="G763" s="144">
        <f t="shared" si="75"/>
        <v>11000</v>
      </c>
      <c r="H763" s="4"/>
      <c r="I763" s="4"/>
      <c r="J763" s="4"/>
      <c r="K763" s="4"/>
    </row>
    <row r="764" spans="1:11" ht="13">
      <c r="A764" s="164"/>
      <c r="B764" s="4"/>
      <c r="C764" s="4" t="s">
        <v>484</v>
      </c>
      <c r="D764" s="146">
        <v>1</v>
      </c>
      <c r="E764" s="4" t="str">
        <f>VLOOKUP(C764,Master!$B$6:$N$1000,9,FALSE)</f>
        <v>porsi</v>
      </c>
      <c r="F764" s="158">
        <f>VLOOKUP(C764,Master!$B$6:$N$1000,10,FALSE)</f>
        <v>554.29</v>
      </c>
      <c r="G764" s="144">
        <f t="shared" si="75"/>
        <v>554.29</v>
      </c>
      <c r="H764" s="4"/>
      <c r="I764" s="4"/>
      <c r="J764" s="4"/>
      <c r="K764" s="4"/>
    </row>
    <row r="765" spans="1:11" ht="13">
      <c r="A765" s="164"/>
      <c r="B765" s="4"/>
      <c r="C765" s="4" t="s">
        <v>651</v>
      </c>
      <c r="D765" s="146">
        <v>20</v>
      </c>
      <c r="E765" s="4" t="str">
        <f>VLOOKUP(C765,Master!$B$6:$N$1000,9,FALSE)</f>
        <v>gr</v>
      </c>
      <c r="F765" s="158">
        <f>VLOOKUP(C765,Master!$B$6:$N$1000,10,FALSE)</f>
        <v>18</v>
      </c>
      <c r="G765" s="144">
        <f t="shared" si="75"/>
        <v>360</v>
      </c>
      <c r="H765" s="4"/>
      <c r="I765" s="4"/>
      <c r="J765" s="4"/>
      <c r="K765" s="4"/>
    </row>
    <row r="766" spans="1:11" ht="13">
      <c r="A766" s="164"/>
      <c r="B766" s="4"/>
      <c r="C766" s="4" t="s">
        <v>819</v>
      </c>
      <c r="D766" s="146">
        <v>2</v>
      </c>
      <c r="E766" s="4" t="str">
        <f>VLOOKUP(C766,Master!$B$6:$N$1000,9,FALSE)</f>
        <v>gr</v>
      </c>
      <c r="F766" s="158">
        <f>VLOOKUP(C766,Master!$B$6:$N$1000,10,FALSE)</f>
        <v>13</v>
      </c>
      <c r="G766" s="144">
        <f t="shared" si="75"/>
        <v>26</v>
      </c>
      <c r="H766" s="4"/>
      <c r="I766" s="4"/>
      <c r="J766" s="4"/>
      <c r="K766" s="4"/>
    </row>
    <row r="767" spans="1:11" ht="13">
      <c r="A767" s="164"/>
      <c r="B767" s="4"/>
      <c r="C767" s="4" t="s">
        <v>885</v>
      </c>
      <c r="D767" s="146">
        <v>1</v>
      </c>
      <c r="E767" s="4" t="str">
        <f>VLOOKUP(C767,Master!$B$6:$N$1000,9,FALSE)</f>
        <v>gr</v>
      </c>
      <c r="F767" s="158">
        <f>VLOOKUP(C767,Master!$B$6:$N$1000,10,FALSE)</f>
        <v>30.5</v>
      </c>
      <c r="G767" s="144">
        <f t="shared" si="75"/>
        <v>30.5</v>
      </c>
      <c r="H767" s="4"/>
      <c r="I767" s="4"/>
      <c r="J767" s="4"/>
      <c r="K767" s="4"/>
    </row>
    <row r="768" spans="1:11" ht="13">
      <c r="A768" s="164"/>
      <c r="B768" s="4"/>
      <c r="C768" s="4" t="s">
        <v>508</v>
      </c>
      <c r="D768" s="146">
        <v>1</v>
      </c>
      <c r="E768" s="4" t="str">
        <f>VLOOKUP(C768,Master!$B$6:$N$1000,9,FALSE)</f>
        <v>porsi</v>
      </c>
      <c r="F768" s="158">
        <f>VLOOKUP(C768,Master!$B$6:$N$1000,10,FALSE)</f>
        <v>640.91789473684219</v>
      </c>
      <c r="G768" s="144">
        <f t="shared" si="75"/>
        <v>640.91789473684219</v>
      </c>
      <c r="H768" s="4"/>
      <c r="I768" s="4"/>
      <c r="J768" s="4"/>
      <c r="K768" s="4"/>
    </row>
    <row r="769" spans="1:11" ht="13">
      <c r="A769" s="164"/>
      <c r="B769" s="4"/>
      <c r="C769" s="4" t="s">
        <v>1258</v>
      </c>
      <c r="D769" s="146">
        <v>3</v>
      </c>
      <c r="E769" s="4" t="str">
        <f>VLOOKUP(C769,Master!$B$6:$N$1000,9,FALSE)</f>
        <v>gr</v>
      </c>
      <c r="F769" s="158">
        <f>VLOOKUP(C769,Master!$B$6:$N$1000,10,FALSE)</f>
        <v>15</v>
      </c>
      <c r="G769" s="144">
        <f t="shared" si="75"/>
        <v>45</v>
      </c>
      <c r="H769" s="4"/>
      <c r="I769" s="4"/>
      <c r="J769" s="4"/>
      <c r="K769" s="4"/>
    </row>
    <row r="770" spans="1:11" ht="13">
      <c r="A770" s="164"/>
      <c r="B770" s="4"/>
      <c r="C770" s="4" t="s">
        <v>1261</v>
      </c>
      <c r="D770" s="146">
        <v>5</v>
      </c>
      <c r="E770" s="4" t="str">
        <f>VLOOKUP(C770,Master!$B$6:$N$1000,9,FALSE)</f>
        <v>gr</v>
      </c>
      <c r="F770" s="158">
        <f>VLOOKUP(C770,Master!$B$6:$N$1000,10,FALSE)</f>
        <v>100</v>
      </c>
      <c r="G770" s="144">
        <f t="shared" si="75"/>
        <v>500</v>
      </c>
      <c r="H770" s="4"/>
      <c r="I770" s="4"/>
      <c r="J770" s="4"/>
      <c r="K770" s="4"/>
    </row>
    <row r="771" spans="1:11" ht="13">
      <c r="A771" s="164"/>
      <c r="B771" s="4"/>
      <c r="C771" s="4"/>
      <c r="D771" s="4"/>
      <c r="E771" s="4"/>
      <c r="F771" s="4"/>
      <c r="G771" s="4"/>
      <c r="H771" s="4"/>
      <c r="I771" s="4"/>
      <c r="J771" s="4"/>
      <c r="K771" s="4"/>
    </row>
    <row r="772" spans="1:11" ht="13">
      <c r="A772" s="134" t="str">
        <f>VLOOKUP(B772,Master!$V$7:$W$1000,2,FALSE)</f>
        <v>B015</v>
      </c>
      <c r="B772" s="135" t="s">
        <v>939</v>
      </c>
      <c r="C772" s="153"/>
      <c r="D772" s="153"/>
      <c r="E772" s="154"/>
      <c r="F772" s="153"/>
      <c r="G772" s="138">
        <f>SUM(G773:G779)</f>
        <v>15017.488679517783</v>
      </c>
      <c r="H772" s="139">
        <v>0.1</v>
      </c>
      <c r="I772" s="138">
        <f>G772+(G772*H772)</f>
        <v>16519.237547469562</v>
      </c>
      <c r="J772" s="140" t="b">
        <v>0</v>
      </c>
      <c r="K772" s="140" t="b">
        <v>0</v>
      </c>
    </row>
    <row r="773" spans="1:11" ht="13">
      <c r="A773" s="164"/>
      <c r="B773" s="4"/>
      <c r="C773" s="4" t="s">
        <v>251</v>
      </c>
      <c r="D773" s="146">
        <v>1</v>
      </c>
      <c r="E773" s="4" t="str">
        <f>VLOOKUP(C773,Master!$B$6:$N$1000,9,FALSE)</f>
        <v>Porsi</v>
      </c>
      <c r="F773" s="158">
        <f>VLOOKUP(C773,Master!$B$6:$N$1000,10,FALSE)</f>
        <v>1093.9890710382513</v>
      </c>
      <c r="G773" s="144">
        <f t="shared" ref="G773:G779" si="76">D773*F773</f>
        <v>1093.9890710382513</v>
      </c>
      <c r="H773" s="4"/>
      <c r="I773" s="4"/>
      <c r="J773" s="4"/>
      <c r="K773" s="4"/>
    </row>
    <row r="774" spans="1:11" ht="13">
      <c r="A774" s="164"/>
      <c r="B774" s="4"/>
      <c r="C774" s="4" t="s">
        <v>484</v>
      </c>
      <c r="D774" s="146">
        <v>1</v>
      </c>
      <c r="E774" s="4" t="str">
        <f>VLOOKUP(C774,Master!$B$6:$N$1000,9,FALSE)</f>
        <v>porsi</v>
      </c>
      <c r="F774" s="158">
        <f>VLOOKUP(C774,Master!$B$6:$N$1000,10,FALSE)</f>
        <v>554.29</v>
      </c>
      <c r="G774" s="144">
        <f t="shared" si="76"/>
        <v>554.29</v>
      </c>
      <c r="H774" s="4"/>
      <c r="I774" s="4"/>
      <c r="J774" s="4"/>
      <c r="K774" s="4"/>
    </row>
    <row r="775" spans="1:11" ht="13">
      <c r="A775" s="164"/>
      <c r="B775" s="4"/>
      <c r="C775" s="4" t="s">
        <v>1256</v>
      </c>
      <c r="D775" s="146">
        <v>100</v>
      </c>
      <c r="E775" s="4" t="str">
        <f>VLOOKUP(C775,Master!$B$6:$N$1000,9,FALSE)</f>
        <v>gr</v>
      </c>
      <c r="F775" s="158">
        <f>VLOOKUP(C775,Master!$B$6:$N$1000,10,FALSE)</f>
        <v>110</v>
      </c>
      <c r="G775" s="144">
        <f t="shared" si="76"/>
        <v>11000</v>
      </c>
      <c r="H775" s="4"/>
      <c r="I775" s="4"/>
      <c r="J775" s="4"/>
      <c r="K775" s="4"/>
    </row>
    <row r="776" spans="1:11" ht="13">
      <c r="A776" s="164"/>
      <c r="B776" s="4"/>
      <c r="C776" s="4" t="s">
        <v>317</v>
      </c>
      <c r="D776" s="146">
        <v>1</v>
      </c>
      <c r="E776" s="4" t="str">
        <f>VLOOKUP(C776,Master!$B$6:$N$1000,9,FALSE)</f>
        <v>pcs</v>
      </c>
      <c r="F776" s="158">
        <f>VLOOKUP(C776,Master!$B$6:$N$1000,10,FALSE)</f>
        <v>766.22624736842113</v>
      </c>
      <c r="G776" s="144">
        <f t="shared" si="76"/>
        <v>766.22624736842113</v>
      </c>
      <c r="H776" s="4"/>
      <c r="I776" s="4"/>
      <c r="J776" s="4"/>
      <c r="K776" s="4"/>
    </row>
    <row r="777" spans="1:11" ht="13">
      <c r="A777" s="164"/>
      <c r="B777" s="4"/>
      <c r="C777" s="4" t="s">
        <v>412</v>
      </c>
      <c r="D777" s="146">
        <v>1</v>
      </c>
      <c r="E777" s="4" t="str">
        <f>VLOOKUP(C777,Master!$B$6:$N$1000,9,FALSE)</f>
        <v>porsi</v>
      </c>
      <c r="F777" s="158">
        <f>VLOOKUP(C777,Master!$B$6:$N$1000,10,FALSE)</f>
        <v>1057.9833611111112</v>
      </c>
      <c r="G777" s="144">
        <f t="shared" si="76"/>
        <v>1057.9833611111112</v>
      </c>
      <c r="H777" s="4"/>
      <c r="I777" s="4"/>
      <c r="J777" s="4"/>
      <c r="K777" s="4"/>
    </row>
    <row r="778" spans="1:11" ht="13">
      <c r="A778" s="164"/>
      <c r="B778" s="4"/>
      <c r="C778" s="4" t="s">
        <v>1258</v>
      </c>
      <c r="D778" s="146">
        <v>3</v>
      </c>
      <c r="E778" s="4" t="str">
        <f>VLOOKUP(C778,Master!$B$6:$N$1000,9,FALSE)</f>
        <v>gr</v>
      </c>
      <c r="F778" s="158">
        <f>VLOOKUP(C778,Master!$B$6:$N$1000,10,FALSE)</f>
        <v>15</v>
      </c>
      <c r="G778" s="144">
        <f t="shared" si="76"/>
        <v>45</v>
      </c>
      <c r="H778" s="4"/>
      <c r="I778" s="4"/>
      <c r="J778" s="4"/>
      <c r="K778" s="4"/>
    </row>
    <row r="779" spans="1:11" ht="13">
      <c r="A779" s="164"/>
      <c r="B779" s="4"/>
      <c r="C779" s="4" t="s">
        <v>1261</v>
      </c>
      <c r="D779" s="146">
        <v>5</v>
      </c>
      <c r="E779" s="4" t="str">
        <f>VLOOKUP(C779,Master!$B$6:$N$1000,9,FALSE)</f>
        <v>gr</v>
      </c>
      <c r="F779" s="158">
        <f>VLOOKUP(C779,Master!$B$6:$N$1000,10,FALSE)</f>
        <v>100</v>
      </c>
      <c r="G779" s="144">
        <f t="shared" si="76"/>
        <v>500</v>
      </c>
      <c r="H779" s="4"/>
      <c r="I779" s="4"/>
      <c r="J779" s="4"/>
      <c r="K779" s="4"/>
    </row>
    <row r="780" spans="1:11" ht="13">
      <c r="A780" s="164"/>
      <c r="B780" s="4"/>
      <c r="C780" s="4"/>
      <c r="D780" s="4"/>
      <c r="E780" s="4"/>
      <c r="F780" s="4"/>
      <c r="G780" s="4"/>
      <c r="H780" s="4"/>
      <c r="I780" s="4"/>
      <c r="J780" s="4"/>
      <c r="K780" s="4"/>
    </row>
    <row r="781" spans="1:11" ht="13">
      <c r="A781" s="134" t="str">
        <f>VLOOKUP(B781,Master!$V$7:$W$1000,2,FALSE)</f>
        <v>B016</v>
      </c>
      <c r="B781" s="135" t="s">
        <v>942</v>
      </c>
      <c r="C781" s="153"/>
      <c r="D781" s="153"/>
      <c r="E781" s="154"/>
      <c r="F781" s="153"/>
      <c r="G781" s="138">
        <f>SUM(G782:G790)</f>
        <v>15600.696965775092</v>
      </c>
      <c r="H781" s="139">
        <v>0.1</v>
      </c>
      <c r="I781" s="138">
        <f>G781+(G781*H781)</f>
        <v>17160.766662352602</v>
      </c>
      <c r="J781" s="140" t="b">
        <v>0</v>
      </c>
      <c r="K781" s="140" t="b">
        <v>0</v>
      </c>
    </row>
    <row r="782" spans="1:11" ht="13">
      <c r="A782" s="164"/>
      <c r="B782" s="4"/>
      <c r="C782" s="4" t="s">
        <v>251</v>
      </c>
      <c r="D782" s="146">
        <v>1</v>
      </c>
      <c r="E782" s="4" t="str">
        <f>VLOOKUP(C782,Master!$B$6:$N$1000,9,FALSE)</f>
        <v>Porsi</v>
      </c>
      <c r="F782" s="158">
        <f>VLOOKUP(C782,Master!$B$6:$N$1000,10,FALSE)</f>
        <v>1093.9890710382513</v>
      </c>
      <c r="G782" s="144">
        <f t="shared" ref="G782:G790" si="77">D782*F782</f>
        <v>1093.9890710382513</v>
      </c>
      <c r="H782" s="4"/>
      <c r="I782" s="4"/>
      <c r="J782" s="4"/>
      <c r="K782" s="4"/>
    </row>
    <row r="783" spans="1:11" ht="13">
      <c r="A783" s="164"/>
      <c r="B783" s="4"/>
      <c r="C783" s="4" t="s">
        <v>1267</v>
      </c>
      <c r="D783" s="146">
        <v>130</v>
      </c>
      <c r="E783" s="4" t="str">
        <f>VLOOKUP(C783,Master!$B$6:$N$1000,9,FALSE)</f>
        <v>gr</v>
      </c>
      <c r="F783" s="158">
        <f>VLOOKUP(C783,Master!$B$6:$N$1000,10,FALSE)</f>
        <v>95</v>
      </c>
      <c r="G783" s="144">
        <f t="shared" si="77"/>
        <v>12350</v>
      </c>
      <c r="H783" s="4"/>
      <c r="I783" s="4"/>
      <c r="J783" s="4"/>
      <c r="K783" s="4"/>
    </row>
    <row r="784" spans="1:11" ht="13">
      <c r="A784" s="164"/>
      <c r="B784" s="4"/>
      <c r="C784" s="4" t="s">
        <v>484</v>
      </c>
      <c r="D784" s="146">
        <v>1</v>
      </c>
      <c r="E784" s="4" t="str">
        <f>VLOOKUP(C784,Master!$B$6:$N$1000,9,FALSE)</f>
        <v>porsi</v>
      </c>
      <c r="F784" s="158">
        <f>VLOOKUP(C784,Master!$B$6:$N$1000,10,FALSE)</f>
        <v>554.29</v>
      </c>
      <c r="G784" s="144">
        <f t="shared" si="77"/>
        <v>554.29</v>
      </c>
      <c r="H784" s="4"/>
      <c r="I784" s="4"/>
      <c r="J784" s="4"/>
      <c r="K784" s="4"/>
    </row>
    <row r="785" spans="1:11" ht="13">
      <c r="A785" s="164"/>
      <c r="B785" s="4"/>
      <c r="C785" s="4" t="s">
        <v>651</v>
      </c>
      <c r="D785" s="146">
        <v>20</v>
      </c>
      <c r="E785" s="4" t="str">
        <f>VLOOKUP(C785,Master!$B$6:$N$1000,9,FALSE)</f>
        <v>gr</v>
      </c>
      <c r="F785" s="158">
        <f>VLOOKUP(C785,Master!$B$6:$N$1000,10,FALSE)</f>
        <v>18</v>
      </c>
      <c r="G785" s="144">
        <f t="shared" si="77"/>
        <v>360</v>
      </c>
      <c r="H785" s="4"/>
      <c r="I785" s="4"/>
      <c r="J785" s="4"/>
      <c r="K785" s="4"/>
    </row>
    <row r="786" spans="1:11" ht="13">
      <c r="A786" s="164"/>
      <c r="B786" s="4"/>
      <c r="C786" s="4" t="s">
        <v>819</v>
      </c>
      <c r="D786" s="146">
        <v>2</v>
      </c>
      <c r="E786" s="4" t="str">
        <f>VLOOKUP(C786,Master!$B$6:$N$1000,9,FALSE)</f>
        <v>gr</v>
      </c>
      <c r="F786" s="158">
        <f>VLOOKUP(C786,Master!$B$6:$N$1000,10,FALSE)</f>
        <v>13</v>
      </c>
      <c r="G786" s="144">
        <f t="shared" si="77"/>
        <v>26</v>
      </c>
      <c r="H786" s="4"/>
      <c r="I786" s="4"/>
      <c r="J786" s="4"/>
      <c r="K786" s="4"/>
    </row>
    <row r="787" spans="1:11" ht="13">
      <c r="A787" s="164"/>
      <c r="B787" s="4"/>
      <c r="C787" s="4" t="s">
        <v>885</v>
      </c>
      <c r="D787" s="146">
        <v>1</v>
      </c>
      <c r="E787" s="4" t="str">
        <f>VLOOKUP(C787,Master!$B$6:$N$1000,9,FALSE)</f>
        <v>gr</v>
      </c>
      <c r="F787" s="158">
        <f>VLOOKUP(C787,Master!$B$6:$N$1000,10,FALSE)</f>
        <v>30.5</v>
      </c>
      <c r="G787" s="144">
        <f t="shared" si="77"/>
        <v>30.5</v>
      </c>
      <c r="H787" s="4"/>
      <c r="I787" s="4"/>
      <c r="J787" s="4"/>
      <c r="K787" s="4"/>
    </row>
    <row r="788" spans="1:11" ht="13">
      <c r="A788" s="164"/>
      <c r="B788" s="4"/>
      <c r="C788" s="4" t="s">
        <v>508</v>
      </c>
      <c r="D788" s="146">
        <v>1</v>
      </c>
      <c r="E788" s="4" t="str">
        <f>VLOOKUP(C788,Master!$B$6:$N$1000,9,FALSE)</f>
        <v>porsi</v>
      </c>
      <c r="F788" s="158">
        <f>VLOOKUP(C788,Master!$B$6:$N$1000,10,FALSE)</f>
        <v>640.91789473684219</v>
      </c>
      <c r="G788" s="144">
        <f t="shared" si="77"/>
        <v>640.91789473684219</v>
      </c>
      <c r="H788" s="4"/>
      <c r="I788" s="4"/>
      <c r="J788" s="4"/>
      <c r="K788" s="4"/>
    </row>
    <row r="789" spans="1:11" ht="13">
      <c r="A789" s="164"/>
      <c r="B789" s="4"/>
      <c r="C789" s="4" t="s">
        <v>1258</v>
      </c>
      <c r="D789" s="146">
        <v>3</v>
      </c>
      <c r="E789" s="4" t="str">
        <f>VLOOKUP(C789,Master!$B$6:$N$1000,9,FALSE)</f>
        <v>gr</v>
      </c>
      <c r="F789" s="158">
        <f>VLOOKUP(C789,Master!$B$6:$N$1000,10,FALSE)</f>
        <v>15</v>
      </c>
      <c r="G789" s="144">
        <f t="shared" si="77"/>
        <v>45</v>
      </c>
      <c r="H789" s="4"/>
      <c r="I789" s="4"/>
      <c r="J789" s="4"/>
      <c r="K789" s="4"/>
    </row>
    <row r="790" spans="1:11" ht="13">
      <c r="A790" s="164"/>
      <c r="B790" s="4"/>
      <c r="C790" s="4" t="s">
        <v>1261</v>
      </c>
      <c r="D790" s="146">
        <v>5</v>
      </c>
      <c r="E790" s="4" t="str">
        <f>VLOOKUP(C790,Master!$B$6:$N$1000,9,FALSE)</f>
        <v>gr</v>
      </c>
      <c r="F790" s="158">
        <f>VLOOKUP(C790,Master!$B$6:$N$1000,10,FALSE)</f>
        <v>100</v>
      </c>
      <c r="G790" s="144">
        <f t="shared" si="77"/>
        <v>500</v>
      </c>
      <c r="H790" s="4"/>
      <c r="I790" s="4"/>
      <c r="J790" s="4"/>
      <c r="K790" s="4"/>
    </row>
    <row r="791" spans="1:11" ht="13">
      <c r="A791" s="164"/>
      <c r="B791" s="4"/>
      <c r="C791" s="4"/>
      <c r="D791" s="4"/>
      <c r="E791" s="4"/>
      <c r="F791" s="4"/>
      <c r="G791" s="4"/>
      <c r="H791" s="4"/>
      <c r="I791" s="4"/>
      <c r="J791" s="4"/>
      <c r="K791" s="4"/>
    </row>
    <row r="792" spans="1:11" ht="13">
      <c r="A792" s="134" t="str">
        <f>VLOOKUP(B792,Master!$V$7:$W$1000,2,FALSE)</f>
        <v>B017</v>
      </c>
      <c r="B792" s="135" t="s">
        <v>945</v>
      </c>
      <c r="C792" s="153"/>
      <c r="D792" s="153"/>
      <c r="E792" s="154"/>
      <c r="F792" s="153"/>
      <c r="G792" s="138">
        <f>SUM(G793:G799)</f>
        <v>16367.488679517783</v>
      </c>
      <c r="H792" s="139">
        <v>0.1</v>
      </c>
      <c r="I792" s="138">
        <f>G792+(G792*H792)</f>
        <v>18004.237547469562</v>
      </c>
      <c r="J792" s="140" t="b">
        <v>0</v>
      </c>
      <c r="K792" s="140" t="b">
        <v>0</v>
      </c>
    </row>
    <row r="793" spans="1:11" ht="13">
      <c r="A793" s="164"/>
      <c r="B793" s="4"/>
      <c r="C793" s="4" t="s">
        <v>251</v>
      </c>
      <c r="D793" s="146">
        <v>1</v>
      </c>
      <c r="E793" s="4" t="str">
        <f>VLOOKUP(C793,Master!$B$6:$N$1000,9,FALSE)</f>
        <v>Porsi</v>
      </c>
      <c r="F793" s="158">
        <f>VLOOKUP(C793,Master!$B$6:$N$1000,10,FALSE)</f>
        <v>1093.9890710382513</v>
      </c>
      <c r="G793" s="144">
        <f t="shared" ref="G793:G799" si="78">D793*F793</f>
        <v>1093.9890710382513</v>
      </c>
      <c r="H793" s="4"/>
      <c r="I793" s="4"/>
      <c r="J793" s="4"/>
      <c r="K793" s="4"/>
    </row>
    <row r="794" spans="1:11" ht="13">
      <c r="A794" s="164"/>
      <c r="B794" s="4"/>
      <c r="C794" s="4" t="s">
        <v>484</v>
      </c>
      <c r="D794" s="146">
        <v>1</v>
      </c>
      <c r="E794" s="4" t="str">
        <f>VLOOKUP(C794,Master!$B$6:$N$1000,9,FALSE)</f>
        <v>porsi</v>
      </c>
      <c r="F794" s="158">
        <f>VLOOKUP(C794,Master!$B$6:$N$1000,10,FALSE)</f>
        <v>554.29</v>
      </c>
      <c r="G794" s="144">
        <f t="shared" si="78"/>
        <v>554.29</v>
      </c>
      <c r="H794" s="4"/>
      <c r="I794" s="4"/>
      <c r="J794" s="4"/>
      <c r="K794" s="4"/>
    </row>
    <row r="795" spans="1:11" ht="13">
      <c r="A795" s="164"/>
      <c r="B795" s="4"/>
      <c r="C795" s="4" t="s">
        <v>1267</v>
      </c>
      <c r="D795" s="146">
        <v>130</v>
      </c>
      <c r="E795" s="4" t="str">
        <f>VLOOKUP(C795,Master!$B$6:$N$1000,9,FALSE)</f>
        <v>gr</v>
      </c>
      <c r="F795" s="158">
        <f>VLOOKUP(C795,Master!$B$6:$N$1000,10,FALSE)</f>
        <v>95</v>
      </c>
      <c r="G795" s="144">
        <f t="shared" si="78"/>
        <v>12350</v>
      </c>
      <c r="H795" s="4"/>
      <c r="I795" s="4"/>
      <c r="J795" s="4"/>
      <c r="K795" s="4"/>
    </row>
    <row r="796" spans="1:11" ht="13">
      <c r="A796" s="164"/>
      <c r="B796" s="4"/>
      <c r="C796" s="4" t="s">
        <v>317</v>
      </c>
      <c r="D796" s="146">
        <v>1</v>
      </c>
      <c r="E796" s="4" t="str">
        <f>VLOOKUP(C796,Master!$B$6:$N$1000,9,FALSE)</f>
        <v>pcs</v>
      </c>
      <c r="F796" s="158">
        <f>VLOOKUP(C796,Master!$B$6:$N$1000,10,FALSE)</f>
        <v>766.22624736842113</v>
      </c>
      <c r="G796" s="144">
        <f t="shared" si="78"/>
        <v>766.22624736842113</v>
      </c>
      <c r="H796" s="4"/>
      <c r="I796" s="4"/>
      <c r="J796" s="4"/>
      <c r="K796" s="4"/>
    </row>
    <row r="797" spans="1:11" ht="13">
      <c r="A797" s="164"/>
      <c r="B797" s="4"/>
      <c r="C797" s="4" t="s">
        <v>412</v>
      </c>
      <c r="D797" s="146">
        <v>1</v>
      </c>
      <c r="E797" s="4" t="str">
        <f>VLOOKUP(C797,Master!$B$6:$N$1000,9,FALSE)</f>
        <v>porsi</v>
      </c>
      <c r="F797" s="158">
        <f>VLOOKUP(C797,Master!$B$6:$N$1000,10,FALSE)</f>
        <v>1057.9833611111112</v>
      </c>
      <c r="G797" s="144">
        <f t="shared" si="78"/>
        <v>1057.9833611111112</v>
      </c>
      <c r="H797" s="4"/>
      <c r="I797" s="4"/>
      <c r="J797" s="4"/>
      <c r="K797" s="4"/>
    </row>
    <row r="798" spans="1:11" ht="13">
      <c r="A798" s="164"/>
      <c r="B798" s="4"/>
      <c r="C798" s="4" t="s">
        <v>1258</v>
      </c>
      <c r="D798" s="146">
        <v>3</v>
      </c>
      <c r="E798" s="4" t="str">
        <f>VLOOKUP(C798,Master!$B$6:$N$1000,9,FALSE)</f>
        <v>gr</v>
      </c>
      <c r="F798" s="158">
        <f>VLOOKUP(C798,Master!$B$6:$N$1000,10,FALSE)</f>
        <v>15</v>
      </c>
      <c r="G798" s="144">
        <f t="shared" si="78"/>
        <v>45</v>
      </c>
      <c r="H798" s="4"/>
      <c r="I798" s="4"/>
      <c r="J798" s="4"/>
      <c r="K798" s="4"/>
    </row>
    <row r="799" spans="1:11" ht="13">
      <c r="A799" s="164"/>
      <c r="B799" s="4"/>
      <c r="C799" s="4" t="s">
        <v>1261</v>
      </c>
      <c r="D799" s="146">
        <v>5</v>
      </c>
      <c r="E799" s="4" t="str">
        <f>VLOOKUP(C799,Master!$B$6:$N$1000,9,FALSE)</f>
        <v>gr</v>
      </c>
      <c r="F799" s="158">
        <f>VLOOKUP(C799,Master!$B$6:$N$1000,10,FALSE)</f>
        <v>100</v>
      </c>
      <c r="G799" s="144">
        <f t="shared" si="78"/>
        <v>500</v>
      </c>
      <c r="H799" s="4"/>
      <c r="I799" s="4"/>
      <c r="J799" s="4"/>
      <c r="K799" s="4"/>
    </row>
    <row r="800" spans="1:11" ht="13">
      <c r="A800" s="164"/>
      <c r="B800" s="4"/>
      <c r="C800" s="4"/>
      <c r="D800" s="4"/>
      <c r="E800" s="4"/>
      <c r="F800" s="4"/>
      <c r="G800" s="4"/>
      <c r="H800" s="4"/>
      <c r="I800" s="4"/>
      <c r="J800" s="4"/>
      <c r="K800" s="4"/>
    </row>
    <row r="801" spans="1:11" ht="13">
      <c r="A801" s="134" t="str">
        <f>VLOOKUP(B801,Master!$V$7:$W$1000,2,FALSE)</f>
        <v>B018</v>
      </c>
      <c r="B801" s="135" t="s">
        <v>948</v>
      </c>
      <c r="C801" s="153"/>
      <c r="D801" s="153"/>
      <c r="E801" s="154"/>
      <c r="F801" s="153"/>
      <c r="G801" s="138">
        <f>SUM(G802:G814)</f>
        <v>6417.1709551656932</v>
      </c>
      <c r="H801" s="139">
        <v>0.1</v>
      </c>
      <c r="I801" s="138">
        <f>G801+(G801*H801)</f>
        <v>7058.8880506822625</v>
      </c>
      <c r="J801" s="140" t="b">
        <v>0</v>
      </c>
      <c r="K801" s="140" t="b">
        <v>0</v>
      </c>
    </row>
    <row r="802" spans="1:11" ht="13">
      <c r="A802" s="164"/>
      <c r="B802" s="4"/>
      <c r="C802" s="4" t="s">
        <v>488</v>
      </c>
      <c r="D802" s="146">
        <v>1</v>
      </c>
      <c r="E802" s="4" t="str">
        <f>VLOOKUP(C802,Master!$B$6:$N$1000,9,FALSE)</f>
        <v>porsi</v>
      </c>
      <c r="F802" s="158">
        <f>VLOOKUP(C802,Master!$B$6:$N$1000,10,FALSE)</f>
        <v>1892.814814814815</v>
      </c>
      <c r="G802" s="144">
        <f t="shared" ref="G802:G814" si="79">D802*F802</f>
        <v>1892.814814814815</v>
      </c>
      <c r="H802" s="4"/>
      <c r="I802" s="4"/>
      <c r="J802" s="4"/>
      <c r="K802" s="4"/>
    </row>
    <row r="803" spans="1:11" ht="13">
      <c r="A803" s="164"/>
      <c r="B803" s="4"/>
      <c r="C803" s="4" t="s">
        <v>659</v>
      </c>
      <c r="D803" s="146">
        <v>1</v>
      </c>
      <c r="E803" s="4" t="str">
        <f>VLOOKUP(C803,Master!$B$6:$N$1000,9,FALSE)</f>
        <v>pcs</v>
      </c>
      <c r="F803" s="158">
        <f>VLOOKUP(C803,Master!$B$6:$N$1000,10,FALSE)</f>
        <v>1866.6666666666667</v>
      </c>
      <c r="G803" s="144">
        <f t="shared" si="79"/>
        <v>1866.6666666666667</v>
      </c>
      <c r="H803" s="4"/>
      <c r="I803" s="4"/>
      <c r="J803" s="4"/>
      <c r="K803" s="4"/>
    </row>
    <row r="804" spans="1:11" ht="13">
      <c r="A804" s="164"/>
      <c r="B804" s="4"/>
      <c r="C804" s="4" t="s">
        <v>259</v>
      </c>
      <c r="D804" s="146">
        <v>1</v>
      </c>
      <c r="E804" s="4" t="str">
        <f>VLOOKUP(C804,Master!$B$6:$N$1000,9,FALSE)</f>
        <v>gr</v>
      </c>
      <c r="F804" s="158">
        <f>VLOOKUP(C804,Master!$B$6:$N$1000,10,FALSE)</f>
        <v>1114.5894736842106</v>
      </c>
      <c r="G804" s="144">
        <f t="shared" si="79"/>
        <v>1114.5894736842106</v>
      </c>
      <c r="H804" s="4"/>
      <c r="I804" s="4"/>
      <c r="J804" s="4"/>
      <c r="K804" s="4"/>
    </row>
    <row r="805" spans="1:11" ht="13">
      <c r="A805" s="164"/>
      <c r="B805" s="4"/>
      <c r="C805" s="4" t="s">
        <v>907</v>
      </c>
      <c r="D805" s="146">
        <v>20</v>
      </c>
      <c r="E805" s="4" t="str">
        <f>VLOOKUP(C805,Master!$B$6:$N$1000,9,FALSE)</f>
        <v>gr</v>
      </c>
      <c r="F805" s="158">
        <f>VLOOKUP(C805,Master!$B$6:$N$1000,10,FALSE)</f>
        <v>20</v>
      </c>
      <c r="G805" s="144">
        <f t="shared" si="79"/>
        <v>400</v>
      </c>
      <c r="H805" s="4"/>
      <c r="I805" s="4"/>
      <c r="J805" s="4"/>
      <c r="K805" s="4"/>
    </row>
    <row r="806" spans="1:11" ht="13">
      <c r="A806" s="164"/>
      <c r="B806" s="4"/>
      <c r="C806" s="4" t="s">
        <v>712</v>
      </c>
      <c r="D806" s="146">
        <v>2</v>
      </c>
      <c r="E806" s="4" t="str">
        <f>VLOOKUP(C806,Master!$B$6:$N$1000,9,FALSE)</f>
        <v>gr</v>
      </c>
      <c r="F806" s="158">
        <f>VLOOKUP(C806,Master!$B$6:$N$1000,10,FALSE)</f>
        <v>40</v>
      </c>
      <c r="G806" s="144">
        <f t="shared" si="79"/>
        <v>80</v>
      </c>
      <c r="H806" s="4"/>
      <c r="I806" s="4"/>
      <c r="J806" s="4"/>
      <c r="K806" s="4"/>
    </row>
    <row r="807" spans="1:11" ht="13">
      <c r="A807" s="164"/>
      <c r="B807" s="4"/>
      <c r="C807" s="4" t="s">
        <v>1150</v>
      </c>
      <c r="D807" s="146">
        <v>1</v>
      </c>
      <c r="E807" s="4" t="str">
        <f>VLOOKUP(C807,Master!$B$6:$N$1000,9,FALSE)</f>
        <v>gr</v>
      </c>
      <c r="F807" s="158">
        <f>VLOOKUP(C807,Master!$B$6:$N$1000,10,FALSE)</f>
        <v>75</v>
      </c>
      <c r="G807" s="144">
        <f t="shared" si="79"/>
        <v>75</v>
      </c>
      <c r="H807" s="4"/>
      <c r="I807" s="4"/>
      <c r="J807" s="4"/>
      <c r="K807" s="4"/>
    </row>
    <row r="808" spans="1:11" ht="13">
      <c r="A808" s="164"/>
      <c r="B808" s="4"/>
      <c r="C808" s="4" t="s">
        <v>1064</v>
      </c>
      <c r="D808" s="146">
        <v>3</v>
      </c>
      <c r="E808" s="4" t="str">
        <f>VLOOKUP(C808,Master!$B$6:$N$1000,9,FALSE)</f>
        <v>gr</v>
      </c>
      <c r="F808" s="158">
        <f>VLOOKUP(C808,Master!$B$6:$N$1000,10,FALSE)</f>
        <v>37.700000000000003</v>
      </c>
      <c r="G808" s="144">
        <f t="shared" si="79"/>
        <v>113.10000000000001</v>
      </c>
      <c r="H808" s="4"/>
      <c r="I808" s="4"/>
      <c r="J808" s="4"/>
      <c r="K808" s="4"/>
    </row>
    <row r="809" spans="1:11" ht="13">
      <c r="A809" s="164"/>
      <c r="B809" s="4"/>
      <c r="C809" s="4" t="s">
        <v>819</v>
      </c>
      <c r="D809" s="146">
        <v>5</v>
      </c>
      <c r="E809" s="4" t="str">
        <f>VLOOKUP(C809,Master!$B$6:$N$1000,9,FALSE)</f>
        <v>gr</v>
      </c>
      <c r="F809" s="158">
        <f>VLOOKUP(C809,Master!$B$6:$N$1000,10,FALSE)</f>
        <v>13</v>
      </c>
      <c r="G809" s="144">
        <f t="shared" si="79"/>
        <v>65</v>
      </c>
      <c r="H809" s="4"/>
      <c r="I809" s="4"/>
      <c r="J809" s="4"/>
      <c r="K809" s="4"/>
    </row>
    <row r="810" spans="1:11" ht="13">
      <c r="A810" s="164"/>
      <c r="B810" s="4"/>
      <c r="C810" s="4" t="s">
        <v>1140</v>
      </c>
      <c r="D810" s="146">
        <v>3</v>
      </c>
      <c r="E810" s="4" t="str">
        <f>VLOOKUP(C810,Master!$B$6:$N$1000,9,FALSE)</f>
        <v>gr</v>
      </c>
      <c r="F810" s="158">
        <f>VLOOKUP(C810,Master!$B$6:$N$1000,10,FALSE)</f>
        <v>11</v>
      </c>
      <c r="G810" s="144">
        <f t="shared" si="79"/>
        <v>33</v>
      </c>
      <c r="H810" s="4"/>
      <c r="I810" s="4"/>
      <c r="J810" s="4"/>
      <c r="K810" s="4"/>
    </row>
    <row r="811" spans="1:11" ht="13">
      <c r="A811" s="164"/>
      <c r="B811" s="4"/>
      <c r="C811" s="4" t="s">
        <v>2043</v>
      </c>
      <c r="D811" s="146">
        <v>5</v>
      </c>
      <c r="E811" s="4" t="str">
        <f>VLOOKUP(C811,Master!$B$6:$N$1000,9,FALSE)</f>
        <v>gr</v>
      </c>
      <c r="F811" s="158">
        <f>VLOOKUP(C811,Master!$B$6:$N$1000,10,FALSE)</f>
        <v>38.5</v>
      </c>
      <c r="G811" s="144">
        <f t="shared" si="79"/>
        <v>192.5</v>
      </c>
      <c r="H811" s="4"/>
      <c r="I811" s="4"/>
      <c r="J811" s="4"/>
      <c r="K811" s="4"/>
    </row>
    <row r="812" spans="1:11" ht="13">
      <c r="A812" s="164"/>
      <c r="B812" s="4"/>
      <c r="C812" s="4" t="s">
        <v>1000</v>
      </c>
      <c r="D812" s="146">
        <v>5</v>
      </c>
      <c r="E812" s="4" t="str">
        <f>VLOOKUP(C812,Master!$B$6:$N$1000,9,FALSE)</f>
        <v>gr</v>
      </c>
      <c r="F812" s="158">
        <f>VLOOKUP(C812,Master!$B$6:$N$1000,10,FALSE)</f>
        <v>44.5</v>
      </c>
      <c r="G812" s="144">
        <f t="shared" si="79"/>
        <v>222.5</v>
      </c>
      <c r="H812" s="4"/>
      <c r="I812" s="4"/>
      <c r="J812" s="4"/>
      <c r="K812" s="4"/>
    </row>
    <row r="813" spans="1:11" ht="13">
      <c r="A813" s="164"/>
      <c r="B813" s="4"/>
      <c r="C813" s="4" t="s">
        <v>799</v>
      </c>
      <c r="D813" s="146">
        <v>3</v>
      </c>
      <c r="E813" s="4" t="str">
        <f>VLOOKUP(C813,Master!$B$6:$N$1000,9,FALSE)</f>
        <v>gr</v>
      </c>
      <c r="F813" s="158">
        <f>VLOOKUP(C813,Master!$B$6:$N$1000,10,FALSE)</f>
        <v>90</v>
      </c>
      <c r="G813" s="144">
        <f t="shared" si="79"/>
        <v>270</v>
      </c>
      <c r="H813" s="4"/>
      <c r="I813" s="4"/>
      <c r="J813" s="4"/>
      <c r="K813" s="4"/>
    </row>
    <row r="814" spans="1:11" ht="13">
      <c r="A814" s="164"/>
      <c r="B814" s="4"/>
      <c r="C814" s="4" t="s">
        <v>931</v>
      </c>
      <c r="D814" s="146">
        <v>5</v>
      </c>
      <c r="E814" s="4" t="str">
        <f>VLOOKUP(C814,Master!$B$6:$N$1000,9,FALSE)</f>
        <v>gr</v>
      </c>
      <c r="F814" s="158">
        <f>VLOOKUP(C814,Master!$B$6:$N$1000,10,FALSE)</f>
        <v>18.399999999999999</v>
      </c>
      <c r="G814" s="144">
        <f t="shared" si="79"/>
        <v>92</v>
      </c>
      <c r="H814" s="4"/>
      <c r="I814" s="4"/>
      <c r="J814" s="4"/>
      <c r="K814" s="4"/>
    </row>
    <row r="815" spans="1:11" ht="13">
      <c r="A815" s="164"/>
      <c r="B815" s="4"/>
      <c r="C815" s="4"/>
      <c r="D815" s="4"/>
      <c r="E815" s="4"/>
      <c r="F815" s="4"/>
      <c r="G815" s="4"/>
      <c r="H815" s="4"/>
      <c r="I815" s="4"/>
      <c r="J815" s="4"/>
      <c r="K815" s="4"/>
    </row>
    <row r="816" spans="1:11" ht="13">
      <c r="A816" s="134" t="str">
        <f>VLOOKUP(B816,Master!$V$7:$W$1000,2,FALSE)</f>
        <v>B019</v>
      </c>
      <c r="B816" s="135" t="s">
        <v>951</v>
      </c>
      <c r="C816" s="153"/>
      <c r="D816" s="153"/>
      <c r="E816" s="154"/>
      <c r="F816" s="153"/>
      <c r="G816" s="138">
        <f>SUM(G817:G829)</f>
        <v>6417.1709551656932</v>
      </c>
      <c r="H816" s="139">
        <v>0.1</v>
      </c>
      <c r="I816" s="138">
        <f>G816+(G816*H816)</f>
        <v>7058.8880506822625</v>
      </c>
      <c r="J816" s="140" t="b">
        <v>0</v>
      </c>
      <c r="K816" s="140" t="b">
        <v>0</v>
      </c>
    </row>
    <row r="817" spans="1:11" ht="13">
      <c r="A817" s="164"/>
      <c r="B817" s="4"/>
      <c r="C817" s="4" t="s">
        <v>488</v>
      </c>
      <c r="D817" s="146">
        <v>1</v>
      </c>
      <c r="E817" s="4" t="str">
        <f>VLOOKUP(C817,Master!$B$6:$N$1000,9,FALSE)</f>
        <v>porsi</v>
      </c>
      <c r="F817" s="158">
        <f>VLOOKUP(C817,Master!$B$6:$N$1000,10,FALSE)</f>
        <v>1892.814814814815</v>
      </c>
      <c r="G817" s="144">
        <f t="shared" ref="G817:G829" si="80">D817*F817</f>
        <v>1892.814814814815</v>
      </c>
      <c r="H817" s="4"/>
      <c r="I817" s="4"/>
      <c r="J817" s="4"/>
      <c r="K817" s="4"/>
    </row>
    <row r="818" spans="1:11" ht="13">
      <c r="A818" s="164"/>
      <c r="B818" s="4"/>
      <c r="C818" s="4" t="s">
        <v>659</v>
      </c>
      <c r="D818" s="146">
        <v>1</v>
      </c>
      <c r="E818" s="4" t="str">
        <f>VLOOKUP(C818,Master!$B$6:$N$1000,9,FALSE)</f>
        <v>pcs</v>
      </c>
      <c r="F818" s="158">
        <f>VLOOKUP(C818,Master!$B$6:$N$1000,10,FALSE)</f>
        <v>1866.6666666666667</v>
      </c>
      <c r="G818" s="144">
        <f t="shared" si="80"/>
        <v>1866.6666666666667</v>
      </c>
      <c r="H818" s="4"/>
      <c r="I818" s="4"/>
      <c r="J818" s="4"/>
      <c r="K818" s="4"/>
    </row>
    <row r="819" spans="1:11" ht="13">
      <c r="A819" s="164"/>
      <c r="B819" s="4"/>
      <c r="C819" s="4" t="s">
        <v>259</v>
      </c>
      <c r="D819" s="146">
        <v>1</v>
      </c>
      <c r="E819" s="4" t="str">
        <f>VLOOKUP(C819,Master!$B$6:$N$1000,9,FALSE)</f>
        <v>gr</v>
      </c>
      <c r="F819" s="158">
        <f>VLOOKUP(C819,Master!$B$6:$N$1000,10,FALSE)</f>
        <v>1114.5894736842106</v>
      </c>
      <c r="G819" s="144">
        <f t="shared" si="80"/>
        <v>1114.5894736842106</v>
      </c>
      <c r="H819" s="4"/>
      <c r="I819" s="4"/>
      <c r="J819" s="4"/>
      <c r="K819" s="4"/>
    </row>
    <row r="820" spans="1:11" ht="13">
      <c r="A820" s="164"/>
      <c r="B820" s="4"/>
      <c r="C820" s="4" t="s">
        <v>907</v>
      </c>
      <c r="D820" s="146">
        <v>20</v>
      </c>
      <c r="E820" s="4" t="str">
        <f>VLOOKUP(C820,Master!$B$6:$N$1000,9,FALSE)</f>
        <v>gr</v>
      </c>
      <c r="F820" s="158">
        <f>VLOOKUP(C820,Master!$B$6:$N$1000,10,FALSE)</f>
        <v>20</v>
      </c>
      <c r="G820" s="144">
        <f t="shared" si="80"/>
        <v>400</v>
      </c>
      <c r="H820" s="4"/>
      <c r="I820" s="4"/>
      <c r="J820" s="4"/>
      <c r="K820" s="4"/>
    </row>
    <row r="821" spans="1:11" ht="13">
      <c r="A821" s="164"/>
      <c r="B821" s="4"/>
      <c r="C821" s="4" t="s">
        <v>712</v>
      </c>
      <c r="D821" s="146">
        <v>2</v>
      </c>
      <c r="E821" s="4" t="str">
        <f>VLOOKUP(C821,Master!$B$6:$N$1000,9,FALSE)</f>
        <v>gr</v>
      </c>
      <c r="F821" s="158">
        <f>VLOOKUP(C821,Master!$B$6:$N$1000,10,FALSE)</f>
        <v>40</v>
      </c>
      <c r="G821" s="144">
        <f t="shared" si="80"/>
        <v>80</v>
      </c>
      <c r="H821" s="4"/>
      <c r="I821" s="4"/>
      <c r="J821" s="4"/>
      <c r="K821" s="4"/>
    </row>
    <row r="822" spans="1:11" ht="13">
      <c r="A822" s="164"/>
      <c r="B822" s="4"/>
      <c r="C822" s="4" t="s">
        <v>1150</v>
      </c>
      <c r="D822" s="146">
        <v>1</v>
      </c>
      <c r="E822" s="4" t="str">
        <f>VLOOKUP(C822,Master!$B$6:$N$1000,9,FALSE)</f>
        <v>gr</v>
      </c>
      <c r="F822" s="158">
        <f>VLOOKUP(C822,Master!$B$6:$N$1000,10,FALSE)</f>
        <v>75</v>
      </c>
      <c r="G822" s="144">
        <f t="shared" si="80"/>
        <v>75</v>
      </c>
      <c r="H822" s="4"/>
      <c r="I822" s="4"/>
      <c r="J822" s="4"/>
      <c r="K822" s="4"/>
    </row>
    <row r="823" spans="1:11" ht="13">
      <c r="A823" s="164"/>
      <c r="B823" s="4"/>
      <c r="C823" s="4" t="s">
        <v>1064</v>
      </c>
      <c r="D823" s="146">
        <v>3</v>
      </c>
      <c r="E823" s="4" t="str">
        <f>VLOOKUP(C823,Master!$B$6:$N$1000,9,FALSE)</f>
        <v>gr</v>
      </c>
      <c r="F823" s="158">
        <f>VLOOKUP(C823,Master!$B$6:$N$1000,10,FALSE)</f>
        <v>37.700000000000003</v>
      </c>
      <c r="G823" s="144">
        <f t="shared" si="80"/>
        <v>113.10000000000001</v>
      </c>
      <c r="H823" s="4"/>
      <c r="I823" s="4"/>
      <c r="J823" s="4"/>
      <c r="K823" s="4"/>
    </row>
    <row r="824" spans="1:11" ht="13">
      <c r="A824" s="164"/>
      <c r="B824" s="4"/>
      <c r="C824" s="4" t="s">
        <v>819</v>
      </c>
      <c r="D824" s="146">
        <v>5</v>
      </c>
      <c r="E824" s="4" t="str">
        <f>VLOOKUP(C824,Master!$B$6:$N$1000,9,FALSE)</f>
        <v>gr</v>
      </c>
      <c r="F824" s="158">
        <f>VLOOKUP(C824,Master!$B$6:$N$1000,10,FALSE)</f>
        <v>13</v>
      </c>
      <c r="G824" s="144">
        <f t="shared" si="80"/>
        <v>65</v>
      </c>
      <c r="H824" s="4"/>
      <c r="I824" s="4"/>
      <c r="J824" s="4"/>
      <c r="K824" s="4"/>
    </row>
    <row r="825" spans="1:11" ht="13">
      <c r="A825" s="164"/>
      <c r="B825" s="4"/>
      <c r="C825" s="4" t="s">
        <v>1140</v>
      </c>
      <c r="D825" s="146">
        <v>3</v>
      </c>
      <c r="E825" s="4" t="str">
        <f>VLOOKUP(C825,Master!$B$6:$N$1000,9,FALSE)</f>
        <v>gr</v>
      </c>
      <c r="F825" s="158">
        <f>VLOOKUP(C825,Master!$B$6:$N$1000,10,FALSE)</f>
        <v>11</v>
      </c>
      <c r="G825" s="144">
        <f t="shared" si="80"/>
        <v>33</v>
      </c>
      <c r="H825" s="4"/>
      <c r="I825" s="4"/>
      <c r="J825" s="4"/>
      <c r="K825" s="4"/>
    </row>
    <row r="826" spans="1:11" ht="13">
      <c r="A826" s="164"/>
      <c r="B826" s="4"/>
      <c r="C826" s="4" t="s">
        <v>2043</v>
      </c>
      <c r="D826" s="146">
        <v>5</v>
      </c>
      <c r="E826" s="4" t="str">
        <f>VLOOKUP(C826,Master!$B$6:$N$1000,9,FALSE)</f>
        <v>gr</v>
      </c>
      <c r="F826" s="158">
        <f>VLOOKUP(C826,Master!$B$6:$N$1000,10,FALSE)</f>
        <v>38.5</v>
      </c>
      <c r="G826" s="144">
        <f t="shared" si="80"/>
        <v>192.5</v>
      </c>
      <c r="H826" s="4"/>
      <c r="I826" s="4"/>
      <c r="J826" s="4"/>
      <c r="K826" s="4"/>
    </row>
    <row r="827" spans="1:11" ht="13">
      <c r="A827" s="164"/>
      <c r="B827" s="4"/>
      <c r="C827" s="4" t="s">
        <v>1000</v>
      </c>
      <c r="D827" s="146">
        <v>5</v>
      </c>
      <c r="E827" s="4" t="str">
        <f>VLOOKUP(C827,Master!$B$6:$N$1000,9,FALSE)</f>
        <v>gr</v>
      </c>
      <c r="F827" s="158">
        <f>VLOOKUP(C827,Master!$B$6:$N$1000,10,FALSE)</f>
        <v>44.5</v>
      </c>
      <c r="G827" s="144">
        <f t="shared" si="80"/>
        <v>222.5</v>
      </c>
      <c r="H827" s="4"/>
      <c r="I827" s="4"/>
      <c r="J827" s="4"/>
      <c r="K827" s="4"/>
    </row>
    <row r="828" spans="1:11" ht="13">
      <c r="A828" s="164"/>
      <c r="B828" s="4"/>
      <c r="C828" s="4" t="s">
        <v>799</v>
      </c>
      <c r="D828" s="146">
        <v>3</v>
      </c>
      <c r="E828" s="4" t="str">
        <f>VLOOKUP(C828,Master!$B$6:$N$1000,9,FALSE)</f>
        <v>gr</v>
      </c>
      <c r="F828" s="158">
        <f>VLOOKUP(C828,Master!$B$6:$N$1000,10,FALSE)</f>
        <v>90</v>
      </c>
      <c r="G828" s="144">
        <f t="shared" si="80"/>
        <v>270</v>
      </c>
      <c r="H828" s="4"/>
      <c r="I828" s="4"/>
      <c r="J828" s="4"/>
      <c r="K828" s="4"/>
    </row>
    <row r="829" spans="1:11" ht="13">
      <c r="A829" s="164"/>
      <c r="B829" s="4"/>
      <c r="C829" s="4" t="s">
        <v>931</v>
      </c>
      <c r="D829" s="146">
        <v>5</v>
      </c>
      <c r="E829" s="4" t="str">
        <f>VLOOKUP(C829,Master!$B$6:$N$1000,9,FALSE)</f>
        <v>gr</v>
      </c>
      <c r="F829" s="158">
        <f>VLOOKUP(C829,Master!$B$6:$N$1000,10,FALSE)</f>
        <v>18.399999999999999</v>
      </c>
      <c r="G829" s="144">
        <f t="shared" si="80"/>
        <v>92</v>
      </c>
      <c r="H829" s="4"/>
      <c r="I829" s="4"/>
      <c r="J829" s="4"/>
      <c r="K829" s="4"/>
    </row>
    <row r="830" spans="1:11" ht="13">
      <c r="A830" s="164"/>
      <c r="B830" s="4"/>
      <c r="C830" s="4"/>
      <c r="D830" s="4"/>
      <c r="E830" s="4"/>
      <c r="F830" s="4"/>
      <c r="G830" s="4"/>
      <c r="H830" s="4"/>
      <c r="I830" s="4"/>
      <c r="J830" s="4"/>
      <c r="K830" s="4"/>
    </row>
    <row r="831" spans="1:11" ht="13">
      <c r="A831" s="134" t="str">
        <f>VLOOKUP(B831,Master!$V$7:$W$1000,2,FALSE)</f>
        <v>B020</v>
      </c>
      <c r="B831" s="135" t="s">
        <v>954</v>
      </c>
      <c r="C831" s="153"/>
      <c r="D831" s="153"/>
      <c r="E831" s="154"/>
      <c r="F831" s="153"/>
      <c r="G831" s="138">
        <f>SUM(G832:G845)</f>
        <v>6707.7959551656932</v>
      </c>
      <c r="H831" s="139">
        <v>0.1</v>
      </c>
      <c r="I831" s="138">
        <f>G831+(G831*H831)</f>
        <v>7378.5755506822625</v>
      </c>
      <c r="J831" s="140" t="b">
        <v>0</v>
      </c>
      <c r="K831" s="140" t="b">
        <v>0</v>
      </c>
    </row>
    <row r="832" spans="1:11" ht="13">
      <c r="A832" s="164"/>
      <c r="B832" s="4"/>
      <c r="C832" s="4" t="s">
        <v>488</v>
      </c>
      <c r="D832" s="146">
        <v>1</v>
      </c>
      <c r="E832" s="4" t="str">
        <f>VLOOKUP(C832,Master!$B$6:$N$1000,9,FALSE)</f>
        <v>porsi</v>
      </c>
      <c r="F832" s="158">
        <f>VLOOKUP(C832,Master!$B$6:$N$1000,10,FALSE)</f>
        <v>1892.814814814815</v>
      </c>
      <c r="G832" s="144">
        <f t="shared" ref="G832:G845" si="81">D832*F832</f>
        <v>1892.814814814815</v>
      </c>
      <c r="H832" s="4"/>
      <c r="I832" s="4"/>
      <c r="J832" s="4"/>
      <c r="K832" s="4"/>
    </row>
    <row r="833" spans="1:11" ht="13">
      <c r="A833" s="164"/>
      <c r="B833" s="4"/>
      <c r="C833" s="4" t="s">
        <v>659</v>
      </c>
      <c r="D833" s="146">
        <v>1</v>
      </c>
      <c r="E833" s="4" t="str">
        <f>VLOOKUP(C833,Master!$B$6:$N$1000,9,FALSE)</f>
        <v>pcs</v>
      </c>
      <c r="F833" s="158">
        <f>VLOOKUP(C833,Master!$B$6:$N$1000,10,FALSE)</f>
        <v>1866.6666666666667</v>
      </c>
      <c r="G833" s="144">
        <f t="shared" si="81"/>
        <v>1866.6666666666667</v>
      </c>
      <c r="H833" s="4"/>
      <c r="I833" s="4"/>
      <c r="J833" s="4"/>
      <c r="K833" s="4"/>
    </row>
    <row r="834" spans="1:11" ht="13">
      <c r="A834" s="164"/>
      <c r="B834" s="4"/>
      <c r="C834" s="4" t="s">
        <v>259</v>
      </c>
      <c r="D834" s="146">
        <v>1</v>
      </c>
      <c r="E834" s="4" t="str">
        <f>VLOOKUP(C834,Master!$B$6:$N$1000,9,FALSE)</f>
        <v>gr</v>
      </c>
      <c r="F834" s="158">
        <f>VLOOKUP(C834,Master!$B$6:$N$1000,10,FALSE)</f>
        <v>1114.5894736842106</v>
      </c>
      <c r="G834" s="144">
        <f t="shared" si="81"/>
        <v>1114.5894736842106</v>
      </c>
      <c r="H834" s="4"/>
      <c r="I834" s="4"/>
      <c r="J834" s="4"/>
      <c r="K834" s="4"/>
    </row>
    <row r="835" spans="1:11" ht="13">
      <c r="A835" s="164"/>
      <c r="B835" s="4"/>
      <c r="C835" s="4" t="s">
        <v>907</v>
      </c>
      <c r="D835" s="146">
        <v>20</v>
      </c>
      <c r="E835" s="4" t="str">
        <f>VLOOKUP(C835,Master!$B$6:$N$1000,9,FALSE)</f>
        <v>gr</v>
      </c>
      <c r="F835" s="158">
        <f>VLOOKUP(C835,Master!$B$6:$N$1000,10,FALSE)</f>
        <v>20</v>
      </c>
      <c r="G835" s="144">
        <f t="shared" si="81"/>
        <v>400</v>
      </c>
      <c r="H835" s="4"/>
      <c r="I835" s="4"/>
      <c r="J835" s="4"/>
      <c r="K835" s="4"/>
    </row>
    <row r="836" spans="1:11" ht="13">
      <c r="A836" s="164"/>
      <c r="B836" s="4"/>
      <c r="C836" s="4" t="s">
        <v>712</v>
      </c>
      <c r="D836" s="146">
        <v>2</v>
      </c>
      <c r="E836" s="4" t="str">
        <f>VLOOKUP(C836,Master!$B$6:$N$1000,9,FALSE)</f>
        <v>gr</v>
      </c>
      <c r="F836" s="158">
        <f>VLOOKUP(C836,Master!$B$6:$N$1000,10,FALSE)</f>
        <v>40</v>
      </c>
      <c r="G836" s="144">
        <f t="shared" si="81"/>
        <v>80</v>
      </c>
      <c r="H836" s="4"/>
      <c r="I836" s="4"/>
      <c r="J836" s="4"/>
      <c r="K836" s="4"/>
    </row>
    <row r="837" spans="1:11" ht="13">
      <c r="A837" s="164"/>
      <c r="B837" s="4"/>
      <c r="C837" s="4" t="s">
        <v>1150</v>
      </c>
      <c r="D837" s="146">
        <v>1</v>
      </c>
      <c r="E837" s="4" t="str">
        <f>VLOOKUP(C837,Master!$B$6:$N$1000,9,FALSE)</f>
        <v>gr</v>
      </c>
      <c r="F837" s="158">
        <f>VLOOKUP(C837,Master!$B$6:$N$1000,10,FALSE)</f>
        <v>75</v>
      </c>
      <c r="G837" s="144">
        <f t="shared" si="81"/>
        <v>75</v>
      </c>
      <c r="H837" s="4"/>
      <c r="I837" s="4"/>
      <c r="J837" s="4"/>
      <c r="K837" s="4"/>
    </row>
    <row r="838" spans="1:11" ht="13">
      <c r="A838" s="164"/>
      <c r="B838" s="4"/>
      <c r="C838" s="4" t="s">
        <v>1064</v>
      </c>
      <c r="D838" s="146">
        <v>3</v>
      </c>
      <c r="E838" s="4" t="str">
        <f>VLOOKUP(C838,Master!$B$6:$N$1000,9,FALSE)</f>
        <v>gr</v>
      </c>
      <c r="F838" s="158">
        <f>VLOOKUP(C838,Master!$B$6:$N$1000,10,FALSE)</f>
        <v>37.700000000000003</v>
      </c>
      <c r="G838" s="144">
        <f t="shared" si="81"/>
        <v>113.10000000000001</v>
      </c>
      <c r="H838" s="4"/>
      <c r="I838" s="4"/>
      <c r="J838" s="4"/>
      <c r="K838" s="4"/>
    </row>
    <row r="839" spans="1:11" ht="13">
      <c r="A839" s="164"/>
      <c r="B839" s="4"/>
      <c r="C839" s="4" t="s">
        <v>819</v>
      </c>
      <c r="D839" s="146">
        <v>5</v>
      </c>
      <c r="E839" s="4" t="str">
        <f>VLOOKUP(C839,Master!$B$6:$N$1000,9,FALSE)</f>
        <v>gr</v>
      </c>
      <c r="F839" s="158">
        <f>VLOOKUP(C839,Master!$B$6:$N$1000,10,FALSE)</f>
        <v>13</v>
      </c>
      <c r="G839" s="144">
        <f t="shared" si="81"/>
        <v>65</v>
      </c>
      <c r="H839" s="4"/>
      <c r="I839" s="4"/>
      <c r="J839" s="4"/>
      <c r="K839" s="4"/>
    </row>
    <row r="840" spans="1:11" ht="13">
      <c r="A840" s="164"/>
      <c r="B840" s="4"/>
      <c r="C840" s="4" t="s">
        <v>1140</v>
      </c>
      <c r="D840" s="146">
        <v>3</v>
      </c>
      <c r="E840" s="4" t="str">
        <f>VLOOKUP(C840,Master!$B$6:$N$1000,9,FALSE)</f>
        <v>gr</v>
      </c>
      <c r="F840" s="158">
        <f>VLOOKUP(C840,Master!$B$6:$N$1000,10,FALSE)</f>
        <v>11</v>
      </c>
      <c r="G840" s="144">
        <f t="shared" si="81"/>
        <v>33</v>
      </c>
      <c r="H840" s="4"/>
      <c r="I840" s="4"/>
      <c r="J840" s="4"/>
      <c r="K840" s="4"/>
    </row>
    <row r="841" spans="1:11" ht="13">
      <c r="A841" s="164"/>
      <c r="B841" s="4"/>
      <c r="C841" s="4" t="s">
        <v>2043</v>
      </c>
      <c r="D841" s="146">
        <v>5</v>
      </c>
      <c r="E841" s="4" t="str">
        <f>VLOOKUP(C841,Master!$B$6:$N$1000,9,FALSE)</f>
        <v>gr</v>
      </c>
      <c r="F841" s="158">
        <f>VLOOKUP(C841,Master!$B$6:$N$1000,10,FALSE)</f>
        <v>38.5</v>
      </c>
      <c r="G841" s="144">
        <f t="shared" si="81"/>
        <v>192.5</v>
      </c>
      <c r="H841" s="4"/>
      <c r="I841" s="4"/>
      <c r="J841" s="4"/>
      <c r="K841" s="4"/>
    </row>
    <row r="842" spans="1:11" ht="13">
      <c r="A842" s="164"/>
      <c r="B842" s="4"/>
      <c r="C842" s="4" t="s">
        <v>1000</v>
      </c>
      <c r="D842" s="146">
        <v>5</v>
      </c>
      <c r="E842" s="4" t="str">
        <f>VLOOKUP(C842,Master!$B$6:$N$1000,9,FALSE)</f>
        <v>gr</v>
      </c>
      <c r="F842" s="158">
        <f>VLOOKUP(C842,Master!$B$6:$N$1000,10,FALSE)</f>
        <v>44.5</v>
      </c>
      <c r="G842" s="144">
        <f t="shared" si="81"/>
        <v>222.5</v>
      </c>
      <c r="H842" s="4"/>
      <c r="I842" s="4"/>
      <c r="J842" s="4"/>
      <c r="K842" s="4"/>
    </row>
    <row r="843" spans="1:11" ht="13">
      <c r="A843" s="164"/>
      <c r="B843" s="4"/>
      <c r="C843" s="4" t="s">
        <v>799</v>
      </c>
      <c r="D843" s="146">
        <v>3</v>
      </c>
      <c r="E843" s="4" t="str">
        <f>VLOOKUP(C843,Master!$B$6:$N$1000,9,FALSE)</f>
        <v>gr</v>
      </c>
      <c r="F843" s="158">
        <f>VLOOKUP(C843,Master!$B$6:$N$1000,10,FALSE)</f>
        <v>90</v>
      </c>
      <c r="G843" s="144">
        <f t="shared" si="81"/>
        <v>270</v>
      </c>
      <c r="H843" s="4"/>
      <c r="I843" s="4"/>
      <c r="J843" s="4"/>
      <c r="K843" s="4"/>
    </row>
    <row r="844" spans="1:11" ht="13">
      <c r="A844" s="164"/>
      <c r="B844" s="4"/>
      <c r="C844" s="4" t="s">
        <v>2042</v>
      </c>
      <c r="D844" s="146">
        <v>10</v>
      </c>
      <c r="E844" s="4" t="str">
        <f>VLOOKUP(C844,Master!$B$6:$N$1000,9,FALSE)</f>
        <v>gr</v>
      </c>
      <c r="F844" s="158">
        <f>VLOOKUP(C844,Master!$B$6:$N$1000,10,FALSE)</f>
        <v>29.0625</v>
      </c>
      <c r="G844" s="144">
        <f t="shared" si="81"/>
        <v>290.625</v>
      </c>
      <c r="H844" s="4"/>
      <c r="I844" s="4"/>
      <c r="J844" s="4"/>
      <c r="K844" s="4"/>
    </row>
    <row r="845" spans="1:11" ht="13">
      <c r="A845" s="164"/>
      <c r="B845" s="4"/>
      <c r="C845" s="4" t="s">
        <v>931</v>
      </c>
      <c r="D845" s="146">
        <v>5</v>
      </c>
      <c r="E845" s="4" t="str">
        <f>VLOOKUP(C845,Master!$B$6:$N$1000,9,FALSE)</f>
        <v>gr</v>
      </c>
      <c r="F845" s="158">
        <f>VLOOKUP(C845,Master!$B$6:$N$1000,10,FALSE)</f>
        <v>18.399999999999999</v>
      </c>
      <c r="G845" s="144">
        <f t="shared" si="81"/>
        <v>92</v>
      </c>
      <c r="H845" s="4"/>
      <c r="I845" s="4"/>
      <c r="J845" s="4"/>
      <c r="K845" s="4"/>
    </row>
    <row r="846" spans="1:11" ht="13">
      <c r="A846" s="164"/>
      <c r="B846" s="4"/>
      <c r="C846" s="4"/>
      <c r="D846" s="4"/>
      <c r="E846" s="4"/>
      <c r="F846" s="4"/>
      <c r="G846" s="4"/>
      <c r="H846" s="4"/>
      <c r="I846" s="4"/>
      <c r="J846" s="4"/>
      <c r="K846" s="4"/>
    </row>
    <row r="847" spans="1:11" ht="13">
      <c r="A847" s="134" t="str">
        <f>VLOOKUP(B847,Master!$V$7:$W$1000,2,FALSE)</f>
        <v>M0156</v>
      </c>
      <c r="B847" s="135" t="s">
        <v>833</v>
      </c>
      <c r="C847" s="153"/>
      <c r="D847" s="153"/>
      <c r="E847" s="154"/>
      <c r="F847" s="153"/>
      <c r="G847" s="138">
        <f>SUM(G848:G852)</f>
        <v>12646.609932149364</v>
      </c>
      <c r="H847" s="139">
        <v>0.1</v>
      </c>
      <c r="I847" s="138">
        <f>G847+(G847*H847)</f>
        <v>13911.270925364301</v>
      </c>
      <c r="J847" s="140" t="b">
        <v>0</v>
      </c>
      <c r="K847" s="140" t="b">
        <v>0</v>
      </c>
    </row>
    <row r="848" spans="1:11" ht="13">
      <c r="A848" s="164"/>
      <c r="B848" s="4"/>
      <c r="C848" s="4" t="s">
        <v>251</v>
      </c>
      <c r="D848" s="146">
        <v>1</v>
      </c>
      <c r="E848" s="4" t="str">
        <f>VLOOKUP(C848,Master!$B$6:$N$1000,9,FALSE)</f>
        <v>Porsi</v>
      </c>
      <c r="F848" s="158">
        <f>VLOOKUP(C848,Master!$B$6:$N$1000,10,FALSE)</f>
        <v>1093.9890710382513</v>
      </c>
      <c r="G848" s="144">
        <f t="shared" ref="G848:G852" si="82">D848*F848</f>
        <v>1093.9890710382513</v>
      </c>
      <c r="H848" s="4"/>
      <c r="I848" s="4"/>
      <c r="J848" s="4"/>
      <c r="K848" s="4"/>
    </row>
    <row r="849" spans="1:11" ht="13">
      <c r="A849" s="164"/>
      <c r="B849" s="4"/>
      <c r="C849" s="4" t="s">
        <v>492</v>
      </c>
      <c r="D849" s="146">
        <v>1</v>
      </c>
      <c r="E849" s="4" t="str">
        <f>VLOOKUP(C849,Master!$B$6:$N$1000,9,FALSE)</f>
        <v>porsi</v>
      </c>
      <c r="F849" s="158">
        <f>VLOOKUP(C849,Master!$B$6:$N$1000,10,FALSE)</f>
        <v>8794.6375000000007</v>
      </c>
      <c r="G849" s="144">
        <f t="shared" si="82"/>
        <v>8794.6375000000007</v>
      </c>
      <c r="H849" s="4"/>
      <c r="I849" s="4"/>
      <c r="J849" s="4"/>
      <c r="K849" s="4"/>
    </row>
    <row r="850" spans="1:11" ht="13">
      <c r="A850" s="164"/>
      <c r="B850" s="4"/>
      <c r="C850" s="4" t="s">
        <v>1237</v>
      </c>
      <c r="D850" s="146">
        <v>60</v>
      </c>
      <c r="E850" s="4" t="str">
        <f>VLOOKUP(C850,Master!$B$6:$N$1000,9,FALSE)</f>
        <v>gr</v>
      </c>
      <c r="F850" s="158">
        <f>VLOOKUP(C850,Master!$B$6:$N$1000,10,FALSE)</f>
        <v>20</v>
      </c>
      <c r="G850" s="144">
        <f t="shared" si="82"/>
        <v>1200</v>
      </c>
      <c r="H850" s="4"/>
      <c r="I850" s="4"/>
      <c r="J850" s="4"/>
      <c r="K850" s="4"/>
    </row>
    <row r="851" spans="1:11" ht="13">
      <c r="A851" s="164"/>
      <c r="B851" s="4"/>
      <c r="C851" s="4" t="s">
        <v>412</v>
      </c>
      <c r="D851" s="146">
        <v>1</v>
      </c>
      <c r="E851" s="4" t="str">
        <f>VLOOKUP(C851,Master!$B$6:$N$1000,9,FALSE)</f>
        <v>porsi</v>
      </c>
      <c r="F851" s="158">
        <f>VLOOKUP(C851,Master!$B$6:$N$1000,10,FALSE)</f>
        <v>1057.9833611111112</v>
      </c>
      <c r="G851" s="144">
        <f t="shared" si="82"/>
        <v>1057.9833611111112</v>
      </c>
      <c r="H851" s="4"/>
      <c r="I851" s="4"/>
      <c r="J851" s="4"/>
      <c r="K851" s="4"/>
    </row>
    <row r="852" spans="1:11" ht="13">
      <c r="A852" s="164"/>
      <c r="B852" s="4"/>
      <c r="C852" s="4" t="s">
        <v>1261</v>
      </c>
      <c r="D852" s="146">
        <v>5</v>
      </c>
      <c r="E852" s="4" t="str">
        <f>VLOOKUP(C852,Master!$B$6:$N$1000,9,FALSE)</f>
        <v>gr</v>
      </c>
      <c r="F852" s="158">
        <f>VLOOKUP(C852,Master!$B$6:$N$1000,10,FALSE)</f>
        <v>100</v>
      </c>
      <c r="G852" s="144">
        <f t="shared" si="82"/>
        <v>500</v>
      </c>
      <c r="H852" s="4"/>
      <c r="I852" s="4"/>
      <c r="J852" s="4"/>
      <c r="K852" s="4"/>
    </row>
    <row r="853" spans="1:11" ht="13">
      <c r="A853" s="164"/>
      <c r="B853" s="4"/>
      <c r="C853" s="4"/>
      <c r="D853" s="4"/>
      <c r="E853" s="4"/>
      <c r="F853" s="4"/>
      <c r="G853" s="4"/>
      <c r="H853" s="4"/>
      <c r="I853" s="4"/>
      <c r="J853" s="4"/>
      <c r="K853" s="4"/>
    </row>
    <row r="854" spans="1:11" ht="13">
      <c r="A854" s="134" t="str">
        <f>VLOOKUP(B854,Master!$V$7:$W$1000,2,FALSE)</f>
        <v>B021</v>
      </c>
      <c r="B854" s="135" t="s">
        <v>957</v>
      </c>
      <c r="C854" s="153"/>
      <c r="D854" s="153"/>
      <c r="E854" s="154"/>
      <c r="F854" s="153"/>
      <c r="G854" s="138">
        <f>SUM(G855:G862)</f>
        <v>8756.1783333333333</v>
      </c>
      <c r="H854" s="139">
        <v>0.1</v>
      </c>
      <c r="I854" s="138">
        <f>G854+(G854*H854)</f>
        <v>9631.796166666667</v>
      </c>
      <c r="J854" s="140" t="b">
        <v>0</v>
      </c>
      <c r="K854" s="140" t="b">
        <v>0</v>
      </c>
    </row>
    <row r="855" spans="1:11" ht="13">
      <c r="A855" s="164"/>
      <c r="B855" s="4"/>
      <c r="C855" s="4" t="s">
        <v>795</v>
      </c>
      <c r="D855" s="146">
        <v>1</v>
      </c>
      <c r="E855" s="4" t="str">
        <f>VLOOKUP(C855,Master!$B$6:$N$1000,9,FALSE)</f>
        <v>unit</v>
      </c>
      <c r="F855" s="158">
        <f>VLOOKUP(C855,Master!$B$6:$N$1000,10,FALSE)</f>
        <v>800</v>
      </c>
      <c r="G855" s="144">
        <f t="shared" ref="G855:G862" si="83">D855*F855</f>
        <v>800</v>
      </c>
      <c r="H855" s="4"/>
      <c r="I855" s="4"/>
      <c r="J855" s="4"/>
      <c r="K855" s="4"/>
    </row>
    <row r="856" spans="1:11" ht="13">
      <c r="A856" s="164"/>
      <c r="B856" s="4"/>
      <c r="C856" s="4" t="s">
        <v>1052</v>
      </c>
      <c r="D856" s="146">
        <v>200</v>
      </c>
      <c r="E856" s="4" t="str">
        <f>VLOOKUP(C856,Master!$B$6:$N$1000,9,FALSE)</f>
        <v>gr</v>
      </c>
      <c r="F856" s="158">
        <f>VLOOKUP(C856,Master!$B$6:$N$1000,10,FALSE)</f>
        <v>13</v>
      </c>
      <c r="G856" s="144">
        <f t="shared" si="83"/>
        <v>2600</v>
      </c>
      <c r="H856" s="4"/>
      <c r="I856" s="4"/>
      <c r="J856" s="4"/>
      <c r="K856" s="4"/>
    </row>
    <row r="857" spans="1:11" ht="13">
      <c r="A857" s="164"/>
      <c r="B857" s="4"/>
      <c r="C857" s="4" t="s">
        <v>1266</v>
      </c>
      <c r="D857" s="146">
        <v>100</v>
      </c>
      <c r="E857" s="4" t="str">
        <f>VLOOKUP(C857,Master!$B$6:$N$1000,9,FALSE)</f>
        <v>gr</v>
      </c>
      <c r="F857" s="158">
        <f>VLOOKUP(C857,Master!$B$6:$N$1000,10,FALSE)</f>
        <v>36</v>
      </c>
      <c r="G857" s="144">
        <f t="shared" si="83"/>
        <v>3600</v>
      </c>
      <c r="H857" s="4"/>
      <c r="I857" s="4"/>
      <c r="J857" s="4"/>
      <c r="K857" s="4"/>
    </row>
    <row r="858" spans="1:11" ht="13">
      <c r="A858" s="164"/>
      <c r="B858" s="4"/>
      <c r="C858" s="4" t="s">
        <v>819</v>
      </c>
      <c r="D858" s="146">
        <v>3</v>
      </c>
      <c r="E858" s="4" t="str">
        <f>VLOOKUP(C858,Master!$B$6:$N$1000,9,FALSE)</f>
        <v>gr</v>
      </c>
      <c r="F858" s="158">
        <f>VLOOKUP(C858,Master!$B$6:$N$1000,10,FALSE)</f>
        <v>13</v>
      </c>
      <c r="G858" s="144">
        <f t="shared" si="83"/>
        <v>39</v>
      </c>
      <c r="H858" s="4"/>
      <c r="I858" s="4"/>
      <c r="J858" s="4"/>
      <c r="K858" s="4"/>
    </row>
    <row r="859" spans="1:11" ht="13">
      <c r="A859" s="164"/>
      <c r="B859" s="4"/>
      <c r="C859" s="4" t="s">
        <v>2043</v>
      </c>
      <c r="D859" s="146">
        <v>5</v>
      </c>
      <c r="E859" s="4" t="str">
        <f>VLOOKUP(C859,Master!$B$6:$N$1000,9,FALSE)</f>
        <v>gr</v>
      </c>
      <c r="F859" s="158">
        <f>VLOOKUP(C859,Master!$B$6:$N$1000,10,FALSE)</f>
        <v>38.5</v>
      </c>
      <c r="G859" s="144">
        <f t="shared" si="83"/>
        <v>192.5</v>
      </c>
      <c r="H859" s="4"/>
      <c r="I859" s="4"/>
      <c r="J859" s="4"/>
      <c r="K859" s="4"/>
    </row>
    <row r="860" spans="1:11" ht="13">
      <c r="A860" s="164"/>
      <c r="B860" s="4"/>
      <c r="C860" s="4" t="s">
        <v>1000</v>
      </c>
      <c r="D860" s="146">
        <v>3</v>
      </c>
      <c r="E860" s="4" t="str">
        <f>VLOOKUP(C860,Master!$B$6:$N$1000,9,FALSE)</f>
        <v>gr</v>
      </c>
      <c r="F860" s="158">
        <f>VLOOKUP(C860,Master!$B$6:$N$1000,10,FALSE)</f>
        <v>44.5</v>
      </c>
      <c r="G860" s="144">
        <f t="shared" si="83"/>
        <v>133.5</v>
      </c>
      <c r="H860" s="4"/>
      <c r="I860" s="4"/>
      <c r="J860" s="4"/>
      <c r="K860" s="4"/>
    </row>
    <row r="861" spans="1:11" ht="13">
      <c r="A861" s="164"/>
      <c r="B861" s="4"/>
      <c r="C861" s="4" t="s">
        <v>799</v>
      </c>
      <c r="D861" s="146">
        <v>5</v>
      </c>
      <c r="E861" s="4" t="str">
        <f>VLOOKUP(C861,Master!$B$6:$N$1000,9,FALSE)</f>
        <v>gr</v>
      </c>
      <c r="F861" s="158">
        <f>VLOOKUP(C861,Master!$B$6:$N$1000,10,FALSE)</f>
        <v>90</v>
      </c>
      <c r="G861" s="144">
        <f t="shared" si="83"/>
        <v>450</v>
      </c>
      <c r="H861" s="4"/>
      <c r="I861" s="4"/>
      <c r="J861" s="4"/>
      <c r="K861" s="4"/>
    </row>
    <row r="862" spans="1:11" ht="13">
      <c r="A862" s="164"/>
      <c r="B862" s="4"/>
      <c r="C862" s="4" t="s">
        <v>496</v>
      </c>
      <c r="D862" s="146">
        <v>1</v>
      </c>
      <c r="E862" s="4" t="str">
        <f>VLOOKUP(C862,Master!$B$6:$N$1000,9,FALSE)</f>
        <v>porsi</v>
      </c>
      <c r="F862" s="158">
        <f>VLOOKUP(C862,Master!$B$6:$N$1000,10,FALSE)</f>
        <v>941.17833333333328</v>
      </c>
      <c r="G862" s="144">
        <f t="shared" si="83"/>
        <v>941.17833333333328</v>
      </c>
      <c r="H862" s="4"/>
      <c r="I862" s="4"/>
      <c r="J862" s="4"/>
      <c r="K862" s="4"/>
    </row>
    <row r="863" spans="1:11" ht="13">
      <c r="A863" s="164"/>
      <c r="B863" s="4"/>
      <c r="C863" s="4"/>
      <c r="D863" s="4"/>
      <c r="E863" s="4"/>
      <c r="F863" s="4"/>
      <c r="G863" s="4"/>
      <c r="H863" s="4"/>
      <c r="I863" s="4"/>
      <c r="J863" s="4"/>
      <c r="K863" s="4"/>
    </row>
    <row r="864" spans="1:11" ht="13">
      <c r="A864" s="134" t="str">
        <f>VLOOKUP(B864,Master!$V$7:$W$1000,2,FALSE)</f>
        <v>B022</v>
      </c>
      <c r="B864" s="135" t="s">
        <v>960</v>
      </c>
      <c r="C864" s="153"/>
      <c r="D864" s="153"/>
      <c r="E864" s="154"/>
      <c r="F864" s="153"/>
      <c r="G864" s="138">
        <f>SUM(G865:G866)</f>
        <v>5104.6645833333332</v>
      </c>
      <c r="H864" s="139">
        <v>0.1</v>
      </c>
      <c r="I864" s="138">
        <f>G864+(G864*H864)</f>
        <v>5615.1310416666665</v>
      </c>
      <c r="J864" s="140" t="b">
        <v>0</v>
      </c>
      <c r="K864" s="140" t="b">
        <v>0</v>
      </c>
    </row>
    <row r="865" spans="1:11" ht="13">
      <c r="A865" s="164"/>
      <c r="B865" s="4"/>
      <c r="C865" s="4" t="s">
        <v>500</v>
      </c>
      <c r="D865" s="146">
        <v>1</v>
      </c>
      <c r="E865" s="4" t="str">
        <f>VLOOKUP(C865,Master!$B$6:$N$1000,9,FALSE)</f>
        <v>porsi</v>
      </c>
      <c r="F865" s="158">
        <f>VLOOKUP(C865,Master!$B$6:$N$1000,10,FALSE)</f>
        <v>1295.4333333333334</v>
      </c>
      <c r="G865" s="144">
        <f t="shared" ref="G865:G866" si="84">D865*F865</f>
        <v>1295.4333333333334</v>
      </c>
      <c r="H865" s="4"/>
      <c r="I865" s="4"/>
      <c r="J865" s="4"/>
      <c r="K865" s="4"/>
    </row>
    <row r="866" spans="1:11" ht="13">
      <c r="A866" s="164"/>
      <c r="B866" s="4"/>
      <c r="C866" s="4" t="s">
        <v>162</v>
      </c>
      <c r="D866" s="146">
        <v>1</v>
      </c>
      <c r="E866" s="4" t="str">
        <f>VLOOKUP(C866,Master!$B$6:$N$1000,9,FALSE)</f>
        <v>gr</v>
      </c>
      <c r="F866" s="158">
        <f>VLOOKUP(C866,Master!$B$6:$N$1000,10,FALSE)</f>
        <v>3809.2312499999998</v>
      </c>
      <c r="G866" s="144">
        <f t="shared" si="84"/>
        <v>3809.2312499999998</v>
      </c>
      <c r="H866" s="4"/>
      <c r="I866" s="4"/>
      <c r="J866" s="4"/>
      <c r="K866" s="4"/>
    </row>
    <row r="867" spans="1:11" ht="13">
      <c r="A867" s="164"/>
      <c r="B867" s="4"/>
      <c r="C867" s="4"/>
      <c r="D867" s="4"/>
      <c r="E867" s="4"/>
      <c r="F867" s="4"/>
      <c r="G867" s="4"/>
      <c r="H867" s="4"/>
      <c r="I867" s="4"/>
      <c r="J867" s="4"/>
      <c r="K867" s="4"/>
    </row>
    <row r="868" spans="1:11" ht="13">
      <c r="A868" s="134" t="str">
        <f>VLOOKUP(B868,Master!$V$7:$W$1000,2,FALSE)</f>
        <v>B023</v>
      </c>
      <c r="B868" s="135" t="s">
        <v>963</v>
      </c>
      <c r="C868" s="153"/>
      <c r="D868" s="153"/>
      <c r="E868" s="154"/>
      <c r="F868" s="153"/>
      <c r="G868" s="138">
        <f>SUM(G869:G876)</f>
        <v>9237.9564123080927</v>
      </c>
      <c r="H868" s="139">
        <v>0.1</v>
      </c>
      <c r="I868" s="138">
        <f>G868+(G868*H868)</f>
        <v>10161.752053538901</v>
      </c>
      <c r="J868" s="140" t="b">
        <v>0</v>
      </c>
      <c r="K868" s="140" t="b">
        <v>0</v>
      </c>
    </row>
    <row r="869" spans="1:11" ht="13">
      <c r="A869" s="164"/>
      <c r="B869" s="4"/>
      <c r="C869" s="4" t="s">
        <v>251</v>
      </c>
      <c r="D869" s="146">
        <v>1</v>
      </c>
      <c r="E869" s="4" t="str">
        <f>VLOOKUP(C869,Master!$B$6:$N$1000,9,FALSE)</f>
        <v>Porsi</v>
      </c>
      <c r="F869" s="158">
        <f>VLOOKUP(C869,Master!$B$6:$N$1000,10,FALSE)</f>
        <v>1093.9890710382513</v>
      </c>
      <c r="G869" s="144">
        <f t="shared" ref="G869:G876" si="85">D869*F869</f>
        <v>1093.9890710382513</v>
      </c>
      <c r="H869" s="4"/>
      <c r="I869" s="4"/>
      <c r="J869" s="4"/>
      <c r="K869" s="4"/>
    </row>
    <row r="870" spans="1:11" ht="13">
      <c r="A870" s="164"/>
      <c r="B870" s="4"/>
      <c r="C870" s="4" t="s">
        <v>424</v>
      </c>
      <c r="D870" s="146">
        <v>1</v>
      </c>
      <c r="E870" s="4" t="str">
        <f>VLOOKUP(C870,Master!$B$6:$N$1000,9,FALSE)</f>
        <v>porsi</v>
      </c>
      <c r="F870" s="158">
        <f>VLOOKUP(C870,Master!$B$6:$N$1000,10,FALSE)</f>
        <v>5105.2375000000002</v>
      </c>
      <c r="G870" s="144">
        <f t="shared" si="85"/>
        <v>5105.2375000000002</v>
      </c>
      <c r="H870" s="4"/>
      <c r="I870" s="4"/>
      <c r="J870" s="4"/>
      <c r="K870" s="4"/>
    </row>
    <row r="871" spans="1:11" ht="13">
      <c r="A871" s="164"/>
      <c r="B871" s="4"/>
      <c r="C871" s="4" t="s">
        <v>322</v>
      </c>
      <c r="D871" s="146">
        <v>1</v>
      </c>
      <c r="E871" s="4" t="str">
        <f>VLOOKUP(C871,Master!$B$6:$N$1000,9,FALSE)</f>
        <v>pcs</v>
      </c>
      <c r="F871" s="158">
        <f>VLOOKUP(C871,Master!$B$6:$N$1000,10,FALSE)</f>
        <v>275</v>
      </c>
      <c r="G871" s="144">
        <f t="shared" si="85"/>
        <v>275</v>
      </c>
      <c r="H871" s="4"/>
      <c r="I871" s="4"/>
      <c r="J871" s="4"/>
      <c r="K871" s="4"/>
    </row>
    <row r="872" spans="1:11" ht="13">
      <c r="A872" s="164"/>
      <c r="B872" s="4"/>
      <c r="C872" s="4" t="s">
        <v>795</v>
      </c>
      <c r="D872" s="146">
        <v>1</v>
      </c>
      <c r="E872" s="4" t="str">
        <f>VLOOKUP(C872,Master!$B$6:$N$1000,9,FALSE)</f>
        <v>unit</v>
      </c>
      <c r="F872" s="158">
        <f>VLOOKUP(C872,Master!$B$6:$N$1000,10,FALSE)</f>
        <v>800</v>
      </c>
      <c r="G872" s="144">
        <f t="shared" si="85"/>
        <v>800</v>
      </c>
      <c r="H872" s="4"/>
      <c r="I872" s="4"/>
      <c r="J872" s="4"/>
      <c r="K872" s="4"/>
    </row>
    <row r="873" spans="1:11" ht="13">
      <c r="A873" s="164"/>
      <c r="B873" s="4"/>
      <c r="C873" s="4" t="s">
        <v>1237</v>
      </c>
      <c r="D873" s="146">
        <v>30</v>
      </c>
      <c r="E873" s="4" t="str">
        <f>VLOOKUP(C873,Master!$B$6:$N$1000,9,FALSE)</f>
        <v>gr</v>
      </c>
      <c r="F873" s="158">
        <f>VLOOKUP(C873,Master!$B$6:$N$1000,10,FALSE)</f>
        <v>20</v>
      </c>
      <c r="G873" s="144">
        <f t="shared" si="85"/>
        <v>600</v>
      </c>
      <c r="H873" s="4"/>
      <c r="I873" s="4"/>
      <c r="J873" s="4"/>
      <c r="K873" s="4"/>
    </row>
    <row r="874" spans="1:11" ht="13">
      <c r="A874" s="164"/>
      <c r="B874" s="4"/>
      <c r="C874" s="4" t="s">
        <v>476</v>
      </c>
      <c r="D874" s="146">
        <v>1</v>
      </c>
      <c r="E874" s="4" t="str">
        <f>VLOOKUP(C874,Master!$B$6:$N$1000,9,FALSE)</f>
        <v>porsi</v>
      </c>
      <c r="F874" s="158">
        <f>VLOOKUP(C874,Master!$B$6:$N$1000,10,FALSE)</f>
        <v>1188.7298412698412</v>
      </c>
      <c r="G874" s="144">
        <f t="shared" si="85"/>
        <v>1188.7298412698412</v>
      </c>
      <c r="H874" s="4"/>
      <c r="I874" s="4"/>
      <c r="J874" s="4"/>
      <c r="K874" s="4"/>
    </row>
    <row r="875" spans="1:11" ht="13">
      <c r="A875" s="164"/>
      <c r="B875" s="4"/>
      <c r="C875" s="145" t="s">
        <v>827</v>
      </c>
      <c r="D875" s="146">
        <v>10</v>
      </c>
      <c r="E875" s="4" t="str">
        <f>VLOOKUP(C875,Master!$B$6:$N$1000,9,FALSE)</f>
        <v>gr</v>
      </c>
      <c r="F875" s="158">
        <f>VLOOKUP(C875,Master!$B$6:$N$1000,10,FALSE)</f>
        <v>12</v>
      </c>
      <c r="G875" s="144">
        <f t="shared" si="85"/>
        <v>120</v>
      </c>
      <c r="H875" s="4"/>
      <c r="I875" s="4"/>
      <c r="J875" s="4"/>
      <c r="K875" s="4"/>
    </row>
    <row r="876" spans="1:11" ht="13">
      <c r="A876" s="164"/>
      <c r="B876" s="4"/>
      <c r="C876" s="145" t="s">
        <v>1140</v>
      </c>
      <c r="D876" s="146">
        <v>5</v>
      </c>
      <c r="E876" s="4" t="str">
        <f>VLOOKUP(C876,Master!$B$6:$N$1000,9,FALSE)</f>
        <v>gr</v>
      </c>
      <c r="F876" s="158">
        <f>VLOOKUP(C876,Master!$B$6:$N$1000,10,FALSE)</f>
        <v>11</v>
      </c>
      <c r="G876" s="144">
        <f t="shared" si="85"/>
        <v>55</v>
      </c>
      <c r="H876" s="4"/>
      <c r="I876" s="4"/>
      <c r="J876" s="4"/>
      <c r="K876" s="4"/>
    </row>
    <row r="877" spans="1:11" ht="13">
      <c r="A877" s="164"/>
      <c r="B877" s="4"/>
      <c r="C877" s="4"/>
      <c r="D877" s="4"/>
      <c r="E877" s="4"/>
      <c r="F877" s="4"/>
      <c r="G877" s="4"/>
      <c r="H877" s="4"/>
      <c r="I877" s="4"/>
      <c r="J877" s="4"/>
      <c r="K877" s="4"/>
    </row>
    <row r="878" spans="1:11" ht="13">
      <c r="A878" s="134" t="str">
        <f>VLOOKUP(B878,Master!$V$7:$W$1000,2,FALSE)</f>
        <v>B024</v>
      </c>
      <c r="B878" s="135" t="s">
        <v>966</v>
      </c>
      <c r="C878" s="153"/>
      <c r="D878" s="153"/>
      <c r="E878" s="154"/>
      <c r="F878" s="153"/>
      <c r="G878" s="138">
        <f>SUM(G879:G888)</f>
        <v>5958</v>
      </c>
      <c r="H878" s="139">
        <v>0.1</v>
      </c>
      <c r="I878" s="138">
        <f>G878+(G878*H878)</f>
        <v>6553.8</v>
      </c>
      <c r="J878" s="140" t="b">
        <v>0</v>
      </c>
      <c r="K878" s="140" t="b">
        <v>0</v>
      </c>
    </row>
    <row r="879" spans="1:11" ht="13">
      <c r="A879" s="164"/>
      <c r="B879" s="4"/>
      <c r="C879" s="4" t="s">
        <v>907</v>
      </c>
      <c r="D879" s="146">
        <v>80</v>
      </c>
      <c r="E879" s="4" t="str">
        <f>VLOOKUP(C879,Master!$B$6:$N$1000,9,FALSE)</f>
        <v>gr</v>
      </c>
      <c r="F879" s="158">
        <f>VLOOKUP(C879,Master!$B$6:$N$1000,10,FALSE)</f>
        <v>20</v>
      </c>
      <c r="G879" s="144">
        <f t="shared" ref="G879:G888" si="86">D879*F879</f>
        <v>1600</v>
      </c>
      <c r="H879" s="4"/>
      <c r="I879" s="4"/>
      <c r="J879" s="4"/>
      <c r="K879" s="4"/>
    </row>
    <row r="880" spans="1:11" ht="13">
      <c r="A880" s="164"/>
      <c r="B880" s="4"/>
      <c r="C880" s="4" t="s">
        <v>651</v>
      </c>
      <c r="D880" s="146">
        <v>80</v>
      </c>
      <c r="E880" s="4" t="str">
        <f>VLOOKUP(C880,Master!$B$6:$N$1000,9,FALSE)</f>
        <v>gr</v>
      </c>
      <c r="F880" s="158">
        <f>VLOOKUP(C880,Master!$B$6:$N$1000,10,FALSE)</f>
        <v>18</v>
      </c>
      <c r="G880" s="144">
        <f t="shared" si="86"/>
        <v>1440</v>
      </c>
      <c r="H880" s="4"/>
      <c r="I880" s="4"/>
      <c r="J880" s="4"/>
      <c r="K880" s="4"/>
    </row>
    <row r="881" spans="1:11" ht="13">
      <c r="A881" s="164"/>
      <c r="B881" s="4"/>
      <c r="C881" s="4" t="s">
        <v>2045</v>
      </c>
      <c r="D881" s="146">
        <v>120</v>
      </c>
      <c r="E881" s="4" t="str">
        <f>VLOOKUP(C881,Master!$B$6:$N$1000,9,FALSE)</f>
        <v>gr</v>
      </c>
      <c r="F881" s="158">
        <f>VLOOKUP(C881,Master!$B$6:$N$1000,10,FALSE)</f>
        <v>14.25</v>
      </c>
      <c r="G881" s="144">
        <f t="shared" si="86"/>
        <v>1710</v>
      </c>
      <c r="H881" s="4"/>
      <c r="I881" s="4"/>
      <c r="J881" s="4"/>
      <c r="K881" s="4"/>
    </row>
    <row r="882" spans="1:11" ht="13">
      <c r="A882" s="164"/>
      <c r="B882" s="4"/>
      <c r="C882" s="4" t="s">
        <v>1266</v>
      </c>
      <c r="D882" s="146">
        <v>10</v>
      </c>
      <c r="E882" s="4" t="str">
        <f>VLOOKUP(C882,Master!$B$6:$N$1000,9,FALSE)</f>
        <v>gr</v>
      </c>
      <c r="F882" s="158">
        <f>VLOOKUP(C882,Master!$B$6:$N$1000,10,FALSE)</f>
        <v>36</v>
      </c>
      <c r="G882" s="144">
        <f t="shared" si="86"/>
        <v>360</v>
      </c>
      <c r="H882" s="4"/>
      <c r="I882" s="4"/>
      <c r="J882" s="4"/>
      <c r="K882" s="4"/>
    </row>
    <row r="883" spans="1:11" ht="13">
      <c r="A883" s="164"/>
      <c r="B883" s="4"/>
      <c r="C883" s="4" t="s">
        <v>819</v>
      </c>
      <c r="D883" s="146">
        <v>5</v>
      </c>
      <c r="E883" s="4" t="str">
        <f>VLOOKUP(C883,Master!$B$6:$N$1000,9,FALSE)</f>
        <v>gr</v>
      </c>
      <c r="F883" s="158">
        <f>VLOOKUP(C883,Master!$B$6:$N$1000,10,FALSE)</f>
        <v>13</v>
      </c>
      <c r="G883" s="144">
        <f t="shared" si="86"/>
        <v>65</v>
      </c>
      <c r="H883" s="4"/>
      <c r="I883" s="4"/>
      <c r="J883" s="4"/>
      <c r="K883" s="4"/>
    </row>
    <row r="884" spans="1:11" ht="13">
      <c r="A884" s="164"/>
      <c r="B884" s="4"/>
      <c r="C884" s="4" t="s">
        <v>885</v>
      </c>
      <c r="D884" s="146">
        <v>2</v>
      </c>
      <c r="E884" s="4" t="str">
        <f>VLOOKUP(C884,Master!$B$6:$N$1000,9,FALSE)</f>
        <v>gr</v>
      </c>
      <c r="F884" s="158">
        <f>VLOOKUP(C884,Master!$B$6:$N$1000,10,FALSE)</f>
        <v>30.5</v>
      </c>
      <c r="G884" s="144">
        <f t="shared" si="86"/>
        <v>61</v>
      </c>
      <c r="H884" s="4"/>
      <c r="I884" s="4"/>
      <c r="J884" s="4"/>
      <c r="K884" s="4"/>
    </row>
    <row r="885" spans="1:11" ht="13">
      <c r="A885" s="164"/>
      <c r="B885" s="4"/>
      <c r="C885" s="4" t="s">
        <v>1138</v>
      </c>
      <c r="D885" s="146">
        <v>3</v>
      </c>
      <c r="E885" s="4" t="str">
        <f>VLOOKUP(C885,Master!$B$6:$N$1000,9,FALSE)</f>
        <v>gr</v>
      </c>
      <c r="F885" s="158">
        <f>VLOOKUP(C885,Master!$B$6:$N$1000,10,FALSE)</f>
        <v>42</v>
      </c>
      <c r="G885" s="144">
        <f t="shared" si="86"/>
        <v>126</v>
      </c>
      <c r="H885" s="4"/>
      <c r="I885" s="4"/>
      <c r="J885" s="4"/>
      <c r="K885" s="4"/>
    </row>
    <row r="886" spans="1:11" ht="13">
      <c r="A886" s="164"/>
      <c r="B886" s="4"/>
      <c r="C886" s="4" t="s">
        <v>2043</v>
      </c>
      <c r="D886" s="146">
        <v>5</v>
      </c>
      <c r="E886" s="4" t="str">
        <f>VLOOKUP(C886,Master!$B$6:$N$1000,9,FALSE)</f>
        <v>gr</v>
      </c>
      <c r="F886" s="158">
        <f>VLOOKUP(C886,Master!$B$6:$N$1000,10,FALSE)</f>
        <v>38.5</v>
      </c>
      <c r="G886" s="144">
        <f t="shared" si="86"/>
        <v>192.5</v>
      </c>
      <c r="H886" s="4"/>
      <c r="I886" s="4"/>
      <c r="J886" s="4"/>
      <c r="K886" s="4"/>
    </row>
    <row r="887" spans="1:11" ht="13">
      <c r="A887" s="164"/>
      <c r="B887" s="4"/>
      <c r="C887" s="4" t="s">
        <v>1000</v>
      </c>
      <c r="D887" s="146">
        <v>3</v>
      </c>
      <c r="E887" s="4" t="str">
        <f>VLOOKUP(C887,Master!$B$6:$N$1000,9,FALSE)</f>
        <v>gr</v>
      </c>
      <c r="F887" s="158">
        <f>VLOOKUP(C887,Master!$B$6:$N$1000,10,FALSE)</f>
        <v>44.5</v>
      </c>
      <c r="G887" s="144">
        <f t="shared" si="86"/>
        <v>133.5</v>
      </c>
      <c r="H887" s="4"/>
      <c r="I887" s="4"/>
      <c r="J887" s="4"/>
      <c r="K887" s="4"/>
    </row>
    <row r="888" spans="1:11" ht="13">
      <c r="A888" s="164"/>
      <c r="B888" s="4"/>
      <c r="C888" s="4" t="s">
        <v>799</v>
      </c>
      <c r="D888" s="146">
        <v>3</v>
      </c>
      <c r="E888" s="4" t="str">
        <f>VLOOKUP(C888,Master!$B$6:$N$1000,9,FALSE)</f>
        <v>gr</v>
      </c>
      <c r="F888" s="158">
        <f>VLOOKUP(C888,Master!$B$6:$N$1000,10,FALSE)</f>
        <v>90</v>
      </c>
      <c r="G888" s="144">
        <f t="shared" si="86"/>
        <v>270</v>
      </c>
      <c r="H888" s="4"/>
      <c r="I888" s="4"/>
      <c r="J888" s="4"/>
      <c r="K888" s="4"/>
    </row>
    <row r="889" spans="1:11" ht="13">
      <c r="A889" s="164"/>
      <c r="B889" s="4"/>
      <c r="C889" s="4"/>
      <c r="D889" s="4"/>
      <c r="E889" s="4"/>
      <c r="F889" s="4"/>
      <c r="G889" s="4"/>
      <c r="H889" s="4"/>
      <c r="I889" s="4"/>
      <c r="J889" s="4"/>
      <c r="K889" s="4"/>
    </row>
    <row r="890" spans="1:11" ht="13">
      <c r="A890" s="134" t="str">
        <f>VLOOKUP(B890,Master!$V$7:$W$1000,2,FALSE)</f>
        <v>B025</v>
      </c>
      <c r="B890" s="135" t="s">
        <v>969</v>
      </c>
      <c r="C890" s="153"/>
      <c r="D890" s="153"/>
      <c r="E890" s="154"/>
      <c r="F890" s="153"/>
      <c r="G890" s="138">
        <f>SUM(G891:G892)</f>
        <v>1638.5</v>
      </c>
      <c r="H890" s="139">
        <v>0.1</v>
      </c>
      <c r="I890" s="138">
        <f>G890+(G890*H890)</f>
        <v>1802.35</v>
      </c>
      <c r="J890" s="140" t="b">
        <v>0</v>
      </c>
      <c r="K890" s="140" t="b">
        <v>0</v>
      </c>
    </row>
    <row r="891" spans="1:11" ht="13">
      <c r="A891" s="164"/>
      <c r="B891" s="4"/>
      <c r="C891" s="4" t="s">
        <v>907</v>
      </c>
      <c r="D891" s="146">
        <v>80</v>
      </c>
      <c r="E891" s="4" t="str">
        <f>VLOOKUP(C891,Master!$B$6:$N$1000,9,FALSE)</f>
        <v>gr</v>
      </c>
      <c r="F891" s="158">
        <f>VLOOKUP(C891,Master!$B$6:$N$1000,10,FALSE)</f>
        <v>20</v>
      </c>
      <c r="G891" s="144">
        <f t="shared" ref="G891:G892" si="87">D891*F891</f>
        <v>1600</v>
      </c>
      <c r="H891" s="4"/>
      <c r="I891" s="4"/>
      <c r="J891" s="4"/>
      <c r="K891" s="4"/>
    </row>
    <row r="892" spans="1:11" ht="13">
      <c r="A892" s="164"/>
      <c r="B892" s="4"/>
      <c r="C892" s="4" t="s">
        <v>2043</v>
      </c>
      <c r="D892" s="146">
        <v>1</v>
      </c>
      <c r="E892" s="4" t="str">
        <f>VLOOKUP(C892,Master!$B$6:$N$1000,9,FALSE)</f>
        <v>gr</v>
      </c>
      <c r="F892" s="158">
        <f>VLOOKUP(C892,Master!$B$6:$N$1000,10,FALSE)</f>
        <v>38.5</v>
      </c>
      <c r="G892" s="144">
        <f t="shared" si="87"/>
        <v>38.5</v>
      </c>
      <c r="H892" s="4"/>
      <c r="I892" s="4"/>
      <c r="J892" s="4"/>
      <c r="K892" s="4"/>
    </row>
    <row r="893" spans="1:11" ht="13">
      <c r="A893" s="164"/>
      <c r="B893" s="4"/>
      <c r="C893" s="4"/>
      <c r="D893" s="4"/>
      <c r="E893" s="4"/>
      <c r="F893" s="4"/>
      <c r="G893" s="4"/>
      <c r="H893" s="4"/>
      <c r="I893" s="4"/>
      <c r="J893" s="4"/>
      <c r="K893" s="4"/>
    </row>
    <row r="894" spans="1:11" ht="13">
      <c r="A894" s="134" t="str">
        <f>VLOOKUP(B894,Master!$V$7:$W$1000,2,FALSE)</f>
        <v>B026</v>
      </c>
      <c r="B894" s="135" t="s">
        <v>972</v>
      </c>
      <c r="C894" s="153"/>
      <c r="D894" s="153"/>
      <c r="E894" s="154"/>
      <c r="F894" s="153"/>
      <c r="G894" s="138">
        <f>SUM(G895:G907)</f>
        <v>11867.83755265897</v>
      </c>
      <c r="H894" s="139">
        <v>0.1</v>
      </c>
      <c r="I894" s="138">
        <f>G894+(G894*H894)</f>
        <v>13054.621307924866</v>
      </c>
      <c r="J894" s="140" t="b">
        <v>0</v>
      </c>
      <c r="K894" s="140" t="b">
        <v>0</v>
      </c>
    </row>
    <row r="895" spans="1:11" ht="13">
      <c r="A895" s="164"/>
      <c r="B895" s="4"/>
      <c r="C895" s="4" t="s">
        <v>251</v>
      </c>
      <c r="D895" s="146">
        <v>1</v>
      </c>
      <c r="E895" s="4" t="str">
        <f>VLOOKUP(C895,Master!$B$6:$N$1000,9,FALSE)</f>
        <v>Porsi</v>
      </c>
      <c r="F895" s="158">
        <f>VLOOKUP(C895,Master!$B$6:$N$1000,10,FALSE)</f>
        <v>1093.9890710382513</v>
      </c>
      <c r="G895" s="144">
        <f t="shared" ref="G895:G907" si="88">D895*F895</f>
        <v>1093.9890710382513</v>
      </c>
      <c r="H895" s="4"/>
      <c r="I895" s="4"/>
      <c r="J895" s="4"/>
      <c r="K895" s="4"/>
    </row>
    <row r="896" spans="1:11" ht="13">
      <c r="A896" s="164"/>
      <c r="B896" s="4"/>
      <c r="C896" s="4" t="s">
        <v>1269</v>
      </c>
      <c r="D896" s="146">
        <v>15</v>
      </c>
      <c r="E896" s="4" t="str">
        <f>VLOOKUP(C896,Master!$B$6:$N$1000,9,FALSE)</f>
        <v>gr</v>
      </c>
      <c r="F896" s="158">
        <f>VLOOKUP(C896,Master!$B$6:$N$1000,10,FALSE)</f>
        <v>28</v>
      </c>
      <c r="G896" s="144">
        <f t="shared" si="88"/>
        <v>420</v>
      </c>
      <c r="H896" s="4"/>
      <c r="I896" s="4"/>
      <c r="J896" s="4"/>
      <c r="K896" s="4"/>
    </row>
    <row r="897" spans="1:11" ht="13">
      <c r="A897" s="164"/>
      <c r="B897" s="4"/>
      <c r="C897" s="4" t="s">
        <v>259</v>
      </c>
      <c r="D897" s="146">
        <v>1</v>
      </c>
      <c r="E897" s="4" t="str">
        <f>VLOOKUP(C897,Master!$B$6:$N$1000,9,FALSE)</f>
        <v>gr</v>
      </c>
      <c r="F897" s="158">
        <f>VLOOKUP(C897,Master!$B$6:$N$1000,10,FALSE)</f>
        <v>1114.5894736842106</v>
      </c>
      <c r="G897" s="144">
        <f t="shared" si="88"/>
        <v>1114.5894736842106</v>
      </c>
      <c r="H897" s="4"/>
      <c r="I897" s="4"/>
      <c r="J897" s="4"/>
      <c r="K897" s="4"/>
    </row>
    <row r="898" spans="1:11" ht="13">
      <c r="A898" s="164"/>
      <c r="B898" s="4"/>
      <c r="C898" s="4" t="s">
        <v>659</v>
      </c>
      <c r="D898" s="146">
        <v>1</v>
      </c>
      <c r="E898" s="4" t="str">
        <f>VLOOKUP(C898,Master!$B$6:$N$1000,9,FALSE)</f>
        <v>pcs</v>
      </c>
      <c r="F898" s="158">
        <f>VLOOKUP(C898,Master!$B$6:$N$1000,10,FALSE)</f>
        <v>1866.6666666666667</v>
      </c>
      <c r="G898" s="144">
        <f t="shared" si="88"/>
        <v>1866.6666666666667</v>
      </c>
      <c r="H898" s="4"/>
      <c r="I898" s="4"/>
      <c r="J898" s="4"/>
      <c r="K898" s="4"/>
    </row>
    <row r="899" spans="1:11" ht="13">
      <c r="A899" s="164"/>
      <c r="B899" s="4"/>
      <c r="C899" s="4" t="s">
        <v>476</v>
      </c>
      <c r="D899" s="146">
        <v>1</v>
      </c>
      <c r="E899" s="4" t="str">
        <f>VLOOKUP(C899,Master!$B$6:$N$1000,9,FALSE)</f>
        <v>porsi</v>
      </c>
      <c r="F899" s="158">
        <f>VLOOKUP(C899,Master!$B$6:$N$1000,10,FALSE)</f>
        <v>1188.7298412698412</v>
      </c>
      <c r="G899" s="144">
        <f t="shared" si="88"/>
        <v>1188.7298412698412</v>
      </c>
      <c r="H899" s="4"/>
      <c r="I899" s="4"/>
      <c r="J899" s="4"/>
      <c r="K899" s="4"/>
    </row>
    <row r="900" spans="1:11" ht="13">
      <c r="A900" s="164"/>
      <c r="B900" s="4"/>
      <c r="C900" s="4" t="s">
        <v>424</v>
      </c>
      <c r="D900" s="146">
        <v>1</v>
      </c>
      <c r="E900" s="4" t="str">
        <f>VLOOKUP(C900,Master!$B$6:$N$1000,9,FALSE)</f>
        <v>porsi</v>
      </c>
      <c r="F900" s="158">
        <f>VLOOKUP(C900,Master!$B$6:$N$1000,10,FALSE)</f>
        <v>5105.2375000000002</v>
      </c>
      <c r="G900" s="144">
        <f t="shared" si="88"/>
        <v>5105.2375000000002</v>
      </c>
      <c r="H900" s="4"/>
      <c r="I900" s="4"/>
      <c r="J900" s="4"/>
      <c r="K900" s="4"/>
    </row>
    <row r="901" spans="1:11" ht="13">
      <c r="A901" s="164"/>
      <c r="B901" s="4"/>
      <c r="C901" s="4" t="s">
        <v>931</v>
      </c>
      <c r="D901" s="146">
        <v>5</v>
      </c>
      <c r="E901" s="4" t="str">
        <f>VLOOKUP(C901,Master!$B$6:$N$1000,9,FALSE)</f>
        <v>gr</v>
      </c>
      <c r="F901" s="158">
        <f>VLOOKUP(C901,Master!$B$6:$N$1000,10,FALSE)</f>
        <v>18.399999999999999</v>
      </c>
      <c r="G901" s="144">
        <f t="shared" si="88"/>
        <v>92</v>
      </c>
      <c r="H901" s="4"/>
      <c r="I901" s="4"/>
      <c r="J901" s="4"/>
      <c r="K901" s="4"/>
    </row>
    <row r="902" spans="1:11" ht="13">
      <c r="A902" s="164"/>
      <c r="B902" s="4"/>
      <c r="C902" s="4" t="s">
        <v>2042</v>
      </c>
      <c r="D902" s="146">
        <v>10</v>
      </c>
      <c r="E902" s="4" t="str">
        <f>VLOOKUP(C902,Master!$B$6:$N$1000,9,FALSE)</f>
        <v>gr</v>
      </c>
      <c r="F902" s="158">
        <f>VLOOKUP(C902,Master!$B$6:$N$1000,10,FALSE)</f>
        <v>29.0625</v>
      </c>
      <c r="G902" s="144">
        <f t="shared" si="88"/>
        <v>290.625</v>
      </c>
      <c r="H902" s="4"/>
      <c r="I902" s="4"/>
      <c r="J902" s="4"/>
      <c r="K902" s="4"/>
    </row>
    <row r="903" spans="1:11" ht="13">
      <c r="A903" s="164"/>
      <c r="B903" s="4"/>
      <c r="C903" s="4" t="s">
        <v>2043</v>
      </c>
      <c r="D903" s="146">
        <v>5</v>
      </c>
      <c r="E903" s="4" t="str">
        <f>VLOOKUP(C903,Master!$B$6:$N$1000,9,FALSE)</f>
        <v>gr</v>
      </c>
      <c r="F903" s="158">
        <f>VLOOKUP(C903,Master!$B$6:$N$1000,10,FALSE)</f>
        <v>38.5</v>
      </c>
      <c r="G903" s="144">
        <f t="shared" si="88"/>
        <v>192.5</v>
      </c>
      <c r="H903" s="4"/>
      <c r="I903" s="4"/>
      <c r="J903" s="4"/>
      <c r="K903" s="4"/>
    </row>
    <row r="904" spans="1:11" ht="13">
      <c r="A904" s="164"/>
      <c r="B904" s="4"/>
      <c r="C904" s="4" t="s">
        <v>764</v>
      </c>
      <c r="D904" s="146">
        <v>5</v>
      </c>
      <c r="E904" s="4" t="str">
        <f>VLOOKUP(C904,Master!$B$6:$N$1000,9,FALSE)</f>
        <v>gr</v>
      </c>
      <c r="F904" s="158">
        <f>VLOOKUP(C904,Master!$B$6:$N$1000,10,FALSE)</f>
        <v>15</v>
      </c>
      <c r="G904" s="144">
        <f t="shared" si="88"/>
        <v>75</v>
      </c>
      <c r="H904" s="4"/>
      <c r="I904" s="4"/>
      <c r="J904" s="4"/>
      <c r="K904" s="4"/>
    </row>
    <row r="905" spans="1:11" ht="13">
      <c r="A905" s="164"/>
      <c r="B905" s="4"/>
      <c r="C905" s="4" t="s">
        <v>1000</v>
      </c>
      <c r="D905" s="146">
        <v>5</v>
      </c>
      <c r="E905" s="4" t="str">
        <f>VLOOKUP(C905,Master!$B$6:$N$1000,9,FALSE)</f>
        <v>gr</v>
      </c>
      <c r="F905" s="158">
        <f>VLOOKUP(C905,Master!$B$6:$N$1000,10,FALSE)</f>
        <v>44.5</v>
      </c>
      <c r="G905" s="144">
        <f t="shared" si="88"/>
        <v>222.5</v>
      </c>
      <c r="H905" s="4"/>
      <c r="I905" s="4"/>
      <c r="J905" s="4"/>
      <c r="K905" s="4"/>
    </row>
    <row r="906" spans="1:11" ht="13">
      <c r="A906" s="164"/>
      <c r="B906" s="4"/>
      <c r="C906" s="4" t="s">
        <v>799</v>
      </c>
      <c r="D906" s="146">
        <v>2</v>
      </c>
      <c r="E906" s="4" t="str">
        <f>VLOOKUP(C906,Master!$B$6:$N$1000,9,FALSE)</f>
        <v>gr</v>
      </c>
      <c r="F906" s="158">
        <f>VLOOKUP(C906,Master!$B$6:$N$1000,10,FALSE)</f>
        <v>90</v>
      </c>
      <c r="G906" s="144">
        <f t="shared" si="88"/>
        <v>180</v>
      </c>
      <c r="H906" s="4"/>
      <c r="I906" s="4"/>
      <c r="J906" s="4"/>
      <c r="K906" s="4"/>
    </row>
    <row r="907" spans="1:11" ht="13">
      <c r="A907" s="164"/>
      <c r="B907" s="4"/>
      <c r="C907" s="4" t="s">
        <v>819</v>
      </c>
      <c r="D907" s="146">
        <v>2</v>
      </c>
      <c r="E907" s="4" t="str">
        <f>VLOOKUP(C907,Master!$B$6:$N$1000,9,FALSE)</f>
        <v>gr</v>
      </c>
      <c r="F907" s="158">
        <f>VLOOKUP(C907,Master!$B$6:$N$1000,10,FALSE)</f>
        <v>13</v>
      </c>
      <c r="G907" s="144">
        <f t="shared" si="88"/>
        <v>26</v>
      </c>
      <c r="H907" s="4"/>
      <c r="I907" s="4"/>
      <c r="J907" s="4"/>
      <c r="K907" s="4"/>
    </row>
    <row r="908" spans="1:11" ht="13">
      <c r="A908" s="134" t="str">
        <f>VLOOKUP(B908,Master!$V$7:$W$1000,2,FALSE)</f>
        <v>B027</v>
      </c>
      <c r="B908" s="135" t="s">
        <v>975</v>
      </c>
      <c r="C908" s="153"/>
      <c r="D908" s="153"/>
      <c r="E908" s="154"/>
      <c r="F908" s="153"/>
      <c r="G908" s="138">
        <f>SUM(G909:G920)</f>
        <v>16691.422300862811</v>
      </c>
      <c r="H908" s="139">
        <v>0.1</v>
      </c>
      <c r="I908" s="138">
        <f>G908+(G908*H908)</f>
        <v>18360.56453094909</v>
      </c>
      <c r="J908" s="140" t="b">
        <v>0</v>
      </c>
      <c r="K908" s="140" t="b">
        <v>0</v>
      </c>
    </row>
    <row r="909" spans="1:11" ht="13">
      <c r="A909" s="164"/>
      <c r="B909" s="4"/>
      <c r="C909" s="4" t="s">
        <v>251</v>
      </c>
      <c r="D909" s="146">
        <v>1</v>
      </c>
      <c r="E909" s="4" t="str">
        <f>VLOOKUP(C909,Master!$B$6:$N$1000,9,FALSE)</f>
        <v>Porsi</v>
      </c>
      <c r="F909" s="158">
        <f>VLOOKUP(C909,Master!$B$6:$N$1000,10,FALSE)</f>
        <v>1093.9890710382513</v>
      </c>
      <c r="G909" s="144">
        <f t="shared" ref="G909:G920" si="89">D909*F909</f>
        <v>1093.9890710382513</v>
      </c>
      <c r="H909" s="4"/>
      <c r="I909" s="4"/>
      <c r="J909" s="4"/>
      <c r="K909" s="4"/>
    </row>
    <row r="910" spans="1:11" ht="13">
      <c r="A910" s="164"/>
      <c r="B910" s="4"/>
      <c r="C910" s="4" t="s">
        <v>1267</v>
      </c>
      <c r="D910" s="146">
        <v>100</v>
      </c>
      <c r="E910" s="4" t="str">
        <f>VLOOKUP(C910,Master!$B$6:$N$1000,9,FALSE)</f>
        <v>gr</v>
      </c>
      <c r="F910" s="158">
        <f>VLOOKUP(C910,Master!$B$6:$N$1000,10,FALSE)</f>
        <v>95</v>
      </c>
      <c r="G910" s="144">
        <f t="shared" si="89"/>
        <v>9500</v>
      </c>
      <c r="H910" s="4"/>
      <c r="I910" s="4"/>
      <c r="J910" s="4"/>
      <c r="K910" s="4"/>
    </row>
    <row r="911" spans="1:11" ht="13">
      <c r="A911" s="164"/>
      <c r="B911" s="4"/>
      <c r="C911" s="4" t="s">
        <v>317</v>
      </c>
      <c r="D911" s="146">
        <v>1</v>
      </c>
      <c r="E911" s="4" t="str">
        <f>VLOOKUP(C911,Master!$B$6:$N$1000,9,FALSE)</f>
        <v>pcs</v>
      </c>
      <c r="F911" s="158">
        <f>VLOOKUP(C911,Master!$B$6:$N$1000,10,FALSE)</f>
        <v>766.22624736842113</v>
      </c>
      <c r="G911" s="144">
        <f t="shared" si="89"/>
        <v>766.22624736842113</v>
      </c>
      <c r="H911" s="4"/>
      <c r="I911" s="4"/>
      <c r="J911" s="4"/>
      <c r="K911" s="4"/>
    </row>
    <row r="912" spans="1:11" ht="13">
      <c r="A912" s="164"/>
      <c r="B912" s="4"/>
      <c r="C912" s="4" t="s">
        <v>659</v>
      </c>
      <c r="D912" s="146">
        <v>1</v>
      </c>
      <c r="E912" s="4" t="str">
        <f>VLOOKUP(C912,Master!$B$6:$N$1000,9,FALSE)</f>
        <v>pcs</v>
      </c>
      <c r="F912" s="158">
        <f>VLOOKUP(C912,Master!$B$6:$N$1000,10,FALSE)</f>
        <v>1866.6666666666667</v>
      </c>
      <c r="G912" s="144">
        <f t="shared" si="89"/>
        <v>1866.6666666666667</v>
      </c>
      <c r="H912" s="4"/>
      <c r="I912" s="4"/>
      <c r="J912" s="4"/>
      <c r="K912" s="4"/>
    </row>
    <row r="913" spans="1:11" ht="13">
      <c r="A913" s="164"/>
      <c r="B913" s="4"/>
      <c r="C913" s="4" t="s">
        <v>416</v>
      </c>
      <c r="D913" s="146">
        <v>1</v>
      </c>
      <c r="E913" s="4" t="str">
        <f>VLOOKUP(C913,Master!$B$6:$N$1000,9,FALSE)</f>
        <v>porsi</v>
      </c>
      <c r="F913" s="158">
        <f>VLOOKUP(C913,Master!$B$6:$N$1000,10,FALSE)</f>
        <v>1145.4508421052631</v>
      </c>
      <c r="G913" s="144">
        <f t="shared" si="89"/>
        <v>1145.4508421052631</v>
      </c>
      <c r="H913" s="4"/>
      <c r="I913" s="4"/>
      <c r="J913" s="4"/>
      <c r="K913" s="4"/>
    </row>
    <row r="914" spans="1:11" ht="13">
      <c r="A914" s="164"/>
      <c r="B914" s="4"/>
      <c r="C914" s="4" t="s">
        <v>259</v>
      </c>
      <c r="D914" s="146">
        <v>1</v>
      </c>
      <c r="E914" s="4" t="str">
        <f>VLOOKUP(C914,Master!$B$6:$N$1000,9,FALSE)</f>
        <v>gr</v>
      </c>
      <c r="F914" s="158">
        <f>VLOOKUP(C914,Master!$B$6:$N$1000,10,FALSE)</f>
        <v>1114.5894736842106</v>
      </c>
      <c r="G914" s="144">
        <f t="shared" si="89"/>
        <v>1114.5894736842106</v>
      </c>
      <c r="H914" s="4"/>
      <c r="I914" s="4"/>
      <c r="J914" s="4"/>
      <c r="K914" s="4"/>
    </row>
    <row r="915" spans="1:11" ht="13">
      <c r="A915" s="164"/>
      <c r="B915" s="4"/>
      <c r="C915" s="4" t="s">
        <v>1269</v>
      </c>
      <c r="D915" s="146">
        <v>15</v>
      </c>
      <c r="E915" s="4" t="str">
        <f>VLOOKUP(C915,Master!$B$6:$N$1000,9,FALSE)</f>
        <v>gr</v>
      </c>
      <c r="F915" s="158">
        <f>VLOOKUP(C915,Master!$B$6:$N$1000,10,FALSE)</f>
        <v>28</v>
      </c>
      <c r="G915" s="144">
        <f t="shared" si="89"/>
        <v>420</v>
      </c>
      <c r="H915" s="4"/>
      <c r="I915" s="4"/>
      <c r="J915" s="4"/>
      <c r="K915" s="4"/>
    </row>
    <row r="916" spans="1:11" ht="13">
      <c r="A916" s="164"/>
      <c r="B916" s="4"/>
      <c r="C916" s="4" t="s">
        <v>819</v>
      </c>
      <c r="D916" s="146">
        <v>5</v>
      </c>
      <c r="E916" s="4" t="str">
        <f>VLOOKUP(C916,Master!$B$6:$N$1000,9,FALSE)</f>
        <v>gr</v>
      </c>
      <c r="F916" s="158">
        <f>VLOOKUP(C916,Master!$B$6:$N$1000,10,FALSE)</f>
        <v>13</v>
      </c>
      <c r="G916" s="144">
        <f t="shared" si="89"/>
        <v>65</v>
      </c>
      <c r="H916" s="4"/>
      <c r="I916" s="4"/>
      <c r="J916" s="4"/>
      <c r="K916" s="4"/>
    </row>
    <row r="917" spans="1:11" ht="13">
      <c r="A917" s="164"/>
      <c r="B917" s="4"/>
      <c r="C917" s="4" t="s">
        <v>1261</v>
      </c>
      <c r="D917" s="146">
        <v>5</v>
      </c>
      <c r="E917" s="4" t="str">
        <f>VLOOKUP(C917,Master!$B$6:$N$1000,9,FALSE)</f>
        <v>gr</v>
      </c>
      <c r="F917" s="158">
        <f>VLOOKUP(C917,Master!$B$6:$N$1000,10,FALSE)</f>
        <v>100</v>
      </c>
      <c r="G917" s="144">
        <f t="shared" si="89"/>
        <v>500</v>
      </c>
      <c r="H917" s="4"/>
      <c r="I917" s="4"/>
      <c r="J917" s="4"/>
      <c r="K917" s="4"/>
    </row>
    <row r="918" spans="1:11" ht="13">
      <c r="A918" s="164"/>
      <c r="B918" s="4"/>
      <c r="C918" s="4" t="s">
        <v>2043</v>
      </c>
      <c r="D918" s="146">
        <v>3</v>
      </c>
      <c r="E918" s="4" t="str">
        <f>VLOOKUP(C918,Master!$B$6:$N$1000,9,FALSE)</f>
        <v>gr</v>
      </c>
      <c r="F918" s="158">
        <f>VLOOKUP(C918,Master!$B$6:$N$1000,10,FALSE)</f>
        <v>38.5</v>
      </c>
      <c r="G918" s="144">
        <f t="shared" si="89"/>
        <v>115.5</v>
      </c>
      <c r="H918" s="4"/>
      <c r="I918" s="4"/>
      <c r="J918" s="4"/>
      <c r="K918" s="4"/>
    </row>
    <row r="919" spans="1:11" ht="13">
      <c r="A919" s="164"/>
      <c r="B919" s="4"/>
      <c r="C919" s="4" t="s">
        <v>1000</v>
      </c>
      <c r="D919" s="146">
        <v>2</v>
      </c>
      <c r="E919" s="4" t="str">
        <f>VLOOKUP(C919,Master!$B$6:$N$1000,9,FALSE)</f>
        <v>gr</v>
      </c>
      <c r="F919" s="158">
        <f>VLOOKUP(C919,Master!$B$6:$N$1000,10,FALSE)</f>
        <v>44.5</v>
      </c>
      <c r="G919" s="144">
        <f t="shared" si="89"/>
        <v>89</v>
      </c>
      <c r="H919" s="4"/>
      <c r="I919" s="4"/>
      <c r="J919" s="4"/>
      <c r="K919" s="4"/>
    </row>
    <row r="920" spans="1:11" ht="13">
      <c r="A920" s="164"/>
      <c r="B920" s="4"/>
      <c r="C920" s="4" t="s">
        <v>764</v>
      </c>
      <c r="D920" s="146">
        <v>1</v>
      </c>
      <c r="E920" s="4" t="str">
        <f>VLOOKUP(C920,Master!$B$6:$N$1000,9,FALSE)</f>
        <v>gr</v>
      </c>
      <c r="F920" s="158">
        <f>VLOOKUP(C920,Master!$B$6:$N$1000,10,FALSE)</f>
        <v>15</v>
      </c>
      <c r="G920" s="144">
        <f t="shared" si="89"/>
        <v>15</v>
      </c>
      <c r="H920" s="4"/>
      <c r="I920" s="4"/>
      <c r="J920" s="4"/>
      <c r="K920" s="4"/>
    </row>
    <row r="921" spans="1:11" ht="13">
      <c r="A921" s="164"/>
      <c r="B921" s="4"/>
      <c r="C921" s="4"/>
      <c r="D921" s="4"/>
      <c r="E921" s="4"/>
      <c r="F921" s="4"/>
      <c r="G921" s="4"/>
      <c r="H921" s="4"/>
      <c r="I921" s="4"/>
      <c r="J921" s="4"/>
      <c r="K921" s="4"/>
    </row>
    <row r="922" spans="1:11" ht="13">
      <c r="A922" s="134" t="str">
        <f>VLOOKUP(B922,Master!$V$7:$W$1000,2,FALSE)</f>
        <v>M0159</v>
      </c>
      <c r="B922" s="135" t="s">
        <v>845</v>
      </c>
      <c r="C922" s="153"/>
      <c r="D922" s="153"/>
      <c r="E922" s="154"/>
      <c r="F922" s="153"/>
      <c r="G922" s="138">
        <f>SUM(G923:G932)</f>
        <v>15186.696965775092</v>
      </c>
      <c r="H922" s="139">
        <v>0.1</v>
      </c>
      <c r="I922" s="138">
        <f>G922+(G922*H922)</f>
        <v>16705.366662352601</v>
      </c>
      <c r="J922" s="140" t="b">
        <v>0</v>
      </c>
      <c r="K922" s="140" t="b">
        <v>0</v>
      </c>
    </row>
    <row r="923" spans="1:11" ht="13">
      <c r="A923" s="164"/>
      <c r="B923" s="4"/>
      <c r="C923" s="4" t="s">
        <v>251</v>
      </c>
      <c r="D923" s="146">
        <v>1</v>
      </c>
      <c r="E923" s="4" t="str">
        <f>VLOOKUP(C923,Master!$B$6:$N$1000,9,FALSE)</f>
        <v>Porsi</v>
      </c>
      <c r="F923" s="158">
        <f>VLOOKUP(C923,Master!$B$6:$N$1000,10,FALSE)</f>
        <v>1093.9890710382513</v>
      </c>
      <c r="G923" s="144">
        <f t="shared" ref="G923:G932" si="90">D923*F923</f>
        <v>1093.9890710382513</v>
      </c>
      <c r="H923" s="4"/>
      <c r="I923" s="4"/>
      <c r="J923" s="4"/>
      <c r="K923" s="4"/>
    </row>
    <row r="924" spans="1:11" ht="13">
      <c r="A924" s="164"/>
      <c r="B924" s="4"/>
      <c r="C924" s="4" t="s">
        <v>1125</v>
      </c>
      <c r="D924" s="146">
        <v>85</v>
      </c>
      <c r="E924" s="4" t="str">
        <f>VLOOKUP(C924,Master!$B$6:$N$1000,9,FALSE)</f>
        <v>gr</v>
      </c>
      <c r="F924" s="158">
        <f>VLOOKUP(C924,Master!$B$6:$N$1000,10,FALSE)</f>
        <v>127</v>
      </c>
      <c r="G924" s="144">
        <f t="shared" si="90"/>
        <v>10795</v>
      </c>
      <c r="H924" s="4"/>
      <c r="I924" s="4"/>
      <c r="J924" s="4"/>
      <c r="K924" s="4"/>
    </row>
    <row r="925" spans="1:11" ht="13">
      <c r="A925" s="164"/>
      <c r="B925" s="4"/>
      <c r="C925" s="4" t="s">
        <v>484</v>
      </c>
      <c r="D925" s="146">
        <v>1</v>
      </c>
      <c r="E925" s="4" t="str">
        <f>VLOOKUP(C925,Master!$B$6:$N$1000,9,FALSE)</f>
        <v>porsi</v>
      </c>
      <c r="F925" s="158">
        <f>VLOOKUP(C925,Master!$B$6:$N$1000,10,FALSE)</f>
        <v>554.29</v>
      </c>
      <c r="G925" s="144">
        <f t="shared" si="90"/>
        <v>554.29</v>
      </c>
      <c r="H925" s="4"/>
      <c r="I925" s="4"/>
      <c r="J925" s="4"/>
      <c r="K925" s="4"/>
    </row>
    <row r="926" spans="1:11" ht="13">
      <c r="A926" s="164"/>
      <c r="B926" s="4"/>
      <c r="C926" s="4" t="s">
        <v>1232</v>
      </c>
      <c r="D926" s="146">
        <v>50</v>
      </c>
      <c r="E926" s="4" t="str">
        <f>VLOOKUP(C926,Master!$B$6:$N$1000,9,FALSE)</f>
        <v>gr</v>
      </c>
      <c r="F926" s="158">
        <f>VLOOKUP(C926,Master!$B$6:$N$1000,10,FALSE)</f>
        <v>20</v>
      </c>
      <c r="G926" s="144">
        <f t="shared" si="90"/>
        <v>1000</v>
      </c>
      <c r="H926" s="4"/>
      <c r="I926" s="4"/>
      <c r="J926" s="4"/>
      <c r="K926" s="4"/>
    </row>
    <row r="927" spans="1:11" ht="13">
      <c r="A927" s="164"/>
      <c r="B927" s="4"/>
      <c r="C927" s="4" t="s">
        <v>1233</v>
      </c>
      <c r="D927" s="146">
        <v>10</v>
      </c>
      <c r="E927" s="4" t="str">
        <f>VLOOKUP(C927,Master!$B$6:$N$1000,9,FALSE)</f>
        <v>gr</v>
      </c>
      <c r="F927" s="158">
        <f>VLOOKUP(C927,Master!$B$6:$N$1000,10,FALSE)</f>
        <v>34</v>
      </c>
      <c r="G927" s="144">
        <f t="shared" si="90"/>
        <v>340</v>
      </c>
      <c r="H927" s="4"/>
      <c r="I927" s="4"/>
      <c r="J927" s="4"/>
      <c r="K927" s="4"/>
    </row>
    <row r="928" spans="1:11" ht="13">
      <c r="A928" s="164"/>
      <c r="B928" s="4"/>
      <c r="C928" s="4" t="s">
        <v>819</v>
      </c>
      <c r="D928" s="146">
        <v>5</v>
      </c>
      <c r="E928" s="4" t="str">
        <f>VLOOKUP(C928,Master!$B$6:$N$1000,9,FALSE)</f>
        <v>gr</v>
      </c>
      <c r="F928" s="158">
        <f>VLOOKUP(C928,Master!$B$6:$N$1000,10,FALSE)</f>
        <v>13</v>
      </c>
      <c r="G928" s="144">
        <f t="shared" si="90"/>
        <v>65</v>
      </c>
      <c r="H928" s="4"/>
      <c r="I928" s="4"/>
      <c r="J928" s="4"/>
      <c r="K928" s="4"/>
    </row>
    <row r="929" spans="1:11" ht="13">
      <c r="A929" s="164"/>
      <c r="B929" s="4"/>
      <c r="C929" s="4" t="s">
        <v>885</v>
      </c>
      <c r="D929" s="146">
        <v>5</v>
      </c>
      <c r="E929" s="4" t="str">
        <f>VLOOKUP(C929,Master!$B$6:$N$1000,9,FALSE)</f>
        <v>gr</v>
      </c>
      <c r="F929" s="158">
        <f>VLOOKUP(C929,Master!$B$6:$N$1000,10,FALSE)</f>
        <v>30.5</v>
      </c>
      <c r="G929" s="144">
        <f t="shared" si="90"/>
        <v>152.5</v>
      </c>
      <c r="H929" s="4"/>
      <c r="I929" s="4"/>
      <c r="J929" s="4"/>
      <c r="K929" s="4"/>
    </row>
    <row r="930" spans="1:11" ht="13">
      <c r="A930" s="164"/>
      <c r="B930" s="4"/>
      <c r="C930" s="4" t="s">
        <v>1261</v>
      </c>
      <c r="D930" s="146">
        <v>5</v>
      </c>
      <c r="E930" s="4" t="str">
        <f>VLOOKUP(C930,Master!$B$6:$N$1000,9,FALSE)</f>
        <v>gr</v>
      </c>
      <c r="F930" s="158">
        <f>VLOOKUP(C930,Master!$B$6:$N$1000,10,FALSE)</f>
        <v>100</v>
      </c>
      <c r="G930" s="144">
        <f t="shared" si="90"/>
        <v>500</v>
      </c>
      <c r="H930" s="4"/>
      <c r="I930" s="4"/>
      <c r="J930" s="4"/>
      <c r="K930" s="4"/>
    </row>
    <row r="931" spans="1:11" ht="13">
      <c r="A931" s="164"/>
      <c r="B931" s="4"/>
      <c r="C931" s="4" t="s">
        <v>508</v>
      </c>
      <c r="D931" s="146">
        <v>1</v>
      </c>
      <c r="E931" s="4" t="str">
        <f>VLOOKUP(C931,Master!$B$6:$N$1000,9,FALSE)</f>
        <v>porsi</v>
      </c>
      <c r="F931" s="158">
        <f>VLOOKUP(C931,Master!$B$6:$N$1000,10,FALSE)</f>
        <v>640.91789473684219</v>
      </c>
      <c r="G931" s="144">
        <f t="shared" si="90"/>
        <v>640.91789473684219</v>
      </c>
      <c r="H931" s="4"/>
      <c r="I931" s="4"/>
      <c r="J931" s="4"/>
      <c r="K931" s="4"/>
    </row>
    <row r="932" spans="1:11" ht="13">
      <c r="A932" s="164"/>
      <c r="B932" s="4"/>
      <c r="C932" s="4" t="s">
        <v>1258</v>
      </c>
      <c r="D932" s="146">
        <v>3</v>
      </c>
      <c r="E932" s="4" t="str">
        <f>VLOOKUP(C932,Master!$B$6:$N$1000,9,FALSE)</f>
        <v>gr</v>
      </c>
      <c r="F932" s="158">
        <f>VLOOKUP(C932,Master!$B$6:$N$1000,10,FALSE)</f>
        <v>15</v>
      </c>
      <c r="G932" s="144">
        <f t="shared" si="90"/>
        <v>45</v>
      </c>
      <c r="H932" s="4"/>
      <c r="I932" s="4"/>
      <c r="J932" s="4"/>
      <c r="K932" s="4"/>
    </row>
    <row r="933" spans="1:11" ht="13">
      <c r="A933" s="164"/>
      <c r="B933" s="4"/>
      <c r="C933" s="4"/>
      <c r="D933" s="4"/>
      <c r="E933" s="4"/>
      <c r="F933" s="4"/>
      <c r="G933" s="4"/>
      <c r="H933" s="4"/>
      <c r="I933" s="4"/>
      <c r="J933" s="4"/>
      <c r="K933" s="4"/>
    </row>
    <row r="934" spans="1:11" ht="13">
      <c r="A934" s="134" t="str">
        <f>VLOOKUP(B934,Master!$V$7:$W$1000,2,FALSE)</f>
        <v>B029</v>
      </c>
      <c r="B934" s="135" t="s">
        <v>981</v>
      </c>
      <c r="C934" s="153"/>
      <c r="D934" s="153"/>
      <c r="E934" s="154"/>
      <c r="F934" s="153"/>
      <c r="G934" s="138">
        <f>SUM(G935:G940)</f>
        <v>4792.5</v>
      </c>
      <c r="H934" s="139">
        <v>0.1</v>
      </c>
      <c r="I934" s="138">
        <f>G934+(G934*H934)</f>
        <v>5271.75</v>
      </c>
      <c r="J934" s="140" t="b">
        <v>0</v>
      </c>
      <c r="K934" s="140" t="b">
        <v>0</v>
      </c>
    </row>
    <row r="935" spans="1:11" ht="13">
      <c r="A935" s="164"/>
      <c r="B935" s="4"/>
      <c r="C935" s="4" t="s">
        <v>1265</v>
      </c>
      <c r="D935" s="146">
        <v>150</v>
      </c>
      <c r="E935" s="4" t="str">
        <f>VLOOKUP(C935,Master!$B$6:$N$1000,9,FALSE)</f>
        <v>gr</v>
      </c>
      <c r="F935" s="158">
        <f>VLOOKUP(C935,Master!$B$6:$N$1000,10,FALSE)</f>
        <v>15</v>
      </c>
      <c r="G935" s="144">
        <f t="shared" ref="G935:G940" si="91">D935*F935</f>
        <v>2250</v>
      </c>
      <c r="H935" s="4"/>
      <c r="I935" s="4"/>
      <c r="J935" s="4"/>
      <c r="K935" s="4"/>
    </row>
    <row r="936" spans="1:11" ht="13">
      <c r="A936" s="164"/>
      <c r="B936" s="4"/>
      <c r="C936" s="4" t="s">
        <v>2045</v>
      </c>
      <c r="D936" s="146">
        <v>50</v>
      </c>
      <c r="E936" s="4" t="str">
        <f>VLOOKUP(C936,Master!$B$6:$N$1000,9,FALSE)</f>
        <v>gr</v>
      </c>
      <c r="F936" s="158">
        <f>VLOOKUP(C936,Master!$B$6:$N$1000,10,FALSE)</f>
        <v>14.25</v>
      </c>
      <c r="G936" s="144">
        <f t="shared" si="91"/>
        <v>712.5</v>
      </c>
      <c r="H936" s="4"/>
      <c r="I936" s="4"/>
      <c r="J936" s="4"/>
      <c r="K936" s="4"/>
    </row>
    <row r="937" spans="1:11" ht="13">
      <c r="A937" s="164"/>
      <c r="B937" s="4"/>
      <c r="C937" s="4" t="s">
        <v>1266</v>
      </c>
      <c r="D937" s="146">
        <v>30</v>
      </c>
      <c r="E937" s="4" t="str">
        <f>VLOOKUP(C937,Master!$B$6:$N$1000,9,FALSE)</f>
        <v>gr</v>
      </c>
      <c r="F937" s="158">
        <f>VLOOKUP(C937,Master!$B$6:$N$1000,10,FALSE)</f>
        <v>36</v>
      </c>
      <c r="G937" s="144">
        <f t="shared" si="91"/>
        <v>1080</v>
      </c>
      <c r="H937" s="4"/>
      <c r="I937" s="4"/>
      <c r="J937" s="4"/>
      <c r="K937" s="4"/>
    </row>
    <row r="938" spans="1:11" ht="13">
      <c r="A938" s="164"/>
      <c r="B938" s="4"/>
      <c r="C938" s="4" t="s">
        <v>1980</v>
      </c>
      <c r="D938" s="146">
        <v>30</v>
      </c>
      <c r="E938" s="4" t="str">
        <f>VLOOKUP(C938,Master!$B$6:$N$1000,9,FALSE)</f>
        <v>gr</v>
      </c>
      <c r="F938" s="158">
        <f>VLOOKUP(C938,Master!$B$6:$N$1000,10,FALSE)</f>
        <v>17.5</v>
      </c>
      <c r="G938" s="144">
        <f t="shared" si="91"/>
        <v>525</v>
      </c>
      <c r="H938" s="4"/>
      <c r="I938" s="4"/>
      <c r="J938" s="4"/>
      <c r="K938" s="4"/>
    </row>
    <row r="939" spans="1:11" ht="13">
      <c r="A939" s="164"/>
      <c r="B939" s="4"/>
      <c r="C939" s="4" t="s">
        <v>764</v>
      </c>
      <c r="D939" s="146">
        <v>1</v>
      </c>
      <c r="E939" s="4" t="str">
        <f>VLOOKUP(C939,Master!$B$6:$N$1000,9,FALSE)</f>
        <v>gr</v>
      </c>
      <c r="F939" s="158">
        <f>VLOOKUP(C939,Master!$B$6:$N$1000,10,FALSE)</f>
        <v>15</v>
      </c>
      <c r="G939" s="144">
        <f t="shared" si="91"/>
        <v>15</v>
      </c>
      <c r="H939" s="4"/>
      <c r="I939" s="4"/>
      <c r="J939" s="4"/>
      <c r="K939" s="4"/>
    </row>
    <row r="940" spans="1:11" ht="13">
      <c r="A940" s="164"/>
      <c r="B940" s="4"/>
      <c r="C940" s="4" t="s">
        <v>2029</v>
      </c>
      <c r="D940" s="146">
        <v>5</v>
      </c>
      <c r="E940" s="4" t="str">
        <f>VLOOKUP(C940,Master!$B$6:$N$1000,9,FALSE)</f>
        <v>gr</v>
      </c>
      <c r="F940" s="158">
        <f>VLOOKUP(C940,Master!$B$6:$N$1000,10,FALSE)</f>
        <v>42</v>
      </c>
      <c r="G940" s="144">
        <f t="shared" si="91"/>
        <v>210</v>
      </c>
      <c r="H940" s="4"/>
      <c r="I940" s="4"/>
      <c r="J940" s="4"/>
      <c r="K940" s="4"/>
    </row>
    <row r="941" spans="1:11" ht="13">
      <c r="A941" s="164"/>
      <c r="B941" s="4"/>
      <c r="C941" s="4"/>
      <c r="D941" s="4"/>
      <c r="E941" s="4"/>
      <c r="F941" s="4"/>
      <c r="G941" s="4"/>
      <c r="H941" s="4"/>
      <c r="I941" s="4"/>
      <c r="J941" s="4"/>
      <c r="K941" s="4"/>
    </row>
    <row r="942" spans="1:11" ht="13">
      <c r="A942" s="134" t="str">
        <f>VLOOKUP(B942,Master!$V$7:$W$1000,2,FALSE)</f>
        <v>B028</v>
      </c>
      <c r="B942" s="135" t="s">
        <v>978</v>
      </c>
      <c r="C942" s="153"/>
      <c r="D942" s="153"/>
      <c r="E942" s="154"/>
      <c r="F942" s="153"/>
      <c r="G942" s="138">
        <f>SUM(G943:G955)</f>
        <v>15320.079819868661</v>
      </c>
      <c r="H942" s="139">
        <v>0.1</v>
      </c>
      <c r="I942" s="138">
        <f>G942+(G942*H942)</f>
        <v>16852.087801855527</v>
      </c>
      <c r="J942" s="140" t="b">
        <v>0</v>
      </c>
      <c r="K942" s="140" t="b">
        <v>0</v>
      </c>
    </row>
    <row r="943" spans="1:11" ht="13">
      <c r="A943" s="164"/>
      <c r="B943" s="4"/>
      <c r="C943" s="4" t="s">
        <v>251</v>
      </c>
      <c r="D943" s="146">
        <v>1</v>
      </c>
      <c r="E943" s="4" t="str">
        <f>VLOOKUP(C943,Master!$B$6:$N$1000,9,FALSE)</f>
        <v>Porsi</v>
      </c>
      <c r="F943" s="158">
        <f>VLOOKUP(C943,Master!$B$6:$N$1000,10,FALSE)</f>
        <v>1093.9890710382513</v>
      </c>
      <c r="G943" s="144">
        <f t="shared" ref="G943:G955" si="92">D943*F943</f>
        <v>1093.9890710382513</v>
      </c>
      <c r="H943" s="4"/>
      <c r="I943" s="4"/>
      <c r="J943" s="4"/>
      <c r="K943" s="4"/>
    </row>
    <row r="944" spans="1:11" ht="13">
      <c r="A944" s="164"/>
      <c r="B944" s="4"/>
      <c r="C944" s="4" t="s">
        <v>1256</v>
      </c>
      <c r="D944" s="146">
        <v>70</v>
      </c>
      <c r="E944" s="4" t="str">
        <f>VLOOKUP(C944,Master!$B$6:$N$1000,9,FALSE)</f>
        <v>gr</v>
      </c>
      <c r="F944" s="158">
        <f>VLOOKUP(C944,Master!$B$6:$N$1000,10,FALSE)</f>
        <v>110</v>
      </c>
      <c r="G944" s="144">
        <f t="shared" si="92"/>
        <v>7700</v>
      </c>
      <c r="H944" s="4"/>
      <c r="I944" s="4"/>
      <c r="J944" s="4"/>
      <c r="K944" s="4"/>
    </row>
    <row r="945" spans="1:11" ht="13">
      <c r="A945" s="164"/>
      <c r="B945" s="4"/>
      <c r="C945" s="4" t="s">
        <v>317</v>
      </c>
      <c r="D945" s="146">
        <v>1</v>
      </c>
      <c r="E945" s="4" t="str">
        <f>VLOOKUP(C945,Master!$B$6:$N$1000,9,FALSE)</f>
        <v>pcs</v>
      </c>
      <c r="F945" s="158">
        <f>VLOOKUP(C945,Master!$B$6:$N$1000,10,FALSE)</f>
        <v>766.22624736842113</v>
      </c>
      <c r="G945" s="144">
        <f t="shared" si="92"/>
        <v>766.22624736842113</v>
      </c>
      <c r="H945" s="4"/>
      <c r="I945" s="4"/>
      <c r="J945" s="4"/>
      <c r="K945" s="4"/>
    </row>
    <row r="946" spans="1:11" ht="13">
      <c r="A946" s="164"/>
      <c r="B946" s="4"/>
      <c r="C946" s="4" t="s">
        <v>659</v>
      </c>
      <c r="D946" s="146">
        <v>1</v>
      </c>
      <c r="E946" s="4" t="str">
        <f>VLOOKUP(C946,Master!$B$6:$N$1000,9,FALSE)</f>
        <v>pcs</v>
      </c>
      <c r="F946" s="158">
        <f>VLOOKUP(C946,Master!$B$6:$N$1000,10,FALSE)</f>
        <v>1866.6666666666667</v>
      </c>
      <c r="G946" s="144">
        <f t="shared" si="92"/>
        <v>1866.6666666666667</v>
      </c>
      <c r="H946" s="4"/>
      <c r="I946" s="4"/>
      <c r="J946" s="4"/>
      <c r="K946" s="4"/>
    </row>
    <row r="947" spans="1:11" ht="13">
      <c r="A947" s="164"/>
      <c r="B947" s="4"/>
      <c r="C947" s="4" t="s">
        <v>412</v>
      </c>
      <c r="D947" s="146">
        <v>1</v>
      </c>
      <c r="E947" s="4" t="str">
        <f>VLOOKUP(C947,Master!$B$6:$N$1000,9,FALSE)</f>
        <v>porsi</v>
      </c>
      <c r="F947" s="158">
        <f>VLOOKUP(C947,Master!$B$6:$N$1000,10,FALSE)</f>
        <v>1057.9833611111112</v>
      </c>
      <c r="G947" s="144">
        <f t="shared" si="92"/>
        <v>1057.9833611111112</v>
      </c>
      <c r="H947" s="4"/>
      <c r="I947" s="4"/>
      <c r="J947" s="4"/>
      <c r="K947" s="4"/>
    </row>
    <row r="948" spans="1:11" ht="13">
      <c r="A948" s="164"/>
      <c r="B948" s="4"/>
      <c r="C948" s="4" t="s">
        <v>259</v>
      </c>
      <c r="D948" s="146">
        <v>1</v>
      </c>
      <c r="E948" s="4" t="str">
        <f>VLOOKUP(C948,Master!$B$6:$N$1000,9,FALSE)</f>
        <v>gr</v>
      </c>
      <c r="F948" s="158">
        <f>VLOOKUP(C948,Master!$B$6:$N$1000,10,FALSE)</f>
        <v>1114.5894736842106</v>
      </c>
      <c r="G948" s="144">
        <f t="shared" si="92"/>
        <v>1114.5894736842106</v>
      </c>
      <c r="H948" s="4"/>
      <c r="I948" s="4"/>
      <c r="J948" s="4"/>
      <c r="K948" s="4"/>
    </row>
    <row r="949" spans="1:11" ht="13">
      <c r="A949" s="164"/>
      <c r="B949" s="4"/>
      <c r="C949" s="4" t="s">
        <v>1269</v>
      </c>
      <c r="D949" s="146">
        <v>15</v>
      </c>
      <c r="E949" s="4" t="str">
        <f>VLOOKUP(C949,Master!$B$6:$N$1000,9,FALSE)</f>
        <v>gr</v>
      </c>
      <c r="F949" s="158">
        <f>VLOOKUP(C949,Master!$B$6:$N$1000,10,FALSE)</f>
        <v>28</v>
      </c>
      <c r="G949" s="144">
        <f t="shared" si="92"/>
        <v>420</v>
      </c>
      <c r="H949" s="4"/>
      <c r="I949" s="4"/>
      <c r="J949" s="4"/>
      <c r="K949" s="4"/>
    </row>
    <row r="950" spans="1:11" ht="13">
      <c r="A950" s="164"/>
      <c r="B950" s="4"/>
      <c r="C950" s="4" t="s">
        <v>819</v>
      </c>
      <c r="D950" s="146">
        <v>5</v>
      </c>
      <c r="E950" s="4" t="str">
        <f>VLOOKUP(C950,Master!$B$6:$N$1000,9,FALSE)</f>
        <v>gr</v>
      </c>
      <c r="F950" s="158">
        <f>VLOOKUP(C950,Master!$B$6:$N$1000,10,FALSE)</f>
        <v>13</v>
      </c>
      <c r="G950" s="144">
        <f t="shared" si="92"/>
        <v>65</v>
      </c>
      <c r="H950" s="4"/>
      <c r="I950" s="4"/>
      <c r="J950" s="4"/>
      <c r="K950" s="4"/>
    </row>
    <row r="951" spans="1:11" ht="13">
      <c r="A951" s="164"/>
      <c r="B951" s="4"/>
      <c r="C951" s="4" t="s">
        <v>1261</v>
      </c>
      <c r="D951" s="146">
        <v>5</v>
      </c>
      <c r="E951" s="4" t="str">
        <f>VLOOKUP(C951,Master!$B$6:$N$1000,9,FALSE)</f>
        <v>gr</v>
      </c>
      <c r="F951" s="158">
        <f>VLOOKUP(C951,Master!$B$6:$N$1000,10,FALSE)</f>
        <v>100</v>
      </c>
      <c r="G951" s="144">
        <f t="shared" si="92"/>
        <v>500</v>
      </c>
      <c r="H951" s="4"/>
      <c r="I951" s="4"/>
      <c r="J951" s="4"/>
      <c r="K951" s="4"/>
    </row>
    <row r="952" spans="1:11" ht="13">
      <c r="A952" s="164"/>
      <c r="B952" s="4"/>
      <c r="C952" s="4" t="s">
        <v>2043</v>
      </c>
      <c r="D952" s="146">
        <v>5</v>
      </c>
      <c r="E952" s="4" t="str">
        <f>VLOOKUP(C952,Master!$B$6:$N$1000,9,FALSE)</f>
        <v>gr</v>
      </c>
      <c r="F952" s="158">
        <f>VLOOKUP(C952,Master!$B$6:$N$1000,10,FALSE)</f>
        <v>38.5</v>
      </c>
      <c r="G952" s="144">
        <f t="shared" si="92"/>
        <v>192.5</v>
      </c>
      <c r="H952" s="4"/>
      <c r="I952" s="4"/>
      <c r="J952" s="4"/>
      <c r="K952" s="4"/>
    </row>
    <row r="953" spans="1:11" ht="13">
      <c r="A953" s="164"/>
      <c r="B953" s="4"/>
      <c r="C953" s="4" t="s">
        <v>1000</v>
      </c>
      <c r="D953" s="146">
        <v>5</v>
      </c>
      <c r="E953" s="4" t="str">
        <f>VLOOKUP(C953,Master!$B$6:$N$1000,9,FALSE)</f>
        <v>gr</v>
      </c>
      <c r="F953" s="158">
        <f>VLOOKUP(C953,Master!$B$6:$N$1000,10,FALSE)</f>
        <v>44.5</v>
      </c>
      <c r="G953" s="144">
        <f t="shared" si="92"/>
        <v>222.5</v>
      </c>
      <c r="H953" s="4"/>
      <c r="I953" s="4"/>
      <c r="J953" s="4"/>
      <c r="K953" s="4"/>
    </row>
    <row r="954" spans="1:11" ht="13">
      <c r="A954" s="164"/>
      <c r="B954" s="4"/>
      <c r="C954" s="4" t="s">
        <v>764</v>
      </c>
      <c r="D954" s="146">
        <v>2</v>
      </c>
      <c r="E954" s="4" t="str">
        <f>VLOOKUP(C954,Master!$B$6:$N$1000,9,FALSE)</f>
        <v>gr</v>
      </c>
      <c r="F954" s="158">
        <f>VLOOKUP(C954,Master!$B$6:$N$1000,10,FALSE)</f>
        <v>15</v>
      </c>
      <c r="G954" s="144">
        <f t="shared" si="92"/>
        <v>30</v>
      </c>
      <c r="H954" s="4"/>
      <c r="I954" s="4"/>
      <c r="J954" s="4"/>
      <c r="K954" s="4"/>
    </row>
    <row r="955" spans="1:11" ht="13">
      <c r="A955" s="164"/>
      <c r="B955" s="4"/>
      <c r="C955" s="4" t="s">
        <v>2042</v>
      </c>
      <c r="D955" s="146">
        <v>10</v>
      </c>
      <c r="E955" s="4" t="str">
        <f>VLOOKUP(C955,Master!$B$6:$N$1000,9,FALSE)</f>
        <v>gr</v>
      </c>
      <c r="F955" s="158">
        <f>VLOOKUP(C955,Master!$B$6:$N$1000,10,FALSE)</f>
        <v>29.0625</v>
      </c>
      <c r="G955" s="144">
        <f t="shared" si="92"/>
        <v>290.625</v>
      </c>
      <c r="H955" s="4"/>
      <c r="I955" s="4"/>
      <c r="J955" s="4"/>
      <c r="K955" s="4"/>
    </row>
    <row r="956" spans="1:11" ht="13">
      <c r="A956" s="164"/>
      <c r="B956" s="4"/>
      <c r="C956" s="4"/>
      <c r="D956" s="4"/>
      <c r="E956" s="4"/>
      <c r="F956" s="4"/>
      <c r="G956" s="4"/>
      <c r="H956" s="4"/>
      <c r="I956" s="4"/>
      <c r="J956" s="4"/>
      <c r="K956" s="4"/>
    </row>
    <row r="957" spans="1:11" ht="13">
      <c r="A957" s="134" t="str">
        <f>VLOOKUP(B957,Master!$V$7:$W$1000,2,FALSE)</f>
        <v>B030</v>
      </c>
      <c r="B957" s="135" t="s">
        <v>984</v>
      </c>
      <c r="C957" s="153"/>
      <c r="D957" s="153"/>
      <c r="E957" s="154"/>
      <c r="F957" s="153"/>
      <c r="G957" s="138">
        <f>SUM(G958:G964)</f>
        <v>7365.7373684210525</v>
      </c>
      <c r="H957" s="139">
        <v>0.1</v>
      </c>
      <c r="I957" s="138">
        <f>G957+(G957*H957)</f>
        <v>8102.3111052631575</v>
      </c>
      <c r="J957" s="140" t="b">
        <v>0</v>
      </c>
      <c r="K957" s="140" t="b">
        <v>0</v>
      </c>
    </row>
    <row r="958" spans="1:11" ht="13">
      <c r="A958" s="164"/>
      <c r="B958" s="4"/>
      <c r="C958" s="4" t="s">
        <v>484</v>
      </c>
      <c r="D958" s="146">
        <v>1</v>
      </c>
      <c r="E958" s="4" t="str">
        <f>VLOOKUP(C958,Master!$B$6:$N$1000,9,FALSE)</f>
        <v>porsi</v>
      </c>
      <c r="F958" s="158">
        <f>VLOOKUP(C958,Master!$B$6:$N$1000,10,FALSE)</f>
        <v>554.29</v>
      </c>
      <c r="G958" s="144">
        <f t="shared" ref="G958:G964" si="93">D958*F958</f>
        <v>554.29</v>
      </c>
      <c r="H958" s="4"/>
      <c r="I958" s="4"/>
      <c r="J958" s="4"/>
      <c r="K958" s="4"/>
    </row>
    <row r="959" spans="1:11" ht="13">
      <c r="A959" s="164"/>
      <c r="B959" s="4"/>
      <c r="C959" s="4" t="s">
        <v>1270</v>
      </c>
      <c r="D959" s="146">
        <v>3</v>
      </c>
      <c r="E959" s="4" t="str">
        <f>VLOOKUP(C959,Master!$B$6:$N$1000,9,FALSE)</f>
        <v>pcs</v>
      </c>
      <c r="F959" s="158">
        <f>VLOOKUP(C959,Master!$B$6:$N$1000,10,FALSE)</f>
        <v>1000</v>
      </c>
      <c r="G959" s="144">
        <f t="shared" si="93"/>
        <v>3000</v>
      </c>
      <c r="H959" s="4"/>
      <c r="I959" s="4"/>
      <c r="J959" s="4"/>
      <c r="K959" s="4"/>
    </row>
    <row r="960" spans="1:11" ht="13">
      <c r="A960" s="164"/>
      <c r="B960" s="4"/>
      <c r="C960" s="4" t="s">
        <v>1271</v>
      </c>
      <c r="D960" s="146">
        <v>1</v>
      </c>
      <c r="E960" s="4" t="str">
        <f>VLOOKUP(C960,Master!$B$6:$N$1000,9,FALSE)</f>
        <v>pcs</v>
      </c>
      <c r="F960" s="158">
        <f>VLOOKUP(C960,Master!$B$6:$N$1000,10,FALSE)</f>
        <v>800</v>
      </c>
      <c r="G960" s="144">
        <f t="shared" si="93"/>
        <v>800</v>
      </c>
      <c r="H960" s="4"/>
      <c r="I960" s="4"/>
      <c r="J960" s="4"/>
      <c r="K960" s="4"/>
    </row>
    <row r="961" spans="1:11" ht="13">
      <c r="A961" s="164"/>
      <c r="B961" s="4"/>
      <c r="C961" s="4" t="s">
        <v>1272</v>
      </c>
      <c r="D961" s="146">
        <v>1</v>
      </c>
      <c r="E961" s="4" t="str">
        <f>VLOOKUP(C961,Master!$B$6:$N$1000,9,FALSE)</f>
        <v>pcs</v>
      </c>
      <c r="F961" s="158">
        <f>VLOOKUP(C961,Master!$B$6:$N$1000,10,FALSE)</f>
        <v>1000</v>
      </c>
      <c r="G961" s="144">
        <f t="shared" si="93"/>
        <v>1000</v>
      </c>
      <c r="H961" s="4"/>
      <c r="I961" s="4"/>
      <c r="J961" s="4"/>
      <c r="K961" s="4"/>
    </row>
    <row r="962" spans="1:11" ht="13">
      <c r="A962" s="164"/>
      <c r="B962" s="4"/>
      <c r="C962" s="4" t="s">
        <v>885</v>
      </c>
      <c r="D962" s="146">
        <v>2</v>
      </c>
      <c r="E962" s="4" t="str">
        <f>VLOOKUP(C962,Master!$B$6:$N$1000,9,FALSE)</f>
        <v>gr</v>
      </c>
      <c r="F962" s="158">
        <f>VLOOKUP(C962,Master!$B$6:$N$1000,10,FALSE)</f>
        <v>30.5</v>
      </c>
      <c r="G962" s="144">
        <f t="shared" si="93"/>
        <v>61</v>
      </c>
      <c r="H962" s="4"/>
      <c r="I962" s="4"/>
      <c r="J962" s="4"/>
      <c r="K962" s="4"/>
    </row>
    <row r="963" spans="1:11" ht="13">
      <c r="A963" s="164"/>
      <c r="B963" s="4"/>
      <c r="C963" s="4" t="s">
        <v>819</v>
      </c>
      <c r="D963" s="146">
        <v>1</v>
      </c>
      <c r="E963" s="4" t="str">
        <f>VLOOKUP(C963,Master!$B$6:$N$1000,9,FALSE)</f>
        <v>gr</v>
      </c>
      <c r="F963" s="158">
        <f>VLOOKUP(C963,Master!$B$6:$N$1000,10,FALSE)</f>
        <v>13</v>
      </c>
      <c r="G963" s="144">
        <f t="shared" si="93"/>
        <v>13</v>
      </c>
      <c r="H963" s="4"/>
      <c r="I963" s="4"/>
      <c r="J963" s="4"/>
      <c r="K963" s="4"/>
    </row>
    <row r="964" spans="1:11" ht="13">
      <c r="A964" s="164"/>
      <c r="B964" s="4"/>
      <c r="C964" s="4" t="s">
        <v>452</v>
      </c>
      <c r="D964" s="146">
        <v>1</v>
      </c>
      <c r="E964" s="4" t="str">
        <f>VLOOKUP(C964,Master!$B$6:$N$1000,9,FALSE)</f>
        <v>porsi</v>
      </c>
      <c r="F964" s="158">
        <f>VLOOKUP(C964,Master!$B$6:$N$1000,10,FALSE)</f>
        <v>1937.4473684210527</v>
      </c>
      <c r="G964" s="144">
        <f t="shared" si="93"/>
        <v>1937.4473684210527</v>
      </c>
      <c r="H964" s="4"/>
      <c r="I964" s="4"/>
      <c r="J964" s="4"/>
      <c r="K964" s="4"/>
    </row>
    <row r="965" spans="1:11" ht="13">
      <c r="A965" s="164"/>
      <c r="B965" s="4"/>
      <c r="C965" s="4"/>
      <c r="D965" s="4"/>
      <c r="E965" s="4"/>
      <c r="F965" s="4"/>
      <c r="G965" s="4"/>
      <c r="H965" s="4"/>
      <c r="I965" s="4"/>
      <c r="J965" s="4"/>
      <c r="K965" s="4"/>
    </row>
    <row r="966" spans="1:11" ht="13">
      <c r="A966" s="134" t="str">
        <f>VLOOKUP(B966,Master!$V$7:$W$1000,2,FALSE)</f>
        <v>B038</v>
      </c>
      <c r="B966" s="135" t="s">
        <v>1007</v>
      </c>
      <c r="C966" s="153"/>
      <c r="D966" s="153"/>
      <c r="E966" s="154"/>
      <c r="F966" s="153"/>
      <c r="G966" s="138">
        <f>SUM(G967:G971)</f>
        <v>8717.2099321493624</v>
      </c>
      <c r="H966" s="139">
        <v>0.1</v>
      </c>
      <c r="I966" s="138">
        <f>G966+(G966*H966)</f>
        <v>9588.9309253642987</v>
      </c>
      <c r="J966" s="140" t="b">
        <v>0</v>
      </c>
      <c r="K966" s="140" t="b">
        <v>0</v>
      </c>
    </row>
    <row r="967" spans="1:11" ht="13">
      <c r="A967" s="164"/>
      <c r="B967" s="4"/>
      <c r="C967" s="4" t="s">
        <v>251</v>
      </c>
      <c r="D967" s="146">
        <v>1</v>
      </c>
      <c r="E967" s="4" t="str">
        <f>VLOOKUP(C967,Master!$B$6:$N$1000,9,FALSE)</f>
        <v>Porsi</v>
      </c>
      <c r="F967" s="158">
        <f>VLOOKUP(C967,Master!$B$6:$N$1000,10,FALSE)</f>
        <v>1093.9890710382513</v>
      </c>
      <c r="G967" s="144">
        <f t="shared" ref="G967:G971" si="94">D967*F967</f>
        <v>1093.9890710382513</v>
      </c>
      <c r="H967" s="4"/>
      <c r="I967" s="4"/>
      <c r="J967" s="4"/>
      <c r="K967" s="4"/>
    </row>
    <row r="968" spans="1:11" ht="13">
      <c r="A968" s="164"/>
      <c r="B968" s="4"/>
      <c r="C968" s="4" t="s">
        <v>424</v>
      </c>
      <c r="D968" s="146">
        <v>1</v>
      </c>
      <c r="E968" s="4" t="str">
        <f>VLOOKUP(C968,Master!$B$6:$N$1000,9,FALSE)</f>
        <v>porsi</v>
      </c>
      <c r="F968" s="158">
        <f>VLOOKUP(C968,Master!$B$6:$N$1000,10,FALSE)</f>
        <v>5105.2375000000002</v>
      </c>
      <c r="G968" s="144">
        <f t="shared" si="94"/>
        <v>5105.2375000000002</v>
      </c>
      <c r="H968" s="4"/>
      <c r="I968" s="4"/>
      <c r="J968" s="4"/>
      <c r="K968" s="4"/>
    </row>
    <row r="969" spans="1:11" ht="13">
      <c r="A969" s="164"/>
      <c r="B969" s="4"/>
      <c r="C969" s="4" t="s">
        <v>1237</v>
      </c>
      <c r="D969" s="146">
        <v>60</v>
      </c>
      <c r="E969" s="4" t="str">
        <f>VLOOKUP(C969,Master!$B$6:$N$1000,9,FALSE)</f>
        <v>gr</v>
      </c>
      <c r="F969" s="158">
        <f>VLOOKUP(C969,Master!$B$6:$N$1000,10,FALSE)</f>
        <v>20</v>
      </c>
      <c r="G969" s="144">
        <f t="shared" si="94"/>
        <v>1200</v>
      </c>
      <c r="H969" s="4"/>
      <c r="I969" s="4"/>
      <c r="J969" s="4"/>
      <c r="K969" s="4"/>
    </row>
    <row r="970" spans="1:11" ht="13">
      <c r="A970" s="164"/>
      <c r="B970" s="4"/>
      <c r="C970" s="4" t="s">
        <v>412</v>
      </c>
      <c r="D970" s="146">
        <v>1</v>
      </c>
      <c r="E970" s="4" t="str">
        <f>VLOOKUP(C970,Master!$B$6:$N$1000,9,FALSE)</f>
        <v>porsi</v>
      </c>
      <c r="F970" s="158">
        <f>VLOOKUP(C970,Master!$B$6:$N$1000,10,FALSE)</f>
        <v>1057.9833611111112</v>
      </c>
      <c r="G970" s="144">
        <f t="shared" si="94"/>
        <v>1057.9833611111112</v>
      </c>
      <c r="H970" s="4"/>
      <c r="I970" s="4"/>
      <c r="J970" s="4"/>
      <c r="K970" s="4"/>
    </row>
    <row r="971" spans="1:11" ht="13">
      <c r="A971" s="164"/>
      <c r="B971" s="4"/>
      <c r="C971" s="4" t="s">
        <v>1052</v>
      </c>
      <c r="D971" s="146">
        <v>20</v>
      </c>
      <c r="E971" s="4" t="str">
        <f>VLOOKUP(C971,Master!$B$6:$N$1000,9,FALSE)</f>
        <v>gr</v>
      </c>
      <c r="F971" s="158">
        <f>VLOOKUP(C971,Master!$B$6:$N$1000,10,FALSE)</f>
        <v>13</v>
      </c>
      <c r="G971" s="144">
        <f t="shared" si="94"/>
        <v>260</v>
      </c>
      <c r="H971" s="4"/>
      <c r="I971" s="4"/>
      <c r="J971" s="4"/>
      <c r="K971" s="4"/>
    </row>
    <row r="972" spans="1:11" ht="13">
      <c r="A972" s="164"/>
      <c r="B972" s="4"/>
      <c r="C972" s="4"/>
      <c r="D972" s="4"/>
      <c r="E972" s="4"/>
      <c r="F972" s="4"/>
      <c r="G972" s="4"/>
      <c r="H972" s="4"/>
      <c r="I972" s="4"/>
      <c r="J972" s="4"/>
      <c r="K972" s="4"/>
    </row>
    <row r="973" spans="1:11" ht="13">
      <c r="A973" s="134" t="str">
        <f>VLOOKUP(B973,Master!$V$7:$W$1000,2,FALSE)</f>
        <v>B039</v>
      </c>
      <c r="B973" s="135" t="s">
        <v>1010</v>
      </c>
      <c r="C973" s="153"/>
      <c r="D973" s="153"/>
      <c r="E973" s="154"/>
      <c r="F973" s="153"/>
      <c r="G973" s="138">
        <f>SUM(G974:G975)</f>
        <v>1838.5</v>
      </c>
      <c r="H973" s="139">
        <v>0.1</v>
      </c>
      <c r="I973" s="138">
        <f>G973+(G973*H973)</f>
        <v>2022.35</v>
      </c>
      <c r="J973" s="140" t="b">
        <v>0</v>
      </c>
      <c r="K973" s="140" t="b">
        <v>0</v>
      </c>
    </row>
    <row r="974" spans="1:11" ht="13">
      <c r="A974" s="164"/>
      <c r="B974" s="4"/>
      <c r="C974" s="4" t="s">
        <v>1237</v>
      </c>
      <c r="D974" s="146">
        <v>90</v>
      </c>
      <c r="E974" s="4" t="str">
        <f>VLOOKUP(C974,Master!$B$6:$N$1000,9,FALSE)</f>
        <v>gr</v>
      </c>
      <c r="F974" s="158">
        <f>VLOOKUP(C974,Master!$B$6:$N$1000,10,FALSE)</f>
        <v>20</v>
      </c>
      <c r="G974" s="144">
        <f t="shared" ref="G974:G975" si="95">D974*F974</f>
        <v>1800</v>
      </c>
      <c r="H974" s="4"/>
      <c r="I974" s="4"/>
      <c r="J974" s="4"/>
      <c r="K974" s="4"/>
    </row>
    <row r="975" spans="1:11" ht="13">
      <c r="A975" s="164"/>
      <c r="B975" s="4"/>
      <c r="C975" s="4" t="s">
        <v>2043</v>
      </c>
      <c r="D975" s="146">
        <v>1</v>
      </c>
      <c r="E975" s="4" t="str">
        <f>VLOOKUP(C975,Master!$B$6:$N$1000,9,FALSE)</f>
        <v>gr</v>
      </c>
      <c r="F975" s="158">
        <f>VLOOKUP(C975,Master!$B$6:$N$1000,10,FALSE)</f>
        <v>38.5</v>
      </c>
      <c r="G975" s="144">
        <f t="shared" si="95"/>
        <v>38.5</v>
      </c>
      <c r="H975" s="4"/>
      <c r="I975" s="4"/>
      <c r="J975" s="4"/>
      <c r="K975" s="4"/>
    </row>
    <row r="976" spans="1:11" ht="13">
      <c r="A976" s="164"/>
      <c r="B976" s="4"/>
      <c r="C976" s="4"/>
      <c r="D976" s="4"/>
      <c r="E976" s="4"/>
      <c r="F976" s="4"/>
      <c r="G976" s="4"/>
      <c r="H976" s="4"/>
      <c r="I976" s="4"/>
      <c r="J976" s="4"/>
      <c r="K976" s="4"/>
    </row>
    <row r="977" spans="1:11" ht="13">
      <c r="A977" s="134" t="str">
        <f>VLOOKUP(B977,Master!$V$7:$W$1000,2,FALSE)</f>
        <v>B040</v>
      </c>
      <c r="B977" s="135" t="s">
        <v>1013</v>
      </c>
      <c r="C977" s="153"/>
      <c r="D977" s="153"/>
      <c r="E977" s="154"/>
      <c r="F977" s="153"/>
      <c r="G977" s="138">
        <f>SUM(G978:G981)</f>
        <v>2059.666666666667</v>
      </c>
      <c r="H977" s="139">
        <v>0.1</v>
      </c>
      <c r="I977" s="138">
        <f>G977+(G977*H977)</f>
        <v>2265.6333333333337</v>
      </c>
      <c r="J977" s="140" t="b">
        <v>0</v>
      </c>
      <c r="K977" s="140" t="b">
        <v>0</v>
      </c>
    </row>
    <row r="978" spans="1:11" ht="13">
      <c r="A978" s="164"/>
      <c r="B978" s="4"/>
      <c r="C978" s="4" t="s">
        <v>659</v>
      </c>
      <c r="D978" s="146">
        <v>1</v>
      </c>
      <c r="E978" s="4" t="str">
        <f>VLOOKUP(C978,Master!$B$6:$N$1000,9,FALSE)</f>
        <v>pcs</v>
      </c>
      <c r="F978" s="158">
        <f>VLOOKUP(C978,Master!$B$6:$N$1000,10,FALSE)</f>
        <v>1866.6666666666667</v>
      </c>
      <c r="G978" s="144">
        <f t="shared" ref="G978:G981" si="96">D978*F978</f>
        <v>1866.6666666666667</v>
      </c>
      <c r="H978" s="4"/>
      <c r="I978" s="4"/>
      <c r="J978" s="4"/>
      <c r="K978" s="4"/>
    </row>
    <row r="979" spans="1:11" ht="13">
      <c r="A979" s="164"/>
      <c r="B979" s="4"/>
      <c r="C979" s="4" t="s">
        <v>819</v>
      </c>
      <c r="D979" s="146">
        <v>2</v>
      </c>
      <c r="E979" s="4" t="str">
        <f>VLOOKUP(C979,Master!$B$6:$N$1000,9,FALSE)</f>
        <v>gr</v>
      </c>
      <c r="F979" s="158">
        <f>VLOOKUP(C979,Master!$B$6:$N$1000,10,FALSE)</f>
        <v>13</v>
      </c>
      <c r="G979" s="144">
        <f t="shared" si="96"/>
        <v>26</v>
      </c>
      <c r="H979" s="4"/>
      <c r="I979" s="4"/>
      <c r="J979" s="4"/>
      <c r="K979" s="4"/>
    </row>
    <row r="980" spans="1:11" ht="13">
      <c r="A980" s="164"/>
      <c r="B980" s="4"/>
      <c r="C980" s="4" t="s">
        <v>2043</v>
      </c>
      <c r="D980" s="146">
        <v>2</v>
      </c>
      <c r="E980" s="4" t="str">
        <f>VLOOKUP(C980,Master!$B$6:$N$1000,9,FALSE)</f>
        <v>gr</v>
      </c>
      <c r="F980" s="158">
        <f>VLOOKUP(C980,Master!$B$6:$N$1000,10,FALSE)</f>
        <v>38.5</v>
      </c>
      <c r="G980" s="144">
        <f t="shared" si="96"/>
        <v>77</v>
      </c>
      <c r="H980" s="4"/>
      <c r="I980" s="4"/>
      <c r="J980" s="4"/>
      <c r="K980" s="4"/>
    </row>
    <row r="981" spans="1:11" ht="13">
      <c r="A981" s="164"/>
      <c r="B981" s="4"/>
      <c r="C981" s="4" t="s">
        <v>799</v>
      </c>
      <c r="D981" s="146">
        <v>1</v>
      </c>
      <c r="E981" s="4" t="str">
        <f>VLOOKUP(C981,Master!$B$6:$N$1000,9,FALSE)</f>
        <v>gr</v>
      </c>
      <c r="F981" s="158">
        <f>VLOOKUP(C981,Master!$B$6:$N$1000,10,FALSE)</f>
        <v>90</v>
      </c>
      <c r="G981" s="144">
        <f t="shared" si="96"/>
        <v>90</v>
      </c>
      <c r="H981" s="4"/>
      <c r="I981" s="4"/>
      <c r="J981" s="4"/>
      <c r="K981" s="4"/>
    </row>
    <row r="982" spans="1:11" ht="13">
      <c r="A982" s="164"/>
      <c r="B982" s="4"/>
      <c r="C982" s="4"/>
      <c r="D982" s="4"/>
      <c r="E982" s="4"/>
      <c r="F982" s="4"/>
      <c r="G982" s="4"/>
      <c r="H982" s="4"/>
      <c r="I982" s="4"/>
      <c r="J982" s="4"/>
      <c r="K982" s="4"/>
    </row>
    <row r="983" spans="1:11" ht="13">
      <c r="A983" s="134" t="str">
        <f>VLOOKUP(B983,Master!$V$7:$W$1000,2,FALSE)</f>
        <v>B041</v>
      </c>
      <c r="B983" s="135" t="s">
        <v>1016</v>
      </c>
      <c r="C983" s="153"/>
      <c r="D983" s="153"/>
      <c r="E983" s="154"/>
      <c r="F983" s="153"/>
      <c r="G983" s="138">
        <f>SUM(G984:G987)</f>
        <v>2059.666666666667</v>
      </c>
      <c r="H983" s="139">
        <v>0.1</v>
      </c>
      <c r="I983" s="138">
        <f>G983+(G983*H983)</f>
        <v>2265.6333333333337</v>
      </c>
      <c r="J983" s="140" t="b">
        <v>0</v>
      </c>
      <c r="K983" s="140" t="b">
        <v>0</v>
      </c>
    </row>
    <row r="984" spans="1:11" ht="13">
      <c r="A984" s="164"/>
      <c r="B984" s="4"/>
      <c r="C984" s="4" t="s">
        <v>659</v>
      </c>
      <c r="D984" s="146">
        <v>1</v>
      </c>
      <c r="E984" s="4" t="str">
        <f>VLOOKUP(C984,Master!$B$6:$N$1000,9,FALSE)</f>
        <v>pcs</v>
      </c>
      <c r="F984" s="158">
        <f>VLOOKUP(C984,Master!$B$6:$N$1000,10,FALSE)</f>
        <v>1866.6666666666667</v>
      </c>
      <c r="G984" s="144">
        <f t="shared" ref="G984:G987" si="97">D984*F984</f>
        <v>1866.6666666666667</v>
      </c>
      <c r="H984" s="4"/>
      <c r="I984" s="4"/>
      <c r="J984" s="4"/>
      <c r="K984" s="4"/>
    </row>
    <row r="985" spans="1:11" ht="13">
      <c r="A985" s="164"/>
      <c r="B985" s="4"/>
      <c r="C985" s="4" t="s">
        <v>819</v>
      </c>
      <c r="D985" s="146">
        <v>2</v>
      </c>
      <c r="E985" s="4" t="str">
        <f>VLOOKUP(C985,Master!$B$6:$N$1000,9,FALSE)</f>
        <v>gr</v>
      </c>
      <c r="F985" s="158">
        <f>VLOOKUP(C985,Master!$B$6:$N$1000,10,FALSE)</f>
        <v>13</v>
      </c>
      <c r="G985" s="144">
        <f t="shared" si="97"/>
        <v>26</v>
      </c>
      <c r="H985" s="4"/>
      <c r="I985" s="4"/>
      <c r="J985" s="4"/>
      <c r="K985" s="4"/>
    </row>
    <row r="986" spans="1:11" ht="13">
      <c r="A986" s="164"/>
      <c r="B986" s="4"/>
      <c r="C986" s="4" t="s">
        <v>2043</v>
      </c>
      <c r="D986" s="146">
        <v>2</v>
      </c>
      <c r="E986" s="4" t="str">
        <f>VLOOKUP(C986,Master!$B$6:$N$1000,9,FALSE)</f>
        <v>gr</v>
      </c>
      <c r="F986" s="158">
        <f>VLOOKUP(C986,Master!$B$6:$N$1000,10,FALSE)</f>
        <v>38.5</v>
      </c>
      <c r="G986" s="144">
        <f t="shared" si="97"/>
        <v>77</v>
      </c>
      <c r="H986" s="4"/>
      <c r="I986" s="4"/>
      <c r="J986" s="4"/>
      <c r="K986" s="4"/>
    </row>
    <row r="987" spans="1:11" ht="13">
      <c r="A987" s="164"/>
      <c r="B987" s="4"/>
      <c r="C987" s="4" t="s">
        <v>799</v>
      </c>
      <c r="D987" s="146">
        <v>1</v>
      </c>
      <c r="E987" s="4" t="str">
        <f>VLOOKUP(C987,Master!$B$6:$N$1000,9,FALSE)</f>
        <v>gr</v>
      </c>
      <c r="F987" s="158">
        <f>VLOOKUP(C987,Master!$B$6:$N$1000,10,FALSE)</f>
        <v>90</v>
      </c>
      <c r="G987" s="144">
        <f t="shared" si="97"/>
        <v>90</v>
      </c>
      <c r="H987" s="4"/>
      <c r="I987" s="4"/>
      <c r="J987" s="4"/>
      <c r="K987" s="4"/>
    </row>
    <row r="988" spans="1:11" ht="13">
      <c r="A988" s="164"/>
      <c r="B988" s="4"/>
      <c r="C988" s="4"/>
      <c r="D988" s="4"/>
      <c r="E988" s="4"/>
      <c r="F988" s="4"/>
      <c r="G988" s="4"/>
      <c r="H988" s="4"/>
      <c r="I988" s="4"/>
      <c r="J988" s="4"/>
      <c r="K988" s="4"/>
    </row>
    <row r="989" spans="1:11" ht="13">
      <c r="A989" s="134" t="str">
        <f>VLOOKUP(B989,Master!$V$7:$W$1000,2,FALSE)</f>
        <v>B042</v>
      </c>
      <c r="B989" s="135" t="s">
        <v>1019</v>
      </c>
      <c r="C989" s="153"/>
      <c r="D989" s="153"/>
      <c r="E989" s="154"/>
      <c r="F989" s="153"/>
      <c r="G989" s="138">
        <f>SUM(G990:G996)</f>
        <v>17381.732432149362</v>
      </c>
      <c r="H989" s="139">
        <v>0.1</v>
      </c>
      <c r="I989" s="138">
        <f>G989+(G989*H989)</f>
        <v>19119.905675364298</v>
      </c>
      <c r="J989" s="140" t="b">
        <v>0</v>
      </c>
      <c r="K989" s="140" t="b">
        <v>0</v>
      </c>
    </row>
    <row r="990" spans="1:11" ht="13">
      <c r="A990" s="164"/>
      <c r="B990" s="4"/>
      <c r="C990" s="4" t="s">
        <v>251</v>
      </c>
      <c r="D990" s="146">
        <v>1</v>
      </c>
      <c r="E990" s="4" t="str">
        <f>VLOOKUP(C990,Master!$B$6:$N$1000,9,FALSE)</f>
        <v>Porsi</v>
      </c>
      <c r="F990" s="158">
        <f>VLOOKUP(C990,Master!$B$6:$N$1000,10,FALSE)</f>
        <v>1093.9890710382513</v>
      </c>
      <c r="G990" s="144">
        <f t="shared" ref="G990:G996" si="98">D990*F990</f>
        <v>1093.9890710382513</v>
      </c>
      <c r="H990" s="4"/>
      <c r="I990" s="4"/>
      <c r="J990" s="4"/>
      <c r="K990" s="4"/>
    </row>
    <row r="991" spans="1:11" ht="13">
      <c r="A991" s="164"/>
      <c r="B991" s="4"/>
      <c r="C991" s="4" t="s">
        <v>504</v>
      </c>
      <c r="D991" s="146">
        <v>1</v>
      </c>
      <c r="E991" s="4" t="str">
        <f>VLOOKUP(C991,Master!$B$6:$N$1000,9,FALSE)</f>
        <v>porsi</v>
      </c>
      <c r="F991" s="158">
        <f>VLOOKUP(C991,Master!$B$6:$N$1000,10,FALSE)</f>
        <v>969.76</v>
      </c>
      <c r="G991" s="144">
        <f t="shared" si="98"/>
        <v>969.76</v>
      </c>
      <c r="H991" s="4"/>
      <c r="I991" s="4"/>
      <c r="J991" s="4"/>
      <c r="K991" s="4"/>
    </row>
    <row r="992" spans="1:11" ht="13">
      <c r="A992" s="164"/>
      <c r="B992" s="4"/>
      <c r="C992" s="4" t="s">
        <v>1125</v>
      </c>
      <c r="D992" s="146">
        <v>80</v>
      </c>
      <c r="E992" s="4" t="str">
        <f>VLOOKUP(C992,Master!$B$6:$N$1000,9,FALSE)</f>
        <v>gr</v>
      </c>
      <c r="F992" s="158">
        <f>VLOOKUP(C992,Master!$B$6:$N$1000,10,FALSE)</f>
        <v>127</v>
      </c>
      <c r="G992" s="144">
        <f t="shared" si="98"/>
        <v>10160</v>
      </c>
      <c r="H992" s="4"/>
      <c r="I992" s="4"/>
      <c r="J992" s="4"/>
      <c r="K992" s="4"/>
    </row>
    <row r="993" spans="1:11" ht="13">
      <c r="A993" s="164"/>
      <c r="B993" s="4"/>
      <c r="C993" s="4" t="s">
        <v>1279</v>
      </c>
      <c r="D993" s="146">
        <v>5</v>
      </c>
      <c r="E993" s="4" t="str">
        <f>VLOOKUP(C993,Master!$B$6:$N$1000,9,FALSE)</f>
        <v>gr</v>
      </c>
      <c r="F993" s="158">
        <f>VLOOKUP(C993,Master!$B$6:$N$1000,10,FALSE)</f>
        <v>20</v>
      </c>
      <c r="G993" s="144">
        <f t="shared" si="98"/>
        <v>100</v>
      </c>
      <c r="H993" s="4"/>
      <c r="I993" s="4"/>
      <c r="J993" s="4"/>
      <c r="K993" s="4"/>
    </row>
    <row r="994" spans="1:11" ht="13">
      <c r="A994" s="164"/>
      <c r="B994" s="4"/>
      <c r="C994" s="4" t="s">
        <v>1280</v>
      </c>
      <c r="D994" s="146">
        <v>0.5</v>
      </c>
      <c r="E994" s="4" t="str">
        <f>VLOOKUP(C994,Master!$B$6:$N$1000,9,FALSE)</f>
        <v>pcs</v>
      </c>
      <c r="F994" s="158">
        <f>VLOOKUP(C994,Master!$B$6:$N$1000,10,FALSE)</f>
        <v>7000</v>
      </c>
      <c r="G994" s="144">
        <f t="shared" si="98"/>
        <v>3500</v>
      </c>
      <c r="H994" s="4"/>
      <c r="I994" s="4"/>
      <c r="J994" s="4"/>
      <c r="K994" s="4"/>
    </row>
    <row r="995" spans="1:11" ht="13">
      <c r="A995" s="164"/>
      <c r="B995" s="4"/>
      <c r="C995" s="4" t="s">
        <v>1261</v>
      </c>
      <c r="D995" s="146">
        <v>5</v>
      </c>
      <c r="E995" s="4" t="str">
        <f>VLOOKUP(C995,Master!$B$6:$N$1000,9,FALSE)</f>
        <v>gr</v>
      </c>
      <c r="F995" s="158">
        <f>VLOOKUP(C995,Master!$B$6:$N$1000,10,FALSE)</f>
        <v>100</v>
      </c>
      <c r="G995" s="144">
        <f t="shared" si="98"/>
        <v>500</v>
      </c>
      <c r="H995" s="4"/>
      <c r="I995" s="4"/>
      <c r="J995" s="4"/>
      <c r="K995" s="4"/>
    </row>
    <row r="996" spans="1:11" ht="13">
      <c r="A996" s="164"/>
      <c r="B996" s="4"/>
      <c r="C996" s="4" t="s">
        <v>412</v>
      </c>
      <c r="D996" s="146">
        <v>1</v>
      </c>
      <c r="E996" s="4" t="str">
        <f>VLOOKUP(C996,Master!$B$6:$N$1000,9,FALSE)</f>
        <v>porsi</v>
      </c>
      <c r="F996" s="158">
        <f>VLOOKUP(C996,Master!$B$6:$N$1000,10,FALSE)</f>
        <v>1057.9833611111112</v>
      </c>
      <c r="G996" s="144">
        <f t="shared" si="98"/>
        <v>1057.9833611111112</v>
      </c>
      <c r="H996" s="4"/>
      <c r="I996" s="4"/>
      <c r="J996" s="4"/>
      <c r="K996" s="4"/>
    </row>
    <row r="997" spans="1:11" ht="13">
      <c r="A997" s="164"/>
      <c r="B997" s="4"/>
      <c r="C997" s="4"/>
      <c r="D997" s="4"/>
      <c r="E997" s="4"/>
      <c r="F997" s="4"/>
      <c r="G997" s="4"/>
      <c r="H997" s="4"/>
      <c r="I997" s="4"/>
      <c r="J997" s="4"/>
      <c r="K997" s="4"/>
    </row>
    <row r="998" spans="1:11" ht="13">
      <c r="A998" s="164"/>
      <c r="B998" s="4"/>
      <c r="C998" s="4"/>
      <c r="D998" s="4"/>
      <c r="E998" s="4"/>
      <c r="F998" s="4"/>
      <c r="G998" s="4"/>
      <c r="H998" s="4"/>
      <c r="I998" s="4"/>
      <c r="J998" s="4"/>
      <c r="K998" s="4"/>
    </row>
    <row r="999" spans="1:11" ht="13">
      <c r="A999" s="164"/>
      <c r="B999" s="4"/>
      <c r="C999" s="4"/>
      <c r="D999" s="4"/>
      <c r="E999" s="4"/>
      <c r="F999" s="4"/>
      <c r="G999" s="4"/>
      <c r="H999" s="4"/>
      <c r="I999" s="4"/>
      <c r="J999" s="4"/>
      <c r="K999" s="4"/>
    </row>
    <row r="1000" spans="1:11" ht="13">
      <c r="A1000" s="164"/>
      <c r="B1000" s="4"/>
      <c r="C1000" s="4"/>
      <c r="D1000" s="4"/>
      <c r="E1000" s="4"/>
      <c r="F1000" s="4"/>
      <c r="G1000" s="4"/>
      <c r="H1000" s="4"/>
      <c r="I1000" s="4"/>
      <c r="J1000" s="4"/>
      <c r="K1000" s="4"/>
    </row>
    <row r="1001" spans="1:11" ht="13">
      <c r="A1001" s="164"/>
      <c r="B1001" s="4"/>
      <c r="C1001" s="4"/>
      <c r="D1001" s="4"/>
      <c r="E1001" s="4"/>
      <c r="F1001" s="4"/>
      <c r="G1001" s="4"/>
      <c r="H1001" s="4"/>
      <c r="I1001" s="4"/>
      <c r="J1001" s="4"/>
      <c r="K1001" s="4"/>
    </row>
    <row r="1002" spans="1:11" ht="13">
      <c r="A1002" s="164"/>
      <c r="B1002" s="4"/>
      <c r="C1002" s="4"/>
      <c r="D1002" s="4"/>
      <c r="E1002" s="4"/>
      <c r="F1002" s="4"/>
      <c r="G1002" s="4"/>
      <c r="H1002" s="4"/>
      <c r="I1002" s="4"/>
      <c r="J1002" s="4"/>
      <c r="K1002" s="4"/>
    </row>
    <row r="1003" spans="1:11" ht="13">
      <c r="A1003" s="164"/>
      <c r="B1003" s="4"/>
      <c r="C1003" s="4"/>
      <c r="D1003" s="4"/>
      <c r="E1003" s="4"/>
      <c r="F1003" s="4"/>
      <c r="G1003" s="4"/>
      <c r="H1003" s="4"/>
      <c r="I1003" s="4"/>
      <c r="J1003" s="4"/>
      <c r="K1003" s="4"/>
    </row>
    <row r="1004" spans="1:11" ht="13">
      <c r="A1004" s="164"/>
      <c r="B1004" s="4"/>
      <c r="C1004" s="4"/>
      <c r="D1004" s="4"/>
      <c r="E1004" s="4"/>
      <c r="F1004" s="4"/>
      <c r="G1004" s="4"/>
      <c r="H1004" s="4"/>
      <c r="I1004" s="4"/>
      <c r="J1004" s="4"/>
      <c r="K1004" s="4"/>
    </row>
    <row r="1005" spans="1:11" ht="13">
      <c r="A1005" s="164"/>
      <c r="B1005" s="4"/>
      <c r="C1005" s="4"/>
      <c r="D1005" s="4"/>
      <c r="E1005" s="4"/>
      <c r="F1005" s="4"/>
      <c r="G1005" s="4"/>
      <c r="H1005" s="4"/>
      <c r="I1005" s="4"/>
      <c r="J1005" s="4"/>
      <c r="K1005" s="4"/>
    </row>
    <row r="1006" spans="1:11" ht="13">
      <c r="A1006" s="164"/>
      <c r="B1006" s="4"/>
      <c r="C1006" s="4"/>
      <c r="D1006" s="4"/>
      <c r="E1006" s="4"/>
      <c r="F1006" s="4"/>
      <c r="G1006" s="4"/>
      <c r="H1006" s="4"/>
      <c r="I1006" s="4"/>
      <c r="J1006" s="4"/>
      <c r="K1006" s="4"/>
    </row>
    <row r="1007" spans="1:11" ht="13">
      <c r="A1007" s="164"/>
      <c r="B1007" s="4"/>
      <c r="C1007" s="4"/>
      <c r="D1007" s="4"/>
      <c r="E1007" s="4"/>
      <c r="F1007" s="4"/>
      <c r="G1007" s="4"/>
      <c r="H1007" s="4"/>
      <c r="I1007" s="4"/>
      <c r="J1007" s="4"/>
      <c r="K1007" s="4"/>
    </row>
    <row r="1008" spans="1:11" ht="13">
      <c r="A1008" s="164"/>
      <c r="B1008" s="4"/>
      <c r="C1008" s="4"/>
      <c r="D1008" s="4"/>
      <c r="E1008" s="4"/>
      <c r="F1008" s="4"/>
      <c r="G1008" s="4"/>
      <c r="H1008" s="4"/>
      <c r="I1008" s="4"/>
      <c r="J1008" s="4"/>
      <c r="K1008" s="4"/>
    </row>
    <row r="1009" spans="1:11" ht="13">
      <c r="A1009" s="164"/>
      <c r="B1009" s="4"/>
      <c r="C1009" s="4"/>
      <c r="D1009" s="4"/>
      <c r="E1009" s="4"/>
      <c r="F1009" s="4"/>
      <c r="G1009" s="4"/>
      <c r="H1009" s="4"/>
      <c r="I1009" s="4"/>
      <c r="J1009" s="4"/>
      <c r="K1009" s="4"/>
    </row>
    <row r="1010" spans="1:11" ht="13">
      <c r="A1010" s="164"/>
      <c r="B1010" s="4"/>
      <c r="C1010" s="4"/>
      <c r="D1010" s="4"/>
      <c r="E1010" s="4"/>
      <c r="F1010" s="4"/>
      <c r="G1010" s="4"/>
      <c r="H1010" s="4"/>
      <c r="I1010" s="4"/>
      <c r="J1010" s="4"/>
      <c r="K1010" s="4"/>
    </row>
    <row r="1011" spans="1:11" ht="13">
      <c r="A1011" s="164"/>
      <c r="B1011" s="4"/>
      <c r="C1011" s="4"/>
      <c r="D1011" s="4"/>
      <c r="E1011" s="4"/>
      <c r="F1011" s="4"/>
      <c r="G1011" s="4"/>
      <c r="H1011" s="4"/>
      <c r="I1011" s="4"/>
      <c r="J1011" s="4"/>
      <c r="K1011" s="4"/>
    </row>
    <row r="1012" spans="1:11" ht="13">
      <c r="A1012" s="164"/>
      <c r="B1012" s="4"/>
      <c r="C1012" s="4"/>
      <c r="D1012" s="4"/>
      <c r="E1012" s="4"/>
      <c r="F1012" s="4"/>
      <c r="G1012" s="4"/>
      <c r="H1012" s="4"/>
      <c r="I1012" s="4"/>
      <c r="J1012" s="4"/>
      <c r="K1012" s="4"/>
    </row>
    <row r="1013" spans="1:11" ht="13">
      <c r="A1013" s="164"/>
      <c r="B1013" s="4"/>
      <c r="C1013" s="4"/>
      <c r="D1013" s="4"/>
      <c r="E1013" s="4"/>
      <c r="F1013" s="4"/>
      <c r="G1013" s="4"/>
      <c r="H1013" s="4"/>
      <c r="I1013" s="4"/>
      <c r="J1013" s="4"/>
      <c r="K1013" s="4"/>
    </row>
    <row r="1014" spans="1:11" ht="13">
      <c r="A1014" s="164"/>
      <c r="B1014" s="4"/>
      <c r="C1014" s="4"/>
      <c r="D1014" s="4"/>
      <c r="E1014" s="4"/>
      <c r="F1014" s="4"/>
      <c r="G1014" s="4"/>
      <c r="H1014" s="4"/>
      <c r="I1014" s="4"/>
      <c r="J1014" s="4"/>
      <c r="K1014" s="4"/>
    </row>
    <row r="1015" spans="1:11" ht="13">
      <c r="A1015" s="164"/>
      <c r="B1015" s="4"/>
      <c r="C1015" s="4"/>
      <c r="D1015" s="4"/>
      <c r="E1015" s="4"/>
      <c r="F1015" s="4"/>
      <c r="G1015" s="4"/>
      <c r="H1015" s="4"/>
      <c r="I1015" s="4"/>
      <c r="J1015" s="4"/>
      <c r="K1015" s="4"/>
    </row>
    <row r="1016" spans="1:11" ht="13">
      <c r="A1016" s="164"/>
      <c r="B1016" s="4"/>
      <c r="C1016" s="4"/>
      <c r="D1016" s="4"/>
      <c r="E1016" s="4"/>
      <c r="F1016" s="4"/>
      <c r="G1016" s="4"/>
      <c r="H1016" s="4"/>
      <c r="I1016" s="4"/>
      <c r="J1016" s="4"/>
      <c r="K1016" s="4"/>
    </row>
    <row r="1017" spans="1:11" ht="13">
      <c r="A1017" s="164"/>
      <c r="B1017" s="4"/>
      <c r="C1017" s="4"/>
      <c r="D1017" s="4"/>
      <c r="E1017" s="4"/>
      <c r="F1017" s="4"/>
      <c r="G1017" s="4"/>
      <c r="H1017" s="4"/>
      <c r="I1017" s="4"/>
      <c r="J1017" s="4"/>
      <c r="K1017" s="4"/>
    </row>
    <row r="1018" spans="1:11" ht="13">
      <c r="A1018" s="164"/>
      <c r="B1018" s="4"/>
      <c r="C1018" s="4"/>
      <c r="D1018" s="4"/>
      <c r="E1018" s="4"/>
      <c r="F1018" s="4"/>
      <c r="G1018" s="4"/>
      <c r="H1018" s="4"/>
      <c r="I1018" s="4"/>
      <c r="J1018" s="4"/>
      <c r="K1018" s="4"/>
    </row>
    <row r="1019" spans="1:11" ht="13">
      <c r="A1019" s="164"/>
      <c r="B1019" s="4"/>
      <c r="C1019" s="4"/>
      <c r="D1019" s="4"/>
      <c r="E1019" s="4"/>
      <c r="F1019" s="4"/>
      <c r="G1019" s="4"/>
      <c r="H1019" s="4"/>
      <c r="I1019" s="4"/>
      <c r="J1019" s="4"/>
      <c r="K1019" s="4"/>
    </row>
    <row r="1020" spans="1:11" ht="13">
      <c r="A1020" s="164"/>
      <c r="B1020" s="4"/>
      <c r="C1020" s="4"/>
      <c r="D1020" s="4"/>
      <c r="E1020" s="4"/>
      <c r="F1020" s="4"/>
      <c r="G1020" s="4"/>
      <c r="H1020" s="4"/>
      <c r="I1020" s="4"/>
      <c r="J1020" s="4"/>
      <c r="K1020" s="4"/>
    </row>
    <row r="1021" spans="1:11" ht="13">
      <c r="A1021" s="164"/>
      <c r="B1021" s="4"/>
      <c r="C1021" s="4"/>
      <c r="D1021" s="4"/>
      <c r="E1021" s="4"/>
      <c r="F1021" s="4"/>
      <c r="G1021" s="4"/>
      <c r="H1021" s="4"/>
      <c r="I1021" s="4"/>
      <c r="J1021" s="4"/>
      <c r="K1021" s="4"/>
    </row>
    <row r="1022" spans="1:11" ht="13">
      <c r="A1022" s="164"/>
      <c r="B1022" s="4"/>
      <c r="C1022" s="4"/>
      <c r="D1022" s="4"/>
      <c r="E1022" s="4"/>
      <c r="F1022" s="4"/>
      <c r="G1022" s="4"/>
      <c r="H1022" s="4"/>
      <c r="I1022" s="4"/>
      <c r="J1022" s="4"/>
      <c r="K1022" s="4"/>
    </row>
    <row r="1023" spans="1:11" ht="13">
      <c r="A1023" s="164"/>
      <c r="B1023" s="4"/>
      <c r="C1023" s="4"/>
      <c r="D1023" s="4"/>
      <c r="E1023" s="4"/>
      <c r="F1023" s="4"/>
      <c r="G1023" s="4"/>
      <c r="H1023" s="4"/>
      <c r="I1023" s="4"/>
      <c r="J1023" s="4"/>
      <c r="K1023" s="4"/>
    </row>
    <row r="1024" spans="1:11" ht="13">
      <c r="A1024" s="164"/>
      <c r="B1024" s="4"/>
      <c r="C1024" s="4"/>
      <c r="D1024" s="4"/>
      <c r="E1024" s="4"/>
      <c r="F1024" s="4"/>
      <c r="G1024" s="4"/>
      <c r="H1024" s="4"/>
      <c r="I1024" s="4"/>
      <c r="J1024" s="4"/>
      <c r="K1024" s="4"/>
    </row>
    <row r="1025" spans="1:11" ht="13">
      <c r="A1025" s="164"/>
      <c r="B1025" s="4"/>
      <c r="C1025" s="4"/>
      <c r="D1025" s="4"/>
      <c r="E1025" s="4"/>
      <c r="F1025" s="4"/>
      <c r="G1025" s="4"/>
      <c r="H1025" s="4"/>
      <c r="I1025" s="4"/>
      <c r="J1025" s="4"/>
      <c r="K1025" s="4"/>
    </row>
    <row r="1026" spans="1:11" ht="13">
      <c r="A1026" s="164"/>
      <c r="B1026" s="4"/>
      <c r="C1026" s="4"/>
      <c r="D1026" s="4"/>
      <c r="E1026" s="4"/>
      <c r="F1026" s="4"/>
      <c r="G1026" s="4"/>
      <c r="H1026" s="4"/>
      <c r="I1026" s="4"/>
      <c r="J1026" s="4"/>
      <c r="K1026" s="4"/>
    </row>
    <row r="1027" spans="1:11" ht="13">
      <c r="A1027" s="164"/>
      <c r="B1027" s="4"/>
      <c r="C1027" s="4"/>
      <c r="D1027" s="4"/>
      <c r="E1027" s="4"/>
      <c r="F1027" s="4"/>
      <c r="G1027" s="4"/>
      <c r="H1027" s="4"/>
      <c r="I1027" s="4"/>
      <c r="J1027" s="4"/>
      <c r="K1027" s="4"/>
    </row>
    <row r="1028" spans="1:11" ht="13">
      <c r="A1028" s="164"/>
      <c r="B1028" s="4"/>
      <c r="C1028" s="4"/>
      <c r="D1028" s="4"/>
      <c r="E1028" s="4"/>
      <c r="F1028" s="4"/>
      <c r="G1028" s="4"/>
      <c r="H1028" s="4"/>
      <c r="I1028" s="4"/>
      <c r="J1028" s="4"/>
      <c r="K1028" s="4"/>
    </row>
    <row r="1029" spans="1:11" ht="13">
      <c r="A1029" s="164"/>
      <c r="B1029" s="4"/>
      <c r="C1029" s="4"/>
      <c r="D1029" s="4"/>
      <c r="E1029" s="4"/>
      <c r="F1029" s="4"/>
      <c r="G1029" s="4"/>
      <c r="H1029" s="4"/>
      <c r="I1029" s="4"/>
      <c r="J1029" s="4"/>
      <c r="K1029" s="4"/>
    </row>
    <row r="1030" spans="1:11" ht="13">
      <c r="A1030" s="164"/>
      <c r="B1030" s="4"/>
      <c r="C1030" s="4"/>
      <c r="D1030" s="4"/>
      <c r="E1030" s="4"/>
      <c r="F1030" s="4"/>
      <c r="G1030" s="4"/>
      <c r="H1030" s="4"/>
      <c r="I1030" s="4"/>
      <c r="J1030" s="4"/>
      <c r="K1030" s="4"/>
    </row>
    <row r="1031" spans="1:11" ht="13">
      <c r="A1031" s="164"/>
      <c r="B1031" s="4"/>
      <c r="C1031" s="4"/>
      <c r="D1031" s="4"/>
      <c r="E1031" s="4"/>
      <c r="F1031" s="4"/>
      <c r="G1031" s="4"/>
      <c r="H1031" s="4"/>
      <c r="I1031" s="4"/>
      <c r="J1031" s="4"/>
      <c r="K1031" s="4"/>
    </row>
    <row r="1032" spans="1:11" ht="13">
      <c r="A1032" s="164"/>
      <c r="B1032" s="4"/>
      <c r="C1032" s="4"/>
      <c r="D1032" s="4"/>
      <c r="E1032" s="4"/>
      <c r="F1032" s="4"/>
      <c r="G1032" s="4"/>
      <c r="H1032" s="4"/>
      <c r="I1032" s="4"/>
      <c r="J1032" s="4"/>
      <c r="K1032" s="4"/>
    </row>
    <row r="1033" spans="1:11" ht="13">
      <c r="A1033" s="164"/>
      <c r="B1033" s="4"/>
      <c r="C1033" s="4"/>
      <c r="D1033" s="4"/>
      <c r="E1033" s="4"/>
      <c r="F1033" s="4"/>
      <c r="G1033" s="4"/>
      <c r="H1033" s="4"/>
      <c r="I1033" s="4"/>
      <c r="J1033" s="4"/>
      <c r="K1033" s="4"/>
    </row>
    <row r="1034" spans="1:11" ht="13">
      <c r="A1034" s="164"/>
      <c r="B1034" s="4"/>
      <c r="C1034" s="4"/>
      <c r="D1034" s="4"/>
      <c r="E1034" s="4"/>
      <c r="F1034" s="4"/>
      <c r="G1034" s="4"/>
      <c r="H1034" s="4"/>
      <c r="I1034" s="4"/>
      <c r="J1034" s="4"/>
      <c r="K1034" s="4"/>
    </row>
    <row r="1035" spans="1:11" ht="13">
      <c r="A1035" s="164"/>
      <c r="B1035" s="4"/>
      <c r="C1035" s="4"/>
      <c r="D1035" s="4"/>
      <c r="E1035" s="4"/>
      <c r="F1035" s="4"/>
      <c r="G1035" s="4"/>
      <c r="H1035" s="4"/>
      <c r="I1035" s="4"/>
      <c r="J1035" s="4"/>
      <c r="K1035" s="4"/>
    </row>
    <row r="1036" spans="1:11" ht="13">
      <c r="A1036" s="164"/>
      <c r="B1036" s="4"/>
      <c r="C1036" s="4"/>
      <c r="D1036" s="4"/>
      <c r="E1036" s="4"/>
      <c r="F1036" s="4"/>
      <c r="G1036" s="4"/>
      <c r="H1036" s="4"/>
      <c r="I1036" s="4"/>
      <c r="J1036" s="4"/>
      <c r="K1036" s="4"/>
    </row>
    <row r="1037" spans="1:11" ht="13">
      <c r="A1037" s="164"/>
      <c r="B1037" s="4"/>
      <c r="C1037" s="4"/>
      <c r="D1037" s="4"/>
      <c r="E1037" s="4"/>
      <c r="F1037" s="4"/>
      <c r="G1037" s="4"/>
      <c r="H1037" s="4"/>
      <c r="I1037" s="4"/>
      <c r="J1037" s="4"/>
      <c r="K1037" s="4"/>
    </row>
    <row r="1038" spans="1:11" ht="13">
      <c r="A1038" s="164"/>
      <c r="B1038" s="4"/>
      <c r="C1038" s="4"/>
      <c r="D1038" s="4"/>
      <c r="E1038" s="4"/>
      <c r="F1038" s="4"/>
      <c r="G1038" s="4"/>
      <c r="H1038" s="4"/>
      <c r="I1038" s="4"/>
      <c r="J1038" s="4"/>
      <c r="K1038" s="4"/>
    </row>
    <row r="1039" spans="1:11" ht="13">
      <c r="A1039" s="164"/>
      <c r="B1039" s="4"/>
      <c r="C1039" s="4"/>
      <c r="D1039" s="4"/>
      <c r="E1039" s="4"/>
      <c r="F1039" s="4"/>
      <c r="G1039" s="4"/>
      <c r="H1039" s="4"/>
      <c r="I1039" s="4"/>
      <c r="J1039" s="4"/>
      <c r="K1039" s="4"/>
    </row>
    <row r="1040" spans="1:11" ht="13">
      <c r="A1040" s="164"/>
      <c r="B1040" s="4"/>
      <c r="C1040" s="4"/>
      <c r="D1040" s="4"/>
      <c r="E1040" s="4"/>
      <c r="F1040" s="4"/>
      <c r="G1040" s="4"/>
      <c r="H1040" s="4"/>
      <c r="I1040" s="4"/>
      <c r="J1040" s="4"/>
      <c r="K1040" s="4"/>
    </row>
    <row r="1041" spans="1:11" ht="13">
      <c r="A1041" s="164"/>
      <c r="B1041" s="4"/>
      <c r="C1041" s="4"/>
      <c r="D1041" s="4"/>
      <c r="E1041" s="4"/>
      <c r="F1041" s="4"/>
      <c r="G1041" s="4"/>
      <c r="H1041" s="4"/>
      <c r="I1041" s="4"/>
      <c r="J1041" s="4"/>
      <c r="K1041" s="4"/>
    </row>
    <row r="1042" spans="1:11" ht="13">
      <c r="A1042" s="164"/>
      <c r="B1042" s="4"/>
      <c r="C1042" s="4"/>
      <c r="D1042" s="4"/>
      <c r="E1042" s="4"/>
      <c r="F1042" s="4"/>
      <c r="G1042" s="4"/>
      <c r="H1042" s="4"/>
      <c r="I1042" s="4"/>
      <c r="J1042" s="4"/>
      <c r="K1042" s="4"/>
    </row>
    <row r="1043" spans="1:11" ht="13">
      <c r="A1043" s="164"/>
      <c r="B1043" s="4"/>
      <c r="C1043" s="4"/>
      <c r="D1043" s="4"/>
      <c r="E1043" s="4"/>
      <c r="F1043" s="4"/>
      <c r="G1043" s="4"/>
      <c r="H1043" s="4"/>
      <c r="I1043" s="4"/>
      <c r="J1043" s="4"/>
      <c r="K1043" s="4"/>
    </row>
    <row r="1044" spans="1:11" ht="13">
      <c r="A1044" s="164"/>
      <c r="B1044" s="4"/>
      <c r="C1044" s="4"/>
      <c r="D1044" s="4"/>
      <c r="E1044" s="4"/>
      <c r="F1044" s="4"/>
      <c r="G1044" s="4"/>
      <c r="H1044" s="4"/>
      <c r="I1044" s="4"/>
      <c r="J1044" s="4"/>
      <c r="K1044" s="4"/>
    </row>
    <row r="1045" spans="1:11" ht="13">
      <c r="A1045" s="164"/>
      <c r="B1045" s="4"/>
      <c r="C1045" s="4"/>
      <c r="D1045" s="4"/>
      <c r="E1045" s="4"/>
      <c r="F1045" s="4"/>
      <c r="G1045" s="4"/>
      <c r="H1045" s="4"/>
      <c r="I1045" s="4"/>
      <c r="J1045" s="4"/>
      <c r="K1045" s="4"/>
    </row>
    <row r="1046" spans="1:11" ht="13">
      <c r="A1046" s="164"/>
      <c r="B1046" s="4"/>
      <c r="C1046" s="4"/>
      <c r="D1046" s="4"/>
      <c r="E1046" s="4"/>
      <c r="F1046" s="4"/>
      <c r="G1046" s="4"/>
      <c r="H1046" s="4"/>
      <c r="I1046" s="4"/>
      <c r="J1046" s="4"/>
      <c r="K1046" s="4"/>
    </row>
    <row r="1047" spans="1:11" ht="13">
      <c r="A1047" s="164"/>
      <c r="B1047" s="4"/>
      <c r="C1047" s="4"/>
      <c r="D1047" s="4"/>
      <c r="E1047" s="4"/>
      <c r="F1047" s="4"/>
      <c r="G1047" s="4"/>
      <c r="H1047" s="4"/>
      <c r="I1047" s="4"/>
      <c r="J1047" s="4"/>
      <c r="K1047" s="4"/>
    </row>
    <row r="1048" spans="1:11" ht="13">
      <c r="A1048" s="164"/>
      <c r="B1048" s="4"/>
      <c r="C1048" s="4"/>
      <c r="D1048" s="4"/>
      <c r="E1048" s="4"/>
      <c r="F1048" s="4"/>
      <c r="G1048" s="4"/>
      <c r="H1048" s="4"/>
      <c r="I1048" s="4"/>
      <c r="J1048" s="4"/>
      <c r="K1048" s="4"/>
    </row>
    <row r="1049" spans="1:11" ht="13">
      <c r="A1049" s="164"/>
      <c r="B1049" s="4"/>
      <c r="C1049" s="4"/>
      <c r="D1049" s="4"/>
      <c r="E1049" s="4"/>
      <c r="F1049" s="4"/>
      <c r="G1049" s="4"/>
      <c r="H1049" s="4"/>
      <c r="I1049" s="4"/>
      <c r="J1049" s="4"/>
      <c r="K1049" s="4"/>
    </row>
    <row r="1050" spans="1:11" ht="13">
      <c r="A1050" s="164"/>
      <c r="B1050" s="4"/>
      <c r="C1050" s="4"/>
      <c r="D1050" s="4"/>
      <c r="E1050" s="4"/>
      <c r="F1050" s="4"/>
      <c r="G1050" s="4"/>
      <c r="H1050" s="4"/>
      <c r="I1050" s="4"/>
      <c r="J1050" s="4"/>
      <c r="K1050" s="4"/>
    </row>
    <row r="1051" spans="1:11" ht="13">
      <c r="A1051" s="164"/>
      <c r="B1051" s="4"/>
      <c r="C1051" s="4"/>
      <c r="D1051" s="4"/>
      <c r="E1051" s="4"/>
      <c r="F1051" s="4"/>
      <c r="G1051" s="4"/>
      <c r="H1051" s="4"/>
      <c r="I1051" s="4"/>
      <c r="J1051" s="4"/>
      <c r="K1051" s="4"/>
    </row>
    <row r="1052" spans="1:11" ht="13">
      <c r="A1052" s="164"/>
      <c r="B1052" s="4"/>
      <c r="C1052" s="4"/>
      <c r="D1052" s="4"/>
      <c r="E1052" s="4"/>
      <c r="F1052" s="4"/>
      <c r="G1052" s="4"/>
      <c r="H1052" s="4"/>
      <c r="I1052" s="4"/>
      <c r="J1052" s="4"/>
      <c r="K1052" s="4"/>
    </row>
    <row r="1053" spans="1:11" ht="13">
      <c r="A1053" s="164"/>
      <c r="B1053" s="4"/>
      <c r="C1053" s="4"/>
      <c r="D1053" s="4"/>
      <c r="E1053" s="4"/>
      <c r="F1053" s="4"/>
      <c r="G1053" s="4"/>
      <c r="H1053" s="4"/>
      <c r="I1053" s="4"/>
      <c r="J1053" s="4"/>
      <c r="K1053" s="4"/>
    </row>
    <row r="1054" spans="1:11" ht="13">
      <c r="A1054" s="164"/>
      <c r="B1054" s="4"/>
      <c r="C1054" s="4"/>
      <c r="D1054" s="4"/>
      <c r="E1054" s="4"/>
      <c r="F1054" s="4"/>
      <c r="G1054" s="4"/>
      <c r="H1054" s="4"/>
      <c r="I1054" s="4"/>
      <c r="J1054" s="4"/>
      <c r="K1054" s="4"/>
    </row>
    <row r="1055" spans="1:11" ht="13">
      <c r="A1055" s="164"/>
      <c r="B1055" s="4"/>
      <c r="C1055" s="4"/>
      <c r="D1055" s="4"/>
      <c r="E1055" s="4"/>
      <c r="F1055" s="4"/>
      <c r="G1055" s="4"/>
      <c r="H1055" s="4"/>
      <c r="I1055" s="4"/>
      <c r="J1055" s="4"/>
      <c r="K1055" s="4"/>
    </row>
    <row r="1056" spans="1:11" ht="13">
      <c r="A1056" s="164"/>
      <c r="B1056" s="4"/>
      <c r="C1056" s="4"/>
      <c r="D1056" s="4"/>
      <c r="E1056" s="4"/>
      <c r="F1056" s="4"/>
      <c r="G1056" s="4"/>
      <c r="H1056" s="4"/>
      <c r="I1056" s="4"/>
      <c r="J1056" s="4"/>
      <c r="K1056" s="4"/>
    </row>
    <row r="1057" spans="1:11" ht="13">
      <c r="A1057" s="164"/>
      <c r="B1057" s="4"/>
      <c r="C1057" s="4"/>
      <c r="D1057" s="4"/>
      <c r="E1057" s="4"/>
      <c r="F1057" s="4"/>
      <c r="G1057" s="4"/>
      <c r="H1057" s="4"/>
      <c r="I1057" s="4"/>
      <c r="J1057" s="4"/>
      <c r="K1057" s="4"/>
    </row>
    <row r="1058" spans="1:11" ht="13">
      <c r="A1058" s="164"/>
      <c r="B1058" s="4"/>
      <c r="C1058" s="4"/>
      <c r="D1058" s="4"/>
      <c r="E1058" s="4"/>
      <c r="F1058" s="4"/>
      <c r="G1058" s="4"/>
      <c r="H1058" s="4"/>
      <c r="I1058" s="4"/>
      <c r="J1058" s="4"/>
      <c r="K1058" s="4"/>
    </row>
    <row r="1059" spans="1:11" ht="13">
      <c r="A1059" s="164"/>
      <c r="B1059" s="4"/>
      <c r="C1059" s="4"/>
      <c r="D1059" s="4"/>
      <c r="E1059" s="4"/>
      <c r="F1059" s="4"/>
      <c r="G1059" s="4"/>
      <c r="H1059" s="4"/>
      <c r="I1059" s="4"/>
      <c r="J1059" s="4"/>
      <c r="K1059" s="4"/>
    </row>
    <row r="1060" spans="1:11" ht="13">
      <c r="A1060" s="164"/>
      <c r="B1060" s="4"/>
      <c r="C1060" s="4"/>
      <c r="D1060" s="4"/>
      <c r="E1060" s="4"/>
      <c r="F1060" s="4"/>
      <c r="G1060" s="4"/>
      <c r="H1060" s="4"/>
      <c r="I1060" s="4"/>
      <c r="J1060" s="4"/>
      <c r="K1060" s="4"/>
    </row>
    <row r="1061" spans="1:11" ht="13">
      <c r="A1061" s="164"/>
      <c r="B1061" s="4"/>
      <c r="C1061" s="4"/>
      <c r="D1061" s="4"/>
      <c r="E1061" s="4"/>
      <c r="F1061" s="4"/>
      <c r="G1061" s="4"/>
      <c r="H1061" s="4"/>
      <c r="I1061" s="4"/>
      <c r="J1061" s="4"/>
      <c r="K1061" s="4"/>
    </row>
    <row r="1062" spans="1:11" ht="13">
      <c r="A1062" s="164"/>
      <c r="B1062" s="4"/>
      <c r="C1062" s="4"/>
      <c r="D1062" s="4"/>
      <c r="E1062" s="4"/>
      <c r="F1062" s="4"/>
      <c r="G1062" s="4"/>
      <c r="H1062" s="4"/>
      <c r="I1062" s="4"/>
      <c r="J1062" s="4"/>
      <c r="K1062" s="4"/>
    </row>
    <row r="1063" spans="1:11" ht="13">
      <c r="A1063" s="164"/>
      <c r="B1063" s="4"/>
      <c r="C1063" s="4"/>
      <c r="D1063" s="4"/>
      <c r="E1063" s="4"/>
      <c r="F1063" s="4"/>
      <c r="G1063" s="4"/>
      <c r="H1063" s="4"/>
      <c r="I1063" s="4"/>
      <c r="J1063" s="4"/>
      <c r="K1063" s="4"/>
    </row>
    <row r="1064" spans="1:11" ht="13">
      <c r="A1064" s="164"/>
      <c r="B1064" s="4"/>
      <c r="C1064" s="4"/>
      <c r="D1064" s="4"/>
      <c r="E1064" s="4"/>
      <c r="F1064" s="4"/>
      <c r="G1064" s="4"/>
      <c r="H1064" s="4"/>
      <c r="I1064" s="4"/>
      <c r="J1064" s="4"/>
      <c r="K1064" s="4"/>
    </row>
    <row r="1065" spans="1:11" ht="13">
      <c r="A1065" s="164"/>
      <c r="B1065" s="4"/>
      <c r="C1065" s="4"/>
      <c r="D1065" s="4"/>
      <c r="E1065" s="4"/>
      <c r="F1065" s="4"/>
      <c r="G1065" s="4"/>
      <c r="H1065" s="4"/>
      <c r="I1065" s="4"/>
      <c r="J1065" s="4"/>
      <c r="K1065" s="4"/>
    </row>
    <row r="1066" spans="1:11" ht="13">
      <c r="A1066" s="164"/>
      <c r="B1066" s="4"/>
      <c r="C1066" s="4"/>
      <c r="D1066" s="4"/>
      <c r="E1066" s="4"/>
      <c r="F1066" s="4"/>
      <c r="G1066" s="4"/>
      <c r="H1066" s="4"/>
      <c r="I1066" s="4"/>
      <c r="J1066" s="4"/>
      <c r="K1066" s="4"/>
    </row>
    <row r="1067" spans="1:11" ht="13">
      <c r="A1067" s="164"/>
      <c r="B1067" s="4"/>
      <c r="C1067" s="4"/>
      <c r="D1067" s="4"/>
      <c r="E1067" s="4"/>
      <c r="F1067" s="4"/>
      <c r="G1067" s="4"/>
      <c r="H1067" s="4"/>
      <c r="I1067" s="4"/>
      <c r="J1067" s="4"/>
      <c r="K1067" s="4"/>
    </row>
    <row r="1068" spans="1:11" ht="13">
      <c r="A1068" s="164"/>
      <c r="B1068" s="4"/>
      <c r="C1068" s="4"/>
      <c r="D1068" s="4"/>
      <c r="E1068" s="4"/>
      <c r="F1068" s="4"/>
      <c r="G1068" s="4"/>
      <c r="H1068" s="4"/>
      <c r="I1068" s="4"/>
      <c r="J1068" s="4"/>
      <c r="K1068" s="4"/>
    </row>
    <row r="1069" spans="1:11" ht="13">
      <c r="A1069" s="164"/>
      <c r="B1069" s="4"/>
      <c r="C1069" s="4"/>
      <c r="D1069" s="4"/>
      <c r="E1069" s="4"/>
      <c r="F1069" s="4"/>
      <c r="G1069" s="4"/>
      <c r="H1069" s="4"/>
      <c r="I1069" s="4"/>
      <c r="J1069" s="4"/>
      <c r="K1069" s="4"/>
    </row>
    <row r="1070" spans="1:11" ht="13">
      <c r="A1070" s="164"/>
      <c r="B1070" s="4"/>
      <c r="C1070" s="4"/>
      <c r="D1070" s="4"/>
      <c r="E1070" s="4"/>
      <c r="F1070" s="4"/>
      <c r="G1070" s="4"/>
      <c r="H1070" s="4"/>
      <c r="I1070" s="4"/>
      <c r="J1070" s="4"/>
      <c r="K1070" s="4"/>
    </row>
    <row r="1071" spans="1:11" ht="13">
      <c r="A1071" s="164"/>
      <c r="B1071" s="4"/>
      <c r="C1071" s="4"/>
      <c r="D1071" s="4"/>
      <c r="E1071" s="4"/>
      <c r="F1071" s="4"/>
      <c r="G1071" s="4"/>
      <c r="H1071" s="4"/>
      <c r="I1071" s="4"/>
      <c r="J1071" s="4"/>
      <c r="K1071" s="4"/>
    </row>
    <row r="1072" spans="1:11" ht="13">
      <c r="A1072" s="164"/>
      <c r="B1072" s="4"/>
      <c r="C1072" s="4"/>
      <c r="D1072" s="4"/>
      <c r="E1072" s="4"/>
      <c r="F1072" s="4"/>
      <c r="G1072" s="4"/>
      <c r="H1072" s="4"/>
      <c r="I1072" s="4"/>
      <c r="J1072" s="4"/>
      <c r="K1072" s="4"/>
    </row>
    <row r="1073" spans="1:11" ht="13">
      <c r="A1073" s="164"/>
      <c r="B1073" s="4"/>
      <c r="C1073" s="4"/>
      <c r="D1073" s="4"/>
      <c r="E1073" s="4"/>
      <c r="F1073" s="4"/>
      <c r="G1073" s="4"/>
      <c r="H1073" s="4"/>
      <c r="I1073" s="4"/>
      <c r="J1073" s="4"/>
      <c r="K1073" s="4"/>
    </row>
    <row r="1074" spans="1:11" ht="13">
      <c r="A1074" s="164"/>
      <c r="B1074" s="4"/>
      <c r="C1074" s="4"/>
      <c r="D1074" s="4"/>
      <c r="E1074" s="4"/>
      <c r="F1074" s="4"/>
      <c r="G1074" s="4"/>
      <c r="H1074" s="4"/>
      <c r="I1074" s="4"/>
      <c r="J1074" s="4"/>
      <c r="K1074" s="4"/>
    </row>
    <row r="1075" spans="1:11" ht="13">
      <c r="A1075" s="164"/>
      <c r="B1075" s="4"/>
      <c r="C1075" s="4"/>
      <c r="D1075" s="4"/>
      <c r="E1075" s="4"/>
      <c r="F1075" s="4"/>
      <c r="G1075" s="4"/>
      <c r="H1075" s="4"/>
      <c r="I1075" s="4"/>
      <c r="J1075" s="4"/>
      <c r="K1075" s="4"/>
    </row>
    <row r="1076" spans="1:11" ht="13">
      <c r="A1076" s="164"/>
      <c r="B1076" s="4"/>
      <c r="C1076" s="4"/>
      <c r="D1076" s="4"/>
      <c r="E1076" s="4"/>
      <c r="F1076" s="4"/>
      <c r="G1076" s="4"/>
      <c r="H1076" s="4"/>
      <c r="I1076" s="4"/>
      <c r="J1076" s="4"/>
      <c r="K1076" s="4"/>
    </row>
    <row r="1077" spans="1:11" ht="13">
      <c r="A1077" s="164"/>
      <c r="B1077" s="4"/>
      <c r="C1077" s="4"/>
      <c r="D1077" s="4"/>
      <c r="E1077" s="4"/>
      <c r="F1077" s="4"/>
      <c r="G1077" s="4"/>
      <c r="H1077" s="4"/>
      <c r="I1077" s="4"/>
      <c r="J1077" s="4"/>
      <c r="K1077" s="4"/>
    </row>
    <row r="1078" spans="1:11" ht="13">
      <c r="A1078" s="164"/>
      <c r="B1078" s="4"/>
      <c r="C1078" s="4"/>
      <c r="D1078" s="4"/>
      <c r="E1078" s="4"/>
      <c r="F1078" s="4"/>
      <c r="G1078" s="4"/>
      <c r="H1078" s="4"/>
      <c r="I1078" s="4"/>
      <c r="J1078" s="4"/>
      <c r="K1078" s="4"/>
    </row>
    <row r="1079" spans="1:11" ht="13">
      <c r="A1079" s="164"/>
      <c r="B1079" s="4"/>
      <c r="C1079" s="4"/>
      <c r="D1079" s="4"/>
      <c r="E1079" s="4"/>
      <c r="F1079" s="4"/>
      <c r="G1079" s="4"/>
      <c r="H1079" s="4"/>
      <c r="I1079" s="4"/>
      <c r="J1079" s="4"/>
      <c r="K1079" s="4"/>
    </row>
    <row r="1080" spans="1:11" ht="13">
      <c r="A1080" s="164"/>
      <c r="B1080" s="4"/>
      <c r="C1080" s="4"/>
      <c r="D1080" s="4"/>
      <c r="E1080" s="4"/>
      <c r="F1080" s="4"/>
      <c r="G1080" s="4"/>
      <c r="H1080" s="4"/>
      <c r="I1080" s="4"/>
      <c r="J1080" s="4"/>
      <c r="K1080" s="4"/>
    </row>
    <row r="1081" spans="1:11" ht="13">
      <c r="A1081" s="164"/>
      <c r="B1081" s="4"/>
      <c r="C1081" s="4"/>
      <c r="D1081" s="4"/>
      <c r="E1081" s="4"/>
      <c r="F1081" s="4"/>
      <c r="G1081" s="4"/>
      <c r="H1081" s="4"/>
      <c r="I1081" s="4"/>
      <c r="J1081" s="4"/>
      <c r="K1081" s="4"/>
    </row>
    <row r="1082" spans="1:11" ht="13">
      <c r="A1082" s="164"/>
      <c r="B1082" s="4"/>
      <c r="C1082" s="4"/>
      <c r="D1082" s="4"/>
      <c r="E1082" s="4"/>
      <c r="F1082" s="4"/>
      <c r="G1082" s="4"/>
      <c r="H1082" s="4"/>
      <c r="I1082" s="4"/>
      <c r="J1082" s="4"/>
      <c r="K1082" s="4"/>
    </row>
    <row r="1083" spans="1:11" ht="13">
      <c r="A1083" s="164"/>
      <c r="B1083" s="4"/>
      <c r="C1083" s="4"/>
      <c r="D1083" s="4"/>
      <c r="E1083" s="4"/>
      <c r="F1083" s="4"/>
      <c r="G1083" s="4"/>
      <c r="H1083" s="4"/>
      <c r="I1083" s="4"/>
      <c r="J1083" s="4"/>
      <c r="K1083" s="4"/>
    </row>
    <row r="1084" spans="1:11" ht="13">
      <c r="A1084" s="164"/>
      <c r="B1084" s="4"/>
      <c r="C1084" s="4"/>
      <c r="D1084" s="4"/>
      <c r="E1084" s="4"/>
      <c r="F1084" s="4"/>
      <c r="G1084" s="4"/>
      <c r="H1084" s="4"/>
      <c r="I1084" s="4"/>
      <c r="J1084" s="4"/>
      <c r="K1084" s="4"/>
    </row>
    <row r="1085" spans="1:11" ht="13">
      <c r="A1085" s="164"/>
      <c r="B1085" s="4"/>
      <c r="C1085" s="4"/>
      <c r="D1085" s="4"/>
      <c r="E1085" s="4"/>
      <c r="F1085" s="4"/>
      <c r="G1085" s="4"/>
      <c r="H1085" s="4"/>
      <c r="I1085" s="4"/>
      <c r="J1085" s="4"/>
      <c r="K1085" s="4"/>
    </row>
    <row r="1086" spans="1:11" ht="13">
      <c r="A1086" s="164"/>
      <c r="B1086" s="4"/>
      <c r="C1086" s="4"/>
      <c r="D1086" s="4"/>
      <c r="E1086" s="4"/>
      <c r="F1086" s="4"/>
      <c r="G1086" s="4"/>
      <c r="H1086" s="4"/>
      <c r="I1086" s="4"/>
      <c r="J1086" s="4"/>
      <c r="K1086" s="4"/>
    </row>
    <row r="1087" spans="1:11" ht="13">
      <c r="A1087" s="164"/>
      <c r="B1087" s="4"/>
      <c r="C1087" s="4"/>
      <c r="D1087" s="4"/>
      <c r="E1087" s="4"/>
      <c r="F1087" s="4"/>
      <c r="G1087" s="4"/>
      <c r="H1087" s="4"/>
      <c r="I1087" s="4"/>
      <c r="J1087" s="4"/>
      <c r="K1087" s="4"/>
    </row>
    <row r="1088" spans="1:11" ht="13">
      <c r="A1088" s="164"/>
      <c r="B1088" s="4"/>
      <c r="C1088" s="4"/>
      <c r="D1088" s="4"/>
      <c r="E1088" s="4"/>
      <c r="F1088" s="4"/>
      <c r="G1088" s="4"/>
      <c r="H1088" s="4"/>
      <c r="I1088" s="4"/>
      <c r="J1088" s="4"/>
      <c r="K1088" s="4"/>
    </row>
    <row r="1089" spans="1:11" ht="13">
      <c r="A1089" s="164"/>
      <c r="B1089" s="4"/>
      <c r="C1089" s="4"/>
      <c r="D1089" s="4"/>
      <c r="E1089" s="4"/>
      <c r="F1089" s="4"/>
      <c r="G1089" s="4"/>
      <c r="H1089" s="4"/>
      <c r="I1089" s="4"/>
      <c r="J1089" s="4"/>
      <c r="K1089" s="4"/>
    </row>
    <row r="1090" spans="1:11" ht="13">
      <c r="A1090" s="164"/>
      <c r="B1090" s="4"/>
      <c r="C1090" s="4"/>
      <c r="D1090" s="4"/>
      <c r="E1090" s="4"/>
      <c r="F1090" s="4"/>
      <c r="G1090" s="4"/>
      <c r="H1090" s="4"/>
      <c r="I1090" s="4"/>
      <c r="J1090" s="4"/>
      <c r="K1090" s="4"/>
    </row>
    <row r="1091" spans="1:11" ht="13">
      <c r="A1091" s="164"/>
      <c r="B1091" s="4"/>
      <c r="C1091" s="4"/>
      <c r="D1091" s="4"/>
      <c r="E1091" s="4"/>
      <c r="F1091" s="4"/>
      <c r="G1091" s="4"/>
      <c r="H1091" s="4"/>
      <c r="I1091" s="4"/>
      <c r="J1091" s="4"/>
      <c r="K1091" s="4"/>
    </row>
    <row r="1092" spans="1:11" ht="13">
      <c r="A1092" s="164"/>
      <c r="B1092" s="4"/>
      <c r="C1092" s="4"/>
      <c r="D1092" s="4"/>
      <c r="E1092" s="4"/>
      <c r="F1092" s="4"/>
      <c r="G1092" s="4"/>
      <c r="H1092" s="4"/>
      <c r="I1092" s="4"/>
      <c r="J1092" s="4"/>
      <c r="K1092" s="4"/>
    </row>
    <row r="1093" spans="1:11" ht="13">
      <c r="A1093" s="164"/>
      <c r="B1093" s="4"/>
      <c r="C1093" s="4"/>
      <c r="D1093" s="4"/>
      <c r="E1093" s="4"/>
      <c r="F1093" s="4"/>
      <c r="G1093" s="4"/>
      <c r="H1093" s="4"/>
      <c r="I1093" s="4"/>
      <c r="J1093" s="4"/>
      <c r="K1093" s="4"/>
    </row>
    <row r="1094" spans="1:11" ht="13">
      <c r="A1094" s="164"/>
      <c r="B1094" s="4"/>
      <c r="C1094" s="4"/>
      <c r="D1094" s="4"/>
      <c r="E1094" s="4"/>
      <c r="F1094" s="4"/>
      <c r="G1094" s="4"/>
      <c r="H1094" s="4"/>
      <c r="I1094" s="4"/>
      <c r="J1094" s="4"/>
      <c r="K1094" s="4"/>
    </row>
    <row r="1095" spans="1:11" ht="13">
      <c r="A1095" s="164"/>
      <c r="B1095" s="4"/>
      <c r="C1095" s="4"/>
      <c r="D1095" s="4"/>
      <c r="E1095" s="4"/>
      <c r="F1095" s="4"/>
      <c r="G1095" s="4"/>
      <c r="H1095" s="4"/>
      <c r="I1095" s="4"/>
      <c r="J1095" s="4"/>
      <c r="K1095" s="4"/>
    </row>
    <row r="1096" spans="1:11" ht="13">
      <c r="A1096" s="164"/>
      <c r="B1096" s="4"/>
      <c r="C1096" s="4"/>
      <c r="D1096" s="4"/>
      <c r="E1096" s="4"/>
      <c r="F1096" s="4"/>
      <c r="G1096" s="4"/>
      <c r="H1096" s="4"/>
      <c r="I1096" s="4"/>
      <c r="J1096" s="4"/>
      <c r="K1096" s="4"/>
    </row>
    <row r="1097" spans="1:11" ht="13">
      <c r="A1097" s="164"/>
      <c r="B1097" s="4"/>
      <c r="C1097" s="4"/>
      <c r="D1097" s="4"/>
      <c r="E1097" s="4"/>
      <c r="F1097" s="4"/>
      <c r="G1097" s="4"/>
      <c r="H1097" s="4"/>
      <c r="I1097" s="4"/>
      <c r="J1097" s="4"/>
      <c r="K1097" s="4"/>
    </row>
    <row r="1098" spans="1:11" ht="13">
      <c r="A1098" s="164"/>
      <c r="B1098" s="4"/>
      <c r="C1098" s="4"/>
      <c r="D1098" s="4"/>
      <c r="E1098" s="4"/>
      <c r="F1098" s="4"/>
      <c r="G1098" s="4"/>
      <c r="H1098" s="4"/>
      <c r="I1098" s="4"/>
      <c r="J1098" s="4"/>
      <c r="K1098" s="4"/>
    </row>
    <row r="1099" spans="1:11" ht="13">
      <c r="A1099" s="164"/>
      <c r="B1099" s="4"/>
      <c r="C1099" s="4"/>
      <c r="D1099" s="4"/>
      <c r="E1099" s="4"/>
      <c r="F1099" s="4"/>
      <c r="G1099" s="4"/>
      <c r="H1099" s="4"/>
      <c r="I1099" s="4"/>
      <c r="J1099" s="4"/>
      <c r="K1099" s="4"/>
    </row>
    <row r="1100" spans="1:11" ht="13">
      <c r="A1100" s="164"/>
      <c r="B1100" s="4"/>
      <c r="C1100" s="4"/>
      <c r="D1100" s="4"/>
      <c r="E1100" s="4"/>
      <c r="F1100" s="4"/>
      <c r="G1100" s="4"/>
      <c r="H1100" s="4"/>
      <c r="I1100" s="4"/>
      <c r="J1100" s="4"/>
      <c r="K1100" s="4"/>
    </row>
    <row r="1101" spans="1:11" ht="13">
      <c r="A1101" s="164"/>
      <c r="B1101" s="4"/>
      <c r="C1101" s="4"/>
      <c r="D1101" s="4"/>
      <c r="E1101" s="4"/>
      <c r="F1101" s="4"/>
      <c r="G1101" s="4"/>
      <c r="H1101" s="4"/>
      <c r="I1101" s="4"/>
      <c r="J1101" s="4"/>
      <c r="K1101" s="4"/>
    </row>
    <row r="1102" spans="1:11" ht="13">
      <c r="A1102" s="164"/>
      <c r="B1102" s="4"/>
      <c r="C1102" s="4"/>
      <c r="D1102" s="4"/>
      <c r="E1102" s="4"/>
      <c r="F1102" s="4"/>
      <c r="G1102" s="4"/>
      <c r="H1102" s="4"/>
      <c r="I1102" s="4"/>
      <c r="J1102" s="4"/>
      <c r="K1102" s="4"/>
    </row>
    <row r="1103" spans="1:11" ht="13">
      <c r="A1103" s="164"/>
      <c r="B1103" s="4"/>
      <c r="C1103" s="4"/>
      <c r="D1103" s="4"/>
      <c r="E1103" s="4"/>
      <c r="F1103" s="4"/>
      <c r="G1103" s="4"/>
      <c r="H1103" s="4"/>
      <c r="I1103" s="4"/>
      <c r="J1103" s="4"/>
      <c r="K1103" s="4"/>
    </row>
    <row r="1104" spans="1:11" ht="13">
      <c r="A1104" s="164"/>
      <c r="B1104" s="4"/>
      <c r="C1104" s="4"/>
      <c r="D1104" s="4"/>
      <c r="E1104" s="4"/>
      <c r="F1104" s="4"/>
      <c r="G1104" s="4"/>
      <c r="H1104" s="4"/>
      <c r="I1104" s="4"/>
      <c r="J1104" s="4"/>
      <c r="K1104" s="4"/>
    </row>
    <row r="1105" spans="1:11" ht="13">
      <c r="A1105" s="164"/>
      <c r="B1105" s="4"/>
      <c r="C1105" s="4"/>
      <c r="D1105" s="4"/>
      <c r="E1105" s="4"/>
      <c r="F1105" s="4"/>
      <c r="G1105" s="4"/>
      <c r="H1105" s="4"/>
      <c r="I1105" s="4"/>
      <c r="J1105" s="4"/>
      <c r="K1105" s="4"/>
    </row>
    <row r="1106" spans="1:11" ht="13">
      <c r="A1106" s="164"/>
      <c r="B1106" s="4"/>
      <c r="C1106" s="4"/>
      <c r="D1106" s="4"/>
      <c r="E1106" s="4"/>
      <c r="F1106" s="4"/>
      <c r="G1106" s="4"/>
      <c r="H1106" s="4"/>
      <c r="I1106" s="4"/>
      <c r="J1106" s="4"/>
      <c r="K1106" s="4"/>
    </row>
    <row r="1107" spans="1:11" ht="13">
      <c r="A1107" s="164"/>
      <c r="B1107" s="4"/>
      <c r="C1107" s="4"/>
      <c r="D1107" s="4"/>
      <c r="E1107" s="4"/>
      <c r="F1107" s="4"/>
      <c r="G1107" s="4"/>
      <c r="H1107" s="4"/>
      <c r="I1107" s="4"/>
      <c r="J1107" s="4"/>
      <c r="K1107" s="4"/>
    </row>
    <row r="1108" spans="1:11" ht="13">
      <c r="A1108" s="164"/>
      <c r="B1108" s="4"/>
      <c r="C1108" s="4"/>
      <c r="D1108" s="4"/>
      <c r="E1108" s="4"/>
      <c r="F1108" s="4"/>
      <c r="G1108" s="4"/>
      <c r="H1108" s="4"/>
      <c r="I1108" s="4"/>
      <c r="J1108" s="4"/>
      <c r="K1108" s="4"/>
    </row>
    <row r="1109" spans="1:11" ht="13">
      <c r="A1109" s="164"/>
      <c r="B1109" s="4"/>
      <c r="C1109" s="4"/>
      <c r="D1109" s="4"/>
      <c r="E1109" s="4"/>
      <c r="F1109" s="4"/>
      <c r="G1109" s="4"/>
      <c r="H1109" s="4"/>
      <c r="I1109" s="4"/>
      <c r="J1109" s="4"/>
      <c r="K1109" s="4"/>
    </row>
    <row r="1110" spans="1:11" ht="13">
      <c r="A1110" s="164"/>
      <c r="B1110" s="4"/>
      <c r="C1110" s="4"/>
      <c r="D1110" s="4"/>
      <c r="E1110" s="4"/>
      <c r="F1110" s="4"/>
      <c r="G1110" s="4"/>
      <c r="H1110" s="4"/>
      <c r="I1110" s="4"/>
      <c r="J1110" s="4"/>
      <c r="K1110" s="4"/>
    </row>
    <row r="1111" spans="1:11" ht="13">
      <c r="A1111" s="164"/>
      <c r="B1111" s="4"/>
      <c r="C1111" s="4"/>
      <c r="D1111" s="4"/>
      <c r="E1111" s="4"/>
      <c r="F1111" s="4"/>
      <c r="G1111" s="4"/>
      <c r="H1111" s="4"/>
      <c r="I1111" s="4"/>
      <c r="J1111" s="4"/>
      <c r="K1111" s="4"/>
    </row>
    <row r="1112" spans="1:11" ht="13">
      <c r="A1112" s="164"/>
      <c r="B1112" s="4"/>
      <c r="C1112" s="4"/>
      <c r="D1112" s="4"/>
      <c r="E1112" s="4"/>
      <c r="F1112" s="4"/>
      <c r="G1112" s="4"/>
      <c r="H1112" s="4"/>
      <c r="I1112" s="4"/>
      <c r="J1112" s="4"/>
      <c r="K1112" s="4"/>
    </row>
    <row r="1113" spans="1:11" ht="13">
      <c r="A1113" s="164"/>
      <c r="B1113" s="4"/>
      <c r="C1113" s="4"/>
      <c r="D1113" s="4"/>
      <c r="E1113" s="4"/>
      <c r="F1113" s="4"/>
      <c r="G1113" s="4"/>
      <c r="H1113" s="4"/>
      <c r="I1113" s="4"/>
      <c r="J1113" s="4"/>
      <c r="K1113" s="4"/>
    </row>
    <row r="1114" spans="1:11" ht="13">
      <c r="A1114" s="164"/>
      <c r="B1114" s="4"/>
      <c r="C1114" s="4"/>
      <c r="D1114" s="4"/>
      <c r="E1114" s="4"/>
      <c r="F1114" s="4"/>
      <c r="G1114" s="4"/>
      <c r="H1114" s="4"/>
      <c r="I1114" s="4"/>
      <c r="J1114" s="4"/>
      <c r="K1114" s="4"/>
    </row>
    <row r="1115" spans="1:11" ht="13">
      <c r="A1115" s="164"/>
      <c r="B1115" s="4"/>
      <c r="C1115" s="4"/>
      <c r="D1115" s="4"/>
      <c r="E1115" s="4"/>
      <c r="F1115" s="4"/>
      <c r="G1115" s="4"/>
      <c r="H1115" s="4"/>
      <c r="I1115" s="4"/>
      <c r="J1115" s="4"/>
      <c r="K1115" s="4"/>
    </row>
    <row r="1116" spans="1:11" ht="13">
      <c r="A1116" s="164"/>
      <c r="B1116" s="4"/>
      <c r="C1116" s="4"/>
      <c r="D1116" s="4"/>
      <c r="E1116" s="4"/>
      <c r="F1116" s="4"/>
      <c r="G1116" s="4"/>
      <c r="H1116" s="4"/>
      <c r="I1116" s="4"/>
      <c r="J1116" s="4"/>
      <c r="K1116" s="4"/>
    </row>
    <row r="1117" spans="1:11" ht="13">
      <c r="A1117" s="164"/>
      <c r="B1117" s="4"/>
      <c r="C1117" s="4"/>
      <c r="D1117" s="4"/>
      <c r="E1117" s="4"/>
      <c r="F1117" s="4"/>
      <c r="G1117" s="4"/>
      <c r="H1117" s="4"/>
      <c r="I1117" s="4"/>
      <c r="J1117" s="4"/>
      <c r="K1117" s="4"/>
    </row>
    <row r="1118" spans="1:11" ht="13">
      <c r="A1118" s="164"/>
      <c r="B1118" s="4"/>
      <c r="C1118" s="4"/>
      <c r="D1118" s="4"/>
      <c r="E1118" s="4"/>
      <c r="F1118" s="4"/>
      <c r="G1118" s="4"/>
      <c r="H1118" s="4"/>
      <c r="I1118" s="4"/>
      <c r="J1118" s="4"/>
      <c r="K1118" s="4"/>
    </row>
    <row r="1119" spans="1:11" ht="13">
      <c r="A1119" s="164"/>
      <c r="B1119" s="4"/>
      <c r="C1119" s="4"/>
      <c r="D1119" s="4"/>
      <c r="E1119" s="4"/>
      <c r="F1119" s="4"/>
      <c r="G1119" s="4"/>
      <c r="H1119" s="4"/>
      <c r="I1119" s="4"/>
      <c r="J1119" s="4"/>
      <c r="K1119" s="4"/>
    </row>
    <row r="1120" spans="1:11" ht="13">
      <c r="A1120" s="164"/>
      <c r="B1120" s="4"/>
      <c r="C1120" s="4"/>
      <c r="D1120" s="4"/>
      <c r="E1120" s="4"/>
      <c r="F1120" s="4"/>
      <c r="G1120" s="4"/>
      <c r="H1120" s="4"/>
      <c r="I1120" s="4"/>
      <c r="J1120" s="4"/>
      <c r="K1120" s="4"/>
    </row>
    <row r="1121" spans="1:11" ht="13">
      <c r="A1121" s="164"/>
      <c r="B1121" s="4"/>
      <c r="C1121" s="4"/>
      <c r="D1121" s="4"/>
      <c r="E1121" s="4"/>
      <c r="F1121" s="4"/>
      <c r="G1121" s="4"/>
      <c r="H1121" s="4"/>
      <c r="I1121" s="4"/>
      <c r="J1121" s="4"/>
      <c r="K1121" s="4"/>
    </row>
    <row r="1122" spans="1:11" ht="13">
      <c r="A1122" s="164"/>
      <c r="B1122" s="4"/>
      <c r="C1122" s="4"/>
      <c r="D1122" s="4"/>
      <c r="E1122" s="4"/>
      <c r="F1122" s="4"/>
      <c r="G1122" s="4"/>
      <c r="H1122" s="4"/>
      <c r="I1122" s="4"/>
      <c r="J1122" s="4"/>
      <c r="K1122" s="4"/>
    </row>
    <row r="1123" spans="1:11" ht="13">
      <c r="A1123" s="164"/>
      <c r="B1123" s="4"/>
      <c r="C1123" s="4"/>
      <c r="D1123" s="4"/>
      <c r="E1123" s="4"/>
      <c r="F1123" s="4"/>
      <c r="G1123" s="4"/>
      <c r="H1123" s="4"/>
      <c r="I1123" s="4"/>
      <c r="J1123" s="4"/>
      <c r="K1123" s="4"/>
    </row>
    <row r="1124" spans="1:11" ht="13">
      <c r="A1124" s="164"/>
      <c r="B1124" s="4"/>
      <c r="C1124" s="4"/>
      <c r="D1124" s="4"/>
      <c r="E1124" s="4"/>
      <c r="F1124" s="4"/>
      <c r="G1124" s="4"/>
      <c r="H1124" s="4"/>
      <c r="I1124" s="4"/>
      <c r="J1124" s="4"/>
      <c r="K1124" s="4"/>
    </row>
    <row r="1125" spans="1:11" ht="13">
      <c r="A1125" s="164"/>
      <c r="B1125" s="4"/>
      <c r="C1125" s="4"/>
      <c r="D1125" s="4"/>
      <c r="E1125" s="4"/>
      <c r="F1125" s="4"/>
      <c r="G1125" s="4"/>
      <c r="H1125" s="4"/>
      <c r="I1125" s="4"/>
      <c r="J1125" s="4"/>
      <c r="K1125" s="4"/>
    </row>
    <row r="1126" spans="1:11" ht="13">
      <c r="A1126" s="164"/>
      <c r="B1126" s="4"/>
      <c r="C1126" s="4"/>
      <c r="D1126" s="4"/>
      <c r="E1126" s="4"/>
      <c r="F1126" s="4"/>
      <c r="G1126" s="4"/>
      <c r="H1126" s="4"/>
      <c r="I1126" s="4"/>
      <c r="J1126" s="4"/>
      <c r="K1126" s="4"/>
    </row>
    <row r="1127" spans="1:11" ht="13">
      <c r="A1127" s="164"/>
      <c r="B1127" s="4"/>
      <c r="C1127" s="4"/>
      <c r="D1127" s="4"/>
      <c r="E1127" s="4"/>
      <c r="F1127" s="4"/>
      <c r="G1127" s="4"/>
      <c r="H1127" s="4"/>
      <c r="I1127" s="4"/>
      <c r="J1127" s="4"/>
      <c r="K1127" s="4"/>
    </row>
    <row r="1128" spans="1:11" ht="13">
      <c r="A1128" s="164"/>
      <c r="B1128" s="4"/>
      <c r="C1128" s="4"/>
      <c r="D1128" s="4"/>
      <c r="E1128" s="4"/>
      <c r="F1128" s="4"/>
      <c r="G1128" s="4"/>
      <c r="H1128" s="4"/>
      <c r="I1128" s="4"/>
      <c r="J1128" s="4"/>
      <c r="K1128" s="4"/>
    </row>
    <row r="1129" spans="1:11" ht="13">
      <c r="A1129" s="164"/>
      <c r="B1129" s="4"/>
      <c r="C1129" s="4"/>
      <c r="D1129" s="4"/>
      <c r="E1129" s="4"/>
      <c r="F1129" s="4"/>
      <c r="G1129" s="4"/>
      <c r="H1129" s="4"/>
      <c r="I1129" s="4"/>
      <c r="J1129" s="4"/>
      <c r="K1129" s="4"/>
    </row>
    <row r="1130" spans="1:11" ht="13">
      <c r="A1130" s="164"/>
      <c r="B1130" s="4"/>
      <c r="C1130" s="4"/>
      <c r="D1130" s="4"/>
      <c r="E1130" s="4"/>
      <c r="F1130" s="4"/>
      <c r="G1130" s="4"/>
      <c r="H1130" s="4"/>
      <c r="I1130" s="4"/>
      <c r="J1130" s="4"/>
      <c r="K1130" s="4"/>
    </row>
    <row r="1131" spans="1:11" ht="13">
      <c r="A1131" s="164"/>
      <c r="B1131" s="4"/>
      <c r="C1131" s="4"/>
      <c r="D1131" s="4"/>
      <c r="E1131" s="4"/>
      <c r="F1131" s="4"/>
      <c r="G1131" s="4"/>
      <c r="H1131" s="4"/>
      <c r="I1131" s="4"/>
      <c r="J1131" s="4"/>
      <c r="K1131" s="4"/>
    </row>
    <row r="1132" spans="1:11" ht="13">
      <c r="A1132" s="164"/>
      <c r="B1132" s="4"/>
      <c r="C1132" s="4"/>
      <c r="D1132" s="4"/>
      <c r="E1132" s="4"/>
      <c r="F1132" s="4"/>
      <c r="G1132" s="4"/>
      <c r="H1132" s="4"/>
      <c r="I1132" s="4"/>
      <c r="J1132" s="4"/>
      <c r="K1132" s="4"/>
    </row>
    <row r="1133" spans="1:11" ht="13">
      <c r="A1133" s="164"/>
      <c r="B1133" s="4"/>
      <c r="C1133" s="4"/>
      <c r="D1133" s="4"/>
      <c r="E1133" s="4"/>
      <c r="F1133" s="4"/>
      <c r="G1133" s="4"/>
      <c r="H1133" s="4"/>
      <c r="I1133" s="4"/>
      <c r="J1133" s="4"/>
      <c r="K1133" s="4"/>
    </row>
    <row r="1134" spans="1:11" ht="13">
      <c r="A1134" s="164"/>
      <c r="B1134" s="4"/>
      <c r="C1134" s="4"/>
      <c r="D1134" s="4"/>
      <c r="E1134" s="4"/>
      <c r="F1134" s="4"/>
      <c r="G1134" s="4"/>
      <c r="H1134" s="4"/>
      <c r="I1134" s="4"/>
      <c r="J1134" s="4"/>
      <c r="K1134" s="4"/>
    </row>
    <row r="1135" spans="1:11" ht="13">
      <c r="A1135" s="164"/>
      <c r="B1135" s="4"/>
      <c r="C1135" s="4"/>
      <c r="D1135" s="4"/>
      <c r="E1135" s="4"/>
      <c r="F1135" s="4"/>
      <c r="G1135" s="4"/>
      <c r="H1135" s="4"/>
      <c r="I1135" s="4"/>
      <c r="J1135" s="4"/>
      <c r="K1135" s="4"/>
    </row>
    <row r="1136" spans="1:11" ht="13">
      <c r="A1136" s="164"/>
      <c r="B1136" s="4"/>
      <c r="C1136" s="4"/>
      <c r="D1136" s="4"/>
      <c r="E1136" s="4"/>
      <c r="F1136" s="4"/>
      <c r="G1136" s="4"/>
      <c r="H1136" s="4"/>
      <c r="I1136" s="4"/>
      <c r="J1136" s="4"/>
      <c r="K1136" s="4"/>
    </row>
    <row r="1137" spans="1:11" ht="13">
      <c r="A1137" s="164"/>
      <c r="B1137" s="4"/>
      <c r="C1137" s="4"/>
      <c r="D1137" s="4"/>
      <c r="E1137" s="4"/>
      <c r="F1137" s="4"/>
      <c r="G1137" s="4"/>
      <c r="H1137" s="4"/>
      <c r="I1137" s="4"/>
      <c r="J1137" s="4"/>
      <c r="K1137" s="4"/>
    </row>
    <row r="1138" spans="1:11" ht="13">
      <c r="A1138" s="164"/>
      <c r="B1138" s="4"/>
      <c r="C1138" s="4"/>
      <c r="D1138" s="4"/>
      <c r="E1138" s="4"/>
      <c r="F1138" s="4"/>
      <c r="G1138" s="4"/>
      <c r="H1138" s="4"/>
      <c r="I1138" s="4"/>
      <c r="J1138" s="4"/>
      <c r="K1138" s="4"/>
    </row>
    <row r="1139" spans="1:11" ht="13">
      <c r="A1139" s="164"/>
      <c r="B1139" s="4"/>
      <c r="C1139" s="4"/>
      <c r="D1139" s="4"/>
      <c r="E1139" s="4"/>
      <c r="F1139" s="4"/>
      <c r="G1139" s="4"/>
      <c r="H1139" s="4"/>
      <c r="I1139" s="4"/>
      <c r="J1139" s="4"/>
      <c r="K1139" s="4"/>
    </row>
    <row r="1140" spans="1:11" ht="13">
      <c r="A1140" s="164"/>
      <c r="B1140" s="4"/>
      <c r="C1140" s="4"/>
      <c r="D1140" s="4"/>
      <c r="E1140" s="4"/>
      <c r="F1140" s="4"/>
      <c r="G1140" s="4"/>
      <c r="H1140" s="4"/>
      <c r="I1140" s="4"/>
      <c r="J1140" s="4"/>
      <c r="K1140" s="4"/>
    </row>
    <row r="1141" spans="1:11" ht="13">
      <c r="A1141" s="164"/>
      <c r="B1141" s="4"/>
      <c r="C1141" s="4"/>
      <c r="D1141" s="4"/>
      <c r="E1141" s="4"/>
      <c r="F1141" s="4"/>
      <c r="G1141" s="4"/>
      <c r="H1141" s="4"/>
      <c r="I1141" s="4"/>
      <c r="J1141" s="4"/>
      <c r="K1141" s="4"/>
    </row>
    <row r="1142" spans="1:11" ht="13">
      <c r="A1142" s="164"/>
      <c r="B1142" s="4"/>
      <c r="C1142" s="4"/>
      <c r="D1142" s="4"/>
      <c r="E1142" s="4"/>
      <c r="F1142" s="4"/>
      <c r="G1142" s="4"/>
      <c r="H1142" s="4"/>
      <c r="I1142" s="4"/>
      <c r="J1142" s="4"/>
      <c r="K1142" s="4"/>
    </row>
    <row r="1143" spans="1:11" ht="13">
      <c r="A1143" s="164"/>
      <c r="B1143" s="4"/>
      <c r="C1143" s="4"/>
      <c r="D1143" s="4"/>
      <c r="E1143" s="4"/>
      <c r="F1143" s="4"/>
      <c r="G1143" s="4"/>
      <c r="H1143" s="4"/>
      <c r="I1143" s="4"/>
      <c r="J1143" s="4"/>
      <c r="K1143" s="4"/>
    </row>
    <row r="1144" spans="1:11" ht="13">
      <c r="A1144" s="164"/>
      <c r="B1144" s="4"/>
      <c r="C1144" s="4"/>
      <c r="D1144" s="4"/>
      <c r="E1144" s="4"/>
      <c r="F1144" s="4"/>
      <c r="G1144" s="4"/>
      <c r="H1144" s="4"/>
      <c r="I1144" s="4"/>
      <c r="J1144" s="4"/>
      <c r="K1144" s="4"/>
    </row>
    <row r="1145" spans="1:11" ht="13">
      <c r="A1145" s="164"/>
      <c r="B1145" s="4"/>
      <c r="C1145" s="4"/>
      <c r="D1145" s="4"/>
      <c r="E1145" s="4"/>
      <c r="F1145" s="4"/>
      <c r="G1145" s="4"/>
      <c r="H1145" s="4"/>
      <c r="I1145" s="4"/>
      <c r="J1145" s="4"/>
      <c r="K1145" s="4"/>
    </row>
    <row r="1146" spans="1:11" ht="13">
      <c r="A1146" s="164"/>
      <c r="B1146" s="4"/>
      <c r="C1146" s="4"/>
      <c r="D1146" s="4"/>
      <c r="E1146" s="4"/>
      <c r="F1146" s="4"/>
      <c r="G1146" s="4"/>
      <c r="H1146" s="4"/>
      <c r="I1146" s="4"/>
      <c r="J1146" s="4"/>
      <c r="K1146" s="4"/>
    </row>
    <row r="1147" spans="1:11" ht="13">
      <c r="A1147" s="164"/>
      <c r="B1147" s="4"/>
      <c r="C1147" s="4"/>
      <c r="D1147" s="4"/>
      <c r="E1147" s="4"/>
      <c r="F1147" s="4"/>
      <c r="G1147" s="4"/>
      <c r="H1147" s="4"/>
      <c r="I1147" s="4"/>
      <c r="J1147" s="4"/>
      <c r="K1147" s="4"/>
    </row>
    <row r="1148" spans="1:11" ht="13">
      <c r="A1148" s="164"/>
      <c r="B1148" s="4"/>
      <c r="C1148" s="4"/>
      <c r="D1148" s="4"/>
      <c r="E1148" s="4"/>
      <c r="F1148" s="4"/>
      <c r="G1148" s="4"/>
      <c r="H1148" s="4"/>
      <c r="I1148" s="4"/>
      <c r="J1148" s="4"/>
      <c r="K1148" s="4"/>
    </row>
    <row r="1149" spans="1:11" ht="13">
      <c r="A1149" s="164"/>
      <c r="B1149" s="4"/>
      <c r="C1149" s="4"/>
      <c r="D1149" s="4"/>
      <c r="E1149" s="4"/>
      <c r="F1149" s="4"/>
      <c r="G1149" s="4"/>
      <c r="H1149" s="4"/>
      <c r="I1149" s="4"/>
      <c r="J1149" s="4"/>
      <c r="K1149" s="4"/>
    </row>
    <row r="1150" spans="1:11" ht="13">
      <c r="A1150" s="164"/>
      <c r="B1150" s="4"/>
      <c r="C1150" s="4"/>
      <c r="D1150" s="4"/>
      <c r="E1150" s="4"/>
      <c r="F1150" s="4"/>
      <c r="G1150" s="4"/>
      <c r="H1150" s="4"/>
      <c r="I1150" s="4"/>
      <c r="J1150" s="4"/>
      <c r="K1150" s="4"/>
    </row>
    <row r="1151" spans="1:11" ht="13">
      <c r="A1151" s="164"/>
      <c r="B1151" s="4"/>
      <c r="C1151" s="4"/>
      <c r="D1151" s="4"/>
      <c r="E1151" s="4"/>
      <c r="F1151" s="4"/>
      <c r="G1151" s="4"/>
      <c r="H1151" s="4"/>
      <c r="I1151" s="4"/>
      <c r="J1151" s="4"/>
      <c r="K1151" s="4"/>
    </row>
    <row r="1152" spans="1:11" ht="13">
      <c r="A1152" s="164"/>
      <c r="B1152" s="4"/>
      <c r="C1152" s="4"/>
      <c r="D1152" s="4"/>
      <c r="E1152" s="4"/>
      <c r="F1152" s="4"/>
      <c r="G1152" s="4"/>
      <c r="H1152" s="4"/>
      <c r="I1152" s="4"/>
      <c r="J1152" s="4"/>
      <c r="K1152" s="4"/>
    </row>
    <row r="1153" spans="1:11" ht="13">
      <c r="A1153" s="164"/>
      <c r="B1153" s="4"/>
      <c r="C1153" s="4"/>
      <c r="D1153" s="4"/>
      <c r="E1153" s="4"/>
      <c r="F1153" s="4"/>
      <c r="G1153" s="4"/>
      <c r="H1153" s="4"/>
      <c r="I1153" s="4"/>
      <c r="J1153" s="4"/>
      <c r="K1153" s="4"/>
    </row>
    <row r="1154" spans="1:11" ht="13">
      <c r="A1154" s="164"/>
      <c r="B1154" s="4"/>
      <c r="C1154" s="4"/>
      <c r="D1154" s="4"/>
      <c r="E1154" s="4"/>
      <c r="F1154" s="4"/>
      <c r="G1154" s="4"/>
      <c r="H1154" s="4"/>
      <c r="I1154" s="4"/>
      <c r="J1154" s="4"/>
      <c r="K1154" s="4"/>
    </row>
    <row r="1155" spans="1:11" ht="13">
      <c r="A1155" s="164"/>
      <c r="B1155" s="4"/>
      <c r="C1155" s="4"/>
      <c r="D1155" s="4"/>
      <c r="E1155" s="4"/>
      <c r="F1155" s="4"/>
      <c r="G1155" s="4"/>
      <c r="H1155" s="4"/>
      <c r="I1155" s="4"/>
      <c r="J1155" s="4"/>
      <c r="K1155" s="4"/>
    </row>
    <row r="1156" spans="1:11" ht="13">
      <c r="A1156" s="164"/>
      <c r="B1156" s="4"/>
      <c r="C1156" s="4"/>
      <c r="D1156" s="4"/>
      <c r="E1156" s="4"/>
      <c r="F1156" s="4"/>
      <c r="G1156" s="4"/>
      <c r="H1156" s="4"/>
      <c r="I1156" s="4"/>
      <c r="J1156" s="4"/>
      <c r="K1156" s="4"/>
    </row>
    <row r="1157" spans="1:11" ht="13">
      <c r="A1157" s="164"/>
      <c r="B1157" s="4"/>
      <c r="C1157" s="4"/>
      <c r="D1157" s="4"/>
      <c r="E1157" s="4"/>
      <c r="F1157" s="4"/>
      <c r="G1157" s="4"/>
      <c r="H1157" s="4"/>
      <c r="I1157" s="4"/>
      <c r="J1157" s="4"/>
      <c r="K1157" s="4"/>
    </row>
    <row r="1158" spans="1:11" ht="13">
      <c r="A1158" s="164"/>
      <c r="B1158" s="4"/>
      <c r="C1158" s="4"/>
      <c r="D1158" s="4"/>
      <c r="E1158" s="4"/>
      <c r="F1158" s="4"/>
      <c r="G1158" s="4"/>
      <c r="H1158" s="4"/>
      <c r="I1158" s="4"/>
      <c r="J1158" s="4"/>
      <c r="K1158" s="4"/>
    </row>
    <row r="1159" spans="1:11" ht="13">
      <c r="A1159" s="164"/>
      <c r="B1159" s="4"/>
      <c r="C1159" s="4"/>
      <c r="D1159" s="4"/>
      <c r="E1159" s="4"/>
      <c r="F1159" s="4"/>
      <c r="G1159" s="4"/>
      <c r="H1159" s="4"/>
      <c r="I1159" s="4"/>
      <c r="J1159" s="4"/>
      <c r="K1159" s="4"/>
    </row>
    <row r="1160" spans="1:11" ht="13">
      <c r="A1160" s="164"/>
      <c r="B1160" s="4"/>
      <c r="C1160" s="4"/>
      <c r="D1160" s="4"/>
      <c r="E1160" s="4"/>
      <c r="F1160" s="4"/>
      <c r="G1160" s="4"/>
      <c r="H1160" s="4"/>
      <c r="I1160" s="4"/>
      <c r="J1160" s="4"/>
      <c r="K1160" s="4"/>
    </row>
    <row r="1161" spans="1:11" ht="13">
      <c r="A1161" s="164"/>
      <c r="B1161" s="4"/>
      <c r="C1161" s="4"/>
      <c r="D1161" s="4"/>
      <c r="E1161" s="4"/>
      <c r="F1161" s="4"/>
      <c r="G1161" s="4"/>
      <c r="H1161" s="4"/>
      <c r="I1161" s="4"/>
      <c r="J1161" s="4"/>
      <c r="K1161" s="4"/>
    </row>
    <row r="1162" spans="1:11" ht="13">
      <c r="A1162" s="164"/>
      <c r="B1162" s="4"/>
      <c r="C1162" s="4"/>
      <c r="D1162" s="4"/>
      <c r="E1162" s="4"/>
      <c r="F1162" s="4"/>
      <c r="G1162" s="4"/>
      <c r="H1162" s="4"/>
      <c r="I1162" s="4"/>
      <c r="J1162" s="4"/>
      <c r="K1162" s="4"/>
    </row>
    <row r="1163" spans="1:11" ht="13">
      <c r="A1163" s="164"/>
      <c r="B1163" s="4"/>
      <c r="C1163" s="4"/>
      <c r="D1163" s="4"/>
      <c r="E1163" s="4"/>
      <c r="F1163" s="4"/>
      <c r="G1163" s="4"/>
      <c r="H1163" s="4"/>
      <c r="I1163" s="4"/>
      <c r="J1163" s="4"/>
      <c r="K1163" s="4"/>
    </row>
    <row r="1164" spans="1:11" ht="13">
      <c r="A1164" s="164"/>
      <c r="B1164" s="4"/>
      <c r="C1164" s="4"/>
      <c r="D1164" s="4"/>
      <c r="E1164" s="4"/>
      <c r="F1164" s="4"/>
      <c r="G1164" s="4"/>
      <c r="H1164" s="4"/>
      <c r="I1164" s="4"/>
      <c r="J1164" s="4"/>
      <c r="K1164" s="4"/>
    </row>
    <row r="1165" spans="1:11" ht="13">
      <c r="A1165" s="164"/>
      <c r="B1165" s="4"/>
      <c r="C1165" s="4"/>
      <c r="D1165" s="4"/>
      <c r="E1165" s="4"/>
      <c r="F1165" s="4"/>
      <c r="G1165" s="4"/>
      <c r="H1165" s="4"/>
      <c r="I1165" s="4"/>
      <c r="J1165" s="4"/>
      <c r="K1165" s="4"/>
    </row>
    <row r="1166" spans="1:11" ht="13">
      <c r="A1166" s="164"/>
      <c r="B1166" s="4"/>
      <c r="C1166" s="4"/>
      <c r="D1166" s="4"/>
      <c r="E1166" s="4"/>
      <c r="F1166" s="4"/>
      <c r="G1166" s="4"/>
      <c r="H1166" s="4"/>
      <c r="I1166" s="4"/>
      <c r="J1166" s="4"/>
      <c r="K1166" s="4"/>
    </row>
    <row r="1167" spans="1:11" ht="13">
      <c r="A1167" s="164"/>
      <c r="B1167" s="4"/>
      <c r="C1167" s="4"/>
      <c r="D1167" s="4"/>
      <c r="E1167" s="4"/>
      <c r="F1167" s="4"/>
      <c r="G1167" s="4"/>
      <c r="H1167" s="4"/>
      <c r="I1167" s="4"/>
      <c r="J1167" s="4"/>
      <c r="K1167" s="4"/>
    </row>
    <row r="1168" spans="1:11" ht="13">
      <c r="A1168" s="164"/>
      <c r="B1168" s="4"/>
      <c r="C1168" s="4"/>
      <c r="D1168" s="4"/>
      <c r="E1168" s="4"/>
      <c r="F1168" s="4"/>
      <c r="G1168" s="4"/>
      <c r="H1168" s="4"/>
      <c r="I1168" s="4"/>
      <c r="J1168" s="4"/>
      <c r="K1168" s="4"/>
    </row>
    <row r="1169" spans="1:11" ht="13">
      <c r="A1169" s="164"/>
      <c r="B1169" s="4"/>
      <c r="C1169" s="4"/>
      <c r="D1169" s="4"/>
      <c r="E1169" s="4"/>
      <c r="F1169" s="4"/>
      <c r="G1169" s="4"/>
      <c r="H1169" s="4"/>
      <c r="I1169" s="4"/>
      <c r="J1169" s="4"/>
      <c r="K1169" s="4"/>
    </row>
    <row r="1170" spans="1:11" ht="13">
      <c r="A1170" s="164"/>
      <c r="B1170" s="4"/>
      <c r="C1170" s="4"/>
      <c r="D1170" s="4"/>
      <c r="E1170" s="4"/>
      <c r="F1170" s="4"/>
      <c r="G1170" s="4"/>
      <c r="H1170" s="4"/>
      <c r="I1170" s="4"/>
      <c r="J1170" s="4"/>
      <c r="K1170" s="4"/>
    </row>
    <row r="1171" spans="1:11" ht="13">
      <c r="A1171" s="164"/>
      <c r="B1171" s="4"/>
      <c r="C1171" s="4"/>
      <c r="D1171" s="4"/>
      <c r="E1171" s="4"/>
      <c r="F1171" s="4"/>
      <c r="G1171" s="4"/>
      <c r="H1171" s="4"/>
      <c r="I1171" s="4"/>
      <c r="J1171" s="4"/>
      <c r="K1171" s="4"/>
    </row>
    <row r="1172" spans="1:11" ht="13">
      <c r="A1172" s="164"/>
      <c r="B1172" s="4"/>
      <c r="C1172" s="4"/>
      <c r="D1172" s="4"/>
      <c r="E1172" s="4"/>
      <c r="F1172" s="4"/>
      <c r="G1172" s="4"/>
      <c r="H1172" s="4"/>
      <c r="I1172" s="4"/>
      <c r="J1172" s="4"/>
      <c r="K1172" s="4"/>
    </row>
    <row r="1173" spans="1:11" ht="13">
      <c r="A1173" s="164"/>
      <c r="B1173" s="4"/>
      <c r="C1173" s="4"/>
      <c r="D1173" s="4"/>
      <c r="E1173" s="4"/>
      <c r="F1173" s="4"/>
      <c r="G1173" s="4"/>
      <c r="H1173" s="4"/>
      <c r="I1173" s="4"/>
      <c r="J1173" s="4"/>
      <c r="K1173" s="4"/>
    </row>
    <row r="1174" spans="1:11" ht="13">
      <c r="A1174" s="164"/>
      <c r="B1174" s="4"/>
      <c r="C1174" s="4"/>
      <c r="D1174" s="4"/>
      <c r="E1174" s="4"/>
      <c r="F1174" s="4"/>
      <c r="G1174" s="4"/>
      <c r="H1174" s="4"/>
      <c r="I1174" s="4"/>
      <c r="J1174" s="4"/>
      <c r="K1174" s="4"/>
    </row>
    <row r="1175" spans="1:11" ht="13">
      <c r="A1175" s="164"/>
      <c r="B1175" s="4"/>
      <c r="C1175" s="4"/>
      <c r="D1175" s="4"/>
      <c r="E1175" s="4"/>
      <c r="F1175" s="4"/>
      <c r="G1175" s="4"/>
      <c r="H1175" s="4"/>
      <c r="I1175" s="4"/>
      <c r="J1175" s="4"/>
      <c r="K1175" s="4"/>
    </row>
    <row r="1176" spans="1:11" ht="13">
      <c r="A1176" s="164"/>
      <c r="B1176" s="4"/>
      <c r="C1176" s="4"/>
      <c r="D1176" s="4"/>
      <c r="E1176" s="4"/>
      <c r="F1176" s="4"/>
      <c r="G1176" s="4"/>
      <c r="H1176" s="4"/>
      <c r="I1176" s="4"/>
      <c r="J1176" s="4"/>
      <c r="K1176" s="4"/>
    </row>
    <row r="1177" spans="1:11" ht="13">
      <c r="A1177" s="164"/>
      <c r="B1177" s="4"/>
      <c r="C1177" s="4"/>
      <c r="D1177" s="4"/>
      <c r="E1177" s="4"/>
      <c r="F1177" s="4"/>
      <c r="G1177" s="4"/>
      <c r="H1177" s="4"/>
      <c r="I1177" s="4"/>
      <c r="J1177" s="4"/>
      <c r="K1177" s="4"/>
    </row>
    <row r="1178" spans="1:11" ht="13">
      <c r="A1178" s="164"/>
      <c r="B1178" s="4"/>
      <c r="C1178" s="4"/>
      <c r="D1178" s="4"/>
      <c r="E1178" s="4"/>
      <c r="F1178" s="4"/>
      <c r="G1178" s="4"/>
      <c r="H1178" s="4"/>
      <c r="I1178" s="4"/>
      <c r="J1178" s="4"/>
      <c r="K1178" s="4"/>
    </row>
    <row r="1179" spans="1:11" ht="13">
      <c r="A1179" s="164"/>
      <c r="B1179" s="4"/>
      <c r="C1179" s="4"/>
      <c r="D1179" s="4"/>
      <c r="E1179" s="4"/>
      <c r="F1179" s="4"/>
      <c r="G1179" s="4"/>
      <c r="H1179" s="4"/>
      <c r="I1179" s="4"/>
      <c r="J1179" s="4"/>
      <c r="K1179" s="4"/>
    </row>
    <row r="1180" spans="1:11" ht="13">
      <c r="A1180" s="164"/>
      <c r="B1180" s="4"/>
      <c r="C1180" s="4"/>
      <c r="D1180" s="4"/>
      <c r="E1180" s="4"/>
      <c r="F1180" s="4"/>
      <c r="G1180" s="4"/>
      <c r="H1180" s="4"/>
      <c r="I1180" s="4"/>
      <c r="J1180" s="4"/>
      <c r="K1180" s="4"/>
    </row>
    <row r="1181" spans="1:11" ht="13">
      <c r="A1181" s="164"/>
      <c r="B1181" s="4"/>
      <c r="C1181" s="4"/>
      <c r="D1181" s="4"/>
      <c r="E1181" s="4"/>
      <c r="F1181" s="4"/>
      <c r="G1181" s="4"/>
      <c r="H1181" s="4"/>
      <c r="I1181" s="4"/>
      <c r="J1181" s="4"/>
      <c r="K1181" s="4"/>
    </row>
    <row r="1182" spans="1:11" ht="13">
      <c r="A1182" s="164"/>
      <c r="B1182" s="4"/>
      <c r="C1182" s="4"/>
      <c r="D1182" s="4"/>
      <c r="E1182" s="4"/>
      <c r="F1182" s="4"/>
      <c r="G1182" s="4"/>
      <c r="H1182" s="4"/>
      <c r="I1182" s="4"/>
      <c r="J1182" s="4"/>
      <c r="K1182" s="4"/>
    </row>
    <row r="1183" spans="1:11" ht="13">
      <c r="A1183" s="164"/>
      <c r="B1183" s="4"/>
      <c r="C1183" s="4"/>
      <c r="D1183" s="4"/>
      <c r="E1183" s="4"/>
      <c r="F1183" s="4"/>
      <c r="G1183" s="4"/>
      <c r="H1183" s="4"/>
      <c r="I1183" s="4"/>
      <c r="J1183" s="4"/>
      <c r="K1183" s="4"/>
    </row>
    <row r="1184" spans="1:11" ht="13">
      <c r="A1184" s="164"/>
      <c r="B1184" s="4"/>
      <c r="C1184" s="4"/>
      <c r="D1184" s="4"/>
      <c r="E1184" s="4"/>
      <c r="F1184" s="4"/>
      <c r="G1184" s="4"/>
      <c r="H1184" s="4"/>
      <c r="I1184" s="4"/>
      <c r="J1184" s="4"/>
      <c r="K1184" s="4"/>
    </row>
    <row r="1185" spans="1:11" ht="13">
      <c r="A1185" s="164"/>
      <c r="B1185" s="4"/>
      <c r="C1185" s="4"/>
      <c r="D1185" s="4"/>
      <c r="E1185" s="4"/>
      <c r="F1185" s="4"/>
      <c r="G1185" s="4"/>
      <c r="H1185" s="4"/>
      <c r="I1185" s="4"/>
      <c r="J1185" s="4"/>
      <c r="K1185" s="4"/>
    </row>
    <row r="1186" spans="1:11" ht="13">
      <c r="A1186" s="164"/>
      <c r="B1186" s="4"/>
      <c r="C1186" s="4"/>
      <c r="D1186" s="4"/>
      <c r="E1186" s="4"/>
      <c r="F1186" s="4"/>
      <c r="G1186" s="4"/>
      <c r="H1186" s="4"/>
      <c r="I1186" s="4"/>
      <c r="J1186" s="4"/>
      <c r="K1186" s="4"/>
    </row>
    <row r="1187" spans="1:11" ht="13">
      <c r="A1187" s="164"/>
      <c r="B1187" s="4"/>
      <c r="C1187" s="4"/>
      <c r="D1187" s="4"/>
      <c r="E1187" s="4"/>
      <c r="F1187" s="4"/>
      <c r="G1187" s="4"/>
      <c r="H1187" s="4"/>
      <c r="I1187" s="4"/>
      <c r="J1187" s="4"/>
      <c r="K1187" s="4"/>
    </row>
    <row r="1188" spans="1:11" ht="13">
      <c r="A1188" s="164"/>
      <c r="B1188" s="4"/>
      <c r="C1188" s="4"/>
      <c r="D1188" s="4"/>
      <c r="E1188" s="4"/>
      <c r="F1188" s="4"/>
      <c r="G1188" s="4"/>
      <c r="H1188" s="4"/>
      <c r="I1188" s="4"/>
      <c r="J1188" s="4"/>
      <c r="K1188" s="4"/>
    </row>
    <row r="1189" spans="1:11" ht="13">
      <c r="A1189" s="164"/>
      <c r="B1189" s="4"/>
      <c r="C1189" s="4"/>
      <c r="D1189" s="4"/>
      <c r="E1189" s="4"/>
      <c r="F1189" s="4"/>
      <c r="G1189" s="4"/>
      <c r="H1189" s="4"/>
      <c r="I1189" s="4"/>
      <c r="J1189" s="4"/>
      <c r="K1189" s="4"/>
    </row>
    <row r="1190" spans="1:11" ht="13">
      <c r="A1190" s="164"/>
      <c r="B1190" s="4"/>
      <c r="C1190" s="4"/>
      <c r="D1190" s="4"/>
      <c r="E1190" s="4"/>
      <c r="F1190" s="4"/>
      <c r="G1190" s="4"/>
      <c r="H1190" s="4"/>
      <c r="I1190" s="4"/>
      <c r="J1190" s="4"/>
      <c r="K1190" s="4"/>
    </row>
    <row r="1191" spans="1:11" ht="13">
      <c r="A1191" s="164"/>
      <c r="B1191" s="4"/>
      <c r="C1191" s="4"/>
      <c r="D1191" s="4"/>
      <c r="E1191" s="4"/>
      <c r="F1191" s="4"/>
      <c r="G1191" s="4"/>
      <c r="H1191" s="4"/>
      <c r="I1191" s="4"/>
      <c r="J1191" s="4"/>
      <c r="K1191" s="4"/>
    </row>
    <row r="1192" spans="1:11" ht="13">
      <c r="A1192" s="164"/>
      <c r="B1192" s="4"/>
      <c r="C1192" s="4"/>
      <c r="D1192" s="4"/>
      <c r="E1192" s="4"/>
      <c r="F1192" s="4"/>
      <c r="G1192" s="4"/>
      <c r="H1192" s="4"/>
      <c r="I1192" s="4"/>
      <c r="J1192" s="4"/>
      <c r="K1192" s="4"/>
    </row>
    <row r="1193" spans="1:11" ht="13">
      <c r="A1193" s="164"/>
      <c r="B1193" s="4"/>
      <c r="C1193" s="4"/>
      <c r="D1193" s="4"/>
      <c r="E1193" s="4"/>
      <c r="F1193" s="4"/>
      <c r="G1193" s="4"/>
      <c r="H1193" s="4"/>
      <c r="I1193" s="4"/>
      <c r="J1193" s="4"/>
      <c r="K1193" s="4"/>
    </row>
    <row r="1194" spans="1:11" ht="13">
      <c r="A1194" s="164"/>
      <c r="B1194" s="4"/>
      <c r="C1194" s="4"/>
      <c r="D1194" s="4"/>
      <c r="E1194" s="4"/>
      <c r="F1194" s="4"/>
      <c r="G1194" s="4"/>
      <c r="H1194" s="4"/>
      <c r="I1194" s="4"/>
      <c r="J1194" s="4"/>
      <c r="K1194" s="4"/>
    </row>
    <row r="1195" spans="1:11" ht="13">
      <c r="A1195" s="164"/>
      <c r="B1195" s="4"/>
      <c r="C1195" s="4"/>
      <c r="D1195" s="4"/>
      <c r="E1195" s="4"/>
      <c r="F1195" s="4"/>
      <c r="G1195" s="4"/>
      <c r="H1195" s="4"/>
      <c r="I1195" s="4"/>
      <c r="J1195" s="4"/>
      <c r="K1195" s="4"/>
    </row>
    <row r="1196" spans="1:11" ht="13">
      <c r="A1196" s="164"/>
      <c r="B1196" s="4"/>
      <c r="C1196" s="4"/>
      <c r="D1196" s="4"/>
      <c r="E1196" s="4"/>
      <c r="F1196" s="4"/>
      <c r="G1196" s="4"/>
      <c r="H1196" s="4"/>
      <c r="I1196" s="4"/>
      <c r="J1196" s="4"/>
      <c r="K1196" s="4"/>
    </row>
    <row r="1197" spans="1:11" ht="13">
      <c r="A1197" s="164"/>
      <c r="B1197" s="4"/>
      <c r="C1197" s="4"/>
      <c r="D1197" s="4"/>
      <c r="E1197" s="4"/>
      <c r="F1197" s="4"/>
      <c r="G1197" s="4"/>
      <c r="H1197" s="4"/>
      <c r="I1197" s="4"/>
      <c r="J1197" s="4"/>
      <c r="K1197" s="4"/>
    </row>
    <row r="1198" spans="1:11" ht="13">
      <c r="A1198" s="164"/>
      <c r="B1198" s="4"/>
      <c r="C1198" s="4"/>
      <c r="D1198" s="4"/>
      <c r="E1198" s="4"/>
      <c r="F1198" s="4"/>
      <c r="G1198" s="4"/>
      <c r="H1198" s="4"/>
      <c r="I1198" s="4"/>
      <c r="J1198" s="4"/>
      <c r="K1198" s="4"/>
    </row>
    <row r="1199" spans="1:11" ht="13">
      <c r="A1199" s="164"/>
      <c r="B1199" s="4"/>
      <c r="C1199" s="4"/>
      <c r="D1199" s="4"/>
      <c r="E1199" s="4"/>
      <c r="F1199" s="4"/>
      <c r="G1199" s="4"/>
      <c r="H1199" s="4"/>
      <c r="I1199" s="4"/>
      <c r="J1199" s="4"/>
      <c r="K1199" s="4"/>
    </row>
    <row r="1200" spans="1:11" ht="13">
      <c r="A1200" s="164"/>
      <c r="B1200" s="4"/>
      <c r="C1200" s="4"/>
      <c r="D1200" s="4"/>
      <c r="E1200" s="4"/>
      <c r="F1200" s="4"/>
      <c r="G1200" s="4"/>
      <c r="H1200" s="4"/>
      <c r="I1200" s="4"/>
      <c r="J1200" s="4"/>
      <c r="K1200" s="4"/>
    </row>
    <row r="1201" spans="1:11" ht="13">
      <c r="A1201" s="164"/>
      <c r="B1201" s="4"/>
      <c r="C1201" s="4"/>
      <c r="D1201" s="4"/>
      <c r="E1201" s="4"/>
      <c r="F1201" s="4"/>
      <c r="G1201" s="4"/>
      <c r="H1201" s="4"/>
      <c r="I1201" s="4"/>
      <c r="J1201" s="4"/>
      <c r="K1201" s="4"/>
    </row>
    <row r="1202" spans="1:11" ht="13">
      <c r="A1202" s="164"/>
      <c r="B1202" s="4"/>
      <c r="C1202" s="4"/>
      <c r="D1202" s="4"/>
      <c r="E1202" s="4"/>
      <c r="F1202" s="4"/>
      <c r="G1202" s="4"/>
      <c r="H1202" s="4"/>
      <c r="I1202" s="4"/>
      <c r="J1202" s="4"/>
      <c r="K1202" s="4"/>
    </row>
    <row r="1203" spans="1:11" ht="13">
      <c r="A1203" s="164"/>
      <c r="B1203" s="4"/>
      <c r="C1203" s="4"/>
      <c r="D1203" s="4"/>
      <c r="E1203" s="4"/>
      <c r="F1203" s="4"/>
      <c r="G1203" s="4"/>
      <c r="H1203" s="4"/>
      <c r="I1203" s="4"/>
      <c r="J1203" s="4"/>
      <c r="K1203" s="4"/>
    </row>
    <row r="1204" spans="1:11" ht="13">
      <c r="A1204" s="164"/>
      <c r="B1204" s="4"/>
      <c r="C1204" s="4"/>
      <c r="D1204" s="4"/>
      <c r="E1204" s="4"/>
      <c r="F1204" s="4"/>
      <c r="G1204" s="4"/>
      <c r="H1204" s="4"/>
      <c r="I1204" s="4"/>
      <c r="J1204" s="4"/>
      <c r="K1204" s="4"/>
    </row>
    <row r="1205" spans="1:11" ht="13">
      <c r="A1205" s="164"/>
      <c r="B1205" s="4"/>
      <c r="C1205" s="4"/>
      <c r="D1205" s="4"/>
      <c r="E1205" s="4"/>
      <c r="F1205" s="4"/>
      <c r="G1205" s="4"/>
      <c r="H1205" s="4"/>
      <c r="I1205" s="4"/>
      <c r="J1205" s="4"/>
      <c r="K1205" s="4"/>
    </row>
    <row r="1206" spans="1:11" ht="13">
      <c r="A1206" s="164"/>
      <c r="B1206" s="4"/>
      <c r="C1206" s="4"/>
      <c r="D1206" s="4"/>
      <c r="E1206" s="4"/>
      <c r="F1206" s="4"/>
      <c r="G1206" s="4"/>
      <c r="H1206" s="4"/>
      <c r="I1206" s="4"/>
      <c r="J1206" s="4"/>
      <c r="K1206" s="4"/>
    </row>
    <row r="1207" spans="1:11" ht="13">
      <c r="A1207" s="164"/>
      <c r="B1207" s="4"/>
      <c r="C1207" s="4"/>
      <c r="D1207" s="4"/>
      <c r="E1207" s="4"/>
      <c r="F1207" s="4"/>
      <c r="G1207" s="4"/>
      <c r="H1207" s="4"/>
      <c r="I1207" s="4"/>
      <c r="J1207" s="4"/>
      <c r="K1207" s="4"/>
    </row>
    <row r="1208" spans="1:11" ht="13">
      <c r="A1208" s="164"/>
      <c r="B1208" s="4"/>
      <c r="C1208" s="4"/>
      <c r="D1208" s="4"/>
      <c r="E1208" s="4"/>
      <c r="F1208" s="4"/>
      <c r="G1208" s="4"/>
      <c r="H1208" s="4"/>
      <c r="I1208" s="4"/>
      <c r="J1208" s="4"/>
      <c r="K1208" s="4"/>
    </row>
    <row r="1209" spans="1:11" ht="13">
      <c r="A1209" s="164"/>
      <c r="B1209" s="4"/>
      <c r="C1209" s="4"/>
      <c r="D1209" s="4"/>
      <c r="E1209" s="4"/>
      <c r="F1209" s="4"/>
      <c r="G1209" s="4"/>
      <c r="H1209" s="4"/>
      <c r="I1209" s="4"/>
      <c r="J1209" s="4"/>
      <c r="K1209" s="4"/>
    </row>
    <row r="1210" spans="1:11" ht="13">
      <c r="A1210" s="164"/>
      <c r="B1210" s="4"/>
      <c r="C1210" s="4"/>
      <c r="D1210" s="4"/>
      <c r="E1210" s="4"/>
      <c r="F1210" s="4"/>
      <c r="G1210" s="4"/>
      <c r="H1210" s="4"/>
      <c r="I1210" s="4"/>
      <c r="J1210" s="4"/>
      <c r="K1210" s="4"/>
    </row>
    <row r="1211" spans="1:11" ht="13">
      <c r="A1211" s="164"/>
      <c r="B1211" s="4"/>
      <c r="C1211" s="4"/>
      <c r="D1211" s="4"/>
      <c r="E1211" s="4"/>
      <c r="F1211" s="4"/>
      <c r="G1211" s="4"/>
      <c r="H1211" s="4"/>
      <c r="I1211" s="4"/>
      <c r="J1211" s="4"/>
      <c r="K1211" s="4"/>
    </row>
    <row r="1212" spans="1:11" ht="13">
      <c r="A1212" s="164"/>
      <c r="B1212" s="4"/>
      <c r="C1212" s="4"/>
      <c r="D1212" s="4"/>
      <c r="E1212" s="4"/>
      <c r="F1212" s="4"/>
      <c r="G1212" s="4"/>
      <c r="H1212" s="4"/>
      <c r="I1212" s="4"/>
      <c r="J1212" s="4"/>
      <c r="K1212" s="4"/>
    </row>
    <row r="1213" spans="1:11" ht="13">
      <c r="A1213" s="164"/>
      <c r="B1213" s="4"/>
      <c r="C1213" s="4"/>
      <c r="D1213" s="4"/>
      <c r="E1213" s="4"/>
      <c r="F1213" s="4"/>
      <c r="G1213" s="4"/>
      <c r="H1213" s="4"/>
      <c r="I1213" s="4"/>
      <c r="J1213" s="4"/>
      <c r="K1213" s="4"/>
    </row>
    <row r="1214" spans="1:11" ht="13">
      <c r="A1214" s="164"/>
      <c r="B1214" s="4"/>
      <c r="C1214" s="4"/>
      <c r="D1214" s="4"/>
      <c r="E1214" s="4"/>
      <c r="F1214" s="4"/>
      <c r="G1214" s="4"/>
      <c r="H1214" s="4"/>
      <c r="I1214" s="4"/>
      <c r="J1214" s="4"/>
      <c r="K1214" s="4"/>
    </row>
    <row r="1215" spans="1:11" ht="13">
      <c r="A1215" s="164"/>
      <c r="B1215" s="4"/>
      <c r="C1215" s="4"/>
      <c r="D1215" s="4"/>
      <c r="E1215" s="4"/>
      <c r="F1215" s="4"/>
      <c r="G1215" s="4"/>
      <c r="H1215" s="4"/>
      <c r="I1215" s="4"/>
      <c r="J1215" s="4"/>
      <c r="K1215" s="4"/>
    </row>
    <row r="1216" spans="1:11" ht="13">
      <c r="A1216" s="164"/>
      <c r="B1216" s="4"/>
      <c r="C1216" s="4"/>
      <c r="D1216" s="4"/>
      <c r="E1216" s="4"/>
      <c r="F1216" s="4"/>
      <c r="G1216" s="4"/>
      <c r="H1216" s="4"/>
      <c r="I1216" s="4"/>
      <c r="J1216" s="4"/>
      <c r="K1216" s="4"/>
    </row>
    <row r="1217" spans="1:11" ht="13">
      <c r="A1217" s="164"/>
      <c r="B1217" s="4"/>
      <c r="C1217" s="4"/>
      <c r="D1217" s="4"/>
      <c r="E1217" s="4"/>
      <c r="F1217" s="4"/>
      <c r="G1217" s="4"/>
      <c r="H1217" s="4"/>
      <c r="I1217" s="4"/>
      <c r="J1217" s="4"/>
      <c r="K1217" s="4"/>
    </row>
    <row r="1218" spans="1:11" ht="13">
      <c r="A1218" s="164"/>
      <c r="B1218" s="4"/>
      <c r="C1218" s="4"/>
      <c r="D1218" s="4"/>
      <c r="E1218" s="4"/>
      <c r="F1218" s="4"/>
      <c r="G1218" s="4"/>
      <c r="H1218" s="4"/>
      <c r="I1218" s="4"/>
      <c r="J1218" s="4"/>
      <c r="K1218" s="4"/>
    </row>
    <row r="1219" spans="1:11" ht="13">
      <c r="A1219" s="164"/>
      <c r="B1219" s="4"/>
      <c r="C1219" s="4"/>
      <c r="D1219" s="4"/>
      <c r="E1219" s="4"/>
      <c r="F1219" s="4"/>
      <c r="G1219" s="4"/>
      <c r="H1219" s="4"/>
      <c r="I1219" s="4"/>
      <c r="J1219" s="4"/>
      <c r="K1219" s="4"/>
    </row>
    <row r="1220" spans="1:11" ht="13">
      <c r="A1220" s="164"/>
      <c r="B1220" s="4"/>
      <c r="C1220" s="4"/>
      <c r="D1220" s="4"/>
      <c r="E1220" s="4"/>
      <c r="F1220" s="4"/>
      <c r="G1220" s="4"/>
      <c r="H1220" s="4"/>
      <c r="I1220" s="4"/>
      <c r="J1220" s="4"/>
      <c r="K1220" s="4"/>
    </row>
    <row r="1221" spans="1:11" ht="13">
      <c r="A1221" s="164"/>
      <c r="B1221" s="4"/>
      <c r="C1221" s="4"/>
      <c r="D1221" s="4"/>
      <c r="E1221" s="4"/>
      <c r="F1221" s="4"/>
      <c r="G1221" s="4"/>
      <c r="H1221" s="4"/>
      <c r="I1221" s="4"/>
      <c r="J1221" s="4"/>
      <c r="K1221" s="4"/>
    </row>
    <row r="1222" spans="1:11" ht="13">
      <c r="A1222" s="164"/>
      <c r="B1222" s="4"/>
      <c r="C1222" s="4"/>
      <c r="D1222" s="4"/>
      <c r="E1222" s="4"/>
      <c r="F1222" s="4"/>
      <c r="G1222" s="4"/>
      <c r="H1222" s="4"/>
      <c r="I1222" s="4"/>
      <c r="J1222" s="4"/>
      <c r="K1222" s="4"/>
    </row>
    <row r="1223" spans="1:11" ht="13">
      <c r="A1223" s="164"/>
      <c r="B1223" s="4"/>
      <c r="C1223" s="4"/>
      <c r="D1223" s="4"/>
      <c r="E1223" s="4"/>
      <c r="F1223" s="4"/>
      <c r="G1223" s="4"/>
      <c r="H1223" s="4"/>
      <c r="I1223" s="4"/>
      <c r="J1223" s="4"/>
      <c r="K1223" s="4"/>
    </row>
    <row r="1224" spans="1:11" ht="13">
      <c r="A1224" s="164"/>
      <c r="B1224" s="4"/>
      <c r="C1224" s="4"/>
      <c r="D1224" s="4"/>
      <c r="E1224" s="4"/>
      <c r="F1224" s="4"/>
      <c r="G1224" s="4"/>
      <c r="H1224" s="4"/>
      <c r="I1224" s="4"/>
      <c r="J1224" s="4"/>
      <c r="K1224" s="4"/>
    </row>
    <row r="1225" spans="1:11" ht="13">
      <c r="A1225" s="164"/>
      <c r="B1225" s="4"/>
      <c r="C1225" s="4"/>
      <c r="D1225" s="4"/>
      <c r="E1225" s="4"/>
      <c r="F1225" s="4"/>
      <c r="G1225" s="4"/>
      <c r="H1225" s="4"/>
      <c r="I1225" s="4"/>
      <c r="J1225" s="4"/>
      <c r="K1225" s="4"/>
    </row>
    <row r="1226" spans="1:11" ht="13">
      <c r="A1226" s="164"/>
      <c r="B1226" s="4"/>
      <c r="C1226" s="4"/>
      <c r="D1226" s="4"/>
      <c r="E1226" s="4"/>
      <c r="F1226" s="4"/>
      <c r="G1226" s="4"/>
      <c r="H1226" s="4"/>
      <c r="I1226" s="4"/>
      <c r="J1226" s="4"/>
      <c r="K1226" s="4"/>
    </row>
    <row r="1227" spans="1:11" ht="13">
      <c r="A1227" s="164"/>
      <c r="B1227" s="4"/>
      <c r="C1227" s="4"/>
      <c r="D1227" s="4"/>
      <c r="E1227" s="4"/>
      <c r="F1227" s="4"/>
      <c r="G1227" s="4"/>
      <c r="H1227" s="4"/>
      <c r="I1227" s="4"/>
      <c r="J1227" s="4"/>
      <c r="K1227" s="4"/>
    </row>
    <row r="1228" spans="1:11" ht="13">
      <c r="A1228" s="164"/>
      <c r="B1228" s="4"/>
      <c r="C1228" s="4"/>
      <c r="D1228" s="4"/>
      <c r="E1228" s="4"/>
      <c r="F1228" s="4"/>
      <c r="G1228" s="4"/>
      <c r="H1228" s="4"/>
      <c r="I1228" s="4"/>
      <c r="J1228" s="4"/>
      <c r="K1228" s="4"/>
    </row>
    <row r="1229" spans="1:11" ht="13">
      <c r="A1229" s="164"/>
      <c r="B1229" s="4"/>
      <c r="C1229" s="4"/>
      <c r="D1229" s="4"/>
      <c r="E1229" s="4"/>
      <c r="F1229" s="4"/>
      <c r="G1229" s="4"/>
      <c r="H1229" s="4"/>
      <c r="I1229" s="4"/>
      <c r="J1229" s="4"/>
      <c r="K1229" s="4"/>
    </row>
    <row r="1230" spans="1:11" ht="13">
      <c r="A1230" s="164"/>
      <c r="B1230" s="4"/>
      <c r="C1230" s="4"/>
      <c r="D1230" s="4"/>
      <c r="E1230" s="4"/>
      <c r="F1230" s="4"/>
      <c r="G1230" s="4"/>
      <c r="H1230" s="4"/>
      <c r="I1230" s="4"/>
      <c r="J1230" s="4"/>
      <c r="K1230" s="4"/>
    </row>
    <row r="1231" spans="1:11" ht="13">
      <c r="A1231" s="164"/>
      <c r="B1231" s="4"/>
      <c r="C1231" s="4"/>
      <c r="D1231" s="4"/>
      <c r="E1231" s="4"/>
      <c r="F1231" s="4"/>
      <c r="G1231" s="4"/>
      <c r="H1231" s="4"/>
      <c r="I1231" s="4"/>
      <c r="J1231" s="4"/>
      <c r="K1231" s="4"/>
    </row>
    <row r="1232" spans="1:11" ht="13">
      <c r="A1232" s="164"/>
      <c r="B1232" s="4"/>
      <c r="C1232" s="4"/>
      <c r="D1232" s="4"/>
      <c r="E1232" s="4"/>
      <c r="F1232" s="4"/>
      <c r="G1232" s="4"/>
      <c r="H1232" s="4"/>
      <c r="I1232" s="4"/>
      <c r="J1232" s="4"/>
      <c r="K1232" s="4"/>
    </row>
    <row r="1233" spans="1:11" ht="13">
      <c r="A1233" s="164"/>
      <c r="B1233" s="4"/>
      <c r="C1233" s="4"/>
      <c r="D1233" s="4"/>
      <c r="E1233" s="4"/>
      <c r="F1233" s="4"/>
      <c r="G1233" s="4"/>
      <c r="H1233" s="4"/>
      <c r="I1233" s="4"/>
      <c r="J1233" s="4"/>
      <c r="K1233" s="4"/>
    </row>
    <row r="1234" spans="1:11" ht="13">
      <c r="A1234" s="164"/>
      <c r="B1234" s="4"/>
      <c r="C1234" s="4"/>
      <c r="D1234" s="4"/>
      <c r="E1234" s="4"/>
      <c r="F1234" s="4"/>
      <c r="G1234" s="4"/>
      <c r="H1234" s="4"/>
      <c r="I1234" s="4"/>
      <c r="J1234" s="4"/>
      <c r="K1234" s="4"/>
    </row>
    <row r="1235" spans="1:11" ht="13">
      <c r="A1235" s="164"/>
      <c r="B1235" s="4"/>
      <c r="C1235" s="4"/>
      <c r="D1235" s="4"/>
      <c r="E1235" s="4"/>
      <c r="F1235" s="4"/>
      <c r="G1235" s="4"/>
      <c r="H1235" s="4"/>
      <c r="I1235" s="4"/>
      <c r="J1235" s="4"/>
      <c r="K1235" s="4"/>
    </row>
    <row r="1236" spans="1:11" ht="13">
      <c r="A1236" s="164"/>
      <c r="B1236" s="4"/>
      <c r="C1236" s="4"/>
      <c r="D1236" s="4"/>
      <c r="E1236" s="4"/>
      <c r="F1236" s="4"/>
      <c r="G1236" s="4"/>
      <c r="H1236" s="4"/>
      <c r="I1236" s="4"/>
      <c r="J1236" s="4"/>
      <c r="K1236" s="4"/>
    </row>
    <row r="1237" spans="1:11" ht="13">
      <c r="A1237" s="164"/>
      <c r="B1237" s="4"/>
      <c r="C1237" s="4"/>
      <c r="D1237" s="4"/>
      <c r="E1237" s="4"/>
      <c r="F1237" s="4"/>
      <c r="G1237" s="4"/>
      <c r="H1237" s="4"/>
      <c r="I1237" s="4"/>
      <c r="J1237" s="4"/>
      <c r="K1237" s="4"/>
    </row>
    <row r="1238" spans="1:11" ht="13">
      <c r="A1238" s="164"/>
      <c r="B1238" s="4"/>
      <c r="C1238" s="4"/>
      <c r="D1238" s="4"/>
      <c r="E1238" s="4"/>
      <c r="F1238" s="4"/>
      <c r="G1238" s="4"/>
      <c r="H1238" s="4"/>
      <c r="I1238" s="4"/>
      <c r="J1238" s="4"/>
      <c r="K1238" s="4"/>
    </row>
    <row r="1239" spans="1:11" ht="13">
      <c r="A1239" s="164"/>
      <c r="B1239" s="4"/>
      <c r="C1239" s="4"/>
      <c r="D1239" s="4"/>
      <c r="E1239" s="4"/>
      <c r="F1239" s="4"/>
      <c r="G1239" s="4"/>
      <c r="H1239" s="4"/>
      <c r="I1239" s="4"/>
      <c r="J1239" s="4"/>
      <c r="K1239" s="4"/>
    </row>
    <row r="1240" spans="1:11" ht="13">
      <c r="A1240" s="164"/>
      <c r="B1240" s="4"/>
      <c r="C1240" s="4"/>
      <c r="D1240" s="4"/>
      <c r="E1240" s="4"/>
      <c r="F1240" s="4"/>
      <c r="G1240" s="4"/>
      <c r="H1240" s="4"/>
      <c r="I1240" s="4"/>
      <c r="J1240" s="4"/>
      <c r="K1240" s="4"/>
    </row>
    <row r="1241" spans="1:11" ht="13">
      <c r="A1241" s="164"/>
      <c r="B1241" s="4"/>
      <c r="C1241" s="4"/>
      <c r="D1241" s="4"/>
      <c r="E1241" s="4"/>
      <c r="F1241" s="4"/>
      <c r="G1241" s="4"/>
      <c r="H1241" s="4"/>
      <c r="I1241" s="4"/>
      <c r="J1241" s="4"/>
      <c r="K1241" s="4"/>
    </row>
    <row r="1242" spans="1:11" ht="13">
      <c r="A1242" s="164"/>
      <c r="B1242" s="4"/>
      <c r="C1242" s="4"/>
      <c r="D1242" s="4"/>
      <c r="E1242" s="4"/>
      <c r="F1242" s="4"/>
      <c r="G1242" s="4"/>
      <c r="H1242" s="4"/>
      <c r="I1242" s="4"/>
      <c r="J1242" s="4"/>
      <c r="K1242" s="4"/>
    </row>
    <row r="1243" spans="1:11" ht="13">
      <c r="A1243" s="164"/>
      <c r="B1243" s="4"/>
      <c r="C1243" s="4"/>
      <c r="D1243" s="4"/>
      <c r="E1243" s="4"/>
      <c r="F1243" s="4"/>
      <c r="G1243" s="4"/>
      <c r="H1243" s="4"/>
      <c r="I1243" s="4"/>
      <c r="J1243" s="4"/>
      <c r="K1243" s="4"/>
    </row>
    <row r="1244" spans="1:11" ht="13">
      <c r="A1244" s="164"/>
      <c r="B1244" s="4"/>
      <c r="C1244" s="4"/>
      <c r="D1244" s="4"/>
      <c r="E1244" s="4"/>
      <c r="F1244" s="4"/>
      <c r="G1244" s="4"/>
      <c r="H1244" s="4"/>
      <c r="I1244" s="4"/>
      <c r="J1244" s="4"/>
      <c r="K1244" s="4"/>
    </row>
    <row r="1245" spans="1:11" ht="13">
      <c r="A1245" s="164"/>
      <c r="B1245" s="4"/>
      <c r="C1245" s="4"/>
      <c r="D1245" s="4"/>
      <c r="E1245" s="4"/>
      <c r="F1245" s="4"/>
      <c r="G1245" s="4"/>
      <c r="H1245" s="4"/>
      <c r="I1245" s="4"/>
      <c r="J1245" s="4"/>
      <c r="K1245" s="4"/>
    </row>
    <row r="1246" spans="1:11" ht="13">
      <c r="A1246" s="164"/>
      <c r="B1246" s="4"/>
      <c r="C1246" s="4"/>
      <c r="D1246" s="4"/>
      <c r="E1246" s="4"/>
      <c r="F1246" s="4"/>
      <c r="G1246" s="4"/>
      <c r="H1246" s="4"/>
      <c r="I1246" s="4"/>
      <c r="J1246" s="4"/>
      <c r="K1246" s="4"/>
    </row>
    <row r="1247" spans="1:11" ht="13">
      <c r="A1247" s="164"/>
      <c r="B1247" s="4"/>
      <c r="C1247" s="4"/>
      <c r="D1247" s="4"/>
      <c r="E1247" s="4"/>
      <c r="F1247" s="4"/>
      <c r="G1247" s="4"/>
      <c r="H1247" s="4"/>
      <c r="I1247" s="4"/>
      <c r="J1247" s="4"/>
      <c r="K1247" s="4"/>
    </row>
    <row r="1248" spans="1:11" ht="13">
      <c r="A1248" s="164"/>
      <c r="B1248" s="4"/>
      <c r="C1248" s="4"/>
      <c r="D1248" s="4"/>
      <c r="E1248" s="4"/>
      <c r="F1248" s="4"/>
      <c r="G1248" s="4"/>
      <c r="H1248" s="4"/>
      <c r="I1248" s="4"/>
      <c r="J1248" s="4"/>
      <c r="K1248" s="4"/>
    </row>
    <row r="1249" spans="1:11" ht="13">
      <c r="A1249" s="164"/>
      <c r="B1249" s="4"/>
      <c r="C1249" s="4"/>
      <c r="D1249" s="4"/>
      <c r="E1249" s="4"/>
      <c r="F1249" s="4"/>
      <c r="G1249" s="4"/>
      <c r="H1249" s="4"/>
      <c r="I1249" s="4"/>
      <c r="J1249" s="4"/>
      <c r="K1249" s="4"/>
    </row>
    <row r="1250" spans="1:11" ht="13">
      <c r="A1250" s="164"/>
      <c r="B1250" s="4"/>
      <c r="C1250" s="4"/>
      <c r="D1250" s="4"/>
      <c r="E1250" s="4"/>
      <c r="F1250" s="4"/>
      <c r="G1250" s="4"/>
      <c r="H1250" s="4"/>
      <c r="I1250" s="4"/>
      <c r="J1250" s="4"/>
      <c r="K1250" s="4"/>
    </row>
    <row r="1251" spans="1:11" ht="13">
      <c r="A1251" s="164"/>
      <c r="B1251" s="4"/>
      <c r="C1251" s="4"/>
      <c r="D1251" s="4"/>
      <c r="E1251" s="4"/>
      <c r="F1251" s="4"/>
      <c r="G1251" s="4"/>
      <c r="H1251" s="4"/>
      <c r="I1251" s="4"/>
      <c r="J1251" s="4"/>
      <c r="K1251" s="4"/>
    </row>
    <row r="1252" spans="1:11" ht="13">
      <c r="A1252" s="164"/>
      <c r="B1252" s="4"/>
      <c r="C1252" s="4"/>
      <c r="D1252" s="4"/>
      <c r="E1252" s="4"/>
      <c r="F1252" s="4"/>
      <c r="G1252" s="4"/>
      <c r="H1252" s="4"/>
      <c r="I1252" s="4"/>
      <c r="J1252" s="4"/>
      <c r="K1252" s="4"/>
    </row>
    <row r="1253" spans="1:11" ht="13">
      <c r="A1253" s="164"/>
      <c r="B1253" s="4"/>
      <c r="C1253" s="4"/>
      <c r="D1253" s="4"/>
      <c r="E1253" s="4"/>
      <c r="F1253" s="4"/>
      <c r="G1253" s="4"/>
      <c r="H1253" s="4"/>
      <c r="I1253" s="4"/>
      <c r="J1253" s="4"/>
      <c r="K1253" s="4"/>
    </row>
    <row r="1254" spans="1:11" ht="13">
      <c r="A1254" s="164"/>
      <c r="B1254" s="4"/>
      <c r="C1254" s="4"/>
      <c r="D1254" s="4"/>
      <c r="E1254" s="4"/>
      <c r="F1254" s="4"/>
      <c r="G1254" s="4"/>
      <c r="H1254" s="4"/>
      <c r="I1254" s="4"/>
      <c r="J1254" s="4"/>
      <c r="K1254" s="4"/>
    </row>
    <row r="1255" spans="1:11" ht="13">
      <c r="A1255" s="164"/>
      <c r="B1255" s="4"/>
      <c r="C1255" s="4"/>
      <c r="D1255" s="4"/>
      <c r="E1255" s="4"/>
      <c r="F1255" s="4"/>
      <c r="G1255" s="4"/>
      <c r="H1255" s="4"/>
      <c r="I1255" s="4"/>
      <c r="J1255" s="4"/>
      <c r="K1255" s="4"/>
    </row>
    <row r="1256" spans="1:11" ht="13">
      <c r="A1256" s="164"/>
      <c r="B1256" s="4"/>
      <c r="C1256" s="4"/>
      <c r="D1256" s="4"/>
      <c r="E1256" s="4"/>
      <c r="F1256" s="4"/>
      <c r="G1256" s="4"/>
      <c r="H1256" s="4"/>
      <c r="I1256" s="4"/>
      <c r="J1256" s="4"/>
      <c r="K1256" s="4"/>
    </row>
    <row r="1257" spans="1:11" ht="13">
      <c r="A1257" s="164"/>
      <c r="B1257" s="4"/>
      <c r="C1257" s="4"/>
      <c r="D1257" s="4"/>
      <c r="E1257" s="4"/>
      <c r="F1257" s="4"/>
      <c r="G1257" s="4"/>
      <c r="H1257" s="4"/>
      <c r="I1257" s="4"/>
      <c r="J1257" s="4"/>
      <c r="K1257" s="4"/>
    </row>
    <row r="1258" spans="1:11" ht="13">
      <c r="A1258" s="164"/>
      <c r="B1258" s="4"/>
      <c r="C1258" s="4"/>
      <c r="D1258" s="4"/>
      <c r="E1258" s="4"/>
      <c r="F1258" s="4"/>
      <c r="G1258" s="4"/>
      <c r="H1258" s="4"/>
      <c r="I1258" s="4"/>
      <c r="J1258" s="4"/>
      <c r="K1258" s="4"/>
    </row>
    <row r="1259" spans="1:11" ht="13">
      <c r="A1259" s="164"/>
      <c r="B1259" s="4"/>
      <c r="C1259" s="4"/>
      <c r="D1259" s="4"/>
      <c r="E1259" s="4"/>
      <c r="F1259" s="4"/>
      <c r="G1259" s="4"/>
      <c r="H1259" s="4"/>
      <c r="I1259" s="4"/>
      <c r="J1259" s="4"/>
      <c r="K1259" s="4"/>
    </row>
    <row r="1260" spans="1:11" ht="13">
      <c r="A1260" s="164"/>
      <c r="B1260" s="4"/>
      <c r="C1260" s="4"/>
      <c r="D1260" s="4"/>
      <c r="E1260" s="4"/>
      <c r="F1260" s="4"/>
      <c r="G1260" s="4"/>
      <c r="H1260" s="4"/>
      <c r="I1260" s="4"/>
      <c r="J1260" s="4"/>
      <c r="K1260" s="4"/>
    </row>
    <row r="1261" spans="1:11" ht="13">
      <c r="A1261" s="164"/>
      <c r="B1261" s="4"/>
      <c r="C1261" s="4"/>
      <c r="D1261" s="4"/>
      <c r="E1261" s="4"/>
      <c r="F1261" s="4"/>
      <c r="G1261" s="4"/>
      <c r="H1261" s="4"/>
      <c r="I1261" s="4"/>
      <c r="J1261" s="4"/>
      <c r="K1261" s="4"/>
    </row>
    <row r="1262" spans="1:11" ht="13">
      <c r="A1262" s="164"/>
      <c r="B1262" s="4"/>
      <c r="C1262" s="4"/>
      <c r="D1262" s="4"/>
      <c r="E1262" s="4"/>
      <c r="F1262" s="4"/>
      <c r="G1262" s="4"/>
      <c r="H1262" s="4"/>
      <c r="I1262" s="4"/>
      <c r="J1262" s="4"/>
      <c r="K1262" s="4"/>
    </row>
    <row r="1263" spans="1:11" ht="13">
      <c r="A1263" s="164"/>
      <c r="B1263" s="4"/>
      <c r="C1263" s="4"/>
      <c r="D1263" s="4"/>
      <c r="E1263" s="4"/>
      <c r="F1263" s="4"/>
      <c r="G1263" s="4"/>
      <c r="H1263" s="4"/>
      <c r="I1263" s="4"/>
      <c r="J1263" s="4"/>
      <c r="K1263" s="4"/>
    </row>
    <row r="1264" spans="1:11" ht="13">
      <c r="A1264" s="164"/>
      <c r="B1264" s="4"/>
      <c r="C1264" s="4"/>
      <c r="D1264" s="4"/>
      <c r="E1264" s="4"/>
      <c r="F1264" s="4"/>
      <c r="G1264" s="4"/>
      <c r="H1264" s="4"/>
      <c r="I1264" s="4"/>
      <c r="J1264" s="4"/>
      <c r="K1264" s="4"/>
    </row>
    <row r="1265" spans="1:11" ht="13">
      <c r="A1265" s="164"/>
      <c r="B1265" s="4"/>
      <c r="C1265" s="4"/>
      <c r="D1265" s="4"/>
      <c r="E1265" s="4"/>
      <c r="F1265" s="4"/>
      <c r="G1265" s="4"/>
      <c r="H1265" s="4"/>
      <c r="I1265" s="4"/>
      <c r="J1265" s="4"/>
      <c r="K1265" s="4"/>
    </row>
    <row r="1266" spans="1:11" ht="13">
      <c r="A1266" s="164"/>
      <c r="B1266" s="4"/>
      <c r="C1266" s="4"/>
      <c r="D1266" s="4"/>
      <c r="E1266" s="4"/>
      <c r="F1266" s="4"/>
      <c r="G1266" s="4"/>
      <c r="H1266" s="4"/>
      <c r="I1266" s="4"/>
      <c r="J1266" s="4"/>
      <c r="K1266" s="4"/>
    </row>
    <row r="1267" spans="1:11" ht="13">
      <c r="A1267" s="164"/>
      <c r="B1267" s="4"/>
      <c r="C1267" s="4"/>
      <c r="D1267" s="4"/>
      <c r="E1267" s="4"/>
      <c r="F1267" s="4"/>
      <c r="G1267" s="4"/>
      <c r="H1267" s="4"/>
      <c r="I1267" s="4"/>
      <c r="J1267" s="4"/>
      <c r="K1267" s="4"/>
    </row>
    <row r="1268" spans="1:11" ht="13">
      <c r="A1268" s="164"/>
      <c r="B1268" s="4"/>
      <c r="C1268" s="4"/>
      <c r="D1268" s="4"/>
      <c r="E1268" s="4"/>
      <c r="F1268" s="4"/>
      <c r="G1268" s="4"/>
      <c r="H1268" s="4"/>
      <c r="I1268" s="4"/>
      <c r="J1268" s="4"/>
      <c r="K1268" s="4"/>
    </row>
    <row r="1269" spans="1:11" ht="13">
      <c r="A1269" s="164"/>
      <c r="B1269" s="4"/>
      <c r="C1269" s="4"/>
      <c r="D1269" s="4"/>
      <c r="E1269" s="4"/>
      <c r="F1269" s="4"/>
      <c r="G1269" s="4"/>
      <c r="H1269" s="4"/>
      <c r="I1269" s="4"/>
      <c r="J1269" s="4"/>
      <c r="K1269" s="4"/>
    </row>
    <row r="1270" spans="1:11" ht="13">
      <c r="A1270" s="164"/>
      <c r="B1270" s="4"/>
      <c r="C1270" s="4"/>
      <c r="D1270" s="4"/>
      <c r="E1270" s="4"/>
      <c r="F1270" s="4"/>
      <c r="G1270" s="4"/>
      <c r="H1270" s="4"/>
      <c r="I1270" s="4"/>
      <c r="J1270" s="4"/>
      <c r="K1270" s="4"/>
    </row>
    <row r="1271" spans="1:11" ht="13">
      <c r="A1271" s="164"/>
      <c r="B1271" s="4"/>
      <c r="C1271" s="4"/>
      <c r="D1271" s="4"/>
      <c r="E1271" s="4"/>
      <c r="F1271" s="4"/>
      <c r="G1271" s="4"/>
      <c r="H1271" s="4"/>
      <c r="I1271" s="4"/>
      <c r="J1271" s="4"/>
      <c r="K1271" s="4"/>
    </row>
    <row r="1272" spans="1:11" ht="13">
      <c r="A1272" s="164"/>
      <c r="B1272" s="4"/>
      <c r="C1272" s="4"/>
      <c r="D1272" s="4"/>
      <c r="E1272" s="4"/>
      <c r="F1272" s="4"/>
      <c r="G1272" s="4"/>
      <c r="H1272" s="4"/>
      <c r="I1272" s="4"/>
      <c r="J1272" s="4"/>
      <c r="K1272" s="4"/>
    </row>
    <row r="1273" spans="1:11" ht="13">
      <c r="A1273" s="164"/>
      <c r="B1273" s="4"/>
      <c r="C1273" s="4"/>
      <c r="D1273" s="4"/>
      <c r="E1273" s="4"/>
      <c r="F1273" s="4"/>
      <c r="G1273" s="4"/>
      <c r="H1273" s="4"/>
      <c r="I1273" s="4"/>
      <c r="J1273" s="4"/>
      <c r="K1273" s="4"/>
    </row>
    <row r="1274" spans="1:11" ht="13">
      <c r="A1274" s="164"/>
      <c r="B1274" s="4"/>
      <c r="C1274" s="4"/>
      <c r="D1274" s="4"/>
      <c r="E1274" s="4"/>
      <c r="F1274" s="4"/>
      <c r="G1274" s="4"/>
      <c r="H1274" s="4"/>
      <c r="I1274" s="4"/>
      <c r="J1274" s="4"/>
      <c r="K1274" s="4"/>
    </row>
    <row r="1275" spans="1:11" ht="13">
      <c r="A1275" s="164"/>
      <c r="B1275" s="4"/>
      <c r="C1275" s="4"/>
      <c r="D1275" s="4"/>
      <c r="E1275" s="4"/>
      <c r="F1275" s="4"/>
      <c r="G1275" s="4"/>
      <c r="H1275" s="4"/>
      <c r="I1275" s="4"/>
      <c r="J1275" s="4"/>
      <c r="K1275" s="4"/>
    </row>
    <row r="1276" spans="1:11" ht="13">
      <c r="A1276" s="164"/>
      <c r="B1276" s="4"/>
      <c r="C1276" s="4"/>
      <c r="D1276" s="4"/>
      <c r="E1276" s="4"/>
      <c r="F1276" s="4"/>
      <c r="G1276" s="4"/>
      <c r="H1276" s="4"/>
      <c r="I1276" s="4"/>
      <c r="J1276" s="4"/>
      <c r="K1276" s="4"/>
    </row>
    <row r="1277" spans="1:11" ht="13">
      <c r="A1277" s="164"/>
      <c r="B1277" s="4"/>
      <c r="C1277" s="4"/>
      <c r="D1277" s="4"/>
      <c r="E1277" s="4"/>
      <c r="F1277" s="4"/>
      <c r="G1277" s="4"/>
      <c r="H1277" s="4"/>
      <c r="I1277" s="4"/>
      <c r="J1277" s="4"/>
      <c r="K1277" s="4"/>
    </row>
    <row r="1278" spans="1:11" ht="13">
      <c r="A1278" s="164"/>
      <c r="B1278" s="4"/>
      <c r="C1278" s="4"/>
      <c r="D1278" s="4"/>
      <c r="E1278" s="4"/>
      <c r="F1278" s="4"/>
      <c r="G1278" s="4"/>
      <c r="H1278" s="4"/>
      <c r="I1278" s="4"/>
      <c r="J1278" s="4"/>
      <c r="K1278" s="4"/>
    </row>
    <row r="1279" spans="1:11" ht="13">
      <c r="A1279" s="164"/>
      <c r="B1279" s="4"/>
      <c r="C1279" s="4"/>
      <c r="D1279" s="4"/>
      <c r="E1279" s="4"/>
      <c r="F1279" s="4"/>
      <c r="G1279" s="4"/>
      <c r="H1279" s="4"/>
      <c r="I1279" s="4"/>
      <c r="J1279" s="4"/>
      <c r="K1279" s="4"/>
    </row>
    <row r="1280" spans="1:11" ht="13">
      <c r="A1280" s="164"/>
      <c r="B1280" s="4"/>
      <c r="C1280" s="4"/>
      <c r="D1280" s="4"/>
      <c r="E1280" s="4"/>
      <c r="F1280" s="4"/>
      <c r="G1280" s="4"/>
      <c r="H1280" s="4"/>
      <c r="I1280" s="4"/>
      <c r="J1280" s="4"/>
      <c r="K1280" s="4"/>
    </row>
    <row r="1281" spans="1:11" ht="13">
      <c r="A1281" s="164"/>
      <c r="B1281" s="4"/>
      <c r="C1281" s="4"/>
      <c r="D1281" s="4"/>
      <c r="E1281" s="4"/>
      <c r="F1281" s="4"/>
      <c r="G1281" s="4"/>
      <c r="H1281" s="4"/>
      <c r="I1281" s="4"/>
      <c r="J1281" s="4"/>
      <c r="K1281" s="4"/>
    </row>
    <row r="1282" spans="1:11" ht="13">
      <c r="A1282" s="164"/>
      <c r="B1282" s="4"/>
      <c r="C1282" s="4"/>
      <c r="D1282" s="4"/>
      <c r="E1282" s="4"/>
      <c r="F1282" s="4"/>
      <c r="G1282" s="4"/>
      <c r="H1282" s="4"/>
      <c r="I1282" s="4"/>
      <c r="J1282" s="4"/>
      <c r="K1282" s="4"/>
    </row>
    <row r="1283" spans="1:11" ht="13">
      <c r="A1283" s="164"/>
      <c r="B1283" s="4"/>
      <c r="C1283" s="4"/>
      <c r="D1283" s="4"/>
      <c r="E1283" s="4"/>
      <c r="F1283" s="4"/>
      <c r="G1283" s="4"/>
      <c r="H1283" s="4"/>
      <c r="I1283" s="4"/>
      <c r="J1283" s="4"/>
      <c r="K1283" s="4"/>
    </row>
    <row r="1284" spans="1:11" ht="13">
      <c r="A1284" s="164"/>
      <c r="B1284" s="4"/>
      <c r="C1284" s="4"/>
      <c r="D1284" s="4"/>
      <c r="E1284" s="4"/>
      <c r="F1284" s="4"/>
      <c r="G1284" s="4"/>
      <c r="H1284" s="4"/>
      <c r="I1284" s="4"/>
      <c r="J1284" s="4"/>
      <c r="K1284" s="4"/>
    </row>
    <row r="1285" spans="1:11" ht="13">
      <c r="A1285" s="164"/>
      <c r="B1285" s="4"/>
      <c r="C1285" s="4"/>
      <c r="D1285" s="4"/>
      <c r="E1285" s="4"/>
      <c r="F1285" s="4"/>
      <c r="G1285" s="4"/>
      <c r="H1285" s="4"/>
      <c r="I1285" s="4"/>
      <c r="J1285" s="4"/>
      <c r="K1285" s="4"/>
    </row>
    <row r="1286" spans="1:11" ht="13">
      <c r="A1286" s="164"/>
      <c r="B1286" s="4"/>
      <c r="C1286" s="4"/>
      <c r="D1286" s="4"/>
      <c r="E1286" s="4"/>
      <c r="F1286" s="4"/>
      <c r="G1286" s="4"/>
      <c r="H1286" s="4"/>
      <c r="I1286" s="4"/>
      <c r="J1286" s="4"/>
      <c r="K1286" s="4"/>
    </row>
    <row r="1287" spans="1:11" ht="13">
      <c r="A1287" s="164"/>
      <c r="B1287" s="4"/>
      <c r="C1287" s="4"/>
      <c r="D1287" s="4"/>
      <c r="E1287" s="4"/>
      <c r="F1287" s="4"/>
      <c r="G1287" s="4"/>
      <c r="H1287" s="4"/>
      <c r="I1287" s="4"/>
      <c r="J1287" s="4"/>
      <c r="K1287" s="4"/>
    </row>
    <row r="1288" spans="1:11" ht="13">
      <c r="A1288" s="164"/>
      <c r="B1288" s="4"/>
      <c r="C1288" s="4"/>
      <c r="D1288" s="4"/>
      <c r="E1288" s="4"/>
      <c r="F1288" s="4"/>
      <c r="G1288" s="4"/>
      <c r="H1288" s="4"/>
      <c r="I1288" s="4"/>
      <c r="J1288" s="4"/>
      <c r="K1288" s="4"/>
    </row>
    <row r="1289" spans="1:11" ht="13">
      <c r="A1289" s="164"/>
      <c r="B1289" s="4"/>
      <c r="C1289" s="4"/>
      <c r="D1289" s="4"/>
      <c r="E1289" s="4"/>
      <c r="F1289" s="4"/>
      <c r="G1289" s="4"/>
      <c r="H1289" s="4"/>
      <c r="I1289" s="4"/>
      <c r="J1289" s="4"/>
      <c r="K1289" s="4"/>
    </row>
    <row r="1290" spans="1:11" ht="13">
      <c r="A1290" s="164"/>
      <c r="B1290" s="4"/>
      <c r="C1290" s="4"/>
      <c r="D1290" s="4"/>
      <c r="E1290" s="4"/>
      <c r="F1290" s="4"/>
      <c r="G1290" s="4"/>
      <c r="H1290" s="4"/>
      <c r="I1290" s="4"/>
      <c r="J1290" s="4"/>
      <c r="K1290" s="4"/>
    </row>
    <row r="1291" spans="1:11" ht="13">
      <c r="A1291" s="164"/>
      <c r="B1291" s="4"/>
      <c r="C1291" s="4"/>
      <c r="D1291" s="4"/>
      <c r="E1291" s="4"/>
      <c r="F1291" s="4"/>
      <c r="G1291" s="4"/>
      <c r="H1291" s="4"/>
      <c r="I1291" s="4"/>
      <c r="J1291" s="4"/>
      <c r="K1291" s="4"/>
    </row>
    <row r="1292" spans="1:11" ht="13">
      <c r="A1292" s="164"/>
      <c r="B1292" s="4"/>
      <c r="C1292" s="4"/>
      <c r="D1292" s="4"/>
      <c r="E1292" s="4"/>
      <c r="F1292" s="4"/>
      <c r="G1292" s="4"/>
      <c r="H1292" s="4"/>
      <c r="I1292" s="4"/>
      <c r="J1292" s="4"/>
      <c r="K1292" s="4"/>
    </row>
    <row r="1293" spans="1:11" ht="13">
      <c r="A1293" s="164"/>
      <c r="B1293" s="4"/>
      <c r="C1293" s="4"/>
      <c r="D1293" s="4"/>
      <c r="E1293" s="4"/>
      <c r="F1293" s="4"/>
      <c r="G1293" s="4"/>
      <c r="H1293" s="4"/>
      <c r="I1293" s="4"/>
      <c r="J1293" s="4"/>
      <c r="K1293" s="4"/>
    </row>
    <row r="1294" spans="1:11" ht="13">
      <c r="A1294" s="164"/>
      <c r="B1294" s="4"/>
      <c r="C1294" s="4"/>
      <c r="D1294" s="4"/>
      <c r="E1294" s="4"/>
      <c r="F1294" s="4"/>
      <c r="G1294" s="4"/>
      <c r="H1294" s="4"/>
      <c r="I1294" s="4"/>
      <c r="J1294" s="4"/>
      <c r="K1294" s="4"/>
    </row>
    <row r="1295" spans="1:11" ht="13">
      <c r="A1295" s="164"/>
      <c r="B1295" s="4"/>
      <c r="C1295" s="4"/>
      <c r="D1295" s="4"/>
      <c r="E1295" s="4"/>
      <c r="F1295" s="4"/>
      <c r="G1295" s="4"/>
      <c r="H1295" s="4"/>
      <c r="I1295" s="4"/>
      <c r="J1295" s="4"/>
      <c r="K1295" s="4"/>
    </row>
    <row r="1296" spans="1:11" ht="13">
      <c r="A1296" s="164"/>
      <c r="B1296" s="4"/>
      <c r="C1296" s="4"/>
      <c r="D1296" s="4"/>
      <c r="E1296" s="4"/>
      <c r="F1296" s="4"/>
      <c r="G1296" s="4"/>
      <c r="H1296" s="4"/>
      <c r="I1296" s="4"/>
      <c r="J1296" s="4"/>
      <c r="K1296" s="4"/>
    </row>
    <row r="1297" spans="1:11" ht="13">
      <c r="A1297" s="164"/>
      <c r="B1297" s="4"/>
      <c r="C1297" s="4"/>
      <c r="D1297" s="4"/>
      <c r="E1297" s="4"/>
      <c r="F1297" s="4"/>
      <c r="G1297" s="4"/>
      <c r="H1297" s="4"/>
      <c r="I1297" s="4"/>
      <c r="J1297" s="4"/>
      <c r="K1297" s="4"/>
    </row>
    <row r="1298" spans="1:11" ht="13">
      <c r="A1298" s="164"/>
      <c r="B1298" s="4"/>
      <c r="C1298" s="4"/>
      <c r="D1298" s="4"/>
      <c r="E1298" s="4"/>
      <c r="F1298" s="4"/>
      <c r="G1298" s="4"/>
      <c r="H1298" s="4"/>
      <c r="I1298" s="4"/>
      <c r="J1298" s="4"/>
      <c r="K1298" s="4"/>
    </row>
    <row r="1299" spans="1:11" ht="13">
      <c r="A1299" s="164"/>
      <c r="B1299" s="4"/>
      <c r="C1299" s="4"/>
      <c r="D1299" s="4"/>
      <c r="E1299" s="4"/>
      <c r="F1299" s="4"/>
      <c r="G1299" s="4"/>
      <c r="H1299" s="4"/>
      <c r="I1299" s="4"/>
      <c r="J1299" s="4"/>
      <c r="K1299" s="4"/>
    </row>
    <row r="1300" spans="1:11" ht="13">
      <c r="A1300" s="164"/>
      <c r="B1300" s="4"/>
      <c r="C1300" s="4"/>
      <c r="D1300" s="4"/>
      <c r="E1300" s="4"/>
      <c r="F1300" s="4"/>
      <c r="G1300" s="4"/>
      <c r="H1300" s="4"/>
      <c r="I1300" s="4"/>
      <c r="J1300" s="4"/>
      <c r="K1300" s="4"/>
    </row>
    <row r="1301" spans="1:11" ht="13">
      <c r="A1301" s="164"/>
      <c r="B1301" s="4"/>
      <c r="C1301" s="4"/>
      <c r="D1301" s="4"/>
      <c r="E1301" s="4"/>
      <c r="F1301" s="4"/>
      <c r="G1301" s="4"/>
      <c r="H1301" s="4"/>
      <c r="I1301" s="4"/>
      <c r="J1301" s="4"/>
      <c r="K1301" s="4"/>
    </row>
    <row r="1302" spans="1:11" ht="13">
      <c r="A1302" s="164"/>
      <c r="B1302" s="4"/>
      <c r="C1302" s="4"/>
      <c r="D1302" s="4"/>
      <c r="E1302" s="4"/>
      <c r="F1302" s="4"/>
      <c r="G1302" s="4"/>
      <c r="H1302" s="4"/>
      <c r="I1302" s="4"/>
      <c r="J1302" s="4"/>
      <c r="K1302" s="4"/>
    </row>
    <row r="1303" spans="1:11" ht="13">
      <c r="A1303" s="164"/>
      <c r="B1303" s="4"/>
      <c r="C1303" s="4"/>
      <c r="D1303" s="4"/>
      <c r="E1303" s="4"/>
      <c r="F1303" s="4"/>
      <c r="G1303" s="4"/>
      <c r="H1303" s="4"/>
      <c r="I1303" s="4"/>
      <c r="J1303" s="4"/>
      <c r="K1303" s="4"/>
    </row>
    <row r="1304" spans="1:11" ht="13">
      <c r="A1304" s="164"/>
      <c r="B1304" s="4"/>
      <c r="C1304" s="4"/>
      <c r="D1304" s="4"/>
      <c r="E1304" s="4"/>
      <c r="F1304" s="4"/>
      <c r="G1304" s="4"/>
      <c r="H1304" s="4"/>
      <c r="I1304" s="4"/>
      <c r="J1304" s="4"/>
      <c r="K1304" s="4"/>
    </row>
    <row r="1305" spans="1:11" ht="13">
      <c r="A1305" s="164"/>
      <c r="B1305" s="4"/>
      <c r="C1305" s="4"/>
      <c r="D1305" s="4"/>
      <c r="E1305" s="4"/>
      <c r="F1305" s="4"/>
      <c r="G1305" s="4"/>
      <c r="H1305" s="4"/>
      <c r="I1305" s="4"/>
      <c r="J1305" s="4"/>
      <c r="K1305" s="4"/>
    </row>
    <row r="1306" spans="1:11" ht="13">
      <c r="A1306" s="164"/>
      <c r="B1306" s="4"/>
      <c r="C1306" s="4"/>
      <c r="D1306" s="4"/>
      <c r="E1306" s="4"/>
      <c r="F1306" s="4"/>
      <c r="G1306" s="4"/>
      <c r="H1306" s="4"/>
      <c r="I1306" s="4"/>
      <c r="J1306" s="4"/>
      <c r="K1306" s="4"/>
    </row>
    <row r="1307" spans="1:11" ht="13">
      <c r="A1307" s="164"/>
      <c r="B1307" s="4"/>
      <c r="C1307" s="4"/>
      <c r="D1307" s="4"/>
      <c r="E1307" s="4"/>
      <c r="F1307" s="4"/>
      <c r="G1307" s="4"/>
      <c r="H1307" s="4"/>
      <c r="I1307" s="4"/>
      <c r="J1307" s="4"/>
      <c r="K1307" s="4"/>
    </row>
    <row r="1308" spans="1:11" ht="13">
      <c r="A1308" s="164"/>
      <c r="B1308" s="4"/>
      <c r="C1308" s="4"/>
      <c r="D1308" s="4"/>
      <c r="E1308" s="4"/>
      <c r="F1308" s="4"/>
      <c r="G1308" s="4"/>
      <c r="H1308" s="4"/>
      <c r="I1308" s="4"/>
      <c r="J1308" s="4"/>
      <c r="K1308" s="4"/>
    </row>
    <row r="1309" spans="1:11" ht="13">
      <c r="A1309" s="164"/>
      <c r="B1309" s="4"/>
      <c r="C1309" s="4"/>
      <c r="D1309" s="4"/>
      <c r="E1309" s="4"/>
      <c r="F1309" s="4"/>
      <c r="G1309" s="4"/>
      <c r="H1309" s="4"/>
      <c r="I1309" s="4"/>
      <c r="J1309" s="4"/>
      <c r="K1309" s="4"/>
    </row>
    <row r="1310" spans="1:11" ht="13">
      <c r="A1310" s="164"/>
      <c r="B1310" s="4"/>
      <c r="C1310" s="4"/>
      <c r="D1310" s="4"/>
      <c r="E1310" s="4"/>
      <c r="F1310" s="4"/>
      <c r="G1310" s="4"/>
      <c r="H1310" s="4"/>
      <c r="I1310" s="4"/>
      <c r="J1310" s="4"/>
      <c r="K1310" s="4"/>
    </row>
    <row r="1311" spans="1:11" ht="13">
      <c r="A1311" s="164"/>
      <c r="B1311" s="4"/>
      <c r="C1311" s="4"/>
      <c r="D1311" s="4"/>
      <c r="E1311" s="4"/>
      <c r="F1311" s="4"/>
      <c r="G1311" s="4"/>
      <c r="H1311" s="4"/>
      <c r="I1311" s="4"/>
      <c r="J1311" s="4"/>
      <c r="K1311" s="4"/>
    </row>
    <row r="1312" spans="1:11" ht="13">
      <c r="A1312" s="164"/>
      <c r="B1312" s="4"/>
      <c r="C1312" s="4"/>
      <c r="D1312" s="4"/>
      <c r="E1312" s="4"/>
      <c r="F1312" s="4"/>
      <c r="G1312" s="4"/>
      <c r="H1312" s="4"/>
      <c r="I1312" s="4"/>
      <c r="J1312" s="4"/>
      <c r="K1312" s="4"/>
    </row>
    <row r="1313" spans="1:11" ht="13">
      <c r="A1313" s="164"/>
      <c r="B1313" s="4"/>
      <c r="C1313" s="4"/>
      <c r="D1313" s="4"/>
      <c r="E1313" s="4"/>
      <c r="F1313" s="4"/>
      <c r="G1313" s="4"/>
      <c r="H1313" s="4"/>
      <c r="I1313" s="4"/>
      <c r="J1313" s="4"/>
      <c r="K1313" s="4"/>
    </row>
    <row r="1314" spans="1:11" ht="13">
      <c r="A1314" s="164"/>
      <c r="B1314" s="4"/>
      <c r="C1314" s="4"/>
      <c r="D1314" s="4"/>
      <c r="E1314" s="4"/>
      <c r="F1314" s="4"/>
      <c r="G1314" s="4"/>
      <c r="H1314" s="4"/>
      <c r="I1314" s="4"/>
      <c r="J1314" s="4"/>
      <c r="K1314" s="4"/>
    </row>
    <row r="1315" spans="1:11" ht="13">
      <c r="A1315" s="164"/>
      <c r="B1315" s="4"/>
      <c r="C1315" s="4"/>
      <c r="D1315" s="4"/>
      <c r="E1315" s="4"/>
      <c r="F1315" s="4"/>
      <c r="G1315" s="4"/>
      <c r="H1315" s="4"/>
      <c r="I1315" s="4"/>
      <c r="J1315" s="4"/>
      <c r="K1315" s="4"/>
    </row>
    <row r="1316" spans="1:11" ht="13">
      <c r="A1316" s="164"/>
      <c r="B1316" s="4"/>
      <c r="C1316" s="4"/>
      <c r="D1316" s="4"/>
      <c r="E1316" s="4"/>
      <c r="F1316" s="4"/>
      <c r="G1316" s="4"/>
      <c r="H1316" s="4"/>
      <c r="I1316" s="4"/>
      <c r="J1316" s="4"/>
      <c r="K1316" s="4"/>
    </row>
    <row r="1317" spans="1:11" ht="13">
      <c r="A1317" s="164"/>
      <c r="B1317" s="4"/>
      <c r="C1317" s="4"/>
      <c r="D1317" s="4"/>
      <c r="E1317" s="4"/>
      <c r="F1317" s="4"/>
      <c r="G1317" s="4"/>
      <c r="H1317" s="4"/>
      <c r="I1317" s="4"/>
      <c r="J1317" s="4"/>
      <c r="K1317" s="4"/>
    </row>
    <row r="1318" spans="1:11" ht="13">
      <c r="A1318" s="164"/>
      <c r="B1318" s="4"/>
      <c r="C1318" s="4"/>
      <c r="D1318" s="4"/>
      <c r="E1318" s="4"/>
      <c r="F1318" s="4"/>
      <c r="G1318" s="4"/>
      <c r="H1318" s="4"/>
      <c r="I1318" s="4"/>
      <c r="J1318" s="4"/>
      <c r="K1318" s="4"/>
    </row>
    <row r="1319" spans="1:11" ht="13">
      <c r="A1319" s="164"/>
      <c r="B1319" s="4"/>
      <c r="C1319" s="4"/>
      <c r="D1319" s="4"/>
      <c r="E1319" s="4"/>
      <c r="F1319" s="4"/>
      <c r="G1319" s="4"/>
      <c r="H1319" s="4"/>
      <c r="I1319" s="4"/>
      <c r="J1319" s="4"/>
      <c r="K1319" s="4"/>
    </row>
    <row r="1320" spans="1:11" ht="13">
      <c r="A1320" s="164"/>
      <c r="B1320" s="4"/>
      <c r="C1320" s="4"/>
      <c r="D1320" s="4"/>
      <c r="E1320" s="4"/>
      <c r="F1320" s="4"/>
      <c r="G1320" s="4"/>
      <c r="H1320" s="4"/>
      <c r="I1320" s="4"/>
      <c r="J1320" s="4"/>
      <c r="K1320" s="4"/>
    </row>
    <row r="1321" spans="1:11" ht="13">
      <c r="A1321" s="164"/>
      <c r="B1321" s="4"/>
      <c r="C1321" s="4"/>
      <c r="D1321" s="4"/>
      <c r="E1321" s="4"/>
      <c r="F1321" s="4"/>
      <c r="G1321" s="4"/>
      <c r="H1321" s="4"/>
      <c r="I1321" s="4"/>
      <c r="J1321" s="4"/>
      <c r="K1321" s="4"/>
    </row>
    <row r="1322" spans="1:11" ht="13">
      <c r="A1322" s="164"/>
      <c r="B1322" s="4"/>
      <c r="C1322" s="4"/>
      <c r="D1322" s="4"/>
      <c r="E1322" s="4"/>
      <c r="F1322" s="4"/>
      <c r="G1322" s="4"/>
      <c r="H1322" s="4"/>
      <c r="I1322" s="4"/>
      <c r="J1322" s="4"/>
      <c r="K1322" s="4"/>
    </row>
    <row r="1323" spans="1:11" ht="13">
      <c r="A1323" s="164"/>
      <c r="B1323" s="4"/>
      <c r="C1323" s="4"/>
      <c r="D1323" s="4"/>
      <c r="E1323" s="4"/>
      <c r="F1323" s="4"/>
      <c r="G1323" s="4"/>
      <c r="H1323" s="4"/>
      <c r="I1323" s="4"/>
      <c r="J1323" s="4"/>
      <c r="K1323" s="4"/>
    </row>
    <row r="1324" spans="1:11" ht="13">
      <c r="A1324" s="164"/>
      <c r="B1324" s="4"/>
      <c r="C1324" s="4"/>
      <c r="D1324" s="4"/>
      <c r="E1324" s="4"/>
      <c r="F1324" s="4"/>
      <c r="G1324" s="4"/>
      <c r="H1324" s="4"/>
      <c r="I1324" s="4"/>
      <c r="J1324" s="4"/>
      <c r="K1324" s="4"/>
    </row>
    <row r="1325" spans="1:11" ht="13">
      <c r="A1325" s="164"/>
      <c r="B1325" s="4"/>
      <c r="C1325" s="4"/>
      <c r="D1325" s="4"/>
      <c r="E1325" s="4"/>
      <c r="F1325" s="4"/>
      <c r="G1325" s="4"/>
      <c r="H1325" s="4"/>
      <c r="I1325" s="4"/>
      <c r="J1325" s="4"/>
      <c r="K1325" s="4"/>
    </row>
    <row r="1326" spans="1:11" ht="13">
      <c r="A1326" s="164"/>
      <c r="B1326" s="4"/>
      <c r="C1326" s="4"/>
      <c r="D1326" s="4"/>
      <c r="E1326" s="4"/>
      <c r="F1326" s="4"/>
      <c r="G1326" s="4"/>
      <c r="H1326" s="4"/>
      <c r="I1326" s="4"/>
      <c r="J1326" s="4"/>
      <c r="K1326" s="4"/>
    </row>
    <row r="1327" spans="1:11" ht="13">
      <c r="A1327" s="164"/>
      <c r="B1327" s="4"/>
      <c r="C1327" s="4"/>
      <c r="D1327" s="4"/>
      <c r="E1327" s="4"/>
      <c r="F1327" s="4"/>
      <c r="G1327" s="4"/>
      <c r="H1327" s="4"/>
      <c r="I1327" s="4"/>
      <c r="J1327" s="4"/>
      <c r="K1327" s="4"/>
    </row>
    <row r="1328" spans="1:11" ht="13">
      <c r="A1328" s="164"/>
      <c r="B1328" s="4"/>
      <c r="C1328" s="4"/>
      <c r="D1328" s="4"/>
      <c r="E1328" s="4"/>
      <c r="F1328" s="4"/>
      <c r="G1328" s="4"/>
      <c r="H1328" s="4"/>
      <c r="I1328" s="4"/>
      <c r="J1328" s="4"/>
      <c r="K1328" s="4"/>
    </row>
    <row r="1329" spans="1:11" ht="13">
      <c r="A1329" s="164"/>
      <c r="B1329" s="4"/>
      <c r="C1329" s="4"/>
      <c r="D1329" s="4"/>
      <c r="E1329" s="4"/>
      <c r="F1329" s="4"/>
      <c r="G1329" s="4"/>
      <c r="H1329" s="4"/>
      <c r="I1329" s="4"/>
      <c r="J1329" s="4"/>
      <c r="K1329" s="4"/>
    </row>
    <row r="1330" spans="1:11" ht="13">
      <c r="A1330" s="164"/>
      <c r="B1330" s="4"/>
      <c r="C1330" s="4"/>
      <c r="D1330" s="4"/>
      <c r="E1330" s="4"/>
      <c r="F1330" s="4"/>
      <c r="G1330" s="4"/>
      <c r="H1330" s="4"/>
      <c r="I1330" s="4"/>
      <c r="J1330" s="4"/>
      <c r="K1330" s="4"/>
    </row>
    <row r="1331" spans="1:11" ht="13">
      <c r="A1331" s="164"/>
      <c r="B1331" s="4"/>
      <c r="C1331" s="4"/>
      <c r="D1331" s="4"/>
      <c r="E1331" s="4"/>
      <c r="F1331" s="4"/>
      <c r="G1331" s="4"/>
      <c r="H1331" s="4"/>
      <c r="I1331" s="4"/>
      <c r="J1331" s="4"/>
      <c r="K1331" s="4"/>
    </row>
    <row r="1332" spans="1:11" ht="13">
      <c r="A1332" s="164"/>
      <c r="B1332" s="4"/>
      <c r="C1332" s="4"/>
      <c r="D1332" s="4"/>
      <c r="E1332" s="4"/>
      <c r="F1332" s="4"/>
      <c r="G1332" s="4"/>
      <c r="H1332" s="4"/>
      <c r="I1332" s="4"/>
      <c r="J1332" s="4"/>
      <c r="K1332" s="4"/>
    </row>
    <row r="1333" spans="1:11" ht="13">
      <c r="A1333" s="164"/>
      <c r="B1333" s="4"/>
      <c r="C1333" s="4"/>
      <c r="D1333" s="4"/>
      <c r="E1333" s="4"/>
      <c r="F1333" s="4"/>
      <c r="G1333" s="4"/>
      <c r="H1333" s="4"/>
      <c r="I1333" s="4"/>
      <c r="J1333" s="4"/>
      <c r="K1333" s="4"/>
    </row>
    <row r="1334" spans="1:11" ht="13">
      <c r="A1334" s="164"/>
      <c r="B1334" s="4"/>
      <c r="C1334" s="4"/>
      <c r="D1334" s="4"/>
      <c r="E1334" s="4"/>
      <c r="F1334" s="4"/>
      <c r="G1334" s="4"/>
      <c r="H1334" s="4"/>
      <c r="I1334" s="4"/>
      <c r="J1334" s="4"/>
      <c r="K1334" s="4"/>
    </row>
    <row r="1335" spans="1:11" ht="13">
      <c r="A1335" s="164"/>
      <c r="B1335" s="4"/>
      <c r="C1335" s="4"/>
      <c r="D1335" s="4"/>
      <c r="E1335" s="4"/>
      <c r="F1335" s="4"/>
      <c r="G1335" s="4"/>
      <c r="H1335" s="4"/>
      <c r="I1335" s="4"/>
      <c r="J1335" s="4"/>
      <c r="K1335" s="4"/>
    </row>
    <row r="1336" spans="1:11" ht="13">
      <c r="A1336" s="164"/>
      <c r="B1336" s="4"/>
      <c r="C1336" s="4"/>
      <c r="D1336" s="4"/>
      <c r="E1336" s="4"/>
      <c r="F1336" s="4"/>
      <c r="G1336" s="4"/>
      <c r="H1336" s="4"/>
      <c r="I1336" s="4"/>
      <c r="J1336" s="4"/>
      <c r="K1336" s="4"/>
    </row>
    <row r="1337" spans="1:11" ht="13">
      <c r="A1337" s="164"/>
      <c r="B1337" s="4"/>
      <c r="C1337" s="4"/>
      <c r="D1337" s="4"/>
      <c r="E1337" s="4"/>
      <c r="F1337" s="4"/>
      <c r="G1337" s="4"/>
      <c r="H1337" s="4"/>
      <c r="I1337" s="4"/>
      <c r="J1337" s="4"/>
      <c r="K1337" s="4"/>
    </row>
    <row r="1338" spans="1:11" ht="13">
      <c r="A1338" s="164"/>
      <c r="B1338" s="4"/>
      <c r="C1338" s="4"/>
      <c r="D1338" s="4"/>
      <c r="E1338" s="4"/>
      <c r="F1338" s="4"/>
      <c r="G1338" s="4"/>
      <c r="H1338" s="4"/>
      <c r="I1338" s="4"/>
      <c r="J1338" s="4"/>
      <c r="K1338" s="4"/>
    </row>
    <row r="1339" spans="1:11" ht="13">
      <c r="A1339" s="164"/>
      <c r="B1339" s="4"/>
      <c r="C1339" s="4"/>
      <c r="D1339" s="4"/>
      <c r="E1339" s="4"/>
      <c r="F1339" s="4"/>
      <c r="G1339" s="4"/>
      <c r="H1339" s="4"/>
      <c r="I1339" s="4"/>
      <c r="J1339" s="4"/>
      <c r="K1339" s="4"/>
    </row>
    <row r="1340" spans="1:11" ht="13">
      <c r="A1340" s="164"/>
      <c r="B1340" s="4"/>
      <c r="C1340" s="4"/>
      <c r="D1340" s="4"/>
      <c r="E1340" s="4"/>
      <c r="F1340" s="4"/>
      <c r="G1340" s="4"/>
      <c r="H1340" s="4"/>
      <c r="I1340" s="4"/>
      <c r="J1340" s="4"/>
      <c r="K1340" s="4"/>
    </row>
    <row r="1341" spans="1:11" ht="13">
      <c r="A1341" s="164"/>
      <c r="B1341" s="4"/>
      <c r="C1341" s="4"/>
      <c r="D1341" s="4"/>
      <c r="E1341" s="4"/>
      <c r="F1341" s="4"/>
      <c r="G1341" s="4"/>
      <c r="H1341" s="4"/>
      <c r="I1341" s="4"/>
      <c r="J1341" s="4"/>
      <c r="K1341" s="4"/>
    </row>
    <row r="1342" spans="1:11" ht="13">
      <c r="A1342" s="164"/>
      <c r="B1342" s="4"/>
      <c r="C1342" s="4"/>
      <c r="D1342" s="4"/>
      <c r="E1342" s="4"/>
      <c r="F1342" s="4"/>
      <c r="G1342" s="4"/>
      <c r="H1342" s="4"/>
      <c r="I1342" s="4"/>
      <c r="J1342" s="4"/>
      <c r="K1342" s="4"/>
    </row>
    <row r="1343" spans="1:11" ht="13">
      <c r="A1343" s="164"/>
      <c r="B1343" s="4"/>
      <c r="C1343" s="4"/>
      <c r="D1343" s="4"/>
      <c r="E1343" s="4"/>
      <c r="F1343" s="4"/>
      <c r="G1343" s="4"/>
      <c r="H1343" s="4"/>
      <c r="I1343" s="4"/>
      <c r="J1343" s="4"/>
      <c r="K1343" s="4"/>
    </row>
    <row r="1344" spans="1:11" ht="13">
      <c r="A1344" s="164"/>
      <c r="B1344" s="4"/>
      <c r="C1344" s="4"/>
      <c r="D1344" s="4"/>
      <c r="E1344" s="4"/>
      <c r="F1344" s="4"/>
      <c r="G1344" s="4"/>
      <c r="H1344" s="4"/>
      <c r="I1344" s="4"/>
      <c r="J1344" s="4"/>
      <c r="K1344" s="4"/>
    </row>
    <row r="1345" spans="1:11" ht="13">
      <c r="A1345" s="164"/>
      <c r="B1345" s="4"/>
      <c r="C1345" s="4"/>
      <c r="D1345" s="4"/>
      <c r="E1345" s="4"/>
      <c r="F1345" s="4"/>
      <c r="G1345" s="4"/>
      <c r="H1345" s="4"/>
      <c r="I1345" s="4"/>
      <c r="J1345" s="4"/>
      <c r="K1345" s="4"/>
    </row>
    <row r="1346" spans="1:11" ht="13">
      <c r="A1346" s="164"/>
      <c r="B1346" s="4"/>
      <c r="C1346" s="4"/>
      <c r="D1346" s="4"/>
      <c r="E1346" s="4"/>
      <c r="F1346" s="4"/>
      <c r="G1346" s="4"/>
      <c r="H1346" s="4"/>
      <c r="I1346" s="4"/>
      <c r="J1346" s="4"/>
      <c r="K1346" s="4"/>
    </row>
    <row r="1347" spans="1:11" ht="13">
      <c r="A1347" s="164"/>
      <c r="B1347" s="4"/>
      <c r="C1347" s="4"/>
      <c r="D1347" s="4"/>
      <c r="E1347" s="4"/>
      <c r="F1347" s="4"/>
      <c r="G1347" s="4"/>
      <c r="H1347" s="4"/>
      <c r="I1347" s="4"/>
      <c r="J1347" s="4"/>
      <c r="K1347" s="4"/>
    </row>
    <row r="1348" spans="1:11" ht="13">
      <c r="A1348" s="164"/>
      <c r="B1348" s="4"/>
      <c r="C1348" s="4"/>
      <c r="D1348" s="4"/>
      <c r="E1348" s="4"/>
      <c r="F1348" s="4"/>
      <c r="G1348" s="4"/>
      <c r="H1348" s="4"/>
      <c r="I1348" s="4"/>
      <c r="J1348" s="4"/>
      <c r="K1348" s="4"/>
    </row>
    <row r="1349" spans="1:11" ht="13">
      <c r="A1349" s="164"/>
      <c r="B1349" s="4"/>
      <c r="C1349" s="4"/>
      <c r="D1349" s="4"/>
      <c r="E1349" s="4"/>
      <c r="F1349" s="4"/>
      <c r="G1349" s="4"/>
      <c r="H1349" s="4"/>
      <c r="I1349" s="4"/>
      <c r="J1349" s="4"/>
      <c r="K1349" s="4"/>
    </row>
    <row r="1350" spans="1:11" ht="13">
      <c r="A1350" s="164"/>
      <c r="B1350" s="4"/>
      <c r="C1350" s="4"/>
      <c r="D1350" s="4"/>
      <c r="E1350" s="4"/>
      <c r="F1350" s="4"/>
      <c r="G1350" s="4"/>
      <c r="H1350" s="4"/>
      <c r="I1350" s="4"/>
      <c r="J1350" s="4"/>
      <c r="K1350" s="4"/>
    </row>
    <row r="1351" spans="1:11" ht="13">
      <c r="A1351" s="164"/>
      <c r="B1351" s="4"/>
      <c r="C1351" s="4"/>
      <c r="D1351" s="4"/>
      <c r="E1351" s="4"/>
      <c r="F1351" s="4"/>
      <c r="G1351" s="4"/>
      <c r="H1351" s="4"/>
      <c r="I1351" s="4"/>
      <c r="J1351" s="4"/>
      <c r="K1351" s="4"/>
    </row>
    <row r="1352" spans="1:11" ht="13">
      <c r="A1352" s="164"/>
      <c r="B1352" s="4"/>
      <c r="C1352" s="4"/>
      <c r="D1352" s="4"/>
      <c r="E1352" s="4"/>
      <c r="F1352" s="4"/>
      <c r="G1352" s="4"/>
      <c r="H1352" s="4"/>
      <c r="I1352" s="4"/>
      <c r="J1352" s="4"/>
      <c r="K1352" s="4"/>
    </row>
    <row r="1353" spans="1:11" ht="13">
      <c r="A1353" s="164"/>
      <c r="B1353" s="4"/>
      <c r="C1353" s="4"/>
      <c r="D1353" s="4"/>
      <c r="E1353" s="4"/>
      <c r="F1353" s="4"/>
      <c r="G1353" s="4"/>
      <c r="H1353" s="4"/>
      <c r="I1353" s="4"/>
      <c r="J1353" s="4"/>
      <c r="K1353" s="4"/>
    </row>
    <row r="1354" spans="1:11" ht="13">
      <c r="A1354" s="164"/>
      <c r="B1354" s="4"/>
      <c r="C1354" s="4"/>
      <c r="D1354" s="4"/>
      <c r="E1354" s="4"/>
      <c r="F1354" s="4"/>
      <c r="G1354" s="4"/>
      <c r="H1354" s="4"/>
      <c r="I1354" s="4"/>
      <c r="J1354" s="4"/>
      <c r="K1354" s="4"/>
    </row>
    <row r="1355" spans="1:11" ht="13">
      <c r="A1355" s="164"/>
      <c r="B1355" s="4"/>
      <c r="C1355" s="4"/>
      <c r="D1355" s="4"/>
      <c r="E1355" s="4"/>
      <c r="F1355" s="4"/>
      <c r="G1355" s="4"/>
      <c r="H1355" s="4"/>
      <c r="I1355" s="4"/>
      <c r="J1355" s="4"/>
      <c r="K1355" s="4"/>
    </row>
    <row r="1356" spans="1:11" ht="13">
      <c r="A1356" s="164"/>
      <c r="B1356" s="4"/>
      <c r="C1356" s="4"/>
      <c r="D1356" s="4"/>
      <c r="E1356" s="4"/>
      <c r="F1356" s="4"/>
      <c r="G1356" s="4"/>
      <c r="H1356" s="4"/>
      <c r="I1356" s="4"/>
      <c r="J1356" s="4"/>
      <c r="K1356" s="4"/>
    </row>
    <row r="1357" spans="1:11" ht="13">
      <c r="A1357" s="164"/>
      <c r="B1357" s="4"/>
      <c r="C1357" s="4"/>
      <c r="D1357" s="4"/>
      <c r="E1357" s="4"/>
      <c r="F1357" s="4"/>
      <c r="G1357" s="4"/>
      <c r="H1357" s="4"/>
      <c r="I1357" s="4"/>
      <c r="J1357" s="4"/>
      <c r="K1357" s="4"/>
    </row>
    <row r="1358" spans="1:11" ht="13">
      <c r="A1358" s="164"/>
      <c r="B1358" s="4"/>
      <c r="C1358" s="4"/>
      <c r="D1358" s="4"/>
      <c r="E1358" s="4"/>
      <c r="F1358" s="4"/>
      <c r="G1358" s="4"/>
      <c r="H1358" s="4"/>
      <c r="I1358" s="4"/>
      <c r="J1358" s="4"/>
      <c r="K1358" s="4"/>
    </row>
    <row r="1359" spans="1:11" ht="13">
      <c r="A1359" s="164"/>
      <c r="B1359" s="4"/>
      <c r="C1359" s="4"/>
      <c r="D1359" s="4"/>
      <c r="E1359" s="4"/>
      <c r="F1359" s="4"/>
      <c r="G1359" s="4"/>
      <c r="H1359" s="4"/>
      <c r="I1359" s="4"/>
      <c r="J1359" s="4"/>
      <c r="K1359" s="4"/>
    </row>
    <row r="1360" spans="1:11" ht="13">
      <c r="A1360" s="164"/>
      <c r="B1360" s="4"/>
      <c r="C1360" s="4"/>
      <c r="D1360" s="4"/>
      <c r="E1360" s="4"/>
      <c r="F1360" s="4"/>
      <c r="G1360" s="4"/>
      <c r="H1360" s="4"/>
      <c r="I1360" s="4"/>
      <c r="J1360" s="4"/>
      <c r="K1360" s="4"/>
    </row>
    <row r="1361" spans="1:11" ht="13">
      <c r="A1361" s="164"/>
      <c r="B1361" s="4"/>
      <c r="C1361" s="4"/>
      <c r="D1361" s="4"/>
      <c r="E1361" s="4"/>
      <c r="F1361" s="4"/>
      <c r="G1361" s="4"/>
      <c r="H1361" s="4"/>
      <c r="I1361" s="4"/>
      <c r="J1361" s="4"/>
      <c r="K1361" s="4"/>
    </row>
    <row r="1362" spans="1:11" ht="13">
      <c r="A1362" s="164"/>
      <c r="B1362" s="4"/>
      <c r="C1362" s="4"/>
      <c r="D1362" s="4"/>
      <c r="E1362" s="4"/>
      <c r="F1362" s="4"/>
      <c r="G1362" s="4"/>
      <c r="H1362" s="4"/>
      <c r="I1362" s="4"/>
      <c r="J1362" s="4"/>
      <c r="K1362" s="4"/>
    </row>
    <row r="1363" spans="1:11" ht="13">
      <c r="A1363" s="164"/>
      <c r="B1363" s="4"/>
      <c r="C1363" s="4"/>
      <c r="D1363" s="4"/>
      <c r="E1363" s="4"/>
      <c r="F1363" s="4"/>
      <c r="G1363" s="4"/>
      <c r="H1363" s="4"/>
      <c r="I1363" s="4"/>
      <c r="J1363" s="4"/>
      <c r="K1363" s="4"/>
    </row>
    <row r="1364" spans="1:11" ht="13">
      <c r="A1364" s="164"/>
      <c r="B1364" s="4"/>
      <c r="C1364" s="4"/>
      <c r="D1364" s="4"/>
      <c r="E1364" s="4"/>
      <c r="F1364" s="4"/>
      <c r="G1364" s="4"/>
      <c r="H1364" s="4"/>
      <c r="I1364" s="4"/>
      <c r="J1364" s="4"/>
      <c r="K1364" s="4"/>
    </row>
    <row r="1365" spans="1:11" ht="13">
      <c r="A1365" s="164"/>
      <c r="B1365" s="4"/>
      <c r="C1365" s="4"/>
      <c r="D1365" s="4"/>
      <c r="E1365" s="4"/>
      <c r="F1365" s="4"/>
      <c r="G1365" s="4"/>
      <c r="H1365" s="4"/>
      <c r="I1365" s="4"/>
      <c r="J1365" s="4"/>
      <c r="K1365" s="4"/>
    </row>
    <row r="1366" spans="1:11" ht="13">
      <c r="A1366" s="164"/>
      <c r="B1366" s="4"/>
      <c r="C1366" s="4"/>
      <c r="D1366" s="4"/>
      <c r="E1366" s="4"/>
      <c r="F1366" s="4"/>
      <c r="G1366" s="4"/>
      <c r="H1366" s="4"/>
      <c r="I1366" s="4"/>
      <c r="J1366" s="4"/>
      <c r="K1366" s="4"/>
    </row>
    <row r="1367" spans="1:11" ht="13">
      <c r="A1367" s="164"/>
      <c r="B1367" s="4"/>
      <c r="C1367" s="4"/>
      <c r="D1367" s="4"/>
      <c r="E1367" s="4"/>
      <c r="F1367" s="4"/>
      <c r="G1367" s="4"/>
      <c r="H1367" s="4"/>
      <c r="I1367" s="4"/>
      <c r="J1367" s="4"/>
      <c r="K1367" s="4"/>
    </row>
    <row r="1368" spans="1:11" ht="13">
      <c r="A1368" s="164"/>
      <c r="B1368" s="4"/>
      <c r="C1368" s="4"/>
      <c r="D1368" s="4"/>
      <c r="E1368" s="4"/>
      <c r="F1368" s="4"/>
      <c r="G1368" s="4"/>
      <c r="H1368" s="4"/>
      <c r="I1368" s="4"/>
      <c r="J1368" s="4"/>
      <c r="K1368" s="4"/>
    </row>
    <row r="1369" spans="1:11" ht="13">
      <c r="A1369" s="164"/>
      <c r="B1369" s="4"/>
      <c r="C1369" s="4"/>
      <c r="D1369" s="4"/>
      <c r="E1369" s="4"/>
      <c r="F1369" s="4"/>
      <c r="G1369" s="4"/>
      <c r="H1369" s="4"/>
      <c r="I1369" s="4"/>
      <c r="J1369" s="4"/>
      <c r="K1369" s="4"/>
    </row>
    <row r="1370" spans="1:11" ht="13">
      <c r="A1370" s="164"/>
      <c r="B1370" s="4"/>
      <c r="C1370" s="4"/>
      <c r="D1370" s="4"/>
      <c r="E1370" s="4"/>
      <c r="F1370" s="4"/>
      <c r="G1370" s="4"/>
      <c r="H1370" s="4"/>
      <c r="I1370" s="4"/>
      <c r="J1370" s="4"/>
      <c r="K1370" s="4"/>
    </row>
    <row r="1371" spans="1:11" ht="13">
      <c r="A1371" s="164"/>
      <c r="B1371" s="4"/>
      <c r="C1371" s="4"/>
      <c r="D1371" s="4"/>
      <c r="E1371" s="4"/>
      <c r="F1371" s="4"/>
      <c r="G1371" s="4"/>
      <c r="H1371" s="4"/>
      <c r="I1371" s="4"/>
      <c r="J1371" s="4"/>
      <c r="K1371" s="4"/>
    </row>
    <row r="1372" spans="1:11" ht="13">
      <c r="A1372" s="164"/>
      <c r="B1372" s="4"/>
      <c r="C1372" s="4"/>
      <c r="D1372" s="4"/>
      <c r="E1372" s="4"/>
      <c r="F1372" s="4"/>
      <c r="G1372" s="4"/>
      <c r="H1372" s="4"/>
      <c r="I1372" s="4"/>
      <c r="J1372" s="4"/>
      <c r="K1372" s="4"/>
    </row>
    <row r="1373" spans="1:11" ht="13">
      <c r="A1373" s="164"/>
      <c r="B1373" s="4"/>
      <c r="C1373" s="4"/>
      <c r="D1373" s="4"/>
      <c r="E1373" s="4"/>
      <c r="F1373" s="4"/>
      <c r="G1373" s="4"/>
      <c r="H1373" s="4"/>
      <c r="I1373" s="4"/>
      <c r="J1373" s="4"/>
      <c r="K1373" s="4"/>
    </row>
    <row r="1374" spans="1:11" ht="13">
      <c r="A1374" s="164"/>
      <c r="B1374" s="4"/>
      <c r="C1374" s="4"/>
      <c r="D1374" s="4"/>
      <c r="E1374" s="4"/>
      <c r="F1374" s="4"/>
      <c r="G1374" s="4"/>
      <c r="H1374" s="4"/>
      <c r="I1374" s="4"/>
      <c r="J1374" s="4"/>
      <c r="K1374" s="4"/>
    </row>
    <row r="1375" spans="1:11" ht="13">
      <c r="A1375" s="164"/>
      <c r="B1375" s="4"/>
      <c r="C1375" s="4"/>
      <c r="D1375" s="4"/>
      <c r="E1375" s="4"/>
      <c r="F1375" s="4"/>
      <c r="G1375" s="4"/>
      <c r="H1375" s="4"/>
      <c r="I1375" s="4"/>
      <c r="J1375" s="4"/>
      <c r="K1375" s="4"/>
    </row>
    <row r="1376" spans="1:11" ht="13">
      <c r="A1376" s="164"/>
      <c r="B1376" s="4"/>
      <c r="C1376" s="4"/>
      <c r="D1376" s="4"/>
      <c r="E1376" s="4"/>
      <c r="F1376" s="4"/>
      <c r="G1376" s="4"/>
      <c r="H1376" s="4"/>
      <c r="I1376" s="4"/>
      <c r="J1376" s="4"/>
      <c r="K1376" s="4"/>
    </row>
    <row r="1377" spans="1:11" ht="13">
      <c r="A1377" s="164"/>
      <c r="B1377" s="4"/>
      <c r="C1377" s="4"/>
      <c r="D1377" s="4"/>
      <c r="E1377" s="4"/>
      <c r="F1377" s="4"/>
      <c r="G1377" s="4"/>
      <c r="H1377" s="4"/>
      <c r="I1377" s="4"/>
      <c r="J1377" s="4"/>
      <c r="K1377" s="4"/>
    </row>
    <row r="1378" spans="1:11" ht="13">
      <c r="A1378" s="164"/>
      <c r="B1378" s="4"/>
      <c r="C1378" s="4"/>
      <c r="D1378" s="4"/>
      <c r="E1378" s="4"/>
      <c r="F1378" s="4"/>
      <c r="G1378" s="4"/>
      <c r="H1378" s="4"/>
      <c r="I1378" s="4"/>
      <c r="J1378" s="4"/>
      <c r="K1378" s="4"/>
    </row>
    <row r="1379" spans="1:11" ht="13">
      <c r="A1379" s="164"/>
      <c r="B1379" s="4"/>
      <c r="C1379" s="4"/>
      <c r="D1379" s="4"/>
      <c r="E1379" s="4"/>
      <c r="F1379" s="4"/>
      <c r="G1379" s="4"/>
      <c r="H1379" s="4"/>
      <c r="I1379" s="4"/>
      <c r="J1379" s="4"/>
      <c r="K1379" s="4"/>
    </row>
    <row r="1380" spans="1:11" ht="13">
      <c r="A1380" s="164"/>
      <c r="B1380" s="4"/>
      <c r="C1380" s="4"/>
      <c r="D1380" s="4"/>
      <c r="E1380" s="4"/>
      <c r="F1380" s="4"/>
      <c r="G1380" s="4"/>
      <c r="H1380" s="4"/>
      <c r="I1380" s="4"/>
      <c r="J1380" s="4"/>
      <c r="K1380" s="4"/>
    </row>
    <row r="1381" spans="1:11" ht="13">
      <c r="A1381" s="164"/>
      <c r="B1381" s="4"/>
      <c r="C1381" s="4"/>
      <c r="D1381" s="4"/>
      <c r="E1381" s="4"/>
      <c r="F1381" s="4"/>
      <c r="G1381" s="4"/>
      <c r="H1381" s="4"/>
      <c r="I1381" s="4"/>
      <c r="J1381" s="4"/>
      <c r="K1381" s="4"/>
    </row>
    <row r="1382" spans="1:11" ht="13">
      <c r="A1382" s="164"/>
      <c r="B1382" s="4"/>
      <c r="C1382" s="4"/>
      <c r="D1382" s="4"/>
      <c r="E1382" s="4"/>
      <c r="F1382" s="4"/>
      <c r="G1382" s="4"/>
      <c r="H1382" s="4"/>
      <c r="I1382" s="4"/>
      <c r="J1382" s="4"/>
      <c r="K1382" s="4"/>
    </row>
    <row r="1383" spans="1:11" ht="13">
      <c r="A1383" s="164"/>
      <c r="B1383" s="4"/>
      <c r="C1383" s="4"/>
      <c r="D1383" s="4"/>
      <c r="E1383" s="4"/>
      <c r="F1383" s="4"/>
      <c r="G1383" s="4"/>
      <c r="H1383" s="4"/>
      <c r="I1383" s="4"/>
      <c r="J1383" s="4"/>
      <c r="K1383" s="4"/>
    </row>
    <row r="1384" spans="1:11" ht="13">
      <c r="A1384" s="164"/>
      <c r="B1384" s="4"/>
      <c r="C1384" s="4"/>
      <c r="D1384" s="4"/>
      <c r="E1384" s="4"/>
      <c r="F1384" s="4"/>
      <c r="G1384" s="4"/>
      <c r="H1384" s="4"/>
      <c r="I1384" s="4"/>
      <c r="J1384" s="4"/>
      <c r="K1384" s="4"/>
    </row>
    <row r="1385" spans="1:11" ht="13">
      <c r="A1385" s="164"/>
      <c r="B1385" s="4"/>
      <c r="C1385" s="4"/>
      <c r="D1385" s="4"/>
      <c r="E1385" s="4"/>
      <c r="F1385" s="4"/>
      <c r="G1385" s="4"/>
      <c r="H1385" s="4"/>
      <c r="I1385" s="4"/>
      <c r="J1385" s="4"/>
      <c r="K1385" s="4"/>
    </row>
    <row r="1386" spans="1:11" ht="13">
      <c r="A1386" s="164"/>
      <c r="B1386" s="4"/>
      <c r="C1386" s="4"/>
      <c r="D1386" s="4"/>
      <c r="E1386" s="4"/>
      <c r="F1386" s="4"/>
      <c r="G1386" s="4"/>
      <c r="H1386" s="4"/>
      <c r="I1386" s="4"/>
      <c r="J1386" s="4"/>
      <c r="K1386" s="4"/>
    </row>
    <row r="1387" spans="1:11" ht="13">
      <c r="A1387" s="164"/>
      <c r="B1387" s="4"/>
      <c r="C1387" s="4"/>
      <c r="D1387" s="4"/>
      <c r="E1387" s="4"/>
      <c r="F1387" s="4"/>
      <c r="G1387" s="4"/>
      <c r="H1387" s="4"/>
      <c r="I1387" s="4"/>
      <c r="J1387" s="4"/>
      <c r="K1387" s="4"/>
    </row>
    <row r="1388" spans="1:11" ht="13">
      <c r="A1388" s="164"/>
      <c r="B1388" s="4"/>
      <c r="C1388" s="4"/>
      <c r="D1388" s="4"/>
      <c r="E1388" s="4"/>
      <c r="F1388" s="4"/>
      <c r="G1388" s="4"/>
      <c r="H1388" s="4"/>
      <c r="I1388" s="4"/>
      <c r="J1388" s="4"/>
      <c r="K1388" s="4"/>
    </row>
    <row r="1389" spans="1:11" ht="13">
      <c r="A1389" s="164"/>
      <c r="B1389" s="4"/>
      <c r="C1389" s="4"/>
      <c r="D1389" s="4"/>
      <c r="E1389" s="4"/>
      <c r="F1389" s="4"/>
      <c r="G1389" s="4"/>
      <c r="H1389" s="4"/>
      <c r="I1389" s="4"/>
      <c r="J1389" s="4"/>
      <c r="K1389" s="4"/>
    </row>
    <row r="1390" spans="1:11" ht="13">
      <c r="A1390" s="164"/>
      <c r="B1390" s="4"/>
      <c r="C1390" s="4"/>
      <c r="D1390" s="4"/>
      <c r="E1390" s="4"/>
      <c r="F1390" s="4"/>
      <c r="G1390" s="4"/>
      <c r="H1390" s="4"/>
      <c r="I1390" s="4"/>
      <c r="J1390" s="4"/>
      <c r="K1390" s="4"/>
    </row>
    <row r="1391" spans="1:11" ht="13">
      <c r="A1391" s="164"/>
      <c r="B1391" s="4"/>
      <c r="C1391" s="4"/>
      <c r="D1391" s="4"/>
      <c r="E1391" s="4"/>
      <c r="F1391" s="4"/>
      <c r="G1391" s="4"/>
      <c r="H1391" s="4"/>
      <c r="I1391" s="4"/>
      <c r="J1391" s="4"/>
      <c r="K1391" s="4"/>
    </row>
    <row r="1392" spans="1:11" ht="13">
      <c r="A1392" s="164"/>
      <c r="B1392" s="4"/>
      <c r="C1392" s="4"/>
      <c r="D1392" s="4"/>
      <c r="E1392" s="4"/>
      <c r="F1392" s="4"/>
      <c r="G1392" s="4"/>
      <c r="H1392" s="4"/>
      <c r="I1392" s="4"/>
      <c r="J1392" s="4"/>
      <c r="K1392" s="4"/>
    </row>
    <row r="1393" spans="1:11" ht="13">
      <c r="A1393" s="164"/>
      <c r="B1393" s="4"/>
      <c r="C1393" s="4"/>
      <c r="D1393" s="4"/>
      <c r="E1393" s="4"/>
      <c r="F1393" s="4"/>
      <c r="G1393" s="4"/>
      <c r="H1393" s="4"/>
      <c r="I1393" s="4"/>
      <c r="J1393" s="4"/>
      <c r="K1393" s="4"/>
    </row>
    <row r="1394" spans="1:11" ht="13">
      <c r="A1394" s="164"/>
      <c r="B1394" s="4"/>
      <c r="C1394" s="4"/>
      <c r="D1394" s="4"/>
      <c r="E1394" s="4"/>
      <c r="F1394" s="4"/>
      <c r="G1394" s="4"/>
      <c r="H1394" s="4"/>
      <c r="I1394" s="4"/>
      <c r="J1394" s="4"/>
      <c r="K1394" s="4"/>
    </row>
    <row r="1395" spans="1:11" ht="13">
      <c r="A1395" s="164"/>
      <c r="B1395" s="4"/>
      <c r="C1395" s="4"/>
      <c r="D1395" s="4"/>
      <c r="E1395" s="4"/>
      <c r="F1395" s="4"/>
      <c r="G1395" s="4"/>
      <c r="H1395" s="4"/>
      <c r="I1395" s="4"/>
      <c r="J1395" s="4"/>
      <c r="K1395" s="4"/>
    </row>
    <row r="1396" spans="1:11" ht="13">
      <c r="A1396" s="164"/>
      <c r="B1396" s="4"/>
      <c r="C1396" s="4"/>
      <c r="D1396" s="4"/>
      <c r="E1396" s="4"/>
      <c r="F1396" s="4"/>
      <c r="G1396" s="4"/>
      <c r="H1396" s="4"/>
      <c r="I1396" s="4"/>
      <c r="J1396" s="4"/>
      <c r="K1396" s="4"/>
    </row>
    <row r="1397" spans="1:11" ht="13">
      <c r="A1397" s="164"/>
      <c r="B1397" s="4"/>
      <c r="C1397" s="4"/>
      <c r="D1397" s="4"/>
      <c r="E1397" s="4"/>
      <c r="F1397" s="4"/>
      <c r="G1397" s="4"/>
      <c r="H1397" s="4"/>
      <c r="I1397" s="4"/>
      <c r="J1397" s="4"/>
      <c r="K1397" s="4"/>
    </row>
    <row r="1398" spans="1:11" ht="13">
      <c r="A1398" s="164"/>
      <c r="B1398" s="4"/>
      <c r="C1398" s="4"/>
      <c r="D1398" s="4"/>
      <c r="E1398" s="4"/>
      <c r="F1398" s="4"/>
      <c r="G1398" s="4"/>
      <c r="H1398" s="4"/>
      <c r="I1398" s="4"/>
      <c r="J1398" s="4"/>
      <c r="K1398" s="4"/>
    </row>
    <row r="1399" spans="1:11" ht="13">
      <c r="A1399" s="164"/>
      <c r="B1399" s="4"/>
      <c r="C1399" s="4"/>
      <c r="D1399" s="4"/>
      <c r="E1399" s="4"/>
      <c r="F1399" s="4"/>
      <c r="G1399" s="4"/>
      <c r="H1399" s="4"/>
      <c r="I1399" s="4"/>
      <c r="J1399" s="4"/>
      <c r="K1399" s="4"/>
    </row>
    <row r="1400" spans="1:11" ht="13">
      <c r="A1400" s="164"/>
      <c r="B1400" s="4"/>
      <c r="C1400" s="4"/>
      <c r="D1400" s="4"/>
      <c r="E1400" s="4"/>
      <c r="F1400" s="4"/>
      <c r="G1400" s="4"/>
      <c r="H1400" s="4"/>
      <c r="I1400" s="4"/>
      <c r="J1400" s="4"/>
      <c r="K1400" s="4"/>
    </row>
    <row r="1401" spans="1:11" ht="13">
      <c r="A1401" s="164"/>
      <c r="B1401" s="4"/>
      <c r="C1401" s="4"/>
      <c r="D1401" s="4"/>
      <c r="E1401" s="4"/>
      <c r="F1401" s="4"/>
      <c r="G1401" s="4"/>
      <c r="H1401" s="4"/>
      <c r="I1401" s="4"/>
      <c r="J1401" s="4"/>
      <c r="K1401" s="4"/>
    </row>
    <row r="1402" spans="1:11" ht="13">
      <c r="A1402" s="164"/>
      <c r="B1402" s="4"/>
      <c r="C1402" s="4"/>
      <c r="D1402" s="4"/>
      <c r="E1402" s="4"/>
      <c r="F1402" s="4"/>
      <c r="G1402" s="4"/>
      <c r="H1402" s="4"/>
      <c r="I1402" s="4"/>
      <c r="J1402" s="4"/>
      <c r="K1402" s="4"/>
    </row>
    <row r="1403" spans="1:11" ht="13">
      <c r="A1403" s="164"/>
      <c r="B1403" s="4"/>
      <c r="C1403" s="4"/>
      <c r="D1403" s="4"/>
      <c r="E1403" s="4"/>
      <c r="F1403" s="4"/>
      <c r="G1403" s="4"/>
      <c r="H1403" s="4"/>
      <c r="I1403" s="4"/>
      <c r="J1403" s="4"/>
      <c r="K1403" s="4"/>
    </row>
    <row r="1404" spans="1:11" ht="13">
      <c r="A1404" s="164"/>
      <c r="B1404" s="4"/>
      <c r="C1404" s="4"/>
      <c r="D1404" s="4"/>
      <c r="E1404" s="4"/>
      <c r="F1404" s="4"/>
      <c r="G1404" s="4"/>
      <c r="H1404" s="4"/>
      <c r="I1404" s="4"/>
      <c r="J1404" s="4"/>
      <c r="K1404" s="4"/>
    </row>
    <row r="1405" spans="1:11" ht="13">
      <c r="A1405" s="164"/>
      <c r="B1405" s="4"/>
      <c r="C1405" s="4"/>
      <c r="D1405" s="4"/>
      <c r="E1405" s="4"/>
      <c r="F1405" s="4"/>
      <c r="G1405" s="4"/>
      <c r="H1405" s="4"/>
      <c r="I1405" s="4"/>
      <c r="J1405" s="4"/>
      <c r="K1405" s="4"/>
    </row>
    <row r="1406" spans="1:11" ht="13">
      <c r="A1406" s="164"/>
      <c r="B1406" s="4"/>
      <c r="C1406" s="4"/>
      <c r="D1406" s="4"/>
      <c r="E1406" s="4"/>
      <c r="F1406" s="4"/>
      <c r="G1406" s="4"/>
      <c r="H1406" s="4"/>
      <c r="I1406" s="4"/>
      <c r="J1406" s="4"/>
      <c r="K1406" s="4"/>
    </row>
    <row r="1407" spans="1:11" ht="13">
      <c r="A1407" s="164"/>
      <c r="B1407" s="4"/>
      <c r="C1407" s="4"/>
      <c r="D1407" s="4"/>
      <c r="E1407" s="4"/>
      <c r="F1407" s="4"/>
      <c r="G1407" s="4"/>
      <c r="H1407" s="4"/>
      <c r="I1407" s="4"/>
      <c r="J1407" s="4"/>
      <c r="K1407" s="4"/>
    </row>
    <row r="1408" spans="1:11" ht="13">
      <c r="A1408" s="164"/>
      <c r="B1408" s="4"/>
      <c r="C1408" s="4"/>
      <c r="D1408" s="4"/>
      <c r="E1408" s="4"/>
      <c r="F1408" s="4"/>
      <c r="G1408" s="4"/>
      <c r="H1408" s="4"/>
      <c r="I1408" s="4"/>
      <c r="J1408" s="4"/>
      <c r="K1408" s="4"/>
    </row>
    <row r="1409" spans="1:11" ht="13">
      <c r="A1409" s="164"/>
      <c r="B1409" s="4"/>
      <c r="C1409" s="4"/>
      <c r="D1409" s="4"/>
      <c r="E1409" s="4"/>
      <c r="F1409" s="4"/>
      <c r="G1409" s="4"/>
      <c r="H1409" s="4"/>
      <c r="I1409" s="4"/>
      <c r="J1409" s="4"/>
      <c r="K1409" s="4"/>
    </row>
    <row r="1410" spans="1:11" ht="13">
      <c r="A1410" s="164"/>
      <c r="B1410" s="4"/>
      <c r="C1410" s="4"/>
      <c r="D1410" s="4"/>
      <c r="E1410" s="4"/>
      <c r="F1410" s="4"/>
      <c r="G1410" s="4"/>
      <c r="H1410" s="4"/>
      <c r="I1410" s="4"/>
      <c r="J1410" s="4"/>
      <c r="K1410" s="4"/>
    </row>
    <row r="1411" spans="1:11" ht="13">
      <c r="A1411" s="164"/>
      <c r="B1411" s="4"/>
      <c r="C1411" s="4"/>
      <c r="D1411" s="4"/>
      <c r="E1411" s="4"/>
      <c r="F1411" s="4"/>
      <c r="G1411" s="4"/>
      <c r="H1411" s="4"/>
      <c r="I1411" s="4"/>
      <c r="J1411" s="4"/>
      <c r="K1411" s="4"/>
    </row>
    <row r="1412" spans="1:11" ht="13">
      <c r="A1412" s="164"/>
      <c r="B1412" s="4"/>
      <c r="C1412" s="4"/>
      <c r="D1412" s="4"/>
      <c r="E1412" s="4"/>
      <c r="F1412" s="4"/>
      <c r="G1412" s="4"/>
      <c r="H1412" s="4"/>
      <c r="I1412" s="4"/>
      <c r="J1412" s="4"/>
      <c r="K1412" s="4"/>
    </row>
    <row r="1413" spans="1:11" ht="13">
      <c r="A1413" s="164"/>
      <c r="B1413" s="4"/>
      <c r="C1413" s="4"/>
      <c r="D1413" s="4"/>
      <c r="E1413" s="4"/>
      <c r="F1413" s="4"/>
      <c r="G1413" s="4"/>
      <c r="H1413" s="4"/>
      <c r="I1413" s="4"/>
      <c r="J1413" s="4"/>
      <c r="K1413" s="4"/>
    </row>
    <row r="1414" spans="1:11" ht="13">
      <c r="A1414" s="164"/>
      <c r="B1414" s="4"/>
      <c r="C1414" s="4"/>
      <c r="D1414" s="4"/>
      <c r="E1414" s="4"/>
      <c r="F1414" s="4"/>
      <c r="G1414" s="4"/>
      <c r="H1414" s="4"/>
      <c r="I1414" s="4"/>
      <c r="J1414" s="4"/>
      <c r="K1414" s="4"/>
    </row>
    <row r="1415" spans="1:11" ht="13">
      <c r="A1415" s="164"/>
      <c r="B1415" s="4"/>
      <c r="C1415" s="4"/>
      <c r="D1415" s="4"/>
      <c r="E1415" s="4"/>
      <c r="F1415" s="4"/>
      <c r="G1415" s="4"/>
      <c r="H1415" s="4"/>
      <c r="I1415" s="4"/>
      <c r="J1415" s="4"/>
      <c r="K1415" s="4"/>
    </row>
    <row r="1416" spans="1:11" ht="13">
      <c r="A1416" s="164"/>
      <c r="B1416" s="4"/>
      <c r="C1416" s="4"/>
      <c r="D1416" s="4"/>
      <c r="E1416" s="4"/>
      <c r="F1416" s="4"/>
      <c r="G1416" s="4"/>
      <c r="H1416" s="4"/>
      <c r="I1416" s="4"/>
      <c r="J1416" s="4"/>
      <c r="K1416" s="4"/>
    </row>
    <row r="1417" spans="1:11" ht="13">
      <c r="A1417" s="164"/>
      <c r="B1417" s="4"/>
      <c r="C1417" s="4"/>
      <c r="D1417" s="4"/>
      <c r="E1417" s="4"/>
      <c r="F1417" s="4"/>
      <c r="G1417" s="4"/>
      <c r="H1417" s="4"/>
      <c r="I1417" s="4"/>
      <c r="J1417" s="4"/>
      <c r="K1417" s="4"/>
    </row>
    <row r="1418" spans="1:11" ht="13">
      <c r="A1418" s="164"/>
      <c r="B1418" s="4"/>
      <c r="C1418" s="4"/>
      <c r="D1418" s="4"/>
      <c r="E1418" s="4"/>
      <c r="F1418" s="4"/>
      <c r="G1418" s="4"/>
      <c r="H1418" s="4"/>
      <c r="I1418" s="4"/>
      <c r="J1418" s="4"/>
      <c r="K1418" s="4"/>
    </row>
    <row r="1419" spans="1:11" ht="13">
      <c r="A1419" s="164"/>
      <c r="B1419" s="4"/>
      <c r="C1419" s="4"/>
      <c r="D1419" s="4"/>
      <c r="E1419" s="4"/>
      <c r="F1419" s="4"/>
      <c r="G1419" s="4"/>
      <c r="H1419" s="4"/>
      <c r="I1419" s="4"/>
      <c r="J1419" s="4"/>
      <c r="K1419" s="4"/>
    </row>
    <row r="1420" spans="1:11" ht="13">
      <c r="A1420" s="164"/>
      <c r="B1420" s="4"/>
      <c r="C1420" s="4"/>
      <c r="D1420" s="4"/>
      <c r="E1420" s="4"/>
      <c r="F1420" s="4"/>
      <c r="G1420" s="4"/>
      <c r="H1420" s="4"/>
      <c r="I1420" s="4"/>
      <c r="J1420" s="4"/>
      <c r="K1420" s="4"/>
    </row>
    <row r="1421" spans="1:11" ht="13">
      <c r="A1421" s="164"/>
      <c r="B1421" s="4"/>
      <c r="C1421" s="4"/>
      <c r="D1421" s="4"/>
      <c r="E1421" s="4"/>
      <c r="F1421" s="4"/>
      <c r="G1421" s="4"/>
      <c r="H1421" s="4"/>
      <c r="I1421" s="4"/>
      <c r="J1421" s="4"/>
      <c r="K1421" s="4"/>
    </row>
    <row r="1422" spans="1:11" ht="13">
      <c r="A1422" s="164"/>
      <c r="B1422" s="4"/>
      <c r="C1422" s="4"/>
      <c r="D1422" s="4"/>
      <c r="E1422" s="4"/>
      <c r="F1422" s="4"/>
      <c r="G1422" s="4"/>
      <c r="H1422" s="4"/>
      <c r="I1422" s="4"/>
      <c r="J1422" s="4"/>
      <c r="K1422" s="4"/>
    </row>
    <row r="1423" spans="1:11" ht="13">
      <c r="A1423" s="164"/>
      <c r="B1423" s="4"/>
      <c r="C1423" s="4"/>
      <c r="D1423" s="4"/>
      <c r="E1423" s="4"/>
      <c r="F1423" s="4"/>
      <c r="G1423" s="4"/>
      <c r="H1423" s="4"/>
      <c r="I1423" s="4"/>
      <c r="J1423" s="4"/>
      <c r="K1423" s="4"/>
    </row>
    <row r="1424" spans="1:11" ht="13">
      <c r="A1424" s="164"/>
      <c r="B1424" s="4"/>
      <c r="C1424" s="4"/>
      <c r="D1424" s="4"/>
      <c r="E1424" s="4"/>
      <c r="F1424" s="4"/>
      <c r="G1424" s="4"/>
      <c r="H1424" s="4"/>
      <c r="I1424" s="4"/>
      <c r="J1424" s="4"/>
      <c r="K1424" s="4"/>
    </row>
    <row r="1425" spans="1:11" ht="13">
      <c r="A1425" s="164"/>
      <c r="B1425" s="4"/>
      <c r="C1425" s="4"/>
      <c r="D1425" s="4"/>
      <c r="E1425" s="4"/>
      <c r="F1425" s="4"/>
      <c r="G1425" s="4"/>
      <c r="H1425" s="4"/>
      <c r="I1425" s="4"/>
      <c r="J1425" s="4"/>
      <c r="K1425" s="4"/>
    </row>
    <row r="1426" spans="1:11" ht="13">
      <c r="A1426" s="164"/>
      <c r="B1426" s="4"/>
      <c r="C1426" s="4"/>
      <c r="D1426" s="4"/>
      <c r="E1426" s="4"/>
      <c r="F1426" s="4"/>
      <c r="G1426" s="4"/>
      <c r="H1426" s="4"/>
      <c r="I1426" s="4"/>
      <c r="J1426" s="4"/>
      <c r="K1426" s="4"/>
    </row>
    <row r="1427" spans="1:11" ht="13">
      <c r="A1427" s="164"/>
      <c r="B1427" s="4"/>
      <c r="C1427" s="4"/>
      <c r="D1427" s="4"/>
      <c r="E1427" s="4"/>
      <c r="F1427" s="4"/>
      <c r="G1427" s="4"/>
      <c r="H1427" s="4"/>
      <c r="I1427" s="4"/>
      <c r="J1427" s="4"/>
      <c r="K1427" s="4"/>
    </row>
    <row r="1428" spans="1:11" ht="13">
      <c r="A1428" s="164"/>
      <c r="B1428" s="4"/>
      <c r="C1428" s="4"/>
      <c r="D1428" s="4"/>
      <c r="E1428" s="4"/>
      <c r="F1428" s="4"/>
      <c r="G1428" s="4"/>
      <c r="H1428" s="4"/>
      <c r="I1428" s="4"/>
      <c r="J1428" s="4"/>
      <c r="K1428" s="4"/>
    </row>
    <row r="1429" spans="1:11" ht="13">
      <c r="A1429" s="164"/>
      <c r="B1429" s="4"/>
      <c r="C1429" s="4"/>
      <c r="D1429" s="4"/>
      <c r="E1429" s="4"/>
      <c r="F1429" s="4"/>
      <c r="G1429" s="4"/>
      <c r="H1429" s="4"/>
      <c r="I1429" s="4"/>
      <c r="J1429" s="4"/>
      <c r="K1429" s="4"/>
    </row>
    <row r="1430" spans="1:11" ht="13">
      <c r="A1430" s="164"/>
      <c r="B1430" s="4"/>
      <c r="C1430" s="4"/>
      <c r="D1430" s="4"/>
      <c r="E1430" s="4"/>
      <c r="F1430" s="4"/>
      <c r="G1430" s="4"/>
      <c r="H1430" s="4"/>
      <c r="I1430" s="4"/>
      <c r="J1430" s="4"/>
      <c r="K1430" s="4"/>
    </row>
    <row r="1431" spans="1:11" ht="13">
      <c r="A1431" s="164"/>
      <c r="B1431" s="4"/>
      <c r="C1431" s="4"/>
      <c r="D1431" s="4"/>
      <c r="E1431" s="4"/>
      <c r="F1431" s="4"/>
      <c r="G1431" s="4"/>
      <c r="H1431" s="4"/>
      <c r="I1431" s="4"/>
      <c r="J1431" s="4"/>
      <c r="K1431" s="4"/>
    </row>
    <row r="1432" spans="1:11" ht="13">
      <c r="A1432" s="164"/>
      <c r="B1432" s="4"/>
      <c r="C1432" s="4"/>
      <c r="D1432" s="4"/>
      <c r="E1432" s="4"/>
      <c r="F1432" s="4"/>
      <c r="G1432" s="4"/>
      <c r="H1432" s="4"/>
      <c r="I1432" s="4"/>
      <c r="J1432" s="4"/>
      <c r="K1432" s="4"/>
    </row>
    <row r="1433" spans="1:11" ht="13">
      <c r="A1433" s="164"/>
      <c r="B1433" s="4"/>
      <c r="C1433" s="4"/>
      <c r="D1433" s="4"/>
      <c r="E1433" s="4"/>
      <c r="F1433" s="4"/>
      <c r="G1433" s="4"/>
      <c r="H1433" s="4"/>
      <c r="I1433" s="4"/>
      <c r="J1433" s="4"/>
      <c r="K1433" s="4"/>
    </row>
    <row r="1434" spans="1:11" ht="13">
      <c r="A1434" s="164"/>
      <c r="B1434" s="4"/>
      <c r="C1434" s="4"/>
      <c r="D1434" s="4"/>
      <c r="E1434" s="4"/>
      <c r="F1434" s="4"/>
      <c r="G1434" s="4"/>
      <c r="H1434" s="4"/>
      <c r="I1434" s="4"/>
      <c r="J1434" s="4"/>
      <c r="K1434" s="4"/>
    </row>
    <row r="1435" spans="1:11" ht="13">
      <c r="A1435" s="164"/>
      <c r="B1435" s="4"/>
      <c r="C1435" s="4"/>
      <c r="D1435" s="4"/>
      <c r="E1435" s="4"/>
      <c r="F1435" s="4"/>
      <c r="G1435" s="4"/>
      <c r="H1435" s="4"/>
      <c r="I1435" s="4"/>
      <c r="J1435" s="4"/>
      <c r="K1435" s="4"/>
    </row>
    <row r="1436" spans="1:11" ht="13">
      <c r="A1436" s="164"/>
      <c r="B1436" s="4"/>
      <c r="C1436" s="4"/>
      <c r="D1436" s="4"/>
      <c r="E1436" s="4"/>
      <c r="F1436" s="4"/>
      <c r="G1436" s="4"/>
      <c r="H1436" s="4"/>
      <c r="I1436" s="4"/>
      <c r="J1436" s="4"/>
      <c r="K1436" s="4"/>
    </row>
    <row r="1437" spans="1:11" ht="13">
      <c r="A1437" s="164"/>
      <c r="B1437" s="4"/>
      <c r="C1437" s="4"/>
      <c r="D1437" s="4"/>
      <c r="E1437" s="4"/>
      <c r="F1437" s="4"/>
      <c r="G1437" s="4"/>
      <c r="H1437" s="4"/>
      <c r="I1437" s="4"/>
      <c r="J1437" s="4"/>
      <c r="K1437" s="4"/>
    </row>
    <row r="1438" spans="1:11" ht="13">
      <c r="A1438" s="164"/>
      <c r="B1438" s="4"/>
      <c r="C1438" s="4"/>
      <c r="D1438" s="4"/>
      <c r="E1438" s="4"/>
      <c r="F1438" s="4"/>
      <c r="G1438" s="4"/>
      <c r="H1438" s="4"/>
      <c r="I1438" s="4"/>
      <c r="J1438" s="4"/>
      <c r="K1438" s="4"/>
    </row>
    <row r="1439" spans="1:11" ht="13">
      <c r="A1439" s="164"/>
      <c r="B1439" s="4"/>
      <c r="C1439" s="4"/>
      <c r="D1439" s="4"/>
      <c r="E1439" s="4"/>
      <c r="F1439" s="4"/>
      <c r="G1439" s="4"/>
      <c r="H1439" s="4"/>
      <c r="I1439" s="4"/>
      <c r="J1439" s="4"/>
      <c r="K1439" s="4"/>
    </row>
    <row r="1440" spans="1:11" ht="13">
      <c r="A1440" s="164"/>
      <c r="B1440" s="4"/>
      <c r="C1440" s="4"/>
      <c r="D1440" s="4"/>
      <c r="E1440" s="4"/>
      <c r="F1440" s="4"/>
      <c r="G1440" s="4"/>
      <c r="H1440" s="4"/>
      <c r="I1440" s="4"/>
      <c r="J1440" s="4"/>
      <c r="K1440" s="4"/>
    </row>
    <row r="1441" spans="1:11" ht="13">
      <c r="A1441" s="164"/>
      <c r="B1441" s="4"/>
      <c r="C1441" s="4"/>
      <c r="D1441" s="4"/>
      <c r="E1441" s="4"/>
      <c r="F1441" s="4"/>
      <c r="G1441" s="4"/>
      <c r="H1441" s="4"/>
      <c r="I1441" s="4"/>
      <c r="J1441" s="4"/>
      <c r="K1441" s="4"/>
    </row>
    <row r="1442" spans="1:11" ht="13">
      <c r="A1442" s="164"/>
      <c r="B1442" s="4"/>
      <c r="C1442" s="4"/>
      <c r="D1442" s="4"/>
      <c r="E1442" s="4"/>
      <c r="F1442" s="4"/>
      <c r="G1442" s="4"/>
      <c r="H1442" s="4"/>
      <c r="I1442" s="4"/>
      <c r="J1442" s="4"/>
      <c r="K1442" s="4"/>
    </row>
    <row r="1443" spans="1:11" ht="13">
      <c r="A1443" s="164"/>
      <c r="B1443" s="4"/>
      <c r="C1443" s="4"/>
      <c r="D1443" s="4"/>
      <c r="E1443" s="4"/>
      <c r="F1443" s="4"/>
      <c r="G1443" s="4"/>
      <c r="H1443" s="4"/>
      <c r="I1443" s="4"/>
      <c r="J1443" s="4"/>
      <c r="K1443" s="4"/>
    </row>
    <row r="1444" spans="1:11" ht="13">
      <c r="A1444" s="164"/>
      <c r="B1444" s="4"/>
      <c r="C1444" s="4"/>
      <c r="D1444" s="4"/>
      <c r="E1444" s="4"/>
      <c r="F1444" s="4"/>
      <c r="G1444" s="4"/>
      <c r="H1444" s="4"/>
      <c r="I1444" s="4"/>
      <c r="J1444" s="4"/>
      <c r="K1444" s="4"/>
    </row>
    <row r="1445" spans="1:11" ht="13">
      <c r="A1445" s="164"/>
      <c r="B1445" s="4"/>
      <c r="C1445" s="4"/>
      <c r="D1445" s="4"/>
      <c r="E1445" s="4"/>
      <c r="F1445" s="4"/>
      <c r="G1445" s="4"/>
      <c r="H1445" s="4"/>
      <c r="I1445" s="4"/>
      <c r="J1445" s="4"/>
      <c r="K1445" s="4"/>
    </row>
    <row r="1446" spans="1:11" ht="13">
      <c r="A1446" s="164"/>
      <c r="B1446" s="4"/>
      <c r="C1446" s="4"/>
      <c r="D1446" s="4"/>
      <c r="E1446" s="4"/>
      <c r="F1446" s="4"/>
      <c r="G1446" s="4"/>
      <c r="H1446" s="4"/>
      <c r="I1446" s="4"/>
      <c r="J1446" s="4"/>
      <c r="K1446" s="4"/>
    </row>
    <row r="1447" spans="1:11" ht="13">
      <c r="A1447" s="164"/>
      <c r="B1447" s="4"/>
      <c r="C1447" s="4"/>
      <c r="D1447" s="4"/>
      <c r="E1447" s="4"/>
      <c r="F1447" s="4"/>
      <c r="G1447" s="4"/>
      <c r="H1447" s="4"/>
      <c r="I1447" s="4"/>
      <c r="J1447" s="4"/>
      <c r="K1447" s="4"/>
    </row>
    <row r="1448" spans="1:11" ht="13">
      <c r="A1448" s="164"/>
      <c r="B1448" s="4"/>
      <c r="C1448" s="4"/>
      <c r="D1448" s="4"/>
      <c r="E1448" s="4"/>
      <c r="F1448" s="4"/>
      <c r="G1448" s="4"/>
      <c r="H1448" s="4"/>
      <c r="I1448" s="4"/>
      <c r="J1448" s="4"/>
      <c r="K1448" s="4"/>
    </row>
    <row r="1449" spans="1:11" ht="13">
      <c r="A1449" s="164"/>
      <c r="B1449" s="4"/>
      <c r="C1449" s="4"/>
      <c r="D1449" s="4"/>
      <c r="E1449" s="4"/>
      <c r="F1449" s="4"/>
      <c r="G1449" s="4"/>
      <c r="H1449" s="4"/>
      <c r="I1449" s="4"/>
      <c r="J1449" s="4"/>
      <c r="K1449" s="4"/>
    </row>
    <row r="1450" spans="1:11" ht="13">
      <c r="A1450" s="164"/>
      <c r="B1450" s="4"/>
      <c r="C1450" s="4"/>
      <c r="D1450" s="4"/>
      <c r="E1450" s="4"/>
      <c r="F1450" s="4"/>
      <c r="G1450" s="4"/>
      <c r="H1450" s="4"/>
      <c r="I1450" s="4"/>
      <c r="J1450" s="4"/>
      <c r="K1450" s="4"/>
    </row>
    <row r="1451" spans="1:11" ht="13">
      <c r="A1451" s="164"/>
      <c r="B1451" s="4"/>
      <c r="C1451" s="4"/>
      <c r="D1451" s="4"/>
      <c r="E1451" s="4"/>
      <c r="F1451" s="4"/>
      <c r="G1451" s="4"/>
      <c r="H1451" s="4"/>
      <c r="I1451" s="4"/>
      <c r="J1451" s="4"/>
      <c r="K1451" s="4"/>
    </row>
    <row r="1452" spans="1:11" ht="13">
      <c r="A1452" s="164"/>
      <c r="B1452" s="4"/>
      <c r="C1452" s="4"/>
      <c r="D1452" s="4"/>
      <c r="E1452" s="4"/>
      <c r="F1452" s="4"/>
      <c r="G1452" s="4"/>
      <c r="H1452" s="4"/>
      <c r="I1452" s="4"/>
      <c r="J1452" s="4"/>
      <c r="K1452" s="4"/>
    </row>
    <row r="1453" spans="1:11" ht="13">
      <c r="A1453" s="164"/>
      <c r="B1453" s="4"/>
      <c r="C1453" s="4"/>
      <c r="D1453" s="4"/>
      <c r="E1453" s="4"/>
      <c r="F1453" s="4"/>
      <c r="G1453" s="4"/>
      <c r="H1453" s="4"/>
      <c r="I1453" s="4"/>
      <c r="J1453" s="4"/>
      <c r="K1453" s="4"/>
    </row>
    <row r="1454" spans="1:11" ht="13">
      <c r="A1454" s="164"/>
      <c r="B1454" s="4"/>
      <c r="C1454" s="4"/>
      <c r="D1454" s="4"/>
      <c r="E1454" s="4"/>
      <c r="F1454" s="4"/>
      <c r="G1454" s="4"/>
      <c r="H1454" s="4"/>
      <c r="I1454" s="4"/>
      <c r="J1454" s="4"/>
      <c r="K1454" s="4"/>
    </row>
    <row r="1455" spans="1:11" ht="13">
      <c r="A1455" s="164"/>
      <c r="B1455" s="4"/>
      <c r="C1455" s="4"/>
      <c r="D1455" s="4"/>
      <c r="E1455" s="4"/>
      <c r="F1455" s="4"/>
      <c r="G1455" s="4"/>
      <c r="H1455" s="4"/>
      <c r="I1455" s="4"/>
      <c r="J1455" s="4"/>
      <c r="K1455" s="4"/>
    </row>
    <row r="1456" spans="1:11" ht="13">
      <c r="A1456" s="164"/>
      <c r="B1456" s="4"/>
      <c r="C1456" s="4"/>
      <c r="D1456" s="4"/>
      <c r="E1456" s="4"/>
      <c r="F1456" s="4"/>
      <c r="G1456" s="4"/>
      <c r="H1456" s="4"/>
      <c r="I1456" s="4"/>
      <c r="J1456" s="4"/>
      <c r="K1456" s="4"/>
    </row>
    <row r="1457" spans="1:11" ht="13">
      <c r="A1457" s="164"/>
      <c r="B1457" s="4"/>
      <c r="C1457" s="4"/>
      <c r="D1457" s="4"/>
      <c r="E1457" s="4"/>
      <c r="F1457" s="4"/>
      <c r="G1457" s="4"/>
      <c r="H1457" s="4"/>
      <c r="I1457" s="4"/>
      <c r="J1457" s="4"/>
      <c r="K1457" s="4"/>
    </row>
    <row r="1458" spans="1:11" ht="13">
      <c r="A1458" s="164"/>
      <c r="B1458" s="4"/>
      <c r="C1458" s="4"/>
      <c r="D1458" s="4"/>
      <c r="E1458" s="4"/>
      <c r="F1458" s="4"/>
      <c r="G1458" s="4"/>
      <c r="H1458" s="4"/>
      <c r="I1458" s="4"/>
      <c r="J1458" s="4"/>
      <c r="K1458" s="4"/>
    </row>
    <row r="1459" spans="1:11" ht="13">
      <c r="A1459" s="164"/>
      <c r="B1459" s="4"/>
      <c r="C1459" s="4"/>
      <c r="D1459" s="4"/>
      <c r="E1459" s="4"/>
      <c r="F1459" s="4"/>
      <c r="G1459" s="4"/>
      <c r="H1459" s="4"/>
      <c r="I1459" s="4"/>
      <c r="J1459" s="4"/>
      <c r="K1459" s="4"/>
    </row>
    <row r="1460" spans="1:11" ht="13">
      <c r="A1460" s="164"/>
      <c r="B1460" s="4"/>
      <c r="C1460" s="4"/>
      <c r="D1460" s="4"/>
      <c r="E1460" s="4"/>
      <c r="F1460" s="4"/>
      <c r="G1460" s="4"/>
      <c r="H1460" s="4"/>
      <c r="I1460" s="4"/>
      <c r="J1460" s="4"/>
      <c r="K1460" s="4"/>
    </row>
    <row r="1461" spans="1:11" ht="13">
      <c r="A1461" s="164"/>
      <c r="B1461" s="4"/>
      <c r="C1461" s="4"/>
      <c r="D1461" s="4"/>
      <c r="E1461" s="4"/>
      <c r="F1461" s="4"/>
      <c r="G1461" s="4"/>
      <c r="H1461" s="4"/>
      <c r="I1461" s="4"/>
      <c r="J1461" s="4"/>
      <c r="K1461" s="4"/>
    </row>
    <row r="1462" spans="1:11" ht="13">
      <c r="A1462" s="164"/>
      <c r="B1462" s="4"/>
      <c r="C1462" s="4"/>
      <c r="D1462" s="4"/>
      <c r="E1462" s="4"/>
      <c r="F1462" s="4"/>
      <c r="G1462" s="4"/>
      <c r="H1462" s="4"/>
      <c r="I1462" s="4"/>
      <c r="J1462" s="4"/>
      <c r="K1462" s="4"/>
    </row>
    <row r="1463" spans="1:11" ht="13">
      <c r="A1463" s="164"/>
      <c r="B1463" s="4"/>
      <c r="C1463" s="4"/>
      <c r="D1463" s="4"/>
      <c r="E1463" s="4"/>
      <c r="F1463" s="4"/>
      <c r="G1463" s="4"/>
      <c r="H1463" s="4"/>
      <c r="I1463" s="4"/>
      <c r="J1463" s="4"/>
      <c r="K1463" s="4"/>
    </row>
    <row r="1464" spans="1:11" ht="13">
      <c r="A1464" s="164"/>
      <c r="B1464" s="4"/>
      <c r="C1464" s="4"/>
      <c r="D1464" s="4"/>
      <c r="E1464" s="4"/>
      <c r="F1464" s="4"/>
      <c r="G1464" s="4"/>
      <c r="H1464" s="4"/>
      <c r="I1464" s="4"/>
      <c r="J1464" s="4"/>
      <c r="K1464" s="4"/>
    </row>
    <row r="1465" spans="1:11" ht="13">
      <c r="A1465" s="164"/>
      <c r="B1465" s="4"/>
      <c r="C1465" s="4"/>
      <c r="D1465" s="4"/>
      <c r="E1465" s="4"/>
      <c r="F1465" s="4"/>
      <c r="G1465" s="4"/>
      <c r="H1465" s="4"/>
      <c r="I1465" s="4"/>
      <c r="J1465" s="4"/>
      <c r="K1465" s="4"/>
    </row>
    <row r="1466" spans="1:11" ht="13">
      <c r="A1466" s="164"/>
      <c r="B1466" s="4"/>
      <c r="C1466" s="4"/>
      <c r="D1466" s="4"/>
      <c r="E1466" s="4"/>
      <c r="F1466" s="4"/>
      <c r="G1466" s="4"/>
      <c r="H1466" s="4"/>
      <c r="I1466" s="4"/>
      <c r="J1466" s="4"/>
      <c r="K1466" s="4"/>
    </row>
    <row r="1467" spans="1:11" ht="13">
      <c r="A1467" s="164"/>
      <c r="B1467" s="4"/>
      <c r="C1467" s="4"/>
      <c r="D1467" s="4"/>
      <c r="E1467" s="4"/>
      <c r="F1467" s="4"/>
      <c r="G1467" s="4"/>
      <c r="H1467" s="4"/>
      <c r="I1467" s="4"/>
      <c r="J1467" s="4"/>
      <c r="K1467" s="4"/>
    </row>
    <row r="1468" spans="1:11" ht="13">
      <c r="A1468" s="164"/>
      <c r="B1468" s="4"/>
      <c r="C1468" s="4"/>
      <c r="D1468" s="4"/>
      <c r="E1468" s="4"/>
      <c r="F1468" s="4"/>
      <c r="G1468" s="4"/>
      <c r="H1468" s="4"/>
      <c r="I1468" s="4"/>
      <c r="J1468" s="4"/>
      <c r="K1468" s="4"/>
    </row>
    <row r="1469" spans="1:11" ht="13">
      <c r="A1469" s="164"/>
      <c r="B1469" s="4"/>
      <c r="C1469" s="4"/>
      <c r="D1469" s="4"/>
      <c r="E1469" s="4"/>
      <c r="F1469" s="4"/>
      <c r="G1469" s="4"/>
      <c r="H1469" s="4"/>
      <c r="I1469" s="4"/>
      <c r="J1469" s="4"/>
      <c r="K1469" s="4"/>
    </row>
    <row r="1470" spans="1:11" ht="13">
      <c r="A1470" s="164"/>
      <c r="B1470" s="4"/>
      <c r="C1470" s="4"/>
      <c r="D1470" s="4"/>
      <c r="E1470" s="4"/>
      <c r="F1470" s="4"/>
      <c r="G1470" s="4"/>
      <c r="H1470" s="4"/>
      <c r="I1470" s="4"/>
      <c r="J1470" s="4"/>
      <c r="K1470" s="4"/>
    </row>
    <row r="1471" spans="1:11" ht="13">
      <c r="A1471" s="164"/>
      <c r="B1471" s="4"/>
      <c r="C1471" s="4"/>
      <c r="D1471" s="4"/>
      <c r="E1471" s="4"/>
      <c r="F1471" s="4"/>
      <c r="G1471" s="4"/>
      <c r="H1471" s="4"/>
      <c r="I1471" s="4"/>
      <c r="J1471" s="4"/>
      <c r="K1471" s="4"/>
    </row>
    <row r="1472" spans="1:11" ht="13">
      <c r="A1472" s="164"/>
      <c r="B1472" s="4"/>
      <c r="C1472" s="4"/>
      <c r="D1472" s="4"/>
      <c r="E1472" s="4"/>
      <c r="F1472" s="4"/>
      <c r="G1472" s="4"/>
      <c r="H1472" s="4"/>
      <c r="I1472" s="4"/>
      <c r="J1472" s="4"/>
      <c r="K1472" s="4"/>
    </row>
    <row r="1473" spans="1:11" ht="13">
      <c r="A1473" s="164"/>
      <c r="B1473" s="4"/>
      <c r="C1473" s="4"/>
      <c r="D1473" s="4"/>
      <c r="E1473" s="4"/>
      <c r="F1473" s="4"/>
      <c r="G1473" s="4"/>
      <c r="H1473" s="4"/>
      <c r="I1473" s="4"/>
      <c r="J1473" s="4"/>
      <c r="K1473" s="4"/>
    </row>
    <row r="1474" spans="1:11" ht="13">
      <c r="A1474" s="164"/>
      <c r="B1474" s="4"/>
      <c r="C1474" s="4"/>
      <c r="D1474" s="4"/>
      <c r="E1474" s="4"/>
      <c r="F1474" s="4"/>
      <c r="G1474" s="4"/>
      <c r="H1474" s="4"/>
      <c r="I1474" s="4"/>
      <c r="J1474" s="4"/>
      <c r="K1474" s="4"/>
    </row>
    <row r="1475" spans="1:11" ht="13">
      <c r="A1475" s="164"/>
      <c r="B1475" s="4"/>
      <c r="C1475" s="4"/>
      <c r="D1475" s="4"/>
      <c r="E1475" s="4"/>
      <c r="F1475" s="4"/>
      <c r="G1475" s="4"/>
      <c r="H1475" s="4"/>
      <c r="I1475" s="4"/>
      <c r="J1475" s="4"/>
      <c r="K1475" s="4"/>
    </row>
    <row r="1476" spans="1:11" ht="13">
      <c r="A1476" s="164"/>
      <c r="B1476" s="4"/>
      <c r="C1476" s="4"/>
      <c r="D1476" s="4"/>
      <c r="E1476" s="4"/>
      <c r="F1476" s="4"/>
      <c r="G1476" s="4"/>
      <c r="H1476" s="4"/>
      <c r="I1476" s="4"/>
      <c r="J1476" s="4"/>
      <c r="K1476" s="4"/>
    </row>
    <row r="1477" spans="1:11" ht="13">
      <c r="A1477" s="164"/>
      <c r="B1477" s="4"/>
      <c r="C1477" s="4"/>
      <c r="D1477" s="4"/>
      <c r="E1477" s="4"/>
      <c r="F1477" s="4"/>
      <c r="G1477" s="4"/>
      <c r="H1477" s="4"/>
      <c r="I1477" s="4"/>
      <c r="J1477" s="4"/>
      <c r="K1477" s="4"/>
    </row>
    <row r="1478" spans="1:11" ht="13">
      <c r="A1478" s="164"/>
      <c r="B1478" s="4"/>
      <c r="C1478" s="4"/>
      <c r="D1478" s="4"/>
      <c r="E1478" s="4"/>
      <c r="F1478" s="4"/>
      <c r="G1478" s="4"/>
      <c r="H1478" s="4"/>
      <c r="I1478" s="4"/>
      <c r="J1478" s="4"/>
      <c r="K1478" s="4"/>
    </row>
    <row r="1479" spans="1:11" ht="13">
      <c r="A1479" s="164"/>
      <c r="B1479" s="4"/>
      <c r="C1479" s="4"/>
      <c r="D1479" s="4"/>
      <c r="E1479" s="4"/>
      <c r="F1479" s="4"/>
      <c r="G1479" s="4"/>
      <c r="H1479" s="4"/>
      <c r="I1479" s="4"/>
      <c r="J1479" s="4"/>
      <c r="K1479" s="4"/>
    </row>
    <row r="1480" spans="1:11" ht="13">
      <c r="A1480" s="164"/>
      <c r="B1480" s="4"/>
      <c r="C1480" s="4"/>
      <c r="D1480" s="4"/>
      <c r="E1480" s="4"/>
      <c r="F1480" s="4"/>
      <c r="G1480" s="4"/>
      <c r="H1480" s="4"/>
      <c r="I1480" s="4"/>
      <c r="J1480" s="4"/>
      <c r="K1480" s="4"/>
    </row>
    <row r="1481" spans="1:11" ht="13">
      <c r="A1481" s="164"/>
      <c r="B1481" s="4"/>
      <c r="C1481" s="4"/>
      <c r="D1481" s="4"/>
      <c r="E1481" s="4"/>
      <c r="F1481" s="4"/>
      <c r="G1481" s="4"/>
      <c r="H1481" s="4"/>
      <c r="I1481" s="4"/>
      <c r="J1481" s="4"/>
      <c r="K1481" s="4"/>
    </row>
    <row r="1482" spans="1:11" ht="13">
      <c r="A1482" s="164"/>
      <c r="B1482" s="4"/>
      <c r="C1482" s="4"/>
      <c r="D1482" s="4"/>
      <c r="E1482" s="4"/>
      <c r="F1482" s="4"/>
      <c r="G1482" s="4"/>
      <c r="H1482" s="4"/>
      <c r="I1482" s="4"/>
      <c r="J1482" s="4"/>
      <c r="K1482" s="4"/>
    </row>
    <row r="1483" spans="1:11" ht="13">
      <c r="A1483" s="164"/>
      <c r="B1483" s="4"/>
      <c r="C1483" s="4"/>
      <c r="D1483" s="4"/>
      <c r="E1483" s="4"/>
      <c r="F1483" s="4"/>
      <c r="G1483" s="4"/>
      <c r="H1483" s="4"/>
      <c r="I1483" s="4"/>
      <c r="J1483" s="4"/>
      <c r="K1483" s="4"/>
    </row>
    <row r="1484" spans="1:11" ht="13">
      <c r="A1484" s="164"/>
      <c r="B1484" s="4"/>
      <c r="C1484" s="4"/>
      <c r="D1484" s="4"/>
      <c r="E1484" s="4"/>
      <c r="F1484" s="4"/>
      <c r="G1484" s="4"/>
      <c r="H1484" s="4"/>
      <c r="I1484" s="4"/>
      <c r="J1484" s="4"/>
      <c r="K1484" s="4"/>
    </row>
    <row r="1485" spans="1:11" ht="13">
      <c r="A1485" s="164"/>
      <c r="B1485" s="4"/>
      <c r="C1485" s="4"/>
      <c r="D1485" s="4"/>
      <c r="E1485" s="4"/>
      <c r="F1485" s="4"/>
      <c r="G1485" s="4"/>
      <c r="H1485" s="4"/>
      <c r="I1485" s="4"/>
      <c r="J1485" s="4"/>
      <c r="K1485" s="4"/>
    </row>
    <row r="1486" spans="1:11" ht="13">
      <c r="A1486" s="164"/>
      <c r="B1486" s="4"/>
      <c r="C1486" s="4"/>
      <c r="D1486" s="4"/>
      <c r="E1486" s="4"/>
      <c r="F1486" s="4"/>
      <c r="G1486" s="4"/>
      <c r="H1486" s="4"/>
      <c r="I1486" s="4"/>
      <c r="J1486" s="4"/>
      <c r="K1486" s="4"/>
    </row>
    <row r="1487" spans="1:11" ht="13">
      <c r="A1487" s="164"/>
      <c r="B1487" s="4"/>
      <c r="C1487" s="4"/>
      <c r="D1487" s="4"/>
      <c r="E1487" s="4"/>
      <c r="F1487" s="4"/>
      <c r="G1487" s="4"/>
      <c r="H1487" s="4"/>
      <c r="I1487" s="4"/>
      <c r="J1487" s="4"/>
      <c r="K1487" s="4"/>
    </row>
    <row r="1488" spans="1:11" ht="13">
      <c r="A1488" s="164"/>
      <c r="B1488" s="4"/>
      <c r="C1488" s="4"/>
      <c r="D1488" s="4"/>
      <c r="E1488" s="4"/>
      <c r="F1488" s="4"/>
      <c r="G1488" s="4"/>
      <c r="H1488" s="4"/>
      <c r="I1488" s="4"/>
      <c r="J1488" s="4"/>
      <c r="K1488" s="4"/>
    </row>
    <row r="1489" spans="1:11" ht="13">
      <c r="A1489" s="164"/>
      <c r="B1489" s="4"/>
      <c r="C1489" s="4"/>
      <c r="D1489" s="4"/>
      <c r="E1489" s="4"/>
      <c r="F1489" s="4"/>
      <c r="G1489" s="4"/>
      <c r="H1489" s="4"/>
      <c r="I1489" s="4"/>
      <c r="J1489" s="4"/>
      <c r="K1489" s="4"/>
    </row>
    <row r="1490" spans="1:11" ht="13">
      <c r="A1490" s="164"/>
      <c r="B1490" s="4"/>
      <c r="C1490" s="4"/>
      <c r="D1490" s="4"/>
      <c r="E1490" s="4"/>
      <c r="F1490" s="4"/>
      <c r="G1490" s="4"/>
      <c r="H1490" s="4"/>
      <c r="I1490" s="4"/>
      <c r="J1490" s="4"/>
      <c r="K1490" s="4"/>
    </row>
    <row r="1491" spans="1:11" ht="13">
      <c r="A1491" s="164"/>
      <c r="B1491" s="4"/>
      <c r="C1491" s="4"/>
      <c r="D1491" s="4"/>
      <c r="E1491" s="4"/>
      <c r="F1491" s="4"/>
      <c r="G1491" s="4"/>
      <c r="H1491" s="4"/>
      <c r="I1491" s="4"/>
      <c r="J1491" s="4"/>
      <c r="K1491" s="4"/>
    </row>
    <row r="1492" spans="1:11" ht="13">
      <c r="A1492" s="164"/>
      <c r="B1492" s="4"/>
      <c r="C1492" s="4"/>
      <c r="D1492" s="4"/>
      <c r="E1492" s="4"/>
      <c r="F1492" s="4"/>
      <c r="G1492" s="4"/>
      <c r="H1492" s="4"/>
      <c r="I1492" s="4"/>
      <c r="J1492" s="4"/>
      <c r="K1492" s="4"/>
    </row>
    <row r="1493" spans="1:11" ht="13">
      <c r="A1493" s="164"/>
      <c r="B1493" s="4"/>
      <c r="C1493" s="4"/>
      <c r="D1493" s="4"/>
      <c r="E1493" s="4"/>
      <c r="F1493" s="4"/>
      <c r="G1493" s="4"/>
      <c r="H1493" s="4"/>
      <c r="I1493" s="4"/>
      <c r="J1493" s="4"/>
      <c r="K1493" s="4"/>
    </row>
    <row r="1494" spans="1:11" ht="13">
      <c r="A1494" s="164"/>
      <c r="B1494" s="4"/>
      <c r="C1494" s="4"/>
      <c r="D1494" s="4"/>
      <c r="E1494" s="4"/>
      <c r="F1494" s="4"/>
      <c r="G1494" s="4"/>
      <c r="H1494" s="4"/>
      <c r="I1494" s="4"/>
      <c r="J1494" s="4"/>
      <c r="K1494" s="4"/>
    </row>
    <row r="1495" spans="1:11" ht="13">
      <c r="A1495" s="164"/>
      <c r="B1495" s="4"/>
      <c r="C1495" s="4"/>
      <c r="D1495" s="4"/>
      <c r="E1495" s="4"/>
      <c r="F1495" s="4"/>
      <c r="G1495" s="4"/>
      <c r="H1495" s="4"/>
      <c r="I1495" s="4"/>
      <c r="J1495" s="4"/>
      <c r="K1495" s="4"/>
    </row>
    <row r="1496" spans="1:11" ht="13">
      <c r="A1496" s="164"/>
      <c r="B1496" s="4"/>
      <c r="C1496" s="4"/>
      <c r="D1496" s="4"/>
      <c r="E1496" s="4"/>
      <c r="F1496" s="4"/>
      <c r="G1496" s="4"/>
      <c r="H1496" s="4"/>
      <c r="I1496" s="4"/>
      <c r="J1496" s="4"/>
      <c r="K1496" s="4"/>
    </row>
    <row r="1497" spans="1:11" ht="13">
      <c r="A1497" s="164"/>
      <c r="B1497" s="4"/>
      <c r="C1497" s="4"/>
      <c r="D1497" s="4"/>
      <c r="E1497" s="4"/>
      <c r="F1497" s="4"/>
      <c r="G1497" s="4"/>
      <c r="H1497" s="4"/>
      <c r="I1497" s="4"/>
      <c r="J1497" s="4"/>
      <c r="K1497" s="4"/>
    </row>
    <row r="1498" spans="1:11" ht="13">
      <c r="A1498" s="164"/>
      <c r="B1498" s="4"/>
      <c r="C1498" s="4"/>
      <c r="D1498" s="4"/>
      <c r="E1498" s="4"/>
      <c r="F1498" s="4"/>
      <c r="G1498" s="4"/>
      <c r="H1498" s="4"/>
      <c r="I1498" s="4"/>
      <c r="J1498" s="4"/>
      <c r="K1498" s="4"/>
    </row>
    <row r="1499" spans="1:11" ht="13">
      <c r="A1499" s="164"/>
      <c r="B1499" s="4"/>
      <c r="C1499" s="4"/>
      <c r="D1499" s="4"/>
      <c r="E1499" s="4"/>
      <c r="F1499" s="4"/>
      <c r="G1499" s="4"/>
      <c r="H1499" s="4"/>
      <c r="I1499" s="4"/>
      <c r="J1499" s="4"/>
      <c r="K1499" s="4"/>
    </row>
    <row r="1500" spans="1:11" ht="13">
      <c r="A1500" s="164"/>
      <c r="B1500" s="4"/>
      <c r="C1500" s="4"/>
      <c r="D1500" s="4"/>
      <c r="E1500" s="4"/>
      <c r="F1500" s="4"/>
      <c r="G1500" s="4"/>
      <c r="H1500" s="4"/>
      <c r="I1500" s="4"/>
      <c r="J1500" s="4"/>
      <c r="K1500" s="4"/>
    </row>
    <row r="1501" spans="1:11" ht="13">
      <c r="A1501" s="164"/>
      <c r="B1501" s="4"/>
      <c r="C1501" s="4"/>
      <c r="D1501" s="4"/>
      <c r="E1501" s="4"/>
      <c r="F1501" s="4"/>
      <c r="G1501" s="4"/>
      <c r="H1501" s="4"/>
      <c r="I1501" s="4"/>
      <c r="J1501" s="4"/>
      <c r="K1501" s="4"/>
    </row>
    <row r="1502" spans="1:11" ht="13">
      <c r="A1502" s="164"/>
      <c r="B1502" s="4"/>
      <c r="C1502" s="4"/>
      <c r="D1502" s="4"/>
      <c r="E1502" s="4"/>
      <c r="F1502" s="4"/>
      <c r="G1502" s="4"/>
      <c r="H1502" s="4"/>
      <c r="I1502" s="4"/>
      <c r="J1502" s="4"/>
      <c r="K1502" s="4"/>
    </row>
    <row r="1503" spans="1:11" ht="13">
      <c r="A1503" s="164"/>
      <c r="B1503" s="4"/>
      <c r="C1503" s="4"/>
      <c r="D1503" s="4"/>
      <c r="E1503" s="4"/>
      <c r="F1503" s="4"/>
      <c r="G1503" s="4"/>
      <c r="H1503" s="4"/>
      <c r="I1503" s="4"/>
      <c r="J1503" s="4"/>
      <c r="K1503" s="4"/>
    </row>
    <row r="1504" spans="1:11" ht="13">
      <c r="A1504" s="164"/>
      <c r="B1504" s="4"/>
      <c r="C1504" s="4"/>
      <c r="D1504" s="4"/>
      <c r="E1504" s="4"/>
      <c r="F1504" s="4"/>
      <c r="G1504" s="4"/>
      <c r="H1504" s="4"/>
      <c r="I1504" s="4"/>
      <c r="J1504" s="4"/>
      <c r="K1504" s="4"/>
    </row>
    <row r="1505" spans="1:11" ht="13">
      <c r="A1505" s="164"/>
      <c r="B1505" s="4"/>
      <c r="C1505" s="4"/>
      <c r="D1505" s="4"/>
      <c r="E1505" s="4"/>
      <c r="F1505" s="4"/>
      <c r="G1505" s="4"/>
      <c r="H1505" s="4"/>
      <c r="I1505" s="4"/>
      <c r="J1505" s="4"/>
      <c r="K1505" s="4"/>
    </row>
    <row r="1506" spans="1:11" ht="13">
      <c r="A1506" s="164"/>
      <c r="B1506" s="4"/>
      <c r="C1506" s="4"/>
      <c r="D1506" s="4"/>
      <c r="E1506" s="4"/>
      <c r="F1506" s="4"/>
      <c r="G1506" s="4"/>
      <c r="H1506" s="4"/>
      <c r="I1506" s="4"/>
      <c r="J1506" s="4"/>
      <c r="K1506" s="4"/>
    </row>
    <row r="1507" spans="1:11" ht="13">
      <c r="A1507" s="164"/>
      <c r="B1507" s="4"/>
      <c r="C1507" s="4"/>
      <c r="D1507" s="4"/>
      <c r="E1507" s="4"/>
      <c r="F1507" s="4"/>
      <c r="G1507" s="4"/>
      <c r="H1507" s="4"/>
      <c r="I1507" s="4"/>
      <c r="J1507" s="4"/>
      <c r="K1507" s="4"/>
    </row>
    <row r="1508" spans="1:11" ht="13">
      <c r="A1508" s="164"/>
      <c r="B1508" s="4"/>
      <c r="C1508" s="4"/>
      <c r="D1508" s="4"/>
      <c r="E1508" s="4"/>
      <c r="F1508" s="4"/>
      <c r="G1508" s="4"/>
      <c r="H1508" s="4"/>
      <c r="I1508" s="4"/>
      <c r="J1508" s="4"/>
      <c r="K1508" s="4"/>
    </row>
    <row r="1509" spans="1:11" ht="13">
      <c r="A1509" s="164"/>
      <c r="B1509" s="4"/>
      <c r="C1509" s="4"/>
      <c r="D1509" s="4"/>
      <c r="E1509" s="4"/>
      <c r="F1509" s="4"/>
      <c r="G1509" s="4"/>
      <c r="H1509" s="4"/>
      <c r="I1509" s="4"/>
      <c r="J1509" s="4"/>
      <c r="K1509" s="4"/>
    </row>
    <row r="1510" spans="1:11" ht="13">
      <c r="A1510" s="164"/>
      <c r="B1510" s="4"/>
      <c r="C1510" s="4"/>
      <c r="D1510" s="4"/>
      <c r="E1510" s="4"/>
      <c r="F1510" s="4"/>
      <c r="G1510" s="4"/>
      <c r="H1510" s="4"/>
      <c r="I1510" s="4"/>
      <c r="J1510" s="4"/>
      <c r="K1510" s="4"/>
    </row>
    <row r="1511" spans="1:11" ht="13">
      <c r="A1511" s="164"/>
      <c r="B1511" s="4"/>
      <c r="C1511" s="4"/>
      <c r="D1511" s="4"/>
      <c r="E1511" s="4"/>
      <c r="F1511" s="4"/>
      <c r="G1511" s="4"/>
      <c r="H1511" s="4"/>
      <c r="I1511" s="4"/>
      <c r="J1511" s="4"/>
      <c r="K1511" s="4"/>
    </row>
    <row r="1512" spans="1:11" ht="13">
      <c r="A1512" s="164"/>
      <c r="B1512" s="4"/>
      <c r="C1512" s="4"/>
      <c r="D1512" s="4"/>
      <c r="E1512" s="4"/>
      <c r="F1512" s="4"/>
      <c r="G1512" s="4"/>
      <c r="H1512" s="4"/>
      <c r="I1512" s="4"/>
      <c r="J1512" s="4"/>
      <c r="K1512" s="4"/>
    </row>
    <row r="1513" spans="1:11" ht="13">
      <c r="A1513" s="164"/>
      <c r="B1513" s="4"/>
      <c r="C1513" s="4"/>
      <c r="D1513" s="4"/>
      <c r="E1513" s="4"/>
      <c r="F1513" s="4"/>
      <c r="G1513" s="4"/>
      <c r="H1513" s="4"/>
      <c r="I1513" s="4"/>
      <c r="J1513" s="4"/>
      <c r="K1513" s="4"/>
    </row>
    <row r="1514" spans="1:11" ht="13">
      <c r="A1514" s="164"/>
      <c r="B1514" s="4"/>
      <c r="C1514" s="4"/>
      <c r="D1514" s="4"/>
      <c r="E1514" s="4"/>
      <c r="F1514" s="4"/>
      <c r="G1514" s="4"/>
      <c r="H1514" s="4"/>
      <c r="I1514" s="4"/>
      <c r="J1514" s="4"/>
      <c r="K1514" s="4"/>
    </row>
    <row r="1515" spans="1:11" ht="13">
      <c r="A1515" s="164"/>
      <c r="B1515" s="4"/>
      <c r="C1515" s="4"/>
      <c r="D1515" s="4"/>
      <c r="E1515" s="4"/>
      <c r="F1515" s="4"/>
      <c r="G1515" s="4"/>
      <c r="H1515" s="4"/>
      <c r="I1515" s="4"/>
      <c r="J1515" s="4"/>
      <c r="K1515" s="4"/>
    </row>
    <row r="1516" spans="1:11" ht="13">
      <c r="A1516" s="164"/>
      <c r="B1516" s="4"/>
      <c r="C1516" s="4"/>
      <c r="D1516" s="4"/>
      <c r="E1516" s="4"/>
      <c r="F1516" s="4"/>
      <c r="G1516" s="4"/>
      <c r="H1516" s="4"/>
      <c r="I1516" s="4"/>
      <c r="J1516" s="4"/>
      <c r="K1516" s="4"/>
    </row>
    <row r="1517" spans="1:11" ht="13">
      <c r="A1517" s="164"/>
      <c r="B1517" s="4"/>
      <c r="C1517" s="4"/>
      <c r="D1517" s="4"/>
      <c r="E1517" s="4"/>
      <c r="F1517" s="4"/>
      <c r="G1517" s="4"/>
      <c r="H1517" s="4"/>
      <c r="I1517" s="4"/>
      <c r="J1517" s="4"/>
      <c r="K1517" s="4"/>
    </row>
    <row r="1518" spans="1:11" ht="13">
      <c r="A1518" s="164"/>
      <c r="B1518" s="4"/>
      <c r="C1518" s="4"/>
      <c r="D1518" s="4"/>
      <c r="E1518" s="4"/>
      <c r="F1518" s="4"/>
      <c r="G1518" s="4"/>
      <c r="H1518" s="4"/>
      <c r="I1518" s="4"/>
      <c r="J1518" s="4"/>
      <c r="K1518" s="4"/>
    </row>
    <row r="1519" spans="1:11" ht="13">
      <c r="A1519" s="164"/>
      <c r="B1519" s="4"/>
      <c r="C1519" s="4"/>
      <c r="D1519" s="4"/>
      <c r="E1519" s="4"/>
      <c r="F1519" s="4"/>
      <c r="G1519" s="4"/>
      <c r="H1519" s="4"/>
      <c r="I1519" s="4"/>
      <c r="J1519" s="4"/>
      <c r="K1519" s="4"/>
    </row>
    <row r="1520" spans="1:11" ht="13">
      <c r="A1520" s="164"/>
      <c r="B1520" s="4"/>
      <c r="C1520" s="4"/>
      <c r="D1520" s="4"/>
      <c r="E1520" s="4"/>
      <c r="F1520" s="4"/>
      <c r="G1520" s="4"/>
      <c r="H1520" s="4"/>
      <c r="I1520" s="4"/>
      <c r="J1520" s="4"/>
      <c r="K1520" s="4"/>
    </row>
    <row r="1521" spans="1:11" ht="13">
      <c r="A1521" s="164"/>
      <c r="B1521" s="4"/>
      <c r="C1521" s="4"/>
      <c r="D1521" s="4"/>
      <c r="E1521" s="4"/>
      <c r="F1521" s="4"/>
      <c r="G1521" s="4"/>
      <c r="H1521" s="4"/>
      <c r="I1521" s="4"/>
      <c r="J1521" s="4"/>
      <c r="K1521" s="4"/>
    </row>
    <row r="1522" spans="1:11" ht="13">
      <c r="A1522" s="164"/>
      <c r="B1522" s="4"/>
      <c r="C1522" s="4"/>
      <c r="D1522" s="4"/>
      <c r="E1522" s="4"/>
      <c r="F1522" s="4"/>
      <c r="G1522" s="4"/>
      <c r="H1522" s="4"/>
      <c r="I1522" s="4"/>
      <c r="J1522" s="4"/>
      <c r="K1522" s="4"/>
    </row>
    <row r="1523" spans="1:11" ht="13">
      <c r="A1523" s="164"/>
      <c r="B1523" s="4"/>
      <c r="C1523" s="4"/>
      <c r="D1523" s="4"/>
      <c r="E1523" s="4"/>
      <c r="F1523" s="4"/>
      <c r="G1523" s="4"/>
      <c r="H1523" s="4"/>
      <c r="I1523" s="4"/>
      <c r="J1523" s="4"/>
      <c r="K1523" s="4"/>
    </row>
    <row r="1524" spans="1:11" ht="13">
      <c r="A1524" s="164"/>
      <c r="B1524" s="4"/>
      <c r="C1524" s="4"/>
      <c r="D1524" s="4"/>
      <c r="E1524" s="4"/>
      <c r="F1524" s="4"/>
      <c r="G1524" s="4"/>
      <c r="H1524" s="4"/>
      <c r="I1524" s="4"/>
      <c r="J1524" s="4"/>
      <c r="K1524" s="4"/>
    </row>
    <row r="1525" spans="1:11" ht="13">
      <c r="A1525" s="164"/>
      <c r="B1525" s="4"/>
      <c r="C1525" s="4"/>
      <c r="D1525" s="4"/>
      <c r="E1525" s="4"/>
      <c r="F1525" s="4"/>
      <c r="G1525" s="4"/>
      <c r="H1525" s="4"/>
      <c r="I1525" s="4"/>
      <c r="J1525" s="4"/>
      <c r="K1525" s="4"/>
    </row>
    <row r="1526" spans="1:11" ht="13">
      <c r="A1526" s="164"/>
      <c r="B1526" s="4"/>
      <c r="C1526" s="4"/>
      <c r="D1526" s="4"/>
      <c r="E1526" s="4"/>
      <c r="F1526" s="4"/>
      <c r="G1526" s="4"/>
      <c r="H1526" s="4"/>
      <c r="I1526" s="4"/>
      <c r="J1526" s="4"/>
      <c r="K1526" s="4"/>
    </row>
    <row r="1527" spans="1:11" ht="13">
      <c r="A1527" s="164"/>
      <c r="B1527" s="4"/>
      <c r="C1527" s="4"/>
      <c r="D1527" s="4"/>
      <c r="E1527" s="4"/>
      <c r="F1527" s="4"/>
      <c r="G1527" s="4"/>
      <c r="H1527" s="4"/>
      <c r="I1527" s="4"/>
      <c r="J1527" s="4"/>
      <c r="K1527" s="4"/>
    </row>
    <row r="1528" spans="1:11" ht="13">
      <c r="A1528" s="164"/>
      <c r="B1528" s="4"/>
      <c r="C1528" s="4"/>
      <c r="D1528" s="4"/>
      <c r="E1528" s="4"/>
      <c r="F1528" s="4"/>
      <c r="G1528" s="4"/>
      <c r="H1528" s="4"/>
      <c r="I1528" s="4"/>
      <c r="J1528" s="4"/>
      <c r="K1528" s="4"/>
    </row>
    <row r="1529" spans="1:11" ht="13">
      <c r="A1529" s="164"/>
      <c r="B1529" s="4"/>
      <c r="C1529" s="4"/>
      <c r="D1529" s="4"/>
      <c r="E1529" s="4"/>
      <c r="F1529" s="4"/>
      <c r="G1529" s="4"/>
      <c r="H1529" s="4"/>
      <c r="I1529" s="4"/>
      <c r="J1529" s="4"/>
      <c r="K1529" s="4"/>
    </row>
    <row r="1530" spans="1:11" ht="13">
      <c r="A1530" s="164"/>
      <c r="B1530" s="4"/>
      <c r="C1530" s="4"/>
      <c r="D1530" s="4"/>
      <c r="E1530" s="4"/>
      <c r="F1530" s="4"/>
      <c r="G1530" s="4"/>
      <c r="H1530" s="4"/>
      <c r="I1530" s="4"/>
      <c r="J1530" s="4"/>
      <c r="K1530" s="4"/>
    </row>
    <row r="1531" spans="1:11" ht="13">
      <c r="A1531" s="164"/>
      <c r="B1531" s="4"/>
      <c r="C1531" s="4"/>
      <c r="D1531" s="4"/>
      <c r="E1531" s="4"/>
      <c r="F1531" s="4"/>
      <c r="G1531" s="4"/>
      <c r="H1531" s="4"/>
      <c r="I1531" s="4"/>
      <c r="J1531" s="4"/>
      <c r="K1531" s="4"/>
    </row>
    <row r="1532" spans="1:11" ht="13">
      <c r="A1532" s="164"/>
      <c r="B1532" s="4"/>
      <c r="C1532" s="4"/>
      <c r="D1532" s="4"/>
      <c r="E1532" s="4"/>
      <c r="F1532" s="4"/>
      <c r="G1532" s="4"/>
      <c r="H1532" s="4"/>
      <c r="I1532" s="4"/>
      <c r="J1532" s="4"/>
      <c r="K1532" s="4"/>
    </row>
    <row r="1533" spans="1:11" ht="13">
      <c r="A1533" s="164"/>
      <c r="B1533" s="4"/>
      <c r="C1533" s="4"/>
      <c r="D1533" s="4"/>
      <c r="E1533" s="4"/>
      <c r="F1533" s="4"/>
      <c r="G1533" s="4"/>
      <c r="H1533" s="4"/>
      <c r="I1533" s="4"/>
      <c r="J1533" s="4"/>
      <c r="K1533" s="4"/>
    </row>
    <row r="1534" spans="1:11" ht="13">
      <c r="A1534" s="164"/>
      <c r="B1534" s="4"/>
      <c r="C1534" s="4"/>
      <c r="D1534" s="4"/>
      <c r="E1534" s="4"/>
      <c r="F1534" s="4"/>
      <c r="G1534" s="4"/>
      <c r="H1534" s="4"/>
      <c r="I1534" s="4"/>
      <c r="J1534" s="4"/>
      <c r="K1534" s="4"/>
    </row>
    <row r="1535" spans="1:11" ht="13">
      <c r="A1535" s="164"/>
      <c r="B1535" s="4"/>
      <c r="C1535" s="4"/>
      <c r="D1535" s="4"/>
      <c r="E1535" s="4"/>
      <c r="F1535" s="4"/>
      <c r="G1535" s="4"/>
      <c r="H1535" s="4"/>
      <c r="I1535" s="4"/>
      <c r="J1535" s="4"/>
      <c r="K1535" s="4"/>
    </row>
    <row r="1536" spans="1:11" ht="13">
      <c r="A1536" s="164"/>
      <c r="B1536" s="4"/>
      <c r="C1536" s="4"/>
      <c r="D1536" s="4"/>
      <c r="E1536" s="4"/>
      <c r="F1536" s="4"/>
      <c r="G1536" s="4"/>
      <c r="H1536" s="4"/>
      <c r="I1536" s="4"/>
      <c r="J1536" s="4"/>
      <c r="K1536" s="4"/>
    </row>
    <row r="1537" spans="1:11" ht="13">
      <c r="A1537" s="164"/>
      <c r="B1537" s="4"/>
      <c r="C1537" s="4"/>
      <c r="D1537" s="4"/>
      <c r="E1537" s="4"/>
      <c r="F1537" s="4"/>
      <c r="G1537" s="4"/>
      <c r="H1537" s="4"/>
      <c r="I1537" s="4"/>
      <c r="J1537" s="4"/>
      <c r="K1537" s="4"/>
    </row>
    <row r="1538" spans="1:11" ht="13">
      <c r="A1538" s="164"/>
      <c r="B1538" s="4"/>
      <c r="C1538" s="4"/>
      <c r="D1538" s="4"/>
      <c r="E1538" s="4"/>
      <c r="F1538" s="4"/>
      <c r="G1538" s="4"/>
      <c r="H1538" s="4"/>
      <c r="I1538" s="4"/>
      <c r="J1538" s="4"/>
      <c r="K1538" s="4"/>
    </row>
    <row r="1539" spans="1:11" ht="13">
      <c r="A1539" s="164"/>
      <c r="B1539" s="4"/>
      <c r="C1539" s="4"/>
      <c r="D1539" s="4"/>
      <c r="E1539" s="4"/>
      <c r="F1539" s="4"/>
      <c r="G1539" s="4"/>
      <c r="H1539" s="4"/>
      <c r="I1539" s="4"/>
      <c r="J1539" s="4"/>
      <c r="K1539" s="4"/>
    </row>
    <row r="1540" spans="1:11" ht="13">
      <c r="A1540" s="164"/>
      <c r="B1540" s="4"/>
      <c r="C1540" s="4"/>
      <c r="D1540" s="4"/>
      <c r="E1540" s="4"/>
      <c r="F1540" s="4"/>
      <c r="G1540" s="4"/>
      <c r="H1540" s="4"/>
      <c r="I1540" s="4"/>
      <c r="J1540" s="4"/>
      <c r="K1540" s="4"/>
    </row>
    <row r="1541" spans="1:11" ht="13">
      <c r="A1541" s="164"/>
      <c r="B1541" s="4"/>
      <c r="C1541" s="4"/>
      <c r="D1541" s="4"/>
      <c r="E1541" s="4"/>
      <c r="F1541" s="4"/>
      <c r="G1541" s="4"/>
      <c r="H1541" s="4"/>
      <c r="I1541" s="4"/>
      <c r="J1541" s="4"/>
      <c r="K1541" s="4"/>
    </row>
    <row r="1542" spans="1:11" ht="13">
      <c r="A1542" s="164"/>
      <c r="B1542" s="4"/>
      <c r="C1542" s="4"/>
      <c r="D1542" s="4"/>
      <c r="E1542" s="4"/>
      <c r="F1542" s="4"/>
      <c r="G1542" s="4"/>
      <c r="H1542" s="4"/>
      <c r="I1542" s="4"/>
      <c r="J1542" s="4"/>
      <c r="K1542" s="4"/>
    </row>
    <row r="1543" spans="1:11" ht="13">
      <c r="A1543" s="164"/>
      <c r="B1543" s="4"/>
      <c r="C1543" s="4"/>
      <c r="D1543" s="4"/>
      <c r="E1543" s="4"/>
      <c r="F1543" s="4"/>
      <c r="G1543" s="4"/>
      <c r="H1543" s="4"/>
      <c r="I1543" s="4"/>
      <c r="J1543" s="4"/>
      <c r="K1543" s="4"/>
    </row>
    <row r="1544" spans="1:11" ht="13">
      <c r="A1544" s="164"/>
      <c r="B1544" s="4"/>
      <c r="C1544" s="4"/>
      <c r="D1544" s="4"/>
      <c r="E1544" s="4"/>
      <c r="F1544" s="4"/>
      <c r="G1544" s="4"/>
      <c r="H1544" s="4"/>
      <c r="I1544" s="4"/>
      <c r="J1544" s="4"/>
      <c r="K1544" s="4"/>
    </row>
    <row r="1545" spans="1:11" ht="13">
      <c r="A1545" s="164"/>
      <c r="B1545" s="4"/>
      <c r="C1545" s="4"/>
      <c r="D1545" s="4"/>
      <c r="E1545" s="4"/>
      <c r="F1545" s="4"/>
      <c r="G1545" s="4"/>
      <c r="H1545" s="4"/>
      <c r="I1545" s="4"/>
      <c r="J1545" s="4"/>
      <c r="K1545" s="4"/>
    </row>
    <row r="1546" spans="1:11" ht="13">
      <c r="A1546" s="164"/>
      <c r="B1546" s="4"/>
      <c r="C1546" s="4"/>
      <c r="D1546" s="4"/>
      <c r="E1546" s="4"/>
      <c r="F1546" s="4"/>
      <c r="G1546" s="4"/>
      <c r="H1546" s="4"/>
      <c r="I1546" s="4"/>
      <c r="J1546" s="4"/>
      <c r="K1546" s="4"/>
    </row>
    <row r="1547" spans="1:11" ht="13">
      <c r="A1547" s="164"/>
      <c r="B1547" s="4"/>
      <c r="C1547" s="4"/>
      <c r="D1547" s="4"/>
      <c r="E1547" s="4"/>
      <c r="F1547" s="4"/>
      <c r="G1547" s="4"/>
      <c r="H1547" s="4"/>
      <c r="I1547" s="4"/>
      <c r="J1547" s="4"/>
      <c r="K1547" s="4"/>
    </row>
    <row r="1548" spans="1:11" ht="13">
      <c r="A1548" s="164"/>
      <c r="B1548" s="4"/>
      <c r="C1548" s="4"/>
      <c r="D1548" s="4"/>
      <c r="E1548" s="4"/>
      <c r="F1548" s="4"/>
      <c r="G1548" s="4"/>
      <c r="H1548" s="4"/>
      <c r="I1548" s="4"/>
      <c r="J1548" s="4"/>
      <c r="K1548" s="4"/>
    </row>
    <row r="1549" spans="1:11" ht="13">
      <c r="A1549" s="164"/>
      <c r="B1549" s="4"/>
      <c r="C1549" s="4"/>
      <c r="D1549" s="4"/>
      <c r="E1549" s="4"/>
      <c r="F1549" s="4"/>
      <c r="G1549" s="4"/>
      <c r="H1549" s="4"/>
      <c r="I1549" s="4"/>
      <c r="J1549" s="4"/>
      <c r="K1549" s="4"/>
    </row>
    <row r="1550" spans="1:11" ht="13">
      <c r="A1550" s="164"/>
      <c r="B1550" s="4"/>
      <c r="C1550" s="4"/>
      <c r="D1550" s="4"/>
      <c r="E1550" s="4"/>
      <c r="F1550" s="4"/>
      <c r="G1550" s="4"/>
      <c r="H1550" s="4"/>
      <c r="I1550" s="4"/>
      <c r="J1550" s="4"/>
      <c r="K1550" s="4"/>
    </row>
    <row r="1551" spans="1:11" ht="13">
      <c r="A1551" s="164"/>
      <c r="B1551" s="4"/>
      <c r="C1551" s="4"/>
      <c r="D1551" s="4"/>
      <c r="E1551" s="4"/>
      <c r="F1551" s="4"/>
      <c r="G1551" s="4"/>
      <c r="H1551" s="4"/>
      <c r="I1551" s="4"/>
      <c r="J1551" s="4"/>
      <c r="K1551" s="4"/>
    </row>
    <row r="1552" spans="1:11" ht="13">
      <c r="A1552" s="164"/>
      <c r="B1552" s="4"/>
      <c r="C1552" s="4"/>
      <c r="D1552" s="4"/>
      <c r="E1552" s="4"/>
      <c r="F1552" s="4"/>
      <c r="G1552" s="4"/>
      <c r="H1552" s="4"/>
      <c r="I1552" s="4"/>
      <c r="J1552" s="4"/>
      <c r="K1552" s="4"/>
    </row>
    <row r="1553" spans="1:11" ht="13">
      <c r="A1553" s="164"/>
      <c r="B1553" s="4"/>
      <c r="C1553" s="4"/>
      <c r="D1553" s="4"/>
      <c r="E1553" s="4"/>
      <c r="F1553" s="4"/>
      <c r="G1553" s="4"/>
      <c r="H1553" s="4"/>
      <c r="I1553" s="4"/>
      <c r="J1553" s="4"/>
      <c r="K1553" s="4"/>
    </row>
    <row r="1554" spans="1:11" ht="13">
      <c r="A1554" s="164"/>
      <c r="B1554" s="4"/>
      <c r="C1554" s="4"/>
      <c r="D1554" s="4"/>
      <c r="E1554" s="4"/>
      <c r="F1554" s="4"/>
      <c r="G1554" s="4"/>
      <c r="H1554" s="4"/>
      <c r="I1554" s="4"/>
      <c r="J1554" s="4"/>
      <c r="K1554" s="4"/>
    </row>
    <row r="1555" spans="1:11" ht="13">
      <c r="A1555" s="164"/>
      <c r="B1555" s="4"/>
      <c r="C1555" s="4"/>
      <c r="D1555" s="4"/>
      <c r="E1555" s="4"/>
      <c r="F1555" s="4"/>
      <c r="G1555" s="4"/>
      <c r="H1555" s="4"/>
      <c r="I1555" s="4"/>
      <c r="J1555" s="4"/>
      <c r="K1555" s="4"/>
    </row>
    <row r="1556" spans="1:11" ht="13">
      <c r="A1556" s="164"/>
      <c r="B1556" s="4"/>
      <c r="C1556" s="4"/>
      <c r="D1556" s="4"/>
      <c r="E1556" s="4"/>
      <c r="F1556" s="4"/>
      <c r="G1556" s="4"/>
      <c r="H1556" s="4"/>
      <c r="I1556" s="4"/>
      <c r="J1556" s="4"/>
      <c r="K1556" s="4"/>
    </row>
    <row r="1557" spans="1:11" ht="13">
      <c r="A1557" s="164"/>
      <c r="B1557" s="4"/>
      <c r="C1557" s="4"/>
      <c r="D1557" s="4"/>
      <c r="E1557" s="4"/>
      <c r="F1557" s="4"/>
      <c r="G1557" s="4"/>
      <c r="H1557" s="4"/>
      <c r="I1557" s="4"/>
      <c r="J1557" s="4"/>
      <c r="K1557" s="4"/>
    </row>
    <row r="1558" spans="1:11" ht="13">
      <c r="A1558" s="164"/>
      <c r="B1558" s="4"/>
      <c r="C1558" s="4"/>
      <c r="D1558" s="4"/>
      <c r="E1558" s="4"/>
      <c r="F1558" s="4"/>
      <c r="G1558" s="4"/>
      <c r="H1558" s="4"/>
      <c r="I1558" s="4"/>
      <c r="J1558" s="4"/>
      <c r="K1558" s="4"/>
    </row>
    <row r="1559" spans="1:11" ht="13">
      <c r="A1559" s="164"/>
      <c r="B1559" s="4"/>
      <c r="C1559" s="4"/>
      <c r="D1559" s="4"/>
      <c r="E1559" s="4"/>
      <c r="F1559" s="4"/>
      <c r="G1559" s="4"/>
      <c r="H1559" s="4"/>
      <c r="I1559" s="4"/>
      <c r="J1559" s="4"/>
      <c r="K1559" s="4"/>
    </row>
    <row r="1560" spans="1:11" ht="13">
      <c r="A1560" s="164"/>
      <c r="B1560" s="4"/>
      <c r="C1560" s="4"/>
      <c r="D1560" s="4"/>
      <c r="E1560" s="4"/>
      <c r="F1560" s="4"/>
      <c r="G1560" s="4"/>
      <c r="H1560" s="4"/>
      <c r="I1560" s="4"/>
      <c r="J1560" s="4"/>
      <c r="K1560" s="4"/>
    </row>
    <row r="1561" spans="1:11" ht="13">
      <c r="A1561" s="164"/>
      <c r="B1561" s="4"/>
      <c r="C1561" s="4"/>
      <c r="D1561" s="4"/>
      <c r="E1561" s="4"/>
      <c r="F1561" s="4"/>
      <c r="G1561" s="4"/>
      <c r="H1561" s="4"/>
      <c r="I1561" s="4"/>
      <c r="J1561" s="4"/>
      <c r="K1561" s="4"/>
    </row>
    <row r="1562" spans="1:11" ht="13">
      <c r="A1562" s="164"/>
      <c r="B1562" s="4"/>
      <c r="C1562" s="4"/>
      <c r="D1562" s="4"/>
      <c r="E1562" s="4"/>
      <c r="F1562" s="4"/>
      <c r="G1562" s="4"/>
      <c r="H1562" s="4"/>
      <c r="I1562" s="4"/>
      <c r="J1562" s="4"/>
      <c r="K1562" s="4"/>
    </row>
    <row r="1563" spans="1:11" ht="13">
      <c r="A1563" s="164"/>
      <c r="B1563" s="4"/>
      <c r="C1563" s="4"/>
      <c r="D1563" s="4"/>
      <c r="E1563" s="4"/>
      <c r="F1563" s="4"/>
      <c r="G1563" s="4"/>
      <c r="H1563" s="4"/>
      <c r="I1563" s="4"/>
      <c r="J1563" s="4"/>
      <c r="K1563" s="4"/>
    </row>
    <row r="1564" spans="1:11" ht="13">
      <c r="A1564" s="164"/>
      <c r="B1564" s="4"/>
      <c r="C1564" s="4"/>
      <c r="D1564" s="4"/>
      <c r="E1564" s="4"/>
      <c r="F1564" s="4"/>
      <c r="G1564" s="4"/>
      <c r="H1564" s="4"/>
      <c r="I1564" s="4"/>
      <c r="J1564" s="4"/>
      <c r="K1564" s="4"/>
    </row>
    <row r="1565" spans="1:11" ht="13">
      <c r="A1565" s="164"/>
      <c r="B1565" s="4"/>
      <c r="C1565" s="4"/>
      <c r="D1565" s="4"/>
      <c r="E1565" s="4"/>
      <c r="F1565" s="4"/>
      <c r="G1565" s="4"/>
      <c r="H1565" s="4"/>
      <c r="I1565" s="4"/>
      <c r="J1565" s="4"/>
      <c r="K1565" s="4"/>
    </row>
    <row r="1566" spans="1:11" ht="13">
      <c r="A1566" s="164"/>
      <c r="B1566" s="4"/>
      <c r="C1566" s="4"/>
      <c r="D1566" s="4"/>
      <c r="E1566" s="4"/>
      <c r="F1566" s="4"/>
      <c r="G1566" s="4"/>
      <c r="H1566" s="4"/>
      <c r="I1566" s="4"/>
      <c r="J1566" s="4"/>
      <c r="K1566" s="4"/>
    </row>
    <row r="1567" spans="1:11" ht="13">
      <c r="A1567" s="164"/>
      <c r="B1567" s="4"/>
      <c r="C1567" s="4"/>
      <c r="D1567" s="4"/>
      <c r="E1567" s="4"/>
      <c r="F1567" s="4"/>
      <c r="G1567" s="4"/>
      <c r="H1567" s="4"/>
      <c r="I1567" s="4"/>
      <c r="J1567" s="4"/>
      <c r="K1567" s="4"/>
    </row>
    <row r="1568" spans="1:11" ht="13">
      <c r="A1568" s="164"/>
      <c r="B1568" s="4"/>
      <c r="C1568" s="4"/>
      <c r="D1568" s="4"/>
      <c r="E1568" s="4"/>
      <c r="F1568" s="4"/>
      <c r="G1568" s="4"/>
      <c r="H1568" s="4"/>
      <c r="I1568" s="4"/>
      <c r="J1568" s="4"/>
      <c r="K1568" s="4"/>
    </row>
    <row r="1569" spans="1:11" ht="13">
      <c r="A1569" s="164"/>
      <c r="B1569" s="4"/>
      <c r="C1569" s="4"/>
      <c r="D1569" s="4"/>
      <c r="E1569" s="4"/>
      <c r="F1569" s="4"/>
      <c r="G1569" s="4"/>
      <c r="H1569" s="4"/>
      <c r="I1569" s="4"/>
      <c r="J1569" s="4"/>
      <c r="K1569" s="4"/>
    </row>
    <row r="1570" spans="1:11" ht="13">
      <c r="A1570" s="164"/>
      <c r="B1570" s="4"/>
      <c r="C1570" s="4"/>
      <c r="D1570" s="4"/>
      <c r="E1570" s="4"/>
      <c r="F1570" s="4"/>
      <c r="G1570" s="4"/>
      <c r="H1570" s="4"/>
      <c r="I1570" s="4"/>
      <c r="J1570" s="4"/>
      <c r="K1570" s="4"/>
    </row>
    <row r="1571" spans="1:11" ht="13">
      <c r="A1571" s="164"/>
      <c r="B1571" s="4"/>
      <c r="C1571" s="4"/>
      <c r="D1571" s="4"/>
      <c r="E1571" s="4"/>
      <c r="F1571" s="4"/>
      <c r="G1571" s="4"/>
      <c r="H1571" s="4"/>
      <c r="I1571" s="4"/>
      <c r="J1571" s="4"/>
      <c r="K1571" s="4"/>
    </row>
    <row r="1572" spans="1:11" ht="13">
      <c r="A1572" s="164"/>
      <c r="B1572" s="4"/>
      <c r="C1572" s="4"/>
      <c r="D1572" s="4"/>
      <c r="E1572" s="4"/>
      <c r="F1572" s="4"/>
      <c r="G1572" s="4"/>
      <c r="H1572" s="4"/>
      <c r="I1572" s="4"/>
      <c r="J1572" s="4"/>
      <c r="K1572" s="4"/>
    </row>
    <row r="1573" spans="1:11" ht="13">
      <c r="A1573" s="164"/>
      <c r="B1573" s="4"/>
      <c r="C1573" s="4"/>
      <c r="D1573" s="4"/>
      <c r="E1573" s="4"/>
      <c r="F1573" s="4"/>
      <c r="G1573" s="4"/>
      <c r="H1573" s="4"/>
      <c r="I1573" s="4"/>
      <c r="J1573" s="4"/>
      <c r="K1573" s="4"/>
    </row>
    <row r="1574" spans="1:11" ht="13">
      <c r="A1574" s="164"/>
      <c r="B1574" s="4"/>
      <c r="C1574" s="4"/>
      <c r="D1574" s="4"/>
      <c r="E1574" s="4"/>
      <c r="F1574" s="4"/>
      <c r="G1574" s="4"/>
      <c r="H1574" s="4"/>
      <c r="I1574" s="4"/>
      <c r="J1574" s="4"/>
      <c r="K1574" s="4"/>
    </row>
    <row r="1575" spans="1:11" ht="13">
      <c r="A1575" s="164"/>
      <c r="B1575" s="4"/>
      <c r="C1575" s="4"/>
      <c r="D1575" s="4"/>
      <c r="E1575" s="4"/>
      <c r="F1575" s="4"/>
      <c r="G1575" s="4"/>
      <c r="H1575" s="4"/>
      <c r="I1575" s="4"/>
      <c r="J1575" s="4"/>
      <c r="K1575" s="4"/>
    </row>
    <row r="1576" spans="1:11" ht="13">
      <c r="A1576" s="164"/>
      <c r="B1576" s="4"/>
      <c r="C1576" s="4"/>
      <c r="D1576" s="4"/>
      <c r="E1576" s="4"/>
      <c r="F1576" s="4"/>
      <c r="G1576" s="4"/>
      <c r="H1576" s="4"/>
      <c r="I1576" s="4"/>
      <c r="J1576" s="4"/>
      <c r="K1576" s="4"/>
    </row>
    <row r="1577" spans="1:11" ht="13">
      <c r="A1577" s="164"/>
      <c r="B1577" s="4"/>
      <c r="C1577" s="4"/>
      <c r="D1577" s="4"/>
      <c r="E1577" s="4"/>
      <c r="F1577" s="4"/>
      <c r="G1577" s="4"/>
      <c r="H1577" s="4"/>
      <c r="I1577" s="4"/>
      <c r="J1577" s="4"/>
      <c r="K1577" s="4"/>
    </row>
    <row r="1578" spans="1:11" ht="13">
      <c r="A1578" s="164"/>
      <c r="B1578" s="4"/>
      <c r="C1578" s="4"/>
      <c r="D1578" s="4"/>
      <c r="E1578" s="4"/>
      <c r="F1578" s="4"/>
      <c r="G1578" s="4"/>
      <c r="H1578" s="4"/>
      <c r="I1578" s="4"/>
      <c r="J1578" s="4"/>
      <c r="K1578" s="4"/>
    </row>
    <row r="1579" spans="1:11" ht="13">
      <c r="A1579" s="164"/>
      <c r="B1579" s="4"/>
      <c r="C1579" s="4"/>
      <c r="D1579" s="4"/>
      <c r="E1579" s="4"/>
      <c r="F1579" s="4"/>
      <c r="G1579" s="4"/>
      <c r="H1579" s="4"/>
      <c r="I1579" s="4"/>
      <c r="J1579" s="4"/>
      <c r="K1579" s="4"/>
    </row>
    <row r="1580" spans="1:11" ht="13">
      <c r="A1580" s="164"/>
      <c r="B1580" s="4"/>
      <c r="C1580" s="4"/>
      <c r="D1580" s="4"/>
      <c r="E1580" s="4"/>
      <c r="F1580" s="4"/>
      <c r="G1580" s="4"/>
      <c r="H1580" s="4"/>
      <c r="I1580" s="4"/>
      <c r="J1580" s="4"/>
      <c r="K1580" s="4"/>
    </row>
    <row r="1581" spans="1:11" ht="13">
      <c r="A1581" s="164"/>
      <c r="B1581" s="4"/>
      <c r="C1581" s="4"/>
      <c r="D1581" s="4"/>
      <c r="E1581" s="4"/>
      <c r="F1581" s="4"/>
      <c r="G1581" s="4"/>
      <c r="H1581" s="4"/>
      <c r="I1581" s="4"/>
      <c r="J1581" s="4"/>
      <c r="K1581" s="4"/>
    </row>
    <row r="1582" spans="1:11" ht="13">
      <c r="A1582" s="164"/>
      <c r="B1582" s="4"/>
      <c r="C1582" s="4"/>
      <c r="D1582" s="4"/>
      <c r="E1582" s="4"/>
      <c r="F1582" s="4"/>
      <c r="G1582" s="4"/>
      <c r="H1582" s="4"/>
      <c r="I1582" s="4"/>
      <c r="J1582" s="4"/>
      <c r="K1582" s="4"/>
    </row>
    <row r="1583" spans="1:11" ht="13">
      <c r="A1583" s="164"/>
      <c r="B1583" s="4"/>
      <c r="C1583" s="4"/>
      <c r="D1583" s="4"/>
      <c r="E1583" s="4"/>
      <c r="F1583" s="4"/>
      <c r="G1583" s="4"/>
      <c r="H1583" s="4"/>
      <c r="I1583" s="4"/>
      <c r="J1583" s="4"/>
      <c r="K1583" s="4"/>
    </row>
    <row r="1584" spans="1:11" ht="13">
      <c r="A1584" s="164"/>
      <c r="B1584" s="4"/>
      <c r="C1584" s="4"/>
      <c r="D1584" s="4"/>
      <c r="E1584" s="4"/>
      <c r="F1584" s="4"/>
      <c r="G1584" s="4"/>
      <c r="H1584" s="4"/>
      <c r="I1584" s="4"/>
      <c r="J1584" s="4"/>
      <c r="K1584" s="4"/>
    </row>
    <row r="1585" spans="1:11" ht="13">
      <c r="A1585" s="164"/>
      <c r="B1585" s="4"/>
      <c r="C1585" s="4"/>
      <c r="D1585" s="4"/>
      <c r="E1585" s="4"/>
      <c r="F1585" s="4"/>
      <c r="G1585" s="4"/>
      <c r="H1585" s="4"/>
      <c r="I1585" s="4"/>
      <c r="J1585" s="4"/>
      <c r="K1585" s="4"/>
    </row>
    <row r="1586" spans="1:11" ht="13">
      <c r="A1586" s="164"/>
      <c r="B1586" s="4"/>
      <c r="C1586" s="4"/>
      <c r="D1586" s="4"/>
      <c r="E1586" s="4"/>
      <c r="F1586" s="4"/>
      <c r="G1586" s="4"/>
      <c r="H1586" s="4"/>
      <c r="I1586" s="4"/>
      <c r="J1586" s="4"/>
      <c r="K1586" s="4"/>
    </row>
    <row r="1587" spans="1:11" ht="13">
      <c r="A1587" s="164"/>
      <c r="B1587" s="4"/>
      <c r="C1587" s="4"/>
      <c r="D1587" s="4"/>
      <c r="E1587" s="4"/>
      <c r="F1587" s="4"/>
      <c r="G1587" s="4"/>
      <c r="H1587" s="4"/>
      <c r="I1587" s="4"/>
      <c r="J1587" s="4"/>
      <c r="K1587" s="4"/>
    </row>
    <row r="1588" spans="1:11" ht="13">
      <c r="A1588" s="164"/>
      <c r="B1588" s="4"/>
      <c r="C1588" s="4"/>
      <c r="D1588" s="4"/>
      <c r="E1588" s="4"/>
      <c r="F1588" s="4"/>
      <c r="G1588" s="4"/>
      <c r="H1588" s="4"/>
      <c r="I1588" s="4"/>
      <c r="J1588" s="4"/>
      <c r="K1588" s="4"/>
    </row>
    <row r="1589" spans="1:11" ht="13">
      <c r="A1589" s="164"/>
      <c r="B1589" s="4"/>
      <c r="C1589" s="4"/>
      <c r="D1589" s="4"/>
      <c r="E1589" s="4"/>
      <c r="F1589" s="4"/>
      <c r="G1589" s="4"/>
      <c r="H1589" s="4"/>
      <c r="I1589" s="4"/>
      <c r="J1589" s="4"/>
      <c r="K1589" s="4"/>
    </row>
    <row r="1590" spans="1:11" ht="13">
      <c r="A1590" s="164"/>
      <c r="B1590" s="4"/>
      <c r="C1590" s="4"/>
      <c r="D1590" s="4"/>
      <c r="E1590" s="4"/>
      <c r="F1590" s="4"/>
      <c r="G1590" s="4"/>
      <c r="H1590" s="4"/>
      <c r="I1590" s="4"/>
      <c r="J1590" s="4"/>
      <c r="K1590" s="4"/>
    </row>
    <row r="1591" spans="1:11" ht="13">
      <c r="A1591" s="164"/>
      <c r="B1591" s="4"/>
      <c r="C1591" s="4"/>
      <c r="D1591" s="4"/>
      <c r="E1591" s="4"/>
      <c r="F1591" s="4"/>
      <c r="G1591" s="4"/>
      <c r="H1591" s="4"/>
      <c r="I1591" s="4"/>
      <c r="J1591" s="4"/>
      <c r="K1591" s="4"/>
    </row>
    <row r="1592" spans="1:11" ht="13">
      <c r="A1592" s="164"/>
      <c r="B1592" s="4"/>
      <c r="C1592" s="4"/>
      <c r="D1592" s="4"/>
      <c r="E1592" s="4"/>
      <c r="F1592" s="4"/>
      <c r="G1592" s="4"/>
      <c r="H1592" s="4"/>
      <c r="I1592" s="4"/>
      <c r="J1592" s="4"/>
      <c r="K1592" s="4"/>
    </row>
    <row r="1593" spans="1:11" ht="13">
      <c r="A1593" s="164"/>
      <c r="B1593" s="4"/>
      <c r="C1593" s="4"/>
      <c r="D1593" s="4"/>
      <c r="E1593" s="4"/>
      <c r="F1593" s="4"/>
      <c r="G1593" s="4"/>
      <c r="H1593" s="4"/>
      <c r="I1593" s="4"/>
      <c r="J1593" s="4"/>
      <c r="K1593" s="4"/>
    </row>
    <row r="1594" spans="1:11" ht="13">
      <c r="A1594" s="164"/>
      <c r="B1594" s="4"/>
      <c r="C1594" s="4"/>
      <c r="D1594" s="4"/>
      <c r="E1594" s="4"/>
      <c r="F1594" s="4"/>
      <c r="G1594" s="4"/>
      <c r="H1594" s="4"/>
      <c r="I1594" s="4"/>
      <c r="J1594" s="4"/>
      <c r="K1594" s="4"/>
    </row>
    <row r="1595" spans="1:11" ht="13">
      <c r="A1595" s="164"/>
      <c r="B1595" s="4"/>
      <c r="C1595" s="4"/>
      <c r="D1595" s="4"/>
      <c r="E1595" s="4"/>
      <c r="F1595" s="4"/>
      <c r="G1595" s="4"/>
      <c r="H1595" s="4"/>
      <c r="I1595" s="4"/>
      <c r="J1595" s="4"/>
      <c r="K1595" s="4"/>
    </row>
    <row r="1596" spans="1:11" ht="13">
      <c r="A1596" s="164"/>
      <c r="B1596" s="4"/>
      <c r="C1596" s="4"/>
      <c r="D1596" s="4"/>
      <c r="E1596" s="4"/>
      <c r="F1596" s="4"/>
      <c r="G1596" s="4"/>
      <c r="H1596" s="4"/>
      <c r="I1596" s="4"/>
      <c r="J1596" s="4"/>
      <c r="K1596" s="4"/>
    </row>
    <row r="1597" spans="1:11" ht="13">
      <c r="A1597" s="164"/>
      <c r="B1597" s="4"/>
      <c r="C1597" s="4"/>
      <c r="D1597" s="4"/>
      <c r="E1597" s="4"/>
      <c r="F1597" s="4"/>
      <c r="G1597" s="4"/>
      <c r="H1597" s="4"/>
      <c r="I1597" s="4"/>
      <c r="J1597" s="4"/>
      <c r="K1597" s="4"/>
    </row>
    <row r="1598" spans="1:11" ht="13">
      <c r="A1598" s="164"/>
      <c r="B1598" s="4"/>
      <c r="C1598" s="4"/>
      <c r="D1598" s="4"/>
      <c r="E1598" s="4"/>
      <c r="F1598" s="4"/>
      <c r="G1598" s="4"/>
      <c r="H1598" s="4"/>
      <c r="I1598" s="4"/>
      <c r="J1598" s="4"/>
      <c r="K1598" s="4"/>
    </row>
    <row r="1599" spans="1:11" ht="13">
      <c r="A1599" s="164"/>
      <c r="B1599" s="4"/>
      <c r="C1599" s="4"/>
      <c r="D1599" s="4"/>
      <c r="E1599" s="4"/>
      <c r="F1599" s="4"/>
      <c r="G1599" s="4"/>
      <c r="H1599" s="4"/>
      <c r="I1599" s="4"/>
      <c r="J1599" s="4"/>
      <c r="K1599" s="4"/>
    </row>
    <row r="1600" spans="1:11" ht="13">
      <c r="A1600" s="164"/>
      <c r="B1600" s="4"/>
      <c r="C1600" s="4"/>
      <c r="D1600" s="4"/>
      <c r="E1600" s="4"/>
      <c r="F1600" s="4"/>
      <c r="G1600" s="4"/>
      <c r="H1600" s="4"/>
      <c r="I1600" s="4"/>
      <c r="J1600" s="4"/>
      <c r="K1600" s="4"/>
    </row>
    <row r="1601" spans="1:11" ht="13">
      <c r="A1601" s="164"/>
      <c r="B1601" s="4"/>
      <c r="C1601" s="4"/>
      <c r="D1601" s="4"/>
      <c r="E1601" s="4"/>
      <c r="F1601" s="4"/>
      <c r="G1601" s="4"/>
      <c r="H1601" s="4"/>
      <c r="I1601" s="4"/>
      <c r="J1601" s="4"/>
      <c r="K1601" s="4"/>
    </row>
    <row r="1602" spans="1:11" ht="13">
      <c r="A1602" s="164"/>
      <c r="B1602" s="4"/>
      <c r="C1602" s="4"/>
      <c r="D1602" s="4"/>
      <c r="E1602" s="4"/>
      <c r="F1602" s="4"/>
      <c r="G1602" s="4"/>
      <c r="H1602" s="4"/>
      <c r="I1602" s="4"/>
      <c r="J1602" s="4"/>
      <c r="K1602" s="4"/>
    </row>
    <row r="1603" spans="1:11" ht="13">
      <c r="A1603" s="164"/>
      <c r="B1603" s="4"/>
      <c r="C1603" s="4"/>
      <c r="D1603" s="4"/>
      <c r="E1603" s="4"/>
      <c r="F1603" s="4"/>
      <c r="G1603" s="4"/>
      <c r="H1603" s="4"/>
      <c r="I1603" s="4"/>
      <c r="J1603" s="4"/>
      <c r="K1603" s="4"/>
    </row>
    <row r="1604" spans="1:11" ht="13">
      <c r="A1604" s="164"/>
      <c r="B1604" s="4"/>
      <c r="C1604" s="4"/>
      <c r="D1604" s="4"/>
      <c r="E1604" s="4"/>
      <c r="F1604" s="4"/>
      <c r="G1604" s="4"/>
      <c r="H1604" s="4"/>
      <c r="I1604" s="4"/>
      <c r="J1604" s="4"/>
      <c r="K1604" s="4"/>
    </row>
    <row r="1605" spans="1:11" ht="13">
      <c r="A1605" s="164"/>
      <c r="B1605" s="4"/>
      <c r="C1605" s="4"/>
      <c r="D1605" s="4"/>
      <c r="E1605" s="4"/>
      <c r="F1605" s="4"/>
      <c r="G1605" s="4"/>
      <c r="H1605" s="4"/>
      <c r="I1605" s="4"/>
      <c r="J1605" s="4"/>
      <c r="K1605" s="4"/>
    </row>
    <row r="1606" spans="1:11" ht="13">
      <c r="A1606" s="164"/>
      <c r="B1606" s="4"/>
      <c r="C1606" s="4"/>
      <c r="D1606" s="4"/>
      <c r="E1606" s="4"/>
      <c r="F1606" s="4"/>
      <c r="G1606" s="4"/>
      <c r="H1606" s="4"/>
      <c r="I1606" s="4"/>
      <c r="J1606" s="4"/>
      <c r="K1606" s="4"/>
    </row>
    <row r="1607" spans="1:11" ht="13">
      <c r="A1607" s="164"/>
      <c r="B1607" s="4"/>
      <c r="C1607" s="4"/>
      <c r="D1607" s="4"/>
      <c r="E1607" s="4"/>
      <c r="F1607" s="4"/>
      <c r="G1607" s="4"/>
      <c r="H1607" s="4"/>
      <c r="I1607" s="4"/>
      <c r="J1607" s="4"/>
      <c r="K1607" s="4"/>
    </row>
    <row r="1608" spans="1:11" ht="13">
      <c r="A1608" s="164"/>
      <c r="B1608" s="4"/>
      <c r="C1608" s="4"/>
      <c r="D1608" s="4"/>
      <c r="E1608" s="4"/>
      <c r="F1608" s="4"/>
      <c r="G1608" s="4"/>
      <c r="H1608" s="4"/>
      <c r="I1608" s="4"/>
      <c r="J1608" s="4"/>
      <c r="K1608" s="4"/>
    </row>
    <row r="1609" spans="1:11" ht="13">
      <c r="A1609" s="164"/>
      <c r="B1609" s="4"/>
      <c r="C1609" s="4"/>
      <c r="D1609" s="4"/>
      <c r="E1609" s="4"/>
      <c r="F1609" s="4"/>
      <c r="G1609" s="4"/>
      <c r="H1609" s="4"/>
      <c r="I1609" s="4"/>
      <c r="J1609" s="4"/>
      <c r="K1609" s="4"/>
    </row>
    <row r="1610" spans="1:11" ht="13">
      <c r="A1610" s="164"/>
      <c r="B1610" s="4"/>
      <c r="C1610" s="4"/>
      <c r="D1610" s="4"/>
      <c r="E1610" s="4"/>
      <c r="F1610" s="4"/>
      <c r="G1610" s="4"/>
      <c r="H1610" s="4"/>
      <c r="I1610" s="4"/>
      <c r="J1610" s="4"/>
      <c r="K1610" s="4"/>
    </row>
    <row r="1611" spans="1:11" ht="13">
      <c r="A1611" s="164"/>
      <c r="B1611" s="4"/>
      <c r="C1611" s="4"/>
      <c r="D1611" s="4"/>
      <c r="E1611" s="4"/>
      <c r="F1611" s="4"/>
      <c r="G1611" s="4"/>
      <c r="H1611" s="4"/>
      <c r="I1611" s="4"/>
      <c r="J1611" s="4"/>
      <c r="K1611" s="4"/>
    </row>
    <row r="1612" spans="1:11" ht="13">
      <c r="A1612" s="164"/>
      <c r="B1612" s="4"/>
      <c r="C1612" s="4"/>
      <c r="D1612" s="4"/>
      <c r="E1612" s="4"/>
      <c r="F1612" s="4"/>
      <c r="G1612" s="4"/>
      <c r="H1612" s="4"/>
      <c r="I1612" s="4"/>
      <c r="J1612" s="4"/>
      <c r="K1612" s="4"/>
    </row>
    <row r="1613" spans="1:11" ht="13">
      <c r="A1613" s="164"/>
      <c r="B1613" s="4"/>
      <c r="C1613" s="4"/>
      <c r="D1613" s="4"/>
      <c r="E1613" s="4"/>
      <c r="F1613" s="4"/>
      <c r="G1613" s="4"/>
      <c r="H1613" s="4"/>
      <c r="I1613" s="4"/>
      <c r="J1613" s="4"/>
      <c r="K1613" s="4"/>
    </row>
    <row r="1614" spans="1:11" ht="13">
      <c r="A1614" s="164"/>
      <c r="B1614" s="4"/>
      <c r="C1614" s="4"/>
      <c r="D1614" s="4"/>
      <c r="E1614" s="4"/>
      <c r="F1614" s="4"/>
      <c r="G1614" s="4"/>
      <c r="H1614" s="4"/>
      <c r="I1614" s="4"/>
      <c r="J1614" s="4"/>
      <c r="K1614" s="4"/>
    </row>
    <row r="1615" spans="1:11" ht="13">
      <c r="A1615" s="164"/>
      <c r="B1615" s="4"/>
      <c r="C1615" s="4"/>
      <c r="D1615" s="4"/>
      <c r="E1615" s="4"/>
      <c r="F1615" s="4"/>
      <c r="G1615" s="4"/>
      <c r="H1615" s="4"/>
      <c r="I1615" s="4"/>
      <c r="J1615" s="4"/>
      <c r="K1615" s="4"/>
    </row>
    <row r="1616" spans="1:11" ht="13">
      <c r="A1616" s="164"/>
      <c r="B1616" s="4"/>
      <c r="C1616" s="4"/>
      <c r="D1616" s="4"/>
      <c r="E1616" s="4"/>
      <c r="F1616" s="4"/>
      <c r="G1616" s="4"/>
      <c r="H1616" s="4"/>
      <c r="I1616" s="4"/>
      <c r="J1616" s="4"/>
      <c r="K1616" s="4"/>
    </row>
    <row r="1617" spans="1:11" ht="13">
      <c r="A1617" s="164"/>
      <c r="B1617" s="4"/>
      <c r="C1617" s="4"/>
      <c r="D1617" s="4"/>
      <c r="E1617" s="4"/>
      <c r="F1617" s="4"/>
      <c r="G1617" s="4"/>
      <c r="H1617" s="4"/>
      <c r="I1617" s="4"/>
      <c r="J1617" s="4"/>
      <c r="K1617" s="4"/>
    </row>
    <row r="1618" spans="1:11" ht="13">
      <c r="A1618" s="164"/>
      <c r="B1618" s="4"/>
      <c r="C1618" s="4"/>
      <c r="D1618" s="4"/>
      <c r="E1618" s="4"/>
      <c r="F1618" s="4"/>
      <c r="G1618" s="4"/>
      <c r="H1618" s="4"/>
      <c r="I1618" s="4"/>
      <c r="J1618" s="4"/>
      <c r="K1618" s="4"/>
    </row>
    <row r="1619" spans="1:11" ht="13">
      <c r="A1619" s="164"/>
      <c r="B1619" s="4"/>
      <c r="C1619" s="4"/>
      <c r="D1619" s="4"/>
      <c r="E1619" s="4"/>
      <c r="F1619" s="4"/>
      <c r="G1619" s="4"/>
      <c r="H1619" s="4"/>
      <c r="I1619" s="4"/>
      <c r="J1619" s="4"/>
      <c r="K1619" s="4"/>
    </row>
    <row r="1620" spans="1:11" ht="13">
      <c r="A1620" s="164"/>
      <c r="B1620" s="4"/>
      <c r="C1620" s="4"/>
      <c r="D1620" s="4"/>
      <c r="E1620" s="4"/>
      <c r="F1620" s="4"/>
      <c r="G1620" s="4"/>
      <c r="H1620" s="4"/>
      <c r="I1620" s="4"/>
      <c r="J1620" s="4"/>
      <c r="K1620" s="4"/>
    </row>
    <row r="1621" spans="1:11" ht="13">
      <c r="A1621" s="164"/>
      <c r="B1621" s="4"/>
      <c r="C1621" s="4"/>
      <c r="D1621" s="4"/>
      <c r="E1621" s="4"/>
      <c r="F1621" s="4"/>
      <c r="G1621" s="4"/>
      <c r="H1621" s="4"/>
      <c r="I1621" s="4"/>
      <c r="J1621" s="4"/>
      <c r="K1621" s="4"/>
    </row>
    <row r="1622" spans="1:11" ht="13">
      <c r="A1622" s="164"/>
      <c r="B1622" s="4"/>
      <c r="C1622" s="4"/>
      <c r="D1622" s="4"/>
      <c r="E1622" s="4"/>
      <c r="F1622" s="4"/>
      <c r="G1622" s="4"/>
      <c r="H1622" s="4"/>
      <c r="I1622" s="4"/>
      <c r="J1622" s="4"/>
      <c r="K1622" s="4"/>
    </row>
    <row r="1623" spans="1:11" ht="13">
      <c r="A1623" s="164"/>
      <c r="B1623" s="4"/>
      <c r="C1623" s="4"/>
      <c r="D1623" s="4"/>
      <c r="E1623" s="4"/>
      <c r="F1623" s="4"/>
      <c r="G1623" s="4"/>
      <c r="H1623" s="4"/>
      <c r="I1623" s="4"/>
      <c r="J1623" s="4"/>
      <c r="K1623" s="4"/>
    </row>
    <row r="1624" spans="1:11" ht="13">
      <c r="A1624" s="164"/>
      <c r="B1624" s="4"/>
      <c r="C1624" s="4"/>
      <c r="D1624" s="4"/>
      <c r="E1624" s="4"/>
      <c r="F1624" s="4"/>
      <c r="G1624" s="4"/>
      <c r="H1624" s="4"/>
      <c r="I1624" s="4"/>
      <c r="J1624" s="4"/>
      <c r="K1624" s="4"/>
    </row>
    <row r="1625" spans="1:11" ht="13">
      <c r="A1625" s="164"/>
      <c r="B1625" s="4"/>
      <c r="C1625" s="4"/>
      <c r="D1625" s="4"/>
      <c r="E1625" s="4"/>
      <c r="F1625" s="4"/>
      <c r="G1625" s="4"/>
      <c r="H1625" s="4"/>
      <c r="I1625" s="4"/>
      <c r="J1625" s="4"/>
      <c r="K1625" s="4"/>
    </row>
    <row r="1626" spans="1:11" ht="13">
      <c r="A1626" s="164"/>
      <c r="B1626" s="4"/>
      <c r="C1626" s="4"/>
      <c r="D1626" s="4"/>
      <c r="E1626" s="4"/>
      <c r="F1626" s="4"/>
      <c r="G1626" s="4"/>
      <c r="H1626" s="4"/>
      <c r="I1626" s="4"/>
      <c r="J1626" s="4"/>
      <c r="K1626" s="4"/>
    </row>
    <row r="1627" spans="1:11" ht="13">
      <c r="A1627" s="164"/>
      <c r="B1627" s="4"/>
      <c r="C1627" s="4"/>
      <c r="D1627" s="4"/>
      <c r="E1627" s="4"/>
      <c r="F1627" s="4"/>
      <c r="G1627" s="4"/>
      <c r="H1627" s="4"/>
      <c r="I1627" s="4"/>
      <c r="J1627" s="4"/>
      <c r="K1627" s="4"/>
    </row>
    <row r="1628" spans="1:11" ht="13">
      <c r="A1628" s="164"/>
      <c r="B1628" s="4"/>
      <c r="C1628" s="4"/>
      <c r="D1628" s="4"/>
      <c r="E1628" s="4"/>
      <c r="F1628" s="4"/>
      <c r="G1628" s="4"/>
      <c r="H1628" s="4"/>
      <c r="I1628" s="4"/>
      <c r="J1628" s="4"/>
      <c r="K1628" s="4"/>
    </row>
    <row r="1629" spans="1:11" ht="13">
      <c r="A1629" s="164"/>
      <c r="B1629" s="4"/>
      <c r="C1629" s="4"/>
      <c r="D1629" s="4"/>
      <c r="E1629" s="4"/>
      <c r="F1629" s="4"/>
      <c r="G1629" s="4"/>
      <c r="H1629" s="4"/>
      <c r="I1629" s="4"/>
      <c r="J1629" s="4"/>
      <c r="K1629" s="4"/>
    </row>
    <row r="1630" spans="1:11" ht="13">
      <c r="A1630" s="164"/>
      <c r="B1630" s="4"/>
      <c r="C1630" s="4"/>
      <c r="D1630" s="4"/>
      <c r="E1630" s="4"/>
      <c r="F1630" s="4"/>
      <c r="G1630" s="4"/>
      <c r="H1630" s="4"/>
      <c r="I1630" s="4"/>
      <c r="J1630" s="4"/>
      <c r="K1630" s="4"/>
    </row>
    <row r="1631" spans="1:11" ht="13">
      <c r="A1631" s="164"/>
      <c r="B1631" s="4"/>
      <c r="C1631" s="4"/>
      <c r="D1631" s="4"/>
      <c r="E1631" s="4"/>
      <c r="F1631" s="4"/>
      <c r="G1631" s="4"/>
      <c r="H1631" s="4"/>
      <c r="I1631" s="4"/>
      <c r="J1631" s="4"/>
      <c r="K1631" s="4"/>
    </row>
    <row r="1632" spans="1:11" ht="13">
      <c r="A1632" s="164"/>
      <c r="B1632" s="4"/>
      <c r="C1632" s="4"/>
      <c r="D1632" s="4"/>
      <c r="E1632" s="4"/>
      <c r="F1632" s="4"/>
      <c r="G1632" s="4"/>
      <c r="H1632" s="4"/>
      <c r="I1632" s="4"/>
      <c r="J1632" s="4"/>
      <c r="K1632" s="4"/>
    </row>
    <row r="1633" spans="1:11" ht="13">
      <c r="A1633" s="164"/>
      <c r="B1633" s="4"/>
      <c r="C1633" s="4"/>
      <c r="D1633" s="4"/>
      <c r="E1633" s="4"/>
      <c r="F1633" s="4"/>
      <c r="G1633" s="4"/>
      <c r="H1633" s="4"/>
      <c r="I1633" s="4"/>
      <c r="J1633" s="4"/>
      <c r="K1633" s="4"/>
    </row>
    <row r="1634" spans="1:11" ht="13">
      <c r="A1634" s="164"/>
      <c r="B1634" s="4"/>
      <c r="C1634" s="4"/>
      <c r="D1634" s="4"/>
      <c r="E1634" s="4"/>
      <c r="F1634" s="4"/>
      <c r="G1634" s="4"/>
      <c r="H1634" s="4"/>
      <c r="I1634" s="4"/>
      <c r="J1634" s="4"/>
      <c r="K1634" s="4"/>
    </row>
    <row r="1635" spans="1:11" ht="13">
      <c r="A1635" s="164"/>
      <c r="B1635" s="4"/>
      <c r="C1635" s="4"/>
      <c r="D1635" s="4"/>
      <c r="E1635" s="4"/>
      <c r="F1635" s="4"/>
      <c r="G1635" s="4"/>
      <c r="H1635" s="4"/>
      <c r="I1635" s="4"/>
      <c r="J1635" s="4"/>
      <c r="K1635" s="4"/>
    </row>
    <row r="1636" spans="1:11" ht="13">
      <c r="A1636" s="164"/>
      <c r="B1636" s="4"/>
      <c r="C1636" s="4"/>
      <c r="D1636" s="4"/>
      <c r="E1636" s="4"/>
      <c r="F1636" s="4"/>
      <c r="G1636" s="4"/>
      <c r="H1636" s="4"/>
      <c r="I1636" s="4"/>
      <c r="J1636" s="4"/>
      <c r="K1636" s="4"/>
    </row>
    <row r="1637" spans="1:11" ht="13">
      <c r="A1637" s="164"/>
      <c r="B1637" s="4"/>
      <c r="C1637" s="4"/>
      <c r="D1637" s="4"/>
      <c r="E1637" s="4"/>
      <c r="F1637" s="4"/>
      <c r="G1637" s="4"/>
      <c r="H1637" s="4"/>
      <c r="I1637" s="4"/>
      <c r="J1637" s="4"/>
      <c r="K1637" s="4"/>
    </row>
    <row r="1638" spans="1:11" ht="13">
      <c r="A1638" s="164"/>
      <c r="B1638" s="4"/>
      <c r="C1638" s="4"/>
      <c r="D1638" s="4"/>
      <c r="E1638" s="4"/>
      <c r="F1638" s="4"/>
      <c r="G1638" s="4"/>
      <c r="H1638" s="4"/>
      <c r="I1638" s="4"/>
      <c r="J1638" s="4"/>
      <c r="K1638" s="4"/>
    </row>
    <row r="1639" spans="1:11" ht="13">
      <c r="A1639" s="164"/>
      <c r="B1639" s="4"/>
      <c r="C1639" s="4"/>
      <c r="D1639" s="4"/>
      <c r="E1639" s="4"/>
      <c r="F1639" s="4"/>
      <c r="G1639" s="4"/>
      <c r="H1639" s="4"/>
      <c r="I1639" s="4"/>
      <c r="J1639" s="4"/>
      <c r="K1639" s="4"/>
    </row>
    <row r="1640" spans="1:11" ht="13">
      <c r="A1640" s="164"/>
      <c r="B1640" s="4"/>
      <c r="C1640" s="4"/>
      <c r="D1640" s="4"/>
      <c r="E1640" s="4"/>
      <c r="F1640" s="4"/>
      <c r="G1640" s="4"/>
      <c r="H1640" s="4"/>
      <c r="I1640" s="4"/>
      <c r="J1640" s="4"/>
      <c r="K1640" s="4"/>
    </row>
    <row r="1641" spans="1:11" ht="13">
      <c r="A1641" s="164"/>
      <c r="B1641" s="4"/>
      <c r="C1641" s="4"/>
      <c r="D1641" s="4"/>
      <c r="E1641" s="4"/>
      <c r="F1641" s="4"/>
      <c r="G1641" s="4"/>
      <c r="H1641" s="4"/>
      <c r="I1641" s="4"/>
      <c r="J1641" s="4"/>
      <c r="K1641" s="4"/>
    </row>
    <row r="1642" spans="1:11" ht="13">
      <c r="A1642" s="164"/>
      <c r="B1642" s="4"/>
      <c r="C1642" s="4"/>
      <c r="D1642" s="4"/>
      <c r="E1642" s="4"/>
      <c r="F1642" s="4"/>
      <c r="G1642" s="4"/>
      <c r="H1642" s="4"/>
      <c r="I1642" s="4"/>
      <c r="J1642" s="4"/>
      <c r="K1642" s="4"/>
    </row>
    <row r="1643" spans="1:11" ht="13">
      <c r="A1643" s="164"/>
      <c r="B1643" s="4"/>
      <c r="C1643" s="4"/>
      <c r="D1643" s="4"/>
      <c r="E1643" s="4"/>
      <c r="F1643" s="4"/>
      <c r="G1643" s="4"/>
      <c r="H1643" s="4"/>
      <c r="I1643" s="4"/>
      <c r="J1643" s="4"/>
      <c r="K1643" s="4"/>
    </row>
    <row r="1644" spans="1:11" ht="13">
      <c r="A1644" s="164"/>
      <c r="B1644" s="4"/>
      <c r="C1644" s="4"/>
      <c r="D1644" s="4"/>
      <c r="E1644" s="4"/>
      <c r="F1644" s="4"/>
      <c r="G1644" s="4"/>
      <c r="H1644" s="4"/>
      <c r="I1644" s="4"/>
      <c r="J1644" s="4"/>
      <c r="K1644" s="4"/>
    </row>
    <row r="1645" spans="1:11" ht="13">
      <c r="A1645" s="164"/>
      <c r="B1645" s="4"/>
      <c r="C1645" s="4"/>
      <c r="D1645" s="4"/>
      <c r="E1645" s="4"/>
      <c r="F1645" s="4"/>
      <c r="G1645" s="4"/>
      <c r="H1645" s="4"/>
      <c r="I1645" s="4"/>
      <c r="J1645" s="4"/>
      <c r="K1645" s="4"/>
    </row>
    <row r="1646" spans="1:11" ht="13">
      <c r="A1646" s="164"/>
      <c r="B1646" s="4"/>
      <c r="C1646" s="4"/>
      <c r="D1646" s="4"/>
      <c r="E1646" s="4"/>
      <c r="F1646" s="4"/>
      <c r="G1646" s="4"/>
      <c r="H1646" s="4"/>
      <c r="I1646" s="4"/>
      <c r="J1646" s="4"/>
      <c r="K1646" s="4"/>
    </row>
    <row r="1647" spans="1:11" ht="13">
      <c r="A1647" s="164"/>
      <c r="B1647" s="4"/>
      <c r="C1647" s="4"/>
      <c r="D1647" s="4"/>
      <c r="E1647" s="4"/>
      <c r="F1647" s="4"/>
      <c r="G1647" s="4"/>
      <c r="H1647" s="4"/>
      <c r="I1647" s="4"/>
      <c r="J1647" s="4"/>
      <c r="K1647" s="4"/>
    </row>
    <row r="1648" spans="1:11" ht="13">
      <c r="A1648" s="164"/>
      <c r="B1648" s="4"/>
      <c r="C1648" s="4"/>
      <c r="D1648" s="4"/>
      <c r="E1648" s="4"/>
      <c r="F1648" s="4"/>
      <c r="G1648" s="4"/>
      <c r="H1648" s="4"/>
      <c r="I1648" s="4"/>
      <c r="J1648" s="4"/>
      <c r="K1648" s="4"/>
    </row>
    <row r="1649" spans="1:11" ht="13">
      <c r="A1649" s="164"/>
      <c r="B1649" s="4"/>
      <c r="C1649" s="4"/>
      <c r="D1649" s="4"/>
      <c r="E1649" s="4"/>
      <c r="F1649" s="4"/>
      <c r="G1649" s="4"/>
      <c r="H1649" s="4"/>
      <c r="I1649" s="4"/>
      <c r="J1649" s="4"/>
      <c r="K1649" s="4"/>
    </row>
    <row r="1650" spans="1:11" ht="13">
      <c r="A1650" s="164"/>
      <c r="B1650" s="4"/>
      <c r="C1650" s="4"/>
      <c r="D1650" s="4"/>
      <c r="E1650" s="4"/>
      <c r="F1650" s="4"/>
      <c r="G1650" s="4"/>
      <c r="H1650" s="4"/>
      <c r="I1650" s="4"/>
      <c r="J1650" s="4"/>
      <c r="K1650" s="4"/>
    </row>
    <row r="1651" spans="1:11" ht="13">
      <c r="A1651" s="164"/>
      <c r="B1651" s="4"/>
      <c r="C1651" s="4"/>
      <c r="D1651" s="4"/>
      <c r="E1651" s="4"/>
      <c r="F1651" s="4"/>
      <c r="G1651" s="4"/>
      <c r="H1651" s="4"/>
      <c r="I1651" s="4"/>
      <c r="J1651" s="4"/>
      <c r="K1651" s="4"/>
    </row>
    <row r="1652" spans="1:11" ht="13">
      <c r="A1652" s="164"/>
      <c r="B1652" s="4"/>
      <c r="C1652" s="4"/>
      <c r="D1652" s="4"/>
      <c r="E1652" s="4"/>
      <c r="F1652" s="4"/>
      <c r="G1652" s="4"/>
      <c r="H1652" s="4"/>
      <c r="I1652" s="4"/>
      <c r="J1652" s="4"/>
      <c r="K1652" s="4"/>
    </row>
    <row r="1653" spans="1:11" ht="13">
      <c r="A1653" s="164"/>
      <c r="B1653" s="4"/>
      <c r="C1653" s="4"/>
      <c r="D1653" s="4"/>
      <c r="E1653" s="4"/>
      <c r="F1653" s="4"/>
      <c r="G1653" s="4"/>
      <c r="H1653" s="4"/>
      <c r="I1653" s="4"/>
      <c r="J1653" s="4"/>
      <c r="K1653" s="4"/>
    </row>
    <row r="1654" spans="1:11" ht="13">
      <c r="A1654" s="164"/>
      <c r="B1654" s="4"/>
      <c r="C1654" s="4"/>
      <c r="D1654" s="4"/>
      <c r="E1654" s="4"/>
      <c r="F1654" s="4"/>
      <c r="G1654" s="4"/>
      <c r="H1654" s="4"/>
      <c r="I1654" s="4"/>
      <c r="J1654" s="4"/>
      <c r="K1654" s="4"/>
    </row>
    <row r="1655" spans="1:11" ht="13">
      <c r="A1655" s="164"/>
      <c r="B1655" s="4"/>
      <c r="C1655" s="4"/>
      <c r="D1655" s="4"/>
      <c r="E1655" s="4"/>
      <c r="F1655" s="4"/>
      <c r="G1655" s="4"/>
      <c r="H1655" s="4"/>
      <c r="I1655" s="4"/>
      <c r="J1655" s="4"/>
      <c r="K1655" s="4"/>
    </row>
    <row r="1656" spans="1:11" ht="13">
      <c r="A1656" s="164"/>
      <c r="B1656" s="4"/>
      <c r="C1656" s="4"/>
      <c r="D1656" s="4"/>
      <c r="E1656" s="4"/>
      <c r="F1656" s="4"/>
      <c r="G1656" s="4"/>
      <c r="H1656" s="4"/>
      <c r="I1656" s="4"/>
      <c r="J1656" s="4"/>
      <c r="K1656" s="4"/>
    </row>
    <row r="1657" spans="1:11" ht="13">
      <c r="A1657" s="164"/>
      <c r="B1657" s="4"/>
      <c r="C1657" s="4"/>
      <c r="D1657" s="4"/>
      <c r="E1657" s="4"/>
      <c r="F1657" s="4"/>
      <c r="G1657" s="4"/>
      <c r="H1657" s="4"/>
      <c r="I1657" s="4"/>
      <c r="J1657" s="4"/>
      <c r="K1657" s="4"/>
    </row>
    <row r="1658" spans="1:11" ht="13">
      <c r="A1658" s="164"/>
      <c r="B1658" s="4"/>
      <c r="C1658" s="4"/>
      <c r="D1658" s="4"/>
      <c r="E1658" s="4"/>
      <c r="F1658" s="4"/>
      <c r="G1658" s="4"/>
      <c r="H1658" s="4"/>
      <c r="I1658" s="4"/>
      <c r="J1658" s="4"/>
      <c r="K1658" s="4"/>
    </row>
    <row r="1659" spans="1:11" ht="13">
      <c r="A1659" s="164"/>
      <c r="B1659" s="4"/>
      <c r="C1659" s="4"/>
      <c r="D1659" s="4"/>
      <c r="E1659" s="4"/>
      <c r="F1659" s="4"/>
      <c r="G1659" s="4"/>
      <c r="H1659" s="4"/>
      <c r="I1659" s="4"/>
      <c r="J1659" s="4"/>
      <c r="K1659" s="4"/>
    </row>
    <row r="1660" spans="1:11" ht="13">
      <c r="A1660" s="164"/>
      <c r="B1660" s="4"/>
      <c r="C1660" s="4"/>
      <c r="D1660" s="4"/>
      <c r="E1660" s="4"/>
      <c r="F1660" s="4"/>
      <c r="G1660" s="4"/>
      <c r="H1660" s="4"/>
      <c r="I1660" s="4"/>
      <c r="J1660" s="4"/>
      <c r="K1660" s="4"/>
    </row>
    <row r="1661" spans="1:11" ht="13">
      <c r="A1661" s="164"/>
      <c r="B1661" s="4"/>
      <c r="C1661" s="4"/>
      <c r="D1661" s="4"/>
      <c r="E1661" s="4"/>
      <c r="F1661" s="4"/>
      <c r="G1661" s="4"/>
      <c r="H1661" s="4"/>
      <c r="I1661" s="4"/>
      <c r="J1661" s="4"/>
      <c r="K1661" s="4"/>
    </row>
    <row r="1662" spans="1:11" ht="13">
      <c r="A1662" s="164"/>
      <c r="B1662" s="4"/>
      <c r="C1662" s="4"/>
      <c r="D1662" s="4"/>
      <c r="E1662" s="4"/>
      <c r="F1662" s="4"/>
      <c r="G1662" s="4"/>
      <c r="H1662" s="4"/>
      <c r="I1662" s="4"/>
      <c r="J1662" s="4"/>
      <c r="K1662" s="4"/>
    </row>
    <row r="1663" spans="1:11" ht="13">
      <c r="A1663" s="164"/>
      <c r="B1663" s="4"/>
      <c r="C1663" s="4"/>
      <c r="D1663" s="4"/>
      <c r="E1663" s="4"/>
      <c r="F1663" s="4"/>
      <c r="G1663" s="4"/>
      <c r="H1663" s="4"/>
      <c r="I1663" s="4"/>
      <c r="J1663" s="4"/>
      <c r="K1663" s="4"/>
    </row>
    <row r="1664" spans="1:11" ht="13">
      <c r="A1664" s="164"/>
      <c r="B1664" s="4"/>
      <c r="C1664" s="4"/>
      <c r="D1664" s="4"/>
      <c r="E1664" s="4"/>
      <c r="F1664" s="4"/>
      <c r="G1664" s="4"/>
      <c r="H1664" s="4"/>
      <c r="I1664" s="4"/>
      <c r="J1664" s="4"/>
      <c r="K1664" s="4"/>
    </row>
    <row r="1665" spans="1:11" ht="13">
      <c r="A1665" s="164"/>
      <c r="B1665" s="4"/>
      <c r="C1665" s="4"/>
      <c r="D1665" s="4"/>
      <c r="E1665" s="4"/>
      <c r="F1665" s="4"/>
      <c r="G1665" s="4"/>
      <c r="H1665" s="4"/>
      <c r="I1665" s="4"/>
      <c r="J1665" s="4"/>
      <c r="K1665" s="4"/>
    </row>
    <row r="1666" spans="1:11" ht="13">
      <c r="A1666" s="164"/>
      <c r="B1666" s="4"/>
      <c r="C1666" s="4"/>
      <c r="D1666" s="4"/>
      <c r="E1666" s="4"/>
      <c r="F1666" s="4"/>
      <c r="G1666" s="4"/>
      <c r="H1666" s="4"/>
      <c r="I1666" s="4"/>
      <c r="J1666" s="4"/>
      <c r="K1666" s="4"/>
    </row>
    <row r="1667" spans="1:11" ht="13">
      <c r="A1667" s="164"/>
      <c r="B1667" s="4"/>
      <c r="C1667" s="4"/>
      <c r="D1667" s="4"/>
      <c r="E1667" s="4"/>
      <c r="F1667" s="4"/>
      <c r="G1667" s="4"/>
      <c r="H1667" s="4"/>
      <c r="I1667" s="4"/>
      <c r="J1667" s="4"/>
      <c r="K1667" s="4"/>
    </row>
    <row r="1668" spans="1:11" ht="13">
      <c r="A1668" s="164"/>
      <c r="B1668" s="4"/>
      <c r="C1668" s="4"/>
      <c r="D1668" s="4"/>
      <c r="E1668" s="4"/>
      <c r="F1668" s="4"/>
      <c r="G1668" s="4"/>
      <c r="H1668" s="4"/>
      <c r="I1668" s="4"/>
      <c r="J1668" s="4"/>
      <c r="K1668" s="4"/>
    </row>
    <row r="1669" spans="1:11" ht="13">
      <c r="A1669" s="164"/>
      <c r="B1669" s="4"/>
      <c r="C1669" s="4"/>
      <c r="D1669" s="4"/>
      <c r="E1669" s="4"/>
      <c r="F1669" s="4"/>
      <c r="G1669" s="4"/>
      <c r="H1669" s="4"/>
      <c r="I1669" s="4"/>
      <c r="J1669" s="4"/>
      <c r="K1669" s="4"/>
    </row>
    <row r="1670" spans="1:11" ht="13">
      <c r="A1670" s="164"/>
      <c r="B1670" s="4"/>
      <c r="C1670" s="4"/>
      <c r="D1670" s="4"/>
      <c r="E1670" s="4"/>
      <c r="F1670" s="4"/>
      <c r="G1670" s="4"/>
      <c r="H1670" s="4"/>
      <c r="I1670" s="4"/>
      <c r="J1670" s="4"/>
      <c r="K1670" s="4"/>
    </row>
    <row r="1671" spans="1:11" ht="13">
      <c r="A1671" s="164"/>
      <c r="B1671" s="4"/>
      <c r="C1671" s="4"/>
      <c r="D1671" s="4"/>
      <c r="E1671" s="4"/>
      <c r="F1671" s="4"/>
      <c r="G1671" s="4"/>
      <c r="H1671" s="4"/>
      <c r="I1671" s="4"/>
      <c r="J1671" s="4"/>
      <c r="K1671" s="4"/>
    </row>
    <row r="1672" spans="1:11" ht="13">
      <c r="A1672" s="164"/>
      <c r="B1672" s="4"/>
      <c r="C1672" s="4"/>
      <c r="D1672" s="4"/>
      <c r="E1672" s="4"/>
      <c r="F1672" s="4"/>
      <c r="G1672" s="4"/>
      <c r="H1672" s="4"/>
      <c r="I1672" s="4"/>
      <c r="J1672" s="4"/>
      <c r="K1672" s="4"/>
    </row>
    <row r="1673" spans="1:11" ht="13">
      <c r="A1673" s="164"/>
      <c r="B1673" s="4"/>
      <c r="C1673" s="4"/>
      <c r="D1673" s="4"/>
      <c r="E1673" s="4"/>
      <c r="F1673" s="4"/>
      <c r="G1673" s="4"/>
      <c r="H1673" s="4"/>
      <c r="I1673" s="4"/>
      <c r="J1673" s="4"/>
      <c r="K1673" s="4"/>
    </row>
    <row r="1674" spans="1:11" ht="13">
      <c r="A1674" s="164"/>
      <c r="B1674" s="4"/>
      <c r="C1674" s="4"/>
      <c r="D1674" s="4"/>
      <c r="E1674" s="4"/>
      <c r="F1674" s="4"/>
      <c r="G1674" s="4"/>
      <c r="H1674" s="4"/>
      <c r="I1674" s="4"/>
      <c r="J1674" s="4"/>
      <c r="K1674" s="4"/>
    </row>
    <row r="1675" spans="1:11" ht="13">
      <c r="A1675" s="164"/>
      <c r="B1675" s="4"/>
      <c r="C1675" s="4"/>
      <c r="D1675" s="4"/>
      <c r="E1675" s="4"/>
      <c r="F1675" s="4"/>
      <c r="G1675" s="4"/>
      <c r="H1675" s="4"/>
      <c r="I1675" s="4"/>
      <c r="J1675" s="4"/>
      <c r="K1675" s="4"/>
    </row>
    <row r="1676" spans="1:11" ht="13">
      <c r="A1676" s="164"/>
      <c r="B1676" s="4"/>
      <c r="C1676" s="4"/>
      <c r="D1676" s="4"/>
      <c r="E1676" s="4"/>
      <c r="F1676" s="4"/>
      <c r="G1676" s="4"/>
      <c r="H1676" s="4"/>
      <c r="I1676" s="4"/>
      <c r="J1676" s="4"/>
      <c r="K1676" s="4"/>
    </row>
    <row r="1677" spans="1:11" ht="13">
      <c r="A1677" s="164"/>
      <c r="B1677" s="4"/>
      <c r="C1677" s="4"/>
      <c r="D1677" s="4"/>
      <c r="E1677" s="4"/>
      <c r="F1677" s="4"/>
      <c r="G1677" s="4"/>
      <c r="H1677" s="4"/>
      <c r="I1677" s="4"/>
      <c r="J1677" s="4"/>
      <c r="K1677" s="4"/>
    </row>
    <row r="1678" spans="1:11" ht="13">
      <c r="A1678" s="164"/>
      <c r="B1678" s="4"/>
      <c r="C1678" s="4"/>
      <c r="D1678" s="4"/>
      <c r="E1678" s="4"/>
      <c r="F1678" s="4"/>
      <c r="G1678" s="4"/>
      <c r="H1678" s="4"/>
      <c r="I1678" s="4"/>
      <c r="J1678" s="4"/>
      <c r="K1678" s="4"/>
    </row>
    <row r="1679" spans="1:11" ht="13">
      <c r="A1679" s="164"/>
      <c r="B1679" s="4"/>
      <c r="C1679" s="4"/>
      <c r="D1679" s="4"/>
      <c r="E1679" s="4"/>
      <c r="F1679" s="4"/>
      <c r="G1679" s="4"/>
      <c r="H1679" s="4"/>
      <c r="I1679" s="4"/>
      <c r="J1679" s="4"/>
      <c r="K1679" s="4"/>
    </row>
    <row r="1680" spans="1:11" ht="13">
      <c r="A1680" s="164"/>
      <c r="B1680" s="4"/>
      <c r="C1680" s="4"/>
      <c r="D1680" s="4"/>
      <c r="E1680" s="4"/>
      <c r="F1680" s="4"/>
      <c r="G1680" s="4"/>
      <c r="H1680" s="4"/>
      <c r="I1680" s="4"/>
      <c r="J1680" s="4"/>
      <c r="K1680" s="4"/>
    </row>
    <row r="1681" spans="1:11" ht="13">
      <c r="A1681" s="164"/>
      <c r="B1681" s="4"/>
      <c r="C1681" s="4"/>
      <c r="D1681" s="4"/>
      <c r="E1681" s="4"/>
      <c r="F1681" s="4"/>
      <c r="G1681" s="4"/>
      <c r="H1681" s="4"/>
      <c r="I1681" s="4"/>
      <c r="J1681" s="4"/>
      <c r="K1681" s="4"/>
    </row>
    <row r="1682" spans="1:11" ht="13">
      <c r="A1682" s="164"/>
      <c r="B1682" s="4"/>
      <c r="C1682" s="4"/>
      <c r="D1682" s="4"/>
      <c r="E1682" s="4"/>
      <c r="F1682" s="4"/>
      <c r="G1682" s="4"/>
      <c r="H1682" s="4"/>
      <c r="I1682" s="4"/>
      <c r="J1682" s="4"/>
      <c r="K1682" s="4"/>
    </row>
    <row r="1683" spans="1:11" ht="13">
      <c r="A1683" s="164"/>
      <c r="B1683" s="4"/>
      <c r="C1683" s="4"/>
      <c r="D1683" s="4"/>
      <c r="E1683" s="4"/>
      <c r="F1683" s="4"/>
      <c r="G1683" s="4"/>
      <c r="H1683" s="4"/>
      <c r="I1683" s="4"/>
      <c r="J1683" s="4"/>
      <c r="K1683" s="4"/>
    </row>
    <row r="1684" spans="1:11" ht="13">
      <c r="A1684" s="164"/>
      <c r="B1684" s="4"/>
      <c r="C1684" s="4"/>
      <c r="D1684" s="4"/>
      <c r="E1684" s="4"/>
      <c r="F1684" s="4"/>
      <c r="G1684" s="4"/>
      <c r="H1684" s="4"/>
      <c r="I1684" s="4"/>
      <c r="J1684" s="4"/>
      <c r="K1684" s="4"/>
    </row>
    <row r="1685" spans="1:11" ht="13">
      <c r="A1685" s="164"/>
      <c r="B1685" s="4"/>
      <c r="C1685" s="4"/>
      <c r="D1685" s="4"/>
      <c r="E1685" s="4"/>
      <c r="F1685" s="4"/>
      <c r="G1685" s="4"/>
      <c r="H1685" s="4"/>
      <c r="I1685" s="4"/>
      <c r="J1685" s="4"/>
      <c r="K1685" s="4"/>
    </row>
    <row r="1686" spans="1:11" ht="13">
      <c r="A1686" s="164"/>
      <c r="B1686" s="4"/>
      <c r="C1686" s="4"/>
      <c r="D1686" s="4"/>
      <c r="E1686" s="4"/>
      <c r="F1686" s="4"/>
      <c r="G1686" s="4"/>
      <c r="H1686" s="4"/>
      <c r="I1686" s="4"/>
      <c r="J1686" s="4"/>
      <c r="K1686" s="4"/>
    </row>
    <row r="1687" spans="1:11" ht="13">
      <c r="A1687" s="164"/>
      <c r="B1687" s="4"/>
      <c r="C1687" s="4"/>
      <c r="D1687" s="4"/>
      <c r="E1687" s="4"/>
      <c r="F1687" s="4"/>
      <c r="G1687" s="4"/>
      <c r="H1687" s="4"/>
      <c r="I1687" s="4"/>
      <c r="J1687" s="4"/>
      <c r="K1687" s="4"/>
    </row>
    <row r="1688" spans="1:11" ht="13">
      <c r="A1688" s="164"/>
      <c r="B1688" s="4"/>
      <c r="C1688" s="4"/>
      <c r="D1688" s="4"/>
      <c r="E1688" s="4"/>
      <c r="F1688" s="4"/>
      <c r="G1688" s="4"/>
      <c r="H1688" s="4"/>
      <c r="I1688" s="4"/>
      <c r="J1688" s="4"/>
      <c r="K1688" s="4"/>
    </row>
    <row r="1689" spans="1:11" ht="13">
      <c r="A1689" s="164"/>
      <c r="B1689" s="4"/>
      <c r="C1689" s="4"/>
      <c r="D1689" s="4"/>
      <c r="E1689" s="4"/>
      <c r="F1689" s="4"/>
      <c r="G1689" s="4"/>
      <c r="H1689" s="4"/>
      <c r="I1689" s="4"/>
      <c r="J1689" s="4"/>
      <c r="K1689" s="4"/>
    </row>
    <row r="1690" spans="1:11" ht="13">
      <c r="A1690" s="164"/>
      <c r="B1690" s="4"/>
      <c r="C1690" s="4"/>
      <c r="D1690" s="4"/>
      <c r="E1690" s="4"/>
      <c r="F1690" s="4"/>
      <c r="G1690" s="4"/>
      <c r="H1690" s="4"/>
      <c r="I1690" s="4"/>
      <c r="J1690" s="4"/>
      <c r="K1690" s="4"/>
    </row>
    <row r="1691" spans="1:11" ht="13">
      <c r="A1691" s="164"/>
      <c r="B1691" s="4"/>
      <c r="C1691" s="4"/>
      <c r="D1691" s="4"/>
      <c r="E1691" s="4"/>
      <c r="F1691" s="4"/>
      <c r="G1691" s="4"/>
      <c r="H1691" s="4"/>
      <c r="I1691" s="4"/>
      <c r="J1691" s="4"/>
      <c r="K1691" s="4"/>
    </row>
    <row r="1692" spans="1:11" ht="13">
      <c r="A1692" s="164"/>
      <c r="B1692" s="4"/>
      <c r="C1692" s="4"/>
      <c r="D1692" s="4"/>
      <c r="E1692" s="4"/>
      <c r="F1692" s="4"/>
      <c r="G1692" s="4"/>
      <c r="H1692" s="4"/>
      <c r="I1692" s="4"/>
      <c r="J1692" s="4"/>
      <c r="K1692" s="4"/>
    </row>
    <row r="1693" spans="1:11" ht="13">
      <c r="A1693" s="164"/>
      <c r="B1693" s="4"/>
      <c r="C1693" s="4"/>
      <c r="D1693" s="4"/>
      <c r="E1693" s="4"/>
      <c r="F1693" s="4"/>
      <c r="G1693" s="4"/>
      <c r="H1693" s="4"/>
      <c r="I1693" s="4"/>
      <c r="J1693" s="4"/>
      <c r="K1693" s="4"/>
    </row>
    <row r="1694" spans="1:11" ht="13">
      <c r="A1694" s="164"/>
      <c r="B1694" s="4"/>
      <c r="C1694" s="4"/>
      <c r="D1694" s="4"/>
      <c r="E1694" s="4"/>
      <c r="F1694" s="4"/>
      <c r="G1694" s="4"/>
      <c r="H1694" s="4"/>
      <c r="I1694" s="4"/>
      <c r="J1694" s="4"/>
      <c r="K1694" s="4"/>
    </row>
    <row r="1695" spans="1:11" ht="13">
      <c r="A1695" s="164"/>
      <c r="B1695" s="4"/>
      <c r="C1695" s="4"/>
      <c r="D1695" s="4"/>
      <c r="E1695" s="4"/>
      <c r="F1695" s="4"/>
      <c r="G1695" s="4"/>
      <c r="H1695" s="4"/>
      <c r="I1695" s="4"/>
      <c r="J1695" s="4"/>
      <c r="K1695" s="4"/>
    </row>
    <row r="1696" spans="1:11" ht="13">
      <c r="A1696" s="164"/>
      <c r="B1696" s="4"/>
      <c r="C1696" s="4"/>
      <c r="D1696" s="4"/>
      <c r="E1696" s="4"/>
      <c r="F1696" s="4"/>
      <c r="G1696" s="4"/>
      <c r="H1696" s="4"/>
      <c r="I1696" s="4"/>
      <c r="J1696" s="4"/>
      <c r="K1696" s="4"/>
    </row>
    <row r="1697" spans="1:11" ht="13">
      <c r="A1697" s="164"/>
      <c r="B1697" s="4"/>
      <c r="C1697" s="4"/>
      <c r="D1697" s="4"/>
      <c r="E1697" s="4"/>
      <c r="F1697" s="4"/>
      <c r="G1697" s="4"/>
      <c r="H1697" s="4"/>
      <c r="I1697" s="4"/>
      <c r="J1697" s="4"/>
      <c r="K1697" s="4"/>
    </row>
    <row r="1698" spans="1:11" ht="13">
      <c r="A1698" s="164"/>
      <c r="B1698" s="4"/>
      <c r="C1698" s="4"/>
      <c r="D1698" s="4"/>
      <c r="E1698" s="4"/>
      <c r="F1698" s="4"/>
      <c r="G1698" s="4"/>
      <c r="H1698" s="4"/>
      <c r="I1698" s="4"/>
      <c r="J1698" s="4"/>
      <c r="K1698" s="4"/>
    </row>
    <row r="1699" spans="1:11" ht="13">
      <c r="A1699" s="164"/>
      <c r="B1699" s="4"/>
      <c r="C1699" s="4"/>
      <c r="D1699" s="4"/>
      <c r="E1699" s="4"/>
      <c r="F1699" s="4"/>
      <c r="G1699" s="4"/>
      <c r="H1699" s="4"/>
      <c r="I1699" s="4"/>
      <c r="J1699" s="4"/>
      <c r="K1699" s="4"/>
    </row>
    <row r="1700" spans="1:11" ht="13">
      <c r="A1700" s="164"/>
      <c r="B1700" s="4"/>
      <c r="C1700" s="4"/>
      <c r="D1700" s="4"/>
      <c r="E1700" s="4"/>
      <c r="F1700" s="4"/>
      <c r="G1700" s="4"/>
      <c r="H1700" s="4"/>
      <c r="I1700" s="4"/>
      <c r="J1700" s="4"/>
      <c r="K1700" s="4"/>
    </row>
    <row r="1701" spans="1:11" ht="13">
      <c r="A1701" s="164"/>
      <c r="B1701" s="4"/>
      <c r="C1701" s="4"/>
      <c r="D1701" s="4"/>
      <c r="E1701" s="4"/>
      <c r="F1701" s="4"/>
      <c r="G1701" s="4"/>
      <c r="H1701" s="4"/>
      <c r="I1701" s="4"/>
      <c r="J1701" s="4"/>
      <c r="K1701" s="4"/>
    </row>
    <row r="1702" spans="1:11" ht="13">
      <c r="A1702" s="164"/>
      <c r="B1702" s="4"/>
      <c r="C1702" s="4"/>
      <c r="D1702" s="4"/>
      <c r="E1702" s="4"/>
      <c r="F1702" s="4"/>
      <c r="G1702" s="4"/>
      <c r="H1702" s="4"/>
      <c r="I1702" s="4"/>
      <c r="J1702" s="4"/>
      <c r="K1702" s="4"/>
    </row>
    <row r="1703" spans="1:11" ht="13">
      <c r="A1703" s="164"/>
      <c r="B1703" s="4"/>
      <c r="C1703" s="4"/>
      <c r="D1703" s="4"/>
      <c r="E1703" s="4"/>
      <c r="F1703" s="4"/>
      <c r="G1703" s="4"/>
      <c r="H1703" s="4"/>
      <c r="I1703" s="4"/>
      <c r="J1703" s="4"/>
      <c r="K1703" s="4"/>
    </row>
    <row r="1704" spans="1:11" ht="13">
      <c r="A1704" s="164"/>
      <c r="B1704" s="4"/>
      <c r="C1704" s="4"/>
      <c r="D1704" s="4"/>
      <c r="E1704" s="4"/>
      <c r="F1704" s="4"/>
      <c r="G1704" s="4"/>
      <c r="H1704" s="4"/>
      <c r="I1704" s="4"/>
      <c r="J1704" s="4"/>
      <c r="K1704" s="4"/>
    </row>
    <row r="1705" spans="1:11" ht="13">
      <c r="A1705" s="164"/>
      <c r="B1705" s="4"/>
      <c r="C1705" s="4"/>
      <c r="D1705" s="4"/>
      <c r="E1705" s="4"/>
      <c r="F1705" s="4"/>
      <c r="G1705" s="4"/>
      <c r="H1705" s="4"/>
      <c r="I1705" s="4"/>
      <c r="J1705" s="4"/>
      <c r="K1705" s="4"/>
    </row>
    <row r="1706" spans="1:11" ht="13">
      <c r="A1706" s="164"/>
      <c r="B1706" s="4"/>
      <c r="C1706" s="4"/>
      <c r="D1706" s="4"/>
      <c r="E1706" s="4"/>
      <c r="F1706" s="4"/>
      <c r="G1706" s="4"/>
      <c r="H1706" s="4"/>
      <c r="I1706" s="4"/>
      <c r="J1706" s="4"/>
      <c r="K1706" s="4"/>
    </row>
    <row r="1707" spans="1:11" ht="13">
      <c r="A1707" s="164"/>
      <c r="B1707" s="4"/>
      <c r="C1707" s="4"/>
      <c r="D1707" s="4"/>
      <c r="E1707" s="4"/>
      <c r="F1707" s="4"/>
      <c r="G1707" s="4"/>
      <c r="H1707" s="4"/>
      <c r="I1707" s="4"/>
      <c r="J1707" s="4"/>
      <c r="K1707" s="4"/>
    </row>
    <row r="1708" spans="1:11" ht="13">
      <c r="A1708" s="164"/>
      <c r="B1708" s="4"/>
      <c r="C1708" s="4"/>
      <c r="D1708" s="4"/>
      <c r="E1708" s="4"/>
      <c r="F1708" s="4"/>
      <c r="G1708" s="4"/>
      <c r="H1708" s="4"/>
      <c r="I1708" s="4"/>
      <c r="J1708" s="4"/>
      <c r="K1708" s="4"/>
    </row>
    <row r="1709" spans="1:11" ht="13">
      <c r="A1709" s="164"/>
      <c r="B1709" s="4"/>
      <c r="C1709" s="4"/>
      <c r="D1709" s="4"/>
      <c r="E1709" s="4"/>
      <c r="F1709" s="4"/>
      <c r="G1709" s="4"/>
      <c r="H1709" s="4"/>
      <c r="I1709" s="4"/>
      <c r="J1709" s="4"/>
      <c r="K1709" s="4"/>
    </row>
    <row r="1710" spans="1:11" ht="13">
      <c r="A1710" s="164"/>
      <c r="B1710" s="4"/>
      <c r="C1710" s="4"/>
      <c r="D1710" s="4"/>
      <c r="E1710" s="4"/>
      <c r="F1710" s="4"/>
      <c r="G1710" s="4"/>
      <c r="H1710" s="4"/>
      <c r="I1710" s="4"/>
      <c r="J1710" s="4"/>
      <c r="K1710" s="4"/>
    </row>
    <row r="1711" spans="1:11" ht="13">
      <c r="A1711" s="164"/>
      <c r="B1711" s="4"/>
      <c r="C1711" s="4"/>
      <c r="D1711" s="4"/>
      <c r="E1711" s="4"/>
      <c r="F1711" s="4"/>
      <c r="G1711" s="4"/>
      <c r="H1711" s="4"/>
      <c r="I1711" s="4"/>
      <c r="J1711" s="4"/>
      <c r="K1711" s="4"/>
    </row>
    <row r="1712" spans="1:11" ht="13">
      <c r="A1712" s="164"/>
      <c r="B1712" s="4"/>
      <c r="C1712" s="4"/>
      <c r="D1712" s="4"/>
      <c r="E1712" s="4"/>
      <c r="F1712" s="4"/>
      <c r="G1712" s="4"/>
      <c r="H1712" s="4"/>
      <c r="I1712" s="4"/>
      <c r="J1712" s="4"/>
      <c r="K1712" s="4"/>
    </row>
    <row r="1713" spans="1:11" ht="13">
      <c r="A1713" s="164"/>
      <c r="B1713" s="4"/>
      <c r="C1713" s="4"/>
      <c r="D1713" s="4"/>
      <c r="E1713" s="4"/>
      <c r="F1713" s="4"/>
      <c r="G1713" s="4"/>
      <c r="H1713" s="4"/>
      <c r="I1713" s="4"/>
      <c r="J1713" s="4"/>
      <c r="K1713" s="4"/>
    </row>
    <row r="1714" spans="1:11" ht="13">
      <c r="A1714" s="164"/>
      <c r="B1714" s="4"/>
      <c r="C1714" s="4"/>
      <c r="D1714" s="4"/>
      <c r="E1714" s="4"/>
      <c r="F1714" s="4"/>
      <c r="G1714" s="4"/>
      <c r="H1714" s="4"/>
      <c r="I1714" s="4"/>
      <c r="J1714" s="4"/>
      <c r="K1714" s="4"/>
    </row>
    <row r="1715" spans="1:11" ht="13">
      <c r="A1715" s="164"/>
      <c r="B1715" s="4"/>
      <c r="C1715" s="4"/>
      <c r="D1715" s="4"/>
      <c r="E1715" s="4"/>
      <c r="F1715" s="4"/>
      <c r="G1715" s="4"/>
      <c r="H1715" s="4"/>
      <c r="I1715" s="4"/>
      <c r="J1715" s="4"/>
      <c r="K1715" s="4"/>
    </row>
    <row r="1716" spans="1:11" ht="13">
      <c r="A1716" s="164"/>
      <c r="B1716" s="4"/>
      <c r="C1716" s="4"/>
      <c r="D1716" s="4"/>
      <c r="E1716" s="4"/>
      <c r="F1716" s="4"/>
      <c r="G1716" s="4"/>
      <c r="H1716" s="4"/>
      <c r="I1716" s="4"/>
      <c r="J1716" s="4"/>
      <c r="K1716" s="4"/>
    </row>
    <row r="1717" spans="1:11" ht="13">
      <c r="A1717" s="164"/>
      <c r="B1717" s="4"/>
      <c r="C1717" s="4"/>
      <c r="D1717" s="4"/>
      <c r="E1717" s="4"/>
      <c r="F1717" s="4"/>
      <c r="G1717" s="4"/>
      <c r="H1717" s="4"/>
      <c r="I1717" s="4"/>
      <c r="J1717" s="4"/>
      <c r="K1717" s="4"/>
    </row>
    <row r="1718" spans="1:11" ht="13">
      <c r="A1718" s="164"/>
      <c r="B1718" s="4"/>
      <c r="C1718" s="4"/>
      <c r="D1718" s="4"/>
      <c r="E1718" s="4"/>
      <c r="F1718" s="4"/>
      <c r="G1718" s="4"/>
      <c r="H1718" s="4"/>
      <c r="I1718" s="4"/>
      <c r="J1718" s="4"/>
      <c r="K1718" s="4"/>
    </row>
    <row r="1719" spans="1:11" ht="13">
      <c r="A1719" s="164"/>
      <c r="B1719" s="4"/>
      <c r="C1719" s="4"/>
      <c r="D1719" s="4"/>
      <c r="E1719" s="4"/>
      <c r="F1719" s="4"/>
      <c r="G1719" s="4"/>
      <c r="H1719" s="4"/>
      <c r="I1719" s="4"/>
      <c r="J1719" s="4"/>
      <c r="K1719" s="4"/>
    </row>
    <row r="1720" spans="1:11" ht="13">
      <c r="A1720" s="164"/>
      <c r="B1720" s="4"/>
      <c r="C1720" s="4"/>
      <c r="D1720" s="4"/>
      <c r="E1720" s="4"/>
      <c r="F1720" s="4"/>
      <c r="G1720" s="4"/>
      <c r="H1720" s="4"/>
      <c r="I1720" s="4"/>
      <c r="J1720" s="4"/>
      <c r="K1720" s="4"/>
    </row>
    <row r="1721" spans="1:11" ht="13">
      <c r="A1721" s="164"/>
      <c r="B1721" s="4"/>
      <c r="C1721" s="4"/>
      <c r="D1721" s="4"/>
      <c r="E1721" s="4"/>
      <c r="F1721" s="4"/>
      <c r="G1721" s="4"/>
      <c r="H1721" s="4"/>
      <c r="I1721" s="4"/>
      <c r="J1721" s="4"/>
      <c r="K1721" s="4"/>
    </row>
    <row r="1722" spans="1:11" ht="13">
      <c r="A1722" s="164"/>
      <c r="B1722" s="4"/>
      <c r="C1722" s="4"/>
      <c r="D1722" s="4"/>
      <c r="E1722" s="4"/>
      <c r="F1722" s="4"/>
      <c r="G1722" s="4"/>
      <c r="H1722" s="4"/>
      <c r="I1722" s="4"/>
      <c r="J1722" s="4"/>
      <c r="K1722" s="4"/>
    </row>
    <row r="1723" spans="1:11" ht="13">
      <c r="A1723" s="164"/>
      <c r="B1723" s="4"/>
      <c r="C1723" s="4"/>
      <c r="D1723" s="4"/>
      <c r="E1723" s="4"/>
      <c r="F1723" s="4"/>
      <c r="G1723" s="4"/>
      <c r="H1723" s="4"/>
      <c r="I1723" s="4"/>
      <c r="J1723" s="4"/>
      <c r="K1723" s="4"/>
    </row>
    <row r="1724" spans="1:11" ht="13">
      <c r="A1724" s="164"/>
      <c r="B1724" s="4"/>
      <c r="C1724" s="4"/>
      <c r="D1724" s="4"/>
      <c r="E1724" s="4"/>
      <c r="F1724" s="4"/>
      <c r="G1724" s="4"/>
      <c r="H1724" s="4"/>
      <c r="I1724" s="4"/>
      <c r="J1724" s="4"/>
      <c r="K1724" s="4"/>
    </row>
    <row r="1725" spans="1:11" ht="13">
      <c r="A1725" s="164"/>
      <c r="B1725" s="4"/>
      <c r="C1725" s="4"/>
      <c r="D1725" s="4"/>
      <c r="E1725" s="4"/>
      <c r="F1725" s="4"/>
      <c r="G1725" s="4"/>
      <c r="H1725" s="4"/>
      <c r="I1725" s="4"/>
      <c r="J1725" s="4"/>
      <c r="K1725" s="4"/>
    </row>
    <row r="1726" spans="1:11" ht="13">
      <c r="A1726" s="164"/>
      <c r="B1726" s="4"/>
      <c r="C1726" s="4"/>
      <c r="D1726" s="4"/>
      <c r="E1726" s="4"/>
      <c r="F1726" s="4"/>
      <c r="G1726" s="4"/>
      <c r="H1726" s="4"/>
      <c r="I1726" s="4"/>
      <c r="J1726" s="4"/>
      <c r="K1726" s="4"/>
    </row>
    <row r="1727" spans="1:11" ht="13">
      <c r="A1727" s="164"/>
      <c r="B1727" s="4"/>
      <c r="C1727" s="4"/>
      <c r="D1727" s="4"/>
      <c r="E1727" s="4"/>
      <c r="F1727" s="4"/>
      <c r="G1727" s="4"/>
      <c r="H1727" s="4"/>
      <c r="I1727" s="4"/>
      <c r="J1727" s="4"/>
      <c r="K1727" s="4"/>
    </row>
    <row r="1728" spans="1:11" ht="13">
      <c r="A1728" s="164"/>
      <c r="B1728" s="4"/>
      <c r="C1728" s="4"/>
      <c r="D1728" s="4"/>
      <c r="E1728" s="4"/>
      <c r="F1728" s="4"/>
      <c r="G1728" s="4"/>
      <c r="H1728" s="4"/>
      <c r="I1728" s="4"/>
      <c r="J1728" s="4"/>
      <c r="K1728" s="4"/>
    </row>
    <row r="1729" spans="1:11" ht="13">
      <c r="A1729" s="164"/>
      <c r="B1729" s="4"/>
      <c r="C1729" s="4"/>
      <c r="D1729" s="4"/>
      <c r="E1729" s="4"/>
      <c r="F1729" s="4"/>
      <c r="G1729" s="4"/>
      <c r="H1729" s="4"/>
      <c r="I1729" s="4"/>
      <c r="J1729" s="4"/>
      <c r="K1729" s="4"/>
    </row>
    <row r="1730" spans="1:11" ht="13">
      <c r="A1730" s="164"/>
      <c r="B1730" s="4"/>
      <c r="C1730" s="4"/>
      <c r="D1730" s="4"/>
      <c r="E1730" s="4"/>
      <c r="F1730" s="4"/>
      <c r="G1730" s="4"/>
      <c r="H1730" s="4"/>
      <c r="I1730" s="4"/>
      <c r="J1730" s="4"/>
      <c r="K1730" s="4"/>
    </row>
    <row r="1731" spans="1:11" ht="13">
      <c r="A1731" s="164"/>
      <c r="B1731" s="4"/>
      <c r="C1731" s="4"/>
      <c r="D1731" s="4"/>
      <c r="E1731" s="4"/>
      <c r="F1731" s="4"/>
      <c r="G1731" s="4"/>
      <c r="H1731" s="4"/>
      <c r="I1731" s="4"/>
      <c r="J1731" s="4"/>
      <c r="K1731" s="4"/>
    </row>
    <row r="1732" spans="1:11" ht="13">
      <c r="A1732" s="164"/>
      <c r="B1732" s="4"/>
      <c r="C1732" s="4"/>
      <c r="D1732" s="4"/>
      <c r="E1732" s="4"/>
      <c r="F1732" s="4"/>
      <c r="G1732" s="4"/>
      <c r="H1732" s="4"/>
      <c r="I1732" s="4"/>
      <c r="J1732" s="4"/>
      <c r="K1732" s="4"/>
    </row>
    <row r="1733" spans="1:11" ht="13">
      <c r="A1733" s="164"/>
      <c r="B1733" s="4"/>
      <c r="C1733" s="4"/>
      <c r="D1733" s="4"/>
      <c r="E1733" s="4"/>
      <c r="F1733" s="4"/>
      <c r="G1733" s="4"/>
      <c r="H1733" s="4"/>
      <c r="I1733" s="4"/>
      <c r="J1733" s="4"/>
      <c r="K1733" s="4"/>
    </row>
    <row r="1734" spans="1:11" ht="13">
      <c r="A1734" s="164"/>
      <c r="B1734" s="4"/>
      <c r="C1734" s="4"/>
      <c r="D1734" s="4"/>
      <c r="E1734" s="4"/>
      <c r="F1734" s="4"/>
      <c r="G1734" s="4"/>
      <c r="H1734" s="4"/>
      <c r="I1734" s="4"/>
      <c r="J1734" s="4"/>
      <c r="K1734" s="4"/>
    </row>
    <row r="1735" spans="1:11" ht="13">
      <c r="A1735" s="164"/>
      <c r="B1735" s="4"/>
      <c r="C1735" s="4"/>
      <c r="D1735" s="4"/>
      <c r="E1735" s="4"/>
      <c r="F1735" s="4"/>
      <c r="G1735" s="4"/>
      <c r="H1735" s="4"/>
      <c r="I1735" s="4"/>
      <c r="J1735" s="4"/>
      <c r="K1735" s="4"/>
    </row>
    <row r="1736" spans="1:11" ht="13">
      <c r="A1736" s="164"/>
      <c r="B1736" s="4"/>
      <c r="C1736" s="4"/>
      <c r="D1736" s="4"/>
      <c r="E1736" s="4"/>
      <c r="F1736" s="4"/>
      <c r="G1736" s="4"/>
      <c r="H1736" s="4"/>
      <c r="I1736" s="4"/>
      <c r="J1736" s="4"/>
      <c r="K1736" s="4"/>
    </row>
    <row r="1737" spans="1:11" ht="13">
      <c r="A1737" s="164"/>
      <c r="B1737" s="4"/>
      <c r="C1737" s="4"/>
      <c r="D1737" s="4"/>
      <c r="E1737" s="4"/>
      <c r="F1737" s="4"/>
      <c r="G1737" s="4"/>
      <c r="H1737" s="4"/>
      <c r="I1737" s="4"/>
      <c r="J1737" s="4"/>
      <c r="K1737" s="4"/>
    </row>
    <row r="1738" spans="1:11" ht="13">
      <c r="A1738" s="164"/>
      <c r="B1738" s="4"/>
      <c r="C1738" s="4"/>
      <c r="D1738" s="4"/>
      <c r="E1738" s="4"/>
      <c r="F1738" s="4"/>
      <c r="G1738" s="4"/>
      <c r="H1738" s="4"/>
      <c r="I1738" s="4"/>
      <c r="J1738" s="4"/>
      <c r="K1738" s="4"/>
    </row>
    <row r="1739" spans="1:11" ht="13">
      <c r="A1739" s="164"/>
      <c r="B1739" s="4"/>
      <c r="C1739" s="4"/>
      <c r="D1739" s="4"/>
      <c r="E1739" s="4"/>
      <c r="F1739" s="4"/>
      <c r="G1739" s="4"/>
      <c r="H1739" s="4"/>
      <c r="I1739" s="4"/>
      <c r="J1739" s="4"/>
      <c r="K1739" s="4"/>
    </row>
    <row r="1740" spans="1:11" ht="13">
      <c r="A1740" s="164"/>
      <c r="B1740" s="4"/>
      <c r="C1740" s="4"/>
      <c r="D1740" s="4"/>
      <c r="E1740" s="4"/>
      <c r="F1740" s="4"/>
      <c r="G1740" s="4"/>
      <c r="H1740" s="4"/>
      <c r="I1740" s="4"/>
      <c r="J1740" s="4"/>
      <c r="K1740" s="4"/>
    </row>
    <row r="1741" spans="1:11" ht="13">
      <c r="A1741" s="164"/>
      <c r="B1741" s="4"/>
      <c r="C1741" s="4"/>
      <c r="D1741" s="4"/>
      <c r="E1741" s="4"/>
      <c r="F1741" s="4"/>
      <c r="G1741" s="4"/>
      <c r="H1741" s="4"/>
      <c r="I1741" s="4"/>
      <c r="J1741" s="4"/>
      <c r="K1741" s="4"/>
    </row>
    <row r="1742" spans="1:11" ht="13">
      <c r="A1742" s="164"/>
      <c r="B1742" s="4"/>
      <c r="C1742" s="4"/>
      <c r="D1742" s="4"/>
      <c r="E1742" s="4"/>
      <c r="F1742" s="4"/>
      <c r="G1742" s="4"/>
      <c r="H1742" s="4"/>
      <c r="I1742" s="4"/>
      <c r="J1742" s="4"/>
      <c r="K1742" s="4"/>
    </row>
    <row r="1743" spans="1:11" ht="13">
      <c r="A1743" s="164"/>
      <c r="B1743" s="4"/>
      <c r="C1743" s="4"/>
      <c r="D1743" s="4"/>
      <c r="E1743" s="4"/>
      <c r="F1743" s="4"/>
      <c r="G1743" s="4"/>
      <c r="H1743" s="4"/>
      <c r="I1743" s="4"/>
      <c r="J1743" s="4"/>
      <c r="K1743" s="4"/>
    </row>
    <row r="1744" spans="1:11" ht="13">
      <c r="A1744" s="164"/>
      <c r="B1744" s="4"/>
      <c r="C1744" s="4"/>
      <c r="D1744" s="4"/>
      <c r="E1744" s="4"/>
      <c r="F1744" s="4"/>
      <c r="G1744" s="4"/>
      <c r="H1744" s="4"/>
      <c r="I1744" s="4"/>
      <c r="J1744" s="4"/>
      <c r="K1744" s="4"/>
    </row>
    <row r="1745" spans="1:11" ht="13">
      <c r="A1745" s="164"/>
      <c r="B1745" s="4"/>
      <c r="C1745" s="4"/>
      <c r="D1745" s="4"/>
      <c r="E1745" s="4"/>
      <c r="F1745" s="4"/>
      <c r="G1745" s="4"/>
      <c r="H1745" s="4"/>
      <c r="I1745" s="4"/>
      <c r="J1745" s="4"/>
      <c r="K1745" s="4"/>
    </row>
    <row r="1746" spans="1:11" ht="13">
      <c r="A1746" s="164"/>
      <c r="B1746" s="4"/>
      <c r="C1746" s="4"/>
      <c r="D1746" s="4"/>
      <c r="E1746" s="4"/>
      <c r="F1746" s="4"/>
      <c r="G1746" s="4"/>
      <c r="H1746" s="4"/>
      <c r="I1746" s="4"/>
      <c r="J1746" s="4"/>
      <c r="K1746" s="4"/>
    </row>
    <row r="1747" spans="1:11" ht="13">
      <c r="A1747" s="164"/>
      <c r="B1747" s="4"/>
      <c r="C1747" s="4"/>
      <c r="D1747" s="4"/>
      <c r="E1747" s="4"/>
      <c r="F1747" s="4"/>
      <c r="G1747" s="4"/>
      <c r="H1747" s="4"/>
      <c r="I1747" s="4"/>
      <c r="J1747" s="4"/>
      <c r="K1747" s="4"/>
    </row>
    <row r="1748" spans="1:11" ht="13">
      <c r="A1748" s="164"/>
      <c r="B1748" s="4"/>
      <c r="C1748" s="4"/>
      <c r="D1748" s="4"/>
      <c r="E1748" s="4"/>
      <c r="F1748" s="4"/>
      <c r="G1748" s="4"/>
      <c r="H1748" s="4"/>
      <c r="I1748" s="4"/>
      <c r="J1748" s="4"/>
      <c r="K1748" s="4"/>
    </row>
    <row r="1749" spans="1:11" ht="13">
      <c r="A1749" s="164"/>
      <c r="B1749" s="4"/>
      <c r="C1749" s="4"/>
      <c r="D1749" s="4"/>
      <c r="E1749" s="4"/>
      <c r="F1749" s="4"/>
      <c r="G1749" s="4"/>
      <c r="H1749" s="4"/>
      <c r="I1749" s="4"/>
      <c r="J1749" s="4"/>
      <c r="K1749" s="4"/>
    </row>
    <row r="1750" spans="1:11" ht="13">
      <c r="A1750" s="164"/>
      <c r="B1750" s="4"/>
      <c r="C1750" s="4"/>
      <c r="D1750" s="4"/>
      <c r="E1750" s="4"/>
      <c r="F1750" s="4"/>
      <c r="G1750" s="4"/>
      <c r="H1750" s="4"/>
      <c r="I1750" s="4"/>
      <c r="J1750" s="4"/>
      <c r="K1750" s="4"/>
    </row>
    <row r="1751" spans="1:11" ht="13">
      <c r="A1751" s="164"/>
      <c r="B1751" s="4"/>
      <c r="C1751" s="4"/>
      <c r="D1751" s="4"/>
      <c r="E1751" s="4"/>
      <c r="F1751" s="4"/>
      <c r="G1751" s="4"/>
      <c r="H1751" s="4"/>
      <c r="I1751" s="4"/>
      <c r="J1751" s="4"/>
      <c r="K1751" s="4"/>
    </row>
    <row r="1752" spans="1:11" ht="13">
      <c r="A1752" s="164"/>
      <c r="B1752" s="4"/>
      <c r="C1752" s="4"/>
      <c r="D1752" s="4"/>
      <c r="E1752" s="4"/>
      <c r="F1752" s="4"/>
      <c r="G1752" s="4"/>
      <c r="H1752" s="4"/>
      <c r="I1752" s="4"/>
      <c r="J1752" s="4"/>
      <c r="K1752" s="4"/>
    </row>
    <row r="1753" spans="1:11" ht="13">
      <c r="A1753" s="164"/>
      <c r="B1753" s="4"/>
      <c r="C1753" s="4"/>
      <c r="D1753" s="4"/>
      <c r="E1753" s="4"/>
      <c r="F1753" s="4"/>
      <c r="G1753" s="4"/>
      <c r="H1753" s="4"/>
      <c r="I1753" s="4"/>
      <c r="J1753" s="4"/>
      <c r="K1753" s="4"/>
    </row>
    <row r="1754" spans="1:11" ht="13">
      <c r="A1754" s="164"/>
      <c r="B1754" s="4"/>
      <c r="C1754" s="4"/>
      <c r="D1754" s="4"/>
      <c r="E1754" s="4"/>
      <c r="F1754" s="4"/>
      <c r="G1754" s="4"/>
      <c r="H1754" s="4"/>
      <c r="I1754" s="4"/>
      <c r="J1754" s="4"/>
      <c r="K1754" s="4"/>
    </row>
    <row r="1755" spans="1:11" ht="13">
      <c r="A1755" s="164"/>
      <c r="B1755" s="4"/>
      <c r="C1755" s="4"/>
      <c r="D1755" s="4"/>
      <c r="E1755" s="4"/>
      <c r="F1755" s="4"/>
      <c r="G1755" s="4"/>
      <c r="H1755" s="4"/>
      <c r="I1755" s="4"/>
      <c r="J1755" s="4"/>
      <c r="K1755" s="4"/>
    </row>
    <row r="1756" spans="1:11" ht="13">
      <c r="A1756" s="164"/>
      <c r="B1756" s="4"/>
      <c r="C1756" s="4"/>
      <c r="D1756" s="4"/>
      <c r="E1756" s="4"/>
      <c r="F1756" s="4"/>
      <c r="G1756" s="4"/>
      <c r="H1756" s="4"/>
      <c r="I1756" s="4"/>
      <c r="J1756" s="4"/>
      <c r="K1756" s="4"/>
    </row>
    <row r="1757" spans="1:11" ht="13">
      <c r="A1757" s="164"/>
      <c r="B1757" s="4"/>
      <c r="C1757" s="4"/>
      <c r="D1757" s="4"/>
      <c r="E1757" s="4"/>
      <c r="F1757" s="4"/>
      <c r="G1757" s="4"/>
      <c r="H1757" s="4"/>
      <c r="I1757" s="4"/>
      <c r="J1757" s="4"/>
      <c r="K1757" s="4"/>
    </row>
    <row r="1758" spans="1:11" ht="13">
      <c r="A1758" s="164"/>
      <c r="B1758" s="4"/>
      <c r="C1758" s="4"/>
      <c r="D1758" s="4"/>
      <c r="E1758" s="4"/>
      <c r="F1758" s="4"/>
      <c r="G1758" s="4"/>
      <c r="H1758" s="4"/>
      <c r="I1758" s="4"/>
      <c r="J1758" s="4"/>
      <c r="K1758" s="4"/>
    </row>
    <row r="1759" spans="1:11" ht="13">
      <c r="A1759" s="164"/>
      <c r="B1759" s="4"/>
      <c r="C1759" s="4"/>
      <c r="D1759" s="4"/>
      <c r="E1759" s="4"/>
      <c r="F1759" s="4"/>
      <c r="G1759" s="4"/>
      <c r="H1759" s="4"/>
      <c r="I1759" s="4"/>
      <c r="J1759" s="4"/>
      <c r="K1759" s="4"/>
    </row>
    <row r="1760" spans="1:11" ht="13">
      <c r="A1760" s="164"/>
      <c r="B1760" s="4"/>
      <c r="C1760" s="4"/>
      <c r="D1760" s="4"/>
      <c r="E1760" s="4"/>
      <c r="F1760" s="4"/>
      <c r="G1760" s="4"/>
      <c r="H1760" s="4"/>
      <c r="I1760" s="4"/>
      <c r="J1760" s="4"/>
      <c r="K1760" s="4"/>
    </row>
    <row r="1761" spans="1:11" ht="13">
      <c r="A1761" s="164"/>
      <c r="B1761" s="4"/>
      <c r="C1761" s="4"/>
      <c r="D1761" s="4"/>
      <c r="E1761" s="4"/>
      <c r="F1761" s="4"/>
      <c r="G1761" s="4"/>
      <c r="H1761" s="4"/>
      <c r="I1761" s="4"/>
      <c r="J1761" s="4"/>
      <c r="K1761" s="4"/>
    </row>
    <row r="1762" spans="1:11" ht="13">
      <c r="A1762" s="164"/>
      <c r="B1762" s="4"/>
      <c r="C1762" s="4"/>
      <c r="D1762" s="4"/>
      <c r="E1762" s="4"/>
      <c r="F1762" s="4"/>
      <c r="G1762" s="4"/>
      <c r="H1762" s="4"/>
      <c r="I1762" s="4"/>
      <c r="J1762" s="4"/>
      <c r="K1762" s="4"/>
    </row>
    <row r="1763" spans="1:11" ht="13">
      <c r="A1763" s="164"/>
      <c r="B1763" s="4"/>
      <c r="C1763" s="4"/>
      <c r="D1763" s="4"/>
      <c r="E1763" s="4"/>
      <c r="F1763" s="4"/>
      <c r="G1763" s="4"/>
      <c r="H1763" s="4"/>
      <c r="I1763" s="4"/>
      <c r="J1763" s="4"/>
      <c r="K1763" s="4"/>
    </row>
    <row r="1764" spans="1:11" ht="13">
      <c r="A1764" s="164"/>
      <c r="B1764" s="4"/>
      <c r="C1764" s="4"/>
      <c r="D1764" s="4"/>
      <c r="E1764" s="4"/>
      <c r="F1764" s="4"/>
      <c r="G1764" s="4"/>
      <c r="H1764" s="4"/>
      <c r="I1764" s="4"/>
      <c r="J1764" s="4"/>
      <c r="K1764" s="4"/>
    </row>
    <row r="1765" spans="1:11" ht="13">
      <c r="A1765" s="164"/>
      <c r="B1765" s="4"/>
      <c r="C1765" s="4"/>
      <c r="D1765" s="4"/>
      <c r="E1765" s="4"/>
      <c r="F1765" s="4"/>
      <c r="G1765" s="4"/>
      <c r="H1765" s="4"/>
      <c r="I1765" s="4"/>
      <c r="J1765" s="4"/>
      <c r="K1765" s="4"/>
    </row>
    <row r="1766" spans="1:11" ht="13">
      <c r="A1766" s="164"/>
      <c r="B1766" s="4"/>
      <c r="C1766" s="4"/>
      <c r="D1766" s="4"/>
      <c r="E1766" s="4"/>
      <c r="F1766" s="4"/>
      <c r="G1766" s="4"/>
      <c r="H1766" s="4"/>
      <c r="I1766" s="4"/>
      <c r="J1766" s="4"/>
      <c r="K1766" s="4"/>
    </row>
    <row r="1767" spans="1:11" ht="13">
      <c r="A1767" s="164"/>
      <c r="B1767" s="4"/>
      <c r="C1767" s="4"/>
      <c r="D1767" s="4"/>
      <c r="E1767" s="4"/>
      <c r="F1767" s="4"/>
      <c r="G1767" s="4"/>
      <c r="H1767" s="4"/>
      <c r="I1767" s="4"/>
      <c r="J1767" s="4"/>
      <c r="K1767" s="4"/>
    </row>
    <row r="1768" spans="1:11" ht="13">
      <c r="A1768" s="164"/>
      <c r="B1768" s="4"/>
      <c r="C1768" s="4"/>
      <c r="D1768" s="4"/>
      <c r="E1768" s="4"/>
      <c r="F1768" s="4"/>
      <c r="G1768" s="4"/>
      <c r="H1768" s="4"/>
      <c r="I1768" s="4"/>
      <c r="J1768" s="4"/>
      <c r="K1768" s="4"/>
    </row>
    <row r="1769" spans="1:11" ht="13">
      <c r="A1769" s="164"/>
      <c r="B1769" s="4"/>
      <c r="C1769" s="4"/>
      <c r="D1769" s="4"/>
      <c r="E1769" s="4"/>
      <c r="F1769" s="4"/>
      <c r="G1769" s="4"/>
      <c r="H1769" s="4"/>
      <c r="I1769" s="4"/>
      <c r="J1769" s="4"/>
      <c r="K1769" s="4"/>
    </row>
    <row r="1770" spans="1:11" ht="13">
      <c r="A1770" s="164"/>
      <c r="B1770" s="4"/>
      <c r="C1770" s="4"/>
      <c r="D1770" s="4"/>
      <c r="E1770" s="4"/>
      <c r="F1770" s="4"/>
      <c r="G1770" s="4"/>
      <c r="H1770" s="4"/>
      <c r="I1770" s="4"/>
      <c r="J1770" s="4"/>
      <c r="K1770" s="4"/>
    </row>
    <row r="1771" spans="1:11" ht="13">
      <c r="A1771" s="164"/>
      <c r="B1771" s="4"/>
      <c r="C1771" s="4"/>
      <c r="D1771" s="4"/>
      <c r="E1771" s="4"/>
      <c r="F1771" s="4"/>
      <c r="G1771" s="4"/>
      <c r="H1771" s="4"/>
      <c r="I1771" s="4"/>
      <c r="J1771" s="4"/>
      <c r="K1771" s="4"/>
    </row>
    <row r="1772" spans="1:11" ht="13">
      <c r="A1772" s="164"/>
      <c r="B1772" s="4"/>
      <c r="C1772" s="4"/>
      <c r="D1772" s="4"/>
      <c r="E1772" s="4"/>
      <c r="F1772" s="4"/>
      <c r="G1772" s="4"/>
      <c r="H1772" s="4"/>
      <c r="I1772" s="4"/>
      <c r="J1772" s="4"/>
      <c r="K1772" s="4"/>
    </row>
    <row r="1773" spans="1:11" ht="13">
      <c r="A1773" s="164"/>
      <c r="B1773" s="4"/>
      <c r="C1773" s="4"/>
      <c r="D1773" s="4"/>
      <c r="E1773" s="4"/>
      <c r="F1773" s="4"/>
      <c r="G1773" s="4"/>
      <c r="H1773" s="4"/>
      <c r="I1773" s="4"/>
      <c r="J1773" s="4"/>
      <c r="K1773" s="4"/>
    </row>
    <row r="1774" spans="1:11" ht="13">
      <c r="A1774" s="164"/>
      <c r="B1774" s="4"/>
      <c r="C1774" s="4"/>
      <c r="D1774" s="4"/>
      <c r="E1774" s="4"/>
      <c r="F1774" s="4"/>
      <c r="G1774" s="4"/>
      <c r="H1774" s="4"/>
      <c r="I1774" s="4"/>
      <c r="J1774" s="4"/>
      <c r="K1774" s="4"/>
    </row>
    <row r="1775" spans="1:11" ht="13">
      <c r="A1775" s="164"/>
      <c r="B1775" s="4"/>
      <c r="C1775" s="4"/>
      <c r="D1775" s="4"/>
      <c r="E1775" s="4"/>
      <c r="F1775" s="4"/>
      <c r="G1775" s="4"/>
      <c r="H1775" s="4"/>
      <c r="I1775" s="4"/>
      <c r="J1775" s="4"/>
      <c r="K1775" s="4"/>
    </row>
    <row r="1776" spans="1:11" ht="13">
      <c r="A1776" s="164"/>
      <c r="B1776" s="4"/>
      <c r="C1776" s="4"/>
      <c r="D1776" s="4"/>
      <c r="E1776" s="4"/>
      <c r="F1776" s="4"/>
      <c r="G1776" s="4"/>
      <c r="H1776" s="4"/>
      <c r="I1776" s="4"/>
      <c r="J1776" s="4"/>
      <c r="K1776" s="4"/>
    </row>
    <row r="1777" spans="1:11" ht="13">
      <c r="A1777" s="164"/>
      <c r="B1777" s="4"/>
      <c r="C1777" s="4"/>
      <c r="D1777" s="4"/>
      <c r="E1777" s="4"/>
      <c r="F1777" s="4"/>
      <c r="G1777" s="4"/>
      <c r="H1777" s="4"/>
      <c r="I1777" s="4"/>
      <c r="J1777" s="4"/>
      <c r="K1777" s="4"/>
    </row>
    <row r="1778" spans="1:11" ht="13">
      <c r="A1778" s="164"/>
      <c r="B1778" s="4"/>
      <c r="C1778" s="4"/>
      <c r="D1778" s="4"/>
      <c r="E1778" s="4"/>
      <c r="F1778" s="4"/>
      <c r="G1778" s="4"/>
      <c r="H1778" s="4"/>
      <c r="I1778" s="4"/>
      <c r="J1778" s="4"/>
      <c r="K1778" s="4"/>
    </row>
    <row r="1779" spans="1:11" ht="13">
      <c r="A1779" s="164"/>
      <c r="B1779" s="4"/>
      <c r="C1779" s="4"/>
      <c r="D1779" s="4"/>
      <c r="E1779" s="4"/>
      <c r="F1779" s="4"/>
      <c r="G1779" s="4"/>
      <c r="H1779" s="4"/>
      <c r="I1779" s="4"/>
      <c r="J1779" s="4"/>
      <c r="K1779" s="4"/>
    </row>
    <row r="1780" spans="1:11" ht="13">
      <c r="A1780" s="164"/>
      <c r="B1780" s="4"/>
      <c r="C1780" s="4"/>
      <c r="D1780" s="4"/>
      <c r="E1780" s="4"/>
      <c r="F1780" s="4"/>
      <c r="G1780" s="4"/>
      <c r="H1780" s="4"/>
      <c r="I1780" s="4"/>
      <c r="J1780" s="4"/>
      <c r="K1780" s="4"/>
    </row>
    <row r="1781" spans="1:11" ht="13">
      <c r="A1781" s="164"/>
      <c r="B1781" s="4"/>
      <c r="C1781" s="4"/>
      <c r="D1781" s="4"/>
      <c r="E1781" s="4"/>
      <c r="F1781" s="4"/>
      <c r="G1781" s="4"/>
      <c r="H1781" s="4"/>
      <c r="I1781" s="4"/>
      <c r="J1781" s="4"/>
      <c r="K1781" s="4"/>
    </row>
    <row r="1782" spans="1:11" ht="13">
      <c r="A1782" s="164"/>
      <c r="B1782" s="4"/>
      <c r="C1782" s="4"/>
      <c r="D1782" s="4"/>
      <c r="E1782" s="4"/>
      <c r="F1782" s="4"/>
      <c r="G1782" s="4"/>
      <c r="H1782" s="4"/>
      <c r="I1782" s="4"/>
      <c r="J1782" s="4"/>
      <c r="K1782" s="4"/>
    </row>
    <row r="1783" spans="1:11" ht="13">
      <c r="A1783" s="164"/>
      <c r="B1783" s="4"/>
      <c r="C1783" s="4"/>
      <c r="D1783" s="4"/>
      <c r="E1783" s="4"/>
      <c r="F1783" s="4"/>
      <c r="G1783" s="4"/>
      <c r="H1783" s="4"/>
      <c r="I1783" s="4"/>
      <c r="J1783" s="4"/>
      <c r="K1783" s="4"/>
    </row>
    <row r="1784" spans="1:11" ht="13">
      <c r="A1784" s="164"/>
      <c r="B1784" s="4"/>
      <c r="C1784" s="4"/>
      <c r="D1784" s="4"/>
      <c r="E1784" s="4"/>
      <c r="F1784" s="4"/>
      <c r="G1784" s="4"/>
      <c r="H1784" s="4"/>
      <c r="I1784" s="4"/>
      <c r="J1784" s="4"/>
      <c r="K1784" s="4"/>
    </row>
    <row r="1785" spans="1:11" ht="13">
      <c r="A1785" s="164"/>
      <c r="B1785" s="4"/>
      <c r="C1785" s="4"/>
      <c r="D1785" s="4"/>
      <c r="E1785" s="4"/>
      <c r="F1785" s="4"/>
      <c r="G1785" s="4"/>
      <c r="H1785" s="4"/>
      <c r="I1785" s="4"/>
      <c r="J1785" s="4"/>
      <c r="K1785" s="4"/>
    </row>
    <row r="1786" spans="1:11" ht="13">
      <c r="A1786" s="164"/>
      <c r="B1786" s="4"/>
      <c r="C1786" s="4"/>
      <c r="D1786" s="4"/>
      <c r="E1786" s="4"/>
      <c r="F1786" s="4"/>
      <c r="G1786" s="4"/>
      <c r="H1786" s="4"/>
      <c r="I1786" s="4"/>
      <c r="J1786" s="4"/>
      <c r="K1786" s="4"/>
    </row>
    <row r="1787" spans="1:11" ht="13">
      <c r="A1787" s="164"/>
      <c r="B1787" s="4"/>
      <c r="C1787" s="4"/>
      <c r="D1787" s="4"/>
      <c r="E1787" s="4"/>
      <c r="F1787" s="4"/>
      <c r="G1787" s="4"/>
      <c r="H1787" s="4"/>
      <c r="I1787" s="4"/>
      <c r="J1787" s="4"/>
      <c r="K1787" s="4"/>
    </row>
    <row r="1788" spans="1:11" ht="13">
      <c r="A1788" s="164"/>
      <c r="B1788" s="4"/>
      <c r="C1788" s="4"/>
      <c r="D1788" s="4"/>
      <c r="E1788" s="4"/>
      <c r="F1788" s="4"/>
      <c r="G1788" s="4"/>
      <c r="H1788" s="4"/>
      <c r="I1788" s="4"/>
      <c r="J1788" s="4"/>
      <c r="K1788" s="4"/>
    </row>
    <row r="1789" spans="1:11" ht="13">
      <c r="A1789" s="164"/>
      <c r="B1789" s="4"/>
      <c r="C1789" s="4"/>
      <c r="D1789" s="4"/>
      <c r="E1789" s="4"/>
      <c r="F1789" s="4"/>
      <c r="G1789" s="4"/>
      <c r="H1789" s="4"/>
      <c r="I1789" s="4"/>
      <c r="J1789" s="4"/>
      <c r="K1789" s="4"/>
    </row>
    <row r="1790" spans="1:11" ht="13">
      <c r="A1790" s="164"/>
      <c r="B1790" s="4"/>
      <c r="C1790" s="4"/>
      <c r="D1790" s="4"/>
      <c r="E1790" s="4"/>
      <c r="F1790" s="4"/>
      <c r="G1790" s="4"/>
      <c r="H1790" s="4"/>
      <c r="I1790" s="4"/>
      <c r="J1790" s="4"/>
      <c r="K1790" s="4"/>
    </row>
    <row r="1791" spans="1:11" ht="13">
      <c r="A1791" s="164"/>
      <c r="B1791" s="4"/>
      <c r="C1791" s="4"/>
      <c r="D1791" s="4"/>
      <c r="E1791" s="4"/>
      <c r="F1791" s="4"/>
      <c r="G1791" s="4"/>
      <c r="H1791" s="4"/>
      <c r="I1791" s="4"/>
      <c r="J1791" s="4"/>
      <c r="K1791" s="4"/>
    </row>
    <row r="1792" spans="1:11" ht="13">
      <c r="A1792" s="164"/>
      <c r="B1792" s="4"/>
      <c r="C1792" s="4"/>
      <c r="D1792" s="4"/>
      <c r="E1792" s="4"/>
      <c r="F1792" s="4"/>
      <c r="G1792" s="4"/>
      <c r="H1792" s="4"/>
      <c r="I1792" s="4"/>
      <c r="J1792" s="4"/>
      <c r="K1792" s="4"/>
    </row>
    <row r="1793" spans="1:11" ht="13">
      <c r="A1793" s="164"/>
      <c r="B1793" s="4"/>
      <c r="C1793" s="4"/>
      <c r="D1793" s="4"/>
      <c r="E1793" s="4"/>
      <c r="F1793" s="4"/>
      <c r="G1793" s="4"/>
      <c r="H1793" s="4"/>
      <c r="I1793" s="4"/>
      <c r="J1793" s="4"/>
      <c r="K1793" s="4"/>
    </row>
    <row r="1794" spans="1:11" ht="13">
      <c r="A1794" s="164"/>
      <c r="B1794" s="4"/>
      <c r="C1794" s="4"/>
      <c r="D1794" s="4"/>
      <c r="E1794" s="4"/>
      <c r="F1794" s="4"/>
      <c r="G1794" s="4"/>
      <c r="H1794" s="4"/>
      <c r="I1794" s="4"/>
      <c r="J1794" s="4"/>
      <c r="K1794" s="4"/>
    </row>
    <row r="1795" spans="1:11" ht="13">
      <c r="A1795" s="164"/>
      <c r="B1795" s="4"/>
      <c r="C1795" s="4"/>
      <c r="D1795" s="4"/>
      <c r="E1795" s="4"/>
      <c r="F1795" s="4"/>
      <c r="G1795" s="4"/>
      <c r="H1795" s="4"/>
      <c r="I1795" s="4"/>
      <c r="J1795" s="4"/>
      <c r="K1795" s="4"/>
    </row>
    <row r="1796" spans="1:11" ht="13">
      <c r="A1796" s="164"/>
      <c r="B1796" s="4"/>
      <c r="C1796" s="4"/>
      <c r="D1796" s="4"/>
      <c r="E1796" s="4"/>
      <c r="F1796" s="4"/>
      <c r="G1796" s="4"/>
      <c r="H1796" s="4"/>
      <c r="I1796" s="4"/>
      <c r="J1796" s="4"/>
      <c r="K1796" s="4"/>
    </row>
    <row r="1797" spans="1:11" ht="13">
      <c r="A1797" s="164"/>
      <c r="B1797" s="4"/>
      <c r="C1797" s="4"/>
      <c r="D1797" s="4"/>
      <c r="E1797" s="4"/>
      <c r="F1797" s="4"/>
      <c r="G1797" s="4"/>
      <c r="H1797" s="4"/>
      <c r="I1797" s="4"/>
      <c r="J1797" s="4"/>
      <c r="K1797" s="4"/>
    </row>
    <row r="1798" spans="1:11" ht="13">
      <c r="A1798" s="164"/>
      <c r="B1798" s="4"/>
      <c r="C1798" s="4"/>
      <c r="D1798" s="4"/>
      <c r="E1798" s="4"/>
      <c r="F1798" s="4"/>
      <c r="G1798" s="4"/>
      <c r="H1798" s="4"/>
      <c r="I1798" s="4"/>
      <c r="J1798" s="4"/>
      <c r="K1798" s="4"/>
    </row>
    <row r="1799" spans="1:11" ht="13">
      <c r="A1799" s="164"/>
      <c r="B1799" s="4"/>
      <c r="C1799" s="4"/>
      <c r="D1799" s="4"/>
      <c r="E1799" s="4"/>
      <c r="F1799" s="4"/>
      <c r="G1799" s="4"/>
      <c r="H1799" s="4"/>
      <c r="I1799" s="4"/>
      <c r="J1799" s="4"/>
      <c r="K1799" s="4"/>
    </row>
    <row r="1800" spans="1:11" ht="13">
      <c r="A1800" s="164"/>
      <c r="B1800" s="4"/>
      <c r="C1800" s="4"/>
      <c r="D1800" s="4"/>
      <c r="E1800" s="4"/>
      <c r="F1800" s="4"/>
      <c r="G1800" s="4"/>
      <c r="H1800" s="4"/>
      <c r="I1800" s="4"/>
      <c r="J1800" s="4"/>
      <c r="K1800" s="4"/>
    </row>
    <row r="1801" spans="1:11" ht="13">
      <c r="A1801" s="164"/>
      <c r="B1801" s="4"/>
      <c r="C1801" s="4"/>
      <c r="D1801" s="4"/>
      <c r="E1801" s="4"/>
      <c r="F1801" s="4"/>
      <c r="G1801" s="4"/>
      <c r="H1801" s="4"/>
      <c r="I1801" s="4"/>
      <c r="J1801" s="4"/>
      <c r="K1801" s="4"/>
    </row>
    <row r="1802" spans="1:11" ht="13">
      <c r="A1802" s="164"/>
      <c r="B1802" s="4"/>
      <c r="C1802" s="4"/>
      <c r="D1802" s="4"/>
      <c r="E1802" s="4"/>
      <c r="F1802" s="4"/>
      <c r="G1802" s="4"/>
      <c r="H1802" s="4"/>
      <c r="I1802" s="4"/>
      <c r="J1802" s="4"/>
      <c r="K1802" s="4"/>
    </row>
    <row r="1803" spans="1:11" ht="13">
      <c r="A1803" s="164"/>
      <c r="B1803" s="4"/>
      <c r="C1803" s="4"/>
      <c r="D1803" s="4"/>
      <c r="E1803" s="4"/>
      <c r="F1803" s="4"/>
      <c r="G1803" s="4"/>
      <c r="H1803" s="4"/>
      <c r="I1803" s="4"/>
      <c r="J1803" s="4"/>
      <c r="K1803" s="4"/>
    </row>
    <row r="1804" spans="1:11" ht="13">
      <c r="A1804" s="164"/>
      <c r="B1804" s="4"/>
      <c r="C1804" s="4"/>
      <c r="D1804" s="4"/>
      <c r="E1804" s="4"/>
      <c r="F1804" s="4"/>
      <c r="G1804" s="4"/>
      <c r="H1804" s="4"/>
      <c r="I1804" s="4"/>
      <c r="J1804" s="4"/>
      <c r="K1804" s="4"/>
    </row>
    <row r="1805" spans="1:11" ht="13">
      <c r="A1805" s="164"/>
      <c r="B1805" s="4"/>
      <c r="C1805" s="4"/>
      <c r="D1805" s="4"/>
      <c r="E1805" s="4"/>
      <c r="F1805" s="4"/>
      <c r="G1805" s="4"/>
      <c r="H1805" s="4"/>
      <c r="I1805" s="4"/>
      <c r="J1805" s="4"/>
      <c r="K1805" s="4"/>
    </row>
    <row r="1806" spans="1:11" ht="13">
      <c r="A1806" s="164"/>
      <c r="B1806" s="4"/>
      <c r="C1806" s="4"/>
      <c r="D1806" s="4"/>
      <c r="E1806" s="4"/>
      <c r="F1806" s="4"/>
      <c r="G1806" s="4"/>
      <c r="H1806" s="4"/>
      <c r="I1806" s="4"/>
      <c r="J1806" s="4"/>
      <c r="K1806" s="4"/>
    </row>
    <row r="1807" spans="1:11" ht="13">
      <c r="A1807" s="164"/>
      <c r="B1807" s="4"/>
      <c r="C1807" s="4"/>
      <c r="D1807" s="4"/>
      <c r="E1807" s="4"/>
      <c r="F1807" s="4"/>
      <c r="G1807" s="4"/>
      <c r="H1807" s="4"/>
      <c r="I1807" s="4"/>
      <c r="J1807" s="4"/>
      <c r="K1807" s="4"/>
    </row>
    <row r="1808" spans="1:11" ht="13">
      <c r="A1808" s="164"/>
      <c r="B1808" s="4"/>
      <c r="C1808" s="4"/>
      <c r="D1808" s="4"/>
      <c r="E1808" s="4"/>
      <c r="F1808" s="4"/>
      <c r="G1808" s="4"/>
      <c r="H1808" s="4"/>
      <c r="I1808" s="4"/>
      <c r="J1808" s="4"/>
      <c r="K1808" s="4"/>
    </row>
    <row r="1809" spans="1:11" ht="13">
      <c r="A1809" s="164"/>
      <c r="B1809" s="4"/>
      <c r="C1809" s="4"/>
      <c r="D1809" s="4"/>
      <c r="E1809" s="4"/>
      <c r="F1809" s="4"/>
      <c r="G1809" s="4"/>
      <c r="H1809" s="4"/>
      <c r="I1809" s="4"/>
      <c r="J1809" s="4"/>
      <c r="K1809" s="4"/>
    </row>
    <row r="1810" spans="1:11" ht="13">
      <c r="A1810" s="164"/>
      <c r="B1810" s="4"/>
      <c r="C1810" s="4"/>
      <c r="D1810" s="4"/>
      <c r="E1810" s="4"/>
      <c r="F1810" s="4"/>
      <c r="G1810" s="4"/>
      <c r="H1810" s="4"/>
      <c r="I1810" s="4"/>
      <c r="J1810" s="4"/>
      <c r="K1810" s="4"/>
    </row>
    <row r="1811" spans="1:11" ht="13">
      <c r="A1811" s="164"/>
      <c r="B1811" s="4"/>
      <c r="C1811" s="4"/>
      <c r="D1811" s="4"/>
      <c r="E1811" s="4"/>
      <c r="F1811" s="4"/>
      <c r="G1811" s="4"/>
      <c r="H1811" s="4"/>
      <c r="I1811" s="4"/>
      <c r="J1811" s="4"/>
      <c r="K1811" s="4"/>
    </row>
    <row r="1812" spans="1:11" ht="13">
      <c r="A1812" s="164"/>
      <c r="B1812" s="4"/>
      <c r="C1812" s="4"/>
      <c r="D1812" s="4"/>
      <c r="E1812" s="4"/>
      <c r="F1812" s="4"/>
      <c r="G1812" s="4"/>
      <c r="H1812" s="4"/>
      <c r="I1812" s="4"/>
      <c r="J1812" s="4"/>
      <c r="K1812" s="4"/>
    </row>
    <row r="1813" spans="1:11" ht="13">
      <c r="A1813" s="164"/>
      <c r="B1813" s="4"/>
      <c r="C1813" s="4"/>
      <c r="D1813" s="4"/>
      <c r="E1813" s="4"/>
      <c r="F1813" s="4"/>
      <c r="G1813" s="4"/>
      <c r="H1813" s="4"/>
      <c r="I1813" s="4"/>
      <c r="J1813" s="4"/>
      <c r="K1813" s="4"/>
    </row>
    <row r="1814" spans="1:11" ht="13">
      <c r="A1814" s="164"/>
      <c r="B1814" s="4"/>
      <c r="C1814" s="4"/>
      <c r="D1814" s="4"/>
      <c r="E1814" s="4"/>
      <c r="F1814" s="4"/>
      <c r="G1814" s="4"/>
      <c r="H1814" s="4"/>
      <c r="I1814" s="4"/>
      <c r="J1814" s="4"/>
      <c r="K1814" s="4"/>
    </row>
    <row r="1815" spans="1:11" ht="13">
      <c r="A1815" s="164"/>
      <c r="B1815" s="4"/>
      <c r="C1815" s="4"/>
      <c r="D1815" s="4"/>
      <c r="E1815" s="4"/>
      <c r="F1815" s="4"/>
      <c r="G1815" s="4"/>
      <c r="H1815" s="4"/>
      <c r="I1815" s="4"/>
      <c r="J1815" s="4"/>
      <c r="K1815" s="4"/>
    </row>
    <row r="1816" spans="1:11" ht="13">
      <c r="A1816" s="164"/>
      <c r="B1816" s="4"/>
      <c r="C1816" s="4"/>
      <c r="D1816" s="4"/>
      <c r="E1816" s="4"/>
      <c r="F1816" s="4"/>
      <c r="G1816" s="4"/>
      <c r="H1816" s="4"/>
      <c r="I1816" s="4"/>
      <c r="J1816" s="4"/>
      <c r="K1816" s="4"/>
    </row>
    <row r="1817" spans="1:11" ht="13">
      <c r="A1817" s="164"/>
      <c r="B1817" s="4"/>
      <c r="C1817" s="4"/>
      <c r="D1817" s="4"/>
      <c r="E1817" s="4"/>
      <c r="F1817" s="4"/>
      <c r="G1817" s="4"/>
      <c r="H1817" s="4"/>
      <c r="I1817" s="4"/>
      <c r="J1817" s="4"/>
      <c r="K1817" s="4"/>
    </row>
    <row r="1818" spans="1:11" ht="13">
      <c r="A1818" s="164"/>
      <c r="B1818" s="4"/>
      <c r="C1818" s="4"/>
      <c r="D1818" s="4"/>
      <c r="E1818" s="4"/>
      <c r="F1818" s="4"/>
      <c r="G1818" s="4"/>
      <c r="H1818" s="4"/>
      <c r="I1818" s="4"/>
      <c r="J1818" s="4"/>
      <c r="K1818" s="4"/>
    </row>
    <row r="1819" spans="1:11" ht="13">
      <c r="A1819" s="164"/>
      <c r="B1819" s="4"/>
      <c r="C1819" s="4"/>
      <c r="D1819" s="4"/>
      <c r="E1819" s="4"/>
      <c r="F1819" s="4"/>
      <c r="G1819" s="4"/>
      <c r="H1819" s="4"/>
      <c r="I1819" s="4"/>
      <c r="J1819" s="4"/>
      <c r="K1819" s="4"/>
    </row>
    <row r="1820" spans="1:11" ht="13">
      <c r="A1820" s="164"/>
      <c r="B1820" s="4"/>
      <c r="C1820" s="4"/>
      <c r="D1820" s="4"/>
      <c r="E1820" s="4"/>
      <c r="F1820" s="4"/>
      <c r="G1820" s="4"/>
      <c r="H1820" s="4"/>
      <c r="I1820" s="4"/>
      <c r="J1820" s="4"/>
      <c r="K1820" s="4"/>
    </row>
    <row r="1821" spans="1:11" ht="13">
      <c r="A1821" s="164"/>
      <c r="B1821" s="4"/>
      <c r="C1821" s="4"/>
      <c r="D1821" s="4"/>
      <c r="E1821" s="4"/>
      <c r="F1821" s="4"/>
      <c r="G1821" s="4"/>
      <c r="H1821" s="4"/>
      <c r="I1821" s="4"/>
      <c r="J1821" s="4"/>
      <c r="K1821" s="4"/>
    </row>
    <row r="1822" spans="1:11" ht="13">
      <c r="A1822" s="164"/>
      <c r="B1822" s="4"/>
      <c r="C1822" s="4"/>
      <c r="D1822" s="4"/>
      <c r="E1822" s="4"/>
      <c r="F1822" s="4"/>
      <c r="G1822" s="4"/>
      <c r="H1822" s="4"/>
      <c r="I1822" s="4"/>
      <c r="J1822" s="4"/>
      <c r="K1822" s="4"/>
    </row>
    <row r="1823" spans="1:11" ht="13">
      <c r="A1823" s="164"/>
      <c r="B1823" s="4"/>
      <c r="C1823" s="4"/>
      <c r="D1823" s="4"/>
      <c r="E1823" s="4"/>
      <c r="F1823" s="4"/>
      <c r="G1823" s="4"/>
      <c r="H1823" s="4"/>
      <c r="I1823" s="4"/>
      <c r="J1823" s="4"/>
      <c r="K1823" s="4"/>
    </row>
    <row r="1824" spans="1:11" ht="13">
      <c r="A1824" s="164"/>
      <c r="B1824" s="4"/>
      <c r="C1824" s="4"/>
      <c r="D1824" s="4"/>
      <c r="E1824" s="4"/>
      <c r="F1824" s="4"/>
      <c r="G1824" s="4"/>
      <c r="H1824" s="4"/>
      <c r="I1824" s="4"/>
      <c r="J1824" s="4"/>
      <c r="K1824" s="4"/>
    </row>
    <row r="1825" spans="1:11" ht="13">
      <c r="A1825" s="164"/>
      <c r="B1825" s="4"/>
      <c r="C1825" s="4"/>
      <c r="D1825" s="4"/>
      <c r="E1825" s="4"/>
      <c r="F1825" s="4"/>
      <c r="G1825" s="4"/>
      <c r="H1825" s="4"/>
      <c r="I1825" s="4"/>
      <c r="J1825" s="4"/>
      <c r="K1825" s="4"/>
    </row>
    <row r="1826" spans="1:11" ht="13">
      <c r="A1826" s="164"/>
      <c r="B1826" s="4"/>
      <c r="C1826" s="4"/>
      <c r="D1826" s="4"/>
      <c r="E1826" s="4"/>
      <c r="F1826" s="4"/>
      <c r="G1826" s="4"/>
      <c r="H1826" s="4"/>
      <c r="I1826" s="4"/>
      <c r="J1826" s="4"/>
      <c r="K1826" s="4"/>
    </row>
    <row r="1827" spans="1:11" ht="13">
      <c r="A1827" s="164"/>
      <c r="B1827" s="4"/>
      <c r="C1827" s="4"/>
      <c r="D1827" s="4"/>
      <c r="E1827" s="4"/>
      <c r="F1827" s="4"/>
      <c r="G1827" s="4"/>
      <c r="H1827" s="4"/>
      <c r="I1827" s="4"/>
      <c r="J1827" s="4"/>
      <c r="K1827" s="4"/>
    </row>
    <row r="1828" spans="1:11" ht="13">
      <c r="A1828" s="164"/>
      <c r="B1828" s="4"/>
      <c r="C1828" s="4"/>
      <c r="D1828" s="4"/>
      <c r="E1828" s="4"/>
      <c r="F1828" s="4"/>
      <c r="G1828" s="4"/>
      <c r="H1828" s="4"/>
      <c r="I1828" s="4"/>
      <c r="J1828" s="4"/>
      <c r="K1828" s="4"/>
    </row>
    <row r="1829" spans="1:11" ht="13">
      <c r="A1829" s="164"/>
      <c r="B1829" s="4"/>
      <c r="C1829" s="4"/>
      <c r="D1829" s="4"/>
      <c r="E1829" s="4"/>
      <c r="F1829" s="4"/>
      <c r="G1829" s="4"/>
      <c r="H1829" s="4"/>
      <c r="I1829" s="4"/>
      <c r="J1829" s="4"/>
      <c r="K1829" s="4"/>
    </row>
    <row r="1830" spans="1:11" ht="13">
      <c r="A1830" s="164"/>
      <c r="B1830" s="4"/>
      <c r="C1830" s="4"/>
      <c r="D1830" s="4"/>
      <c r="E1830" s="4"/>
      <c r="F1830" s="4"/>
      <c r="G1830" s="4"/>
      <c r="H1830" s="4"/>
      <c r="I1830" s="4"/>
      <c r="J1830" s="4"/>
      <c r="K1830" s="4"/>
    </row>
    <row r="1831" spans="1:11" ht="13">
      <c r="A1831" s="164"/>
      <c r="B1831" s="4"/>
      <c r="C1831" s="4"/>
      <c r="D1831" s="4"/>
      <c r="E1831" s="4"/>
      <c r="F1831" s="4"/>
      <c r="G1831" s="4"/>
      <c r="H1831" s="4"/>
      <c r="I1831" s="4"/>
      <c r="J1831" s="4"/>
      <c r="K1831" s="4"/>
    </row>
    <row r="1832" spans="1:11" ht="13">
      <c r="A1832" s="164"/>
      <c r="B1832" s="4"/>
      <c r="C1832" s="4"/>
      <c r="D1832" s="4"/>
      <c r="E1832" s="4"/>
      <c r="F1832" s="4"/>
      <c r="G1832" s="4"/>
      <c r="H1832" s="4"/>
      <c r="I1832" s="4"/>
      <c r="J1832" s="4"/>
      <c r="K1832" s="4"/>
    </row>
    <row r="1833" spans="1:11" ht="13">
      <c r="A1833" s="164"/>
      <c r="B1833" s="4"/>
      <c r="C1833" s="4"/>
      <c r="D1833" s="4"/>
      <c r="E1833" s="4"/>
      <c r="F1833" s="4"/>
      <c r="G1833" s="4"/>
      <c r="H1833" s="4"/>
      <c r="I1833" s="4"/>
      <c r="J1833" s="4"/>
      <c r="K1833" s="4"/>
    </row>
    <row r="1834" spans="1:11" ht="13">
      <c r="A1834" s="164"/>
      <c r="B1834" s="4"/>
      <c r="C1834" s="4"/>
      <c r="D1834" s="4"/>
      <c r="E1834" s="4"/>
      <c r="F1834" s="4"/>
      <c r="G1834" s="4"/>
      <c r="H1834" s="4"/>
      <c r="I1834" s="4"/>
      <c r="J1834" s="4"/>
      <c r="K1834" s="4"/>
    </row>
    <row r="1835" spans="1:11" ht="13">
      <c r="A1835" s="164"/>
      <c r="B1835" s="4"/>
      <c r="C1835" s="4"/>
      <c r="D1835" s="4"/>
      <c r="E1835" s="4"/>
      <c r="F1835" s="4"/>
      <c r="G1835" s="4"/>
      <c r="H1835" s="4"/>
      <c r="I1835" s="4"/>
      <c r="J1835" s="4"/>
      <c r="K1835" s="4"/>
    </row>
    <row r="1836" spans="1:11" ht="13">
      <c r="A1836" s="164"/>
      <c r="B1836" s="4"/>
      <c r="C1836" s="4"/>
      <c r="D1836" s="4"/>
      <c r="E1836" s="4"/>
      <c r="F1836" s="4"/>
      <c r="G1836" s="4"/>
      <c r="H1836" s="4"/>
      <c r="I1836" s="4"/>
      <c r="J1836" s="4"/>
      <c r="K1836" s="4"/>
    </row>
    <row r="1837" spans="1:11" ht="13">
      <c r="A1837" s="164"/>
      <c r="B1837" s="4"/>
      <c r="C1837" s="4"/>
      <c r="D1837" s="4"/>
      <c r="E1837" s="4"/>
      <c r="F1837" s="4"/>
      <c r="G1837" s="4"/>
      <c r="H1837" s="4"/>
      <c r="I1837" s="4"/>
      <c r="J1837" s="4"/>
      <c r="K1837" s="4"/>
    </row>
    <row r="1838" spans="1:11" ht="13">
      <c r="A1838" s="164"/>
      <c r="B1838" s="4"/>
      <c r="C1838" s="4"/>
      <c r="D1838" s="4"/>
      <c r="E1838" s="4"/>
      <c r="F1838" s="4"/>
      <c r="G1838" s="4"/>
      <c r="H1838" s="4"/>
      <c r="I1838" s="4"/>
      <c r="J1838" s="4"/>
      <c r="K1838" s="4"/>
    </row>
    <row r="1839" spans="1:11" ht="13">
      <c r="A1839" s="164"/>
      <c r="B1839" s="4"/>
      <c r="C1839" s="4"/>
      <c r="D1839" s="4"/>
      <c r="E1839" s="4"/>
      <c r="F1839" s="4"/>
      <c r="G1839" s="4"/>
      <c r="H1839" s="4"/>
      <c r="I1839" s="4"/>
      <c r="J1839" s="4"/>
      <c r="K1839" s="4"/>
    </row>
    <row r="1840" spans="1:11" ht="13">
      <c r="A1840" s="164"/>
      <c r="B1840" s="4"/>
      <c r="C1840" s="4"/>
      <c r="D1840" s="4"/>
      <c r="E1840" s="4"/>
      <c r="F1840" s="4"/>
      <c r="G1840" s="4"/>
      <c r="H1840" s="4"/>
      <c r="I1840" s="4"/>
      <c r="J1840" s="4"/>
      <c r="K1840" s="4"/>
    </row>
    <row r="1841" spans="1:11" ht="13">
      <c r="A1841" s="164"/>
      <c r="B1841" s="4"/>
      <c r="C1841" s="4"/>
      <c r="D1841" s="4"/>
      <c r="E1841" s="4"/>
      <c r="F1841" s="4"/>
      <c r="G1841" s="4"/>
      <c r="H1841" s="4"/>
      <c r="I1841" s="4"/>
      <c r="J1841" s="4"/>
      <c r="K1841" s="4"/>
    </row>
    <row r="1842" spans="1:11" ht="13">
      <c r="A1842" s="164"/>
      <c r="B1842" s="4"/>
      <c r="C1842" s="4"/>
      <c r="D1842" s="4"/>
      <c r="E1842" s="4"/>
      <c r="F1842" s="4"/>
      <c r="G1842" s="4"/>
      <c r="H1842" s="4"/>
      <c r="I1842" s="4"/>
      <c r="J1842" s="4"/>
      <c r="K1842" s="4"/>
    </row>
    <row r="1843" spans="1:11" ht="13">
      <c r="A1843" s="164"/>
      <c r="B1843" s="4"/>
      <c r="C1843" s="4"/>
      <c r="D1843" s="4"/>
      <c r="E1843" s="4"/>
      <c r="F1843" s="4"/>
      <c r="G1843" s="4"/>
      <c r="H1843" s="4"/>
      <c r="I1843" s="4"/>
      <c r="J1843" s="4"/>
      <c r="K1843" s="4"/>
    </row>
    <row r="1844" spans="1:11" ht="13">
      <c r="A1844" s="164"/>
      <c r="B1844" s="4"/>
      <c r="C1844" s="4"/>
      <c r="D1844" s="4"/>
      <c r="E1844" s="4"/>
      <c r="F1844" s="4"/>
      <c r="G1844" s="4"/>
      <c r="H1844" s="4"/>
      <c r="I1844" s="4"/>
      <c r="J1844" s="4"/>
      <c r="K1844" s="4"/>
    </row>
    <row r="1845" spans="1:11" ht="13">
      <c r="A1845" s="164"/>
      <c r="B1845" s="4"/>
      <c r="C1845" s="4"/>
      <c r="D1845" s="4"/>
      <c r="E1845" s="4"/>
      <c r="F1845" s="4"/>
      <c r="G1845" s="4"/>
      <c r="H1845" s="4"/>
      <c r="I1845" s="4"/>
      <c r="J1845" s="4"/>
      <c r="K1845" s="4"/>
    </row>
    <row r="1846" spans="1:11" ht="13">
      <c r="A1846" s="164"/>
      <c r="B1846" s="4"/>
      <c r="C1846" s="4"/>
      <c r="D1846" s="4"/>
      <c r="E1846" s="4"/>
      <c r="F1846" s="4"/>
      <c r="G1846" s="4"/>
      <c r="H1846" s="4"/>
      <c r="I1846" s="4"/>
      <c r="J1846" s="4"/>
      <c r="K1846" s="4"/>
    </row>
    <row r="1847" spans="1:11" ht="13">
      <c r="A1847" s="164"/>
      <c r="B1847" s="4"/>
      <c r="C1847" s="4"/>
      <c r="D1847" s="4"/>
      <c r="E1847" s="4"/>
      <c r="F1847" s="4"/>
      <c r="G1847" s="4"/>
      <c r="H1847" s="4"/>
      <c r="I1847" s="4"/>
      <c r="J1847" s="4"/>
      <c r="K1847" s="4"/>
    </row>
    <row r="1848" spans="1:11" ht="13">
      <c r="A1848" s="164"/>
      <c r="B1848" s="4"/>
      <c r="C1848" s="4"/>
      <c r="D1848" s="4"/>
      <c r="E1848" s="4"/>
      <c r="F1848" s="4"/>
      <c r="G1848" s="4"/>
      <c r="H1848" s="4"/>
      <c r="I1848" s="4"/>
      <c r="J1848" s="4"/>
      <c r="K1848" s="4"/>
    </row>
    <row r="1849" spans="1:11" ht="13">
      <c r="A1849" s="164"/>
      <c r="B1849" s="4"/>
      <c r="C1849" s="4"/>
      <c r="D1849" s="4"/>
      <c r="E1849" s="4"/>
      <c r="F1849" s="4"/>
      <c r="G1849" s="4"/>
      <c r="H1849" s="4"/>
      <c r="I1849" s="4"/>
      <c r="J1849" s="4"/>
      <c r="K1849" s="4"/>
    </row>
    <row r="1850" spans="1:11" ht="13">
      <c r="A1850" s="164"/>
      <c r="B1850" s="4"/>
      <c r="C1850" s="4"/>
      <c r="D1850" s="4"/>
      <c r="E1850" s="4"/>
      <c r="F1850" s="4"/>
      <c r="G1850" s="4"/>
      <c r="H1850" s="4"/>
      <c r="I1850" s="4"/>
      <c r="J1850" s="4"/>
      <c r="K1850" s="4"/>
    </row>
    <row r="1851" spans="1:11" ht="13">
      <c r="A1851" s="164"/>
      <c r="B1851" s="4"/>
      <c r="C1851" s="4"/>
      <c r="D1851" s="4"/>
      <c r="E1851" s="4"/>
      <c r="F1851" s="4"/>
      <c r="G1851" s="4"/>
      <c r="H1851" s="4"/>
      <c r="I1851" s="4"/>
      <c r="J1851" s="4"/>
      <c r="K1851" s="4"/>
    </row>
    <row r="1852" spans="1:11" ht="13">
      <c r="A1852" s="164"/>
      <c r="B1852" s="4"/>
      <c r="C1852" s="4"/>
      <c r="D1852" s="4"/>
      <c r="E1852" s="4"/>
      <c r="F1852" s="4"/>
      <c r="G1852" s="4"/>
      <c r="H1852" s="4"/>
      <c r="I1852" s="4"/>
      <c r="J1852" s="4"/>
      <c r="K1852" s="4"/>
    </row>
    <row r="1853" spans="1:11" ht="13">
      <c r="A1853" s="164"/>
      <c r="B1853" s="4"/>
      <c r="C1853" s="4"/>
      <c r="D1853" s="4"/>
      <c r="E1853" s="4"/>
      <c r="F1853" s="4"/>
      <c r="G1853" s="4"/>
      <c r="H1853" s="4"/>
      <c r="I1853" s="4"/>
      <c r="J1853" s="4"/>
      <c r="K1853" s="4"/>
    </row>
    <row r="1854" spans="1:11" ht="13">
      <c r="A1854" s="164"/>
      <c r="B1854" s="4"/>
      <c r="C1854" s="4"/>
      <c r="D1854" s="4"/>
      <c r="E1854" s="4"/>
      <c r="F1854" s="4"/>
      <c r="G1854" s="4"/>
      <c r="H1854" s="4"/>
      <c r="I1854" s="4"/>
      <c r="J1854" s="4"/>
      <c r="K1854" s="4"/>
    </row>
    <row r="1855" spans="1:11" ht="13">
      <c r="A1855" s="164"/>
      <c r="B1855" s="4"/>
      <c r="C1855" s="4"/>
      <c r="D1855" s="4"/>
      <c r="E1855" s="4"/>
      <c r="F1855" s="4"/>
      <c r="G1855" s="4"/>
      <c r="H1855" s="4"/>
      <c r="I1855" s="4"/>
      <c r="J1855" s="4"/>
      <c r="K1855" s="4"/>
    </row>
    <row r="1856" spans="1:11" ht="13">
      <c r="A1856" s="164"/>
      <c r="B1856" s="4"/>
      <c r="C1856" s="4"/>
      <c r="D1856" s="4"/>
      <c r="E1856" s="4"/>
      <c r="F1856" s="4"/>
      <c r="G1856" s="4"/>
      <c r="H1856" s="4"/>
      <c r="I1856" s="4"/>
      <c r="J1856" s="4"/>
      <c r="K1856" s="4"/>
    </row>
    <row r="1857" spans="1:11" ht="13">
      <c r="A1857" s="164"/>
      <c r="B1857" s="4"/>
      <c r="C1857" s="4"/>
      <c r="D1857" s="4"/>
      <c r="E1857" s="4"/>
      <c r="F1857" s="4"/>
      <c r="G1857" s="4"/>
      <c r="H1857" s="4"/>
      <c r="I1857" s="4"/>
      <c r="J1857" s="4"/>
      <c r="K1857" s="4"/>
    </row>
    <row r="1858" spans="1:11" ht="13">
      <c r="A1858" s="164"/>
      <c r="B1858" s="4"/>
      <c r="C1858" s="4"/>
      <c r="D1858" s="4"/>
      <c r="E1858" s="4"/>
      <c r="F1858" s="4"/>
      <c r="G1858" s="4"/>
      <c r="H1858" s="4"/>
      <c r="I1858" s="4"/>
      <c r="J1858" s="4"/>
      <c r="K1858" s="4"/>
    </row>
    <row r="1859" spans="1:11" ht="13">
      <c r="A1859" s="164"/>
      <c r="B1859" s="4"/>
      <c r="C1859" s="4"/>
      <c r="D1859" s="4"/>
      <c r="E1859" s="4"/>
      <c r="F1859" s="4"/>
      <c r="G1859" s="4"/>
      <c r="H1859" s="4"/>
      <c r="I1859" s="4"/>
      <c r="J1859" s="4"/>
      <c r="K1859" s="4"/>
    </row>
    <row r="1860" spans="1:11" ht="13">
      <c r="A1860" s="164"/>
      <c r="B1860" s="4"/>
      <c r="C1860" s="4"/>
      <c r="D1860" s="4"/>
      <c r="E1860" s="4"/>
      <c r="F1860" s="4"/>
      <c r="G1860" s="4"/>
      <c r="H1860" s="4"/>
      <c r="I1860" s="4"/>
      <c r="J1860" s="4"/>
      <c r="K1860" s="4"/>
    </row>
    <row r="1861" spans="1:11" ht="13">
      <c r="A1861" s="164"/>
      <c r="B1861" s="4"/>
      <c r="C1861" s="4"/>
      <c r="D1861" s="4"/>
      <c r="E1861" s="4"/>
      <c r="F1861" s="4"/>
      <c r="G1861" s="4"/>
      <c r="H1861" s="4"/>
      <c r="I1861" s="4"/>
      <c r="J1861" s="4"/>
      <c r="K1861" s="4"/>
    </row>
    <row r="1862" spans="1:11" ht="13">
      <c r="A1862" s="164"/>
      <c r="B1862" s="4"/>
      <c r="C1862" s="4"/>
      <c r="D1862" s="4"/>
      <c r="E1862" s="4"/>
      <c r="F1862" s="4"/>
      <c r="G1862" s="4"/>
      <c r="H1862" s="4"/>
      <c r="I1862" s="4"/>
      <c r="J1862" s="4"/>
      <c r="K1862" s="4"/>
    </row>
    <row r="1863" spans="1:11" ht="13">
      <c r="A1863" s="164"/>
      <c r="B1863" s="4"/>
      <c r="C1863" s="4"/>
      <c r="D1863" s="4"/>
      <c r="E1863" s="4"/>
      <c r="F1863" s="4"/>
      <c r="G1863" s="4"/>
      <c r="H1863" s="4"/>
      <c r="I1863" s="4"/>
      <c r="J1863" s="4"/>
      <c r="K1863" s="4"/>
    </row>
    <row r="1864" spans="1:11" ht="13">
      <c r="A1864" s="164"/>
      <c r="B1864" s="4"/>
      <c r="C1864" s="4"/>
      <c r="D1864" s="4"/>
      <c r="E1864" s="4"/>
      <c r="F1864" s="4"/>
      <c r="G1864" s="4"/>
      <c r="H1864" s="4"/>
      <c r="I1864" s="4"/>
      <c r="J1864" s="4"/>
      <c r="K1864" s="4"/>
    </row>
    <row r="1865" spans="1:11" ht="13">
      <c r="A1865" s="164"/>
      <c r="B1865" s="4"/>
      <c r="C1865" s="4"/>
      <c r="D1865" s="4"/>
      <c r="E1865" s="4"/>
      <c r="F1865" s="4"/>
      <c r="G1865" s="4"/>
      <c r="H1865" s="4"/>
      <c r="I1865" s="4"/>
      <c r="J1865" s="4"/>
      <c r="K1865" s="4"/>
    </row>
    <row r="1866" spans="1:11" ht="13">
      <c r="A1866" s="164"/>
      <c r="B1866" s="4"/>
      <c r="C1866" s="4"/>
      <c r="D1866" s="4"/>
      <c r="E1866" s="4"/>
      <c r="F1866" s="4"/>
      <c r="G1866" s="4"/>
      <c r="H1866" s="4"/>
      <c r="I1866" s="4"/>
      <c r="J1866" s="4"/>
      <c r="K1866" s="4"/>
    </row>
    <row r="1867" spans="1:11" ht="13">
      <c r="A1867" s="164"/>
      <c r="B1867" s="4"/>
      <c r="C1867" s="4"/>
      <c r="D1867" s="4"/>
      <c r="E1867" s="4"/>
      <c r="F1867" s="4"/>
      <c r="G1867" s="4"/>
      <c r="H1867" s="4"/>
      <c r="I1867" s="4"/>
      <c r="J1867" s="4"/>
      <c r="K1867" s="4"/>
    </row>
    <row r="1868" spans="1:11" ht="13">
      <c r="A1868" s="164"/>
      <c r="B1868" s="4"/>
      <c r="C1868" s="4"/>
      <c r="D1868" s="4"/>
      <c r="E1868" s="4"/>
      <c r="F1868" s="4"/>
      <c r="G1868" s="4"/>
      <c r="H1868" s="4"/>
      <c r="I1868" s="4"/>
      <c r="J1868" s="4"/>
      <c r="K1868" s="4"/>
    </row>
    <row r="1869" spans="1:11" ht="13">
      <c r="A1869" s="164"/>
      <c r="B1869" s="4"/>
      <c r="C1869" s="4"/>
      <c r="D1869" s="4"/>
      <c r="E1869" s="4"/>
      <c r="F1869" s="4"/>
      <c r="G1869" s="4"/>
      <c r="H1869" s="4"/>
      <c r="I1869" s="4"/>
      <c r="J1869" s="4"/>
      <c r="K1869" s="4"/>
    </row>
    <row r="1870" spans="1:11" ht="13">
      <c r="A1870" s="164"/>
      <c r="B1870" s="4"/>
      <c r="C1870" s="4"/>
      <c r="D1870" s="4"/>
      <c r="E1870" s="4"/>
      <c r="F1870" s="4"/>
      <c r="G1870" s="4"/>
      <c r="H1870" s="4"/>
      <c r="I1870" s="4"/>
      <c r="J1870" s="4"/>
      <c r="K1870" s="4"/>
    </row>
    <row r="1871" spans="1:11" ht="13">
      <c r="A1871" s="164"/>
      <c r="B1871" s="4"/>
      <c r="C1871" s="4"/>
      <c r="D1871" s="4"/>
      <c r="E1871" s="4"/>
      <c r="F1871" s="4"/>
      <c r="G1871" s="4"/>
      <c r="H1871" s="4"/>
      <c r="I1871" s="4"/>
      <c r="J1871" s="4"/>
      <c r="K1871" s="4"/>
    </row>
    <row r="1872" spans="1:11" ht="13">
      <c r="A1872" s="164"/>
      <c r="B1872" s="4"/>
      <c r="C1872" s="4"/>
      <c r="D1872" s="4"/>
      <c r="E1872" s="4"/>
      <c r="F1872" s="4"/>
      <c r="G1872" s="4"/>
      <c r="H1872" s="4"/>
      <c r="I1872" s="4"/>
      <c r="J1872" s="4"/>
      <c r="K1872" s="4"/>
    </row>
    <row r="1873" spans="1:11" ht="13">
      <c r="A1873" s="164"/>
      <c r="B1873" s="4"/>
      <c r="C1873" s="4"/>
      <c r="D1873" s="4"/>
      <c r="E1873" s="4"/>
      <c r="F1873" s="4"/>
      <c r="G1873" s="4"/>
      <c r="H1873" s="4"/>
      <c r="I1873" s="4"/>
      <c r="J1873" s="4"/>
      <c r="K1873" s="4"/>
    </row>
    <row r="1874" spans="1:11" ht="13">
      <c r="A1874" s="164"/>
      <c r="B1874" s="4"/>
      <c r="C1874" s="4"/>
      <c r="D1874" s="4"/>
      <c r="E1874" s="4"/>
      <c r="F1874" s="4"/>
      <c r="G1874" s="4"/>
      <c r="H1874" s="4"/>
      <c r="I1874" s="4"/>
      <c r="J1874" s="4"/>
      <c r="K1874" s="4"/>
    </row>
    <row r="1875" spans="1:11" ht="13">
      <c r="A1875" s="164"/>
      <c r="B1875" s="4"/>
      <c r="C1875" s="4"/>
      <c r="D1875" s="4"/>
      <c r="E1875" s="4"/>
      <c r="F1875" s="4"/>
      <c r="G1875" s="4"/>
      <c r="H1875" s="4"/>
      <c r="I1875" s="4"/>
      <c r="J1875" s="4"/>
      <c r="K1875" s="4"/>
    </row>
    <row r="1876" spans="1:11" ht="13">
      <c r="A1876" s="164"/>
      <c r="B1876" s="4"/>
      <c r="C1876" s="4"/>
      <c r="D1876" s="4"/>
      <c r="E1876" s="4"/>
      <c r="F1876" s="4"/>
      <c r="G1876" s="4"/>
      <c r="H1876" s="4"/>
      <c r="I1876" s="4"/>
      <c r="J1876" s="4"/>
      <c r="K1876" s="4"/>
    </row>
    <row r="1877" spans="1:11" ht="13">
      <c r="A1877" s="164"/>
      <c r="B1877" s="4"/>
      <c r="C1877" s="4"/>
      <c r="D1877" s="4"/>
      <c r="E1877" s="4"/>
      <c r="F1877" s="4"/>
      <c r="G1877" s="4"/>
      <c r="H1877" s="4"/>
      <c r="I1877" s="4"/>
      <c r="J1877" s="4"/>
      <c r="K1877" s="4"/>
    </row>
    <row r="1878" spans="1:11" ht="13">
      <c r="A1878" s="164"/>
      <c r="B1878" s="4"/>
      <c r="C1878" s="4"/>
      <c r="D1878" s="4"/>
      <c r="E1878" s="4"/>
      <c r="F1878" s="4"/>
      <c r="G1878" s="4"/>
      <c r="H1878" s="4"/>
      <c r="I1878" s="4"/>
      <c r="J1878" s="4"/>
      <c r="K1878" s="4"/>
    </row>
    <row r="1879" spans="1:11" ht="13">
      <c r="A1879" s="164"/>
      <c r="B1879" s="4"/>
      <c r="C1879" s="4"/>
      <c r="D1879" s="4"/>
      <c r="E1879" s="4"/>
      <c r="F1879" s="4"/>
      <c r="G1879" s="4"/>
      <c r="H1879" s="4"/>
      <c r="I1879" s="4"/>
      <c r="J1879" s="4"/>
      <c r="K1879" s="4"/>
    </row>
    <row r="1880" spans="1:11" ht="13">
      <c r="A1880" s="164"/>
      <c r="B1880" s="4"/>
      <c r="C1880" s="4"/>
      <c r="D1880" s="4"/>
      <c r="E1880" s="4"/>
      <c r="F1880" s="4"/>
      <c r="G1880" s="4"/>
      <c r="H1880" s="4"/>
      <c r="I1880" s="4"/>
      <c r="J1880" s="4"/>
      <c r="K1880" s="4"/>
    </row>
    <row r="1881" spans="1:11" ht="13">
      <c r="A1881" s="164"/>
      <c r="B1881" s="4"/>
      <c r="C1881" s="4"/>
      <c r="D1881" s="4"/>
      <c r="E1881" s="4"/>
      <c r="F1881" s="4"/>
      <c r="G1881" s="4"/>
      <c r="H1881" s="4"/>
      <c r="I1881" s="4"/>
      <c r="J1881" s="4"/>
      <c r="K1881" s="4"/>
    </row>
    <row r="1882" spans="1:11" ht="13">
      <c r="A1882" s="164"/>
      <c r="B1882" s="4"/>
      <c r="C1882" s="4"/>
      <c r="D1882" s="4"/>
      <c r="E1882" s="4"/>
      <c r="F1882" s="4"/>
      <c r="G1882" s="4"/>
      <c r="H1882" s="4"/>
      <c r="I1882" s="4"/>
      <c r="J1882" s="4"/>
      <c r="K1882" s="4"/>
    </row>
    <row r="1883" spans="1:11" ht="13">
      <c r="A1883" s="164"/>
      <c r="B1883" s="4"/>
      <c r="C1883" s="4"/>
      <c r="D1883" s="4"/>
      <c r="E1883" s="4"/>
      <c r="F1883" s="4"/>
      <c r="G1883" s="4"/>
      <c r="H1883" s="4"/>
      <c r="I1883" s="4"/>
      <c r="J1883" s="4"/>
      <c r="K1883" s="4"/>
    </row>
    <row r="1884" spans="1:11" ht="13">
      <c r="A1884" s="164"/>
      <c r="B1884" s="4"/>
      <c r="C1884" s="4"/>
      <c r="D1884" s="4"/>
      <c r="E1884" s="4"/>
      <c r="F1884" s="4"/>
      <c r="G1884" s="4"/>
      <c r="H1884" s="4"/>
      <c r="I1884" s="4"/>
      <c r="J1884" s="4"/>
      <c r="K1884" s="4"/>
    </row>
    <row r="1885" spans="1:11" ht="13">
      <c r="A1885" s="164"/>
      <c r="B1885" s="4"/>
      <c r="C1885" s="4"/>
      <c r="D1885" s="4"/>
      <c r="E1885" s="4"/>
      <c r="F1885" s="4"/>
      <c r="G1885" s="4"/>
      <c r="H1885" s="4"/>
      <c r="I1885" s="4"/>
      <c r="J1885" s="4"/>
      <c r="K1885" s="4"/>
    </row>
    <row r="1886" spans="1:11" ht="13">
      <c r="A1886" s="164"/>
      <c r="B1886" s="4"/>
      <c r="C1886" s="4"/>
      <c r="D1886" s="4"/>
      <c r="E1886" s="4"/>
      <c r="F1886" s="4"/>
      <c r="G1886" s="4"/>
      <c r="H1886" s="4"/>
      <c r="I1886" s="4"/>
      <c r="J1886" s="4"/>
      <c r="K1886" s="4"/>
    </row>
    <row r="1887" spans="1:11" ht="13">
      <c r="A1887" s="164"/>
      <c r="B1887" s="4"/>
      <c r="C1887" s="4"/>
      <c r="D1887" s="4"/>
      <c r="E1887" s="4"/>
      <c r="F1887" s="4"/>
      <c r="G1887" s="4"/>
      <c r="H1887" s="4"/>
      <c r="I1887" s="4"/>
      <c r="J1887" s="4"/>
      <c r="K1887" s="4"/>
    </row>
    <row r="1888" spans="1:11" ht="13">
      <c r="A1888" s="164"/>
      <c r="B1888" s="4"/>
      <c r="C1888" s="4"/>
      <c r="D1888" s="4"/>
      <c r="E1888" s="4"/>
      <c r="F1888" s="4"/>
      <c r="G1888" s="4"/>
      <c r="H1888" s="4"/>
      <c r="I1888" s="4"/>
      <c r="J1888" s="4"/>
      <c r="K1888" s="4"/>
    </row>
    <row r="1889" spans="1:11" ht="13">
      <c r="A1889" s="164"/>
      <c r="B1889" s="4"/>
      <c r="C1889" s="4"/>
      <c r="D1889" s="4"/>
      <c r="E1889" s="4"/>
      <c r="F1889" s="4"/>
      <c r="G1889" s="4"/>
      <c r="H1889" s="4"/>
      <c r="I1889" s="4"/>
      <c r="J1889" s="4"/>
      <c r="K1889" s="4"/>
    </row>
    <row r="1890" spans="1:11" ht="13">
      <c r="A1890" s="164"/>
      <c r="B1890" s="4"/>
      <c r="C1890" s="4"/>
      <c r="D1890" s="4"/>
      <c r="E1890" s="4"/>
      <c r="F1890" s="4"/>
      <c r="G1890" s="4"/>
      <c r="H1890" s="4"/>
      <c r="I1890" s="4"/>
      <c r="J1890" s="4"/>
      <c r="K1890" s="4"/>
    </row>
    <row r="1891" spans="1:11" ht="13">
      <c r="A1891" s="164"/>
      <c r="B1891" s="4"/>
      <c r="C1891" s="4"/>
      <c r="D1891" s="4"/>
      <c r="E1891" s="4"/>
      <c r="F1891" s="4"/>
      <c r="G1891" s="4"/>
      <c r="H1891" s="4"/>
      <c r="I1891" s="4"/>
      <c r="J1891" s="4"/>
      <c r="K1891" s="4"/>
    </row>
    <row r="1892" spans="1:11" ht="13">
      <c r="A1892" s="164"/>
      <c r="B1892" s="4"/>
      <c r="C1892" s="4"/>
      <c r="D1892" s="4"/>
      <c r="E1892" s="4"/>
      <c r="F1892" s="4"/>
      <c r="G1892" s="4"/>
      <c r="H1892" s="4"/>
      <c r="I1892" s="4"/>
      <c r="J1892" s="4"/>
      <c r="K1892" s="4"/>
    </row>
    <row r="1893" spans="1:11" ht="13">
      <c r="A1893" s="164"/>
      <c r="B1893" s="4"/>
      <c r="C1893" s="4"/>
      <c r="D1893" s="4"/>
      <c r="E1893" s="4"/>
      <c r="F1893" s="4"/>
      <c r="G1893" s="4"/>
      <c r="H1893" s="4"/>
      <c r="I1893" s="4"/>
      <c r="J1893" s="4"/>
      <c r="K1893" s="4"/>
    </row>
    <row r="1894" spans="1:11" ht="13">
      <c r="A1894" s="164"/>
      <c r="B1894" s="4"/>
      <c r="C1894" s="4"/>
      <c r="D1894" s="4"/>
      <c r="E1894" s="4"/>
      <c r="F1894" s="4"/>
      <c r="G1894" s="4"/>
      <c r="H1894" s="4"/>
      <c r="I1894" s="4"/>
      <c r="J1894" s="4"/>
      <c r="K1894" s="4"/>
    </row>
    <row r="1895" spans="1:11" ht="13">
      <c r="A1895" s="164"/>
      <c r="B1895" s="4"/>
      <c r="C1895" s="4"/>
      <c r="D1895" s="4"/>
      <c r="E1895" s="4"/>
      <c r="F1895" s="4"/>
      <c r="G1895" s="4"/>
      <c r="H1895" s="4"/>
      <c r="I1895" s="4"/>
      <c r="J1895" s="4"/>
      <c r="K1895" s="4"/>
    </row>
    <row r="1896" spans="1:11" ht="13">
      <c r="A1896" s="164"/>
      <c r="B1896" s="4"/>
      <c r="C1896" s="4"/>
      <c r="D1896" s="4"/>
      <c r="E1896" s="4"/>
      <c r="F1896" s="4"/>
      <c r="G1896" s="4"/>
      <c r="H1896" s="4"/>
      <c r="I1896" s="4"/>
      <c r="J1896" s="4"/>
      <c r="K1896" s="4"/>
    </row>
    <row r="1897" spans="1:11" ht="13">
      <c r="A1897" s="164"/>
      <c r="B1897" s="4"/>
      <c r="C1897" s="4"/>
      <c r="D1897" s="4"/>
      <c r="E1897" s="4"/>
      <c r="F1897" s="4"/>
      <c r="G1897" s="4"/>
      <c r="H1897" s="4"/>
      <c r="I1897" s="4"/>
      <c r="J1897" s="4"/>
      <c r="K1897" s="4"/>
    </row>
    <row r="1898" spans="1:11" ht="13">
      <c r="A1898" s="164"/>
      <c r="B1898" s="4"/>
      <c r="C1898" s="4"/>
      <c r="D1898" s="4"/>
      <c r="E1898" s="4"/>
      <c r="F1898" s="4"/>
      <c r="G1898" s="4"/>
      <c r="H1898" s="4"/>
      <c r="I1898" s="4"/>
      <c r="J1898" s="4"/>
      <c r="K1898" s="4"/>
    </row>
    <row r="1899" spans="1:11" ht="13">
      <c r="A1899" s="164"/>
      <c r="B1899" s="4"/>
      <c r="C1899" s="4"/>
      <c r="D1899" s="4"/>
      <c r="E1899" s="4"/>
      <c r="F1899" s="4"/>
      <c r="G1899" s="4"/>
      <c r="H1899" s="4"/>
      <c r="I1899" s="4"/>
      <c r="J1899" s="4"/>
      <c r="K1899" s="4"/>
    </row>
    <row r="1900" spans="1:11" ht="13">
      <c r="A1900" s="164"/>
      <c r="B1900" s="4"/>
      <c r="C1900" s="4"/>
      <c r="D1900" s="4"/>
      <c r="E1900" s="4"/>
      <c r="F1900" s="4"/>
      <c r="G1900" s="4"/>
      <c r="H1900" s="4"/>
      <c r="I1900" s="4"/>
      <c r="J1900" s="4"/>
      <c r="K1900" s="4"/>
    </row>
    <row r="1901" spans="1:11" ht="13">
      <c r="A1901" s="164"/>
      <c r="B1901" s="4"/>
      <c r="C1901" s="4"/>
      <c r="D1901" s="4"/>
      <c r="E1901" s="4"/>
      <c r="F1901" s="4"/>
      <c r="G1901" s="4"/>
      <c r="H1901" s="4"/>
      <c r="I1901" s="4"/>
      <c r="J1901" s="4"/>
      <c r="K1901" s="4"/>
    </row>
    <row r="1902" spans="1:11" ht="13">
      <c r="A1902" s="164"/>
      <c r="B1902" s="4"/>
      <c r="C1902" s="4"/>
      <c r="D1902" s="4"/>
      <c r="E1902" s="4"/>
      <c r="F1902" s="4"/>
      <c r="G1902" s="4"/>
      <c r="H1902" s="4"/>
      <c r="I1902" s="4"/>
      <c r="J1902" s="4"/>
      <c r="K1902" s="4"/>
    </row>
    <row r="1903" spans="1:11" ht="13">
      <c r="A1903" s="164"/>
      <c r="B1903" s="4"/>
      <c r="C1903" s="4"/>
      <c r="D1903" s="4"/>
      <c r="E1903" s="4"/>
      <c r="F1903" s="4"/>
      <c r="G1903" s="4"/>
      <c r="H1903" s="4"/>
      <c r="I1903" s="4"/>
      <c r="J1903" s="4"/>
      <c r="K1903" s="4"/>
    </row>
    <row r="1904" spans="1:11" ht="13">
      <c r="A1904" s="164"/>
      <c r="B1904" s="4"/>
      <c r="C1904" s="4"/>
      <c r="D1904" s="4"/>
      <c r="E1904" s="4"/>
      <c r="F1904" s="4"/>
      <c r="G1904" s="4"/>
      <c r="H1904" s="4"/>
      <c r="I1904" s="4"/>
      <c r="J1904" s="4"/>
      <c r="K1904" s="4"/>
    </row>
    <row r="1905" spans="1:11" ht="13">
      <c r="A1905" s="164"/>
      <c r="B1905" s="4"/>
      <c r="C1905" s="4"/>
      <c r="D1905" s="4"/>
      <c r="E1905" s="4"/>
      <c r="F1905" s="4"/>
      <c r="G1905" s="4"/>
      <c r="H1905" s="4"/>
      <c r="I1905" s="4"/>
      <c r="J1905" s="4"/>
      <c r="K1905" s="4"/>
    </row>
    <row r="1906" spans="1:11" ht="13">
      <c r="A1906" s="164"/>
      <c r="B1906" s="4"/>
      <c r="C1906" s="4"/>
      <c r="D1906" s="4"/>
      <c r="E1906" s="4"/>
      <c r="F1906" s="4"/>
      <c r="G1906" s="4"/>
      <c r="H1906" s="4"/>
      <c r="I1906" s="4"/>
      <c r="J1906" s="4"/>
      <c r="K1906" s="4"/>
    </row>
    <row r="1907" spans="1:11" ht="13">
      <c r="A1907" s="164"/>
      <c r="B1907" s="4"/>
      <c r="C1907" s="4"/>
      <c r="D1907" s="4"/>
      <c r="E1907" s="4"/>
      <c r="F1907" s="4"/>
      <c r="G1907" s="4"/>
      <c r="H1907" s="4"/>
      <c r="I1907" s="4"/>
      <c r="J1907" s="4"/>
      <c r="K1907" s="4"/>
    </row>
    <row r="1908" spans="1:11" ht="13">
      <c r="A1908" s="164"/>
      <c r="B1908" s="4"/>
      <c r="C1908" s="4"/>
      <c r="D1908" s="4"/>
      <c r="E1908" s="4"/>
      <c r="F1908" s="4"/>
      <c r="G1908" s="4"/>
      <c r="H1908" s="4"/>
      <c r="I1908" s="4"/>
      <c r="J1908" s="4"/>
      <c r="K1908" s="4"/>
    </row>
    <row r="1909" spans="1:11" ht="13">
      <c r="A1909" s="164"/>
      <c r="B1909" s="4"/>
      <c r="C1909" s="4"/>
      <c r="D1909" s="4"/>
      <c r="E1909" s="4"/>
      <c r="F1909" s="4"/>
      <c r="G1909" s="4"/>
      <c r="H1909" s="4"/>
      <c r="I1909" s="4"/>
      <c r="J1909" s="4"/>
      <c r="K1909" s="4"/>
    </row>
    <row r="1910" spans="1:11" ht="13">
      <c r="A1910" s="164"/>
      <c r="B1910" s="4"/>
      <c r="C1910" s="4"/>
      <c r="D1910" s="4"/>
      <c r="E1910" s="4"/>
      <c r="F1910" s="4"/>
      <c r="G1910" s="4"/>
      <c r="H1910" s="4"/>
      <c r="I1910" s="4"/>
      <c r="J1910" s="4"/>
      <c r="K1910" s="4"/>
    </row>
    <row r="1911" spans="1:11" ht="13">
      <c r="A1911" s="164"/>
      <c r="B1911" s="4"/>
      <c r="C1911" s="4"/>
      <c r="D1911" s="4"/>
      <c r="E1911" s="4"/>
      <c r="F1911" s="4"/>
      <c r="G1911" s="4"/>
      <c r="H1911" s="4"/>
      <c r="I1911" s="4"/>
      <c r="J1911" s="4"/>
      <c r="K1911" s="4"/>
    </row>
    <row r="1912" spans="1:11" ht="13">
      <c r="A1912" s="164"/>
      <c r="B1912" s="4"/>
      <c r="C1912" s="4"/>
      <c r="D1912" s="4"/>
      <c r="E1912" s="4"/>
      <c r="F1912" s="4"/>
      <c r="G1912" s="4"/>
      <c r="H1912" s="4"/>
      <c r="I1912" s="4"/>
      <c r="J1912" s="4"/>
      <c r="K1912" s="4"/>
    </row>
    <row r="1913" spans="1:11" ht="13">
      <c r="A1913" s="164"/>
      <c r="B1913" s="4"/>
      <c r="C1913" s="4"/>
      <c r="D1913" s="4"/>
      <c r="E1913" s="4"/>
      <c r="F1913" s="4"/>
      <c r="G1913" s="4"/>
      <c r="H1913" s="4"/>
      <c r="I1913" s="4"/>
      <c r="J1913" s="4"/>
      <c r="K1913" s="4"/>
    </row>
    <row r="1914" spans="1:11" ht="13">
      <c r="A1914" s="164"/>
      <c r="B1914" s="4"/>
      <c r="C1914" s="4"/>
      <c r="D1914" s="4"/>
      <c r="E1914" s="4"/>
      <c r="F1914" s="4"/>
      <c r="G1914" s="4"/>
      <c r="H1914" s="4"/>
      <c r="I1914" s="4"/>
      <c r="J1914" s="4"/>
      <c r="K1914" s="4"/>
    </row>
    <row r="1915" spans="1:11" ht="13">
      <c r="A1915" s="164"/>
      <c r="B1915" s="4"/>
      <c r="C1915" s="4"/>
      <c r="D1915" s="4"/>
      <c r="E1915" s="4"/>
      <c r="F1915" s="4"/>
      <c r="G1915" s="4"/>
      <c r="H1915" s="4"/>
      <c r="I1915" s="4"/>
      <c r="J1915" s="4"/>
      <c r="K1915" s="4"/>
    </row>
    <row r="1916" spans="1:11" ht="13">
      <c r="A1916" s="164"/>
      <c r="B1916" s="4"/>
      <c r="C1916" s="4"/>
      <c r="D1916" s="4"/>
      <c r="E1916" s="4"/>
      <c r="F1916" s="4"/>
      <c r="G1916" s="4"/>
      <c r="H1916" s="4"/>
      <c r="I1916" s="4"/>
      <c r="J1916" s="4"/>
      <c r="K1916" s="4"/>
    </row>
    <row r="1917" spans="1:11" ht="13">
      <c r="A1917" s="164"/>
      <c r="B1917" s="4"/>
      <c r="C1917" s="4"/>
      <c r="D1917" s="4"/>
      <c r="E1917" s="4"/>
      <c r="F1917" s="4"/>
      <c r="G1917" s="4"/>
      <c r="H1917" s="4"/>
      <c r="I1917" s="4"/>
      <c r="J1917" s="4"/>
      <c r="K1917" s="4"/>
    </row>
    <row r="1918" spans="1:11" ht="13">
      <c r="A1918" s="164"/>
      <c r="B1918" s="4"/>
      <c r="C1918" s="4"/>
      <c r="D1918" s="4"/>
      <c r="E1918" s="4"/>
      <c r="F1918" s="4"/>
      <c r="G1918" s="4"/>
      <c r="H1918" s="4"/>
      <c r="I1918" s="4"/>
      <c r="J1918" s="4"/>
      <c r="K1918" s="4"/>
    </row>
    <row r="1919" spans="1:11" ht="13">
      <c r="A1919" s="164"/>
      <c r="B1919" s="4"/>
      <c r="C1919" s="4"/>
      <c r="D1919" s="4"/>
      <c r="E1919" s="4"/>
      <c r="F1919" s="4"/>
      <c r="G1919" s="4"/>
      <c r="H1919" s="4"/>
      <c r="I1919" s="4"/>
      <c r="J1919" s="4"/>
      <c r="K1919" s="4"/>
    </row>
    <row r="1920" spans="1:11" ht="13">
      <c r="A1920" s="164"/>
      <c r="B1920" s="4"/>
      <c r="C1920" s="4"/>
      <c r="D1920" s="4"/>
      <c r="E1920" s="4"/>
      <c r="F1920" s="4"/>
      <c r="G1920" s="4"/>
      <c r="H1920" s="4"/>
      <c r="I1920" s="4"/>
      <c r="J1920" s="4"/>
      <c r="K1920" s="4"/>
    </row>
    <row r="1921" spans="1:11" ht="13">
      <c r="A1921" s="164"/>
      <c r="B1921" s="4"/>
      <c r="C1921" s="4"/>
      <c r="D1921" s="4"/>
      <c r="E1921" s="4"/>
      <c r="F1921" s="4"/>
      <c r="G1921" s="4"/>
      <c r="H1921" s="4"/>
      <c r="I1921" s="4"/>
      <c r="J1921" s="4"/>
      <c r="K1921" s="4"/>
    </row>
    <row r="1922" spans="1:11" ht="13">
      <c r="A1922" s="164"/>
      <c r="B1922" s="4"/>
      <c r="C1922" s="4"/>
      <c r="D1922" s="4"/>
      <c r="E1922" s="4"/>
      <c r="F1922" s="4"/>
      <c r="G1922" s="4"/>
      <c r="H1922" s="4"/>
      <c r="I1922" s="4"/>
      <c r="J1922" s="4"/>
      <c r="K1922" s="4"/>
    </row>
    <row r="1923" spans="1:11" ht="13">
      <c r="A1923" s="164"/>
      <c r="B1923" s="4"/>
      <c r="C1923" s="4"/>
      <c r="D1923" s="4"/>
      <c r="E1923" s="4"/>
      <c r="F1923" s="4"/>
      <c r="G1923" s="4"/>
      <c r="H1923" s="4"/>
      <c r="I1923" s="4"/>
      <c r="J1923" s="4"/>
      <c r="K1923" s="4"/>
    </row>
    <row r="1924" spans="1:11" ht="13">
      <c r="A1924" s="164"/>
      <c r="B1924" s="4"/>
      <c r="C1924" s="4"/>
      <c r="D1924" s="4"/>
      <c r="E1924" s="4"/>
      <c r="F1924" s="4"/>
      <c r="G1924" s="4"/>
      <c r="H1924" s="4"/>
      <c r="I1924" s="4"/>
      <c r="J1924" s="4"/>
      <c r="K1924" s="4"/>
    </row>
    <row r="1925" spans="1:11" ht="13">
      <c r="A1925" s="164"/>
      <c r="B1925" s="4"/>
      <c r="C1925" s="4"/>
      <c r="D1925" s="4"/>
      <c r="E1925" s="4"/>
      <c r="F1925" s="4"/>
      <c r="G1925" s="4"/>
      <c r="H1925" s="4"/>
      <c r="I1925" s="4"/>
      <c r="J1925" s="4"/>
      <c r="K1925" s="4"/>
    </row>
    <row r="1926" spans="1:11" ht="13">
      <c r="A1926" s="164"/>
      <c r="B1926" s="4"/>
      <c r="C1926" s="4"/>
      <c r="D1926" s="4"/>
      <c r="E1926" s="4"/>
      <c r="F1926" s="4"/>
      <c r="G1926" s="4"/>
      <c r="H1926" s="4"/>
      <c r="I1926" s="4"/>
      <c r="J1926" s="4"/>
      <c r="K1926" s="4"/>
    </row>
    <row r="1927" spans="1:11" ht="13">
      <c r="A1927" s="164"/>
      <c r="B1927" s="4"/>
      <c r="C1927" s="4"/>
      <c r="D1927" s="4"/>
      <c r="E1927" s="4"/>
      <c r="F1927" s="4"/>
      <c r="G1927" s="4"/>
      <c r="H1927" s="4"/>
      <c r="I1927" s="4"/>
      <c r="J1927" s="4"/>
      <c r="K1927" s="4"/>
    </row>
    <row r="1928" spans="1:11" ht="13">
      <c r="A1928" s="164"/>
      <c r="B1928" s="4"/>
      <c r="C1928" s="4"/>
      <c r="D1928" s="4"/>
      <c r="E1928" s="4"/>
      <c r="F1928" s="4"/>
      <c r="G1928" s="4"/>
      <c r="H1928" s="4"/>
      <c r="I1928" s="4"/>
      <c r="J1928" s="4"/>
      <c r="K1928" s="4"/>
    </row>
    <row r="1929" spans="1:11" ht="13">
      <c r="A1929" s="164"/>
      <c r="B1929" s="4"/>
      <c r="C1929" s="4"/>
      <c r="D1929" s="4"/>
      <c r="E1929" s="4"/>
      <c r="F1929" s="4"/>
      <c r="G1929" s="4"/>
      <c r="H1929" s="4"/>
      <c r="I1929" s="4"/>
      <c r="J1929" s="4"/>
      <c r="K1929" s="4"/>
    </row>
    <row r="1930" spans="1:11" ht="13">
      <c r="A1930" s="164"/>
      <c r="B1930" s="4"/>
      <c r="C1930" s="4"/>
      <c r="D1930" s="4"/>
      <c r="E1930" s="4"/>
      <c r="F1930" s="4"/>
      <c r="G1930" s="4"/>
      <c r="H1930" s="4"/>
      <c r="I1930" s="4"/>
      <c r="J1930" s="4"/>
      <c r="K1930" s="4"/>
    </row>
    <row r="1931" spans="1:11" ht="13">
      <c r="A1931" s="164"/>
      <c r="B1931" s="4"/>
      <c r="C1931" s="4"/>
      <c r="D1931" s="4"/>
      <c r="E1931" s="4"/>
      <c r="F1931" s="4"/>
      <c r="G1931" s="4"/>
      <c r="H1931" s="4"/>
      <c r="I1931" s="4"/>
      <c r="J1931" s="4"/>
      <c r="K1931" s="4"/>
    </row>
    <row r="1932" spans="1:11" ht="13">
      <c r="A1932" s="164"/>
      <c r="B1932" s="4"/>
      <c r="C1932" s="4"/>
      <c r="D1932" s="4"/>
      <c r="E1932" s="4"/>
      <c r="F1932" s="4"/>
      <c r="G1932" s="4"/>
      <c r="H1932" s="4"/>
      <c r="I1932" s="4"/>
      <c r="J1932" s="4"/>
      <c r="K1932" s="4"/>
    </row>
    <row r="1933" spans="1:11" ht="13">
      <c r="A1933" s="164"/>
      <c r="B1933" s="4"/>
      <c r="C1933" s="4"/>
      <c r="D1933" s="4"/>
      <c r="E1933" s="4"/>
      <c r="F1933" s="4"/>
      <c r="G1933" s="4"/>
      <c r="H1933" s="4"/>
      <c r="I1933" s="4"/>
      <c r="J1933" s="4"/>
      <c r="K1933" s="4"/>
    </row>
    <row r="1934" spans="1:11" ht="13">
      <c r="A1934" s="164"/>
      <c r="B1934" s="4"/>
      <c r="C1934" s="4"/>
      <c r="D1934" s="4"/>
      <c r="E1934" s="4"/>
      <c r="F1934" s="4"/>
      <c r="G1934" s="4"/>
      <c r="H1934" s="4"/>
      <c r="I1934" s="4"/>
      <c r="J1934" s="4"/>
      <c r="K1934" s="4"/>
    </row>
    <row r="1935" spans="1:11" ht="13">
      <c r="A1935" s="164"/>
      <c r="B1935" s="4"/>
      <c r="C1935" s="4"/>
      <c r="D1935" s="4"/>
      <c r="E1935" s="4"/>
      <c r="F1935" s="4"/>
      <c r="G1935" s="4"/>
      <c r="H1935" s="4"/>
      <c r="I1935" s="4"/>
      <c r="J1935" s="4"/>
      <c r="K1935" s="4"/>
    </row>
    <row r="1936" spans="1:11" ht="13">
      <c r="A1936" s="164"/>
      <c r="B1936" s="4"/>
      <c r="C1936" s="4"/>
      <c r="D1936" s="4"/>
      <c r="E1936" s="4"/>
      <c r="F1936" s="4"/>
      <c r="G1936" s="4"/>
      <c r="H1936" s="4"/>
      <c r="I1936" s="4"/>
      <c r="J1936" s="4"/>
      <c r="K1936" s="4"/>
    </row>
    <row r="1937" spans="1:11" ht="13">
      <c r="A1937" s="164"/>
      <c r="B1937" s="4"/>
      <c r="C1937" s="4"/>
      <c r="D1937" s="4"/>
      <c r="E1937" s="4"/>
      <c r="F1937" s="4"/>
      <c r="G1937" s="4"/>
      <c r="H1937" s="4"/>
      <c r="I1937" s="4"/>
      <c r="J1937" s="4"/>
      <c r="K1937" s="4"/>
    </row>
    <row r="1938" spans="1:11" ht="13">
      <c r="A1938" s="164"/>
      <c r="B1938" s="4"/>
      <c r="C1938" s="4"/>
      <c r="D1938" s="4"/>
      <c r="E1938" s="4"/>
      <c r="F1938" s="4"/>
      <c r="G1938" s="4"/>
      <c r="H1938" s="4"/>
      <c r="I1938" s="4"/>
      <c r="J1938" s="4"/>
      <c r="K1938" s="4"/>
    </row>
    <row r="1939" spans="1:11" ht="13">
      <c r="A1939" s="164"/>
      <c r="B1939" s="4"/>
      <c r="C1939" s="4"/>
      <c r="D1939" s="4"/>
      <c r="E1939" s="4"/>
      <c r="F1939" s="4"/>
      <c r="G1939" s="4"/>
      <c r="H1939" s="4"/>
      <c r="I1939" s="4"/>
      <c r="J1939" s="4"/>
      <c r="K1939" s="4"/>
    </row>
    <row r="1940" spans="1:11" ht="13">
      <c r="A1940" s="164"/>
      <c r="B1940" s="4"/>
      <c r="C1940" s="4"/>
      <c r="D1940" s="4"/>
      <c r="E1940" s="4"/>
      <c r="F1940" s="4"/>
      <c r="G1940" s="4"/>
      <c r="H1940" s="4"/>
      <c r="I1940" s="4"/>
      <c r="J1940" s="4"/>
      <c r="K1940" s="4"/>
    </row>
    <row r="1941" spans="1:11" ht="13">
      <c r="A1941" s="164"/>
      <c r="B1941" s="4"/>
      <c r="C1941" s="4"/>
      <c r="D1941" s="4"/>
      <c r="E1941" s="4"/>
      <c r="F1941" s="4"/>
      <c r="G1941" s="4"/>
      <c r="H1941" s="4"/>
      <c r="I1941" s="4"/>
      <c r="J1941" s="4"/>
      <c r="K1941" s="4"/>
    </row>
    <row r="1942" spans="1:11" ht="13">
      <c r="A1942" s="164"/>
      <c r="B1942" s="4"/>
      <c r="C1942" s="4"/>
      <c r="D1942" s="4"/>
      <c r="E1942" s="4"/>
      <c r="F1942" s="4"/>
      <c r="G1942" s="4"/>
      <c r="H1942" s="4"/>
      <c r="I1942" s="4"/>
      <c r="J1942" s="4"/>
      <c r="K1942" s="4"/>
    </row>
    <row r="1943" spans="1:11" ht="13">
      <c r="A1943" s="164"/>
      <c r="B1943" s="4"/>
      <c r="C1943" s="4"/>
      <c r="D1943" s="4"/>
      <c r="E1943" s="4"/>
      <c r="F1943" s="4"/>
      <c r="G1943" s="4"/>
      <c r="H1943" s="4"/>
      <c r="I1943" s="4"/>
      <c r="J1943" s="4"/>
      <c r="K1943" s="4"/>
    </row>
    <row r="1944" spans="1:11" ht="13">
      <c r="A1944" s="164"/>
      <c r="B1944" s="4"/>
      <c r="C1944" s="4"/>
      <c r="D1944" s="4"/>
      <c r="E1944" s="4"/>
      <c r="F1944" s="4"/>
      <c r="G1944" s="4"/>
      <c r="H1944" s="4"/>
      <c r="I1944" s="4"/>
      <c r="J1944" s="4"/>
      <c r="K1944" s="4"/>
    </row>
    <row r="1945" spans="1:11" ht="13">
      <c r="A1945" s="164"/>
      <c r="B1945" s="4"/>
      <c r="C1945" s="4"/>
      <c r="D1945" s="4"/>
      <c r="E1945" s="4"/>
      <c r="F1945" s="4"/>
      <c r="G1945" s="4"/>
      <c r="H1945" s="4"/>
      <c r="I1945" s="4"/>
      <c r="J1945" s="4"/>
      <c r="K1945" s="4"/>
    </row>
    <row r="1946" spans="1:11" ht="13">
      <c r="A1946" s="164"/>
      <c r="B1946" s="4"/>
      <c r="C1946" s="4"/>
      <c r="D1946" s="4"/>
      <c r="E1946" s="4"/>
      <c r="F1946" s="4"/>
      <c r="G1946" s="4"/>
      <c r="H1946" s="4"/>
      <c r="I1946" s="4"/>
      <c r="J1946" s="4"/>
      <c r="K1946" s="4"/>
    </row>
    <row r="1947" spans="1:11" ht="13">
      <c r="A1947" s="164"/>
      <c r="B1947" s="4"/>
      <c r="C1947" s="4"/>
      <c r="D1947" s="4"/>
      <c r="E1947" s="4"/>
      <c r="F1947" s="4"/>
      <c r="G1947" s="4"/>
      <c r="H1947" s="4"/>
      <c r="I1947" s="4"/>
      <c r="J1947" s="4"/>
      <c r="K1947" s="4"/>
    </row>
    <row r="1948" spans="1:11" ht="13">
      <c r="A1948" s="164"/>
      <c r="B1948" s="4"/>
      <c r="C1948" s="4"/>
      <c r="D1948" s="4"/>
      <c r="E1948" s="4"/>
      <c r="F1948" s="4"/>
      <c r="G1948" s="4"/>
      <c r="H1948" s="4"/>
      <c r="I1948" s="4"/>
      <c r="J1948" s="4"/>
      <c r="K1948" s="4"/>
    </row>
    <row r="1949" spans="1:11" ht="13">
      <c r="A1949" s="164"/>
      <c r="B1949" s="4"/>
      <c r="C1949" s="4"/>
      <c r="D1949" s="4"/>
      <c r="E1949" s="4"/>
      <c r="F1949" s="4"/>
      <c r="G1949" s="4"/>
      <c r="H1949" s="4"/>
      <c r="I1949" s="4"/>
      <c r="J1949" s="4"/>
      <c r="K1949" s="4"/>
    </row>
    <row r="1950" spans="1:11" ht="13">
      <c r="A1950" s="164"/>
      <c r="B1950" s="4"/>
      <c r="C1950" s="4"/>
      <c r="D1950" s="4"/>
      <c r="E1950" s="4"/>
      <c r="F1950" s="4"/>
      <c r="G1950" s="4"/>
      <c r="H1950" s="4"/>
      <c r="I1950" s="4"/>
      <c r="J1950" s="4"/>
      <c r="K1950" s="4"/>
    </row>
    <row r="1951" spans="1:11" ht="13">
      <c r="A1951" s="164"/>
      <c r="B1951" s="4"/>
      <c r="C1951" s="4"/>
      <c r="D1951" s="4"/>
      <c r="E1951" s="4"/>
      <c r="F1951" s="4"/>
      <c r="G1951" s="4"/>
      <c r="H1951" s="4"/>
      <c r="I1951" s="4"/>
      <c r="J1951" s="4"/>
      <c r="K1951" s="4"/>
    </row>
    <row r="1952" spans="1:11" ht="13">
      <c r="A1952" s="164"/>
      <c r="B1952" s="4"/>
      <c r="C1952" s="4"/>
      <c r="D1952" s="4"/>
      <c r="E1952" s="4"/>
      <c r="F1952" s="4"/>
      <c r="G1952" s="4"/>
      <c r="H1952" s="4"/>
      <c r="I1952" s="4"/>
      <c r="J1952" s="4"/>
      <c r="K1952" s="4"/>
    </row>
    <row r="1953" spans="1:11" ht="13">
      <c r="A1953" s="164"/>
      <c r="B1953" s="4"/>
      <c r="C1953" s="4"/>
      <c r="D1953" s="4"/>
      <c r="E1953" s="4"/>
      <c r="F1953" s="4"/>
      <c r="G1953" s="4"/>
      <c r="H1953" s="4"/>
      <c r="I1953" s="4"/>
      <c r="J1953" s="4"/>
      <c r="K1953" s="4"/>
    </row>
    <row r="1954" spans="1:11" ht="13">
      <c r="A1954" s="164"/>
      <c r="B1954" s="4"/>
      <c r="C1954" s="4"/>
      <c r="D1954" s="4"/>
      <c r="E1954" s="4"/>
      <c r="F1954" s="4"/>
      <c r="G1954" s="4"/>
      <c r="H1954" s="4"/>
      <c r="I1954" s="4"/>
      <c r="J1954" s="4"/>
      <c r="K1954" s="4"/>
    </row>
    <row r="1955" spans="1:11" ht="13">
      <c r="A1955" s="164"/>
      <c r="B1955" s="4"/>
      <c r="C1955" s="4"/>
      <c r="D1955" s="4"/>
      <c r="E1955" s="4"/>
      <c r="F1955" s="4"/>
      <c r="G1955" s="4"/>
      <c r="H1955" s="4"/>
      <c r="I1955" s="4"/>
      <c r="J1955" s="4"/>
      <c r="K1955" s="4"/>
    </row>
    <row r="1956" spans="1:11" ht="13">
      <c r="A1956" s="164"/>
      <c r="B1956" s="4"/>
      <c r="C1956" s="4"/>
      <c r="D1956" s="4"/>
      <c r="E1956" s="4"/>
      <c r="F1956" s="4"/>
      <c r="G1956" s="4"/>
      <c r="H1956" s="4"/>
      <c r="I1956" s="4"/>
      <c r="J1956" s="4"/>
      <c r="K1956" s="4"/>
    </row>
    <row r="1957" spans="1:11" ht="13">
      <c r="A1957" s="164"/>
      <c r="B1957" s="4"/>
      <c r="C1957" s="4"/>
      <c r="D1957" s="4"/>
      <c r="E1957" s="4"/>
      <c r="F1957" s="4"/>
      <c r="G1957" s="4"/>
      <c r="H1957" s="4"/>
      <c r="I1957" s="4"/>
      <c r="J1957" s="4"/>
      <c r="K1957" s="4"/>
    </row>
    <row r="1958" spans="1:11" ht="13">
      <c r="A1958" s="164"/>
      <c r="B1958" s="4"/>
      <c r="C1958" s="4"/>
      <c r="D1958" s="4"/>
      <c r="E1958" s="4"/>
      <c r="F1958" s="4"/>
      <c r="G1958" s="4"/>
      <c r="H1958" s="4"/>
      <c r="I1958" s="4"/>
      <c r="J1958" s="4"/>
      <c r="K1958" s="4"/>
    </row>
    <row r="1959" spans="1:11" ht="13">
      <c r="A1959" s="164"/>
      <c r="B1959" s="4"/>
      <c r="C1959" s="4"/>
      <c r="D1959" s="4"/>
      <c r="E1959" s="4"/>
      <c r="F1959" s="4"/>
      <c r="G1959" s="4"/>
      <c r="H1959" s="4"/>
      <c r="I1959" s="4"/>
      <c r="J1959" s="4"/>
      <c r="K1959" s="4"/>
    </row>
    <row r="1960" spans="1:11" ht="13">
      <c r="A1960" s="164"/>
      <c r="B1960" s="4"/>
      <c r="C1960" s="4"/>
      <c r="D1960" s="4"/>
      <c r="E1960" s="4"/>
      <c r="F1960" s="4"/>
      <c r="G1960" s="4"/>
      <c r="H1960" s="4"/>
      <c r="I1960" s="4"/>
      <c r="J1960" s="4"/>
      <c r="K1960" s="4"/>
    </row>
    <row r="1961" spans="1:11" ht="13">
      <c r="A1961" s="164"/>
      <c r="B1961" s="4"/>
      <c r="C1961" s="4"/>
      <c r="D1961" s="4"/>
      <c r="E1961" s="4"/>
      <c r="F1961" s="4"/>
      <c r="G1961" s="4"/>
      <c r="H1961" s="4"/>
      <c r="I1961" s="4"/>
      <c r="J1961" s="4"/>
      <c r="K1961" s="4"/>
    </row>
    <row r="1962" spans="1:11" ht="13">
      <c r="A1962" s="164"/>
      <c r="B1962" s="4"/>
      <c r="C1962" s="4"/>
      <c r="D1962" s="4"/>
      <c r="E1962" s="4"/>
      <c r="F1962" s="4"/>
      <c r="G1962" s="4"/>
      <c r="H1962" s="4"/>
      <c r="I1962" s="4"/>
      <c r="J1962" s="4"/>
      <c r="K1962" s="4"/>
    </row>
    <row r="1963" spans="1:11" ht="13">
      <c r="A1963" s="164"/>
      <c r="B1963" s="4"/>
      <c r="C1963" s="4"/>
      <c r="D1963" s="4"/>
      <c r="E1963" s="4"/>
      <c r="F1963" s="4"/>
      <c r="G1963" s="4"/>
      <c r="H1963" s="4"/>
      <c r="I1963" s="4"/>
      <c r="J1963" s="4"/>
      <c r="K1963" s="4"/>
    </row>
    <row r="1964" spans="1:11" ht="13">
      <c r="A1964" s="164"/>
      <c r="B1964" s="4"/>
      <c r="C1964" s="4"/>
      <c r="D1964" s="4"/>
      <c r="E1964" s="4"/>
      <c r="F1964" s="4"/>
      <c r="G1964" s="4"/>
      <c r="H1964" s="4"/>
      <c r="I1964" s="4"/>
      <c r="J1964" s="4"/>
      <c r="K1964" s="4"/>
    </row>
    <row r="1965" spans="1:11" ht="13">
      <c r="A1965" s="164"/>
      <c r="B1965" s="4"/>
      <c r="C1965" s="4"/>
      <c r="D1965" s="4"/>
      <c r="E1965" s="4"/>
      <c r="F1965" s="4"/>
      <c r="G1965" s="4"/>
      <c r="H1965" s="4"/>
      <c r="I1965" s="4"/>
      <c r="J1965" s="4"/>
      <c r="K1965" s="4"/>
    </row>
    <row r="1966" spans="1:11" ht="13">
      <c r="A1966" s="164"/>
      <c r="B1966" s="4"/>
      <c r="C1966" s="4"/>
      <c r="D1966" s="4"/>
      <c r="E1966" s="4"/>
      <c r="F1966" s="4"/>
      <c r="G1966" s="4"/>
      <c r="H1966" s="4"/>
      <c r="I1966" s="4"/>
      <c r="J1966" s="4"/>
      <c r="K1966" s="4"/>
    </row>
    <row r="1967" spans="1:11" ht="13">
      <c r="A1967" s="164"/>
      <c r="B1967" s="4"/>
      <c r="C1967" s="4"/>
      <c r="D1967" s="4"/>
      <c r="E1967" s="4"/>
      <c r="F1967" s="4"/>
      <c r="G1967" s="4"/>
      <c r="H1967" s="4"/>
      <c r="I1967" s="4"/>
      <c r="J1967" s="4"/>
      <c r="K1967" s="4"/>
    </row>
    <row r="1968" spans="1:11" ht="13">
      <c r="A1968" s="164"/>
      <c r="B1968" s="4"/>
      <c r="C1968" s="4"/>
      <c r="D1968" s="4"/>
      <c r="E1968" s="4"/>
      <c r="F1968" s="4"/>
      <c r="G1968" s="4"/>
      <c r="H1968" s="4"/>
      <c r="I1968" s="4"/>
      <c r="J1968" s="4"/>
      <c r="K1968" s="4"/>
    </row>
    <row r="1969" spans="1:11" ht="13">
      <c r="A1969" s="164"/>
      <c r="B1969" s="4"/>
      <c r="C1969" s="4"/>
      <c r="D1969" s="4"/>
      <c r="E1969" s="4"/>
      <c r="F1969" s="4"/>
      <c r="G1969" s="4"/>
      <c r="H1969" s="4"/>
      <c r="I1969" s="4"/>
      <c r="J1969" s="4"/>
      <c r="K1969" s="4"/>
    </row>
    <row r="1970" spans="1:11" ht="13">
      <c r="A1970" s="164"/>
      <c r="B1970" s="4"/>
      <c r="C1970" s="4"/>
      <c r="D1970" s="4"/>
      <c r="E1970" s="4"/>
      <c r="F1970" s="4"/>
      <c r="G1970" s="4"/>
      <c r="H1970" s="4"/>
      <c r="I1970" s="4"/>
      <c r="J1970" s="4"/>
      <c r="K1970" s="4"/>
    </row>
    <row r="1971" spans="1:11" ht="13">
      <c r="A1971" s="164"/>
      <c r="B1971" s="4"/>
      <c r="C1971" s="4"/>
      <c r="D1971" s="4"/>
      <c r="E1971" s="4"/>
      <c r="F1971" s="4"/>
      <c r="G1971" s="4"/>
      <c r="H1971" s="4"/>
      <c r="I1971" s="4"/>
      <c r="J1971" s="4"/>
      <c r="K1971" s="4"/>
    </row>
    <row r="1972" spans="1:11" ht="13">
      <c r="A1972" s="164"/>
      <c r="B1972" s="4"/>
      <c r="C1972" s="4"/>
      <c r="D1972" s="4"/>
      <c r="E1972" s="4"/>
      <c r="F1972" s="4"/>
      <c r="G1972" s="4"/>
      <c r="H1972" s="4"/>
      <c r="I1972" s="4"/>
      <c r="J1972" s="4"/>
      <c r="K1972" s="4"/>
    </row>
    <row r="1973" spans="1:11" ht="13">
      <c r="A1973" s="164"/>
      <c r="B1973" s="4"/>
      <c r="C1973" s="4"/>
      <c r="D1973" s="4"/>
      <c r="E1973" s="4"/>
      <c r="F1973" s="4"/>
      <c r="G1973" s="4"/>
      <c r="H1973" s="4"/>
      <c r="I1973" s="4"/>
      <c r="J1973" s="4"/>
      <c r="K1973" s="4"/>
    </row>
    <row r="1974" spans="1:11" ht="13">
      <c r="A1974" s="164"/>
      <c r="B1974" s="4"/>
      <c r="C1974" s="4"/>
      <c r="D1974" s="4"/>
      <c r="E1974" s="4"/>
      <c r="F1974" s="4"/>
      <c r="G1974" s="4"/>
      <c r="H1974" s="4"/>
      <c r="I1974" s="4"/>
      <c r="J1974" s="4"/>
      <c r="K1974" s="4"/>
    </row>
    <row r="1975" spans="1:11" ht="13">
      <c r="A1975" s="164"/>
      <c r="B1975" s="4"/>
      <c r="C1975" s="4"/>
      <c r="D1975" s="4"/>
      <c r="E1975" s="4"/>
      <c r="F1975" s="4"/>
      <c r="G1975" s="4"/>
      <c r="H1975" s="4"/>
      <c r="I1975" s="4"/>
      <c r="J1975" s="4"/>
      <c r="K1975" s="4"/>
    </row>
    <row r="1976" spans="1:11" ht="13">
      <c r="A1976" s="164"/>
      <c r="B1976" s="4"/>
      <c r="C1976" s="4"/>
      <c r="D1976" s="4"/>
      <c r="E1976" s="4"/>
      <c r="F1976" s="4"/>
      <c r="G1976" s="4"/>
      <c r="H1976" s="4"/>
      <c r="I1976" s="4"/>
      <c r="J1976" s="4"/>
      <c r="K1976" s="4"/>
    </row>
    <row r="1977" spans="1:11" ht="13">
      <c r="A1977" s="164"/>
      <c r="B1977" s="4"/>
      <c r="C1977" s="4"/>
      <c r="D1977" s="4"/>
      <c r="E1977" s="4"/>
      <c r="F1977" s="4"/>
      <c r="G1977" s="4"/>
      <c r="H1977" s="4"/>
      <c r="I1977" s="4"/>
      <c r="J1977" s="4"/>
      <c r="K1977" s="4"/>
    </row>
    <row r="1978" spans="1:11" ht="13">
      <c r="A1978" s="164"/>
      <c r="B1978" s="4"/>
      <c r="C1978" s="4"/>
      <c r="D1978" s="4"/>
      <c r="E1978" s="4"/>
      <c r="F1978" s="4"/>
      <c r="G1978" s="4"/>
      <c r="H1978" s="4"/>
      <c r="I1978" s="4"/>
      <c r="J1978" s="4"/>
      <c r="K1978" s="4"/>
    </row>
    <row r="1979" spans="1:11" ht="13">
      <c r="A1979" s="164"/>
      <c r="B1979" s="4"/>
      <c r="C1979" s="4"/>
      <c r="D1979" s="4"/>
      <c r="E1979" s="4"/>
      <c r="F1979" s="4"/>
      <c r="G1979" s="4"/>
      <c r="H1979" s="4"/>
      <c r="I1979" s="4"/>
      <c r="J1979" s="4"/>
      <c r="K1979" s="4"/>
    </row>
    <row r="1980" spans="1:11" ht="13">
      <c r="A1980" s="164"/>
      <c r="B1980" s="4"/>
      <c r="C1980" s="4"/>
      <c r="D1980" s="4"/>
      <c r="E1980" s="4"/>
      <c r="F1980" s="4"/>
      <c r="G1980" s="4"/>
      <c r="H1980" s="4"/>
      <c r="I1980" s="4"/>
      <c r="J1980" s="4"/>
      <c r="K1980" s="4"/>
    </row>
    <row r="1981" spans="1:11" ht="13">
      <c r="A1981" s="164"/>
      <c r="B1981" s="4"/>
      <c r="C1981" s="4"/>
      <c r="D1981" s="4"/>
      <c r="E1981" s="4"/>
      <c r="F1981" s="4"/>
      <c r="G1981" s="4"/>
      <c r="H1981" s="4"/>
      <c r="I1981" s="4"/>
      <c r="J1981" s="4"/>
      <c r="K1981" s="4"/>
    </row>
    <row r="1982" spans="1:11" ht="13">
      <c r="A1982" s="164"/>
      <c r="B1982" s="4"/>
      <c r="C1982" s="4"/>
      <c r="D1982" s="4"/>
      <c r="E1982" s="4"/>
      <c r="F1982" s="4"/>
      <c r="G1982" s="4"/>
      <c r="H1982" s="4"/>
      <c r="I1982" s="4"/>
      <c r="J1982" s="4"/>
      <c r="K1982" s="4"/>
    </row>
    <row r="1983" spans="1:11" ht="13">
      <c r="A1983" s="164"/>
      <c r="B1983" s="4"/>
      <c r="C1983" s="4"/>
      <c r="D1983" s="4"/>
      <c r="E1983" s="4"/>
      <c r="F1983" s="4"/>
      <c r="G1983" s="4"/>
      <c r="H1983" s="4"/>
      <c r="I1983" s="4"/>
      <c r="J1983" s="4"/>
      <c r="K1983" s="4"/>
    </row>
    <row r="1984" spans="1:11" ht="13">
      <c r="A1984" s="164"/>
      <c r="B1984" s="4"/>
      <c r="C1984" s="4"/>
      <c r="D1984" s="4"/>
      <c r="E1984" s="4"/>
      <c r="F1984" s="4"/>
      <c r="G1984" s="4"/>
      <c r="H1984" s="4"/>
      <c r="I1984" s="4"/>
      <c r="J1984" s="4"/>
      <c r="K1984" s="4"/>
    </row>
    <row r="1985" spans="1:11" ht="13">
      <c r="A1985" s="164"/>
      <c r="B1985" s="4"/>
      <c r="C1985" s="4"/>
      <c r="D1985" s="4"/>
      <c r="E1985" s="4"/>
      <c r="F1985" s="4"/>
      <c r="G1985" s="4"/>
      <c r="H1985" s="4"/>
      <c r="I1985" s="4"/>
      <c r="J1985" s="4"/>
      <c r="K1985" s="4"/>
    </row>
    <row r="1986" spans="1:11" ht="13">
      <c r="A1986" s="164"/>
      <c r="B1986" s="4"/>
      <c r="C1986" s="4"/>
      <c r="D1986" s="4"/>
      <c r="E1986" s="4"/>
      <c r="F1986" s="4"/>
      <c r="G1986" s="4"/>
      <c r="H1986" s="4"/>
      <c r="I1986" s="4"/>
      <c r="J1986" s="4"/>
      <c r="K1986" s="4"/>
    </row>
    <row r="1987" spans="1:11" ht="13">
      <c r="A1987" s="164"/>
      <c r="B1987" s="4"/>
      <c r="C1987" s="4"/>
      <c r="D1987" s="4"/>
      <c r="E1987" s="4"/>
      <c r="F1987" s="4"/>
      <c r="G1987" s="4"/>
      <c r="H1987" s="4"/>
      <c r="I1987" s="4"/>
      <c r="J1987" s="4"/>
      <c r="K1987" s="4"/>
    </row>
    <row r="1988" spans="1:11" ht="13">
      <c r="A1988" s="164"/>
      <c r="B1988" s="4"/>
      <c r="C1988" s="4"/>
      <c r="D1988" s="4"/>
      <c r="E1988" s="4"/>
      <c r="F1988" s="4"/>
      <c r="G1988" s="4"/>
      <c r="H1988" s="4"/>
      <c r="I1988" s="4"/>
      <c r="J1988" s="4"/>
      <c r="K1988" s="4"/>
    </row>
    <row r="1989" spans="1:11" ht="13">
      <c r="A1989" s="164"/>
      <c r="B1989" s="4"/>
      <c r="C1989" s="4"/>
      <c r="D1989" s="4"/>
      <c r="E1989" s="4"/>
      <c r="F1989" s="4"/>
      <c r="G1989" s="4"/>
      <c r="H1989" s="4"/>
      <c r="I1989" s="4"/>
      <c r="J1989" s="4"/>
      <c r="K1989" s="4"/>
    </row>
    <row r="1990" spans="1:11" ht="13">
      <c r="A1990" s="164"/>
      <c r="B1990" s="4"/>
      <c r="C1990" s="4"/>
      <c r="D1990" s="4"/>
      <c r="E1990" s="4"/>
      <c r="F1990" s="4"/>
      <c r="G1990" s="4"/>
      <c r="H1990" s="4"/>
      <c r="I1990" s="4"/>
      <c r="J1990" s="4"/>
      <c r="K1990" s="4"/>
    </row>
    <row r="1991" spans="1:11" ht="13">
      <c r="A1991" s="164"/>
      <c r="B1991" s="4"/>
      <c r="C1991" s="4"/>
      <c r="D1991" s="4"/>
      <c r="E1991" s="4"/>
      <c r="F1991" s="4"/>
      <c r="G1991" s="4"/>
      <c r="H1991" s="4"/>
      <c r="I1991" s="4"/>
      <c r="J1991" s="4"/>
      <c r="K1991" s="4"/>
    </row>
    <row r="1992" spans="1:11" ht="13">
      <c r="A1992" s="164"/>
      <c r="B1992" s="4"/>
      <c r="C1992" s="4"/>
      <c r="D1992" s="4"/>
      <c r="E1992" s="4"/>
      <c r="F1992" s="4"/>
      <c r="G1992" s="4"/>
      <c r="H1992" s="4"/>
      <c r="I1992" s="4"/>
      <c r="J1992" s="4"/>
      <c r="K1992" s="4"/>
    </row>
    <row r="1993" spans="1:11" ht="13">
      <c r="A1993" s="164"/>
      <c r="B1993" s="4"/>
      <c r="C1993" s="4"/>
      <c r="D1993" s="4"/>
      <c r="E1993" s="4"/>
      <c r="F1993" s="4"/>
      <c r="G1993" s="4"/>
      <c r="H1993" s="4"/>
      <c r="I1993" s="4"/>
      <c r="J1993" s="4"/>
      <c r="K1993" s="4"/>
    </row>
    <row r="1994" spans="1:11" ht="13">
      <c r="A1994" s="164"/>
      <c r="B1994" s="4"/>
      <c r="C1994" s="4"/>
      <c r="D1994" s="4"/>
      <c r="E1994" s="4"/>
      <c r="F1994" s="4"/>
      <c r="G1994" s="4"/>
      <c r="H1994" s="4"/>
      <c r="I1994" s="4"/>
      <c r="J1994" s="4"/>
      <c r="K1994" s="4"/>
    </row>
    <row r="1995" spans="1:11" ht="13">
      <c r="A1995" s="164"/>
      <c r="B1995" s="4"/>
      <c r="C1995" s="4"/>
      <c r="D1995" s="4"/>
      <c r="E1995" s="4"/>
      <c r="F1995" s="4"/>
      <c r="G1995" s="4"/>
      <c r="H1995" s="4"/>
      <c r="I1995" s="4"/>
      <c r="J1995" s="4"/>
      <c r="K1995" s="4"/>
    </row>
    <row r="1996" spans="1:11" ht="13">
      <c r="A1996" s="164"/>
      <c r="B1996" s="4"/>
      <c r="C1996" s="4"/>
      <c r="D1996" s="4"/>
      <c r="E1996" s="4"/>
      <c r="F1996" s="4"/>
      <c r="G1996" s="4"/>
      <c r="H1996" s="4"/>
      <c r="I1996" s="4"/>
      <c r="J1996" s="4"/>
      <c r="K1996" s="4"/>
    </row>
    <row r="1997" spans="1:11" ht="13">
      <c r="A1997" s="164"/>
      <c r="B1997" s="4"/>
      <c r="C1997" s="4"/>
      <c r="D1997" s="4"/>
      <c r="E1997" s="4"/>
      <c r="F1997" s="4"/>
      <c r="G1997" s="4"/>
      <c r="H1997" s="4"/>
      <c r="I1997" s="4"/>
      <c r="J1997" s="4"/>
      <c r="K1997" s="4"/>
    </row>
    <row r="1998" spans="1:11" ht="13">
      <c r="A1998" s="164"/>
      <c r="B1998" s="4"/>
      <c r="C1998" s="4"/>
      <c r="D1998" s="4"/>
      <c r="E1998" s="4"/>
      <c r="F1998" s="4"/>
      <c r="G1998" s="4"/>
      <c r="H1998" s="4"/>
      <c r="I1998" s="4"/>
      <c r="J1998" s="4"/>
      <c r="K1998" s="4"/>
    </row>
    <row r="1999" spans="1:11" ht="13">
      <c r="A1999" s="164"/>
      <c r="B1999" s="4"/>
      <c r="C1999" s="4"/>
      <c r="D1999" s="4"/>
      <c r="E1999" s="4"/>
      <c r="F1999" s="4"/>
      <c r="G1999" s="4"/>
      <c r="H1999" s="4"/>
      <c r="I1999" s="4"/>
      <c r="J1999" s="4"/>
      <c r="K1999" s="4"/>
    </row>
    <row r="2000" spans="1:11" ht="13">
      <c r="A2000" s="164"/>
      <c r="B2000" s="4"/>
      <c r="C2000" s="4"/>
      <c r="D2000" s="4"/>
      <c r="E2000" s="4"/>
      <c r="F2000" s="4"/>
      <c r="G2000" s="4"/>
      <c r="H2000" s="4"/>
      <c r="I2000" s="4"/>
      <c r="J2000" s="4"/>
      <c r="K2000" s="4"/>
    </row>
    <row r="2001" spans="1:11" ht="13">
      <c r="A2001" s="164"/>
      <c r="B2001" s="4"/>
      <c r="C2001" s="4"/>
      <c r="D2001" s="4"/>
      <c r="E2001" s="4"/>
      <c r="F2001" s="4"/>
      <c r="G2001" s="4"/>
      <c r="H2001" s="4"/>
      <c r="I2001" s="4"/>
      <c r="J2001" s="4"/>
      <c r="K2001" s="4"/>
    </row>
    <row r="2002" spans="1:11" ht="13">
      <c r="A2002" s="164"/>
      <c r="B2002" s="4"/>
      <c r="C2002" s="4"/>
      <c r="D2002" s="4"/>
      <c r="E2002" s="4"/>
      <c r="F2002" s="4"/>
      <c r="G2002" s="4"/>
      <c r="H2002" s="4"/>
      <c r="I2002" s="4"/>
      <c r="J2002" s="4"/>
      <c r="K2002" s="4"/>
    </row>
    <row r="2003" spans="1:11" ht="13">
      <c r="A2003" s="164"/>
      <c r="B2003" s="4"/>
      <c r="C2003" s="4"/>
      <c r="D2003" s="4"/>
      <c r="E2003" s="4"/>
      <c r="F2003" s="4"/>
      <c r="G2003" s="4"/>
      <c r="H2003" s="4"/>
      <c r="I2003" s="4"/>
      <c r="J2003" s="4"/>
      <c r="K2003" s="4"/>
    </row>
    <row r="2004" spans="1:11" ht="13">
      <c r="A2004" s="164"/>
      <c r="B2004" s="4"/>
      <c r="C2004" s="4"/>
      <c r="D2004" s="4"/>
      <c r="E2004" s="4"/>
      <c r="F2004" s="4"/>
      <c r="G2004" s="4"/>
      <c r="H2004" s="4"/>
      <c r="I2004" s="4"/>
      <c r="J2004" s="4"/>
      <c r="K2004" s="4"/>
    </row>
    <row r="2005" spans="1:11" ht="13">
      <c r="A2005" s="164"/>
      <c r="B2005" s="4"/>
      <c r="C2005" s="4"/>
      <c r="D2005" s="4"/>
      <c r="E2005" s="4"/>
      <c r="F2005" s="4"/>
      <c r="G2005" s="4"/>
      <c r="H2005" s="4"/>
      <c r="I2005" s="4"/>
      <c r="J2005" s="4"/>
      <c r="K2005" s="4"/>
    </row>
    <row r="2006" spans="1:11" ht="13">
      <c r="A2006" s="164"/>
      <c r="B2006" s="4"/>
      <c r="C2006" s="4"/>
      <c r="D2006" s="4"/>
      <c r="E2006" s="4"/>
      <c r="F2006" s="4"/>
      <c r="G2006" s="4"/>
      <c r="H2006" s="4"/>
      <c r="I2006" s="4"/>
      <c r="J2006" s="4"/>
      <c r="K2006" s="4"/>
    </row>
    <row r="2007" spans="1:11" ht="13">
      <c r="A2007" s="164"/>
      <c r="B2007" s="4"/>
      <c r="C2007" s="4"/>
      <c r="D2007" s="4"/>
      <c r="E2007" s="4"/>
      <c r="F2007" s="4"/>
      <c r="G2007" s="4"/>
      <c r="H2007" s="4"/>
      <c r="I2007" s="4"/>
      <c r="J2007" s="4"/>
      <c r="K2007" s="4"/>
    </row>
    <row r="2008" spans="1:11" ht="13">
      <c r="A2008" s="164"/>
      <c r="B2008" s="4"/>
      <c r="C2008" s="4"/>
      <c r="D2008" s="4"/>
      <c r="E2008" s="4"/>
      <c r="F2008" s="4"/>
      <c r="G2008" s="4"/>
      <c r="H2008" s="4"/>
      <c r="I2008" s="4"/>
      <c r="J2008" s="4"/>
      <c r="K2008" s="4"/>
    </row>
    <row r="2009" spans="1:11" ht="13">
      <c r="A2009" s="164"/>
      <c r="B2009" s="4"/>
      <c r="C2009" s="4"/>
      <c r="D2009" s="4"/>
      <c r="E2009" s="4"/>
      <c r="F2009" s="4"/>
      <c r="G2009" s="4"/>
      <c r="H2009" s="4"/>
      <c r="I2009" s="4"/>
      <c r="J2009" s="4"/>
      <c r="K2009" s="4"/>
    </row>
    <row r="2010" spans="1:11" ht="13">
      <c r="A2010" s="164"/>
      <c r="B2010" s="4"/>
      <c r="C2010" s="4"/>
      <c r="D2010" s="4"/>
      <c r="E2010" s="4"/>
      <c r="F2010" s="4"/>
      <c r="G2010" s="4"/>
      <c r="H2010" s="4"/>
      <c r="I2010" s="4"/>
      <c r="J2010" s="4"/>
      <c r="K2010" s="4"/>
    </row>
    <row r="2011" spans="1:11" ht="13">
      <c r="A2011" s="164"/>
      <c r="B2011" s="4"/>
      <c r="C2011" s="4"/>
      <c r="D2011" s="4"/>
      <c r="E2011" s="4"/>
      <c r="F2011" s="4"/>
      <c r="G2011" s="4"/>
      <c r="H2011" s="4"/>
      <c r="I2011" s="4"/>
      <c r="J2011" s="4"/>
      <c r="K2011" s="4"/>
    </row>
    <row r="2012" spans="1:11" ht="13">
      <c r="A2012" s="164"/>
      <c r="B2012" s="4"/>
      <c r="C2012" s="4"/>
      <c r="D2012" s="4"/>
      <c r="E2012" s="4"/>
      <c r="F2012" s="4"/>
      <c r="G2012" s="4"/>
      <c r="H2012" s="4"/>
      <c r="I2012" s="4"/>
      <c r="J2012" s="4"/>
      <c r="K2012" s="4"/>
    </row>
    <row r="2013" spans="1:11" ht="13">
      <c r="A2013" s="164"/>
      <c r="B2013" s="4"/>
      <c r="C2013" s="4"/>
      <c r="D2013" s="4"/>
      <c r="E2013" s="4"/>
      <c r="F2013" s="4"/>
      <c r="G2013" s="4"/>
      <c r="H2013" s="4"/>
      <c r="I2013" s="4"/>
      <c r="J2013" s="4"/>
      <c r="K2013" s="4"/>
    </row>
    <row r="2014" spans="1:11" ht="13">
      <c r="A2014" s="164"/>
      <c r="B2014" s="4"/>
      <c r="C2014" s="4"/>
      <c r="D2014" s="4"/>
      <c r="E2014" s="4"/>
      <c r="F2014" s="4"/>
      <c r="G2014" s="4"/>
      <c r="H2014" s="4"/>
      <c r="I2014" s="4"/>
      <c r="J2014" s="4"/>
      <c r="K2014" s="4"/>
    </row>
    <row r="2015" spans="1:11" ht="13">
      <c r="A2015" s="164"/>
      <c r="B2015" s="4"/>
      <c r="C2015" s="4"/>
      <c r="D2015" s="4"/>
      <c r="E2015" s="4"/>
      <c r="F2015" s="4"/>
      <c r="G2015" s="4"/>
      <c r="H2015" s="4"/>
      <c r="I2015" s="4"/>
      <c r="J2015" s="4"/>
      <c r="K2015" s="4"/>
    </row>
    <row r="2016" spans="1:11" ht="13">
      <c r="A2016" s="164"/>
      <c r="B2016" s="4"/>
      <c r="C2016" s="4"/>
      <c r="D2016" s="4"/>
      <c r="E2016" s="4"/>
      <c r="F2016" s="4"/>
      <c r="G2016" s="4"/>
      <c r="H2016" s="4"/>
      <c r="I2016" s="4"/>
      <c r="J2016" s="4"/>
      <c r="K2016" s="4"/>
    </row>
    <row r="2017" spans="1:11" ht="13">
      <c r="A2017" s="164"/>
      <c r="B2017" s="4"/>
      <c r="C2017" s="4"/>
      <c r="D2017" s="4"/>
      <c r="E2017" s="4"/>
      <c r="F2017" s="4"/>
      <c r="G2017" s="4"/>
      <c r="H2017" s="4"/>
      <c r="I2017" s="4"/>
      <c r="J2017" s="4"/>
      <c r="K2017" s="4"/>
    </row>
    <row r="2018" spans="1:11" ht="13">
      <c r="A2018" s="164"/>
      <c r="B2018" s="4"/>
      <c r="C2018" s="4"/>
      <c r="D2018" s="4"/>
      <c r="E2018" s="4"/>
      <c r="F2018" s="4"/>
      <c r="G2018" s="4"/>
      <c r="H2018" s="4"/>
      <c r="I2018" s="4"/>
      <c r="J2018" s="4"/>
      <c r="K2018" s="4"/>
    </row>
    <row r="2019" spans="1:11" ht="13">
      <c r="A2019" s="164"/>
      <c r="B2019" s="4"/>
      <c r="C2019" s="4"/>
      <c r="D2019" s="4"/>
      <c r="E2019" s="4"/>
      <c r="F2019" s="4"/>
      <c r="G2019" s="4"/>
      <c r="H2019" s="4"/>
      <c r="I2019" s="4"/>
      <c r="J2019" s="4"/>
      <c r="K2019" s="4"/>
    </row>
    <row r="2020" spans="1:11" ht="13">
      <c r="A2020" s="164"/>
      <c r="B2020" s="4"/>
      <c r="C2020" s="4"/>
      <c r="D2020" s="4"/>
      <c r="E2020" s="4"/>
      <c r="F2020" s="4"/>
      <c r="G2020" s="4"/>
      <c r="H2020" s="4"/>
      <c r="I2020" s="4"/>
      <c r="J2020" s="4"/>
      <c r="K2020" s="4"/>
    </row>
    <row r="2021" spans="1:11" ht="13">
      <c r="A2021" s="164"/>
      <c r="B2021" s="4"/>
      <c r="C2021" s="4"/>
      <c r="D2021" s="4"/>
      <c r="E2021" s="4"/>
      <c r="F2021" s="4"/>
      <c r="G2021" s="4"/>
      <c r="H2021" s="4"/>
      <c r="I2021" s="4"/>
      <c r="J2021" s="4"/>
      <c r="K2021" s="4"/>
    </row>
    <row r="2022" spans="1:11" ht="13">
      <c r="A2022" s="164"/>
      <c r="B2022" s="4"/>
      <c r="C2022" s="4"/>
      <c r="D2022" s="4"/>
      <c r="E2022" s="4"/>
      <c r="F2022" s="4"/>
      <c r="G2022" s="4"/>
      <c r="H2022" s="4"/>
      <c r="I2022" s="4"/>
      <c r="J2022" s="4"/>
      <c r="K2022" s="4"/>
    </row>
    <row r="2023" spans="1:11" ht="13">
      <c r="A2023" s="164"/>
      <c r="B2023" s="4"/>
      <c r="C2023" s="4"/>
      <c r="D2023" s="4"/>
      <c r="E2023" s="4"/>
      <c r="F2023" s="4"/>
      <c r="G2023" s="4"/>
      <c r="H2023" s="4"/>
      <c r="I2023" s="4"/>
      <c r="J2023" s="4"/>
      <c r="K2023" s="4"/>
    </row>
    <row r="2024" spans="1:11" ht="13">
      <c r="A2024" s="164"/>
      <c r="B2024" s="4"/>
      <c r="C2024" s="4"/>
      <c r="D2024" s="4"/>
      <c r="E2024" s="4"/>
      <c r="F2024" s="4"/>
      <c r="G2024" s="4"/>
      <c r="H2024" s="4"/>
      <c r="I2024" s="4"/>
      <c r="J2024" s="4"/>
      <c r="K2024" s="4"/>
    </row>
    <row r="2025" spans="1:11" ht="13">
      <c r="A2025" s="164"/>
      <c r="B2025" s="4"/>
      <c r="C2025" s="4"/>
      <c r="D2025" s="4"/>
      <c r="E2025" s="4"/>
      <c r="F2025" s="4"/>
      <c r="G2025" s="4"/>
      <c r="H2025" s="4"/>
      <c r="I2025" s="4"/>
      <c r="J2025" s="4"/>
      <c r="K2025" s="4"/>
    </row>
    <row r="2026" spans="1:11" ht="13">
      <c r="A2026" s="164"/>
      <c r="B2026" s="4"/>
      <c r="C2026" s="4"/>
      <c r="D2026" s="4"/>
      <c r="E2026" s="4"/>
      <c r="F2026" s="4"/>
      <c r="G2026" s="4"/>
      <c r="H2026" s="4"/>
      <c r="I2026" s="4"/>
      <c r="J2026" s="4"/>
      <c r="K2026" s="4"/>
    </row>
    <row r="2027" spans="1:11" ht="13">
      <c r="A2027" s="164"/>
      <c r="B2027" s="4"/>
      <c r="C2027" s="4"/>
      <c r="D2027" s="4"/>
      <c r="E2027" s="4"/>
      <c r="F2027" s="4"/>
      <c r="G2027" s="4"/>
      <c r="H2027" s="4"/>
      <c r="I2027" s="4"/>
      <c r="J2027" s="4"/>
      <c r="K2027" s="4"/>
    </row>
    <row r="2028" spans="1:11" ht="13">
      <c r="A2028" s="164"/>
      <c r="B2028" s="4"/>
      <c r="C2028" s="4"/>
      <c r="D2028" s="4"/>
      <c r="E2028" s="4"/>
      <c r="F2028" s="4"/>
      <c r="G2028" s="4"/>
      <c r="H2028" s="4"/>
      <c r="I2028" s="4"/>
      <c r="J2028" s="4"/>
      <c r="K2028" s="4"/>
    </row>
    <row r="2029" spans="1:11" ht="13">
      <c r="A2029" s="164"/>
      <c r="B2029" s="4"/>
      <c r="C2029" s="4"/>
      <c r="D2029" s="4"/>
      <c r="E2029" s="4"/>
      <c r="F2029" s="4"/>
      <c r="G2029" s="4"/>
      <c r="H2029" s="4"/>
      <c r="I2029" s="4"/>
      <c r="J2029" s="4"/>
      <c r="K2029" s="4"/>
    </row>
    <row r="2030" spans="1:11" ht="13">
      <c r="A2030" s="164"/>
      <c r="B2030" s="4"/>
      <c r="C2030" s="4"/>
      <c r="D2030" s="4"/>
      <c r="E2030" s="4"/>
      <c r="F2030" s="4"/>
      <c r="G2030" s="4"/>
      <c r="H2030" s="4"/>
      <c r="I2030" s="4"/>
      <c r="J2030" s="4"/>
      <c r="K2030" s="4"/>
    </row>
    <row r="2031" spans="1:11" ht="13">
      <c r="A2031" s="164"/>
      <c r="B2031" s="4"/>
      <c r="C2031" s="4"/>
      <c r="D2031" s="4"/>
      <c r="E2031" s="4"/>
      <c r="F2031" s="4"/>
      <c r="G2031" s="4"/>
      <c r="H2031" s="4"/>
      <c r="I2031" s="4"/>
      <c r="J2031" s="4"/>
      <c r="K2031" s="4"/>
    </row>
    <row r="2032" spans="1:11" ht="13">
      <c r="A2032" s="164"/>
      <c r="B2032" s="4"/>
      <c r="C2032" s="4"/>
      <c r="D2032" s="4"/>
      <c r="E2032" s="4"/>
      <c r="F2032" s="4"/>
      <c r="G2032" s="4"/>
      <c r="H2032" s="4"/>
      <c r="I2032" s="4"/>
      <c r="J2032" s="4"/>
      <c r="K2032" s="4"/>
    </row>
    <row r="2033" spans="1:11" ht="13">
      <c r="A2033" s="164"/>
      <c r="B2033" s="4"/>
      <c r="C2033" s="4"/>
      <c r="D2033" s="4"/>
      <c r="E2033" s="4"/>
      <c r="F2033" s="4"/>
      <c r="G2033" s="4"/>
      <c r="H2033" s="4"/>
      <c r="I2033" s="4"/>
      <c r="J2033" s="4"/>
      <c r="K2033" s="4"/>
    </row>
    <row r="2034" spans="1:11" ht="13">
      <c r="A2034" s="164"/>
      <c r="B2034" s="4"/>
      <c r="C2034" s="4"/>
      <c r="D2034" s="4"/>
      <c r="E2034" s="4"/>
      <c r="F2034" s="4"/>
      <c r="G2034" s="4"/>
      <c r="H2034" s="4"/>
      <c r="I2034" s="4"/>
      <c r="J2034" s="4"/>
      <c r="K2034" s="4"/>
    </row>
    <row r="2035" spans="1:11" ht="13">
      <c r="A2035" s="164"/>
      <c r="B2035" s="4"/>
      <c r="C2035" s="4"/>
      <c r="D2035" s="4"/>
      <c r="E2035" s="4"/>
      <c r="F2035" s="4"/>
      <c r="G2035" s="4"/>
      <c r="H2035" s="4"/>
      <c r="I2035" s="4"/>
      <c r="J2035" s="4"/>
      <c r="K2035" s="4"/>
    </row>
    <row r="2036" spans="1:11" ht="13">
      <c r="A2036" s="164"/>
      <c r="B2036" s="4"/>
      <c r="C2036" s="4"/>
      <c r="D2036" s="4"/>
      <c r="E2036" s="4"/>
      <c r="F2036" s="4"/>
      <c r="G2036" s="4"/>
      <c r="H2036" s="4"/>
      <c r="I2036" s="4"/>
      <c r="J2036" s="4"/>
      <c r="K2036" s="4"/>
    </row>
    <row r="2037" spans="1:11" ht="13">
      <c r="A2037" s="164"/>
      <c r="B2037" s="4"/>
      <c r="C2037" s="4"/>
      <c r="D2037" s="4"/>
      <c r="E2037" s="4"/>
      <c r="F2037" s="4"/>
      <c r="G2037" s="4"/>
      <c r="H2037" s="4"/>
      <c r="I2037" s="4"/>
      <c r="J2037" s="4"/>
      <c r="K2037" s="4"/>
    </row>
    <row r="2038" spans="1:11" ht="13">
      <c r="A2038" s="164"/>
      <c r="B2038" s="4"/>
      <c r="C2038" s="4"/>
      <c r="D2038" s="4"/>
      <c r="E2038" s="4"/>
      <c r="F2038" s="4"/>
      <c r="G2038" s="4"/>
      <c r="H2038" s="4"/>
      <c r="I2038" s="4"/>
      <c r="J2038" s="4"/>
      <c r="K2038" s="4"/>
    </row>
    <row r="2039" spans="1:11" ht="13">
      <c r="A2039" s="164"/>
      <c r="B2039" s="4"/>
      <c r="C2039" s="4"/>
      <c r="D2039" s="4"/>
      <c r="E2039" s="4"/>
      <c r="F2039" s="4"/>
      <c r="G2039" s="4"/>
      <c r="H2039" s="4"/>
      <c r="I2039" s="4"/>
      <c r="J2039" s="4"/>
      <c r="K2039" s="4"/>
    </row>
    <row r="2040" spans="1:11" ht="13">
      <c r="A2040" s="164"/>
      <c r="B2040" s="4"/>
      <c r="C2040" s="4"/>
      <c r="D2040" s="4"/>
      <c r="E2040" s="4"/>
      <c r="F2040" s="4"/>
      <c r="G2040" s="4"/>
      <c r="H2040" s="4"/>
      <c r="I2040" s="4"/>
      <c r="J2040" s="4"/>
      <c r="K2040" s="4"/>
    </row>
    <row r="2041" spans="1:11" ht="13">
      <c r="A2041" s="164"/>
      <c r="B2041" s="4"/>
      <c r="C2041" s="4"/>
      <c r="D2041" s="4"/>
      <c r="E2041" s="4"/>
      <c r="F2041" s="4"/>
      <c r="G2041" s="4"/>
      <c r="H2041" s="4"/>
      <c r="I2041" s="4"/>
      <c r="J2041" s="4"/>
      <c r="K2041" s="4"/>
    </row>
    <row r="2042" spans="1:11" ht="13">
      <c r="A2042" s="164"/>
      <c r="B2042" s="4"/>
      <c r="C2042" s="4"/>
      <c r="D2042" s="4"/>
      <c r="E2042" s="4"/>
      <c r="F2042" s="4"/>
      <c r="G2042" s="4"/>
      <c r="H2042" s="4"/>
      <c r="I2042" s="4"/>
      <c r="J2042" s="4"/>
      <c r="K2042" s="4"/>
    </row>
    <row r="2043" spans="1:11" ht="13">
      <c r="A2043" s="164"/>
      <c r="B2043" s="4"/>
      <c r="C2043" s="4"/>
      <c r="D2043" s="4"/>
      <c r="E2043" s="4"/>
      <c r="F2043" s="4"/>
      <c r="G2043" s="4"/>
      <c r="H2043" s="4"/>
      <c r="I2043" s="4"/>
      <c r="J2043" s="4"/>
      <c r="K2043" s="4"/>
    </row>
    <row r="2044" spans="1:11" ht="13">
      <c r="A2044" s="164"/>
      <c r="B2044" s="4"/>
      <c r="C2044" s="4"/>
      <c r="D2044" s="4"/>
      <c r="E2044" s="4"/>
      <c r="F2044" s="4"/>
      <c r="G2044" s="4"/>
      <c r="H2044" s="4"/>
      <c r="I2044" s="4"/>
      <c r="J2044" s="4"/>
      <c r="K2044" s="4"/>
    </row>
    <row r="2045" spans="1:11" ht="13">
      <c r="A2045" s="164"/>
      <c r="B2045" s="4"/>
      <c r="C2045" s="4"/>
      <c r="D2045" s="4"/>
      <c r="E2045" s="4"/>
      <c r="F2045" s="4"/>
      <c r="G2045" s="4"/>
      <c r="H2045" s="4"/>
      <c r="I2045" s="4"/>
      <c r="J2045" s="4"/>
      <c r="K2045" s="4"/>
    </row>
    <row r="2046" spans="1:11" ht="13">
      <c r="A2046" s="164"/>
      <c r="B2046" s="4"/>
      <c r="C2046" s="4"/>
      <c r="D2046" s="4"/>
      <c r="E2046" s="4"/>
      <c r="F2046" s="4"/>
      <c r="G2046" s="4"/>
      <c r="H2046" s="4"/>
      <c r="I2046" s="4"/>
      <c r="J2046" s="4"/>
      <c r="K2046" s="4"/>
    </row>
    <row r="2047" spans="1:11" ht="13">
      <c r="A2047" s="164"/>
      <c r="B2047" s="4"/>
      <c r="C2047" s="4"/>
      <c r="D2047" s="4"/>
      <c r="E2047" s="4"/>
      <c r="F2047" s="4"/>
      <c r="G2047" s="4"/>
      <c r="H2047" s="4"/>
      <c r="I2047" s="4"/>
      <c r="J2047" s="4"/>
      <c r="K2047" s="4"/>
    </row>
    <row r="2048" spans="1:11" ht="13">
      <c r="A2048" s="164"/>
      <c r="B2048" s="4"/>
      <c r="C2048" s="4"/>
      <c r="D2048" s="4"/>
      <c r="E2048" s="4"/>
      <c r="F2048" s="4"/>
      <c r="G2048" s="4"/>
      <c r="H2048" s="4"/>
      <c r="I2048" s="4"/>
      <c r="J2048" s="4"/>
      <c r="K2048" s="4"/>
    </row>
    <row r="2049" spans="1:11" ht="13">
      <c r="A2049" s="164"/>
      <c r="B2049" s="4"/>
      <c r="C2049" s="4"/>
      <c r="D2049" s="4"/>
      <c r="E2049" s="4"/>
      <c r="F2049" s="4"/>
      <c r="G2049" s="4"/>
      <c r="H2049" s="4"/>
      <c r="I2049" s="4"/>
      <c r="J2049" s="4"/>
      <c r="K2049" s="4"/>
    </row>
    <row r="2050" spans="1:11" ht="13">
      <c r="A2050" s="164"/>
      <c r="B2050" s="4"/>
      <c r="C2050" s="4"/>
      <c r="D2050" s="4"/>
      <c r="E2050" s="4"/>
      <c r="F2050" s="4"/>
      <c r="G2050" s="4"/>
      <c r="H2050" s="4"/>
      <c r="I2050" s="4"/>
      <c r="J2050" s="4"/>
      <c r="K2050" s="4"/>
    </row>
    <row r="2051" spans="1:11" ht="13">
      <c r="A2051" s="164"/>
      <c r="B2051" s="4"/>
      <c r="C2051" s="4"/>
      <c r="D2051" s="4"/>
      <c r="E2051" s="4"/>
      <c r="F2051" s="4"/>
      <c r="G2051" s="4"/>
      <c r="H2051" s="4"/>
      <c r="I2051" s="4"/>
      <c r="J2051" s="4"/>
      <c r="K2051" s="4"/>
    </row>
    <row r="2052" spans="1:11" ht="13">
      <c r="A2052" s="164"/>
      <c r="B2052" s="4"/>
      <c r="C2052" s="4"/>
      <c r="D2052" s="4"/>
      <c r="E2052" s="4"/>
      <c r="F2052" s="4"/>
      <c r="G2052" s="4"/>
      <c r="H2052" s="4"/>
      <c r="I2052" s="4"/>
      <c r="J2052" s="4"/>
      <c r="K2052" s="4"/>
    </row>
    <row r="2053" spans="1:11" ht="13">
      <c r="A2053" s="164"/>
      <c r="B2053" s="4"/>
      <c r="C2053" s="4"/>
      <c r="D2053" s="4"/>
      <c r="E2053" s="4"/>
      <c r="F2053" s="4"/>
      <c r="G2053" s="4"/>
      <c r="H2053" s="4"/>
      <c r="I2053" s="4"/>
      <c r="J2053" s="4"/>
      <c r="K2053" s="4"/>
    </row>
    <row r="2054" spans="1:11" ht="13">
      <c r="A2054" s="164"/>
      <c r="B2054" s="4"/>
      <c r="C2054" s="4"/>
      <c r="D2054" s="4"/>
      <c r="E2054" s="4"/>
      <c r="F2054" s="4"/>
      <c r="G2054" s="4"/>
      <c r="H2054" s="4"/>
      <c r="I2054" s="4"/>
      <c r="J2054" s="4"/>
      <c r="K2054" s="4"/>
    </row>
    <row r="2055" spans="1:11" ht="13">
      <c r="A2055" s="164"/>
      <c r="B2055" s="4"/>
      <c r="C2055" s="4"/>
      <c r="D2055" s="4"/>
      <c r="E2055" s="4"/>
      <c r="F2055" s="4"/>
      <c r="G2055" s="4"/>
      <c r="H2055" s="4"/>
      <c r="I2055" s="4"/>
      <c r="J2055" s="4"/>
      <c r="K2055" s="4"/>
    </row>
    <row r="2056" spans="1:11" ht="13">
      <c r="A2056" s="164"/>
      <c r="B2056" s="4"/>
      <c r="C2056" s="4"/>
      <c r="D2056" s="4"/>
      <c r="E2056" s="4"/>
      <c r="F2056" s="4"/>
      <c r="G2056" s="4"/>
      <c r="H2056" s="4"/>
      <c r="I2056" s="4"/>
      <c r="J2056" s="4"/>
      <c r="K2056" s="4"/>
    </row>
    <row r="2057" spans="1:11" ht="13">
      <c r="A2057" s="164"/>
      <c r="B2057" s="4"/>
      <c r="C2057" s="4"/>
      <c r="D2057" s="4"/>
      <c r="E2057" s="4"/>
      <c r="F2057" s="4"/>
      <c r="G2057" s="4"/>
      <c r="H2057" s="4"/>
      <c r="I2057" s="4"/>
      <c r="J2057" s="4"/>
      <c r="K2057" s="4"/>
    </row>
    <row r="2058" spans="1:11" ht="13">
      <c r="A2058" s="164"/>
      <c r="B2058" s="4"/>
      <c r="C2058" s="4"/>
      <c r="D2058" s="4"/>
      <c r="E2058" s="4"/>
      <c r="F2058" s="4"/>
      <c r="G2058" s="4"/>
      <c r="H2058" s="4"/>
      <c r="I2058" s="4"/>
      <c r="J2058" s="4"/>
      <c r="K2058" s="4"/>
    </row>
    <row r="2059" spans="1:11" ht="13">
      <c r="A2059" s="164"/>
      <c r="B2059" s="4"/>
      <c r="C2059" s="4"/>
      <c r="D2059" s="4"/>
      <c r="E2059" s="4"/>
      <c r="F2059" s="4"/>
      <c r="G2059" s="4"/>
      <c r="H2059" s="4"/>
      <c r="I2059" s="4"/>
      <c r="J2059" s="4"/>
      <c r="K2059" s="4"/>
    </row>
    <row r="2060" spans="1:11" ht="13">
      <c r="A2060" s="164"/>
      <c r="B2060" s="4"/>
      <c r="C2060" s="4"/>
      <c r="D2060" s="4"/>
      <c r="E2060" s="4"/>
      <c r="F2060" s="4"/>
      <c r="G2060" s="4"/>
      <c r="H2060" s="4"/>
      <c r="I2060" s="4"/>
      <c r="J2060" s="4"/>
      <c r="K2060" s="4"/>
    </row>
    <row r="2061" spans="1:11" ht="13">
      <c r="A2061" s="164"/>
      <c r="B2061" s="4"/>
      <c r="C2061" s="4"/>
      <c r="D2061" s="4"/>
      <c r="E2061" s="4"/>
      <c r="F2061" s="4"/>
      <c r="G2061" s="4"/>
      <c r="H2061" s="4"/>
      <c r="I2061" s="4"/>
      <c r="J2061" s="4"/>
      <c r="K2061" s="4"/>
    </row>
    <row r="2062" spans="1:11" ht="13">
      <c r="A2062" s="164"/>
      <c r="B2062" s="4"/>
      <c r="C2062" s="4"/>
      <c r="D2062" s="4"/>
      <c r="E2062" s="4"/>
      <c r="F2062" s="4"/>
      <c r="G2062" s="4"/>
      <c r="H2062" s="4"/>
      <c r="I2062" s="4"/>
      <c r="J2062" s="4"/>
      <c r="K2062" s="4"/>
    </row>
    <row r="2063" spans="1:11" ht="13">
      <c r="A2063" s="164"/>
      <c r="B2063" s="4"/>
      <c r="C2063" s="4"/>
      <c r="D2063" s="4"/>
      <c r="E2063" s="4"/>
      <c r="F2063" s="4"/>
      <c r="G2063" s="4"/>
      <c r="H2063" s="4"/>
      <c r="I2063" s="4"/>
      <c r="J2063" s="4"/>
      <c r="K2063" s="4"/>
    </row>
    <row r="2064" spans="1:11" ht="13">
      <c r="A2064" s="164"/>
      <c r="B2064" s="4"/>
      <c r="C2064" s="4"/>
      <c r="D2064" s="4"/>
      <c r="E2064" s="4"/>
      <c r="F2064" s="4"/>
      <c r="G2064" s="4"/>
      <c r="H2064" s="4"/>
      <c r="I2064" s="4"/>
      <c r="J2064" s="4"/>
      <c r="K2064" s="4"/>
    </row>
    <row r="2065" spans="1:11" ht="13">
      <c r="A2065" s="164"/>
      <c r="B2065" s="4"/>
      <c r="C2065" s="4"/>
      <c r="D2065" s="4"/>
      <c r="E2065" s="4"/>
      <c r="F2065" s="4"/>
      <c r="G2065" s="4"/>
      <c r="H2065" s="4"/>
      <c r="I2065" s="4"/>
      <c r="J2065" s="4"/>
      <c r="K2065" s="4"/>
    </row>
    <row r="2066" spans="1:11" ht="13">
      <c r="A2066" s="164"/>
      <c r="B2066" s="4"/>
      <c r="C2066" s="4"/>
      <c r="D2066" s="4"/>
      <c r="E2066" s="4"/>
      <c r="F2066" s="4"/>
      <c r="G2066" s="4"/>
      <c r="H2066" s="4"/>
      <c r="I2066" s="4"/>
      <c r="J2066" s="4"/>
      <c r="K2066" s="4"/>
    </row>
    <row r="2067" spans="1:11" ht="13">
      <c r="A2067" s="164"/>
      <c r="B2067" s="4"/>
      <c r="C2067" s="4"/>
      <c r="D2067" s="4"/>
      <c r="E2067" s="4"/>
      <c r="F2067" s="4"/>
      <c r="G2067" s="4"/>
      <c r="H2067" s="4"/>
      <c r="I2067" s="4"/>
      <c r="J2067" s="4"/>
      <c r="K2067" s="4"/>
    </row>
    <row r="2068" spans="1:11" ht="13">
      <c r="A2068" s="164"/>
      <c r="B2068" s="4"/>
      <c r="C2068" s="4"/>
      <c r="D2068" s="4"/>
      <c r="E2068" s="4"/>
      <c r="F2068" s="4"/>
      <c r="G2068" s="4"/>
      <c r="H2068" s="4"/>
      <c r="I2068" s="4"/>
      <c r="J2068" s="4"/>
      <c r="K2068" s="4"/>
    </row>
    <row r="2069" spans="1:11" ht="13">
      <c r="A2069" s="164"/>
      <c r="B2069" s="4"/>
      <c r="C2069" s="4"/>
      <c r="D2069" s="4"/>
      <c r="E2069" s="4"/>
      <c r="F2069" s="4"/>
      <c r="G2069" s="4"/>
      <c r="H2069" s="4"/>
      <c r="I2069" s="4"/>
      <c r="J2069" s="4"/>
      <c r="K2069" s="4"/>
    </row>
    <row r="2070" spans="1:11" ht="13">
      <c r="A2070" s="164"/>
      <c r="B2070" s="4"/>
      <c r="C2070" s="4"/>
      <c r="D2070" s="4"/>
      <c r="E2070" s="4"/>
      <c r="F2070" s="4"/>
      <c r="G2070" s="4"/>
      <c r="H2070" s="4"/>
      <c r="I2070" s="4"/>
      <c r="J2070" s="4"/>
      <c r="K2070" s="4"/>
    </row>
    <row r="2071" spans="1:11" ht="13">
      <c r="A2071" s="164"/>
      <c r="B2071" s="4"/>
      <c r="C2071" s="4"/>
      <c r="D2071" s="4"/>
      <c r="E2071" s="4"/>
      <c r="F2071" s="4"/>
      <c r="G2071" s="4"/>
      <c r="H2071" s="4"/>
      <c r="I2071" s="4"/>
      <c r="J2071" s="4"/>
      <c r="K2071" s="4"/>
    </row>
    <row r="2072" spans="1:11" ht="13">
      <c r="A2072" s="164"/>
      <c r="B2072" s="4"/>
      <c r="C2072" s="4"/>
      <c r="D2072" s="4"/>
      <c r="E2072" s="4"/>
      <c r="F2072" s="4"/>
      <c r="G2072" s="4"/>
      <c r="H2072" s="4"/>
      <c r="I2072" s="4"/>
      <c r="J2072" s="4"/>
      <c r="K2072" s="4"/>
    </row>
    <row r="2073" spans="1:11" ht="13">
      <c r="A2073" s="164"/>
      <c r="B2073" s="4"/>
      <c r="C2073" s="4"/>
      <c r="D2073" s="4"/>
      <c r="E2073" s="4"/>
      <c r="F2073" s="4"/>
      <c r="G2073" s="4"/>
      <c r="H2073" s="4"/>
      <c r="I2073" s="4"/>
      <c r="J2073" s="4"/>
      <c r="K2073" s="4"/>
    </row>
    <row r="2074" spans="1:11" ht="13">
      <c r="A2074" s="164"/>
      <c r="B2074" s="4"/>
      <c r="C2074" s="4"/>
      <c r="D2074" s="4"/>
      <c r="E2074" s="4"/>
      <c r="F2074" s="4"/>
      <c r="G2074" s="4"/>
      <c r="H2074" s="4"/>
      <c r="I2074" s="4"/>
      <c r="J2074" s="4"/>
      <c r="K2074" s="4"/>
    </row>
    <row r="2075" spans="1:11" ht="13">
      <c r="A2075" s="164"/>
      <c r="B2075" s="4"/>
      <c r="C2075" s="4"/>
      <c r="D2075" s="4"/>
      <c r="E2075" s="4"/>
      <c r="F2075" s="4"/>
      <c r="G2075" s="4"/>
      <c r="H2075" s="4"/>
      <c r="I2075" s="4"/>
      <c r="J2075" s="4"/>
      <c r="K2075" s="4"/>
    </row>
    <row r="2076" spans="1:11" ht="13">
      <c r="A2076" s="164"/>
      <c r="B2076" s="4"/>
      <c r="C2076" s="4"/>
      <c r="D2076" s="4"/>
      <c r="E2076" s="4"/>
      <c r="F2076" s="4"/>
      <c r="G2076" s="4"/>
      <c r="H2076" s="4"/>
      <c r="I2076" s="4"/>
      <c r="J2076" s="4"/>
      <c r="K2076" s="4"/>
    </row>
    <row r="2077" spans="1:11" ht="13">
      <c r="A2077" s="164"/>
      <c r="B2077" s="4"/>
      <c r="C2077" s="4"/>
      <c r="D2077" s="4"/>
      <c r="E2077" s="4"/>
      <c r="F2077" s="4"/>
      <c r="G2077" s="4"/>
      <c r="H2077" s="4"/>
      <c r="I2077" s="4"/>
      <c r="J2077" s="4"/>
      <c r="K2077" s="4"/>
    </row>
    <row r="2078" spans="1:11" ht="13">
      <c r="A2078" s="164"/>
      <c r="B2078" s="4"/>
      <c r="C2078" s="4"/>
      <c r="D2078" s="4"/>
      <c r="E2078" s="4"/>
      <c r="F2078" s="4"/>
      <c r="G2078" s="4"/>
      <c r="H2078" s="4"/>
      <c r="I2078" s="4"/>
      <c r="J2078" s="4"/>
      <c r="K2078" s="4"/>
    </row>
    <row r="2079" spans="1:11" ht="13">
      <c r="A2079" s="164"/>
      <c r="B2079" s="4"/>
      <c r="C2079" s="4"/>
      <c r="D2079" s="4"/>
      <c r="E2079" s="4"/>
      <c r="F2079" s="4"/>
      <c r="G2079" s="4"/>
      <c r="H2079" s="4"/>
      <c r="I2079" s="4"/>
      <c r="J2079" s="4"/>
      <c r="K2079" s="4"/>
    </row>
    <row r="2080" spans="1:11" ht="13">
      <c r="A2080" s="164"/>
      <c r="B2080" s="4"/>
      <c r="C2080" s="4"/>
      <c r="D2080" s="4"/>
      <c r="E2080" s="4"/>
      <c r="F2080" s="4"/>
      <c r="G2080" s="4"/>
      <c r="H2080" s="4"/>
      <c r="I2080" s="4"/>
      <c r="J2080" s="4"/>
      <c r="K2080" s="4"/>
    </row>
    <row r="2081" spans="1:11" ht="13">
      <c r="A2081" s="164"/>
      <c r="B2081" s="4"/>
      <c r="C2081" s="4"/>
      <c r="D2081" s="4"/>
      <c r="E2081" s="4"/>
      <c r="F2081" s="4"/>
      <c r="G2081" s="4"/>
      <c r="H2081" s="4"/>
      <c r="I2081" s="4"/>
      <c r="J2081" s="4"/>
      <c r="K2081" s="4"/>
    </row>
    <row r="2082" spans="1:11" ht="13">
      <c r="A2082" s="164"/>
      <c r="B2082" s="4"/>
      <c r="C2082" s="4"/>
      <c r="D2082" s="4"/>
      <c r="E2082" s="4"/>
      <c r="F2082" s="4"/>
      <c r="G2082" s="4"/>
      <c r="H2082" s="4"/>
      <c r="I2082" s="4"/>
      <c r="J2082" s="4"/>
      <c r="K2082" s="4"/>
    </row>
    <row r="2083" spans="1:11" ht="13">
      <c r="A2083" s="164"/>
      <c r="B2083" s="4"/>
      <c r="C2083" s="4"/>
      <c r="D2083" s="4"/>
      <c r="E2083" s="4"/>
      <c r="F2083" s="4"/>
      <c r="G2083" s="4"/>
      <c r="H2083" s="4"/>
      <c r="I2083" s="4"/>
      <c r="J2083" s="4"/>
      <c r="K2083" s="4"/>
    </row>
    <row r="2084" spans="1:11" ht="13">
      <c r="A2084" s="164"/>
      <c r="B2084" s="4"/>
      <c r="C2084" s="4"/>
      <c r="D2084" s="4"/>
      <c r="E2084" s="4"/>
      <c r="F2084" s="4"/>
      <c r="G2084" s="4"/>
      <c r="H2084" s="4"/>
      <c r="I2084" s="4"/>
      <c r="J2084" s="4"/>
      <c r="K2084" s="4"/>
    </row>
    <row r="2085" spans="1:11" ht="13">
      <c r="A2085" s="164"/>
      <c r="B2085" s="4"/>
      <c r="C2085" s="4"/>
      <c r="D2085" s="4"/>
      <c r="E2085" s="4"/>
      <c r="F2085" s="4"/>
      <c r="G2085" s="4"/>
      <c r="H2085" s="4"/>
      <c r="I2085" s="4"/>
      <c r="J2085" s="4"/>
      <c r="K2085" s="4"/>
    </row>
    <row r="2086" spans="1:11" ht="13">
      <c r="A2086" s="164"/>
      <c r="B2086" s="4"/>
      <c r="C2086" s="4"/>
      <c r="D2086" s="4"/>
      <c r="E2086" s="4"/>
      <c r="F2086" s="4"/>
      <c r="G2086" s="4"/>
      <c r="H2086" s="4"/>
      <c r="I2086" s="4"/>
      <c r="J2086" s="4"/>
      <c r="K2086" s="4"/>
    </row>
    <row r="2087" spans="1:11" ht="13">
      <c r="A2087" s="164"/>
      <c r="B2087" s="4"/>
      <c r="C2087" s="4"/>
      <c r="D2087" s="4"/>
      <c r="E2087" s="4"/>
      <c r="F2087" s="4"/>
      <c r="G2087" s="4"/>
      <c r="H2087" s="4"/>
      <c r="I2087" s="4"/>
      <c r="J2087" s="4"/>
      <c r="K2087" s="4"/>
    </row>
    <row r="2088" spans="1:11" ht="13">
      <c r="A2088" s="164"/>
      <c r="B2088" s="4"/>
      <c r="C2088" s="4"/>
      <c r="D2088" s="4"/>
      <c r="E2088" s="4"/>
      <c r="F2088" s="4"/>
      <c r="G2088" s="4"/>
      <c r="H2088" s="4"/>
      <c r="I2088" s="4"/>
      <c r="J2088" s="4"/>
      <c r="K2088" s="4"/>
    </row>
    <row r="2089" spans="1:11" ht="13">
      <c r="A2089" s="164"/>
      <c r="B2089" s="4"/>
      <c r="C2089" s="4"/>
      <c r="D2089" s="4"/>
      <c r="E2089" s="4"/>
      <c r="F2089" s="4"/>
      <c r="G2089" s="4"/>
      <c r="H2089" s="4"/>
      <c r="I2089" s="4"/>
      <c r="J2089" s="4"/>
      <c r="K2089" s="4"/>
    </row>
    <row r="2090" spans="1:11" ht="13">
      <c r="A2090" s="164"/>
      <c r="B2090" s="4"/>
      <c r="C2090" s="4"/>
      <c r="D2090" s="4"/>
      <c r="E2090" s="4"/>
      <c r="F2090" s="4"/>
      <c r="G2090" s="4"/>
      <c r="H2090" s="4"/>
      <c r="I2090" s="4"/>
      <c r="J2090" s="4"/>
      <c r="K2090" s="4"/>
    </row>
    <row r="2091" spans="1:11" ht="13">
      <c r="A2091" s="164"/>
      <c r="B2091" s="4"/>
      <c r="C2091" s="4"/>
      <c r="D2091" s="4"/>
      <c r="E2091" s="4"/>
      <c r="F2091" s="4"/>
      <c r="G2091" s="4"/>
      <c r="H2091" s="4"/>
      <c r="I2091" s="4"/>
      <c r="J2091" s="4"/>
      <c r="K2091" s="4"/>
    </row>
    <row r="2092" spans="1:11" ht="13">
      <c r="A2092" s="164"/>
      <c r="B2092" s="4"/>
      <c r="C2092" s="4"/>
      <c r="D2092" s="4"/>
      <c r="E2092" s="4"/>
      <c r="F2092" s="4"/>
      <c r="G2092" s="4"/>
      <c r="H2092" s="4"/>
      <c r="I2092" s="4"/>
      <c r="J2092" s="4"/>
      <c r="K2092" s="4"/>
    </row>
    <row r="2093" spans="1:11" ht="13">
      <c r="A2093" s="164"/>
      <c r="B2093" s="4"/>
      <c r="C2093" s="4"/>
      <c r="D2093" s="4"/>
      <c r="E2093" s="4"/>
      <c r="F2093" s="4"/>
      <c r="G2093" s="4"/>
      <c r="H2093" s="4"/>
      <c r="I2093" s="4"/>
      <c r="J2093" s="4"/>
      <c r="K2093" s="4"/>
    </row>
    <row r="2094" spans="1:11" ht="13">
      <c r="A2094" s="164"/>
      <c r="B2094" s="4"/>
      <c r="C2094" s="4"/>
      <c r="D2094" s="4"/>
      <c r="E2094" s="4"/>
      <c r="F2094" s="4"/>
      <c r="G2094" s="4"/>
      <c r="H2094" s="4"/>
      <c r="I2094" s="4"/>
      <c r="J2094" s="4"/>
      <c r="K2094" s="4"/>
    </row>
    <row r="2095" spans="1:11" ht="13">
      <c r="A2095" s="164"/>
      <c r="B2095" s="4"/>
      <c r="C2095" s="4"/>
      <c r="D2095" s="4"/>
      <c r="E2095" s="4"/>
      <c r="F2095" s="4"/>
      <c r="G2095" s="4"/>
      <c r="H2095" s="4"/>
      <c r="I2095" s="4"/>
      <c r="J2095" s="4"/>
      <c r="K2095" s="4"/>
    </row>
    <row r="2096" spans="1:11" ht="13">
      <c r="A2096" s="164"/>
      <c r="B2096" s="4"/>
      <c r="C2096" s="4"/>
      <c r="D2096" s="4"/>
      <c r="E2096" s="4"/>
      <c r="F2096" s="4"/>
      <c r="G2096" s="4"/>
      <c r="H2096" s="4"/>
      <c r="I2096" s="4"/>
      <c r="J2096" s="4"/>
      <c r="K2096" s="4"/>
    </row>
    <row r="2097" spans="1:11" ht="13">
      <c r="A2097" s="164"/>
      <c r="B2097" s="4"/>
      <c r="C2097" s="4"/>
      <c r="D2097" s="4"/>
      <c r="E2097" s="4"/>
      <c r="F2097" s="4"/>
      <c r="G2097" s="4"/>
      <c r="H2097" s="4"/>
      <c r="I2097" s="4"/>
      <c r="J2097" s="4"/>
      <c r="K2097" s="4"/>
    </row>
    <row r="2098" spans="1:11" ht="13">
      <c r="A2098" s="164"/>
      <c r="B2098" s="4"/>
      <c r="C2098" s="4"/>
      <c r="D2098" s="4"/>
      <c r="E2098" s="4"/>
      <c r="F2098" s="4"/>
      <c r="G2098" s="4"/>
      <c r="H2098" s="4"/>
      <c r="I2098" s="4"/>
      <c r="J2098" s="4"/>
      <c r="K2098" s="4"/>
    </row>
    <row r="2099" spans="1:11" ht="13">
      <c r="A2099" s="164"/>
      <c r="B2099" s="4"/>
      <c r="C2099" s="4"/>
      <c r="D2099" s="4"/>
      <c r="E2099" s="4"/>
      <c r="F2099" s="4"/>
      <c r="G2099" s="4"/>
      <c r="H2099" s="4"/>
      <c r="I2099" s="4"/>
      <c r="J2099" s="4"/>
      <c r="K2099" s="4"/>
    </row>
    <row r="2100" spans="1:11" ht="13">
      <c r="A2100" s="164"/>
      <c r="B2100" s="4"/>
      <c r="C2100" s="4"/>
      <c r="D2100" s="4"/>
      <c r="E2100" s="4"/>
      <c r="F2100" s="4"/>
      <c r="G2100" s="4"/>
      <c r="H2100" s="4"/>
      <c r="I2100" s="4"/>
      <c r="J2100" s="4"/>
      <c r="K2100" s="4"/>
    </row>
    <row r="2101" spans="1:11" ht="13">
      <c r="A2101" s="164"/>
      <c r="B2101" s="4"/>
      <c r="C2101" s="4"/>
      <c r="D2101" s="4"/>
      <c r="E2101" s="4"/>
      <c r="F2101" s="4"/>
      <c r="G2101" s="4"/>
      <c r="H2101" s="4"/>
      <c r="I2101" s="4"/>
      <c r="J2101" s="4"/>
      <c r="K2101" s="4"/>
    </row>
    <row r="2102" spans="1:11" ht="13">
      <c r="A2102" s="164"/>
      <c r="B2102" s="4"/>
      <c r="C2102" s="4"/>
      <c r="D2102" s="4"/>
      <c r="E2102" s="4"/>
      <c r="F2102" s="4"/>
      <c r="G2102" s="4"/>
      <c r="H2102" s="4"/>
      <c r="I2102" s="4"/>
      <c r="J2102" s="4"/>
      <c r="K2102" s="4"/>
    </row>
    <row r="2103" spans="1:11" ht="13">
      <c r="A2103" s="164"/>
      <c r="B2103" s="4"/>
      <c r="C2103" s="4"/>
      <c r="D2103" s="4"/>
      <c r="E2103" s="4"/>
      <c r="F2103" s="4"/>
      <c r="G2103" s="4"/>
      <c r="H2103" s="4"/>
      <c r="I2103" s="4"/>
      <c r="J2103" s="4"/>
      <c r="K2103" s="4"/>
    </row>
    <row r="2104" spans="1:11" ht="13">
      <c r="A2104" s="164"/>
      <c r="B2104" s="4"/>
      <c r="C2104" s="4"/>
      <c r="D2104" s="4"/>
      <c r="E2104" s="4"/>
      <c r="F2104" s="4"/>
      <c r="G2104" s="4"/>
      <c r="H2104" s="4"/>
      <c r="I2104" s="4"/>
      <c r="J2104" s="4"/>
      <c r="K2104" s="4"/>
    </row>
    <row r="2105" spans="1:11" ht="13">
      <c r="A2105" s="164"/>
      <c r="B2105" s="4"/>
      <c r="C2105" s="4"/>
      <c r="D2105" s="4"/>
      <c r="E2105" s="4"/>
      <c r="F2105" s="4"/>
      <c r="G2105" s="4"/>
      <c r="H2105" s="4"/>
      <c r="I2105" s="4"/>
      <c r="J2105" s="4"/>
      <c r="K2105" s="4"/>
    </row>
  </sheetData>
  <mergeCells count="2">
    <mergeCell ref="A1:C1"/>
    <mergeCell ref="A2:C2"/>
  </mergeCell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Master!$V$7:$V$270</xm:f>
          </x14:formula1>
          <xm:sqref>B6 B19 B26 B35 B48 B61 B74 B87 B100 B113 B126 B130:B132 B138:B140 B146:B151 B155:B157 B162:B164 B170:B172 B177:B179 B186:B188 B196:B198 B206:B208 B216:B218 B235:B237 B254:B256 B270:B272 B286:B288 B299:B301 B312:B314 B324:B326 B336:B338 B349:B351 B362:B364 B380:B382 B387:B389 B393:B395 B403:B405 B415:B417 B427:B429 B445:B447 B454:B456 B463:B465 B472:B474 B481:B483 B490:B492 B499:B501 B508:B510 B517:B519 B528:B530 B547:B549 B552:B554 B559:B561 B565:B570 B572:B577 B584:B589 B596:B601 B607:B612 B616:B621 B625:B630 B640:B645 B650:B655 B659:B664 B666:B671 B673:B682 B684:B700 B707:B712 B718:B726 B728:B733 B736:B741 B744:B754 B756:B761 B772 B781 B792 B801 B816 B831 B847 B854 B864 B868 B878 B890 B894 B908 B922 B934 B942 B957 B966 B973 B977 B983 B989</xm:sqref>
        </x14:dataValidation>
        <x14:dataValidation type="list" allowBlank="1" showErrorMessage="1" xr:uid="{00000000-0002-0000-0200-000001000000}">
          <x14:formula1>
            <xm:f>Master!$B$7:$B$1000</xm:f>
          </x14:formula1>
          <xm:sqref>C7:C18 C20:C25 C27:C34 C36:C47 C49:C60 C62:C73 C75:C86 C88:C99 C101:C112 C114:C542 C548:C770 C772:C779 C781:C790 C792:C799 C801:C814 C816:C829 C831:C845 C847:C852 C854:C862 C864:C866 C868:C876 C878:C888 C890:C892 C894:C920 C922:C932 C934:C940 C942:C955 C957:C964 C966:C971 C973:C975 C977:C981 C983:C987 C989:C996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30"/>
  <sheetViews>
    <sheetView tabSelected="1" workbookViewId="0">
      <pane ySplit="5" topLeftCell="A411" activePane="bottomLeft" state="frozen"/>
      <selection pane="bottomLeft" activeCell="D389" sqref="D389"/>
    </sheetView>
  </sheetViews>
  <sheetFormatPr baseColWidth="10" defaultColWidth="12.6640625" defaultRowHeight="15.75" customHeight="1"/>
  <cols>
    <col min="1" max="1" width="5.6640625" customWidth="1"/>
    <col min="2" max="2" width="25.1640625" customWidth="1"/>
    <col min="3" max="3" width="24.83203125" customWidth="1"/>
    <col min="4" max="4" width="10.1640625" customWidth="1"/>
    <col min="5" max="5" width="5.1640625" customWidth="1"/>
    <col min="13" max="26" width="12.6640625" hidden="1"/>
  </cols>
  <sheetData>
    <row r="1" spans="1:12" ht="18">
      <c r="A1" s="418" t="s">
        <v>1353</v>
      </c>
      <c r="B1" s="419"/>
      <c r="C1" s="419"/>
      <c r="D1" s="4"/>
      <c r="E1" s="4"/>
      <c r="F1" s="4"/>
      <c r="G1" s="4"/>
      <c r="H1" s="4"/>
      <c r="I1" s="4"/>
      <c r="J1" s="4"/>
      <c r="K1" s="4"/>
      <c r="L1" s="4"/>
    </row>
    <row r="2" spans="1:12" ht="18">
      <c r="A2" s="418" t="s">
        <v>2</v>
      </c>
      <c r="B2" s="419"/>
      <c r="C2" s="419"/>
      <c r="D2" s="4"/>
      <c r="E2" s="4"/>
      <c r="F2" s="4"/>
      <c r="G2" s="4"/>
      <c r="H2" s="4"/>
      <c r="I2" s="4"/>
      <c r="J2" s="4"/>
      <c r="K2" s="4"/>
      <c r="L2" s="4"/>
    </row>
    <row r="3" spans="1:12" ht="15.75" customHeight="1">
      <c r="A3" s="4"/>
      <c r="B3" s="4"/>
      <c r="C3" s="4"/>
      <c r="D3" s="4"/>
      <c r="E3" s="4"/>
      <c r="F3" s="4"/>
      <c r="G3" s="4"/>
      <c r="H3" s="4"/>
      <c r="I3" s="4"/>
      <c r="J3" s="4"/>
      <c r="K3" s="4"/>
      <c r="L3" s="4"/>
    </row>
    <row r="4" spans="1:12" ht="15.75" customHeight="1">
      <c r="A4" s="90"/>
      <c r="B4" s="90">
        <v>1</v>
      </c>
      <c r="C4" s="90">
        <v>2</v>
      </c>
      <c r="D4" s="90">
        <v>3</v>
      </c>
      <c r="E4" s="90">
        <v>4</v>
      </c>
      <c r="F4" s="90">
        <v>5</v>
      </c>
      <c r="G4" s="90">
        <v>6</v>
      </c>
      <c r="H4" s="90">
        <v>7</v>
      </c>
      <c r="I4" s="90">
        <v>8</v>
      </c>
      <c r="J4" s="90">
        <v>9</v>
      </c>
      <c r="K4" s="90">
        <v>10</v>
      </c>
      <c r="L4" s="90">
        <v>11</v>
      </c>
    </row>
    <row r="5" spans="1:12" ht="15.75" customHeight="1">
      <c r="A5" s="133" t="s">
        <v>3</v>
      </c>
      <c r="B5" s="92" t="s">
        <v>19</v>
      </c>
      <c r="C5" s="92" t="s">
        <v>1336</v>
      </c>
      <c r="D5" s="93" t="s">
        <v>1337</v>
      </c>
      <c r="E5" s="92" t="s">
        <v>1338</v>
      </c>
      <c r="F5" s="93" t="s">
        <v>1339</v>
      </c>
      <c r="G5" s="93" t="s">
        <v>1340</v>
      </c>
      <c r="H5" s="93" t="s">
        <v>1341</v>
      </c>
      <c r="I5" s="93" t="s">
        <v>1286</v>
      </c>
      <c r="J5" s="93" t="s">
        <v>1354</v>
      </c>
      <c r="K5" s="93" t="s">
        <v>1355</v>
      </c>
      <c r="L5" s="92" t="s">
        <v>1356</v>
      </c>
    </row>
    <row r="6" spans="1:12" ht="15.75" customHeight="1">
      <c r="A6" s="169">
        <v>1</v>
      </c>
      <c r="B6" s="152" t="s">
        <v>53</v>
      </c>
      <c r="C6" s="153"/>
      <c r="D6" s="170">
        <f>SUM(D7:D15)</f>
        <v>175</v>
      </c>
      <c r="E6" s="152" t="s">
        <v>30</v>
      </c>
      <c r="F6" s="153"/>
      <c r="G6" s="155">
        <f>SUM(G7:G16)</f>
        <v>5076.07</v>
      </c>
      <c r="H6" s="171">
        <v>0.1</v>
      </c>
      <c r="I6" s="155">
        <f>G6+(G6*H6)</f>
        <v>5583.6769999999997</v>
      </c>
      <c r="J6" s="170">
        <v>1</v>
      </c>
      <c r="K6" s="155">
        <f>I6/J6</f>
        <v>5583.6769999999997</v>
      </c>
      <c r="L6" s="172">
        <f>D6/J6</f>
        <v>175</v>
      </c>
    </row>
    <row r="7" spans="1:12" ht="15.75" customHeight="1">
      <c r="A7" s="141"/>
      <c r="B7" s="4"/>
      <c r="C7" s="4" t="s">
        <v>2046</v>
      </c>
      <c r="D7" s="146">
        <v>30</v>
      </c>
      <c r="E7" s="4" t="str">
        <f>VLOOKUP(C7,Master!$B$6:$N$1000,9,FALSE)</f>
        <v>ml</v>
      </c>
      <c r="F7" s="144">
        <f>VLOOKUP(C7,Master!B7:N337,10,FALSE)</f>
        <v>66</v>
      </c>
      <c r="G7" s="144">
        <f t="shared" ref="G7:G15" si="0">D7*F7</f>
        <v>1980</v>
      </c>
      <c r="H7" s="145"/>
      <c r="I7" s="145"/>
      <c r="J7" s="145"/>
      <c r="K7" s="145"/>
      <c r="L7" s="173"/>
    </row>
    <row r="8" spans="1:12" ht="15.75" customHeight="1">
      <c r="A8" s="141"/>
      <c r="B8" s="4"/>
      <c r="C8" s="4" t="s">
        <v>1981</v>
      </c>
      <c r="D8" s="146">
        <v>120</v>
      </c>
      <c r="E8" s="4" t="str">
        <f>VLOOKUP(C8,Master!$B$6:$N$1000,9,FALSE)</f>
        <v>ml</v>
      </c>
      <c r="F8" s="144">
        <f>VLOOKUP(C8,Master!$B$7:$N$1000,10,FALSE)</f>
        <v>17.094333333333335</v>
      </c>
      <c r="G8" s="144">
        <f t="shared" si="0"/>
        <v>2051.3200000000002</v>
      </c>
      <c r="H8" s="145"/>
      <c r="I8" s="145"/>
      <c r="J8" s="145"/>
      <c r="K8" s="145"/>
      <c r="L8" s="174"/>
    </row>
    <row r="9" spans="1:12" ht="15.75" customHeight="1">
      <c r="A9" s="141"/>
      <c r="B9" s="4"/>
      <c r="C9" s="4" t="s">
        <v>732</v>
      </c>
      <c r="D9" s="146">
        <v>5</v>
      </c>
      <c r="E9" s="4" t="str">
        <f>VLOOKUP(C9,Master!$B$6:$N$1000,9,FALSE)</f>
        <v>gr</v>
      </c>
      <c r="F9" s="144">
        <f>VLOOKUP(C9,Master!$B$7:$N$1000,10,FALSE)</f>
        <v>40</v>
      </c>
      <c r="G9" s="144">
        <f t="shared" si="0"/>
        <v>200</v>
      </c>
      <c r="H9" s="145"/>
      <c r="I9" s="145"/>
      <c r="J9" s="145"/>
      <c r="K9" s="145"/>
      <c r="L9" s="174"/>
    </row>
    <row r="10" spans="1:12" ht="15.75" customHeight="1">
      <c r="A10" s="141"/>
      <c r="B10" s="4"/>
      <c r="C10" s="4" t="s">
        <v>2052</v>
      </c>
      <c r="D10" s="146">
        <v>0</v>
      </c>
      <c r="E10" s="4" t="str">
        <f>VLOOKUP(C10,Master!$B$6:$N$1000,9,FALSE)</f>
        <v>ml</v>
      </c>
      <c r="F10" s="144">
        <f>VLOOKUP(C10,Master!$B$7:$N$1000,10,FALSE)</f>
        <v>0.66315789473684206</v>
      </c>
      <c r="G10" s="144">
        <f t="shared" si="0"/>
        <v>0</v>
      </c>
      <c r="H10" s="145"/>
      <c r="I10" s="145"/>
      <c r="J10" s="145"/>
      <c r="K10" s="145"/>
      <c r="L10" s="173"/>
    </row>
    <row r="11" spans="1:12" ht="15.75" customHeight="1">
      <c r="A11" s="141"/>
      <c r="B11" s="4"/>
      <c r="C11" s="4" t="s">
        <v>2045</v>
      </c>
      <c r="D11" s="146">
        <v>3</v>
      </c>
      <c r="E11" s="4" t="str">
        <f>VLOOKUP(C11,Master!$B$6:$N$1000,9,FALSE)</f>
        <v>gr</v>
      </c>
      <c r="F11" s="144">
        <f>VLOOKUP(C11,Master!$B$7:$N$1000,10,FALSE)</f>
        <v>14.25</v>
      </c>
      <c r="G11" s="144">
        <f t="shared" si="0"/>
        <v>42.75</v>
      </c>
      <c r="H11" s="145"/>
      <c r="I11" s="145"/>
      <c r="J11" s="145"/>
      <c r="K11" s="145"/>
      <c r="L11" s="173"/>
    </row>
    <row r="12" spans="1:12" ht="15.75" customHeight="1">
      <c r="A12" s="141"/>
      <c r="B12" s="4"/>
      <c r="C12" s="4" t="s">
        <v>1989</v>
      </c>
      <c r="D12" s="146">
        <v>3</v>
      </c>
      <c r="E12" s="4" t="str">
        <f>VLOOKUP(C12,Master!$B$6:$N$1000,9,FALSE)</f>
        <v>gr</v>
      </c>
      <c r="F12" s="144">
        <f>VLOOKUP(C12,Master!$B$7:$N$1000,10,FALSE)</f>
        <v>39</v>
      </c>
      <c r="G12" s="144">
        <f t="shared" si="0"/>
        <v>117</v>
      </c>
      <c r="H12" s="145"/>
      <c r="I12" s="145"/>
      <c r="J12" s="145"/>
      <c r="K12" s="145"/>
      <c r="L12" s="173"/>
    </row>
    <row r="13" spans="1:12" ht="15.75" customHeight="1">
      <c r="A13" s="141"/>
      <c r="B13" s="4"/>
      <c r="C13" s="4" t="s">
        <v>998</v>
      </c>
      <c r="D13" s="146">
        <v>2</v>
      </c>
      <c r="E13" s="4" t="str">
        <f>VLOOKUP(C13,Master!$B$6:$N$1000,9,FALSE)</f>
        <v>gr</v>
      </c>
      <c r="F13" s="144">
        <f>VLOOKUP(C13,Master!$B$7:$N$1000,10,FALSE)</f>
        <v>60</v>
      </c>
      <c r="G13" s="144">
        <f t="shared" si="0"/>
        <v>120</v>
      </c>
      <c r="H13" s="4"/>
      <c r="I13" s="4"/>
      <c r="J13" s="4"/>
      <c r="K13" s="4"/>
      <c r="L13" s="173"/>
    </row>
    <row r="14" spans="1:12" ht="15.75" customHeight="1">
      <c r="A14" s="141"/>
      <c r="B14" s="4"/>
      <c r="C14" s="4" t="s">
        <v>2043</v>
      </c>
      <c r="D14" s="146">
        <v>10</v>
      </c>
      <c r="E14" s="4" t="str">
        <f>VLOOKUP(C14,Master!$B$6:$N$1000,9,FALSE)</f>
        <v>gr</v>
      </c>
      <c r="F14" s="144">
        <f>VLOOKUP(C14,Master!$B$7:$N$1000,10,FALSE)</f>
        <v>38.5</v>
      </c>
      <c r="G14" s="144">
        <f t="shared" si="0"/>
        <v>385</v>
      </c>
      <c r="H14" s="4"/>
      <c r="I14" s="4"/>
      <c r="J14" s="4"/>
      <c r="K14" s="4"/>
      <c r="L14" s="173"/>
    </row>
    <row r="15" spans="1:12" ht="15.75" customHeight="1">
      <c r="A15" s="141"/>
      <c r="B15" s="4"/>
      <c r="C15" s="4" t="s">
        <v>799</v>
      </c>
      <c r="D15" s="146">
        <v>2</v>
      </c>
      <c r="E15" s="4" t="str">
        <f>VLOOKUP(C15,Master!$B$6:$N$1000,9,FALSE)</f>
        <v>gr</v>
      </c>
      <c r="F15" s="144">
        <f>VLOOKUP(C15,Master!$B$7:$N$1000,10,FALSE)</f>
        <v>90</v>
      </c>
      <c r="G15" s="144">
        <f t="shared" si="0"/>
        <v>180</v>
      </c>
      <c r="H15" s="4"/>
      <c r="I15" s="4"/>
      <c r="J15" s="4"/>
      <c r="K15" s="4"/>
      <c r="L15" s="173"/>
    </row>
    <row r="16" spans="1:12" ht="15.75" customHeight="1">
      <c r="A16" s="141"/>
      <c r="B16" s="4"/>
      <c r="C16" s="4"/>
      <c r="D16" s="146"/>
      <c r="E16" s="4"/>
      <c r="F16" s="144"/>
      <c r="G16" s="144"/>
      <c r="H16" s="4"/>
      <c r="I16" s="4"/>
      <c r="J16" s="4"/>
      <c r="K16" s="4"/>
      <c r="L16" s="173"/>
    </row>
    <row r="17" spans="1:12" ht="15.75" customHeight="1">
      <c r="A17" s="175">
        <v>2</v>
      </c>
      <c r="B17" s="152" t="s">
        <v>67</v>
      </c>
      <c r="C17" s="153"/>
      <c r="D17" s="170">
        <f>SUM(D18:D27)</f>
        <v>1947</v>
      </c>
      <c r="E17" s="152" t="str">
        <f>VLOOKUP(B17,Master!B6:N243,9,FALSE)</f>
        <v>gr/por</v>
      </c>
      <c r="F17" s="153"/>
      <c r="G17" s="155">
        <f>SUM(G18:G27)</f>
        <v>37177.82894736842</v>
      </c>
      <c r="H17" s="171">
        <v>0.1</v>
      </c>
      <c r="I17" s="155">
        <f>G17+(G17*H17)</f>
        <v>40895.61184210526</v>
      </c>
      <c r="J17" s="170">
        <v>30</v>
      </c>
      <c r="K17" s="155">
        <f>I17/J17</f>
        <v>1363.1870614035086</v>
      </c>
      <c r="L17" s="172">
        <f>D17/J17</f>
        <v>64.900000000000006</v>
      </c>
    </row>
    <row r="18" spans="1:12" ht="15.75" customHeight="1">
      <c r="A18" s="141"/>
      <c r="B18" s="4"/>
      <c r="C18" s="4" t="s">
        <v>712</v>
      </c>
      <c r="D18" s="146">
        <v>40</v>
      </c>
      <c r="E18" s="4" t="str">
        <f>VLOOKUP(C18,Master!$B$6:$N$260,9,FALSE)</f>
        <v>gr</v>
      </c>
      <c r="F18" s="144">
        <f>VLOOKUP(C18,Master!$B$7:$N$309,10,FALSE)</f>
        <v>40</v>
      </c>
      <c r="G18" s="144">
        <f t="shared" ref="G18:G27" si="1">D18*F18</f>
        <v>1600</v>
      </c>
      <c r="H18" s="145"/>
      <c r="I18" s="145"/>
      <c r="J18" s="145"/>
      <c r="K18" s="145"/>
      <c r="L18" s="173"/>
    </row>
    <row r="19" spans="1:12" ht="15.75" customHeight="1">
      <c r="C19" s="4" t="s">
        <v>732</v>
      </c>
      <c r="D19" s="132">
        <v>100</v>
      </c>
      <c r="E19" s="4" t="str">
        <f>VLOOKUP(C19,Master!$B$6:$N$243,9,FALSE)</f>
        <v>gr</v>
      </c>
      <c r="F19" s="144">
        <f>VLOOKUP(C19,Master!$B$7:$N$309,10,FALSE)</f>
        <v>40</v>
      </c>
      <c r="G19" s="144">
        <f t="shared" si="1"/>
        <v>4000</v>
      </c>
    </row>
    <row r="20" spans="1:12" ht="15.75" customHeight="1">
      <c r="C20" s="4" t="s">
        <v>799</v>
      </c>
      <c r="D20" s="132">
        <v>5</v>
      </c>
      <c r="E20" s="4" t="str">
        <f>VLOOKUP(C20,Master!$B$6:$N$243,9,FALSE)</f>
        <v>gr</v>
      </c>
      <c r="F20" s="144">
        <f>VLOOKUP(C20,Master!$B$7:$N$309,10,FALSE)</f>
        <v>90</v>
      </c>
      <c r="G20" s="144">
        <f t="shared" si="1"/>
        <v>450</v>
      </c>
    </row>
    <row r="21" spans="1:12" ht="15.75" customHeight="1">
      <c r="C21" s="4" t="s">
        <v>1074</v>
      </c>
      <c r="D21" s="132">
        <v>1000</v>
      </c>
      <c r="E21" s="4" t="str">
        <f>VLOOKUP(C21,Master!$B$6:$N$243,9,FALSE)</f>
        <v>gr</v>
      </c>
      <c r="F21" s="144">
        <f>VLOOKUP(C21,Master!$B$7:$N$309,10,FALSE)</f>
        <v>16.5</v>
      </c>
      <c r="G21" s="144">
        <f t="shared" si="1"/>
        <v>16500</v>
      </c>
    </row>
    <row r="22" spans="1:12" ht="15.75" customHeight="1">
      <c r="C22" s="4" t="s">
        <v>887</v>
      </c>
      <c r="D22" s="132">
        <v>25</v>
      </c>
      <c r="E22" s="4" t="str">
        <f>VLOOKUP(C22,Master!$B$6:$N$243,9,FALSE)</f>
        <v>gr</v>
      </c>
      <c r="F22" s="144">
        <f>VLOOKUP(C22,Master!$B$7:$N$309,10,FALSE)</f>
        <v>26</v>
      </c>
      <c r="G22" s="144">
        <f t="shared" si="1"/>
        <v>650</v>
      </c>
    </row>
    <row r="23" spans="1:12" ht="15.75" customHeight="1">
      <c r="C23" s="4" t="s">
        <v>735</v>
      </c>
      <c r="D23" s="132">
        <v>150</v>
      </c>
      <c r="E23" s="4" t="str">
        <f>VLOOKUP(C23,Master!$B$6:$N$243,9,FALSE)</f>
        <v>gr</v>
      </c>
      <c r="F23" s="144">
        <f>VLOOKUP(C23,Master!$B$7:$N$309,10,FALSE)</f>
        <v>75</v>
      </c>
      <c r="G23" s="144">
        <f t="shared" si="1"/>
        <v>11250</v>
      </c>
    </row>
    <row r="24" spans="1:12" ht="15.75" customHeight="1">
      <c r="C24" s="4" t="s">
        <v>643</v>
      </c>
      <c r="D24" s="132">
        <v>105</v>
      </c>
      <c r="E24" s="4" t="str">
        <f>VLOOKUP(C24,Master!$B$6:$N$243,9,FALSE)</f>
        <v>gr</v>
      </c>
      <c r="F24" s="144">
        <f>VLOOKUP(C24,Master!$B$7:$N$309,10,FALSE)</f>
        <v>17</v>
      </c>
      <c r="G24" s="144">
        <f t="shared" si="1"/>
        <v>1785</v>
      </c>
    </row>
    <row r="25" spans="1:12" ht="15.75" customHeight="1">
      <c r="C25" s="4" t="s">
        <v>2042</v>
      </c>
      <c r="D25" s="132">
        <v>20</v>
      </c>
      <c r="E25" s="4" t="str">
        <f>VLOOKUP(C25,Master!$B$6:$N$243,9,FALSE)</f>
        <v>gr</v>
      </c>
      <c r="F25" s="144">
        <f>VLOOKUP(C25,Master!$B$7:$N$309,10,FALSE)</f>
        <v>29.0625</v>
      </c>
      <c r="G25" s="144">
        <f t="shared" si="1"/>
        <v>581.25</v>
      </c>
    </row>
    <row r="26" spans="1:12" ht="15.75" customHeight="1">
      <c r="C26" s="4" t="s">
        <v>764</v>
      </c>
      <c r="D26" s="132">
        <v>2</v>
      </c>
      <c r="E26" s="4" t="str">
        <f>VLOOKUP(C26,Master!$B$6:$N$243,9,FALSE)</f>
        <v>gr</v>
      </c>
      <c r="F26" s="144">
        <f>VLOOKUP(C26,Master!$B$7:$N$309,10,FALSE)</f>
        <v>15</v>
      </c>
      <c r="G26" s="144">
        <f t="shared" si="1"/>
        <v>30</v>
      </c>
    </row>
    <row r="27" spans="1:12" ht="15.75" customHeight="1">
      <c r="C27" s="4" t="s">
        <v>2052</v>
      </c>
      <c r="D27" s="132">
        <v>500</v>
      </c>
      <c r="E27" s="4" t="str">
        <f>VLOOKUP(C27,Master!$B$6:$N$243,9,FALSE)</f>
        <v>ml</v>
      </c>
      <c r="F27" s="144">
        <f>VLOOKUP(C27,Master!$B$7:$N$309,10,FALSE)</f>
        <v>0.66315789473684206</v>
      </c>
      <c r="G27" s="144">
        <f t="shared" si="1"/>
        <v>331.57894736842104</v>
      </c>
    </row>
    <row r="28" spans="1:12" ht="15.75" customHeight="1">
      <c r="A28" s="175">
        <v>3</v>
      </c>
      <c r="B28" s="152" t="s">
        <v>78</v>
      </c>
      <c r="C28" s="153"/>
      <c r="D28" s="170">
        <f>SUM(D29:D35)</f>
        <v>527</v>
      </c>
      <c r="E28" s="152" t="str">
        <f>VLOOKUP(B28,Master!B6:N243,9,FALSE)</f>
        <v>gr/slice</v>
      </c>
      <c r="F28" s="153"/>
      <c r="G28" s="155">
        <f>SUM(G29:G35)</f>
        <v>15722.2</v>
      </c>
      <c r="H28" s="171">
        <v>0.1</v>
      </c>
      <c r="I28" s="155">
        <f>G28+(G28*H28)</f>
        <v>17294.420000000002</v>
      </c>
      <c r="J28" s="170">
        <v>3</v>
      </c>
      <c r="K28" s="155">
        <f>I28/J28</f>
        <v>5764.8066666666673</v>
      </c>
      <c r="L28" s="172">
        <f>D28/J28</f>
        <v>175.66666666666666</v>
      </c>
    </row>
    <row r="29" spans="1:12" ht="15.75" customHeight="1">
      <c r="A29" s="141"/>
      <c r="B29" s="4"/>
      <c r="C29" s="4" t="s">
        <v>2045</v>
      </c>
      <c r="D29" s="146">
        <v>200</v>
      </c>
      <c r="E29" s="4" t="str">
        <f>VLOOKUP(C29,Master!$B$6:$N$1000,9,FALSE)</f>
        <v>gr</v>
      </c>
      <c r="F29" s="144">
        <f>VLOOKUP(C29,Master!$B$7:$N$1000,10,FALSE)</f>
        <v>14.25</v>
      </c>
      <c r="G29" s="144">
        <f t="shared" ref="G29:G35" si="2">D29*F29</f>
        <v>2850</v>
      </c>
      <c r="H29" s="145"/>
      <c r="I29" s="145"/>
      <c r="J29" s="145"/>
      <c r="K29" s="145"/>
      <c r="L29" s="173"/>
    </row>
    <row r="30" spans="1:12" ht="15.75" customHeight="1">
      <c r="C30" s="4" t="s">
        <v>2035</v>
      </c>
      <c r="D30" s="132">
        <v>2</v>
      </c>
      <c r="E30" s="4" t="str">
        <f>VLOOKUP(C30,Master!$B$6:$N$1000,9,FALSE)</f>
        <v>gr</v>
      </c>
      <c r="F30" s="144">
        <f>VLOOKUP(C30,Master!$B$7:$N$1000,10,FALSE)</f>
        <v>148.33333333333334</v>
      </c>
      <c r="G30" s="144">
        <f t="shared" si="2"/>
        <v>296.66666666666669</v>
      </c>
    </row>
    <row r="31" spans="1:12" ht="15.75" customHeight="1">
      <c r="C31" s="4" t="s">
        <v>2036</v>
      </c>
      <c r="D31" s="132">
        <v>2</v>
      </c>
      <c r="E31" s="4" t="str">
        <f>VLOOKUP(C31,Master!$B$6:$N$1000,9,FALSE)</f>
        <v>gr</v>
      </c>
      <c r="F31" s="144">
        <f>VLOOKUP(C31,Master!$B$7:$N$1000,10,FALSE)</f>
        <v>83.333333333333329</v>
      </c>
      <c r="G31" s="144">
        <f t="shared" si="2"/>
        <v>166.66666666666666</v>
      </c>
    </row>
    <row r="32" spans="1:12" ht="15.75" customHeight="1">
      <c r="C32" s="4" t="s">
        <v>1989</v>
      </c>
      <c r="D32" s="132">
        <v>60</v>
      </c>
      <c r="E32" s="4" t="str">
        <f>VLOOKUP(C32,Master!$B$6:$N$1000,9,FALSE)</f>
        <v>gr</v>
      </c>
      <c r="F32" s="144">
        <f>VLOOKUP(C32,Master!$B$7:$N$1000,10,FALSE)</f>
        <v>39</v>
      </c>
      <c r="G32" s="144">
        <f t="shared" si="2"/>
        <v>2340</v>
      </c>
    </row>
    <row r="33" spans="1:12" ht="15.75" customHeight="1">
      <c r="C33" s="4" t="s">
        <v>1981</v>
      </c>
      <c r="D33" s="132">
        <v>200</v>
      </c>
      <c r="E33" s="4" t="str">
        <f>VLOOKUP(C33,Master!$B$6:$N$1000,9,FALSE)</f>
        <v>ml</v>
      </c>
      <c r="F33" s="144">
        <f>VLOOKUP(C33,Master!$B$7:$N$1000,10,FALSE)</f>
        <v>17.094333333333335</v>
      </c>
      <c r="G33" s="144">
        <f t="shared" si="2"/>
        <v>3418.8666666666668</v>
      </c>
    </row>
    <row r="34" spans="1:12" ht="15.75" customHeight="1">
      <c r="C34" s="4" t="s">
        <v>659</v>
      </c>
      <c r="D34" s="132">
        <v>3</v>
      </c>
      <c r="E34" s="4" t="str">
        <f>VLOOKUP(C34,Master!$B$6:$N$1000,9,FALSE)</f>
        <v>pcs</v>
      </c>
      <c r="F34" s="144">
        <f>VLOOKUP(C34,Master!$B$7:$N$1000,10,FALSE)</f>
        <v>1866.6666666666667</v>
      </c>
      <c r="G34" s="144">
        <f t="shared" si="2"/>
        <v>5600</v>
      </c>
    </row>
    <row r="35" spans="1:12" ht="15.75" customHeight="1">
      <c r="C35" s="4" t="s">
        <v>1980</v>
      </c>
      <c r="D35" s="132">
        <v>60</v>
      </c>
      <c r="E35" s="4" t="str">
        <f>VLOOKUP(C35,Master!$B$6:$N$1000,9,FALSE)</f>
        <v>gr</v>
      </c>
      <c r="F35" s="144">
        <f>VLOOKUP(C35,Master!$B$7:$N$1000,10,FALSE)</f>
        <v>17.5</v>
      </c>
      <c r="G35" s="144">
        <f t="shared" si="2"/>
        <v>1050</v>
      </c>
    </row>
    <row r="36" spans="1:12" ht="15.75" customHeight="1">
      <c r="C36" s="4"/>
      <c r="E36" s="4"/>
      <c r="F36" s="144"/>
      <c r="G36" s="144"/>
    </row>
    <row r="37" spans="1:12" ht="15.75" customHeight="1">
      <c r="A37" s="175">
        <v>4</v>
      </c>
      <c r="B37" s="152" t="s">
        <v>89</v>
      </c>
      <c r="C37" s="153"/>
      <c r="D37" s="170">
        <f>SUM(D38:D43)</f>
        <v>408</v>
      </c>
      <c r="E37" s="152" t="str">
        <f>VLOOKUP(B37,Master!B6:N243,9,FALSE)</f>
        <v>gr/por</v>
      </c>
      <c r="F37" s="153"/>
      <c r="G37" s="155">
        <f>SUM(G38:G42)</f>
        <v>22512.5</v>
      </c>
      <c r="H37" s="171">
        <v>0.1</v>
      </c>
      <c r="I37" s="155">
        <f>G37+(G37*H37)</f>
        <v>24763.75</v>
      </c>
      <c r="J37" s="170">
        <v>5</v>
      </c>
      <c r="K37" s="155">
        <f>I37/J37</f>
        <v>4952.75</v>
      </c>
      <c r="L37" s="172">
        <f>D37/J37</f>
        <v>81.599999999999994</v>
      </c>
    </row>
    <row r="38" spans="1:12" ht="15.75" customHeight="1">
      <c r="A38" s="141"/>
      <c r="B38" s="4"/>
      <c r="C38" s="4" t="s">
        <v>2019</v>
      </c>
      <c r="D38" s="146">
        <v>210</v>
      </c>
      <c r="E38" s="4" t="str">
        <f>VLOOKUP(C38,Master!$B$6:$N$1000,9,FALSE)</f>
        <v>gr</v>
      </c>
      <c r="F38" s="144">
        <f>VLOOKUP(C38,Master!$B$7:$N$1000,10,FALSE)</f>
        <v>56</v>
      </c>
      <c r="G38" s="144">
        <f t="shared" ref="G38:G42" si="3">D38*F38</f>
        <v>11760</v>
      </c>
      <c r="H38" s="145"/>
      <c r="I38" s="145"/>
      <c r="J38" s="145"/>
      <c r="K38" s="145"/>
      <c r="L38" s="173"/>
    </row>
    <row r="39" spans="1:12" ht="15.75" customHeight="1">
      <c r="C39" s="4" t="s">
        <v>1989</v>
      </c>
      <c r="D39" s="132">
        <v>90</v>
      </c>
      <c r="E39" s="4" t="str">
        <f>VLOOKUP(C39,Master!$B$6:$N$1000,9,FALSE)</f>
        <v>gr</v>
      </c>
      <c r="F39" s="144">
        <f>VLOOKUP(C39,Master!$B$7:$N$1000,10,FALSE)</f>
        <v>39</v>
      </c>
      <c r="G39" s="144">
        <f t="shared" si="3"/>
        <v>3510</v>
      </c>
    </row>
    <row r="40" spans="1:12" ht="15.75" customHeight="1">
      <c r="C40" s="4" t="s">
        <v>2045</v>
      </c>
      <c r="D40" s="132">
        <v>60</v>
      </c>
      <c r="E40" s="4" t="str">
        <f>VLOOKUP(C40,Master!$B$6:$N$1000,9,FALSE)</f>
        <v>gr</v>
      </c>
      <c r="F40" s="144">
        <f>VLOOKUP(C40,Master!$B$7:$N$1000,10,FALSE)</f>
        <v>14.25</v>
      </c>
      <c r="G40" s="144">
        <f t="shared" si="3"/>
        <v>855</v>
      </c>
    </row>
    <row r="41" spans="1:12" ht="15.75" customHeight="1">
      <c r="C41" s="4" t="s">
        <v>659</v>
      </c>
      <c r="D41" s="132">
        <v>3</v>
      </c>
      <c r="E41" s="4" t="str">
        <f>VLOOKUP(C41,Master!$B$6:$N$1000,9,FALSE)</f>
        <v>pcs</v>
      </c>
      <c r="F41" s="144">
        <f>VLOOKUP(C41,Master!$B$7:$N$1000,10,FALSE)</f>
        <v>1866.6666666666667</v>
      </c>
      <c r="G41" s="144">
        <f t="shared" si="3"/>
        <v>5600</v>
      </c>
    </row>
    <row r="42" spans="1:12" ht="15.75" customHeight="1">
      <c r="C42" s="4" t="s">
        <v>1980</v>
      </c>
      <c r="D42" s="132">
        <v>45</v>
      </c>
      <c r="E42" s="4" t="str">
        <f>VLOOKUP(C42,Master!$B$6:$N$1000,9,FALSE)</f>
        <v>gr</v>
      </c>
      <c r="F42" s="144">
        <f>VLOOKUP(C42,Master!$B$7:$N$1000,10,FALSE)</f>
        <v>17.5</v>
      </c>
      <c r="G42" s="144">
        <f t="shared" si="3"/>
        <v>787.5</v>
      </c>
    </row>
    <row r="43" spans="1:12" ht="15.75" customHeight="1">
      <c r="C43" s="4"/>
      <c r="E43" s="4"/>
      <c r="F43" s="144"/>
      <c r="G43" s="144"/>
    </row>
    <row r="44" spans="1:12" ht="15.75" customHeight="1">
      <c r="A44" s="175">
        <v>5</v>
      </c>
      <c r="B44" s="152" t="s">
        <v>101</v>
      </c>
      <c r="C44" s="153"/>
      <c r="D44" s="170">
        <f>SUM(D45:D56)</f>
        <v>1411.5</v>
      </c>
      <c r="E44" s="152" t="str">
        <f>VLOOKUP(B44,Master!B13:N250,9,FALSE)</f>
        <v>Porsi</v>
      </c>
      <c r="F44" s="153"/>
      <c r="G44" s="155">
        <f>SUM(G45:G57)</f>
        <v>30774</v>
      </c>
      <c r="H44" s="171">
        <v>0.1</v>
      </c>
      <c r="I44" s="155">
        <f>G44+(G44*H44)</f>
        <v>33851.4</v>
      </c>
      <c r="J44" s="170">
        <v>63</v>
      </c>
      <c r="K44" s="155">
        <f>I44/J44</f>
        <v>537.32380952380959</v>
      </c>
      <c r="L44" s="172">
        <f>D44/J44</f>
        <v>22.404761904761905</v>
      </c>
    </row>
    <row r="45" spans="1:12" ht="15.75" customHeight="1">
      <c r="A45" s="141"/>
      <c r="B45" s="4"/>
      <c r="C45" s="4" t="s">
        <v>1066</v>
      </c>
      <c r="D45" s="146">
        <v>20</v>
      </c>
      <c r="E45" s="4" t="str">
        <f>VLOOKUP(C45,Master!$B$6:$N$1000,9,FALSE)</f>
        <v>gr</v>
      </c>
      <c r="F45" s="144">
        <f>VLOOKUP(C45,Master!$B$7:$N$1000,10,FALSE)</f>
        <v>16</v>
      </c>
      <c r="G45" s="144">
        <f t="shared" ref="G45:G56" si="4">D45*F45</f>
        <v>320</v>
      </c>
      <c r="H45" s="145"/>
      <c r="I45" s="145"/>
      <c r="J45" s="145"/>
      <c r="K45" s="145"/>
      <c r="L45" s="173"/>
    </row>
    <row r="46" spans="1:12" ht="15.75" customHeight="1">
      <c r="C46" s="4" t="s">
        <v>1988</v>
      </c>
      <c r="D46" s="132">
        <v>0</v>
      </c>
      <c r="E46" s="4" t="str">
        <f>VLOOKUP(C46,Master!$B$6:$N$1000,9,FALSE)</f>
        <v>ml</v>
      </c>
      <c r="F46" s="144">
        <f>VLOOKUP(C46,Master!$B$7:$N$1000,10,FALSE)</f>
        <v>16.222222222222221</v>
      </c>
      <c r="G46" s="144">
        <f t="shared" si="4"/>
        <v>0</v>
      </c>
    </row>
    <row r="47" spans="1:12" ht="15.75" customHeight="1">
      <c r="C47" s="4" t="s">
        <v>712</v>
      </c>
      <c r="D47" s="132">
        <v>200</v>
      </c>
      <c r="E47" s="4" t="str">
        <f>VLOOKUP(C47,Master!$B$6:$N$1000,9,FALSE)</f>
        <v>gr</v>
      </c>
      <c r="F47" s="144">
        <f>VLOOKUP(C47,Master!$B$7:$N$1000,10,FALSE)</f>
        <v>40</v>
      </c>
      <c r="G47" s="144">
        <f t="shared" si="4"/>
        <v>8000</v>
      </c>
    </row>
    <row r="48" spans="1:12" ht="15.75" customHeight="1">
      <c r="C48" s="4" t="s">
        <v>732</v>
      </c>
      <c r="D48" s="132">
        <v>80</v>
      </c>
      <c r="E48" s="4" t="str">
        <f>VLOOKUP(C48,Master!$B$6:$N$1000,9,FALSE)</f>
        <v>gr</v>
      </c>
      <c r="F48" s="144">
        <f>VLOOKUP(C48,Master!$B$7:$N$1000,10,FALSE)</f>
        <v>40</v>
      </c>
      <c r="G48" s="144">
        <f t="shared" si="4"/>
        <v>3200</v>
      </c>
    </row>
    <row r="49" spans="1:12" ht="15.75" customHeight="1">
      <c r="C49" s="4" t="s">
        <v>1074</v>
      </c>
      <c r="D49" s="132">
        <v>1000</v>
      </c>
      <c r="E49" s="4" t="str">
        <f>VLOOKUP(C49,Master!$B$6:$N$1000,9,FALSE)</f>
        <v>gr</v>
      </c>
      <c r="F49" s="144">
        <f>VLOOKUP(C49,Master!$B$7:$N$1000,10,FALSE)</f>
        <v>16.5</v>
      </c>
      <c r="G49" s="144">
        <f t="shared" si="4"/>
        <v>16500</v>
      </c>
    </row>
    <row r="50" spans="1:12" ht="15.75" customHeight="1">
      <c r="C50" s="4" t="s">
        <v>2061</v>
      </c>
      <c r="D50" s="132">
        <v>0</v>
      </c>
      <c r="E50" s="4" t="str">
        <f>VLOOKUP(C50,Master!$B$6:$N$1000,9,FALSE)</f>
        <v>gr</v>
      </c>
      <c r="F50" s="144">
        <f>VLOOKUP(C50,Master!$B$7:$N$1000,10,FALSE)</f>
        <v>22.2</v>
      </c>
      <c r="G50" s="144">
        <f t="shared" si="4"/>
        <v>0</v>
      </c>
    </row>
    <row r="51" spans="1:12" ht="15.75" customHeight="1">
      <c r="C51" s="4" t="s">
        <v>643</v>
      </c>
      <c r="D51" s="132">
        <v>105</v>
      </c>
      <c r="E51" s="4" t="str">
        <f>VLOOKUP(C51,Master!$B$6:$N$1000,9,FALSE)</f>
        <v>gr</v>
      </c>
      <c r="F51" s="144">
        <f>VLOOKUP(C51,Master!$B$7:$N$1000,10,FALSE)</f>
        <v>17</v>
      </c>
      <c r="G51" s="144">
        <f t="shared" si="4"/>
        <v>1785</v>
      </c>
    </row>
    <row r="52" spans="1:12" ht="15.75" customHeight="1">
      <c r="C52" s="4" t="s">
        <v>720</v>
      </c>
      <c r="D52" s="132">
        <v>1</v>
      </c>
      <c r="E52" s="4" t="str">
        <f>VLOOKUP(C52,Master!$B$6:$N$1000,9,FALSE)</f>
        <v>gr</v>
      </c>
      <c r="F52" s="144">
        <f>VLOOKUP(C52,Master!$B$7:$N$1000,10,FALSE)</f>
        <v>280</v>
      </c>
      <c r="G52" s="144">
        <f t="shared" si="4"/>
        <v>280</v>
      </c>
    </row>
    <row r="53" spans="1:12" ht="15.75" customHeight="1">
      <c r="C53" s="4" t="s">
        <v>811</v>
      </c>
      <c r="D53" s="132">
        <v>1</v>
      </c>
      <c r="E53" s="4" t="str">
        <f>VLOOKUP(C53,Master!$B$6:$N$1000,9,FALSE)</f>
        <v>gr</v>
      </c>
      <c r="F53" s="144">
        <f>VLOOKUP(C53,Master!$B$7:$N$1000,10,FALSE)</f>
        <v>380</v>
      </c>
      <c r="G53" s="144">
        <f t="shared" si="4"/>
        <v>380</v>
      </c>
    </row>
    <row r="54" spans="1:12" ht="15.75" customHeight="1">
      <c r="C54" s="4" t="s">
        <v>2058</v>
      </c>
      <c r="D54" s="132">
        <v>3</v>
      </c>
      <c r="E54" s="4" t="str">
        <f>VLOOKUP(C54,Master!$B$6:$N$1000,9,FALSE)</f>
        <v>gr</v>
      </c>
      <c r="F54" s="144">
        <f>VLOOKUP(C54,Master!$B$7:$N$1000,10,FALSE)</f>
        <v>38</v>
      </c>
      <c r="G54" s="144">
        <f t="shared" si="4"/>
        <v>114</v>
      </c>
    </row>
    <row r="55" spans="1:12" ht="15.75" customHeight="1">
      <c r="C55" s="4" t="s">
        <v>536</v>
      </c>
      <c r="D55" s="132">
        <v>0.5</v>
      </c>
      <c r="E55" s="4" t="str">
        <f>VLOOKUP(C55,Master!$B$6:$N$1000,9,FALSE)</f>
        <v>gr</v>
      </c>
      <c r="F55" s="144">
        <f>VLOOKUP(C55,Master!$B$7:$N$1000,10,FALSE)</f>
        <v>210</v>
      </c>
      <c r="G55" s="144">
        <f t="shared" si="4"/>
        <v>105</v>
      </c>
    </row>
    <row r="56" spans="1:12" ht="15.75" customHeight="1">
      <c r="C56" s="4" t="s">
        <v>799</v>
      </c>
      <c r="D56" s="132">
        <v>1</v>
      </c>
      <c r="E56" s="4" t="str">
        <f>VLOOKUP(C56,Master!$B$6:$N$1000,9,FALSE)</f>
        <v>gr</v>
      </c>
      <c r="F56" s="144">
        <f>VLOOKUP(C56,Master!$B$7:$N$1000,10,FALSE)</f>
        <v>90</v>
      </c>
      <c r="G56" s="144">
        <f t="shared" si="4"/>
        <v>90</v>
      </c>
    </row>
    <row r="57" spans="1:12" ht="13">
      <c r="C57" s="4"/>
      <c r="E57" s="4"/>
      <c r="F57" s="144"/>
      <c r="G57" s="144"/>
    </row>
    <row r="58" spans="1:12" ht="13">
      <c r="A58" s="175">
        <v>5</v>
      </c>
      <c r="B58" s="152" t="s">
        <v>112</v>
      </c>
      <c r="C58" s="153"/>
      <c r="D58" s="170">
        <f>SUM(D59:D73)</f>
        <v>1789</v>
      </c>
      <c r="E58" s="152" t="str">
        <f>VLOOKUP(B58,Master!B7:N263,9,FALSE)</f>
        <v>gr/pcs</v>
      </c>
      <c r="F58" s="153"/>
      <c r="G58" s="155">
        <f>SUM(G59:G73)</f>
        <v>62731.111111111109</v>
      </c>
      <c r="H58" s="171">
        <v>0.1</v>
      </c>
      <c r="I58" s="155">
        <f>G58+(G58*H58)</f>
        <v>69004.222222222219</v>
      </c>
      <c r="J58" s="170">
        <v>30</v>
      </c>
      <c r="K58" s="155">
        <f>I58/J58</f>
        <v>2300.1407407407405</v>
      </c>
      <c r="L58" s="172">
        <f>D58/J58</f>
        <v>59.633333333333333</v>
      </c>
    </row>
    <row r="59" spans="1:12" ht="13">
      <c r="A59" s="141"/>
      <c r="B59" s="4"/>
      <c r="C59" s="4" t="s">
        <v>1988</v>
      </c>
      <c r="D59" s="146">
        <v>50</v>
      </c>
      <c r="E59" s="4" t="str">
        <f>VLOOKUP(C59,Master!$B$6:$N$1000,9,FALSE)</f>
        <v>ml</v>
      </c>
      <c r="F59" s="144">
        <f>VLOOKUP(C59,Master!$B$7:$N$1000,10,FALSE)</f>
        <v>16.222222222222221</v>
      </c>
      <c r="G59" s="144">
        <f t="shared" ref="G59:G69" si="5">D59*F59</f>
        <v>811.11111111111109</v>
      </c>
      <c r="H59" s="145"/>
      <c r="I59" s="145"/>
      <c r="J59" s="145"/>
      <c r="K59" s="145"/>
      <c r="L59" s="173"/>
    </row>
    <row r="60" spans="1:12" ht="13">
      <c r="C60" s="4" t="s">
        <v>1125</v>
      </c>
      <c r="D60" s="132">
        <v>250</v>
      </c>
      <c r="E60" s="4" t="str">
        <f>VLOOKUP(C60,Master!$B$6:$N$1000,9,FALSE)</f>
        <v>gr</v>
      </c>
      <c r="F60" s="144">
        <f>VLOOKUP(C60,Master!$B$7:$N$1000,10,FALSE)</f>
        <v>127</v>
      </c>
      <c r="G60" s="144">
        <f t="shared" si="5"/>
        <v>31750</v>
      </c>
    </row>
    <row r="61" spans="1:12" ht="13">
      <c r="C61" s="4" t="s">
        <v>651</v>
      </c>
      <c r="D61" s="132">
        <v>300</v>
      </c>
      <c r="E61" s="4" t="str">
        <f>VLOOKUP(C61,Master!$B$6:$N$1000,9,FALSE)</f>
        <v>gr</v>
      </c>
      <c r="F61" s="144">
        <f>VLOOKUP(C61,Master!$B$7:$N$1000,10,FALSE)</f>
        <v>18</v>
      </c>
      <c r="G61" s="144">
        <f t="shared" si="5"/>
        <v>5400</v>
      </c>
    </row>
    <row r="62" spans="1:12" ht="13">
      <c r="C62" s="4" t="s">
        <v>712</v>
      </c>
      <c r="D62" s="132">
        <v>50</v>
      </c>
      <c r="E62" s="4" t="str">
        <f>VLOOKUP(C62,Master!$B$6:$N$1000,9,FALSE)</f>
        <v>gr</v>
      </c>
      <c r="F62" s="144">
        <f>VLOOKUP(C62,Master!$B$7:$N$1000,10,FALSE)</f>
        <v>40</v>
      </c>
      <c r="G62" s="144">
        <f t="shared" si="5"/>
        <v>2000</v>
      </c>
    </row>
    <row r="63" spans="1:12" ht="13">
      <c r="C63" s="4" t="s">
        <v>732</v>
      </c>
      <c r="D63" s="132">
        <v>100</v>
      </c>
      <c r="E63" s="4" t="str">
        <f>VLOOKUP(C63,Master!$B$6:$N$1000,9,FALSE)</f>
        <v>gr</v>
      </c>
      <c r="F63" s="144">
        <f>VLOOKUP(C63,Master!$B$7:$N$1000,10,FALSE)</f>
        <v>40</v>
      </c>
      <c r="G63" s="144">
        <f t="shared" si="5"/>
        <v>4000</v>
      </c>
    </row>
    <row r="64" spans="1:12" ht="13">
      <c r="C64" s="4" t="s">
        <v>1074</v>
      </c>
      <c r="D64" s="132">
        <v>1000</v>
      </c>
      <c r="E64" s="4" t="str">
        <f>VLOOKUP(C64,Master!$B$6:$N$1000,9,FALSE)</f>
        <v>gr</v>
      </c>
      <c r="F64" s="144">
        <f>VLOOKUP(C64,Master!$B$7:$N$1000,10,FALSE)</f>
        <v>16.5</v>
      </c>
      <c r="G64" s="144">
        <f t="shared" si="5"/>
        <v>16500</v>
      </c>
    </row>
    <row r="65" spans="1:12" ht="13">
      <c r="C65" s="4" t="s">
        <v>811</v>
      </c>
      <c r="D65" s="132">
        <v>2</v>
      </c>
      <c r="E65" s="4" t="str">
        <f>VLOOKUP(C65,Master!$B$6:$N$1000,9,FALSE)</f>
        <v>gr</v>
      </c>
      <c r="F65" s="144">
        <f>VLOOKUP(C65,Master!$B$7:$N$1000,10,FALSE)</f>
        <v>380</v>
      </c>
      <c r="G65" s="144">
        <f t="shared" si="5"/>
        <v>760</v>
      </c>
    </row>
    <row r="66" spans="1:12" ht="13">
      <c r="C66" s="4" t="s">
        <v>720</v>
      </c>
      <c r="D66" s="132">
        <v>2</v>
      </c>
      <c r="E66" s="4" t="str">
        <f>VLOOKUP(C66,Master!$B$6:$N$1000,9,FALSE)</f>
        <v>gr</v>
      </c>
      <c r="F66" s="144">
        <f>VLOOKUP(C66,Master!$B$7:$N$1000,10,FALSE)</f>
        <v>280</v>
      </c>
      <c r="G66" s="144">
        <f t="shared" si="5"/>
        <v>560</v>
      </c>
    </row>
    <row r="67" spans="1:12" ht="13">
      <c r="C67" s="4" t="s">
        <v>764</v>
      </c>
      <c r="D67" s="132">
        <v>10</v>
      </c>
      <c r="E67" s="4" t="str">
        <f>VLOOKUP(C67,Master!$B$6:$N$1000,9,FALSE)</f>
        <v>gr</v>
      </c>
      <c r="F67" s="144">
        <f>VLOOKUP(C67,Master!$B$7:$N$1000,10,FALSE)</f>
        <v>15</v>
      </c>
      <c r="G67" s="144">
        <f t="shared" si="5"/>
        <v>150</v>
      </c>
    </row>
    <row r="68" spans="1:12" ht="13">
      <c r="C68" s="4" t="s">
        <v>2059</v>
      </c>
      <c r="D68" s="132">
        <v>20</v>
      </c>
      <c r="E68" s="4" t="str">
        <f>VLOOKUP(C68,Master!$B$6:$N$1000,9,FALSE)</f>
        <v>gr</v>
      </c>
      <c r="F68" s="144">
        <f>VLOOKUP(C68,Master!$B$7:$N$1000,10,FALSE)</f>
        <v>17.5</v>
      </c>
      <c r="G68" s="144">
        <f t="shared" si="5"/>
        <v>350</v>
      </c>
    </row>
    <row r="69" spans="1:12" ht="13">
      <c r="C69" s="4" t="s">
        <v>799</v>
      </c>
      <c r="D69" s="132">
        <v>5</v>
      </c>
      <c r="E69" s="4" t="str">
        <f>VLOOKUP(C69,Master!$B$6:$N$1000,9,FALSE)</f>
        <v>gr</v>
      </c>
      <c r="F69" s="144">
        <f>VLOOKUP(C69,Master!$B$7:$N$1000,10,FALSE)</f>
        <v>90</v>
      </c>
      <c r="G69" s="144">
        <f t="shared" si="5"/>
        <v>450</v>
      </c>
    </row>
    <row r="70" spans="1:12" ht="13">
      <c r="C70" s="4"/>
      <c r="E70" s="4"/>
      <c r="F70" s="144"/>
      <c r="G70" s="144"/>
    </row>
    <row r="71" spans="1:12" ht="13">
      <c r="C71" s="4"/>
      <c r="E71" s="4"/>
      <c r="F71" s="144"/>
      <c r="G71" s="144"/>
    </row>
    <row r="72" spans="1:12" ht="13">
      <c r="C72" s="4"/>
      <c r="E72" s="4"/>
      <c r="F72" s="144"/>
      <c r="G72" s="144"/>
    </row>
    <row r="73" spans="1:12" ht="13">
      <c r="C73" s="4"/>
      <c r="E73" s="4"/>
      <c r="F73" s="144"/>
      <c r="G73" s="144"/>
    </row>
    <row r="74" spans="1:12" ht="13">
      <c r="A74" s="175">
        <v>6</v>
      </c>
      <c r="B74" s="152" t="s">
        <v>125</v>
      </c>
      <c r="C74" s="153"/>
      <c r="D74" s="170">
        <f>SUM(D75:D78)</f>
        <v>1252</v>
      </c>
      <c r="E74" s="152" t="str">
        <f>VLOOKUP(B74,Master!B7:N279,9,FALSE)</f>
        <v>gr/por</v>
      </c>
      <c r="F74" s="153"/>
      <c r="G74" s="155">
        <f>SUM(G75:G78)</f>
        <v>34254.333333333336</v>
      </c>
      <c r="H74" s="171">
        <v>0.1</v>
      </c>
      <c r="I74" s="155">
        <f>G74+(G74*H74)</f>
        <v>37679.76666666667</v>
      </c>
      <c r="J74" s="170">
        <v>20</v>
      </c>
      <c r="K74" s="155">
        <f>I74/J74</f>
        <v>1883.9883333333335</v>
      </c>
      <c r="L74" s="172">
        <f>D74/J74</f>
        <v>62.6</v>
      </c>
    </row>
    <row r="75" spans="1:12" ht="13">
      <c r="A75" s="141"/>
      <c r="B75" s="4"/>
      <c r="C75" s="4" t="s">
        <v>2046</v>
      </c>
      <c r="D75" s="146">
        <v>250</v>
      </c>
      <c r="E75" s="4" t="str">
        <f>VLOOKUP(C75,Master!$B$6:$N$1000,9,FALSE)</f>
        <v>ml</v>
      </c>
      <c r="F75" s="144">
        <f>VLOOKUP(C75,Master!$B$7:$N$1000,10,FALSE)</f>
        <v>66</v>
      </c>
      <c r="G75" s="144">
        <f t="shared" ref="G75:G78" si="6">D75*F75</f>
        <v>16500</v>
      </c>
      <c r="H75" s="145"/>
      <c r="I75" s="145"/>
      <c r="J75" s="145"/>
      <c r="K75" s="145"/>
      <c r="L75" s="173"/>
    </row>
    <row r="76" spans="1:12" ht="13">
      <c r="C76" s="4" t="s">
        <v>1981</v>
      </c>
      <c r="D76" s="132">
        <v>1000</v>
      </c>
      <c r="E76" s="4" t="str">
        <f>VLOOKUP(C76,Master!$B$6:$N$1000,9,FALSE)</f>
        <v>ml</v>
      </c>
      <c r="F76" s="144">
        <f>VLOOKUP(C76,Master!$B$7:$N$1000,10,FALSE)</f>
        <v>17.094333333333335</v>
      </c>
      <c r="G76" s="144">
        <f t="shared" si="6"/>
        <v>17094.333333333336</v>
      </c>
    </row>
    <row r="77" spans="1:12" ht="13">
      <c r="C77" s="4" t="s">
        <v>720</v>
      </c>
      <c r="D77" s="132">
        <v>1</v>
      </c>
      <c r="E77" s="4" t="str">
        <f>VLOOKUP(C77,Master!$B$6:$N$1000,9,FALSE)</f>
        <v>gr</v>
      </c>
      <c r="F77" s="144">
        <f>VLOOKUP(C77,Master!$B$7:$N$1000,10,FALSE)</f>
        <v>280</v>
      </c>
      <c r="G77" s="144">
        <f t="shared" si="6"/>
        <v>280</v>
      </c>
    </row>
    <row r="78" spans="1:12" ht="13">
      <c r="C78" s="4" t="s">
        <v>811</v>
      </c>
      <c r="D78" s="132">
        <v>1</v>
      </c>
      <c r="E78" s="4" t="str">
        <f>VLOOKUP(C78,Master!$B$6:$N$1000,9,FALSE)</f>
        <v>gr</v>
      </c>
      <c r="F78" s="144">
        <f>VLOOKUP(C78,Master!$B$7:$N$1000,10,FALSE)</f>
        <v>380</v>
      </c>
      <c r="G78" s="144">
        <f t="shared" si="6"/>
        <v>380</v>
      </c>
    </row>
    <row r="79" spans="1:12" ht="13">
      <c r="A79" s="175">
        <v>7</v>
      </c>
      <c r="B79" s="152" t="s">
        <v>145</v>
      </c>
      <c r="C79" s="153"/>
      <c r="D79" s="170">
        <f>SUM(D80:D84)</f>
        <v>1741</v>
      </c>
      <c r="E79" s="152" t="str">
        <f>VLOOKUP(B79,Master!B12:N284,9,FALSE)</f>
        <v>gr</v>
      </c>
      <c r="F79" s="153"/>
      <c r="G79" s="155">
        <f>SUM(G80:G84)</f>
        <v>19170.116959064329</v>
      </c>
      <c r="H79" s="171">
        <v>0.1</v>
      </c>
      <c r="I79" s="155">
        <f>G79+(G79*H79)</f>
        <v>21087.128654970762</v>
      </c>
      <c r="J79" s="170">
        <v>10</v>
      </c>
      <c r="K79" s="155">
        <f>I79/J79</f>
        <v>2108.7128654970761</v>
      </c>
      <c r="L79" s="172">
        <f>D79/J79</f>
        <v>174.1</v>
      </c>
    </row>
    <row r="80" spans="1:12" ht="13">
      <c r="A80" s="141"/>
      <c r="B80" s="4"/>
      <c r="C80" s="4" t="s">
        <v>2045</v>
      </c>
      <c r="D80" s="146">
        <v>1000</v>
      </c>
      <c r="E80" s="4" t="str">
        <f>VLOOKUP(C80,Master!$B$6:$N$1000,9,FALSE)</f>
        <v>gr</v>
      </c>
      <c r="F80" s="144">
        <f>VLOOKUP(C80,Master!$B$7:$N$1000,10,FALSE)</f>
        <v>14.25</v>
      </c>
      <c r="G80" s="144">
        <f t="shared" ref="G80:G84" si="7">D80*F80</f>
        <v>14250</v>
      </c>
      <c r="H80" s="145"/>
      <c r="I80" s="145"/>
      <c r="J80" s="145"/>
      <c r="K80" s="145"/>
      <c r="L80" s="173"/>
    </row>
    <row r="81" spans="1:12" ht="13">
      <c r="C81" s="4" t="s">
        <v>889</v>
      </c>
      <c r="D81" s="132">
        <v>1</v>
      </c>
      <c r="E81" s="4" t="str">
        <f>VLOOKUP(C81,Master!$B$6:$N$1000,9,FALSE)</f>
        <v>sachet</v>
      </c>
      <c r="F81" s="144">
        <f>VLOOKUP(C81,Master!$B$7:$N$1000,10,FALSE)</f>
        <v>2200</v>
      </c>
      <c r="G81" s="144">
        <f t="shared" si="7"/>
        <v>2200</v>
      </c>
    </row>
    <row r="82" spans="1:12" ht="13">
      <c r="C82" s="4" t="s">
        <v>1980</v>
      </c>
      <c r="D82" s="132">
        <v>40</v>
      </c>
      <c r="E82" s="4" t="str">
        <f>VLOOKUP(C82,Master!$B$6:$N$1000,9,FALSE)</f>
        <v>gr</v>
      </c>
      <c r="F82" s="144">
        <f>VLOOKUP(C82,Master!$B$7:$N$1000,10,FALSE)</f>
        <v>17.5</v>
      </c>
      <c r="G82" s="144">
        <f t="shared" si="7"/>
        <v>700</v>
      </c>
    </row>
    <row r="83" spans="1:12" ht="13">
      <c r="C83" s="4" t="s">
        <v>2052</v>
      </c>
      <c r="D83" s="132">
        <v>600</v>
      </c>
      <c r="E83" s="4" t="str">
        <f>VLOOKUP(C83,Master!$B$6:$N$1000,9,FALSE)</f>
        <v>ml</v>
      </c>
      <c r="F83" s="144">
        <f>VLOOKUP(C83,Master!$B$7:$N$1000,10,FALSE)</f>
        <v>0.66315789473684206</v>
      </c>
      <c r="G83" s="144">
        <f t="shared" si="7"/>
        <v>397.89473684210526</v>
      </c>
    </row>
    <row r="84" spans="1:12" ht="13">
      <c r="C84" s="4" t="s">
        <v>1988</v>
      </c>
      <c r="D84" s="132">
        <v>100</v>
      </c>
      <c r="E84" s="4" t="str">
        <f>VLOOKUP(C84,Master!$B$6:$N$1000,9,FALSE)</f>
        <v>ml</v>
      </c>
      <c r="F84" s="144">
        <f>VLOOKUP(C84,Master!$B$7:$N$1000,10,FALSE)</f>
        <v>16.222222222222221</v>
      </c>
      <c r="G84" s="144">
        <f t="shared" si="7"/>
        <v>1622.2222222222222</v>
      </c>
    </row>
    <row r="85" spans="1:12" ht="13">
      <c r="A85" s="175">
        <v>8</v>
      </c>
      <c r="B85" s="152" t="s">
        <v>153</v>
      </c>
      <c r="C85" s="153"/>
      <c r="D85" s="170">
        <f>SUM(D86:D88)</f>
        <v>50</v>
      </c>
      <c r="E85" s="152" t="str">
        <f>VLOOKUP(B85,Master!B18:N290,9,FALSE)</f>
        <v>gr</v>
      </c>
      <c r="F85" s="153"/>
      <c r="G85" s="155">
        <f>SUM(G86:G88)</f>
        <v>4140</v>
      </c>
      <c r="H85" s="171">
        <v>0.1</v>
      </c>
      <c r="I85" s="155">
        <f>G85+(G85*H85)</f>
        <v>4554</v>
      </c>
      <c r="J85" s="170">
        <v>1</v>
      </c>
      <c r="K85" s="155">
        <f>I85/J85</f>
        <v>4554</v>
      </c>
      <c r="L85" s="172">
        <f>D85/J85</f>
        <v>50</v>
      </c>
    </row>
    <row r="86" spans="1:12" ht="13">
      <c r="A86" s="141"/>
      <c r="B86" s="4"/>
      <c r="C86" s="4" t="s">
        <v>2063</v>
      </c>
      <c r="D86" s="146">
        <v>20</v>
      </c>
      <c r="E86" s="4" t="str">
        <f>VLOOKUP(C86,Master!$B$6:$N$1000,9,FALSE)</f>
        <v>gr</v>
      </c>
      <c r="F86" s="144">
        <f>VLOOKUP(C86,Master!$B$7:$N$1000,10,FALSE)</f>
        <v>108</v>
      </c>
      <c r="G86" s="144">
        <f t="shared" ref="G86:G87" si="8">D86*F86</f>
        <v>2160</v>
      </c>
      <c r="H86" s="145"/>
      <c r="I86" s="145"/>
      <c r="J86" s="145"/>
      <c r="K86" s="145"/>
      <c r="L86" s="173"/>
    </row>
    <row r="87" spans="1:12" ht="13">
      <c r="C87" s="4" t="s">
        <v>2046</v>
      </c>
      <c r="D87" s="132">
        <v>30</v>
      </c>
      <c r="E87" s="4" t="str">
        <f>VLOOKUP(C87,Master!$B$6:$N$1000,9,FALSE)</f>
        <v>ml</v>
      </c>
      <c r="F87" s="144">
        <f>VLOOKUP(C87,Master!$B$7:$N$1000,10,FALSE)</f>
        <v>66</v>
      </c>
      <c r="G87" s="144">
        <f t="shared" si="8"/>
        <v>1980</v>
      </c>
    </row>
    <row r="88" spans="1:12" ht="13">
      <c r="C88" s="4"/>
      <c r="E88" s="4"/>
      <c r="F88" s="144"/>
      <c r="G88" s="144"/>
    </row>
    <row r="89" spans="1:12" ht="13">
      <c r="A89" s="175">
        <v>9</v>
      </c>
      <c r="B89" s="152" t="s">
        <v>173</v>
      </c>
      <c r="C89" s="153"/>
      <c r="D89" s="170">
        <f>SUM(D90:D94)</f>
        <v>447</v>
      </c>
      <c r="E89" s="152" t="str">
        <f>VLOOKUP(B89,Master!B7:N294,9,FALSE)</f>
        <v>gr/slice</v>
      </c>
      <c r="F89" s="153"/>
      <c r="G89" s="155">
        <f>SUM(G90:G94)</f>
        <v>20000</v>
      </c>
      <c r="H89" s="171">
        <v>0.1</v>
      </c>
      <c r="I89" s="155">
        <f>G89+(G89*H89)</f>
        <v>22000</v>
      </c>
      <c r="J89" s="170">
        <v>27</v>
      </c>
      <c r="K89" s="155">
        <f>I89/J89</f>
        <v>814.81481481481478</v>
      </c>
      <c r="L89" s="172">
        <f>D89/J89</f>
        <v>16.555555555555557</v>
      </c>
    </row>
    <row r="90" spans="1:12" ht="13">
      <c r="A90" s="141"/>
      <c r="B90" s="4"/>
      <c r="C90" s="4" t="s">
        <v>643</v>
      </c>
      <c r="D90" s="146">
        <v>350</v>
      </c>
      <c r="E90" s="4" t="str">
        <f>VLOOKUP(C90,Master!$B$6:$N$1000,9,FALSE)</f>
        <v>gr</v>
      </c>
      <c r="F90" s="144">
        <f>VLOOKUP(C90,Master!$B$7:$N$1000,10,FALSE)</f>
        <v>17</v>
      </c>
      <c r="G90" s="144">
        <f t="shared" ref="G90:G93" si="9">D90*F90</f>
        <v>5950</v>
      </c>
      <c r="H90" s="145"/>
      <c r="I90" s="145"/>
      <c r="J90" s="145"/>
      <c r="K90" s="145"/>
      <c r="L90" s="173"/>
    </row>
    <row r="91" spans="1:12" ht="13">
      <c r="C91" s="4" t="s">
        <v>671</v>
      </c>
      <c r="D91" s="132">
        <v>50</v>
      </c>
      <c r="E91" s="4" t="str">
        <f>VLOOKUP(C91,Master!$B$6:$N$1000,9,FALSE)</f>
        <v>gr</v>
      </c>
      <c r="F91" s="144">
        <f>VLOOKUP(C91,Master!$B$7:$N$1000,10,FALSE)</f>
        <v>50</v>
      </c>
      <c r="G91" s="144">
        <f t="shared" si="9"/>
        <v>2500</v>
      </c>
    </row>
    <row r="92" spans="1:12" ht="13">
      <c r="C92" s="4" t="s">
        <v>895</v>
      </c>
      <c r="D92" s="132">
        <v>45</v>
      </c>
      <c r="E92" s="4" t="str">
        <f>VLOOKUP(C92,Master!$B$6:$N$1000,9,FALSE)</f>
        <v>gr</v>
      </c>
      <c r="F92" s="144">
        <f>VLOOKUP(C92,Master!$B$7:$N$1000,10,FALSE)</f>
        <v>256</v>
      </c>
      <c r="G92" s="144">
        <f t="shared" si="9"/>
        <v>11520</v>
      </c>
    </row>
    <row r="93" spans="1:12" ht="13">
      <c r="C93" s="4" t="s">
        <v>764</v>
      </c>
      <c r="D93" s="132">
        <v>2</v>
      </c>
      <c r="E93" s="4" t="str">
        <f>VLOOKUP(C93,Master!$B$6:$N$1000,9,FALSE)</f>
        <v>gr</v>
      </c>
      <c r="F93" s="144">
        <f>VLOOKUP(C93,Master!$B$7:$N$1000,10,FALSE)</f>
        <v>15</v>
      </c>
      <c r="G93" s="144">
        <f t="shared" si="9"/>
        <v>30</v>
      </c>
    </row>
    <row r="94" spans="1:12" ht="13">
      <c r="C94" s="4"/>
      <c r="E94" s="4"/>
      <c r="F94" s="144"/>
      <c r="G94" s="144"/>
    </row>
    <row r="95" spans="1:12" ht="13">
      <c r="A95" s="169">
        <v>10</v>
      </c>
      <c r="B95" s="152" t="s">
        <v>222</v>
      </c>
      <c r="C95" s="153"/>
      <c r="D95" s="170">
        <f>SUM(D96:D97)</f>
        <v>501</v>
      </c>
      <c r="E95" s="152" t="str">
        <f>VLOOKUP(B95,Master!B13:N300,9,FALSE)</f>
        <v>gr</v>
      </c>
      <c r="F95" s="153"/>
      <c r="G95" s="155">
        <f>SUM(G96:G97)</f>
        <v>2198.2456140350878</v>
      </c>
      <c r="H95" s="171">
        <v>0.1</v>
      </c>
      <c r="I95" s="155">
        <f>G95+(G95*H95)</f>
        <v>2418.0701754385964</v>
      </c>
      <c r="J95" s="170">
        <v>450</v>
      </c>
      <c r="K95" s="155">
        <f>I95/J95</f>
        <v>5.3734892787524364</v>
      </c>
      <c r="L95" s="172">
        <f>D95/J95</f>
        <v>1.1133333333333333</v>
      </c>
    </row>
    <row r="96" spans="1:12" ht="13">
      <c r="A96" s="141"/>
      <c r="B96" s="4"/>
      <c r="C96" s="4" t="s">
        <v>659</v>
      </c>
      <c r="D96" s="146">
        <v>1</v>
      </c>
      <c r="E96" s="4" t="str">
        <f>VLOOKUP(C96,Master!$B$6:$N$1000,9,FALSE)</f>
        <v>pcs</v>
      </c>
      <c r="F96" s="144">
        <f>VLOOKUP(C96,Master!$B$7:$N$1000,10,FALSE)</f>
        <v>1866.6666666666667</v>
      </c>
      <c r="G96" s="144">
        <f t="shared" ref="G96:G97" si="10">D96*F96</f>
        <v>1866.6666666666667</v>
      </c>
      <c r="H96" s="145"/>
      <c r="I96" s="145"/>
      <c r="J96" s="145"/>
      <c r="K96" s="145"/>
      <c r="L96" s="173"/>
    </row>
    <row r="97" spans="1:12" ht="13">
      <c r="C97" s="4" t="s">
        <v>2052</v>
      </c>
      <c r="D97" s="132">
        <v>500</v>
      </c>
      <c r="E97" s="4" t="str">
        <f>VLOOKUP(C97,Master!$B$6:$N$1000,9,FALSE)</f>
        <v>ml</v>
      </c>
      <c r="F97" s="144">
        <f>VLOOKUP(C97,Master!$B$7:$N$1000,10,FALSE)</f>
        <v>0.66315789473684206</v>
      </c>
      <c r="G97" s="144">
        <f t="shared" si="10"/>
        <v>331.57894736842104</v>
      </c>
    </row>
    <row r="98" spans="1:12" ht="13">
      <c r="A98" s="175">
        <v>11</v>
      </c>
      <c r="B98" s="152" t="s">
        <v>229</v>
      </c>
      <c r="C98" s="153"/>
      <c r="D98" s="170">
        <f>SUM(D99:D102)</f>
        <v>3502</v>
      </c>
      <c r="E98" s="152" t="str">
        <f>VLOOKUP(B98,Master!B16:N303,9,FALSE)</f>
        <v>Porsi</v>
      </c>
      <c r="F98" s="153"/>
      <c r="G98" s="155">
        <f>SUM(G99:G103)</f>
        <v>144324.64761904761</v>
      </c>
      <c r="H98" s="171">
        <v>0.1</v>
      </c>
      <c r="I98" s="155">
        <f>G98+(G98*H98)</f>
        <v>158757.11238095237</v>
      </c>
      <c r="J98" s="170">
        <v>18</v>
      </c>
      <c r="K98" s="155">
        <f>I98/J98</f>
        <v>8819.8395767195761</v>
      </c>
      <c r="L98" s="172">
        <f>D98/J98</f>
        <v>194.55555555555554</v>
      </c>
    </row>
    <row r="99" spans="1:12" ht="13">
      <c r="A99" s="141"/>
      <c r="B99" s="4"/>
      <c r="C99" s="4" t="s">
        <v>663</v>
      </c>
      <c r="D99" s="146">
        <v>3000</v>
      </c>
      <c r="E99" s="4" t="str">
        <f>VLOOKUP(C99,Master!$B$6:$N$1000,9,FALSE)</f>
        <v>gr</v>
      </c>
      <c r="F99" s="144">
        <f>VLOOKUP(C99,Master!$B$7:$N$1000,10,FALSE)</f>
        <v>45</v>
      </c>
      <c r="G99" s="144">
        <f t="shared" ref="G99:G101" si="11">D99*F99</f>
        <v>135000</v>
      </c>
      <c r="H99" s="145"/>
      <c r="I99" s="145"/>
      <c r="J99" s="145"/>
      <c r="K99" s="145"/>
      <c r="L99" s="173"/>
    </row>
    <row r="100" spans="1:12" ht="13">
      <c r="C100" s="4" t="s">
        <v>1074</v>
      </c>
      <c r="D100" s="132">
        <v>500</v>
      </c>
      <c r="E100" s="4" t="str">
        <f>VLOOKUP(C100,Master!$B$6:$N$1000,9,FALSE)</f>
        <v>gr</v>
      </c>
      <c r="F100" s="144">
        <f>VLOOKUP(C100,Master!$B$7:$N$1000,10,FALSE)</f>
        <v>16.5</v>
      </c>
      <c r="G100" s="144">
        <f t="shared" si="11"/>
        <v>8250</v>
      </c>
    </row>
    <row r="101" spans="1:12" ht="13">
      <c r="C101" s="4" t="s">
        <v>101</v>
      </c>
      <c r="D101" s="132">
        <v>2</v>
      </c>
      <c r="E101" s="4" t="str">
        <f>VLOOKUP(C101,Master!$B$6:$N$1000,9,FALSE)</f>
        <v>Porsi</v>
      </c>
      <c r="F101" s="144">
        <f>VLOOKUP(C101,Master!$B$7:$N$1000,10,FALSE)</f>
        <v>537.32380952380959</v>
      </c>
      <c r="G101" s="144">
        <f t="shared" si="11"/>
        <v>1074.6476190476192</v>
      </c>
    </row>
    <row r="102" spans="1:12" ht="13">
      <c r="C102" s="4"/>
      <c r="E102" s="4"/>
      <c r="F102" s="144"/>
      <c r="G102" s="144"/>
    </row>
    <row r="103" spans="1:12" ht="13">
      <c r="C103" s="4"/>
      <c r="E103" s="4"/>
      <c r="F103" s="144"/>
      <c r="G103" s="144"/>
    </row>
    <row r="104" spans="1:12" ht="13">
      <c r="A104" s="175">
        <v>12</v>
      </c>
      <c r="B104" s="152" t="s">
        <v>243</v>
      </c>
      <c r="C104" s="153"/>
      <c r="D104" s="170">
        <f>SUM(D105:D107)</f>
        <v>1100</v>
      </c>
      <c r="E104" s="152" t="str">
        <f>VLOOKUP(B104,Master!B22:N309,9,FALSE)</f>
        <v>gr/pcs</v>
      </c>
      <c r="F104" s="153"/>
      <c r="G104" s="155">
        <f>SUM(G105:G107)</f>
        <v>29122.222222222223</v>
      </c>
      <c r="H104" s="171">
        <v>0.1</v>
      </c>
      <c r="I104" s="155">
        <f>G104+(G104*H104)</f>
        <v>32034.444444444445</v>
      </c>
      <c r="J104" s="170">
        <v>20</v>
      </c>
      <c r="K104" s="155">
        <f>I104/J104</f>
        <v>1601.7222222222222</v>
      </c>
      <c r="L104" s="172">
        <f>D104/J104</f>
        <v>55</v>
      </c>
    </row>
    <row r="105" spans="1:12" ht="13">
      <c r="A105" s="141"/>
      <c r="B105" s="4"/>
      <c r="C105" s="4" t="s">
        <v>1990</v>
      </c>
      <c r="D105" s="146">
        <v>1000</v>
      </c>
      <c r="E105" s="4" t="str">
        <f>VLOOKUP(C105,Master!$B$6:$N$1000,9,FALSE)</f>
        <v>gr</v>
      </c>
      <c r="F105" s="144">
        <f>VLOOKUP(C105,Master!$B$7:$N$1000,10,FALSE)</f>
        <v>27.5</v>
      </c>
      <c r="G105" s="144">
        <f t="shared" ref="G105:G107" si="12">D105*F105</f>
        <v>27500</v>
      </c>
      <c r="H105" s="145"/>
      <c r="I105" s="145"/>
      <c r="J105" s="145"/>
      <c r="K105" s="145"/>
      <c r="L105" s="173"/>
    </row>
    <row r="106" spans="1:12" ht="13">
      <c r="C106" s="4" t="s">
        <v>2052</v>
      </c>
      <c r="D106" s="132">
        <v>0</v>
      </c>
      <c r="E106" s="4" t="str">
        <f>VLOOKUP(C106,Master!$B$6:$N$1000,9,FALSE)</f>
        <v>ml</v>
      </c>
      <c r="F106" s="144">
        <f>VLOOKUP(C106,Master!$B$7:$N$1000,10,FALSE)</f>
        <v>0.66315789473684206</v>
      </c>
      <c r="G106" s="144">
        <f t="shared" si="12"/>
        <v>0</v>
      </c>
    </row>
    <row r="107" spans="1:12" ht="13">
      <c r="C107" s="4" t="s">
        <v>1988</v>
      </c>
      <c r="D107" s="132">
        <v>100</v>
      </c>
      <c r="E107" s="4" t="str">
        <f>VLOOKUP(C107,Master!$B$6:$N$1000,9,FALSE)</f>
        <v>ml</v>
      </c>
      <c r="F107" s="144">
        <f>VLOOKUP(C107,Master!$B$7:$N$1000,10,FALSE)</f>
        <v>16.222222222222221</v>
      </c>
      <c r="G107" s="144">
        <f t="shared" si="12"/>
        <v>1622.2222222222222</v>
      </c>
    </row>
    <row r="108" spans="1:12" ht="13">
      <c r="A108" s="175">
        <v>13</v>
      </c>
      <c r="B108" s="152" t="s">
        <v>251</v>
      </c>
      <c r="C108" s="153"/>
      <c r="D108" s="170">
        <f>SUM(D109:D110)</f>
        <v>25000</v>
      </c>
      <c r="E108" s="152" t="str">
        <f>VLOOKUP(B108,Master!B26:N313,9,FALSE)</f>
        <v>Porsi</v>
      </c>
      <c r="F108" s="153"/>
      <c r="G108" s="155">
        <f>SUM(G109:G110)</f>
        <v>364000</v>
      </c>
      <c r="H108" s="171">
        <v>0.1</v>
      </c>
      <c r="I108" s="155">
        <f>G108+(G108*H108)</f>
        <v>400400</v>
      </c>
      <c r="J108" s="170">
        <v>366</v>
      </c>
      <c r="K108" s="155">
        <f>I108/J108</f>
        <v>1093.9890710382513</v>
      </c>
      <c r="L108" s="172">
        <f>D108/J108</f>
        <v>68.306010928961754</v>
      </c>
    </row>
    <row r="109" spans="1:12" ht="13">
      <c r="A109" s="141"/>
      <c r="B109" s="4"/>
      <c r="C109" s="4" t="s">
        <v>760</v>
      </c>
      <c r="D109" s="146">
        <v>25000</v>
      </c>
      <c r="E109" s="4" t="str">
        <f>VLOOKUP(C109,Master!$B$6:$N$1000,9,FALSE)</f>
        <v>gr</v>
      </c>
      <c r="F109" s="144">
        <f>VLOOKUP(C109,Master!$B$7:$N$1000,10,FALSE)</f>
        <v>14.56</v>
      </c>
      <c r="G109" s="144">
        <f t="shared" ref="G109:G110" si="13">D109*F109</f>
        <v>364000</v>
      </c>
      <c r="H109" s="145"/>
      <c r="I109" s="145"/>
      <c r="J109" s="145"/>
      <c r="K109" s="145"/>
      <c r="L109" s="173"/>
    </row>
    <row r="110" spans="1:12" ht="13">
      <c r="C110" s="4" t="s">
        <v>2052</v>
      </c>
      <c r="D110" s="132">
        <v>0</v>
      </c>
      <c r="E110" s="4" t="str">
        <f>VLOOKUP(C110,Master!$B$6:$N$1000,9,FALSE)</f>
        <v>ml</v>
      </c>
      <c r="F110" s="144">
        <f>VLOOKUP(C110,Master!$B$7:$N$1000,10,FALSE)</f>
        <v>0.66315789473684206</v>
      </c>
      <c r="G110" s="144">
        <f t="shared" si="13"/>
        <v>0</v>
      </c>
    </row>
    <row r="111" spans="1:12" ht="13">
      <c r="A111" s="175">
        <v>14</v>
      </c>
      <c r="B111" s="152" t="s">
        <v>275</v>
      </c>
      <c r="C111" s="153"/>
      <c r="D111" s="170">
        <f>SUM(D112:D118)</f>
        <v>383</v>
      </c>
      <c r="E111" s="152" t="str">
        <f>VLOOKUP(B111,Master!B29:N316,9,FALSE)</f>
        <v>gr</v>
      </c>
      <c r="F111" s="153"/>
      <c r="G111" s="155">
        <f>SUM(G112:G118)</f>
        <v>17473.5</v>
      </c>
      <c r="H111" s="171">
        <v>0.1</v>
      </c>
      <c r="I111" s="155">
        <f>G111+(G111*H111)</f>
        <v>19220.849999999999</v>
      </c>
      <c r="J111" s="170">
        <v>4</v>
      </c>
      <c r="K111" s="155">
        <f>I111/J111</f>
        <v>4805.2124999999996</v>
      </c>
      <c r="L111" s="172">
        <f>D111/J111</f>
        <v>95.75</v>
      </c>
    </row>
    <row r="112" spans="1:12" ht="13">
      <c r="A112" s="141"/>
      <c r="B112" s="4"/>
      <c r="C112" s="4" t="s">
        <v>655</v>
      </c>
      <c r="D112" s="146">
        <v>320</v>
      </c>
      <c r="E112" s="4" t="str">
        <f>VLOOKUP(C112,Master!$B$6:$N$1000,9,FALSE)</f>
        <v>gr</v>
      </c>
      <c r="F112" s="144">
        <f>VLOOKUP(C112,Master!$B$7:$N$1000,10,FALSE)</f>
        <v>50</v>
      </c>
      <c r="G112" s="144">
        <f t="shared" ref="G112:G117" si="14">D112*F112</f>
        <v>16000</v>
      </c>
      <c r="H112" s="145"/>
      <c r="I112" s="145"/>
      <c r="J112" s="145"/>
      <c r="K112" s="145"/>
      <c r="L112" s="173"/>
    </row>
    <row r="113" spans="1:12" ht="13">
      <c r="C113" s="4" t="s">
        <v>831</v>
      </c>
      <c r="D113" s="132">
        <v>30</v>
      </c>
      <c r="E113" s="4" t="str">
        <f>VLOOKUP(C113,Master!$B$6:$N$1000,9,FALSE)</f>
        <v>gr</v>
      </c>
      <c r="F113" s="144">
        <f>VLOOKUP(C113,Master!$B$7:$N$1000,10,FALSE)</f>
        <v>21.25</v>
      </c>
      <c r="G113" s="144">
        <f t="shared" si="14"/>
        <v>637.5</v>
      </c>
    </row>
    <row r="114" spans="1:12" ht="13">
      <c r="C114" s="4" t="s">
        <v>2045</v>
      </c>
      <c r="D114" s="132">
        <v>30</v>
      </c>
      <c r="E114" s="4" t="str">
        <f>VLOOKUP(C114,Master!$B$6:$N$1000,9,FALSE)</f>
        <v>gr</v>
      </c>
      <c r="F114" s="144">
        <f>VLOOKUP(C114,Master!$B$7:$N$1000,10,FALSE)</f>
        <v>14.25</v>
      </c>
      <c r="G114" s="144">
        <f t="shared" si="14"/>
        <v>427.5</v>
      </c>
    </row>
    <row r="115" spans="1:12" ht="13">
      <c r="C115" s="4" t="s">
        <v>2043</v>
      </c>
      <c r="D115" s="132">
        <v>1</v>
      </c>
      <c r="E115" s="4" t="str">
        <f>VLOOKUP(C115,Master!$B$6:$N$1000,9,FALSE)</f>
        <v>gr</v>
      </c>
      <c r="F115" s="144">
        <f>VLOOKUP(C115,Master!$B$7:$N$1000,10,FALSE)</f>
        <v>38.5</v>
      </c>
      <c r="G115" s="144">
        <f t="shared" si="14"/>
        <v>38.5</v>
      </c>
    </row>
    <row r="116" spans="1:12" ht="13">
      <c r="C116" s="4" t="s">
        <v>799</v>
      </c>
      <c r="D116" s="132">
        <v>1</v>
      </c>
      <c r="E116" s="4" t="str">
        <f>VLOOKUP(C116,Master!$B$6:$N$1000,9,FALSE)</f>
        <v>gr</v>
      </c>
      <c r="F116" s="144">
        <f>VLOOKUP(C116,Master!$B$7:$N$1000,10,FALSE)</f>
        <v>90</v>
      </c>
      <c r="G116" s="144">
        <f t="shared" si="14"/>
        <v>90</v>
      </c>
    </row>
    <row r="117" spans="1:12" ht="13">
      <c r="C117" s="4" t="s">
        <v>720</v>
      </c>
      <c r="D117" s="132">
        <v>1</v>
      </c>
      <c r="E117" s="4" t="str">
        <f>VLOOKUP(C117,Master!$B$6:$N$1000,9,FALSE)</f>
        <v>gr</v>
      </c>
      <c r="F117" s="144">
        <f>VLOOKUP(C117,Master!$B$7:$N$1000,10,FALSE)</f>
        <v>280</v>
      </c>
      <c r="G117" s="144">
        <f t="shared" si="14"/>
        <v>280</v>
      </c>
    </row>
    <row r="118" spans="1:12" ht="13">
      <c r="C118" s="4"/>
      <c r="E118" s="4"/>
      <c r="F118" s="144"/>
      <c r="G118" s="144"/>
    </row>
    <row r="119" spans="1:12" ht="13">
      <c r="A119" s="175">
        <v>15</v>
      </c>
      <c r="B119" s="152" t="s">
        <v>288</v>
      </c>
      <c r="C119" s="153"/>
      <c r="D119" s="170">
        <f>SUM(D120:D123)</f>
        <v>121</v>
      </c>
      <c r="E119" s="152" t="str">
        <f>VLOOKUP(B119,Master!B34:N321,9,FALSE)</f>
        <v>gr/pcs</v>
      </c>
      <c r="F119" s="153"/>
      <c r="G119" s="155">
        <f>SUM(G120:G124)</f>
        <v>5631.666666666667</v>
      </c>
      <c r="H119" s="171">
        <v>0.1</v>
      </c>
      <c r="I119" s="155">
        <f>G119+(G119*H119)</f>
        <v>6194.8333333333339</v>
      </c>
      <c r="J119" s="170">
        <v>1</v>
      </c>
      <c r="K119" s="155">
        <f>I119/J119</f>
        <v>6194.8333333333339</v>
      </c>
      <c r="L119" s="176">
        <f>D119/J119</f>
        <v>121</v>
      </c>
    </row>
    <row r="120" spans="1:12" ht="13">
      <c r="A120" s="141"/>
      <c r="B120" s="4"/>
      <c r="C120" s="4" t="s">
        <v>716</v>
      </c>
      <c r="D120" s="146">
        <v>60</v>
      </c>
      <c r="E120" s="4" t="str">
        <f>VLOOKUP(C120,Master!$B$6:$N$1000,9,FALSE)</f>
        <v>gr</v>
      </c>
      <c r="F120" s="144">
        <f>VLOOKUP(C120,Master!$B$7:$N$1000,10,FALSE)</f>
        <v>45</v>
      </c>
      <c r="G120" s="144">
        <f t="shared" ref="G120:G123" si="15">D120*F120</f>
        <v>2700</v>
      </c>
      <c r="H120" s="145"/>
      <c r="I120" s="145"/>
      <c r="J120" s="145"/>
      <c r="K120" s="145"/>
      <c r="L120" s="173"/>
    </row>
    <row r="121" spans="1:12" ht="13">
      <c r="C121" s="4" t="s">
        <v>831</v>
      </c>
      <c r="D121" s="132">
        <v>30</v>
      </c>
      <c r="E121" s="4" t="str">
        <f>VLOOKUP(C121,Master!$B$6:$N$1000,9,FALSE)</f>
        <v>gr</v>
      </c>
      <c r="F121" s="144">
        <f>VLOOKUP(C121,Master!$B$7:$N$1000,10,FALSE)</f>
        <v>21.25</v>
      </c>
      <c r="G121" s="144">
        <f t="shared" si="15"/>
        <v>637.5</v>
      </c>
    </row>
    <row r="122" spans="1:12" ht="13">
      <c r="C122" s="4" t="s">
        <v>2045</v>
      </c>
      <c r="D122" s="132">
        <v>30</v>
      </c>
      <c r="E122" s="4" t="str">
        <f>VLOOKUP(C122,Master!$B$6:$N$1000,9,FALSE)</f>
        <v>gr</v>
      </c>
      <c r="F122" s="144">
        <f>VLOOKUP(C122,Master!$B$7:$N$1000,10,FALSE)</f>
        <v>14.25</v>
      </c>
      <c r="G122" s="144">
        <f t="shared" si="15"/>
        <v>427.5</v>
      </c>
    </row>
    <row r="123" spans="1:12" ht="13">
      <c r="C123" s="145" t="s">
        <v>659</v>
      </c>
      <c r="D123" s="132">
        <v>1</v>
      </c>
      <c r="E123" s="4" t="str">
        <f>VLOOKUP(C123,Master!$B$6:$N$1000,9,FALSE)</f>
        <v>pcs</v>
      </c>
      <c r="F123" s="144">
        <f>VLOOKUP(C123,Master!$B$7:$N$1000,10,FALSE)</f>
        <v>1866.6666666666667</v>
      </c>
      <c r="G123" s="144">
        <f t="shared" si="15"/>
        <v>1866.6666666666667</v>
      </c>
    </row>
    <row r="124" spans="1:12" ht="13">
      <c r="B124" s="132"/>
      <c r="C124" s="145"/>
      <c r="D124" s="146"/>
      <c r="E124" s="4"/>
      <c r="F124" s="144"/>
      <c r="G124" s="144"/>
    </row>
    <row r="125" spans="1:12" ht="13">
      <c r="A125" s="4"/>
      <c r="B125" s="132"/>
      <c r="C125" s="145"/>
      <c r="D125" s="146"/>
      <c r="E125" s="4"/>
      <c r="F125" s="144"/>
      <c r="G125" s="144"/>
      <c r="H125" s="81"/>
      <c r="I125" s="121"/>
      <c r="J125" s="145"/>
      <c r="K125" s="121"/>
      <c r="L125" s="177"/>
    </row>
    <row r="126" spans="1:12" ht="13">
      <c r="A126" s="4"/>
      <c r="B126" s="132"/>
      <c r="C126" s="145"/>
      <c r="D126" s="146"/>
      <c r="E126" s="4"/>
      <c r="F126" s="144"/>
      <c r="G126" s="144"/>
      <c r="H126" s="81"/>
      <c r="I126" s="121"/>
      <c r="J126" s="145"/>
      <c r="K126" s="121"/>
      <c r="L126" s="177"/>
    </row>
    <row r="127" spans="1:12" ht="13">
      <c r="A127" s="4"/>
      <c r="B127" s="132"/>
      <c r="C127" s="145"/>
      <c r="D127" s="146"/>
      <c r="E127" s="4"/>
      <c r="F127" s="144"/>
      <c r="G127" s="144"/>
      <c r="H127" s="81"/>
      <c r="I127" s="121"/>
      <c r="J127" s="145"/>
      <c r="K127" s="121"/>
      <c r="L127" s="177"/>
    </row>
    <row r="128" spans="1:12" ht="13">
      <c r="A128" s="90"/>
      <c r="B128" s="132"/>
      <c r="C128" s="151"/>
      <c r="D128" s="149"/>
      <c r="E128" s="90"/>
      <c r="F128" s="150"/>
      <c r="G128" s="150"/>
      <c r="H128" s="178"/>
      <c r="I128" s="107"/>
      <c r="J128" s="151"/>
      <c r="K128" s="107"/>
      <c r="L128" s="179"/>
    </row>
    <row r="129" spans="1:12" ht="13">
      <c r="A129" s="175">
        <v>16</v>
      </c>
      <c r="B129" s="135" t="s">
        <v>298</v>
      </c>
      <c r="C129" s="136"/>
      <c r="D129" s="180">
        <f>SUM(D130:D136)</f>
        <v>383</v>
      </c>
      <c r="E129" s="135" t="str">
        <f>VLOOKUP(B129,Master!B12:N331,9,FALSE)</f>
        <v>gr/pcs</v>
      </c>
      <c r="F129" s="136"/>
      <c r="G129" s="138">
        <f>SUM(G130:G138)</f>
        <v>19636</v>
      </c>
      <c r="H129" s="139">
        <v>0.1</v>
      </c>
      <c r="I129" s="138">
        <f>G129+(G129*H129)</f>
        <v>21599.599999999999</v>
      </c>
      <c r="J129" s="180">
        <v>4</v>
      </c>
      <c r="K129" s="138">
        <f>I129/J129</f>
        <v>5399.9</v>
      </c>
      <c r="L129" s="168">
        <f>D129/J129</f>
        <v>95.75</v>
      </c>
    </row>
    <row r="130" spans="1:12" ht="13">
      <c r="A130" s="4"/>
      <c r="B130" s="4"/>
      <c r="C130" s="4" t="s">
        <v>655</v>
      </c>
      <c r="D130" s="166">
        <v>320</v>
      </c>
      <c r="E130" s="4" t="str">
        <f>VLOOKUP(C130,Master!$B$6:$N$1000,9,FALSE)</f>
        <v>gr</v>
      </c>
      <c r="F130" s="144">
        <f>VLOOKUP(C130,Master!$B$7:$N$1000,10,FALSE)</f>
        <v>50</v>
      </c>
      <c r="G130" s="144">
        <f t="shared" ref="G130:G136" si="16">D130*F130</f>
        <v>16000</v>
      </c>
      <c r="H130" s="4"/>
      <c r="I130" s="4"/>
      <c r="J130" s="4"/>
      <c r="K130" s="4"/>
      <c r="L130" s="4"/>
    </row>
    <row r="131" spans="1:12" ht="13">
      <c r="A131" s="4"/>
      <c r="B131" s="4"/>
      <c r="C131" s="4" t="s">
        <v>2045</v>
      </c>
      <c r="D131" s="166">
        <v>30</v>
      </c>
      <c r="E131" s="4" t="str">
        <f>VLOOKUP(C131,Master!$B$6:$N$1000,9,FALSE)</f>
        <v>gr</v>
      </c>
      <c r="F131" s="144">
        <f>VLOOKUP(C131,Master!$B$7:$N$1000,10,FALSE)</f>
        <v>14.25</v>
      </c>
      <c r="G131" s="144">
        <f t="shared" si="16"/>
        <v>427.5</v>
      </c>
      <c r="H131" s="4"/>
      <c r="I131" s="4"/>
      <c r="J131" s="4"/>
      <c r="K131" s="4"/>
      <c r="L131" s="4"/>
    </row>
    <row r="132" spans="1:12" ht="13">
      <c r="A132" s="4"/>
      <c r="B132" s="4"/>
      <c r="C132" s="4" t="s">
        <v>2043</v>
      </c>
      <c r="D132" s="166">
        <v>1</v>
      </c>
      <c r="E132" s="4" t="str">
        <f>VLOOKUP(C132,Master!$B$6:$N$1000,9,FALSE)</f>
        <v>gr</v>
      </c>
      <c r="F132" s="144">
        <f>VLOOKUP(C132,Master!$B$7:$N$1000,10,FALSE)</f>
        <v>38.5</v>
      </c>
      <c r="G132" s="144">
        <f t="shared" si="16"/>
        <v>38.5</v>
      </c>
      <c r="H132" s="4"/>
      <c r="I132" s="4"/>
      <c r="J132" s="4"/>
      <c r="K132" s="4"/>
      <c r="L132" s="4"/>
    </row>
    <row r="133" spans="1:12" ht="13">
      <c r="A133" s="4"/>
      <c r="B133" s="4"/>
      <c r="C133" s="145" t="s">
        <v>799</v>
      </c>
      <c r="D133" s="146">
        <v>1</v>
      </c>
      <c r="E133" s="4" t="str">
        <f>VLOOKUP(C133,Master!$B$6:$N$1000,9,FALSE)</f>
        <v>gr</v>
      </c>
      <c r="F133" s="144">
        <f>VLOOKUP(C133,Master!$B$7:$N$1000,10,FALSE)</f>
        <v>90</v>
      </c>
      <c r="G133" s="144">
        <f t="shared" si="16"/>
        <v>90</v>
      </c>
      <c r="H133" s="4"/>
      <c r="I133" s="4"/>
      <c r="J133" s="4"/>
      <c r="K133" s="4"/>
      <c r="L133" s="4"/>
    </row>
    <row r="134" spans="1:12" ht="13">
      <c r="A134" s="4"/>
      <c r="B134" s="4"/>
      <c r="C134" s="145" t="s">
        <v>720</v>
      </c>
      <c r="D134" s="146">
        <v>1</v>
      </c>
      <c r="E134" s="4" t="str">
        <f>VLOOKUP(C134,Master!$B$6:$N$1000,9,FALSE)</f>
        <v>gr</v>
      </c>
      <c r="F134" s="144">
        <f>VLOOKUP(C134,Master!$B$7:$N$1000,10,FALSE)</f>
        <v>280</v>
      </c>
      <c r="G134" s="144">
        <f t="shared" si="16"/>
        <v>280</v>
      </c>
      <c r="H134" s="4"/>
      <c r="I134" s="4"/>
      <c r="J134" s="4"/>
      <c r="K134" s="4"/>
      <c r="L134" s="4"/>
    </row>
    <row r="135" spans="1:12" ht="13">
      <c r="A135" s="4"/>
      <c r="B135" s="4"/>
      <c r="C135" s="145" t="s">
        <v>2063</v>
      </c>
      <c r="D135" s="146">
        <v>10</v>
      </c>
      <c r="E135" s="4" t="str">
        <f>VLOOKUP(C135,Master!$B$6:$N$1000,9,FALSE)</f>
        <v>gr</v>
      </c>
      <c r="F135" s="144">
        <f>VLOOKUP(C135,Master!$B$7:$N$1000,10,FALSE)</f>
        <v>108</v>
      </c>
      <c r="G135" s="144">
        <f t="shared" si="16"/>
        <v>1080</v>
      </c>
      <c r="H135" s="81"/>
      <c r="I135" s="121"/>
      <c r="J135" s="145"/>
      <c r="K135" s="121"/>
      <c r="L135" s="177"/>
    </row>
    <row r="136" spans="1:12" ht="13">
      <c r="A136" s="4"/>
      <c r="B136" s="4"/>
      <c r="C136" s="151" t="s">
        <v>2038</v>
      </c>
      <c r="D136" s="149">
        <v>20</v>
      </c>
      <c r="E136" s="4" t="str">
        <f>VLOOKUP(C136,Master!$B$6:$N$1000,9,FALSE)</f>
        <v>gr</v>
      </c>
      <c r="F136" s="144">
        <f>VLOOKUP(C136,Master!$B$7:$N$1000,10,FALSE)</f>
        <v>86</v>
      </c>
      <c r="G136" s="150">
        <f t="shared" si="16"/>
        <v>1720</v>
      </c>
      <c r="H136" s="81"/>
      <c r="I136" s="121"/>
      <c r="J136" s="145"/>
      <c r="K136" s="121"/>
      <c r="L136" s="177"/>
    </row>
    <row r="137" spans="1:12" ht="13">
      <c r="A137" s="4"/>
      <c r="B137" s="4"/>
      <c r="C137" s="145"/>
      <c r="D137" s="146"/>
      <c r="E137" s="4"/>
      <c r="F137" s="144"/>
      <c r="G137" s="144"/>
      <c r="H137" s="81"/>
      <c r="I137" s="121"/>
      <c r="J137" s="145"/>
      <c r="K137" s="121"/>
      <c r="L137" s="177"/>
    </row>
    <row r="138" spans="1:12" ht="13">
      <c r="A138" s="90"/>
      <c r="B138" s="4"/>
      <c r="C138" s="151"/>
      <c r="D138" s="149"/>
      <c r="E138" s="4"/>
      <c r="F138" s="144"/>
      <c r="G138" s="150"/>
      <c r="H138" s="178"/>
      <c r="I138" s="107"/>
      <c r="J138" s="151"/>
      <c r="K138" s="107"/>
      <c r="L138" s="179"/>
    </row>
    <row r="139" spans="1:12" ht="13">
      <c r="A139" s="175">
        <v>17</v>
      </c>
      <c r="B139" s="135" t="s">
        <v>26</v>
      </c>
      <c r="C139" s="136"/>
      <c r="D139" s="180">
        <f>SUM(D140:D144)</f>
        <v>210</v>
      </c>
      <c r="E139" s="181" t="str">
        <f>VLOOKUP(B139,Master!B7:N340,9,FALSE)</f>
        <v>ml</v>
      </c>
      <c r="F139" s="136"/>
      <c r="G139" s="138">
        <f>SUM(G140:G144)</f>
        <v>3218.2692307692309</v>
      </c>
      <c r="H139" s="139">
        <v>0.1</v>
      </c>
      <c r="I139" s="138">
        <f>G139+(G139*H139)</f>
        <v>3540.0961538461543</v>
      </c>
      <c r="J139" s="180">
        <v>11</v>
      </c>
      <c r="K139" s="138">
        <f>I139/J139</f>
        <v>321.82692307692309</v>
      </c>
      <c r="L139" s="168">
        <f>D139/J139</f>
        <v>19.09090909090909</v>
      </c>
    </row>
    <row r="140" spans="1:12" ht="13">
      <c r="A140" s="4"/>
      <c r="B140" s="4"/>
      <c r="C140" s="4" t="s">
        <v>651</v>
      </c>
      <c r="D140" s="166">
        <v>100</v>
      </c>
      <c r="E140" s="4" t="str">
        <f>VLOOKUP(C140,Master!$B$6:$N$1000,9,FALSE)</f>
        <v>gr</v>
      </c>
      <c r="F140" s="144">
        <f>VLOOKUP(C140,Master!$B$7:$N$1000,10,FALSE)</f>
        <v>18</v>
      </c>
      <c r="G140" s="144">
        <f t="shared" ref="G140:G143" si="17">D140*F140</f>
        <v>1800</v>
      </c>
      <c r="H140" s="4"/>
      <c r="I140" s="4"/>
      <c r="J140" s="4"/>
      <c r="K140" s="4"/>
      <c r="L140" s="4"/>
    </row>
    <row r="141" spans="1:12" ht="13">
      <c r="A141" s="4"/>
      <c r="B141" s="4"/>
      <c r="C141" s="4" t="s">
        <v>827</v>
      </c>
      <c r="D141" s="166">
        <v>100</v>
      </c>
      <c r="E141" s="4" t="str">
        <f>VLOOKUP(C141,Master!$B$6:$N$1000,9,FALSE)</f>
        <v>gr</v>
      </c>
      <c r="F141" s="144">
        <f>VLOOKUP(C141,Master!$B$7:$N$1000,10,FALSE)</f>
        <v>12</v>
      </c>
      <c r="G141" s="144">
        <f t="shared" si="17"/>
        <v>1200</v>
      </c>
      <c r="H141" s="4"/>
      <c r="I141" s="4"/>
      <c r="J141" s="4"/>
      <c r="K141" s="4"/>
      <c r="L141" s="4"/>
    </row>
    <row r="142" spans="1:12" ht="13">
      <c r="A142" s="4"/>
      <c r="B142" s="4"/>
      <c r="C142" s="145" t="s">
        <v>2033</v>
      </c>
      <c r="D142" s="146">
        <v>5</v>
      </c>
      <c r="E142" s="4" t="str">
        <f>VLOOKUP(C142,Master!$B$6:$N$1000,9,FALSE)</f>
        <v>ml</v>
      </c>
      <c r="F142" s="144">
        <f>VLOOKUP(C142,Master!$B$7:$N$1000,10,FALSE)</f>
        <v>26.153846153846153</v>
      </c>
      <c r="G142" s="144">
        <f t="shared" si="17"/>
        <v>130.76923076923077</v>
      </c>
      <c r="H142" s="81"/>
      <c r="I142" s="121"/>
      <c r="J142" s="145"/>
      <c r="K142" s="121"/>
      <c r="L142" s="177"/>
    </row>
    <row r="143" spans="1:12" ht="13">
      <c r="A143" s="4"/>
      <c r="B143" s="4"/>
      <c r="C143" s="145" t="s">
        <v>1980</v>
      </c>
      <c r="D143" s="146">
        <v>5</v>
      </c>
      <c r="E143" s="4" t="str">
        <f>VLOOKUP(C143,Master!$B$6:$N$1000,9,FALSE)</f>
        <v>gr</v>
      </c>
      <c r="F143" s="144">
        <f>VLOOKUP(C143,Master!$B$7:$N$1000,10,FALSE)</f>
        <v>17.5</v>
      </c>
      <c r="G143" s="144">
        <f t="shared" si="17"/>
        <v>87.5</v>
      </c>
      <c r="H143" s="81"/>
      <c r="I143" s="121"/>
      <c r="J143" s="145"/>
      <c r="K143" s="121"/>
      <c r="L143" s="177"/>
    </row>
    <row r="144" spans="1:12" ht="13">
      <c r="A144" s="90"/>
      <c r="B144" s="4"/>
      <c r="C144" s="151"/>
      <c r="D144" s="149"/>
      <c r="E144" s="90"/>
      <c r="F144" s="150"/>
      <c r="G144" s="150"/>
      <c r="H144" s="178"/>
      <c r="I144" s="107"/>
      <c r="J144" s="151"/>
      <c r="K144" s="107"/>
      <c r="L144" s="179"/>
    </row>
    <row r="145" spans="1:12" ht="13">
      <c r="A145" s="175">
        <v>18</v>
      </c>
      <c r="B145" s="135" t="s">
        <v>42</v>
      </c>
      <c r="C145" s="136"/>
      <c r="D145" s="180">
        <f>SUM(D146:D147)</f>
        <v>1060</v>
      </c>
      <c r="E145" s="135" t="s">
        <v>30</v>
      </c>
      <c r="F145" s="136"/>
      <c r="G145" s="138">
        <f>SUM(G146:G147)</f>
        <v>40973.333333333336</v>
      </c>
      <c r="H145" s="139">
        <v>0.1</v>
      </c>
      <c r="I145" s="138">
        <f>G145+(G145*H145)</f>
        <v>45070.666666666672</v>
      </c>
      <c r="J145" s="180">
        <v>100</v>
      </c>
      <c r="K145" s="138">
        <f>I145/J145</f>
        <v>450.70666666666671</v>
      </c>
      <c r="L145" s="168">
        <f>D145/J145</f>
        <v>10.6</v>
      </c>
    </row>
    <row r="146" spans="1:12" ht="13">
      <c r="A146" s="4"/>
      <c r="B146" s="4"/>
      <c r="C146" s="145" t="s">
        <v>712</v>
      </c>
      <c r="D146" s="146">
        <v>1000</v>
      </c>
      <c r="E146" s="4" t="str">
        <f>VLOOKUP(C146,Master!$B$6:$N$1000,9,FALSE)</f>
        <v>gr</v>
      </c>
      <c r="F146" s="144">
        <f>VLOOKUP(C146,Master!$B$7:$N$1000,10,FALSE)</f>
        <v>40</v>
      </c>
      <c r="G146" s="144">
        <f t="shared" ref="G146:G147" si="18">D146*F146</f>
        <v>40000</v>
      </c>
      <c r="H146" s="81"/>
      <c r="I146" s="121"/>
      <c r="J146" s="145"/>
      <c r="K146" s="121"/>
      <c r="L146" s="177"/>
    </row>
    <row r="147" spans="1:12" ht="13">
      <c r="A147" s="90"/>
      <c r="B147" s="90"/>
      <c r="C147" s="151" t="s">
        <v>1988</v>
      </c>
      <c r="D147" s="149">
        <v>60</v>
      </c>
      <c r="E147" s="4" t="str">
        <f>VLOOKUP(C147,Master!$B$6:$N$1000,9,FALSE)</f>
        <v>ml</v>
      </c>
      <c r="F147" s="144">
        <f>VLOOKUP(C147,Master!$B$7:$N$1000,10,FALSE)</f>
        <v>16.222222222222221</v>
      </c>
      <c r="G147" s="150">
        <f t="shared" si="18"/>
        <v>973.33333333333326</v>
      </c>
      <c r="H147" s="178"/>
      <c r="I147" s="107"/>
      <c r="J147" s="151"/>
      <c r="K147" s="107"/>
      <c r="L147" s="179"/>
    </row>
    <row r="148" spans="1:12" ht="13">
      <c r="A148" s="182">
        <v>19</v>
      </c>
      <c r="B148" s="135" t="s">
        <v>136</v>
      </c>
      <c r="C148" s="136"/>
      <c r="D148" s="180">
        <f>SUM(D149:D150)</f>
        <v>111</v>
      </c>
      <c r="E148" s="135" t="str">
        <f>VLOOKUP(B148,Master!B12:N349,9,FALSE)</f>
        <v>gr</v>
      </c>
      <c r="F148" s="136"/>
      <c r="G148" s="138">
        <f>SUM(G149:G150)</f>
        <v>291.81578947368422</v>
      </c>
      <c r="H148" s="139">
        <v>0.1</v>
      </c>
      <c r="I148" s="138">
        <f>G148+(G148*H148)</f>
        <v>320.99736842105267</v>
      </c>
      <c r="J148" s="180">
        <v>1</v>
      </c>
      <c r="K148" s="138">
        <f>I148/J148</f>
        <v>320.99736842105267</v>
      </c>
      <c r="L148" s="168">
        <f>D148/J148</f>
        <v>111</v>
      </c>
    </row>
    <row r="149" spans="1:12" ht="13">
      <c r="A149" s="4"/>
      <c r="B149" s="4"/>
      <c r="C149" s="145" t="s">
        <v>1002</v>
      </c>
      <c r="D149" s="146">
        <v>11</v>
      </c>
      <c r="E149" s="4" t="str">
        <f>VLOOKUP(C149,Master!$B$6:$N$1000,9,FALSE)</f>
        <v>gr</v>
      </c>
      <c r="F149" s="144">
        <f>VLOOKUP(C149,Master!$B$7:$N$1000,10,FALSE)</f>
        <v>20.5</v>
      </c>
      <c r="G149" s="144">
        <f t="shared" ref="G149:G150" si="19">D149*F149</f>
        <v>225.5</v>
      </c>
      <c r="H149" s="81"/>
      <c r="I149" s="121"/>
      <c r="J149" s="145"/>
      <c r="K149" s="121"/>
      <c r="L149" s="177"/>
    </row>
    <row r="150" spans="1:12" ht="13">
      <c r="A150" s="90"/>
      <c r="B150" s="90"/>
      <c r="C150" s="151" t="s">
        <v>2052</v>
      </c>
      <c r="D150" s="149">
        <v>100</v>
      </c>
      <c r="E150" s="4" t="str">
        <f>VLOOKUP(C150,Master!$B$6:$N$1000,9,FALSE)</f>
        <v>ml</v>
      </c>
      <c r="F150" s="144">
        <f>VLOOKUP(C150,Master!$B$7:$N$1000,10,FALSE)</f>
        <v>0.66315789473684206</v>
      </c>
      <c r="G150" s="150">
        <f t="shared" si="19"/>
        <v>66.315789473684205</v>
      </c>
      <c r="H150" s="178"/>
      <c r="I150" s="107"/>
      <c r="J150" s="151"/>
      <c r="K150" s="107"/>
      <c r="L150" s="179"/>
    </row>
    <row r="151" spans="1:12" ht="13">
      <c r="A151" s="183">
        <v>20</v>
      </c>
      <c r="B151" s="135" t="s">
        <v>416</v>
      </c>
      <c r="C151" s="136"/>
      <c r="D151" s="180">
        <f>SUM(D152:D168)</f>
        <v>935</v>
      </c>
      <c r="E151" s="135">
        <f>VLOOKUP(B151,Master!$B$7:$N$316,7,FALSE)</f>
        <v>0</v>
      </c>
      <c r="F151" s="136"/>
      <c r="G151" s="138">
        <f>SUM(G152:G168)</f>
        <v>26032.973684210527</v>
      </c>
      <c r="H151" s="139">
        <v>0.1</v>
      </c>
      <c r="I151" s="138">
        <f>G151+(G151*H151)</f>
        <v>28636.271052631579</v>
      </c>
      <c r="J151" s="180">
        <v>25</v>
      </c>
      <c r="K151" s="138">
        <f>I151/J151</f>
        <v>1145.4508421052631</v>
      </c>
      <c r="L151" s="168">
        <f>D151/J151</f>
        <v>37.4</v>
      </c>
    </row>
    <row r="152" spans="1:12" ht="13">
      <c r="A152" s="4"/>
      <c r="B152" s="4"/>
      <c r="C152" s="4" t="s">
        <v>1136</v>
      </c>
      <c r="D152" s="166">
        <v>250</v>
      </c>
      <c r="E152" s="4" t="str">
        <f>VLOOKUP(C152,Master!$B$6:$N$1000,9,FALSE)</f>
        <v>gr</v>
      </c>
      <c r="F152" s="144">
        <f>VLOOKUP(C152,Master!$B$7:$N$1000,10,FALSE)</f>
        <v>27</v>
      </c>
      <c r="G152" s="144">
        <f t="shared" ref="G152:G166" si="20">D152*F152</f>
        <v>6750</v>
      </c>
      <c r="H152" s="4"/>
      <c r="I152" s="4"/>
      <c r="J152" s="4"/>
      <c r="K152" s="4"/>
      <c r="L152" s="4"/>
    </row>
    <row r="153" spans="1:12" ht="13">
      <c r="A153" s="4"/>
      <c r="B153" s="4"/>
      <c r="C153" s="4" t="s">
        <v>1138</v>
      </c>
      <c r="D153" s="166">
        <v>150</v>
      </c>
      <c r="E153" s="4" t="str">
        <f>VLOOKUP(C153,Master!$B$6:$N$1000,9,FALSE)</f>
        <v>gr</v>
      </c>
      <c r="F153" s="144">
        <f>VLOOKUP(C153,Master!$B$7:$N$1000,10,FALSE)</f>
        <v>42</v>
      </c>
      <c r="G153" s="144">
        <f t="shared" si="20"/>
        <v>6300</v>
      </c>
      <c r="H153" s="4"/>
      <c r="I153" s="4"/>
      <c r="J153" s="4"/>
      <c r="K153" s="4"/>
      <c r="L153" s="4"/>
    </row>
    <row r="154" spans="1:12" ht="13">
      <c r="A154" s="4"/>
      <c r="B154" s="4"/>
      <c r="C154" s="4" t="s">
        <v>1064</v>
      </c>
      <c r="D154" s="166">
        <v>100</v>
      </c>
      <c r="E154" s="4" t="str">
        <f>VLOOKUP(C154,Master!$B$6:$N$1000,9,FALSE)</f>
        <v>gr</v>
      </c>
      <c r="F154" s="144">
        <f>VLOOKUP(C154,Master!$B$7:$N$1000,10,FALSE)</f>
        <v>37.700000000000003</v>
      </c>
      <c r="G154" s="144">
        <f t="shared" si="20"/>
        <v>3770.0000000000005</v>
      </c>
      <c r="H154" s="4"/>
      <c r="I154" s="4"/>
      <c r="J154" s="4"/>
      <c r="K154" s="4"/>
      <c r="L154" s="4"/>
    </row>
    <row r="155" spans="1:12" ht="13">
      <c r="A155" s="4"/>
      <c r="B155" s="4"/>
      <c r="C155" s="4" t="s">
        <v>712</v>
      </c>
      <c r="D155" s="166">
        <v>150</v>
      </c>
      <c r="E155" s="4" t="str">
        <f>VLOOKUP(C155,Master!$B$6:$N$1000,9,FALSE)</f>
        <v>gr</v>
      </c>
      <c r="F155" s="144">
        <f>VLOOKUP(C155,Master!$B$7:$N$1000,10,FALSE)</f>
        <v>40</v>
      </c>
      <c r="G155" s="144">
        <f t="shared" si="20"/>
        <v>6000</v>
      </c>
      <c r="H155" s="4"/>
      <c r="I155" s="4"/>
      <c r="J155" s="4"/>
      <c r="K155" s="4"/>
      <c r="L155" s="4"/>
    </row>
    <row r="156" spans="1:12" ht="13">
      <c r="A156" s="4"/>
      <c r="B156" s="4"/>
      <c r="C156" s="4" t="s">
        <v>901</v>
      </c>
      <c r="D156" s="166">
        <v>5</v>
      </c>
      <c r="E156" s="4" t="str">
        <f>VLOOKUP(C156,Master!$B$6:$N$1000,9,FALSE)</f>
        <v>gr</v>
      </c>
      <c r="F156" s="144">
        <f>VLOOKUP(C156,Master!$B$7:$N$1000,10,FALSE)</f>
        <v>12</v>
      </c>
      <c r="G156" s="144">
        <f t="shared" si="20"/>
        <v>60</v>
      </c>
      <c r="H156" s="4"/>
      <c r="I156" s="4"/>
      <c r="J156" s="4"/>
      <c r="K156" s="4"/>
      <c r="L156" s="4"/>
    </row>
    <row r="157" spans="1:12" ht="13">
      <c r="A157" s="4"/>
      <c r="B157" s="4"/>
      <c r="C157" s="4" t="s">
        <v>898</v>
      </c>
      <c r="D157" s="166">
        <v>5</v>
      </c>
      <c r="E157" s="4" t="str">
        <f>VLOOKUP(C157,Master!$B$6:$N$1000,9,FALSE)</f>
        <v>gr</v>
      </c>
      <c r="F157" s="144">
        <f>VLOOKUP(C157,Master!$B$7:$N$1000,10,FALSE)</f>
        <v>64.2</v>
      </c>
      <c r="G157" s="144">
        <f t="shared" si="20"/>
        <v>321</v>
      </c>
      <c r="H157" s="4"/>
      <c r="I157" s="4"/>
      <c r="J157" s="4"/>
      <c r="K157" s="4"/>
      <c r="L157" s="4"/>
    </row>
    <row r="158" spans="1:12" ht="13">
      <c r="A158" s="4"/>
      <c r="B158" s="4"/>
      <c r="C158" s="4" t="s">
        <v>815</v>
      </c>
      <c r="D158" s="166">
        <v>30</v>
      </c>
      <c r="E158" s="4" t="str">
        <f>VLOOKUP(C158,Master!$B$6:$N$1000,9,FALSE)</f>
        <v>gr</v>
      </c>
      <c r="F158" s="144">
        <f>VLOOKUP(C158,Master!$B$7:$N$1000,10,FALSE)</f>
        <v>12</v>
      </c>
      <c r="G158" s="144">
        <f t="shared" si="20"/>
        <v>360</v>
      </c>
      <c r="H158" s="4"/>
      <c r="I158" s="4"/>
      <c r="J158" s="4"/>
      <c r="K158" s="4"/>
      <c r="L158" s="4"/>
    </row>
    <row r="159" spans="1:12" ht="13">
      <c r="A159" s="4"/>
      <c r="B159" s="4"/>
      <c r="C159" s="4" t="s">
        <v>1152</v>
      </c>
      <c r="D159" s="166">
        <v>50</v>
      </c>
      <c r="E159" s="4" t="str">
        <f>VLOOKUP(C159,Master!$B$6:$N$1000,9,FALSE)</f>
        <v>gr</v>
      </c>
      <c r="F159" s="144">
        <f>VLOOKUP(C159,Master!$B$7:$N$1000,10,FALSE)</f>
        <v>13</v>
      </c>
      <c r="G159" s="144">
        <f t="shared" si="20"/>
        <v>650</v>
      </c>
      <c r="H159" s="4"/>
      <c r="I159" s="4"/>
      <c r="J159" s="4"/>
      <c r="K159" s="4"/>
      <c r="L159" s="4"/>
    </row>
    <row r="160" spans="1:12" ht="13">
      <c r="A160" s="4"/>
      <c r="B160" s="4"/>
      <c r="C160" s="4" t="s">
        <v>1980</v>
      </c>
      <c r="D160" s="166">
        <v>10</v>
      </c>
      <c r="E160" s="4" t="str">
        <f>VLOOKUP(C160,Master!$B$6:$N$1000,9,FALSE)</f>
        <v>gr</v>
      </c>
      <c r="F160" s="144">
        <f>VLOOKUP(C160,Master!$B$7:$N$1000,10,FALSE)</f>
        <v>17.5</v>
      </c>
      <c r="G160" s="144">
        <f t="shared" si="20"/>
        <v>175</v>
      </c>
      <c r="H160" s="4"/>
      <c r="I160" s="4"/>
      <c r="J160" s="4"/>
      <c r="K160" s="4"/>
      <c r="L160" s="4"/>
    </row>
    <row r="161" spans="1:12" ht="13">
      <c r="A161" s="4"/>
      <c r="B161" s="4"/>
      <c r="C161" s="4" t="s">
        <v>1000</v>
      </c>
      <c r="D161" s="166">
        <v>10</v>
      </c>
      <c r="E161" s="4" t="str">
        <f>VLOOKUP(C161,Master!$B$6:$N$1000,9,FALSE)</f>
        <v>gr</v>
      </c>
      <c r="F161" s="144">
        <f>VLOOKUP(C161,Master!$B$7:$N$1000,10,FALSE)</f>
        <v>44.5</v>
      </c>
      <c r="G161" s="144">
        <f t="shared" si="20"/>
        <v>445</v>
      </c>
      <c r="H161" s="4"/>
      <c r="I161" s="4"/>
      <c r="J161" s="4"/>
      <c r="K161" s="4"/>
      <c r="L161" s="4"/>
    </row>
    <row r="162" spans="1:12" ht="13">
      <c r="A162" s="4"/>
      <c r="B162" s="4"/>
      <c r="C162" s="4" t="s">
        <v>764</v>
      </c>
      <c r="D162" s="166">
        <v>5</v>
      </c>
      <c r="E162" s="4" t="str">
        <f>VLOOKUP(C162,Master!$B$6:$N$1000,9,FALSE)</f>
        <v>gr</v>
      </c>
      <c r="F162" s="144">
        <f>VLOOKUP(C162,Master!$B$7:$N$1000,10,FALSE)</f>
        <v>15</v>
      </c>
      <c r="G162" s="144">
        <f t="shared" si="20"/>
        <v>75</v>
      </c>
      <c r="H162" s="4"/>
      <c r="I162" s="4"/>
      <c r="J162" s="4"/>
      <c r="K162" s="4"/>
      <c r="L162" s="4"/>
    </row>
    <row r="163" spans="1:12" ht="13">
      <c r="A163" s="4"/>
      <c r="B163" s="4"/>
      <c r="C163" s="4" t="s">
        <v>2043</v>
      </c>
      <c r="D163" s="166">
        <v>15</v>
      </c>
      <c r="E163" s="4" t="str">
        <f>VLOOKUP(C163,Master!$B$6:$N$1000,9,FALSE)</f>
        <v>gr</v>
      </c>
      <c r="F163" s="144">
        <f>VLOOKUP(C163,Master!$B$7:$N$1000,10,FALSE)</f>
        <v>38.5</v>
      </c>
      <c r="G163" s="144">
        <f t="shared" si="20"/>
        <v>577.5</v>
      </c>
      <c r="H163" s="4"/>
      <c r="I163" s="4"/>
      <c r="J163" s="4"/>
      <c r="K163" s="4"/>
      <c r="L163" s="4"/>
    </row>
    <row r="164" spans="1:12" ht="13">
      <c r="A164" s="4"/>
      <c r="B164" s="4"/>
      <c r="C164" s="145" t="s">
        <v>799</v>
      </c>
      <c r="D164" s="146">
        <v>5</v>
      </c>
      <c r="E164" s="4" t="str">
        <f>VLOOKUP(C164,Master!$B$6:$N$1000,9,FALSE)</f>
        <v>gr</v>
      </c>
      <c r="F164" s="144">
        <f>VLOOKUP(C164,Master!$B$7:$N$1000,10,FALSE)</f>
        <v>90</v>
      </c>
      <c r="G164" s="144">
        <f t="shared" si="20"/>
        <v>450</v>
      </c>
      <c r="H164" s="4"/>
      <c r="I164" s="4"/>
      <c r="J164" s="4"/>
      <c r="K164" s="4"/>
      <c r="L164" s="4"/>
    </row>
    <row r="165" spans="1:12" ht="13">
      <c r="A165" s="4"/>
      <c r="B165" s="4"/>
      <c r="C165" s="145" t="s">
        <v>2052</v>
      </c>
      <c r="D165" s="146">
        <v>150</v>
      </c>
      <c r="E165" s="4" t="str">
        <f>VLOOKUP(C165,Master!$B$6:$N$1000,9,FALSE)</f>
        <v>ml</v>
      </c>
      <c r="F165" s="144">
        <f>VLOOKUP(C165,Master!$B$7:$N$1000,10,FALSE)</f>
        <v>0.66315789473684206</v>
      </c>
      <c r="G165" s="144">
        <f t="shared" si="20"/>
        <v>99.473684210526315</v>
      </c>
      <c r="H165" s="4"/>
      <c r="I165" s="4"/>
      <c r="J165" s="4"/>
      <c r="K165" s="4"/>
      <c r="L165" s="4"/>
    </row>
    <row r="166" spans="1:12" ht="13">
      <c r="A166" s="4"/>
      <c r="B166" s="4"/>
      <c r="C166" s="151" t="s">
        <v>1988</v>
      </c>
      <c r="D166" s="149">
        <v>0</v>
      </c>
      <c r="E166" s="4" t="str">
        <f>VLOOKUP(C166,Master!$B$6:$N$1000,9,FALSE)</f>
        <v>ml</v>
      </c>
      <c r="F166" s="144">
        <f>VLOOKUP(C166,Master!$B$7:$N$1000,10,FALSE)</f>
        <v>16.222222222222221</v>
      </c>
      <c r="G166" s="150">
        <f t="shared" si="20"/>
        <v>0</v>
      </c>
      <c r="H166" s="81"/>
      <c r="I166" s="121"/>
      <c r="J166" s="145"/>
      <c r="K166" s="121"/>
      <c r="L166" s="177"/>
    </row>
    <row r="167" spans="1:12" ht="13">
      <c r="A167" s="4"/>
      <c r="B167" s="4"/>
      <c r="C167" s="151"/>
      <c r="D167" s="149"/>
      <c r="E167" s="4"/>
      <c r="F167" s="144"/>
      <c r="G167" s="150"/>
      <c r="H167" s="81"/>
      <c r="I167" s="121"/>
      <c r="J167" s="145"/>
      <c r="K167" s="121"/>
      <c r="L167" s="177"/>
    </row>
    <row r="168" spans="1:12" ht="13">
      <c r="A168" s="90"/>
      <c r="B168" s="90"/>
      <c r="C168" s="151"/>
      <c r="D168" s="149"/>
      <c r="E168" s="4"/>
      <c r="F168" s="144"/>
      <c r="G168" s="150"/>
      <c r="H168" s="178"/>
      <c r="I168" s="107"/>
      <c r="J168" s="151"/>
      <c r="K168" s="107"/>
      <c r="L168" s="179"/>
    </row>
    <row r="169" spans="1:12" ht="13">
      <c r="A169" s="182">
        <v>21</v>
      </c>
      <c r="B169" s="135" t="s">
        <v>412</v>
      </c>
      <c r="C169" s="136"/>
      <c r="D169" s="180">
        <f>SUM(D170:D186)</f>
        <v>1229</v>
      </c>
      <c r="E169" s="135">
        <f>VLOOKUP(B169,Master!$B$7:$N$316,7,FALSE)</f>
        <v>0</v>
      </c>
      <c r="F169" s="136"/>
      <c r="G169" s="138">
        <f>SUM(G170:G186)</f>
        <v>38472.12222222222</v>
      </c>
      <c r="H169" s="139">
        <v>0.1</v>
      </c>
      <c r="I169" s="138">
        <f>G169+(G169*H169)</f>
        <v>42319.334444444445</v>
      </c>
      <c r="J169" s="180">
        <v>40</v>
      </c>
      <c r="K169" s="138">
        <f>I169/J169</f>
        <v>1057.9833611111112</v>
      </c>
      <c r="L169" s="168">
        <f>D169/J169</f>
        <v>30.725000000000001</v>
      </c>
    </row>
    <row r="170" spans="1:12" ht="13">
      <c r="A170" s="4"/>
      <c r="B170" s="4"/>
      <c r="C170" s="4" t="s">
        <v>1134</v>
      </c>
      <c r="D170" s="166">
        <v>250</v>
      </c>
      <c r="E170" s="4" t="str">
        <f>VLOOKUP(C170,Master!$B$6:$N$1000,9,FALSE)</f>
        <v>gr</v>
      </c>
      <c r="F170" s="144">
        <f>VLOOKUP(C170,Master!$B$7:$N$1000,10,FALSE)</f>
        <v>40</v>
      </c>
      <c r="G170" s="144">
        <f t="shared" ref="G170:G186" si="21">D170*F170</f>
        <v>10000</v>
      </c>
      <c r="H170" s="4"/>
      <c r="I170" s="4"/>
      <c r="J170" s="4"/>
      <c r="K170" s="4"/>
      <c r="L170" s="4"/>
    </row>
    <row r="171" spans="1:12" ht="13">
      <c r="A171" s="4"/>
      <c r="B171" s="4"/>
      <c r="C171" s="4" t="s">
        <v>671</v>
      </c>
      <c r="D171" s="166">
        <v>150</v>
      </c>
      <c r="E171" s="4" t="str">
        <f>VLOOKUP(C171,Master!$B$6:$N$1000,9,FALSE)</f>
        <v>gr</v>
      </c>
      <c r="F171" s="144">
        <f>VLOOKUP(C171,Master!$B$7:$N$1000,10,FALSE)</f>
        <v>50</v>
      </c>
      <c r="G171" s="144">
        <f t="shared" si="21"/>
        <v>7500</v>
      </c>
      <c r="H171" s="4"/>
      <c r="I171" s="4"/>
      <c r="J171" s="4"/>
      <c r="K171" s="4"/>
      <c r="L171" s="4"/>
    </row>
    <row r="172" spans="1:12" ht="13">
      <c r="A172" s="4"/>
      <c r="B172" s="4"/>
      <c r="C172" s="4" t="s">
        <v>1064</v>
      </c>
      <c r="D172" s="166">
        <v>150</v>
      </c>
      <c r="E172" s="4" t="str">
        <f>VLOOKUP(C172,Master!$B$6:$N$1000,9,FALSE)</f>
        <v>gr</v>
      </c>
      <c r="F172" s="144">
        <f>VLOOKUP(C172,Master!$B$7:$N$1000,10,FALSE)</f>
        <v>37.700000000000003</v>
      </c>
      <c r="G172" s="144">
        <f t="shared" si="21"/>
        <v>5655</v>
      </c>
      <c r="H172" s="4"/>
      <c r="I172" s="4"/>
      <c r="J172" s="4"/>
      <c r="K172" s="4"/>
      <c r="L172" s="4"/>
    </row>
    <row r="173" spans="1:12" ht="13">
      <c r="A173" s="4"/>
      <c r="B173" s="4"/>
      <c r="C173" s="4" t="s">
        <v>712</v>
      </c>
      <c r="D173" s="166">
        <v>100</v>
      </c>
      <c r="E173" s="4" t="str">
        <f>VLOOKUP(C173,Master!$B$6:$N$1000,9,FALSE)</f>
        <v>gr</v>
      </c>
      <c r="F173" s="144">
        <f>VLOOKUP(C173,Master!$B$7:$N$1000,10,FALSE)</f>
        <v>40</v>
      </c>
      <c r="G173" s="144">
        <f t="shared" si="21"/>
        <v>4000</v>
      </c>
      <c r="H173" s="4"/>
      <c r="I173" s="4"/>
      <c r="J173" s="4"/>
      <c r="K173" s="4"/>
      <c r="L173" s="4"/>
    </row>
    <row r="174" spans="1:12" ht="13">
      <c r="A174" s="4"/>
      <c r="B174" s="4"/>
      <c r="C174" s="4" t="s">
        <v>1074</v>
      </c>
      <c r="D174" s="166">
        <v>250</v>
      </c>
      <c r="E174" s="4" t="str">
        <f>VLOOKUP(C174,Master!$B$6:$N$1000,9,FALSE)</f>
        <v>gr</v>
      </c>
      <c r="F174" s="144">
        <f>VLOOKUP(C174,Master!$B$7:$N$1000,10,FALSE)</f>
        <v>16.5</v>
      </c>
      <c r="G174" s="144">
        <f t="shared" si="21"/>
        <v>4125</v>
      </c>
      <c r="H174" s="4"/>
      <c r="I174" s="4"/>
      <c r="J174" s="4"/>
      <c r="K174" s="4"/>
      <c r="L174" s="4"/>
    </row>
    <row r="175" spans="1:12" ht="13">
      <c r="A175" s="4"/>
      <c r="B175" s="4"/>
      <c r="C175" s="4" t="s">
        <v>901</v>
      </c>
      <c r="D175" s="166">
        <v>2</v>
      </c>
      <c r="E175" s="4" t="str">
        <f>VLOOKUP(C175,Master!$B$6:$N$1000,9,FALSE)</f>
        <v>gr</v>
      </c>
      <c r="F175" s="144">
        <f>VLOOKUP(C175,Master!$B$7:$N$1000,10,FALSE)</f>
        <v>12</v>
      </c>
      <c r="G175" s="144">
        <f t="shared" si="21"/>
        <v>24</v>
      </c>
      <c r="H175" s="4"/>
      <c r="I175" s="4"/>
      <c r="J175" s="4"/>
      <c r="K175" s="4"/>
      <c r="L175" s="4"/>
    </row>
    <row r="176" spans="1:12" ht="13">
      <c r="A176" s="4"/>
      <c r="B176" s="4"/>
      <c r="C176" s="4" t="s">
        <v>898</v>
      </c>
      <c r="D176" s="166">
        <v>2</v>
      </c>
      <c r="E176" s="4" t="str">
        <f>VLOOKUP(C176,Master!$B$6:$N$1000,9,FALSE)</f>
        <v>gr</v>
      </c>
      <c r="F176" s="144">
        <f>VLOOKUP(C176,Master!$B$7:$N$1000,10,FALSE)</f>
        <v>64.2</v>
      </c>
      <c r="G176" s="144">
        <f t="shared" si="21"/>
        <v>128.4</v>
      </c>
      <c r="H176" s="4"/>
      <c r="I176" s="4"/>
      <c r="J176" s="4"/>
      <c r="K176" s="4"/>
      <c r="L176" s="4"/>
    </row>
    <row r="177" spans="1:12" ht="13">
      <c r="A177" s="4"/>
      <c r="B177" s="4"/>
      <c r="C177" s="4" t="s">
        <v>815</v>
      </c>
      <c r="D177" s="166">
        <v>30</v>
      </c>
      <c r="E177" s="4" t="str">
        <f>VLOOKUP(C177,Master!$B$6:$N$1000,9,FALSE)</f>
        <v>gr</v>
      </c>
      <c r="F177" s="144">
        <f>VLOOKUP(C177,Master!$B$7:$N$1000,10,FALSE)</f>
        <v>12</v>
      </c>
      <c r="G177" s="144">
        <f t="shared" si="21"/>
        <v>360</v>
      </c>
      <c r="H177" s="4"/>
      <c r="I177" s="4"/>
      <c r="J177" s="4"/>
      <c r="K177" s="4"/>
      <c r="L177" s="4"/>
    </row>
    <row r="178" spans="1:12" ht="13">
      <c r="A178" s="4"/>
      <c r="B178" s="4"/>
      <c r="C178" s="4" t="s">
        <v>1152</v>
      </c>
      <c r="D178" s="166">
        <v>100</v>
      </c>
      <c r="E178" s="4" t="str">
        <f>VLOOKUP(C178,Master!$B$6:$N$1000,9,FALSE)</f>
        <v>gr</v>
      </c>
      <c r="F178" s="144">
        <f>VLOOKUP(C178,Master!$B$7:$N$1000,10,FALSE)</f>
        <v>13</v>
      </c>
      <c r="G178" s="144">
        <f t="shared" si="21"/>
        <v>1300</v>
      </c>
      <c r="H178" s="4"/>
      <c r="I178" s="4"/>
      <c r="J178" s="4"/>
      <c r="K178" s="4"/>
      <c r="L178" s="4"/>
    </row>
    <row r="179" spans="1:12" ht="13">
      <c r="A179" s="4"/>
      <c r="B179" s="4"/>
      <c r="C179" s="4" t="s">
        <v>643</v>
      </c>
      <c r="D179" s="166">
        <v>0</v>
      </c>
      <c r="E179" s="4" t="str">
        <f>VLOOKUP(C179,Master!$B$6:$N$1000,9,FALSE)</f>
        <v>gr</v>
      </c>
      <c r="F179" s="144">
        <f>VLOOKUP(C179,Master!$B$7:$N$1000,10,FALSE)</f>
        <v>17</v>
      </c>
      <c r="G179" s="144">
        <f t="shared" si="21"/>
        <v>0</v>
      </c>
      <c r="H179" s="4"/>
      <c r="I179" s="4"/>
      <c r="J179" s="4"/>
      <c r="K179" s="4"/>
      <c r="L179" s="4"/>
    </row>
    <row r="180" spans="1:12" ht="13">
      <c r="A180" s="4"/>
      <c r="B180" s="4"/>
      <c r="C180" s="4" t="s">
        <v>1980</v>
      </c>
      <c r="D180" s="166">
        <v>25</v>
      </c>
      <c r="E180" s="4" t="str">
        <f>VLOOKUP(C180,Master!$B$6:$N$1000,9,FALSE)</f>
        <v>gr</v>
      </c>
      <c r="F180" s="144">
        <f>VLOOKUP(C180,Master!$B$7:$N$1000,10,FALSE)</f>
        <v>17.5</v>
      </c>
      <c r="G180" s="144">
        <f t="shared" si="21"/>
        <v>437.5</v>
      </c>
      <c r="H180" s="4"/>
      <c r="I180" s="4"/>
      <c r="J180" s="4"/>
      <c r="K180" s="4"/>
      <c r="L180" s="4"/>
    </row>
    <row r="181" spans="1:12" ht="13">
      <c r="A181" s="4"/>
      <c r="B181" s="4"/>
      <c r="C181" s="4" t="s">
        <v>1000</v>
      </c>
      <c r="D181" s="166">
        <v>20</v>
      </c>
      <c r="E181" s="4" t="str">
        <f>VLOOKUP(C181,Master!$B$6:$N$1000,9,FALSE)</f>
        <v>gr</v>
      </c>
      <c r="F181" s="144">
        <f>VLOOKUP(C181,Master!$B$7:$N$1000,10,FALSE)</f>
        <v>44.5</v>
      </c>
      <c r="G181" s="144">
        <f t="shared" si="21"/>
        <v>890</v>
      </c>
      <c r="H181" s="4"/>
      <c r="I181" s="4"/>
      <c r="J181" s="4"/>
      <c r="K181" s="4"/>
      <c r="L181" s="4"/>
    </row>
    <row r="182" spans="1:12" ht="13">
      <c r="A182" s="4"/>
      <c r="B182" s="4"/>
      <c r="C182" s="4" t="s">
        <v>764</v>
      </c>
      <c r="D182" s="166">
        <v>7</v>
      </c>
      <c r="E182" s="4" t="str">
        <f>VLOOKUP(C182,Master!$B$6:$N$1000,9,FALSE)</f>
        <v>gr</v>
      </c>
      <c r="F182" s="144">
        <f>VLOOKUP(C182,Master!$B$7:$N$1000,10,FALSE)</f>
        <v>15</v>
      </c>
      <c r="G182" s="144">
        <f t="shared" si="21"/>
        <v>105</v>
      </c>
      <c r="H182" s="4"/>
      <c r="I182" s="4"/>
      <c r="J182" s="4"/>
      <c r="K182" s="4"/>
      <c r="L182" s="4"/>
    </row>
    <row r="183" spans="1:12" ht="13">
      <c r="A183" s="4"/>
      <c r="B183" s="4"/>
      <c r="C183" s="4" t="s">
        <v>2043</v>
      </c>
      <c r="D183" s="166">
        <v>30</v>
      </c>
      <c r="E183" s="4" t="str">
        <f>VLOOKUP(C183,Master!$B$6:$N$1000,9,FALSE)</f>
        <v>gr</v>
      </c>
      <c r="F183" s="144">
        <f>VLOOKUP(C183,Master!$B$7:$N$1000,10,FALSE)</f>
        <v>38.5</v>
      </c>
      <c r="G183" s="144">
        <f t="shared" si="21"/>
        <v>1155</v>
      </c>
      <c r="H183" s="4"/>
      <c r="I183" s="4"/>
      <c r="J183" s="4"/>
      <c r="K183" s="4"/>
      <c r="L183" s="4"/>
    </row>
    <row r="184" spans="1:12" ht="13">
      <c r="A184" s="4"/>
      <c r="B184" s="4"/>
      <c r="C184" s="145" t="s">
        <v>799</v>
      </c>
      <c r="D184" s="146">
        <v>13</v>
      </c>
      <c r="E184" s="4" t="str">
        <f>VLOOKUP(C184,Master!$B$6:$N$1000,9,FALSE)</f>
        <v>gr</v>
      </c>
      <c r="F184" s="144">
        <f>VLOOKUP(C184,Master!$B$7:$N$1000,10,FALSE)</f>
        <v>90</v>
      </c>
      <c r="G184" s="144">
        <f t="shared" si="21"/>
        <v>1170</v>
      </c>
      <c r="H184" s="81"/>
      <c r="I184" s="121"/>
      <c r="J184" s="145"/>
      <c r="K184" s="121"/>
      <c r="L184" s="177"/>
    </row>
    <row r="185" spans="1:12" ht="13">
      <c r="A185" s="4"/>
      <c r="B185" s="4"/>
      <c r="C185" s="145" t="s">
        <v>2052</v>
      </c>
      <c r="D185" s="146">
        <v>0</v>
      </c>
      <c r="E185" s="4" t="str">
        <f>VLOOKUP(C185,Master!$B$6:$N$1000,9,FALSE)</f>
        <v>ml</v>
      </c>
      <c r="F185" s="144">
        <f>VLOOKUP(C185,Master!$B$7:$N$1000,10,FALSE)</f>
        <v>0.66315789473684206</v>
      </c>
      <c r="G185" s="144">
        <f t="shared" si="21"/>
        <v>0</v>
      </c>
      <c r="H185" s="81"/>
      <c r="I185" s="121"/>
      <c r="J185" s="145"/>
      <c r="K185" s="121"/>
      <c r="L185" s="177"/>
    </row>
    <row r="186" spans="1:12" ht="13">
      <c r="A186" s="90"/>
      <c r="B186" s="90"/>
      <c r="C186" s="151" t="s">
        <v>1988</v>
      </c>
      <c r="D186" s="149">
        <v>100</v>
      </c>
      <c r="E186" s="4" t="str">
        <f>VLOOKUP(C186,Master!$B$6:$N$1000,9,FALSE)</f>
        <v>ml</v>
      </c>
      <c r="F186" s="144">
        <f>VLOOKUP(C186,Master!$B$7:$N$1000,10,FALSE)</f>
        <v>16.222222222222221</v>
      </c>
      <c r="G186" s="150">
        <f t="shared" si="21"/>
        <v>1622.2222222222222</v>
      </c>
      <c r="H186" s="178"/>
      <c r="I186" s="107"/>
      <c r="J186" s="151"/>
      <c r="K186" s="107"/>
      <c r="L186" s="179"/>
    </row>
    <row r="187" spans="1:12" ht="13">
      <c r="A187" s="182">
        <v>21</v>
      </c>
      <c r="B187" s="135" t="s">
        <v>420</v>
      </c>
      <c r="C187" s="136"/>
      <c r="D187" s="180">
        <f>SUM(D188:D194)</f>
        <v>2040</v>
      </c>
      <c r="E187" s="135">
        <f>VLOOKUP(B187,Master!$B$7:$N$316,7,FALSE)</f>
        <v>0</v>
      </c>
      <c r="F187" s="136"/>
      <c r="G187" s="138">
        <f>SUM(G188:G194)</f>
        <v>25755.233918128655</v>
      </c>
      <c r="H187" s="139">
        <v>0.1</v>
      </c>
      <c r="I187" s="138">
        <f>G187+(G187*H187)</f>
        <v>28330.75730994152</v>
      </c>
      <c r="J187" s="180">
        <v>8</v>
      </c>
      <c r="K187" s="138">
        <f>I187/J187</f>
        <v>3541.34466374269</v>
      </c>
      <c r="L187" s="168">
        <f>D187/J187</f>
        <v>255</v>
      </c>
    </row>
    <row r="188" spans="1:12" ht="13">
      <c r="A188" s="4"/>
      <c r="B188" s="4"/>
      <c r="C188" s="4" t="s">
        <v>1144</v>
      </c>
      <c r="D188" s="166">
        <v>1000</v>
      </c>
      <c r="E188" s="4" t="str">
        <f>VLOOKUP(C188,Master!$B$6:$N$1000,9,FALSE)</f>
        <v>gr</v>
      </c>
      <c r="F188" s="144">
        <f>VLOOKUP(C188,Master!$B$7:$N$1000,10,FALSE)</f>
        <v>12</v>
      </c>
      <c r="G188" s="144">
        <f t="shared" ref="G188:G194" si="22">D188*F188</f>
        <v>12000</v>
      </c>
      <c r="H188" s="4"/>
      <c r="I188" s="4"/>
      <c r="J188" s="4"/>
      <c r="K188" s="4"/>
      <c r="L188" s="4"/>
    </row>
    <row r="189" spans="1:12" ht="13">
      <c r="A189" s="4"/>
      <c r="B189" s="4"/>
      <c r="C189" s="4" t="s">
        <v>2045</v>
      </c>
      <c r="D189" s="166">
        <v>500</v>
      </c>
      <c r="E189" s="4" t="str">
        <f>VLOOKUP(C189,Master!$B$6:$N$1000,9,FALSE)</f>
        <v>gr</v>
      </c>
      <c r="F189" s="144">
        <f>VLOOKUP(C189,Master!$B$7:$N$1000,10,FALSE)</f>
        <v>14.25</v>
      </c>
      <c r="G189" s="144">
        <f t="shared" si="22"/>
        <v>7125</v>
      </c>
      <c r="H189" s="4"/>
      <c r="I189" s="4"/>
      <c r="J189" s="4"/>
      <c r="K189" s="4"/>
      <c r="L189" s="4"/>
    </row>
    <row r="190" spans="1:12" ht="13">
      <c r="A190" s="4"/>
      <c r="B190" s="4"/>
      <c r="C190" s="4" t="s">
        <v>2043</v>
      </c>
      <c r="D190" s="166">
        <v>20</v>
      </c>
      <c r="E190" s="4" t="str">
        <f>VLOOKUP(C190,Master!$B$6:$N$1000,9,FALSE)</f>
        <v>gr</v>
      </c>
      <c r="F190" s="144">
        <f>VLOOKUP(C190,Master!$B$7:$N$1000,10,FALSE)</f>
        <v>38.5</v>
      </c>
      <c r="G190" s="144">
        <f t="shared" si="22"/>
        <v>770</v>
      </c>
      <c r="H190" s="4"/>
      <c r="I190" s="4"/>
      <c r="J190" s="4"/>
      <c r="K190" s="4"/>
      <c r="L190" s="4"/>
    </row>
    <row r="191" spans="1:12" ht="13">
      <c r="A191" s="4"/>
      <c r="B191" s="4"/>
      <c r="C191" s="4" t="s">
        <v>799</v>
      </c>
      <c r="D191" s="166">
        <v>20</v>
      </c>
      <c r="E191" s="4" t="str">
        <f>VLOOKUP(C191,Master!$B$6:$N$1000,9,FALSE)</f>
        <v>gr</v>
      </c>
      <c r="F191" s="144">
        <f>VLOOKUP(C191,Master!$B$7:$N$1000,10,FALSE)</f>
        <v>90</v>
      </c>
      <c r="G191" s="144">
        <f t="shared" si="22"/>
        <v>1800</v>
      </c>
      <c r="H191" s="4"/>
      <c r="I191" s="4"/>
      <c r="J191" s="4"/>
      <c r="K191" s="4"/>
      <c r="L191" s="4"/>
    </row>
    <row r="192" spans="1:12" ht="13">
      <c r="A192" s="4"/>
      <c r="B192" s="4"/>
      <c r="C192" s="145" t="s">
        <v>819</v>
      </c>
      <c r="D192" s="146">
        <v>50</v>
      </c>
      <c r="E192" s="4" t="str">
        <f>VLOOKUP(C192,Master!$B$6:$N$1000,9,FALSE)</f>
        <v>gr</v>
      </c>
      <c r="F192" s="144">
        <f>VLOOKUP(C192,Master!$B$7:$N$1000,10,FALSE)</f>
        <v>13</v>
      </c>
      <c r="G192" s="144">
        <f t="shared" si="22"/>
        <v>650</v>
      </c>
      <c r="H192" s="81"/>
      <c r="I192" s="121"/>
      <c r="J192" s="145"/>
      <c r="K192" s="121"/>
      <c r="L192" s="177"/>
    </row>
    <row r="193" spans="1:12" ht="13">
      <c r="A193" s="4"/>
      <c r="B193" s="4"/>
      <c r="C193" s="145" t="s">
        <v>2052</v>
      </c>
      <c r="D193" s="146">
        <v>250</v>
      </c>
      <c r="E193" s="4" t="str">
        <f>VLOOKUP(C193,Master!$B$6:$N$1000,9,FALSE)</f>
        <v>ml</v>
      </c>
      <c r="F193" s="144">
        <f>VLOOKUP(C193,Master!$B$7:$N$1000,10,FALSE)</f>
        <v>0.66315789473684206</v>
      </c>
      <c r="G193" s="144">
        <f t="shared" si="22"/>
        <v>165.78947368421052</v>
      </c>
      <c r="H193" s="81"/>
      <c r="I193" s="121"/>
      <c r="J193" s="145"/>
      <c r="K193" s="121"/>
      <c r="L193" s="177"/>
    </row>
    <row r="194" spans="1:12" ht="13">
      <c r="A194" s="90"/>
      <c r="B194" s="90"/>
      <c r="C194" s="151" t="s">
        <v>1988</v>
      </c>
      <c r="D194" s="149">
        <v>200</v>
      </c>
      <c r="E194" s="4" t="str">
        <f>VLOOKUP(C194,Master!$B$6:$N$1000,9,FALSE)</f>
        <v>ml</v>
      </c>
      <c r="F194" s="144">
        <f>VLOOKUP(C194,Master!$B$7:$N$1000,10,FALSE)</f>
        <v>16.222222222222221</v>
      </c>
      <c r="G194" s="150">
        <f t="shared" si="22"/>
        <v>3244.4444444444443</v>
      </c>
      <c r="H194" s="178"/>
      <c r="I194" s="107"/>
      <c r="J194" s="151"/>
      <c r="K194" s="107"/>
      <c r="L194" s="179"/>
    </row>
    <row r="195" spans="1:12" ht="13">
      <c r="A195" s="182">
        <v>22</v>
      </c>
      <c r="B195" s="135" t="s">
        <v>424</v>
      </c>
      <c r="C195" s="136"/>
      <c r="D195" s="180">
        <f>SUM(D196:D211)</f>
        <v>4318</v>
      </c>
      <c r="E195" s="135">
        <f>VLOOKUP(B195,Master!$B$7:$N$316,7,FALSE)</f>
        <v>0</v>
      </c>
      <c r="F195" s="136"/>
      <c r="G195" s="138">
        <f>SUM(G196:G211)</f>
        <v>185645</v>
      </c>
      <c r="H195" s="139">
        <v>0.1</v>
      </c>
      <c r="I195" s="138">
        <f>G195+(G195*H195)</f>
        <v>204209.5</v>
      </c>
      <c r="J195" s="180">
        <v>40</v>
      </c>
      <c r="K195" s="138">
        <f>I195/J195</f>
        <v>5105.2375000000002</v>
      </c>
      <c r="L195" s="168">
        <f>D195/J195</f>
        <v>107.95</v>
      </c>
    </row>
    <row r="196" spans="1:12" ht="13">
      <c r="A196" s="4"/>
      <c r="B196" s="4"/>
      <c r="C196" s="4" t="s">
        <v>1127</v>
      </c>
      <c r="D196" s="166">
        <v>4000</v>
      </c>
      <c r="E196" s="4" t="str">
        <f>VLOOKUP(C196,Master!$B$6:$N$1000,9,FALSE)</f>
        <v>gr</v>
      </c>
      <c r="F196" s="144">
        <f>VLOOKUP(C196,Master!$B$7:$N$1000,10,FALSE)</f>
        <v>43</v>
      </c>
      <c r="G196" s="144">
        <f t="shared" ref="G196:G202" si="23">D196*F196</f>
        <v>172000</v>
      </c>
      <c r="H196" s="4"/>
      <c r="I196" s="4"/>
      <c r="J196" s="4"/>
      <c r="K196" s="4"/>
      <c r="L196" s="4"/>
    </row>
    <row r="197" spans="1:12" ht="13">
      <c r="A197" s="4"/>
      <c r="B197" s="4"/>
      <c r="C197" s="4" t="s">
        <v>2022</v>
      </c>
      <c r="D197" s="166">
        <v>3</v>
      </c>
      <c r="E197" s="4" t="str">
        <f>VLOOKUP(C197,Master!$B$6:$N$1000,9,FALSE)</f>
        <v>pcs</v>
      </c>
      <c r="F197" s="144">
        <f>VLOOKUP(C197,Master!$B$7:$N$1000,10,FALSE)</f>
        <v>3000</v>
      </c>
      <c r="G197" s="144">
        <f t="shared" si="23"/>
        <v>9000</v>
      </c>
      <c r="H197" s="4"/>
      <c r="I197" s="4"/>
      <c r="J197" s="4"/>
      <c r="K197" s="4"/>
      <c r="L197" s="4"/>
    </row>
    <row r="198" spans="1:12" ht="13">
      <c r="A198" s="4"/>
      <c r="B198" s="4"/>
      <c r="C198" s="4" t="s">
        <v>1152</v>
      </c>
      <c r="D198" s="166">
        <v>250</v>
      </c>
      <c r="E198" s="4" t="str">
        <f>VLOOKUP(C198,Master!$B$6:$N$1000,9,FALSE)</f>
        <v>gr</v>
      </c>
      <c r="F198" s="144">
        <f>VLOOKUP(C198,Master!$B$7:$N$1000,10,FALSE)</f>
        <v>13</v>
      </c>
      <c r="G198" s="144">
        <f t="shared" si="23"/>
        <v>3250</v>
      </c>
      <c r="H198" s="4"/>
      <c r="I198" s="4"/>
      <c r="J198" s="4"/>
      <c r="K198" s="4"/>
      <c r="L198" s="4"/>
    </row>
    <row r="199" spans="1:12" ht="13">
      <c r="A199" s="4"/>
      <c r="B199" s="4"/>
      <c r="C199" s="4" t="s">
        <v>815</v>
      </c>
      <c r="D199" s="166">
        <v>20</v>
      </c>
      <c r="E199" s="4" t="str">
        <f>VLOOKUP(C199,Master!$B$6:$N$1000,9,FALSE)</f>
        <v>gr</v>
      </c>
      <c r="F199" s="144">
        <f>VLOOKUP(C199,Master!$B$7:$N$1000,10,FALSE)</f>
        <v>12</v>
      </c>
      <c r="G199" s="144">
        <f t="shared" si="23"/>
        <v>240</v>
      </c>
      <c r="H199" s="4"/>
      <c r="I199" s="4"/>
      <c r="J199" s="4"/>
      <c r="K199" s="4"/>
      <c r="L199" s="4"/>
    </row>
    <row r="200" spans="1:12" ht="13">
      <c r="A200" s="4"/>
      <c r="B200" s="4"/>
      <c r="C200" s="4" t="s">
        <v>764</v>
      </c>
      <c r="D200" s="166">
        <v>15</v>
      </c>
      <c r="E200" s="4" t="str">
        <f>VLOOKUP(C200,Master!$B$6:$N$1000,9,FALSE)</f>
        <v>gr</v>
      </c>
      <c r="F200" s="144">
        <f>VLOOKUP(C200,Master!$B$7:$N$1000,10,FALSE)</f>
        <v>15</v>
      </c>
      <c r="G200" s="144">
        <f t="shared" si="23"/>
        <v>225</v>
      </c>
      <c r="H200" s="4"/>
      <c r="I200" s="4"/>
      <c r="J200" s="4"/>
      <c r="K200" s="4"/>
      <c r="L200" s="4"/>
    </row>
    <row r="201" spans="1:12" ht="13">
      <c r="A201" s="4"/>
      <c r="B201" s="4"/>
      <c r="C201" s="4" t="s">
        <v>1000</v>
      </c>
      <c r="D201" s="166">
        <v>15</v>
      </c>
      <c r="E201" s="4" t="str">
        <f>VLOOKUP(C201,Master!$B$6:$N$1000,9,FALSE)</f>
        <v>gr</v>
      </c>
      <c r="F201" s="144">
        <f>VLOOKUP(C201,Master!$B$7:$N$1000,10,FALSE)</f>
        <v>44.5</v>
      </c>
      <c r="G201" s="144">
        <f t="shared" si="23"/>
        <v>667.5</v>
      </c>
      <c r="H201" s="4"/>
      <c r="I201" s="4"/>
      <c r="J201" s="4"/>
      <c r="K201" s="4"/>
      <c r="L201" s="4"/>
    </row>
    <row r="202" spans="1:12" ht="13">
      <c r="A202" s="4"/>
      <c r="B202" s="4"/>
      <c r="C202" s="4" t="s">
        <v>2059</v>
      </c>
      <c r="D202" s="166">
        <v>15</v>
      </c>
      <c r="E202" s="4" t="str">
        <f>VLOOKUP(C202,Master!$B$6:$N$1000,9,FALSE)</f>
        <v>gr</v>
      </c>
      <c r="F202" s="144">
        <f>VLOOKUP(C202,Master!$B$7:$N$1000,10,FALSE)</f>
        <v>17.5</v>
      </c>
      <c r="G202" s="144">
        <f t="shared" si="23"/>
        <v>262.5</v>
      </c>
      <c r="H202" s="4"/>
      <c r="I202" s="4"/>
      <c r="J202" s="4"/>
      <c r="K202" s="4"/>
      <c r="L202" s="4"/>
    </row>
    <row r="203" spans="1:12" ht="13">
      <c r="A203" s="4"/>
      <c r="B203" s="4"/>
      <c r="C203" s="4"/>
      <c r="D203" s="4"/>
      <c r="E203" s="4"/>
      <c r="F203" s="4"/>
      <c r="G203" s="4"/>
      <c r="H203" s="4"/>
      <c r="I203" s="4"/>
      <c r="J203" s="4"/>
      <c r="K203" s="4"/>
      <c r="L203" s="4"/>
    </row>
    <row r="204" spans="1:12" ht="13">
      <c r="A204" s="4"/>
      <c r="B204" s="4"/>
      <c r="C204" s="4"/>
      <c r="D204" s="4"/>
      <c r="E204" s="4"/>
      <c r="F204" s="4"/>
      <c r="G204" s="4"/>
      <c r="H204" s="4"/>
      <c r="I204" s="4"/>
      <c r="J204" s="4"/>
      <c r="K204" s="4"/>
      <c r="L204" s="4"/>
    </row>
    <row r="205" spans="1:12" ht="13">
      <c r="A205" s="4"/>
      <c r="B205" s="4"/>
      <c r="C205" s="4"/>
      <c r="D205" s="4"/>
      <c r="E205" s="4"/>
      <c r="F205" s="4"/>
      <c r="G205" s="4"/>
      <c r="H205" s="4"/>
      <c r="I205" s="4"/>
      <c r="J205" s="4"/>
      <c r="K205" s="4"/>
      <c r="L205" s="4"/>
    </row>
    <row r="206" spans="1:12" ht="13">
      <c r="A206" s="4"/>
      <c r="B206" s="4"/>
      <c r="C206" s="4"/>
      <c r="D206" s="4"/>
      <c r="E206" s="4"/>
      <c r="F206" s="4"/>
      <c r="G206" s="4"/>
      <c r="H206" s="4"/>
      <c r="I206" s="4"/>
      <c r="J206" s="4"/>
      <c r="K206" s="4"/>
      <c r="L206" s="4"/>
    </row>
    <row r="207" spans="1:12" ht="13">
      <c r="A207" s="4"/>
      <c r="B207" s="4"/>
      <c r="C207" s="4"/>
      <c r="D207" s="4"/>
      <c r="E207" s="4"/>
      <c r="F207" s="4"/>
      <c r="G207" s="4"/>
      <c r="H207" s="4"/>
      <c r="I207" s="4"/>
      <c r="J207" s="4"/>
      <c r="K207" s="4"/>
      <c r="L207" s="4"/>
    </row>
    <row r="208" spans="1:12" ht="13">
      <c r="A208" s="4"/>
      <c r="B208" s="4"/>
      <c r="C208" s="4"/>
      <c r="D208" s="4"/>
      <c r="E208" s="4"/>
      <c r="F208" s="4"/>
      <c r="G208" s="4"/>
      <c r="H208" s="4"/>
      <c r="I208" s="4"/>
      <c r="J208" s="4"/>
      <c r="K208" s="4"/>
      <c r="L208" s="4"/>
    </row>
    <row r="209" spans="1:12" ht="13">
      <c r="A209" s="4"/>
      <c r="B209" s="4"/>
      <c r="C209" s="145"/>
      <c r="D209" s="4"/>
      <c r="E209" s="4"/>
      <c r="F209" s="4"/>
      <c r="G209" s="4"/>
      <c r="H209" s="81"/>
      <c r="I209" s="121"/>
      <c r="J209" s="145"/>
      <c r="K209" s="121"/>
      <c r="L209" s="177"/>
    </row>
    <row r="210" spans="1:12" ht="13">
      <c r="A210" s="4"/>
      <c r="B210" s="4"/>
      <c r="C210" s="145"/>
      <c r="D210" s="4"/>
      <c r="E210" s="4"/>
      <c r="F210" s="4"/>
      <c r="G210" s="4"/>
      <c r="H210" s="81"/>
      <c r="I210" s="121"/>
      <c r="J210" s="145"/>
      <c r="K210" s="121"/>
      <c r="L210" s="177"/>
    </row>
    <row r="211" spans="1:12" ht="13">
      <c r="A211" s="90"/>
      <c r="B211" s="90"/>
      <c r="C211" s="151"/>
      <c r="D211" s="4"/>
      <c r="E211" s="4"/>
      <c r="F211" s="4"/>
      <c r="G211" s="4"/>
      <c r="H211" s="178"/>
      <c r="I211" s="107"/>
      <c r="J211" s="151"/>
      <c r="K211" s="107"/>
      <c r="L211" s="179"/>
    </row>
    <row r="212" spans="1:12" ht="13">
      <c r="A212" s="182">
        <v>22</v>
      </c>
      <c r="B212" s="135" t="s">
        <v>432</v>
      </c>
      <c r="C212" s="136"/>
      <c r="D212" s="180">
        <f>SUM(D213:D227)</f>
        <v>1860</v>
      </c>
      <c r="E212" s="135">
        <f>VLOOKUP(B212,Master!$B$7:$N$316,7,FALSE)</f>
        <v>0</v>
      </c>
      <c r="F212" s="136"/>
      <c r="G212" s="138">
        <f>SUM(G213:G227)</f>
        <v>89141</v>
      </c>
      <c r="H212" s="139">
        <v>0.1</v>
      </c>
      <c r="I212" s="138">
        <f>G212+(G212*H212)</f>
        <v>98055.1</v>
      </c>
      <c r="J212" s="180">
        <v>12</v>
      </c>
      <c r="K212" s="138">
        <f>I212/J212</f>
        <v>8171.2583333333341</v>
      </c>
      <c r="L212" s="168">
        <f>D212/J212</f>
        <v>155</v>
      </c>
    </row>
    <row r="213" spans="1:12" ht="13">
      <c r="A213" s="4"/>
      <c r="B213" s="4"/>
      <c r="C213" s="4" t="s">
        <v>1129</v>
      </c>
      <c r="D213" s="166">
        <v>1000</v>
      </c>
      <c r="E213" s="4" t="str">
        <f>VLOOKUP(C213,Master!$B$6:$N$1000,9,FALSE)</f>
        <v>gr</v>
      </c>
      <c r="F213" s="144">
        <f>VLOOKUP(C213,Master!$B$7:$N$1000,10,FALSE)</f>
        <v>60</v>
      </c>
      <c r="G213" s="144">
        <f t="shared" ref="G213:G227" si="24">D213*F213</f>
        <v>60000</v>
      </c>
      <c r="H213" s="4"/>
      <c r="I213" s="4"/>
      <c r="J213" s="4"/>
      <c r="K213" s="4"/>
      <c r="L213" s="4"/>
    </row>
    <row r="214" spans="1:12" ht="13">
      <c r="A214" s="4"/>
      <c r="B214" s="4"/>
      <c r="C214" s="4" t="s">
        <v>712</v>
      </c>
      <c r="D214" s="166">
        <v>200</v>
      </c>
      <c r="E214" s="4" t="str">
        <f>VLOOKUP(C214,Master!$B$6:$N$1000,9,FALSE)</f>
        <v>gr</v>
      </c>
      <c r="F214" s="144">
        <f>VLOOKUP(C214,Master!$B$7:$N$1000,10,FALSE)</f>
        <v>40</v>
      </c>
      <c r="G214" s="144">
        <f t="shared" si="24"/>
        <v>8000</v>
      </c>
      <c r="H214" s="4"/>
      <c r="I214" s="4"/>
      <c r="J214" s="4"/>
      <c r="K214" s="4"/>
      <c r="L214" s="4"/>
    </row>
    <row r="215" spans="1:12" ht="13">
      <c r="A215" s="4"/>
      <c r="B215" s="4"/>
      <c r="C215" s="4" t="s">
        <v>1064</v>
      </c>
      <c r="D215" s="166">
        <v>200</v>
      </c>
      <c r="E215" s="4" t="str">
        <f>VLOOKUP(C215,Master!$B$6:$N$1000,9,FALSE)</f>
        <v>gr</v>
      </c>
      <c r="F215" s="144">
        <f>VLOOKUP(C215,Master!$B$7:$N$1000,10,FALSE)</f>
        <v>37.700000000000003</v>
      </c>
      <c r="G215" s="144">
        <f t="shared" si="24"/>
        <v>7540.0000000000009</v>
      </c>
      <c r="H215" s="4"/>
      <c r="I215" s="4"/>
      <c r="J215" s="4"/>
      <c r="K215" s="4"/>
      <c r="L215" s="4"/>
    </row>
    <row r="216" spans="1:12" ht="13">
      <c r="A216" s="4"/>
      <c r="B216" s="4"/>
      <c r="C216" s="4" t="s">
        <v>1150</v>
      </c>
      <c r="D216" s="166">
        <v>50</v>
      </c>
      <c r="E216" s="4" t="str">
        <f>VLOOKUP(C216,Master!$B$6:$N$1000,9,FALSE)</f>
        <v>gr</v>
      </c>
      <c r="F216" s="144">
        <f>VLOOKUP(C216,Master!$B$7:$N$1000,10,FALSE)</f>
        <v>75</v>
      </c>
      <c r="G216" s="144">
        <f t="shared" si="24"/>
        <v>3750</v>
      </c>
      <c r="H216" s="4"/>
      <c r="I216" s="4"/>
      <c r="J216" s="4"/>
      <c r="K216" s="4"/>
      <c r="L216" s="4"/>
    </row>
    <row r="217" spans="1:12" ht="13">
      <c r="A217" s="4"/>
      <c r="B217" s="4"/>
      <c r="C217" s="4" t="s">
        <v>1148</v>
      </c>
      <c r="D217" s="166">
        <v>20</v>
      </c>
      <c r="E217" s="4" t="str">
        <f>VLOOKUP(C217,Master!$B$6:$N$1000,9,FALSE)</f>
        <v>gr</v>
      </c>
      <c r="F217" s="144">
        <f>VLOOKUP(C217,Master!$B$7:$N$1000,10,FALSE)</f>
        <v>40</v>
      </c>
      <c r="G217" s="144">
        <f t="shared" si="24"/>
        <v>800</v>
      </c>
      <c r="H217" s="4"/>
      <c r="I217" s="4"/>
      <c r="J217" s="4"/>
      <c r="K217" s="4"/>
      <c r="L217" s="4"/>
    </row>
    <row r="218" spans="1:12" ht="13">
      <c r="A218" s="4"/>
      <c r="B218" s="4"/>
      <c r="C218" s="4" t="s">
        <v>901</v>
      </c>
      <c r="D218" s="166">
        <v>15</v>
      </c>
      <c r="E218" s="4" t="str">
        <f>VLOOKUP(C218,Master!$B$6:$N$1000,9,FALSE)</f>
        <v>gr</v>
      </c>
      <c r="F218" s="144">
        <f>VLOOKUP(C218,Master!$B$7:$N$1000,10,FALSE)</f>
        <v>12</v>
      </c>
      <c r="G218" s="144">
        <f t="shared" si="24"/>
        <v>180</v>
      </c>
      <c r="H218" s="4"/>
      <c r="I218" s="4"/>
      <c r="J218" s="4"/>
      <c r="K218" s="4"/>
      <c r="L218" s="4"/>
    </row>
    <row r="219" spans="1:12" ht="13">
      <c r="A219" s="4"/>
      <c r="B219" s="4"/>
      <c r="C219" s="4" t="s">
        <v>898</v>
      </c>
      <c r="D219" s="166">
        <v>5</v>
      </c>
      <c r="E219" s="4" t="str">
        <f>VLOOKUP(C219,Master!$B$6:$N$1000,9,FALSE)</f>
        <v>gr</v>
      </c>
      <c r="F219" s="144">
        <f>VLOOKUP(C219,Master!$B$7:$N$1000,10,FALSE)</f>
        <v>64.2</v>
      </c>
      <c r="G219" s="144">
        <f t="shared" si="24"/>
        <v>321</v>
      </c>
      <c r="H219" s="4"/>
      <c r="I219" s="4"/>
      <c r="J219" s="4"/>
      <c r="K219" s="4"/>
      <c r="L219" s="4"/>
    </row>
    <row r="220" spans="1:12" ht="13">
      <c r="A220" s="4"/>
      <c r="B220" s="4"/>
      <c r="C220" s="4" t="s">
        <v>1066</v>
      </c>
      <c r="D220" s="166">
        <v>100</v>
      </c>
      <c r="E220" s="4" t="str">
        <f>VLOOKUP(C220,Master!$B$6:$N$1000,9,FALSE)</f>
        <v>gr</v>
      </c>
      <c r="F220" s="144">
        <f>VLOOKUP(C220,Master!$B$7:$N$1000,10,FALSE)</f>
        <v>16</v>
      </c>
      <c r="G220" s="144">
        <f t="shared" si="24"/>
        <v>1600</v>
      </c>
      <c r="H220" s="4"/>
      <c r="I220" s="4"/>
      <c r="J220" s="4"/>
      <c r="K220" s="4"/>
      <c r="L220" s="4"/>
    </row>
    <row r="221" spans="1:12" ht="13">
      <c r="A221" s="4"/>
      <c r="B221" s="4"/>
      <c r="C221" s="4" t="s">
        <v>1152</v>
      </c>
      <c r="D221" s="166">
        <v>100</v>
      </c>
      <c r="E221" s="4" t="str">
        <f>VLOOKUP(C221,Master!$B$6:$N$1000,9,FALSE)</f>
        <v>gr</v>
      </c>
      <c r="F221" s="144">
        <f>VLOOKUP(C221,Master!$B$7:$N$1000,10,FALSE)</f>
        <v>13</v>
      </c>
      <c r="G221" s="144">
        <f t="shared" si="24"/>
        <v>1300</v>
      </c>
      <c r="H221" s="4"/>
      <c r="I221" s="4"/>
      <c r="J221" s="4"/>
      <c r="K221" s="4"/>
      <c r="L221" s="4"/>
    </row>
    <row r="222" spans="1:12" ht="13">
      <c r="A222" s="4"/>
      <c r="B222" s="4"/>
      <c r="C222" s="4" t="s">
        <v>764</v>
      </c>
      <c r="D222" s="166">
        <v>50</v>
      </c>
      <c r="E222" s="4" t="str">
        <f>VLOOKUP(C222,Master!$B$6:$N$1000,9,FALSE)</f>
        <v>gr</v>
      </c>
      <c r="F222" s="144">
        <f>VLOOKUP(C222,Master!$B$7:$N$1000,10,FALSE)</f>
        <v>15</v>
      </c>
      <c r="G222" s="144">
        <f t="shared" si="24"/>
        <v>750</v>
      </c>
      <c r="H222" s="4"/>
      <c r="I222" s="4"/>
      <c r="J222" s="4"/>
      <c r="K222" s="4"/>
      <c r="L222" s="4"/>
    </row>
    <row r="223" spans="1:12" ht="13">
      <c r="A223" s="4"/>
      <c r="B223" s="4"/>
      <c r="C223" s="4" t="s">
        <v>1000</v>
      </c>
      <c r="D223" s="166">
        <v>50</v>
      </c>
      <c r="E223" s="4" t="str">
        <f>VLOOKUP(C223,Master!$B$6:$N$1000,9,FALSE)</f>
        <v>gr</v>
      </c>
      <c r="F223" s="144">
        <f>VLOOKUP(C223,Master!$B$7:$N$1000,10,FALSE)</f>
        <v>44.5</v>
      </c>
      <c r="G223" s="144">
        <f t="shared" si="24"/>
        <v>2225</v>
      </c>
      <c r="H223" s="4"/>
      <c r="I223" s="4"/>
      <c r="J223" s="4"/>
      <c r="K223" s="4"/>
      <c r="L223" s="4"/>
    </row>
    <row r="224" spans="1:12" ht="13">
      <c r="A224" s="4"/>
      <c r="B224" s="4"/>
      <c r="C224" s="4" t="s">
        <v>1980</v>
      </c>
      <c r="D224" s="166">
        <v>50</v>
      </c>
      <c r="E224" s="4" t="str">
        <f>VLOOKUP(C224,Master!$B$6:$N$1000,9,FALSE)</f>
        <v>gr</v>
      </c>
      <c r="F224" s="144">
        <f>VLOOKUP(C224,Master!$B$7:$N$1000,10,FALSE)</f>
        <v>17.5</v>
      </c>
      <c r="G224" s="144">
        <f t="shared" si="24"/>
        <v>875</v>
      </c>
      <c r="H224" s="4"/>
      <c r="I224" s="4"/>
      <c r="J224" s="4"/>
      <c r="K224" s="4"/>
      <c r="L224" s="4"/>
    </row>
    <row r="225" spans="1:12" ht="13">
      <c r="A225" s="4"/>
      <c r="B225" s="4"/>
      <c r="C225" s="145" t="s">
        <v>799</v>
      </c>
      <c r="D225" s="146">
        <v>20</v>
      </c>
      <c r="E225" s="4" t="str">
        <f>VLOOKUP(C225,Master!$B$6:$N$1000,9,FALSE)</f>
        <v>gr</v>
      </c>
      <c r="F225" s="144">
        <f>VLOOKUP(C225,Master!$B$7:$N$1000,10,FALSE)</f>
        <v>90</v>
      </c>
      <c r="G225" s="144">
        <f t="shared" si="24"/>
        <v>1800</v>
      </c>
      <c r="H225" s="81"/>
      <c r="I225" s="121"/>
      <c r="J225" s="145"/>
      <c r="K225" s="121"/>
      <c r="L225" s="177"/>
    </row>
    <row r="226" spans="1:12" ht="13">
      <c r="A226" s="4"/>
      <c r="B226" s="4"/>
      <c r="C226" s="145" t="s">
        <v>2052</v>
      </c>
      <c r="D226" s="146">
        <v>0</v>
      </c>
      <c r="E226" s="4" t="str">
        <f>VLOOKUP(C226,Master!$B$6:$N$1000,9,FALSE)</f>
        <v>ml</v>
      </c>
      <c r="F226" s="144">
        <f>VLOOKUP(C226,Master!$B$7:$N$1000,10,FALSE)</f>
        <v>0.66315789473684206</v>
      </c>
      <c r="G226" s="144">
        <f t="shared" si="24"/>
        <v>0</v>
      </c>
      <c r="H226" s="81"/>
      <c r="I226" s="121"/>
      <c r="J226" s="145"/>
      <c r="K226" s="121"/>
      <c r="L226" s="177"/>
    </row>
    <row r="227" spans="1:12" ht="13">
      <c r="A227" s="90"/>
      <c r="B227" s="90"/>
      <c r="C227" s="151" t="s">
        <v>1988</v>
      </c>
      <c r="D227" s="149">
        <v>0</v>
      </c>
      <c r="E227" s="4" t="str">
        <f>VLOOKUP(C227,Master!$B$6:$N$1000,9,FALSE)</f>
        <v>ml</v>
      </c>
      <c r="F227" s="144">
        <f>VLOOKUP(C227,Master!$B$7:$N$1000,10,FALSE)</f>
        <v>16.222222222222221</v>
      </c>
      <c r="G227" s="150">
        <f t="shared" si="24"/>
        <v>0</v>
      </c>
      <c r="H227" s="178"/>
      <c r="I227" s="107"/>
      <c r="J227" s="151"/>
      <c r="K227" s="107"/>
      <c r="L227" s="179"/>
    </row>
    <row r="228" spans="1:12" ht="13">
      <c r="A228" s="182">
        <v>22</v>
      </c>
      <c r="B228" s="135" t="s">
        <v>428</v>
      </c>
      <c r="C228" s="136"/>
      <c r="D228" s="180">
        <f>SUM(D229:D236)</f>
        <v>3165</v>
      </c>
      <c r="E228" s="135">
        <f>VLOOKUP(B228,Master!$B$7:$N$316,7,FALSE)</f>
        <v>0</v>
      </c>
      <c r="F228" s="136"/>
      <c r="G228" s="138">
        <f>SUM(G229:G236)</f>
        <v>136056.31578947368</v>
      </c>
      <c r="H228" s="139">
        <v>0.1</v>
      </c>
      <c r="I228" s="138">
        <f>G228+(G228*H228)</f>
        <v>149661.94736842104</v>
      </c>
      <c r="J228" s="180">
        <v>12</v>
      </c>
      <c r="K228" s="138">
        <f>I228/J228</f>
        <v>12471.82894736842</v>
      </c>
      <c r="L228" s="168">
        <f>D228/J228</f>
        <v>263.75</v>
      </c>
    </row>
    <row r="229" spans="1:12" ht="13">
      <c r="A229" s="4"/>
      <c r="B229" s="4"/>
      <c r="C229" s="4" t="s">
        <v>1125</v>
      </c>
      <c r="D229" s="166">
        <v>1000</v>
      </c>
      <c r="E229" s="4" t="str">
        <f>VLOOKUP(C229,Master!$B$6:$N$1000,9,FALSE)</f>
        <v>gr</v>
      </c>
      <c r="F229" s="144">
        <f>VLOOKUP(C229,Master!$B$7:$N$1000,10,FALSE)</f>
        <v>127</v>
      </c>
      <c r="G229" s="144">
        <f t="shared" ref="G229:G236" si="25">D229*F229</f>
        <v>127000</v>
      </c>
      <c r="H229" s="4"/>
      <c r="I229" s="4"/>
      <c r="J229" s="4"/>
      <c r="K229" s="4"/>
      <c r="L229" s="4"/>
    </row>
    <row r="230" spans="1:12" ht="13">
      <c r="A230" s="4"/>
      <c r="B230" s="4"/>
      <c r="C230" s="4" t="s">
        <v>712</v>
      </c>
      <c r="D230" s="166">
        <v>20</v>
      </c>
      <c r="E230" s="4" t="str">
        <f>VLOOKUP(C230,Master!$B$6:$N$1000,9,FALSE)</f>
        <v>gr</v>
      </c>
      <c r="F230" s="144">
        <f>VLOOKUP(C230,Master!$B$7:$N$1000,10,FALSE)</f>
        <v>40</v>
      </c>
      <c r="G230" s="144">
        <f t="shared" si="25"/>
        <v>800</v>
      </c>
      <c r="H230" s="4"/>
      <c r="I230" s="4"/>
      <c r="J230" s="4"/>
      <c r="K230" s="4"/>
      <c r="L230" s="4"/>
    </row>
    <row r="231" spans="1:12" ht="13">
      <c r="A231" s="4"/>
      <c r="B231" s="4"/>
      <c r="C231" s="4" t="s">
        <v>1066</v>
      </c>
      <c r="D231" s="166">
        <v>50</v>
      </c>
      <c r="E231" s="4" t="str">
        <f>VLOOKUP(C231,Master!$B$6:$N$1000,9,FALSE)</f>
        <v>gr</v>
      </c>
      <c r="F231" s="144">
        <f>VLOOKUP(C231,Master!$B$7:$N$1000,10,FALSE)</f>
        <v>16</v>
      </c>
      <c r="G231" s="144">
        <f t="shared" si="25"/>
        <v>800</v>
      </c>
      <c r="H231" s="4"/>
      <c r="I231" s="4"/>
      <c r="J231" s="4"/>
      <c r="K231" s="4"/>
      <c r="L231" s="4"/>
    </row>
    <row r="232" spans="1:12" ht="13">
      <c r="A232" s="4"/>
      <c r="B232" s="4"/>
      <c r="C232" s="4" t="s">
        <v>1152</v>
      </c>
      <c r="D232" s="166">
        <v>50</v>
      </c>
      <c r="E232" s="4" t="str">
        <f>VLOOKUP(C232,Master!$B$6:$N$1000,9,FALSE)</f>
        <v>gr</v>
      </c>
      <c r="F232" s="144">
        <f>VLOOKUP(C232,Master!$B$7:$N$1000,10,FALSE)</f>
        <v>13</v>
      </c>
      <c r="G232" s="144">
        <f t="shared" si="25"/>
        <v>650</v>
      </c>
      <c r="H232" s="4"/>
      <c r="I232" s="4"/>
      <c r="J232" s="4"/>
      <c r="K232" s="4"/>
      <c r="L232" s="4"/>
    </row>
    <row r="233" spans="1:12" ht="13">
      <c r="A233" s="4"/>
      <c r="B233" s="4"/>
      <c r="C233" s="4" t="s">
        <v>901</v>
      </c>
      <c r="D233" s="166">
        <v>5</v>
      </c>
      <c r="E233" s="4" t="str">
        <f>VLOOKUP(C233,Master!$B$6:$N$1000,9,FALSE)</f>
        <v>gr</v>
      </c>
      <c r="F233" s="144">
        <f>VLOOKUP(C233,Master!$B$7:$N$1000,10,FALSE)</f>
        <v>12</v>
      </c>
      <c r="G233" s="144">
        <f t="shared" si="25"/>
        <v>60</v>
      </c>
      <c r="H233" s="4"/>
      <c r="I233" s="4"/>
      <c r="J233" s="4"/>
      <c r="K233" s="4"/>
      <c r="L233" s="4"/>
    </row>
    <row r="234" spans="1:12" ht="13">
      <c r="A234" s="4"/>
      <c r="B234" s="4"/>
      <c r="C234" s="145" t="s">
        <v>895</v>
      </c>
      <c r="D234" s="146">
        <v>20</v>
      </c>
      <c r="E234" s="4" t="str">
        <f>VLOOKUP(C234,Master!$B$6:$N$1000,9,FALSE)</f>
        <v>gr</v>
      </c>
      <c r="F234" s="144">
        <f>VLOOKUP(C234,Master!$B$7:$N$1000,10,FALSE)</f>
        <v>256</v>
      </c>
      <c r="G234" s="144">
        <f t="shared" si="25"/>
        <v>5120</v>
      </c>
      <c r="H234" s="81"/>
      <c r="I234" s="121"/>
      <c r="J234" s="145"/>
      <c r="K234" s="121"/>
      <c r="L234" s="177"/>
    </row>
    <row r="235" spans="1:12" ht="13">
      <c r="A235" s="4"/>
      <c r="B235" s="4"/>
      <c r="C235" s="145" t="s">
        <v>764</v>
      </c>
      <c r="D235" s="146">
        <v>20</v>
      </c>
      <c r="E235" s="4" t="str">
        <f>VLOOKUP(C235,Master!$B$6:$N$1000,9,FALSE)</f>
        <v>gr</v>
      </c>
      <c r="F235" s="144">
        <f>VLOOKUP(C235,Master!$B$7:$N$1000,10,FALSE)</f>
        <v>15</v>
      </c>
      <c r="G235" s="144">
        <f t="shared" si="25"/>
        <v>300</v>
      </c>
      <c r="H235" s="81"/>
      <c r="I235" s="121"/>
      <c r="J235" s="145"/>
      <c r="K235" s="121"/>
      <c r="L235" s="177"/>
    </row>
    <row r="236" spans="1:12" ht="13">
      <c r="A236" s="90"/>
      <c r="B236" s="90"/>
      <c r="C236" s="151" t="s">
        <v>2052</v>
      </c>
      <c r="D236" s="149">
        <v>2000</v>
      </c>
      <c r="E236" s="4" t="str">
        <f>VLOOKUP(C236,Master!$B$6:$N$1000,9,FALSE)</f>
        <v>ml</v>
      </c>
      <c r="F236" s="144">
        <f>VLOOKUP(C236,Master!$B$7:$N$1000,10,FALSE)</f>
        <v>0.66315789473684206</v>
      </c>
      <c r="G236" s="150">
        <f t="shared" si="25"/>
        <v>1326.3157894736842</v>
      </c>
      <c r="H236" s="178"/>
      <c r="I236" s="107"/>
      <c r="J236" s="151"/>
      <c r="K236" s="107"/>
      <c r="L236" s="179"/>
    </row>
    <row r="237" spans="1:12" ht="13">
      <c r="A237" s="182">
        <v>22</v>
      </c>
      <c r="B237" s="135" t="s">
        <v>436</v>
      </c>
      <c r="C237" s="136"/>
      <c r="D237" s="180">
        <f>SUM(D238:D242)</f>
        <v>8.5</v>
      </c>
      <c r="E237" s="135">
        <f>VLOOKUP(B237,Master!$B$7:$N$316,7,FALSE)</f>
        <v>0</v>
      </c>
      <c r="F237" s="136"/>
      <c r="G237" s="138">
        <f>SUM(G238:G242)</f>
        <v>1165.3333333333335</v>
      </c>
      <c r="H237" s="139">
        <v>0.1</v>
      </c>
      <c r="I237" s="138">
        <f>G237+(G237*H237)</f>
        <v>1281.8666666666668</v>
      </c>
      <c r="J237" s="180">
        <v>1</v>
      </c>
      <c r="K237" s="138">
        <f>I237/J237</f>
        <v>1281.8666666666668</v>
      </c>
      <c r="L237" s="168">
        <f>D237/J237</f>
        <v>8.5</v>
      </c>
    </row>
    <row r="238" spans="1:12" ht="13">
      <c r="A238" s="4"/>
      <c r="B238" s="4"/>
      <c r="C238" s="4" t="s">
        <v>659</v>
      </c>
      <c r="D238" s="166">
        <v>0.5</v>
      </c>
      <c r="E238" s="4" t="str">
        <f>VLOOKUP(C238,Master!$B$6:$N$1000,9,FALSE)</f>
        <v>pcs</v>
      </c>
      <c r="F238" s="144">
        <f>VLOOKUP(C238,Master!$B$7:$N$1000,10,FALSE)</f>
        <v>1866.6666666666667</v>
      </c>
      <c r="G238" s="144">
        <f t="shared" ref="G238:G242" si="26">D238*F238</f>
        <v>933.33333333333337</v>
      </c>
      <c r="H238" s="4"/>
      <c r="I238" s="4"/>
      <c r="J238" s="4"/>
      <c r="K238" s="4"/>
      <c r="L238" s="4"/>
    </row>
    <row r="239" spans="1:12" ht="13">
      <c r="A239" s="4"/>
      <c r="B239" s="4"/>
      <c r="C239" s="4" t="s">
        <v>819</v>
      </c>
      <c r="D239" s="166">
        <v>5</v>
      </c>
      <c r="E239" s="4" t="str">
        <f>VLOOKUP(C239,Master!$B$6:$N$1000,9,FALSE)</f>
        <v>gr</v>
      </c>
      <c r="F239" s="144">
        <f>VLOOKUP(C239,Master!$B$7:$N$1000,10,FALSE)</f>
        <v>13</v>
      </c>
      <c r="G239" s="144">
        <f t="shared" si="26"/>
        <v>65</v>
      </c>
      <c r="H239" s="4"/>
      <c r="I239" s="4"/>
      <c r="J239" s="4"/>
      <c r="K239" s="4"/>
      <c r="L239" s="4"/>
    </row>
    <row r="240" spans="1:12" ht="13">
      <c r="A240" s="4"/>
      <c r="B240" s="4"/>
      <c r="C240" s="145" t="s">
        <v>2043</v>
      </c>
      <c r="D240" s="146">
        <v>2</v>
      </c>
      <c r="E240" s="4" t="str">
        <f>VLOOKUP(C240,Master!$B$6:$N$1000,9,FALSE)</f>
        <v>gr</v>
      </c>
      <c r="F240" s="144">
        <f>VLOOKUP(C240,Master!$B$7:$N$1000,10,FALSE)</f>
        <v>38.5</v>
      </c>
      <c r="G240" s="144">
        <f t="shared" si="26"/>
        <v>77</v>
      </c>
      <c r="H240" s="81"/>
      <c r="I240" s="121"/>
      <c r="J240" s="145"/>
      <c r="K240" s="121"/>
      <c r="L240" s="177"/>
    </row>
    <row r="241" spans="1:12" ht="13">
      <c r="A241" s="4"/>
      <c r="B241" s="4"/>
      <c r="C241" s="145" t="s">
        <v>799</v>
      </c>
      <c r="D241" s="146">
        <v>1</v>
      </c>
      <c r="E241" s="4" t="str">
        <f>VLOOKUP(C241,Master!$B$6:$N$1000,9,FALSE)</f>
        <v>gr</v>
      </c>
      <c r="F241" s="144">
        <f>VLOOKUP(C241,Master!$B$7:$N$1000,10,FALSE)</f>
        <v>90</v>
      </c>
      <c r="G241" s="144">
        <f t="shared" si="26"/>
        <v>90</v>
      </c>
      <c r="H241" s="81"/>
      <c r="I241" s="121"/>
      <c r="J241" s="145"/>
      <c r="K241" s="121"/>
      <c r="L241" s="177"/>
    </row>
    <row r="242" spans="1:12" ht="13">
      <c r="A242" s="90"/>
      <c r="B242" s="90"/>
      <c r="C242" s="151" t="s">
        <v>1988</v>
      </c>
      <c r="D242" s="149">
        <v>0</v>
      </c>
      <c r="E242" s="4" t="str">
        <f>VLOOKUP(C242,Master!$B$6:$N$1000,9,FALSE)</f>
        <v>ml</v>
      </c>
      <c r="F242" s="144">
        <f>VLOOKUP(C242,Master!$B$7:$N$1000,10,FALSE)</f>
        <v>16.222222222222221</v>
      </c>
      <c r="G242" s="150">
        <f t="shared" si="26"/>
        <v>0</v>
      </c>
      <c r="H242" s="178"/>
      <c r="I242" s="107"/>
      <c r="J242" s="151"/>
      <c r="K242" s="107"/>
      <c r="L242" s="179"/>
    </row>
    <row r="243" spans="1:12" ht="13">
      <c r="A243" s="182">
        <v>22</v>
      </c>
      <c r="B243" s="135" t="s">
        <v>440</v>
      </c>
      <c r="C243" s="136"/>
      <c r="D243" s="180">
        <f>SUM(D244:D248)</f>
        <v>1100</v>
      </c>
      <c r="E243" s="135" t="str">
        <f>VLOOKUP(B243,Master!$B$7:$N$316,7,FALSE)</f>
        <v>gr</v>
      </c>
      <c r="F243" s="136"/>
      <c r="G243" s="138">
        <f>SUM(G244:G248)</f>
        <v>25696.62162162162</v>
      </c>
      <c r="H243" s="139">
        <v>0.1</v>
      </c>
      <c r="I243" s="138">
        <f>G243+(G243*H243)</f>
        <v>28266.283783783783</v>
      </c>
      <c r="J243" s="180">
        <v>16</v>
      </c>
      <c r="K243" s="138">
        <f>I243/J243</f>
        <v>1766.6427364864865</v>
      </c>
      <c r="L243" s="168">
        <f>D243/J243</f>
        <v>68.75</v>
      </c>
    </row>
    <row r="244" spans="1:12" ht="13">
      <c r="A244" s="4"/>
      <c r="B244" s="4"/>
      <c r="C244" s="4" t="s">
        <v>2044</v>
      </c>
      <c r="D244" s="166">
        <v>500</v>
      </c>
      <c r="E244" s="4" t="str">
        <f>VLOOKUP(C244,Master!$B$6:$N$1000,9,FALSE)</f>
        <v>gr</v>
      </c>
      <c r="F244" s="144">
        <f>VLOOKUP(C244,Master!$B$7:$N$1000,10,FALSE)</f>
        <v>27.5</v>
      </c>
      <c r="G244" s="144">
        <f t="shared" ref="G244:G248" si="27">D244*F244</f>
        <v>13750</v>
      </c>
      <c r="H244" s="4"/>
      <c r="I244" s="4"/>
      <c r="J244" s="4"/>
      <c r="K244" s="4"/>
      <c r="L244" s="4"/>
    </row>
    <row r="245" spans="1:12" ht="13">
      <c r="A245" s="4"/>
      <c r="B245" s="4"/>
      <c r="C245" s="4" t="s">
        <v>2049</v>
      </c>
      <c r="D245" s="166">
        <v>50</v>
      </c>
      <c r="E245" s="4" t="str">
        <f>VLOOKUP(C245,Master!$B$6:$N$1000,9,FALSE)</f>
        <v>gr</v>
      </c>
      <c r="F245" s="144">
        <f>VLOOKUP(C245,Master!$B$7:$N$1000,10,FALSE)</f>
        <v>32.432432432432435</v>
      </c>
      <c r="G245" s="144">
        <f t="shared" si="27"/>
        <v>1621.6216216216217</v>
      </c>
      <c r="H245" s="4"/>
      <c r="I245" s="4"/>
      <c r="J245" s="4"/>
      <c r="K245" s="4"/>
      <c r="L245" s="4"/>
    </row>
    <row r="246" spans="1:12" ht="13">
      <c r="A246" s="4"/>
      <c r="B246" s="4"/>
      <c r="C246" s="145" t="s">
        <v>1074</v>
      </c>
      <c r="D246" s="146">
        <v>50</v>
      </c>
      <c r="E246" s="4" t="str">
        <f>VLOOKUP(C246,Master!$B$6:$N$1000,9,FALSE)</f>
        <v>gr</v>
      </c>
      <c r="F246" s="144">
        <f>VLOOKUP(C246,Master!$B$7:$N$1000,10,FALSE)</f>
        <v>16.5</v>
      </c>
      <c r="G246" s="144">
        <f t="shared" si="27"/>
        <v>825</v>
      </c>
      <c r="H246" s="81"/>
      <c r="I246" s="121"/>
      <c r="J246" s="145"/>
      <c r="K246" s="121"/>
      <c r="L246" s="177"/>
    </row>
    <row r="247" spans="1:12" ht="13">
      <c r="A247" s="4"/>
      <c r="B247" s="4"/>
      <c r="C247" s="145" t="s">
        <v>651</v>
      </c>
      <c r="D247" s="146">
        <v>250</v>
      </c>
      <c r="E247" s="4" t="str">
        <f>VLOOKUP(C247,Master!$B$6:$N$1000,9,FALSE)</f>
        <v>gr</v>
      </c>
      <c r="F247" s="144">
        <f>VLOOKUP(C247,Master!$B$7:$N$1000,10,FALSE)</f>
        <v>18</v>
      </c>
      <c r="G247" s="144">
        <f t="shared" si="27"/>
        <v>4500</v>
      </c>
      <c r="H247" s="81"/>
      <c r="I247" s="121"/>
      <c r="J247" s="145"/>
      <c r="K247" s="121"/>
      <c r="L247" s="177"/>
    </row>
    <row r="248" spans="1:12" ht="13">
      <c r="A248" s="90"/>
      <c r="B248" s="90"/>
      <c r="C248" s="151" t="s">
        <v>907</v>
      </c>
      <c r="D248" s="149">
        <v>250</v>
      </c>
      <c r="E248" s="4" t="str">
        <f>VLOOKUP(C248,Master!$B$6:$N$1000,9,FALSE)</f>
        <v>gr</v>
      </c>
      <c r="F248" s="144">
        <f>VLOOKUP(C248,Master!$B$7:$N$1000,10,FALSE)</f>
        <v>20</v>
      </c>
      <c r="G248" s="150">
        <f t="shared" si="27"/>
        <v>5000</v>
      </c>
      <c r="H248" s="178"/>
      <c r="I248" s="107"/>
      <c r="J248" s="151"/>
      <c r="K248" s="107"/>
      <c r="L248" s="179"/>
    </row>
    <row r="249" spans="1:12" ht="13">
      <c r="A249" s="183">
        <v>23</v>
      </c>
      <c r="B249" s="135" t="s">
        <v>282</v>
      </c>
      <c r="C249" s="136"/>
      <c r="D249" s="180">
        <f>SUM(D250:D254)</f>
        <v>2037</v>
      </c>
      <c r="E249" s="184">
        <f>VLOOKUP(B249,Master!$B$7:$N$316,7,FALSE)</f>
        <v>0</v>
      </c>
      <c r="F249" s="136"/>
      <c r="G249" s="138">
        <f>SUM(G250:G253)</f>
        <v>2337.0533333333333</v>
      </c>
      <c r="H249" s="139">
        <v>0.1</v>
      </c>
      <c r="I249" s="138">
        <f>G249+(G249*H249)</f>
        <v>2570.7586666666666</v>
      </c>
      <c r="J249" s="180">
        <v>1</v>
      </c>
      <c r="K249" s="138">
        <f>I249/J249</f>
        <v>2570.7586666666666</v>
      </c>
      <c r="L249" s="168">
        <f>D249/J249</f>
        <v>2037</v>
      </c>
    </row>
    <row r="250" spans="1:12" ht="13">
      <c r="A250" s="4"/>
      <c r="B250" s="4"/>
      <c r="C250" s="4" t="s">
        <v>659</v>
      </c>
      <c r="D250" s="166">
        <v>1</v>
      </c>
      <c r="E250" s="4" t="str">
        <f>VLOOKUP(C250,Master!$B$6:$N$1000,9,FALSE)</f>
        <v>pcs</v>
      </c>
      <c r="F250" s="144">
        <f>VLOOKUP(C250,Master!$B$7:$N$1000,10,FALSE)</f>
        <v>1866.6666666666667</v>
      </c>
      <c r="G250" s="144">
        <f t="shared" ref="G250:G253" si="28">D250*F250</f>
        <v>1866.6666666666667</v>
      </c>
      <c r="H250" s="4"/>
      <c r="I250" s="4"/>
      <c r="J250" s="4"/>
      <c r="K250" s="4"/>
      <c r="L250" s="4"/>
    </row>
    <row r="251" spans="1:12" ht="13">
      <c r="A251" s="4"/>
      <c r="B251" s="4"/>
      <c r="C251" s="145" t="s">
        <v>1981</v>
      </c>
      <c r="D251" s="146">
        <v>20</v>
      </c>
      <c r="E251" s="4" t="str">
        <f>VLOOKUP(C251,Master!$B$6:$N$1000,9,FALSE)</f>
        <v>ml</v>
      </c>
      <c r="F251" s="144">
        <f>VLOOKUP(C251,Master!$B$7:$N$1000,10,FALSE)</f>
        <v>17.094333333333335</v>
      </c>
      <c r="G251" s="144">
        <f t="shared" si="28"/>
        <v>341.88666666666671</v>
      </c>
      <c r="H251" s="81"/>
      <c r="I251" s="121"/>
      <c r="J251" s="145"/>
      <c r="K251" s="121"/>
      <c r="L251" s="177"/>
    </row>
    <row r="252" spans="1:12" ht="13">
      <c r="A252" s="4"/>
      <c r="B252" s="4"/>
      <c r="C252" s="145" t="s">
        <v>2043</v>
      </c>
      <c r="D252" s="146">
        <v>1</v>
      </c>
      <c r="E252" s="4" t="str">
        <f>VLOOKUP(C252,Master!$B$6:$N$1000,9,FALSE)</f>
        <v>gr</v>
      </c>
      <c r="F252" s="144">
        <f>VLOOKUP(C252,Master!$B$7:$N$1000,10,FALSE)</f>
        <v>38.5</v>
      </c>
      <c r="G252" s="144">
        <f t="shared" si="28"/>
        <v>38.5</v>
      </c>
      <c r="H252" s="81"/>
      <c r="I252" s="121"/>
      <c r="J252" s="145"/>
      <c r="K252" s="121"/>
      <c r="L252" s="177"/>
    </row>
    <row r="253" spans="1:12" ht="13">
      <c r="A253" s="90"/>
      <c r="B253" s="4"/>
      <c r="C253" s="151" t="s">
        <v>799</v>
      </c>
      <c r="D253" s="149">
        <v>1</v>
      </c>
      <c r="E253" s="4" t="str">
        <f>VLOOKUP(C253,Master!$B$6:$N$1000,9,FALSE)</f>
        <v>gr</v>
      </c>
      <c r="F253" s="144">
        <f>VLOOKUP(C253,Master!$B$7:$N$1000,10,FALSE)</f>
        <v>90</v>
      </c>
      <c r="G253" s="150">
        <f t="shared" si="28"/>
        <v>90</v>
      </c>
      <c r="H253" s="178"/>
      <c r="I253" s="107"/>
      <c r="J253" s="151"/>
      <c r="K253" s="107"/>
      <c r="L253" s="179"/>
    </row>
    <row r="254" spans="1:12" ht="13">
      <c r="A254" s="183">
        <v>24</v>
      </c>
      <c r="B254" s="135" t="s">
        <v>267</v>
      </c>
      <c r="C254" s="136"/>
      <c r="D254" s="180">
        <f>SUM(D255:D259)</f>
        <v>2014</v>
      </c>
      <c r="E254" s="184">
        <f>VLOOKUP(B254,Master!$B$7:$N$316,7,FALSE)</f>
        <v>0</v>
      </c>
      <c r="F254" s="136"/>
      <c r="G254" s="138">
        <f>SUM(G255:G258)</f>
        <v>7078.5</v>
      </c>
      <c r="H254" s="139">
        <v>0.1</v>
      </c>
      <c r="I254" s="138">
        <f>G254+(G254*H254)</f>
        <v>7786.35</v>
      </c>
      <c r="J254" s="180">
        <v>132</v>
      </c>
      <c r="K254" s="138">
        <f>I254/J254</f>
        <v>58.987500000000004</v>
      </c>
      <c r="L254" s="168">
        <f>D254/J254</f>
        <v>15.257575757575758</v>
      </c>
    </row>
    <row r="255" spans="1:12" ht="13">
      <c r="A255" s="4"/>
      <c r="B255" s="4"/>
      <c r="C255" s="4" t="s">
        <v>2043</v>
      </c>
      <c r="D255" s="166">
        <v>22</v>
      </c>
      <c r="E255" s="4" t="str">
        <f>VLOOKUP(C255,Master!$B$6:$N$1000,9,FALSE)</f>
        <v>gr</v>
      </c>
      <c r="F255" s="144">
        <f>VLOOKUP(C255,Master!$B$7:$N$1000,10,FALSE)</f>
        <v>38.5</v>
      </c>
      <c r="G255" s="144">
        <f t="shared" ref="G255:G258" si="29">D255*F255</f>
        <v>847</v>
      </c>
      <c r="H255" s="4"/>
      <c r="I255" s="4"/>
      <c r="J255" s="4"/>
      <c r="K255" s="4"/>
      <c r="L255" s="4"/>
    </row>
    <row r="256" spans="1:12" ht="13">
      <c r="A256" s="4"/>
      <c r="B256" s="4"/>
      <c r="C256" s="145" t="s">
        <v>1980</v>
      </c>
      <c r="D256" s="146">
        <v>132</v>
      </c>
      <c r="E256" s="4" t="str">
        <f>VLOOKUP(C256,Master!$B$6:$N$1000,9,FALSE)</f>
        <v>gr</v>
      </c>
      <c r="F256" s="144">
        <f>VLOOKUP(C256,Master!$B$7:$N$1000,10,FALSE)</f>
        <v>17.5</v>
      </c>
      <c r="G256" s="144">
        <f t="shared" si="29"/>
        <v>2310</v>
      </c>
      <c r="H256" s="81"/>
      <c r="I256" s="121"/>
      <c r="J256" s="145"/>
      <c r="K256" s="121"/>
      <c r="L256" s="177"/>
    </row>
    <row r="257" spans="1:12" ht="13">
      <c r="A257" s="4"/>
      <c r="B257" s="4"/>
      <c r="C257" s="145" t="s">
        <v>764</v>
      </c>
      <c r="D257" s="146">
        <v>33</v>
      </c>
      <c r="E257" s="4" t="str">
        <f>VLOOKUP(C257,Master!$B$6:$N$1000,9,FALSE)</f>
        <v>gr</v>
      </c>
      <c r="F257" s="144">
        <f>VLOOKUP(C257,Master!$B$7:$N$1000,10,FALSE)</f>
        <v>15</v>
      </c>
      <c r="G257" s="144">
        <f t="shared" si="29"/>
        <v>495</v>
      </c>
      <c r="H257" s="81"/>
      <c r="I257" s="121"/>
      <c r="J257" s="145"/>
      <c r="K257" s="121"/>
      <c r="L257" s="177"/>
    </row>
    <row r="258" spans="1:12" ht="13">
      <c r="A258" s="90"/>
      <c r="B258" s="4"/>
      <c r="C258" s="151" t="s">
        <v>1000</v>
      </c>
      <c r="D258" s="149">
        <v>77</v>
      </c>
      <c r="E258" s="4" t="str">
        <f>VLOOKUP(C258,Master!$B$6:$N$1000,9,FALSE)</f>
        <v>gr</v>
      </c>
      <c r="F258" s="144">
        <f>VLOOKUP(C258,Master!$B$7:$N$1000,10,FALSE)</f>
        <v>44.5</v>
      </c>
      <c r="G258" s="150">
        <f t="shared" si="29"/>
        <v>3426.5</v>
      </c>
      <c r="H258" s="178"/>
      <c r="I258" s="107"/>
      <c r="J258" s="151"/>
      <c r="K258" s="107"/>
      <c r="L258" s="179"/>
    </row>
    <row r="259" spans="1:12" ht="13">
      <c r="A259" s="183">
        <v>25</v>
      </c>
      <c r="B259" s="135" t="s">
        <v>293</v>
      </c>
      <c r="C259" s="136"/>
      <c r="D259" s="180">
        <f>SUM(D260:D262)</f>
        <v>1750</v>
      </c>
      <c r="E259" s="184">
        <f>VLOOKUP(B259,Master!$B$7:$N$316,7,FALSE)</f>
        <v>0</v>
      </c>
      <c r="F259" s="136"/>
      <c r="G259" s="138">
        <f>SUM(G260:G262)</f>
        <v>33800</v>
      </c>
      <c r="H259" s="139">
        <v>0.1</v>
      </c>
      <c r="I259" s="138">
        <f>G259+(G259*H259)</f>
        <v>37180</v>
      </c>
      <c r="J259" s="180">
        <v>43</v>
      </c>
      <c r="K259" s="138">
        <f>I259/J259</f>
        <v>864.65116279069764</v>
      </c>
      <c r="L259" s="168">
        <f>D259/J259</f>
        <v>40.697674418604649</v>
      </c>
    </row>
    <row r="260" spans="1:12" ht="13">
      <c r="A260" s="4"/>
      <c r="B260" s="4"/>
      <c r="C260" s="4" t="s">
        <v>651</v>
      </c>
      <c r="D260" s="166">
        <v>1000</v>
      </c>
      <c r="E260" s="4" t="str">
        <f>VLOOKUP(C260,Master!$B$6:$N$1000,9,FALSE)</f>
        <v>gr</v>
      </c>
      <c r="F260" s="144">
        <f>VLOOKUP(C260,Master!$B$7:$N$1000,10,FALSE)</f>
        <v>18</v>
      </c>
      <c r="G260" s="144">
        <f t="shared" ref="G260:G262" si="30">D260*F260</f>
        <v>18000</v>
      </c>
      <c r="H260" s="4"/>
      <c r="I260" s="4"/>
      <c r="J260" s="4"/>
      <c r="K260" s="4"/>
      <c r="L260" s="4"/>
    </row>
    <row r="261" spans="1:12" ht="13">
      <c r="A261" s="4"/>
      <c r="B261" s="4"/>
      <c r="C261" s="4" t="s">
        <v>1020</v>
      </c>
      <c r="D261" s="166">
        <v>250</v>
      </c>
      <c r="E261" s="4" t="str">
        <f>VLOOKUP(C261,Master!$B$6:$N$1000,9,FALSE)</f>
        <v>gr</v>
      </c>
      <c r="F261" s="144">
        <f>VLOOKUP(C261,Master!$B$7:$N$1000,10,FALSE)</f>
        <v>24</v>
      </c>
      <c r="G261" s="144">
        <f t="shared" si="30"/>
        <v>6000</v>
      </c>
      <c r="H261" s="4"/>
      <c r="I261" s="4"/>
      <c r="J261" s="4"/>
      <c r="K261" s="4"/>
      <c r="L261" s="4"/>
    </row>
    <row r="262" spans="1:12" ht="13">
      <c r="A262" s="4"/>
      <c r="B262" s="4"/>
      <c r="C262" s="4" t="s">
        <v>1050</v>
      </c>
      <c r="D262" s="166">
        <v>500</v>
      </c>
      <c r="E262" s="4" t="str">
        <f>VLOOKUP(C262,Master!$B$6:$N$1000,9,FALSE)</f>
        <v>gr</v>
      </c>
      <c r="F262" s="144">
        <f>VLOOKUP(C262,Master!$B$7:$N$1000,10,FALSE)</f>
        <v>19.600000000000001</v>
      </c>
      <c r="G262" s="144">
        <f t="shared" si="30"/>
        <v>9800</v>
      </c>
      <c r="H262" s="4"/>
      <c r="I262" s="4"/>
      <c r="J262" s="4"/>
      <c r="K262" s="4"/>
      <c r="L262" s="4"/>
    </row>
    <row r="263" spans="1:12" ht="13">
      <c r="A263" s="183">
        <v>26</v>
      </c>
      <c r="B263" s="135" t="s">
        <v>191</v>
      </c>
      <c r="C263" s="136"/>
      <c r="D263" s="180">
        <f>SUM(D264:D268)</f>
        <v>1401</v>
      </c>
      <c r="E263" s="184">
        <f>VLOOKUP(B263,Master!$B$7:$N$316,7,FALSE)</f>
        <v>0</v>
      </c>
      <c r="F263" s="136"/>
      <c r="G263" s="138">
        <f>SUM(G264:G268)</f>
        <v>45150.803921568629</v>
      </c>
      <c r="H263" s="139">
        <v>0.1</v>
      </c>
      <c r="I263" s="138">
        <f>G263+(G263*H263)</f>
        <v>49665.884313725495</v>
      </c>
      <c r="J263" s="180">
        <v>28</v>
      </c>
      <c r="K263" s="138">
        <f>I263/J263</f>
        <v>1773.7815826330534</v>
      </c>
      <c r="L263" s="168">
        <f>D263/J263</f>
        <v>50.035714285714285</v>
      </c>
    </row>
    <row r="264" spans="1:12" ht="13">
      <c r="A264" s="4"/>
      <c r="B264" s="4"/>
      <c r="C264" s="4" t="s">
        <v>1048</v>
      </c>
      <c r="D264" s="166">
        <v>100</v>
      </c>
      <c r="E264" s="4" t="str">
        <f>VLOOKUP(C264,Master!$B$6:$N$1000,9,FALSE)</f>
        <v>gr</v>
      </c>
      <c r="F264" s="144">
        <f>VLOOKUP(C264,Master!$B$7:$N$1000,10,FALSE)</f>
        <v>75</v>
      </c>
      <c r="G264" s="144">
        <f t="shared" ref="G264:G268" si="31">D264*F264</f>
        <v>7500</v>
      </c>
      <c r="H264" s="4"/>
      <c r="I264" s="4"/>
      <c r="J264" s="4"/>
      <c r="K264" s="4"/>
      <c r="L264" s="4"/>
    </row>
    <row r="265" spans="1:12" ht="13">
      <c r="A265" s="4"/>
      <c r="B265" s="4"/>
      <c r="C265" s="4" t="s">
        <v>1039</v>
      </c>
      <c r="D265" s="166">
        <v>50</v>
      </c>
      <c r="E265" s="4" t="str">
        <f>VLOOKUP(C265,Master!$B$6:$N$1000,9,FALSE)</f>
        <v>gr</v>
      </c>
      <c r="F265" s="144">
        <f>VLOOKUP(C265,Master!$B$7:$N$1000,10,FALSE)</f>
        <v>73.529411764705884</v>
      </c>
      <c r="G265" s="144">
        <f t="shared" si="31"/>
        <v>3676.4705882352941</v>
      </c>
      <c r="H265" s="4"/>
      <c r="I265" s="4"/>
      <c r="J265" s="4"/>
      <c r="K265" s="4"/>
      <c r="L265" s="4"/>
    </row>
    <row r="266" spans="1:12" ht="13">
      <c r="A266" s="4"/>
      <c r="B266" s="4"/>
      <c r="C266" s="4" t="s">
        <v>1981</v>
      </c>
      <c r="D266" s="166">
        <v>1000</v>
      </c>
      <c r="E266" s="4" t="str">
        <f>VLOOKUP(C266,Master!$B$6:$N$1000,9,FALSE)</f>
        <v>ml</v>
      </c>
      <c r="F266" s="144">
        <f>VLOOKUP(C266,Master!$B$7:$N$1000,10,FALSE)</f>
        <v>17.094333333333335</v>
      </c>
      <c r="G266" s="144">
        <f t="shared" si="31"/>
        <v>17094.333333333336</v>
      </c>
      <c r="H266" s="4"/>
      <c r="I266" s="4"/>
      <c r="J266" s="4"/>
      <c r="K266" s="4"/>
      <c r="L266" s="4"/>
    </row>
    <row r="267" spans="1:12" ht="13">
      <c r="A267" s="4"/>
      <c r="B267" s="4"/>
      <c r="C267" s="4" t="s">
        <v>2046</v>
      </c>
      <c r="D267" s="166">
        <v>250</v>
      </c>
      <c r="E267" s="4" t="str">
        <f>VLOOKUP(C267,Master!$B$6:$N$1000,9,FALSE)</f>
        <v>ml</v>
      </c>
      <c r="F267" s="144">
        <f>VLOOKUP(C267,Master!$B$7:$N$1000,10,FALSE)</f>
        <v>66</v>
      </c>
      <c r="G267" s="144">
        <f t="shared" si="31"/>
        <v>16500</v>
      </c>
      <c r="H267" s="4"/>
      <c r="I267" s="4"/>
      <c r="J267" s="4"/>
      <c r="K267" s="4"/>
      <c r="L267" s="4"/>
    </row>
    <row r="268" spans="1:12" ht="13">
      <c r="A268" s="4"/>
      <c r="B268" s="4"/>
      <c r="C268" s="4" t="s">
        <v>811</v>
      </c>
      <c r="D268" s="166">
        <v>1</v>
      </c>
      <c r="E268" s="4" t="str">
        <f>VLOOKUP(C268,Master!$B$6:$N$1000,9,FALSE)</f>
        <v>gr</v>
      </c>
      <c r="F268" s="144">
        <f>VLOOKUP(C268,Master!$B$7:$N$1000,10,FALSE)</f>
        <v>380</v>
      </c>
      <c r="G268" s="144">
        <f t="shared" si="31"/>
        <v>380</v>
      </c>
      <c r="H268" s="4"/>
      <c r="I268" s="4"/>
      <c r="J268" s="4"/>
      <c r="K268" s="4"/>
      <c r="L268" s="4"/>
    </row>
    <row r="269" spans="1:12" ht="13">
      <c r="A269" s="183">
        <v>27</v>
      </c>
      <c r="B269" s="135" t="s">
        <v>215</v>
      </c>
      <c r="C269" s="136"/>
      <c r="D269" s="180">
        <f>SUM(D270:D274)</f>
        <v>1990</v>
      </c>
      <c r="E269" s="184">
        <f>VLOOKUP(B269,Master!$B$7:$N$316,7,FALSE)</f>
        <v>0</v>
      </c>
      <c r="F269" s="136"/>
      <c r="G269" s="138">
        <f>SUM(G270:G272)</f>
        <v>25785.380116959066</v>
      </c>
      <c r="H269" s="139">
        <v>0.1</v>
      </c>
      <c r="I269" s="138">
        <f>G269+(G269*H269)</f>
        <v>28363.918128654972</v>
      </c>
      <c r="J269" s="180">
        <v>15</v>
      </c>
      <c r="K269" s="138">
        <f>I269/J269</f>
        <v>1890.9278752436649</v>
      </c>
      <c r="L269" s="168">
        <f>D269/J269</f>
        <v>132.66666666666666</v>
      </c>
    </row>
    <row r="270" spans="1:12" ht="13">
      <c r="A270" s="4"/>
      <c r="B270" s="4"/>
      <c r="C270" s="4" t="s">
        <v>1978</v>
      </c>
      <c r="D270" s="166">
        <v>750</v>
      </c>
      <c r="E270" s="4" t="str">
        <f>VLOOKUP(C270,Master!$B$6:$N$1000,9,FALSE)</f>
        <v>gr</v>
      </c>
      <c r="F270" s="144">
        <f>VLOOKUP(C270,Master!$B$7:$N$1000,10,FALSE)</f>
        <v>31.333333333333332</v>
      </c>
      <c r="G270" s="144">
        <f t="shared" ref="G270:G272" si="32">D270*F270</f>
        <v>23500</v>
      </c>
      <c r="H270" s="4"/>
      <c r="I270" s="4"/>
      <c r="J270" s="4"/>
      <c r="K270" s="4"/>
      <c r="L270" s="4"/>
    </row>
    <row r="271" spans="1:12" ht="13">
      <c r="A271" s="4"/>
      <c r="B271" s="4"/>
      <c r="C271" s="4" t="s">
        <v>2052</v>
      </c>
      <c r="D271" s="166">
        <v>1000</v>
      </c>
      <c r="E271" s="4" t="str">
        <f>VLOOKUP(C271,Master!$B$6:$N$1000,9,FALSE)</f>
        <v>ml</v>
      </c>
      <c r="F271" s="144">
        <f>VLOOKUP(C271,Master!$B$7:$N$1000,10,FALSE)</f>
        <v>0.66315789473684206</v>
      </c>
      <c r="G271" s="144">
        <f t="shared" si="32"/>
        <v>663.15789473684208</v>
      </c>
      <c r="H271" s="4"/>
      <c r="I271" s="4"/>
      <c r="J271" s="4"/>
      <c r="K271" s="4"/>
      <c r="L271" s="4"/>
    </row>
    <row r="272" spans="1:12" ht="13">
      <c r="A272" s="4"/>
      <c r="B272" s="4"/>
      <c r="C272" s="4" t="s">
        <v>1988</v>
      </c>
      <c r="D272" s="166">
        <v>100</v>
      </c>
      <c r="E272" s="4" t="str">
        <f>VLOOKUP(C272,Master!$B$6:$N$1000,9,FALSE)</f>
        <v>ml</v>
      </c>
      <c r="F272" s="144">
        <f>VLOOKUP(C272,Master!$B$7:$N$1000,10,FALSE)</f>
        <v>16.222222222222221</v>
      </c>
      <c r="G272" s="144">
        <f t="shared" si="32"/>
        <v>1622.2222222222222</v>
      </c>
      <c r="H272" s="4"/>
      <c r="I272" s="4"/>
      <c r="J272" s="4"/>
      <c r="K272" s="4"/>
      <c r="L272" s="4"/>
    </row>
    <row r="273" spans="1:12" ht="13">
      <c r="A273" s="183">
        <v>28</v>
      </c>
      <c r="B273" s="135" t="s">
        <v>199</v>
      </c>
      <c r="C273" s="136"/>
      <c r="D273" s="180">
        <f>SUM(D274:D278)</f>
        <v>110</v>
      </c>
      <c r="E273" s="184">
        <f>VLOOKUP(B273,Master!$B$7:$N$316,7,FALSE)</f>
        <v>0</v>
      </c>
      <c r="F273" s="136"/>
      <c r="G273" s="138">
        <f>SUM(G274:G278)</f>
        <v>2690</v>
      </c>
      <c r="H273" s="139">
        <v>0.1</v>
      </c>
      <c r="I273" s="138">
        <f>G273+(G273*H273)</f>
        <v>2959</v>
      </c>
      <c r="J273" s="180">
        <v>1</v>
      </c>
      <c r="K273" s="138">
        <f>I273/J273</f>
        <v>2959</v>
      </c>
      <c r="L273" s="168">
        <f>D273/J273</f>
        <v>110</v>
      </c>
    </row>
    <row r="274" spans="1:12" ht="13">
      <c r="A274" s="4"/>
      <c r="B274" s="4"/>
      <c r="C274" s="4" t="s">
        <v>732</v>
      </c>
      <c r="D274" s="166">
        <v>30</v>
      </c>
      <c r="E274" s="4" t="str">
        <f>VLOOKUP(C274,Master!$B$6:$N$1000,9,FALSE)</f>
        <v>gr</v>
      </c>
      <c r="F274" s="144">
        <f>VLOOKUP(C274,Master!$B$7:$N$1000,10,FALSE)</f>
        <v>40</v>
      </c>
      <c r="G274" s="144">
        <f t="shared" ref="G274:G278" si="33">D274*F274</f>
        <v>1200</v>
      </c>
      <c r="H274" s="4"/>
      <c r="I274" s="4"/>
      <c r="J274" s="4"/>
      <c r="K274" s="4"/>
      <c r="L274" s="4"/>
    </row>
    <row r="275" spans="1:12" ht="13">
      <c r="A275" s="4"/>
      <c r="B275" s="4"/>
      <c r="C275" s="4" t="s">
        <v>2045</v>
      </c>
      <c r="D275" s="166">
        <v>30</v>
      </c>
      <c r="E275" s="4" t="str">
        <f>VLOOKUP(C275,Master!$B$6:$N$1000,9,FALSE)</f>
        <v>gr</v>
      </c>
      <c r="F275" s="144">
        <f>VLOOKUP(C275,Master!$B$7:$N$1000,10,FALSE)</f>
        <v>14.25</v>
      </c>
      <c r="G275" s="144">
        <f t="shared" si="33"/>
        <v>427.5</v>
      </c>
      <c r="H275" s="4"/>
      <c r="I275" s="4"/>
      <c r="J275" s="4"/>
      <c r="K275" s="4"/>
      <c r="L275" s="4"/>
    </row>
    <row r="276" spans="1:12" ht="13">
      <c r="A276" s="4"/>
      <c r="B276" s="4"/>
      <c r="C276" s="4" t="s">
        <v>831</v>
      </c>
      <c r="D276" s="166">
        <v>50</v>
      </c>
      <c r="E276" s="4" t="str">
        <f>VLOOKUP(C276,Master!$B$6:$N$1000,9,FALSE)</f>
        <v>gr</v>
      </c>
      <c r="F276" s="144">
        <f>VLOOKUP(C276,Master!$B$7:$N$1000,10,FALSE)</f>
        <v>21.25</v>
      </c>
      <c r="G276" s="144">
        <f t="shared" si="33"/>
        <v>1062.5</v>
      </c>
      <c r="H276" s="4"/>
      <c r="I276" s="4"/>
      <c r="J276" s="4"/>
      <c r="K276" s="4"/>
      <c r="L276" s="4"/>
    </row>
    <row r="277" spans="1:12" ht="13">
      <c r="A277" s="4"/>
      <c r="B277" s="4"/>
      <c r="C277" s="4" t="s">
        <v>659</v>
      </c>
      <c r="D277" s="166">
        <v>0</v>
      </c>
      <c r="E277" s="4" t="str">
        <f>VLOOKUP(C277,Master!$B$6:$N$1000,9,FALSE)</f>
        <v>pcs</v>
      </c>
      <c r="F277" s="144">
        <f>VLOOKUP(C277,Master!$B$7:$N$1000,10,FALSE)</f>
        <v>1866.6666666666667</v>
      </c>
      <c r="G277" s="144">
        <f t="shared" si="33"/>
        <v>0</v>
      </c>
      <c r="H277" s="4"/>
      <c r="I277" s="4"/>
      <c r="J277" s="4"/>
      <c r="K277" s="4"/>
      <c r="L277" s="4"/>
    </row>
    <row r="278" spans="1:12" ht="13">
      <c r="A278" s="4"/>
      <c r="B278" s="4"/>
      <c r="C278" s="4" t="s">
        <v>2052</v>
      </c>
      <c r="D278" s="166">
        <v>0</v>
      </c>
      <c r="E278" s="4" t="str">
        <f>VLOOKUP(C278,Master!$B$6:$N$1000,9,FALSE)</f>
        <v>ml</v>
      </c>
      <c r="F278" s="144">
        <f>VLOOKUP(C278,Master!$B$7:$N$1000,10,FALSE)</f>
        <v>0.66315789473684206</v>
      </c>
      <c r="G278" s="144">
        <f t="shared" si="33"/>
        <v>0</v>
      </c>
      <c r="H278" s="4"/>
      <c r="I278" s="4"/>
      <c r="J278" s="4"/>
      <c r="K278" s="4"/>
      <c r="L278" s="4"/>
    </row>
    <row r="279" spans="1:12" ht="13">
      <c r="A279" s="183">
        <v>29</v>
      </c>
      <c r="B279" s="135" t="s">
        <v>207</v>
      </c>
      <c r="C279" s="136"/>
      <c r="D279" s="180">
        <f>SUM(D280:D284)</f>
        <v>5580</v>
      </c>
      <c r="E279" s="184">
        <f>VLOOKUP(B279,Master!$B$7:$N$316,7,FALSE)</f>
        <v>0</v>
      </c>
      <c r="F279" s="136"/>
      <c r="G279" s="138">
        <f>SUM(G280:G282)</f>
        <v>20285.380116959066</v>
      </c>
      <c r="H279" s="139">
        <v>0.1</v>
      </c>
      <c r="I279" s="138">
        <f>G279+(G279*H279)</f>
        <v>22313.918128654972</v>
      </c>
      <c r="J279" s="180">
        <v>14</v>
      </c>
      <c r="K279" s="138">
        <f>I279/J279</f>
        <v>1593.8512949039266</v>
      </c>
      <c r="L279" s="168">
        <f>D279/J279</f>
        <v>398.57142857142856</v>
      </c>
    </row>
    <row r="280" spans="1:12" ht="13">
      <c r="A280" s="4"/>
      <c r="B280" s="4"/>
      <c r="C280" s="4" t="s">
        <v>1979</v>
      </c>
      <c r="D280" s="166">
        <v>500</v>
      </c>
      <c r="E280" s="4" t="str">
        <f>VLOOKUP(C280,Master!$B$6:$N$1000,9,FALSE)</f>
        <v>gr</v>
      </c>
      <c r="F280" s="144">
        <f>VLOOKUP(C280,Master!$B$7:$N$1000,10,FALSE)</f>
        <v>36</v>
      </c>
      <c r="G280" s="144">
        <f t="shared" ref="G280:G282" si="34">D280*F280</f>
        <v>18000</v>
      </c>
      <c r="H280" s="4"/>
      <c r="I280" s="4"/>
      <c r="J280" s="4"/>
      <c r="K280" s="4"/>
      <c r="L280" s="4"/>
    </row>
    <row r="281" spans="1:12" ht="13">
      <c r="A281" s="4"/>
      <c r="B281" s="4"/>
      <c r="C281" s="4" t="s">
        <v>2052</v>
      </c>
      <c r="D281" s="166">
        <v>1000</v>
      </c>
      <c r="E281" s="4" t="str">
        <f>VLOOKUP(C281,Master!$B$6:$N$1000,9,FALSE)</f>
        <v>ml</v>
      </c>
      <c r="F281" s="144">
        <f>VLOOKUP(C281,Master!$B$7:$N$1000,10,FALSE)</f>
        <v>0.66315789473684206</v>
      </c>
      <c r="G281" s="144">
        <f t="shared" si="34"/>
        <v>663.15789473684208</v>
      </c>
      <c r="H281" s="4"/>
      <c r="I281" s="4"/>
      <c r="J281" s="4"/>
      <c r="K281" s="4"/>
      <c r="L281" s="4"/>
    </row>
    <row r="282" spans="1:12" ht="13">
      <c r="A282" s="4"/>
      <c r="B282" s="4"/>
      <c r="C282" s="4" t="s">
        <v>1988</v>
      </c>
      <c r="D282" s="166">
        <v>100</v>
      </c>
      <c r="E282" s="4" t="str">
        <f>VLOOKUP(C282,Master!$B$6:$N$1000,9,FALSE)</f>
        <v>ml</v>
      </c>
      <c r="F282" s="144">
        <f>VLOOKUP(C282,Master!$B$7:$N$1000,10,FALSE)</f>
        <v>16.222222222222221</v>
      </c>
      <c r="G282" s="144">
        <f t="shared" si="34"/>
        <v>1622.2222222222222</v>
      </c>
      <c r="H282" s="4"/>
      <c r="I282" s="4"/>
      <c r="J282" s="4"/>
      <c r="K282" s="4"/>
      <c r="L282" s="4"/>
    </row>
    <row r="283" spans="1:12" ht="13">
      <c r="A283" s="183">
        <v>30</v>
      </c>
      <c r="B283" s="135" t="s">
        <v>236</v>
      </c>
      <c r="C283" s="136"/>
      <c r="D283" s="180">
        <v>2980</v>
      </c>
      <c r="E283" s="184">
        <f>VLOOKUP(B283,Master!$B$7:$N$316,7,FALSE)</f>
        <v>0</v>
      </c>
      <c r="F283" s="136"/>
      <c r="G283" s="138">
        <f>SUM(G284:G291)</f>
        <v>22748.57894736842</v>
      </c>
      <c r="H283" s="139">
        <v>0.1</v>
      </c>
      <c r="I283" s="138">
        <f>G283+(G283*H283)</f>
        <v>25023.43684210526</v>
      </c>
      <c r="J283" s="180">
        <v>50</v>
      </c>
      <c r="K283" s="138">
        <f>I283/J283</f>
        <v>500.46873684210522</v>
      </c>
      <c r="L283" s="168">
        <f>D283/J283</f>
        <v>59.6</v>
      </c>
    </row>
    <row r="284" spans="1:12" ht="13">
      <c r="A284" s="4"/>
      <c r="B284" s="4"/>
      <c r="C284" s="4" t="s">
        <v>1074</v>
      </c>
      <c r="D284" s="166">
        <v>1000</v>
      </c>
      <c r="E284" s="4" t="str">
        <f>VLOOKUP(C284,Master!$B$6:$N$1000,9,FALSE)</f>
        <v>gr</v>
      </c>
      <c r="F284" s="144">
        <f>VLOOKUP(C284,Master!$B$7:$N$1000,10,FALSE)</f>
        <v>16.5</v>
      </c>
      <c r="G284" s="144">
        <f t="shared" ref="G284:G291" si="35">D284*F284</f>
        <v>16500</v>
      </c>
      <c r="H284" s="4"/>
      <c r="I284" s="4"/>
      <c r="J284" s="4"/>
      <c r="K284" s="4"/>
      <c r="L284" s="4"/>
    </row>
    <row r="285" spans="1:12" ht="13">
      <c r="A285" s="4"/>
      <c r="B285" s="4"/>
      <c r="C285" s="4" t="s">
        <v>1074</v>
      </c>
      <c r="D285" s="166">
        <v>250</v>
      </c>
      <c r="E285" s="4" t="str">
        <f>VLOOKUP(C285,Master!$B$6:$N$1000,9,FALSE)</f>
        <v>gr</v>
      </c>
      <c r="F285" s="144">
        <f>VLOOKUP(C285,Master!$B$7:$N$1000,10,FALSE)</f>
        <v>16.5</v>
      </c>
      <c r="G285" s="144">
        <f t="shared" si="35"/>
        <v>4125</v>
      </c>
      <c r="H285" s="4"/>
      <c r="I285" s="4"/>
      <c r="J285" s="4"/>
      <c r="K285" s="4"/>
      <c r="L285" s="4"/>
    </row>
    <row r="286" spans="1:12" ht="13">
      <c r="A286" s="4"/>
      <c r="B286" s="4"/>
      <c r="C286" s="4" t="s">
        <v>1980</v>
      </c>
      <c r="D286" s="166">
        <v>50</v>
      </c>
      <c r="E286" s="4" t="str">
        <f>VLOOKUP(C286,Master!$B$6:$N$1000,9,FALSE)</f>
        <v>gr</v>
      </c>
      <c r="F286" s="144">
        <f>VLOOKUP(C286,Master!$B$7:$N$1000,10,FALSE)</f>
        <v>17.5</v>
      </c>
      <c r="G286" s="144">
        <f t="shared" si="35"/>
        <v>875</v>
      </c>
      <c r="H286" s="4"/>
      <c r="I286" s="4"/>
      <c r="J286" s="4"/>
      <c r="K286" s="4"/>
      <c r="L286" s="4"/>
    </row>
    <row r="287" spans="1:12" ht="13">
      <c r="A287" s="4"/>
      <c r="B287" s="4"/>
      <c r="C287" s="4" t="s">
        <v>2052</v>
      </c>
      <c r="D287" s="166">
        <v>500</v>
      </c>
      <c r="E287" s="4" t="str">
        <f>VLOOKUP(C287,Master!$B$6:$N$1000,9,FALSE)</f>
        <v>ml</v>
      </c>
      <c r="F287" s="144">
        <f>VLOOKUP(C287,Master!$B$7:$N$1000,10,FALSE)</f>
        <v>0.66315789473684206</v>
      </c>
      <c r="G287" s="144">
        <f t="shared" si="35"/>
        <v>331.57894736842104</v>
      </c>
      <c r="H287" s="4"/>
      <c r="I287" s="4"/>
      <c r="J287" s="4"/>
      <c r="K287" s="4"/>
      <c r="L287" s="4"/>
    </row>
    <row r="288" spans="1:12" ht="13">
      <c r="A288" s="4"/>
      <c r="B288" s="4"/>
      <c r="C288" s="4" t="s">
        <v>811</v>
      </c>
      <c r="D288" s="166">
        <v>1</v>
      </c>
      <c r="E288" s="4" t="str">
        <f>VLOOKUP(C288,Master!$B$6:$N$1000,9,FALSE)</f>
        <v>gr</v>
      </c>
      <c r="F288" s="144">
        <f>VLOOKUP(C288,Master!$B$7:$N$1000,10,FALSE)</f>
        <v>380</v>
      </c>
      <c r="G288" s="144">
        <f t="shared" si="35"/>
        <v>380</v>
      </c>
      <c r="H288" s="4"/>
      <c r="I288" s="4"/>
      <c r="J288" s="4"/>
      <c r="K288" s="4"/>
      <c r="L288" s="4"/>
    </row>
    <row r="289" spans="1:12" ht="13">
      <c r="A289" s="4"/>
      <c r="B289" s="4"/>
      <c r="C289" s="4" t="s">
        <v>720</v>
      </c>
      <c r="D289" s="166">
        <v>1</v>
      </c>
      <c r="E289" s="4" t="str">
        <f>VLOOKUP(C289,Master!$B$6:$N$1000,9,FALSE)</f>
        <v>gr</v>
      </c>
      <c r="F289" s="144">
        <f>VLOOKUP(C289,Master!$B$7:$N$1000,10,FALSE)</f>
        <v>280</v>
      </c>
      <c r="G289" s="144">
        <f t="shared" si="35"/>
        <v>280</v>
      </c>
      <c r="H289" s="4"/>
      <c r="I289" s="4"/>
      <c r="J289" s="4"/>
      <c r="K289" s="4"/>
      <c r="L289" s="4"/>
    </row>
    <row r="290" spans="1:12" ht="13">
      <c r="A290" s="4"/>
      <c r="B290" s="4"/>
      <c r="C290" s="4" t="s">
        <v>2043</v>
      </c>
      <c r="D290" s="166">
        <v>2</v>
      </c>
      <c r="E290" s="4" t="str">
        <f>VLOOKUP(C290,Master!$B$6:$N$1000,9,FALSE)</f>
        <v>gr</v>
      </c>
      <c r="F290" s="144">
        <f>VLOOKUP(C290,Master!$B$7:$N$1000,10,FALSE)</f>
        <v>38.5</v>
      </c>
      <c r="G290" s="144">
        <f t="shared" si="35"/>
        <v>77</v>
      </c>
      <c r="H290" s="4"/>
      <c r="I290" s="4"/>
      <c r="J290" s="4"/>
      <c r="K290" s="4"/>
      <c r="L290" s="4"/>
    </row>
    <row r="291" spans="1:12" ht="13">
      <c r="A291" s="4"/>
      <c r="B291" s="4"/>
      <c r="C291" s="4" t="s">
        <v>799</v>
      </c>
      <c r="D291" s="166">
        <v>2</v>
      </c>
      <c r="E291" s="4" t="str">
        <f>VLOOKUP(C291,Master!$B$6:$N$1000,9,FALSE)</f>
        <v>gr</v>
      </c>
      <c r="F291" s="144">
        <f>VLOOKUP(C291,Master!$B$7:$N$1000,10,FALSE)</f>
        <v>90</v>
      </c>
      <c r="G291" s="144">
        <f t="shared" si="35"/>
        <v>180</v>
      </c>
      <c r="H291" s="4"/>
      <c r="I291" s="4"/>
      <c r="J291" s="4"/>
      <c r="K291" s="4"/>
      <c r="L291" s="4"/>
    </row>
    <row r="292" spans="1:12" ht="13">
      <c r="A292" s="183">
        <v>30</v>
      </c>
      <c r="B292" s="135" t="s">
        <v>259</v>
      </c>
      <c r="C292" s="136"/>
      <c r="D292" s="180">
        <f>SUM(D293:D294)</f>
        <v>2000</v>
      </c>
      <c r="E292" s="184">
        <f>VLOOKUP(B292,Master!$B$7:$N$316,7,FALSE)</f>
        <v>0</v>
      </c>
      <c r="F292" s="136"/>
      <c r="G292" s="138">
        <f>SUM(G293:G294)</f>
        <v>50663.15789473684</v>
      </c>
      <c r="H292" s="139">
        <v>0.1</v>
      </c>
      <c r="I292" s="138">
        <f>G292+(G292*H292)</f>
        <v>55729.473684210527</v>
      </c>
      <c r="J292" s="180">
        <v>50</v>
      </c>
      <c r="K292" s="138">
        <f>I292/J292</f>
        <v>1114.5894736842106</v>
      </c>
      <c r="L292" s="168">
        <f>D292/J292</f>
        <v>40</v>
      </c>
    </row>
    <row r="293" spans="1:12" ht="13">
      <c r="A293" s="4"/>
      <c r="B293" s="4"/>
      <c r="C293" s="4" t="s">
        <v>655</v>
      </c>
      <c r="D293" s="166">
        <v>1000</v>
      </c>
      <c r="E293" s="4" t="str">
        <f>VLOOKUP(C293,Master!$B$6:$N$1000,9,FALSE)</f>
        <v>gr</v>
      </c>
      <c r="F293" s="144">
        <f>VLOOKUP(C293,Master!$B$7:$N$1000,10,FALSE)</f>
        <v>50</v>
      </c>
      <c r="G293" s="144">
        <f t="shared" ref="G293:G294" si="36">D293*F293</f>
        <v>50000</v>
      </c>
      <c r="H293" s="4"/>
      <c r="I293" s="4"/>
      <c r="J293" s="4"/>
      <c r="K293" s="4"/>
      <c r="L293" s="4"/>
    </row>
    <row r="294" spans="1:12" ht="13">
      <c r="A294" s="4"/>
      <c r="B294" s="4"/>
      <c r="C294" s="4" t="s">
        <v>2052</v>
      </c>
      <c r="D294" s="166">
        <v>1000</v>
      </c>
      <c r="E294" s="4" t="str">
        <f>VLOOKUP(C294,Master!$B$6:$N$1000,9,FALSE)</f>
        <v>ml</v>
      </c>
      <c r="F294" s="144">
        <f>VLOOKUP(C294,Master!$B$7:$N$1000,10,FALSE)</f>
        <v>0.66315789473684206</v>
      </c>
      <c r="G294" s="144">
        <f t="shared" si="36"/>
        <v>663.15789473684208</v>
      </c>
      <c r="H294" s="4"/>
      <c r="I294" s="4"/>
      <c r="J294" s="4"/>
      <c r="K294" s="4"/>
      <c r="L294" s="4"/>
    </row>
    <row r="295" spans="1:12" ht="13">
      <c r="A295" s="183">
        <v>31</v>
      </c>
      <c r="B295" s="135" t="s">
        <v>444</v>
      </c>
      <c r="C295" s="136"/>
      <c r="D295" s="180">
        <f>SUM(D296:D309)</f>
        <v>1554</v>
      </c>
      <c r="E295" s="135" t="str">
        <f>VLOOKUP(B295,Master!$B$7:$N$316,7,FALSE)</f>
        <v>gr</v>
      </c>
      <c r="F295" s="136"/>
      <c r="G295" s="138">
        <f>SUM(G296:G309)</f>
        <v>61691.775000000001</v>
      </c>
      <c r="H295" s="139">
        <v>0.1</v>
      </c>
      <c r="I295" s="138">
        <f>G295+(G295*H295)</f>
        <v>67860.952499999999</v>
      </c>
      <c r="J295" s="180">
        <v>10</v>
      </c>
      <c r="K295" s="138">
        <f>I295/J295</f>
        <v>6786.0952500000003</v>
      </c>
      <c r="L295" s="168">
        <f>D295/J295</f>
        <v>155.4</v>
      </c>
    </row>
    <row r="296" spans="1:12" ht="13">
      <c r="A296" s="4"/>
      <c r="B296" s="4"/>
      <c r="C296" s="4" t="s">
        <v>1127</v>
      </c>
      <c r="D296" s="166">
        <v>1000</v>
      </c>
      <c r="E296" s="4" t="str">
        <f>VLOOKUP(C296,Master!$B$6:$N$1000,9,FALSE)</f>
        <v>gr</v>
      </c>
      <c r="F296" s="144">
        <f>VLOOKUP(C296,Master!$B$7:$N$1000,10,FALSE)</f>
        <v>43</v>
      </c>
      <c r="G296" s="144">
        <f t="shared" ref="G296:G309" si="37">D296*F296</f>
        <v>43000</v>
      </c>
      <c r="H296" s="4"/>
      <c r="I296" s="4"/>
      <c r="J296" s="4"/>
      <c r="K296" s="4"/>
      <c r="L296" s="4"/>
    </row>
    <row r="297" spans="1:12" ht="13">
      <c r="A297" s="4"/>
      <c r="B297" s="4"/>
      <c r="C297" s="4" t="s">
        <v>2052</v>
      </c>
      <c r="D297" s="166">
        <v>0</v>
      </c>
      <c r="E297" s="4" t="str">
        <f>VLOOKUP(C297,Master!$B$6:$N$1000,9,FALSE)</f>
        <v>ml</v>
      </c>
      <c r="F297" s="144">
        <f>VLOOKUP(C297,Master!$B$7:$N$1000,10,FALSE)</f>
        <v>0.66315789473684206</v>
      </c>
      <c r="G297" s="144">
        <f t="shared" si="37"/>
        <v>0</v>
      </c>
      <c r="H297" s="4"/>
      <c r="I297" s="4"/>
      <c r="J297" s="4"/>
      <c r="K297" s="4"/>
      <c r="L297" s="4"/>
    </row>
    <row r="298" spans="1:12" ht="13">
      <c r="A298" s="4"/>
      <c r="B298" s="4"/>
      <c r="C298" s="4" t="s">
        <v>712</v>
      </c>
      <c r="D298" s="166">
        <v>50</v>
      </c>
      <c r="E298" s="4" t="str">
        <f>VLOOKUP(C298,Master!$B$6:$N$1000,9,FALSE)</f>
        <v>gr</v>
      </c>
      <c r="F298" s="144">
        <f>VLOOKUP(C298,Master!$B$7:$N$1000,10,FALSE)</f>
        <v>40</v>
      </c>
      <c r="G298" s="144">
        <f t="shared" si="37"/>
        <v>2000</v>
      </c>
      <c r="H298" s="4"/>
      <c r="I298" s="4"/>
      <c r="J298" s="4"/>
      <c r="K298" s="4"/>
      <c r="L298" s="4"/>
    </row>
    <row r="299" spans="1:12" ht="13">
      <c r="A299" s="4"/>
      <c r="B299" s="4"/>
      <c r="C299" s="4" t="s">
        <v>1064</v>
      </c>
      <c r="D299" s="166">
        <v>50</v>
      </c>
      <c r="E299" s="4" t="str">
        <f>VLOOKUP(C299,Master!$B$6:$N$1000,9,FALSE)</f>
        <v>gr</v>
      </c>
      <c r="F299" s="144">
        <f>VLOOKUP(C299,Master!$B$7:$N$1000,10,FALSE)</f>
        <v>37.700000000000003</v>
      </c>
      <c r="G299" s="144">
        <f t="shared" si="37"/>
        <v>1885.0000000000002</v>
      </c>
      <c r="H299" s="4"/>
      <c r="I299" s="4"/>
      <c r="J299" s="4"/>
      <c r="K299" s="4"/>
      <c r="L299" s="4"/>
    </row>
    <row r="300" spans="1:12" ht="13">
      <c r="A300" s="4"/>
      <c r="B300" s="4"/>
      <c r="C300" s="4" t="s">
        <v>1150</v>
      </c>
      <c r="D300" s="166">
        <v>20</v>
      </c>
      <c r="E300" s="4" t="str">
        <f>VLOOKUP(C300,Master!$B$6:$N$1000,9,FALSE)</f>
        <v>gr</v>
      </c>
      <c r="F300" s="144">
        <f>VLOOKUP(C300,Master!$B$7:$N$1000,10,FALSE)</f>
        <v>75</v>
      </c>
      <c r="G300" s="144">
        <f t="shared" si="37"/>
        <v>1500</v>
      </c>
      <c r="H300" s="4"/>
      <c r="I300" s="4"/>
      <c r="J300" s="4"/>
      <c r="K300" s="4"/>
      <c r="L300" s="4"/>
    </row>
    <row r="301" spans="1:12" ht="13">
      <c r="A301" s="4"/>
      <c r="B301" s="4"/>
      <c r="C301" s="4" t="s">
        <v>1076</v>
      </c>
      <c r="D301" s="166">
        <v>30</v>
      </c>
      <c r="E301" s="4" t="str">
        <f>VLOOKUP(C301,Master!$B$6:$N$1000,9,FALSE)</f>
        <v>gr</v>
      </c>
      <c r="F301" s="144">
        <f>VLOOKUP(C301,Master!$B$7:$N$1000,10,FALSE)</f>
        <v>10</v>
      </c>
      <c r="G301" s="144">
        <f t="shared" si="37"/>
        <v>300</v>
      </c>
      <c r="H301" s="4"/>
      <c r="I301" s="4"/>
      <c r="J301" s="4"/>
      <c r="K301" s="4"/>
      <c r="L301" s="4"/>
    </row>
    <row r="302" spans="1:12" ht="13">
      <c r="A302" s="4"/>
      <c r="B302" s="4"/>
      <c r="C302" s="4" t="s">
        <v>898</v>
      </c>
      <c r="D302" s="166">
        <v>2</v>
      </c>
      <c r="E302" s="4" t="str">
        <f>VLOOKUP(C302,Master!$B$6:$N$1000,9,FALSE)</f>
        <v>gr</v>
      </c>
      <c r="F302" s="144">
        <f>VLOOKUP(C302,Master!$B$7:$N$1000,10,FALSE)</f>
        <v>64.2</v>
      </c>
      <c r="G302" s="144">
        <f t="shared" si="37"/>
        <v>128.4</v>
      </c>
      <c r="H302" s="4"/>
      <c r="I302" s="4"/>
      <c r="J302" s="4"/>
      <c r="K302" s="4"/>
      <c r="L302" s="4"/>
    </row>
    <row r="303" spans="1:12" ht="13">
      <c r="A303" s="4"/>
      <c r="B303" s="4"/>
      <c r="C303" s="4" t="s">
        <v>901</v>
      </c>
      <c r="D303" s="166">
        <v>2</v>
      </c>
      <c r="E303" s="4" t="str">
        <f>VLOOKUP(C303,Master!$B$6:$N$1000,9,FALSE)</f>
        <v>gr</v>
      </c>
      <c r="F303" s="144">
        <f>VLOOKUP(C303,Master!$B$7:$N$1000,10,FALSE)</f>
        <v>12</v>
      </c>
      <c r="G303" s="144">
        <f t="shared" si="37"/>
        <v>24</v>
      </c>
      <c r="H303" s="4"/>
      <c r="I303" s="4"/>
      <c r="J303" s="4"/>
      <c r="K303" s="4"/>
      <c r="L303" s="4"/>
    </row>
    <row r="304" spans="1:12" ht="13">
      <c r="A304" s="4"/>
      <c r="B304" s="4"/>
      <c r="C304" s="4" t="s">
        <v>1152</v>
      </c>
      <c r="D304" s="166">
        <v>10</v>
      </c>
      <c r="E304" s="4" t="str">
        <f>VLOOKUP(C304,Master!$B$6:$N$1000,9,FALSE)</f>
        <v>gr</v>
      </c>
      <c r="F304" s="144">
        <f>VLOOKUP(C304,Master!$B$7:$N$1000,10,FALSE)</f>
        <v>13</v>
      </c>
      <c r="G304" s="144">
        <f t="shared" si="37"/>
        <v>130</v>
      </c>
      <c r="H304" s="4"/>
      <c r="I304" s="4"/>
      <c r="J304" s="4"/>
      <c r="K304" s="4"/>
      <c r="L304" s="4"/>
    </row>
    <row r="305" spans="1:12" ht="13">
      <c r="A305" s="4"/>
      <c r="B305" s="4"/>
      <c r="C305" s="4" t="s">
        <v>815</v>
      </c>
      <c r="D305" s="166">
        <v>20</v>
      </c>
      <c r="E305" s="4" t="str">
        <f>VLOOKUP(C305,Master!$B$6:$N$1000,9,FALSE)</f>
        <v>gr</v>
      </c>
      <c r="F305" s="144">
        <f>VLOOKUP(C305,Master!$B$7:$N$1000,10,FALSE)</f>
        <v>12</v>
      </c>
      <c r="G305" s="144">
        <f t="shared" si="37"/>
        <v>240</v>
      </c>
      <c r="H305" s="4"/>
      <c r="I305" s="4"/>
      <c r="J305" s="4"/>
      <c r="K305" s="4"/>
      <c r="L305" s="4"/>
    </row>
    <row r="306" spans="1:12" ht="13">
      <c r="A306" s="4"/>
      <c r="B306" s="4"/>
      <c r="C306" s="4" t="s">
        <v>1980</v>
      </c>
      <c r="D306" s="166">
        <v>10</v>
      </c>
      <c r="E306" s="4" t="str">
        <f>VLOOKUP(C306,Master!$B$6:$N$1000,9,FALSE)</f>
        <v>gr</v>
      </c>
      <c r="F306" s="144">
        <f>VLOOKUP(C306,Master!$B$7:$N$1000,10,FALSE)</f>
        <v>17.5</v>
      </c>
      <c r="G306" s="144">
        <f t="shared" si="37"/>
        <v>175</v>
      </c>
      <c r="H306" s="4"/>
      <c r="I306" s="4"/>
      <c r="J306" s="4"/>
      <c r="K306" s="4"/>
      <c r="L306" s="4"/>
    </row>
    <row r="307" spans="1:12" ht="13">
      <c r="A307" s="4"/>
      <c r="B307" s="4"/>
      <c r="C307" s="4" t="s">
        <v>764</v>
      </c>
      <c r="D307" s="166">
        <v>10</v>
      </c>
      <c r="E307" s="4" t="str">
        <f>VLOOKUP(C307,Master!$B$6:$N$1000,9,FALSE)</f>
        <v>gr</v>
      </c>
      <c r="F307" s="144">
        <f>VLOOKUP(C307,Master!$B$7:$N$1000,10,FALSE)</f>
        <v>15</v>
      </c>
      <c r="G307" s="144">
        <f t="shared" si="37"/>
        <v>150</v>
      </c>
      <c r="H307" s="4"/>
      <c r="I307" s="4"/>
      <c r="J307" s="4"/>
      <c r="K307" s="4"/>
      <c r="L307" s="4"/>
    </row>
    <row r="308" spans="1:12" ht="13">
      <c r="A308" s="4"/>
      <c r="B308" s="4"/>
      <c r="C308" s="4" t="s">
        <v>2042</v>
      </c>
      <c r="D308" s="166">
        <v>150</v>
      </c>
      <c r="E308" s="4" t="str">
        <f>VLOOKUP(C308,Master!$B$6:$N$1000,9,FALSE)</f>
        <v>gr</v>
      </c>
      <c r="F308" s="144">
        <f>VLOOKUP(C308,Master!$B$7:$N$1000,10,FALSE)</f>
        <v>29.0625</v>
      </c>
      <c r="G308" s="144">
        <f t="shared" si="37"/>
        <v>4359.375</v>
      </c>
      <c r="H308" s="4"/>
      <c r="I308" s="4"/>
      <c r="J308" s="4"/>
      <c r="K308" s="4"/>
      <c r="L308" s="4"/>
    </row>
    <row r="309" spans="1:12" ht="13">
      <c r="A309" s="4"/>
      <c r="B309" s="4"/>
      <c r="C309" s="4" t="s">
        <v>1989</v>
      </c>
      <c r="D309" s="166">
        <v>200</v>
      </c>
      <c r="E309" s="4" t="str">
        <f>VLOOKUP(C309,Master!$B$6:$N$1000,9,FALSE)</f>
        <v>gr</v>
      </c>
      <c r="F309" s="144">
        <f>VLOOKUP(C309,Master!$B$7:$N$1000,10,FALSE)</f>
        <v>39</v>
      </c>
      <c r="G309" s="144">
        <f t="shared" si="37"/>
        <v>7800</v>
      </c>
      <c r="H309" s="4"/>
      <c r="I309" s="4"/>
      <c r="J309" s="4"/>
      <c r="K309" s="4"/>
      <c r="L309" s="4"/>
    </row>
    <row r="310" spans="1:12" ht="13">
      <c r="A310" s="183">
        <v>31</v>
      </c>
      <c r="B310" s="135" t="s">
        <v>452</v>
      </c>
      <c r="C310" s="136"/>
      <c r="D310" s="180">
        <f>SUM(D311:D315)</f>
        <v>715</v>
      </c>
      <c r="E310" s="135" t="str">
        <f>VLOOKUP(B310,Master!$B$7:$N$316,7,FALSE)</f>
        <v>gr</v>
      </c>
      <c r="F310" s="136"/>
      <c r="G310" s="138">
        <f>SUM(G311:G317)</f>
        <v>33465</v>
      </c>
      <c r="H310" s="139">
        <v>0.1</v>
      </c>
      <c r="I310" s="138">
        <f>G310+(G310*H310)</f>
        <v>36811.5</v>
      </c>
      <c r="J310" s="180">
        <v>19</v>
      </c>
      <c r="K310" s="138">
        <f>I310/J310</f>
        <v>1937.4473684210527</v>
      </c>
      <c r="L310" s="168">
        <f>D310/J310</f>
        <v>37.631578947368418</v>
      </c>
    </row>
    <row r="311" spans="1:12" ht="13">
      <c r="A311" s="4"/>
      <c r="B311" s="4"/>
      <c r="C311" s="4" t="s">
        <v>671</v>
      </c>
      <c r="D311" s="166">
        <v>500</v>
      </c>
      <c r="E311" s="4" t="str">
        <f>VLOOKUP(C311,Master!$B$6:$N$1000,9,FALSE)</f>
        <v>gr</v>
      </c>
      <c r="F311" s="144">
        <f>VLOOKUP(C311,Master!$B$7:$N$1000,10,FALSE)</f>
        <v>50</v>
      </c>
      <c r="G311" s="144">
        <f t="shared" ref="G311:G317" si="38">D311*F311</f>
        <v>25000</v>
      </c>
      <c r="H311" s="4"/>
      <c r="I311" s="4"/>
      <c r="J311" s="4"/>
      <c r="K311" s="4"/>
      <c r="L311" s="4"/>
    </row>
    <row r="312" spans="1:12" ht="13">
      <c r="A312" s="4"/>
      <c r="B312" s="4"/>
      <c r="C312" s="4" t="s">
        <v>712</v>
      </c>
      <c r="D312" s="166">
        <v>100</v>
      </c>
      <c r="E312" s="4" t="str">
        <f>VLOOKUP(C312,Master!$B$6:$N$1000,9,FALSE)</f>
        <v>gr</v>
      </c>
      <c r="F312" s="144">
        <f>VLOOKUP(C312,Master!$B$7:$N$1000,10,FALSE)</f>
        <v>40</v>
      </c>
      <c r="G312" s="144">
        <f t="shared" si="38"/>
        <v>4000</v>
      </c>
      <c r="H312" s="4"/>
      <c r="I312" s="4"/>
      <c r="J312" s="4"/>
      <c r="K312" s="4"/>
      <c r="L312" s="4"/>
    </row>
    <row r="313" spans="1:12" ht="13">
      <c r="A313" s="4"/>
      <c r="B313" s="4"/>
      <c r="C313" s="4" t="s">
        <v>1064</v>
      </c>
      <c r="D313" s="4">
        <v>100</v>
      </c>
      <c r="E313" s="4" t="str">
        <f>VLOOKUP(C313,Master!$B$6:$N$1000,9,FALSE)</f>
        <v>gr</v>
      </c>
      <c r="F313" s="144">
        <f>VLOOKUP(C313,Master!$B$7:$N$1000,10,FALSE)</f>
        <v>37.700000000000003</v>
      </c>
      <c r="G313" s="144">
        <f t="shared" si="38"/>
        <v>3770.0000000000005</v>
      </c>
      <c r="H313" s="4"/>
      <c r="I313" s="4"/>
      <c r="J313" s="4"/>
      <c r="K313" s="4"/>
      <c r="L313" s="4"/>
    </row>
    <row r="314" spans="1:12" ht="13">
      <c r="A314" s="4"/>
      <c r="B314" s="4"/>
      <c r="C314" s="4" t="s">
        <v>764</v>
      </c>
      <c r="D314" s="4">
        <v>5</v>
      </c>
      <c r="E314" s="4" t="str">
        <f>VLOOKUP(C314,Master!$B$6:$N$1000,9,FALSE)</f>
        <v>gr</v>
      </c>
      <c r="F314" s="144">
        <f>VLOOKUP(C314,Master!$B$7:$N$1000,10,FALSE)</f>
        <v>15</v>
      </c>
      <c r="G314" s="144">
        <f t="shared" si="38"/>
        <v>75</v>
      </c>
      <c r="H314" s="4"/>
      <c r="I314" s="4"/>
      <c r="J314" s="4"/>
      <c r="K314" s="4"/>
      <c r="L314" s="4"/>
    </row>
    <row r="315" spans="1:12" ht="13">
      <c r="A315" s="4"/>
      <c r="B315" s="4"/>
      <c r="C315" s="4" t="s">
        <v>1000</v>
      </c>
      <c r="D315" s="4">
        <v>10</v>
      </c>
      <c r="E315" s="4" t="str">
        <f>VLOOKUP(C315,Master!$B$6:$N$1000,9,FALSE)</f>
        <v>gr</v>
      </c>
      <c r="F315" s="144">
        <f>VLOOKUP(C315,Master!$B$7:$N$1000,10,FALSE)</f>
        <v>44.5</v>
      </c>
      <c r="G315" s="144">
        <f t="shared" si="38"/>
        <v>445</v>
      </c>
      <c r="H315" s="4"/>
      <c r="I315" s="4"/>
      <c r="J315" s="4"/>
      <c r="K315" s="4"/>
      <c r="L315" s="4"/>
    </row>
    <row r="316" spans="1:12" ht="13">
      <c r="A316" s="4"/>
      <c r="B316" s="4"/>
      <c r="C316" s="4" t="s">
        <v>1980</v>
      </c>
      <c r="D316" s="4">
        <v>10</v>
      </c>
      <c r="E316" s="4" t="str">
        <f>VLOOKUP(C316,Master!$B$6:$N$1000,9,FALSE)</f>
        <v>gr</v>
      </c>
      <c r="F316" s="144">
        <f>VLOOKUP(C316,Master!$B$7:$N$1000,10,FALSE)</f>
        <v>17.5</v>
      </c>
      <c r="G316" s="144">
        <f t="shared" si="38"/>
        <v>175</v>
      </c>
      <c r="H316" s="4"/>
      <c r="I316" s="4"/>
      <c r="J316" s="4"/>
      <c r="K316" s="4"/>
      <c r="L316" s="4"/>
    </row>
    <row r="317" spans="1:12" ht="13">
      <c r="A317" s="4"/>
      <c r="B317" s="4"/>
      <c r="C317" s="4" t="s">
        <v>2043</v>
      </c>
      <c r="D317" s="4">
        <v>0</v>
      </c>
      <c r="E317" s="4" t="str">
        <f>VLOOKUP(C317,Master!$B$6:$N$1000,9,FALSE)</f>
        <v>gr</v>
      </c>
      <c r="F317" s="144">
        <f>VLOOKUP(C317,Master!$B$7:$N$1000,10,FALSE)</f>
        <v>38.5</v>
      </c>
      <c r="G317" s="144">
        <f t="shared" si="38"/>
        <v>0</v>
      </c>
      <c r="H317" s="4"/>
      <c r="I317" s="4"/>
      <c r="J317" s="4"/>
      <c r="K317" s="4"/>
      <c r="L317" s="4"/>
    </row>
    <row r="318" spans="1:12" ht="13">
      <c r="A318" s="183">
        <v>31</v>
      </c>
      <c r="B318" s="135" t="s">
        <v>476</v>
      </c>
      <c r="C318" s="136"/>
      <c r="D318" s="180">
        <f>SUM(D319:D332)</f>
        <v>1033</v>
      </c>
      <c r="E318" s="135" t="str">
        <f>VLOOKUP(B318,Master!$B$7:$N$316,7,FALSE)</f>
        <v>gr</v>
      </c>
      <c r="F318" s="136"/>
      <c r="G318" s="138">
        <f>SUM(G319:G332)</f>
        <v>37823.222222222219</v>
      </c>
      <c r="H318" s="139">
        <v>0.1</v>
      </c>
      <c r="I318" s="138">
        <f>G318+(G318*H318)</f>
        <v>41605.544444444444</v>
      </c>
      <c r="J318" s="180">
        <v>35</v>
      </c>
      <c r="K318" s="138">
        <f>I318/J318</f>
        <v>1188.7298412698412</v>
      </c>
      <c r="L318" s="168">
        <f>D318/J318</f>
        <v>29.514285714285716</v>
      </c>
    </row>
    <row r="319" spans="1:12" ht="13">
      <c r="A319" s="4"/>
      <c r="B319" s="4"/>
      <c r="C319" s="4" t="s">
        <v>671</v>
      </c>
      <c r="D319" s="166">
        <v>150</v>
      </c>
      <c r="E319" s="4" t="str">
        <f>VLOOKUP(C319,Master!$B$6:$N$1000,9,FALSE)</f>
        <v>gr</v>
      </c>
      <c r="F319" s="144">
        <f>VLOOKUP(C319,Master!$B$7:$N$1000,10,FALSE)</f>
        <v>50</v>
      </c>
      <c r="G319" s="144">
        <f t="shared" ref="G319:G332" si="39">D319*F319</f>
        <v>7500</v>
      </c>
      <c r="H319" s="4"/>
      <c r="I319" s="4"/>
      <c r="J319" s="4"/>
      <c r="K319" s="4"/>
      <c r="L319" s="4"/>
    </row>
    <row r="320" spans="1:12" ht="13">
      <c r="A320" s="4"/>
      <c r="B320" s="4"/>
      <c r="C320" s="4" t="s">
        <v>1134</v>
      </c>
      <c r="D320" s="166">
        <v>250</v>
      </c>
      <c r="E320" s="4" t="str">
        <f>VLOOKUP(C320,Master!$B$6:$N$1000,9,FALSE)</f>
        <v>gr</v>
      </c>
      <c r="F320" s="144">
        <f>VLOOKUP(C320,Master!$B$7:$N$1000,10,FALSE)</f>
        <v>40</v>
      </c>
      <c r="G320" s="144">
        <f t="shared" si="39"/>
        <v>10000</v>
      </c>
      <c r="H320" s="4"/>
      <c r="I320" s="4"/>
      <c r="J320" s="4"/>
      <c r="K320" s="4"/>
      <c r="L320" s="4"/>
    </row>
    <row r="321" spans="1:12" ht="13">
      <c r="A321" s="4"/>
      <c r="B321" s="4"/>
      <c r="C321" s="4" t="s">
        <v>712</v>
      </c>
      <c r="D321" s="166">
        <v>150</v>
      </c>
      <c r="E321" s="4" t="str">
        <f>VLOOKUP(C321,Master!$B$6:$N$1000,9,FALSE)</f>
        <v>gr</v>
      </c>
      <c r="F321" s="144">
        <f>VLOOKUP(C321,Master!$B$7:$N$1000,10,FALSE)</f>
        <v>40</v>
      </c>
      <c r="G321" s="144">
        <f t="shared" si="39"/>
        <v>6000</v>
      </c>
      <c r="H321" s="4"/>
      <c r="I321" s="4"/>
      <c r="J321" s="4"/>
      <c r="K321" s="4"/>
      <c r="L321" s="4"/>
    </row>
    <row r="322" spans="1:12" ht="13">
      <c r="A322" s="4"/>
      <c r="B322" s="4"/>
      <c r="C322" s="4" t="s">
        <v>1064</v>
      </c>
      <c r="D322" s="166">
        <v>200</v>
      </c>
      <c r="E322" s="4" t="str">
        <f>VLOOKUP(C322,Master!$B$6:$N$1000,9,FALSE)</f>
        <v>gr</v>
      </c>
      <c r="F322" s="144">
        <f>VLOOKUP(C322,Master!$B$7:$N$1000,10,FALSE)</f>
        <v>37.700000000000003</v>
      </c>
      <c r="G322" s="144">
        <f t="shared" si="39"/>
        <v>7540.0000000000009</v>
      </c>
      <c r="H322" s="4"/>
      <c r="I322" s="4"/>
      <c r="J322" s="4"/>
      <c r="K322" s="4"/>
      <c r="L322" s="4"/>
    </row>
    <row r="323" spans="1:12" ht="13">
      <c r="A323" s="4"/>
      <c r="B323" s="4"/>
      <c r="C323" s="4" t="s">
        <v>1277</v>
      </c>
      <c r="D323" s="166">
        <v>50</v>
      </c>
      <c r="E323" s="4" t="str">
        <f>VLOOKUP(C323,Master!$B$6:$N$1000,9,FALSE)</f>
        <v>gr</v>
      </c>
      <c r="F323" s="144">
        <f>VLOOKUP(C323,Master!$B$7:$N$1000,10,FALSE)</f>
        <v>40</v>
      </c>
      <c r="G323" s="144">
        <f t="shared" si="39"/>
        <v>2000</v>
      </c>
      <c r="H323" s="4"/>
      <c r="I323" s="4"/>
      <c r="J323" s="4"/>
      <c r="K323" s="4"/>
      <c r="L323" s="4"/>
    </row>
    <row r="324" spans="1:12" ht="13">
      <c r="A324" s="4"/>
      <c r="B324" s="4"/>
      <c r="C324" s="4" t="s">
        <v>1152</v>
      </c>
      <c r="D324" s="166">
        <v>10</v>
      </c>
      <c r="E324" s="4" t="str">
        <f>VLOOKUP(C324,Master!$B$6:$N$1000,9,FALSE)</f>
        <v>gr</v>
      </c>
      <c r="F324" s="144">
        <f>VLOOKUP(C324,Master!$B$7:$N$1000,10,FALSE)</f>
        <v>13</v>
      </c>
      <c r="G324" s="144">
        <f t="shared" si="39"/>
        <v>130</v>
      </c>
      <c r="H324" s="4"/>
      <c r="I324" s="4"/>
      <c r="J324" s="4"/>
      <c r="K324" s="4"/>
      <c r="L324" s="4"/>
    </row>
    <row r="325" spans="1:12" ht="13">
      <c r="A325" s="4"/>
      <c r="B325" s="4"/>
      <c r="C325" s="4" t="s">
        <v>901</v>
      </c>
      <c r="D325" s="166">
        <v>3</v>
      </c>
      <c r="E325" s="4" t="str">
        <f>VLOOKUP(C325,Master!$B$6:$N$1000,9,FALSE)</f>
        <v>gr</v>
      </c>
      <c r="F325" s="144">
        <f>VLOOKUP(C325,Master!$B$7:$N$1000,10,FALSE)</f>
        <v>12</v>
      </c>
      <c r="G325" s="144">
        <f t="shared" si="39"/>
        <v>36</v>
      </c>
      <c r="H325" s="4"/>
      <c r="I325" s="4"/>
      <c r="J325" s="4"/>
      <c r="K325" s="4"/>
      <c r="L325" s="4"/>
    </row>
    <row r="326" spans="1:12" ht="13">
      <c r="A326" s="4"/>
      <c r="B326" s="4"/>
      <c r="C326" s="4" t="s">
        <v>815</v>
      </c>
      <c r="D326" s="166">
        <v>5</v>
      </c>
      <c r="E326" s="4" t="str">
        <f>VLOOKUP(C326,Master!$B$6:$N$1000,9,FALSE)</f>
        <v>gr</v>
      </c>
      <c r="F326" s="144">
        <f>VLOOKUP(C326,Master!$B$7:$N$1000,10,FALSE)</f>
        <v>12</v>
      </c>
      <c r="G326" s="144">
        <f t="shared" si="39"/>
        <v>60</v>
      </c>
      <c r="H326" s="4"/>
      <c r="I326" s="4"/>
      <c r="J326" s="4"/>
      <c r="K326" s="4"/>
      <c r="L326" s="4"/>
    </row>
    <row r="327" spans="1:12" ht="13">
      <c r="A327" s="4"/>
      <c r="B327" s="4"/>
      <c r="C327" s="4" t="s">
        <v>2043</v>
      </c>
      <c r="D327" s="166">
        <v>20</v>
      </c>
      <c r="E327" s="4" t="str">
        <f>VLOOKUP(C327,Master!$B$6:$N$1000,9,FALSE)</f>
        <v>gr</v>
      </c>
      <c r="F327" s="144">
        <f>VLOOKUP(C327,Master!$B$7:$N$1000,10,FALSE)</f>
        <v>38.5</v>
      </c>
      <c r="G327" s="144">
        <f t="shared" si="39"/>
        <v>770</v>
      </c>
      <c r="H327" s="4"/>
      <c r="I327" s="4"/>
      <c r="J327" s="4"/>
      <c r="K327" s="4"/>
      <c r="L327" s="4"/>
    </row>
    <row r="328" spans="1:12" ht="13">
      <c r="A328" s="4"/>
      <c r="B328" s="4"/>
      <c r="C328" s="4" t="s">
        <v>764</v>
      </c>
      <c r="D328" s="166">
        <v>5</v>
      </c>
      <c r="E328" s="4" t="str">
        <f>VLOOKUP(C328,Master!$B$6:$N$1000,9,FALSE)</f>
        <v>gr</v>
      </c>
      <c r="F328" s="144">
        <f>VLOOKUP(C328,Master!$B$7:$N$1000,10,FALSE)</f>
        <v>15</v>
      </c>
      <c r="G328" s="144">
        <f t="shared" si="39"/>
        <v>75</v>
      </c>
      <c r="H328" s="4"/>
      <c r="I328" s="4"/>
      <c r="J328" s="4"/>
      <c r="K328" s="4"/>
      <c r="L328" s="4"/>
    </row>
    <row r="329" spans="1:12" ht="13">
      <c r="A329" s="4"/>
      <c r="B329" s="4"/>
      <c r="C329" s="4" t="s">
        <v>643</v>
      </c>
      <c r="D329" s="166">
        <v>50</v>
      </c>
      <c r="E329" s="4" t="str">
        <f>VLOOKUP(C329,Master!$B$6:$N$1000,9,FALSE)</f>
        <v>gr</v>
      </c>
      <c r="F329" s="144">
        <f>VLOOKUP(C329,Master!$B$7:$N$1000,10,FALSE)</f>
        <v>17</v>
      </c>
      <c r="G329" s="144">
        <f t="shared" si="39"/>
        <v>850</v>
      </c>
      <c r="H329" s="4"/>
      <c r="I329" s="4"/>
      <c r="J329" s="4"/>
      <c r="K329" s="4"/>
      <c r="L329" s="4"/>
    </row>
    <row r="330" spans="1:12" ht="13">
      <c r="A330" s="4"/>
      <c r="B330" s="4"/>
      <c r="C330" s="4" t="s">
        <v>2059</v>
      </c>
      <c r="D330" s="166">
        <v>20</v>
      </c>
      <c r="E330" s="4" t="str">
        <f>VLOOKUP(C330,Master!$B$6:$N$1000,9,FALSE)</f>
        <v>gr</v>
      </c>
      <c r="F330" s="144">
        <f>VLOOKUP(C330,Master!$B$7:$N$1000,10,FALSE)</f>
        <v>17.5</v>
      </c>
      <c r="G330" s="144">
        <f t="shared" si="39"/>
        <v>350</v>
      </c>
      <c r="H330" s="4"/>
      <c r="I330" s="4"/>
      <c r="J330" s="4"/>
      <c r="K330" s="4"/>
      <c r="L330" s="4"/>
    </row>
    <row r="331" spans="1:12" ht="13">
      <c r="A331" s="4"/>
      <c r="B331" s="4"/>
      <c r="C331" s="4" t="s">
        <v>1000</v>
      </c>
      <c r="D331" s="166">
        <v>20</v>
      </c>
      <c r="E331" s="4" t="str">
        <f>VLOOKUP(C331,Master!$B$6:$N$1000,9,FALSE)</f>
        <v>gr</v>
      </c>
      <c r="F331" s="144">
        <f>VLOOKUP(C331,Master!$B$7:$N$1000,10,FALSE)</f>
        <v>44.5</v>
      </c>
      <c r="G331" s="144">
        <f t="shared" si="39"/>
        <v>890</v>
      </c>
      <c r="H331" s="4"/>
      <c r="I331" s="4"/>
      <c r="J331" s="4"/>
      <c r="K331" s="4"/>
      <c r="L331" s="4"/>
    </row>
    <row r="332" spans="1:12" ht="13">
      <c r="A332" s="4"/>
      <c r="B332" s="4"/>
      <c r="C332" s="4" t="s">
        <v>1988</v>
      </c>
      <c r="D332" s="166">
        <v>100</v>
      </c>
      <c r="E332" s="4" t="str">
        <f>VLOOKUP(C332,Master!$B$6:$N$1000,9,FALSE)</f>
        <v>ml</v>
      </c>
      <c r="F332" s="144">
        <f>VLOOKUP(C332,Master!$B$7:$N$1000,10,FALSE)</f>
        <v>16.222222222222221</v>
      </c>
      <c r="G332" s="144">
        <f t="shared" si="39"/>
        <v>1622.2222222222222</v>
      </c>
      <c r="H332" s="4"/>
      <c r="I332" s="4"/>
      <c r="J332" s="4"/>
      <c r="K332" s="4"/>
      <c r="L332" s="4"/>
    </row>
    <row r="333" spans="1:12" ht="13">
      <c r="A333" s="183">
        <v>31</v>
      </c>
      <c r="B333" s="135" t="s">
        <v>448</v>
      </c>
      <c r="C333" s="136"/>
      <c r="D333" s="180">
        <f>SUM(D334:D343)</f>
        <v>2092</v>
      </c>
      <c r="E333" s="135" t="str">
        <f>VLOOKUP(B333,Master!$B$7:$N$316,7,FALSE)</f>
        <v>gr</v>
      </c>
      <c r="F333" s="136"/>
      <c r="G333" s="138">
        <f>SUM(G334:G343)</f>
        <v>76149</v>
      </c>
      <c r="H333" s="139">
        <v>0.1</v>
      </c>
      <c r="I333" s="138">
        <f>G333+(G333*H333)</f>
        <v>83763.899999999994</v>
      </c>
      <c r="J333" s="180">
        <v>10</v>
      </c>
      <c r="K333" s="138">
        <f>I333/J333</f>
        <v>8376.39</v>
      </c>
      <c r="L333" s="168">
        <f>D333/J333</f>
        <v>209.2</v>
      </c>
    </row>
    <row r="334" spans="1:12" ht="13">
      <c r="A334" s="4"/>
      <c r="B334" s="4"/>
      <c r="C334" s="4" t="s">
        <v>1127</v>
      </c>
      <c r="D334" s="166">
        <v>1500</v>
      </c>
      <c r="E334" s="4" t="str">
        <f>VLOOKUP(C334,Master!$B$6:$N$1000,9,FALSE)</f>
        <v>gr</v>
      </c>
      <c r="F334" s="144">
        <f>VLOOKUP(C334,Master!$B$7:$N$1000,10,FALSE)</f>
        <v>43</v>
      </c>
      <c r="G334" s="144">
        <f t="shared" ref="G334:G343" si="40">D334*F334</f>
        <v>64500</v>
      </c>
      <c r="H334" s="4"/>
      <c r="I334" s="4"/>
      <c r="J334" s="4"/>
      <c r="K334" s="4"/>
      <c r="L334" s="4"/>
    </row>
    <row r="335" spans="1:12" ht="13">
      <c r="A335" s="4"/>
      <c r="B335" s="4"/>
      <c r="C335" s="4" t="s">
        <v>901</v>
      </c>
      <c r="D335" s="166">
        <v>2</v>
      </c>
      <c r="E335" s="4" t="str">
        <f>VLOOKUP(C335,Master!$B$6:$N$1000,9,FALSE)</f>
        <v>gr</v>
      </c>
      <c r="F335" s="144">
        <f>VLOOKUP(C335,Master!$B$7:$N$1000,10,FALSE)</f>
        <v>12</v>
      </c>
      <c r="G335" s="144">
        <f t="shared" si="40"/>
        <v>24</v>
      </c>
      <c r="H335" s="4"/>
      <c r="I335" s="4"/>
      <c r="J335" s="4"/>
      <c r="K335" s="4"/>
      <c r="L335" s="4"/>
    </row>
    <row r="336" spans="1:12" ht="13">
      <c r="A336" s="4"/>
      <c r="B336" s="4"/>
      <c r="C336" s="4" t="s">
        <v>815</v>
      </c>
      <c r="D336" s="166">
        <v>30</v>
      </c>
      <c r="E336" s="4" t="str">
        <f>VLOOKUP(C336,Master!$B$6:$N$1000,9,FALSE)</f>
        <v>gr</v>
      </c>
      <c r="F336" s="144">
        <f>VLOOKUP(C336,Master!$B$7:$N$1000,10,FALSE)</f>
        <v>12</v>
      </c>
      <c r="G336" s="144">
        <f t="shared" si="40"/>
        <v>360</v>
      </c>
      <c r="H336" s="4"/>
      <c r="I336" s="4"/>
      <c r="J336" s="4"/>
      <c r="K336" s="4"/>
      <c r="L336" s="4"/>
    </row>
    <row r="337" spans="1:12" ht="13">
      <c r="A337" s="4"/>
      <c r="B337" s="4"/>
      <c r="C337" s="4" t="s">
        <v>1152</v>
      </c>
      <c r="D337" s="166">
        <v>20</v>
      </c>
      <c r="E337" s="4" t="str">
        <f>VLOOKUP(C337,Master!$B$6:$N$1000,9,FALSE)</f>
        <v>gr</v>
      </c>
      <c r="F337" s="144">
        <f>VLOOKUP(C337,Master!$B$7:$N$1000,10,FALSE)</f>
        <v>13</v>
      </c>
      <c r="G337" s="144">
        <f t="shared" si="40"/>
        <v>260</v>
      </c>
      <c r="H337" s="4"/>
      <c r="I337" s="4"/>
      <c r="J337" s="4"/>
      <c r="K337" s="4"/>
      <c r="L337" s="4"/>
    </row>
    <row r="338" spans="1:12" ht="13">
      <c r="A338" s="4"/>
      <c r="B338" s="4"/>
      <c r="C338" s="4" t="s">
        <v>1234</v>
      </c>
      <c r="D338" s="166">
        <v>500</v>
      </c>
      <c r="E338" s="4" t="str">
        <f>VLOOKUP(C338,Master!$B$6:$N$1000,9,FALSE)</f>
        <v>gr</v>
      </c>
      <c r="F338" s="144">
        <f>VLOOKUP(C338,Master!$B$7:$N$1000,10,FALSE)</f>
        <v>20</v>
      </c>
      <c r="G338" s="144">
        <f t="shared" si="40"/>
        <v>10000</v>
      </c>
      <c r="H338" s="4"/>
      <c r="I338" s="4"/>
      <c r="J338" s="4"/>
      <c r="K338" s="4"/>
      <c r="L338" s="4"/>
    </row>
    <row r="339" spans="1:12" ht="13">
      <c r="A339" s="4"/>
      <c r="B339" s="4"/>
      <c r="C339" s="4" t="s">
        <v>2043</v>
      </c>
      <c r="D339" s="166">
        <v>5</v>
      </c>
      <c r="E339" s="4" t="str">
        <f>VLOOKUP(C339,Master!$B$6:$N$1000,9,FALSE)</f>
        <v>gr</v>
      </c>
      <c r="F339" s="144">
        <f>VLOOKUP(C339,Master!$B$7:$N$1000,10,FALSE)</f>
        <v>38.5</v>
      </c>
      <c r="G339" s="144">
        <f t="shared" si="40"/>
        <v>192.5</v>
      </c>
      <c r="H339" s="4"/>
      <c r="I339" s="4"/>
      <c r="J339" s="4"/>
      <c r="K339" s="4"/>
      <c r="L339" s="4"/>
    </row>
    <row r="340" spans="1:12" ht="13">
      <c r="A340" s="4"/>
      <c r="B340" s="4"/>
      <c r="C340" s="4" t="s">
        <v>1980</v>
      </c>
      <c r="D340" s="166">
        <v>5</v>
      </c>
      <c r="E340" s="4" t="str">
        <f>VLOOKUP(C340,Master!$B$6:$N$1000,9,FALSE)</f>
        <v>gr</v>
      </c>
      <c r="F340" s="144">
        <f>VLOOKUP(C340,Master!$B$7:$N$1000,10,FALSE)</f>
        <v>17.5</v>
      </c>
      <c r="G340" s="144">
        <f t="shared" si="40"/>
        <v>87.5</v>
      </c>
      <c r="H340" s="4"/>
      <c r="I340" s="4"/>
      <c r="J340" s="4"/>
      <c r="K340" s="4"/>
      <c r="L340" s="4"/>
    </row>
    <row r="341" spans="1:12" ht="13">
      <c r="A341" s="4"/>
      <c r="B341" s="4"/>
      <c r="C341" s="4" t="s">
        <v>799</v>
      </c>
      <c r="D341" s="166">
        <v>5</v>
      </c>
      <c r="E341" s="4" t="str">
        <f>VLOOKUP(C341,Master!$B$6:$N$1000,9,FALSE)</f>
        <v>gr</v>
      </c>
      <c r="F341" s="144">
        <f>VLOOKUP(C341,Master!$B$7:$N$1000,10,FALSE)</f>
        <v>90</v>
      </c>
      <c r="G341" s="144">
        <f t="shared" si="40"/>
        <v>450</v>
      </c>
      <c r="H341" s="4"/>
      <c r="I341" s="4"/>
      <c r="J341" s="4"/>
      <c r="K341" s="4"/>
      <c r="L341" s="4"/>
    </row>
    <row r="342" spans="1:12" ht="13">
      <c r="A342" s="4"/>
      <c r="B342" s="4"/>
      <c r="C342" s="4" t="s">
        <v>764</v>
      </c>
      <c r="D342" s="166">
        <v>5</v>
      </c>
      <c r="E342" s="4" t="str">
        <f>VLOOKUP(C342,Master!$B$6:$N$1000,9,FALSE)</f>
        <v>gr</v>
      </c>
      <c r="F342" s="144">
        <f>VLOOKUP(C342,Master!$B$7:$N$1000,10,FALSE)</f>
        <v>15</v>
      </c>
      <c r="G342" s="144">
        <f t="shared" si="40"/>
        <v>75</v>
      </c>
      <c r="H342" s="4"/>
      <c r="I342" s="4"/>
      <c r="J342" s="4"/>
      <c r="K342" s="4"/>
      <c r="L342" s="4"/>
    </row>
    <row r="343" spans="1:12" ht="13">
      <c r="A343" s="4"/>
      <c r="B343" s="4"/>
      <c r="C343" s="4" t="s">
        <v>1076</v>
      </c>
      <c r="D343" s="166">
        <v>20</v>
      </c>
      <c r="E343" s="4" t="str">
        <f>VLOOKUP(C343,Master!$B$6:$N$1000,9,FALSE)</f>
        <v>gr</v>
      </c>
      <c r="F343" s="144">
        <f>VLOOKUP(C343,Master!$B$7:$N$1000,10,FALSE)</f>
        <v>10</v>
      </c>
      <c r="G343" s="144">
        <f t="shared" si="40"/>
        <v>200</v>
      </c>
      <c r="H343" s="4"/>
      <c r="I343" s="4"/>
      <c r="J343" s="4"/>
      <c r="K343" s="4"/>
      <c r="L343" s="4"/>
    </row>
    <row r="344" spans="1:12" ht="13">
      <c r="A344" s="183">
        <v>31</v>
      </c>
      <c r="B344" s="135" t="s">
        <v>472</v>
      </c>
      <c r="C344" s="136"/>
      <c r="D344" s="180">
        <f>SUM(D345:D349)</f>
        <v>25</v>
      </c>
      <c r="E344" s="135" t="str">
        <f>VLOOKUP(B344,Master!$B$7:$N$316,7,FALSE)</f>
        <v>gr</v>
      </c>
      <c r="F344" s="136"/>
      <c r="G344" s="138">
        <f>SUM(G345:G351)</f>
        <v>982.70769230769224</v>
      </c>
      <c r="H344" s="139">
        <v>0.1</v>
      </c>
      <c r="I344" s="138">
        <f>G344+(G344*H344)</f>
        <v>1080.9784615384615</v>
      </c>
      <c r="J344" s="180">
        <v>1</v>
      </c>
      <c r="K344" s="138">
        <f>I344/J344</f>
        <v>1080.9784615384615</v>
      </c>
      <c r="L344" s="168">
        <f>D344/J344</f>
        <v>25</v>
      </c>
    </row>
    <row r="345" spans="1:12" ht="13">
      <c r="A345" s="4"/>
      <c r="B345" s="4"/>
      <c r="C345" s="4" t="s">
        <v>671</v>
      </c>
      <c r="D345" s="166">
        <v>6</v>
      </c>
      <c r="E345" s="4" t="str">
        <f>VLOOKUP(C345,Master!$B$6:$N$1000,9,FALSE)</f>
        <v>gr</v>
      </c>
      <c r="F345" s="144">
        <f>VLOOKUP(C345,Master!$B$7:$N$1000,10,FALSE)</f>
        <v>50</v>
      </c>
      <c r="G345" s="144">
        <f t="shared" ref="G345:G351" si="41">D345*F345</f>
        <v>300</v>
      </c>
      <c r="H345" s="4"/>
      <c r="I345" s="4"/>
      <c r="J345" s="4"/>
      <c r="K345" s="4"/>
      <c r="L345" s="4"/>
    </row>
    <row r="346" spans="1:12" ht="13">
      <c r="A346" s="4"/>
      <c r="B346" s="4"/>
      <c r="C346" s="4" t="s">
        <v>1064</v>
      </c>
      <c r="D346" s="166">
        <v>10</v>
      </c>
      <c r="E346" s="4" t="str">
        <f>VLOOKUP(C346,Master!$B$6:$N$1000,9,FALSE)</f>
        <v>gr</v>
      </c>
      <c r="F346" s="144">
        <f>VLOOKUP(C346,Master!$B$7:$N$1000,10,FALSE)</f>
        <v>37.700000000000003</v>
      </c>
      <c r="G346" s="144">
        <f t="shared" si="41"/>
        <v>377</v>
      </c>
      <c r="H346" s="4"/>
      <c r="I346" s="4"/>
      <c r="J346" s="4"/>
      <c r="K346" s="4"/>
      <c r="L346" s="4"/>
    </row>
    <row r="347" spans="1:12" ht="13">
      <c r="A347" s="4"/>
      <c r="B347" s="4"/>
      <c r="C347" s="4" t="s">
        <v>898</v>
      </c>
      <c r="D347" s="166">
        <v>2</v>
      </c>
      <c r="E347" s="4" t="str">
        <f>VLOOKUP(C347,Master!$B$6:$N$1000,9,FALSE)</f>
        <v>gr</v>
      </c>
      <c r="F347" s="144">
        <f>VLOOKUP(C347,Master!$B$7:$N$1000,10,FALSE)</f>
        <v>64.2</v>
      </c>
      <c r="G347" s="144">
        <f t="shared" si="41"/>
        <v>128.4</v>
      </c>
      <c r="H347" s="4"/>
      <c r="I347" s="4"/>
      <c r="J347" s="4"/>
      <c r="K347" s="4"/>
      <c r="L347" s="4"/>
    </row>
    <row r="348" spans="1:12" ht="13">
      <c r="A348" s="4"/>
      <c r="B348" s="4"/>
      <c r="C348" s="4" t="s">
        <v>815</v>
      </c>
      <c r="D348" s="166">
        <v>5</v>
      </c>
      <c r="E348" s="4" t="str">
        <f>VLOOKUP(C348,Master!$B$6:$N$1000,9,FALSE)</f>
        <v>gr</v>
      </c>
      <c r="F348" s="144">
        <f>VLOOKUP(C348,Master!$B$7:$N$1000,10,FALSE)</f>
        <v>12</v>
      </c>
      <c r="G348" s="144">
        <f t="shared" si="41"/>
        <v>60</v>
      </c>
      <c r="H348" s="4"/>
      <c r="I348" s="4"/>
      <c r="J348" s="4"/>
      <c r="K348" s="4"/>
      <c r="L348" s="4"/>
    </row>
    <row r="349" spans="1:12" ht="13">
      <c r="A349" s="4"/>
      <c r="B349" s="4"/>
      <c r="C349" s="4" t="s">
        <v>764</v>
      </c>
      <c r="D349" s="166">
        <v>2</v>
      </c>
      <c r="E349" s="4" t="str">
        <f>VLOOKUP(C349,Master!$B$6:$N$1000,9,FALSE)</f>
        <v>gr</v>
      </c>
      <c r="F349" s="144">
        <f>VLOOKUP(C349,Master!$B$7:$N$1000,10,FALSE)</f>
        <v>15</v>
      </c>
      <c r="G349" s="144">
        <f t="shared" si="41"/>
        <v>30</v>
      </c>
      <c r="H349" s="4"/>
      <c r="I349" s="4"/>
      <c r="J349" s="4"/>
      <c r="K349" s="4"/>
      <c r="L349" s="4"/>
    </row>
    <row r="350" spans="1:12" ht="13">
      <c r="A350" s="4"/>
      <c r="B350" s="4"/>
      <c r="C350" s="4" t="s">
        <v>1980</v>
      </c>
      <c r="D350" s="166">
        <v>2</v>
      </c>
      <c r="E350" s="4" t="str">
        <f>VLOOKUP(C350,Master!$B$6:$N$1000,9,FALSE)</f>
        <v>gr</v>
      </c>
      <c r="F350" s="144">
        <f>VLOOKUP(C350,Master!$B$7:$N$1000,10,FALSE)</f>
        <v>17.5</v>
      </c>
      <c r="G350" s="144">
        <f t="shared" si="41"/>
        <v>35</v>
      </c>
      <c r="H350" s="4"/>
      <c r="I350" s="4"/>
      <c r="J350" s="4"/>
      <c r="K350" s="4"/>
      <c r="L350" s="4"/>
    </row>
    <row r="351" spans="1:12" ht="13">
      <c r="A351" s="4"/>
      <c r="B351" s="4"/>
      <c r="C351" s="4" t="s">
        <v>2033</v>
      </c>
      <c r="D351" s="166">
        <v>2</v>
      </c>
      <c r="E351" s="4" t="str">
        <f>VLOOKUP(C351,Master!$B$6:$N$1000,9,FALSE)</f>
        <v>ml</v>
      </c>
      <c r="F351" s="144">
        <f>VLOOKUP(C351,Master!$B$7:$N$1000,10,FALSE)</f>
        <v>26.153846153846153</v>
      </c>
      <c r="G351" s="144">
        <f t="shared" si="41"/>
        <v>52.307692307692307</v>
      </c>
      <c r="H351" s="4"/>
      <c r="I351" s="4"/>
      <c r="J351" s="4"/>
      <c r="K351" s="4"/>
      <c r="L351" s="4"/>
    </row>
    <row r="352" spans="1:12" ht="13">
      <c r="A352" s="183">
        <v>31</v>
      </c>
      <c r="B352" s="135" t="s">
        <v>464</v>
      </c>
      <c r="C352" s="136"/>
      <c r="D352" s="180">
        <f>SUM(D353:D358)</f>
        <v>1195</v>
      </c>
      <c r="E352" s="135" t="str">
        <f>VLOOKUP(B352,Master!$B$7:$N$316,7,FALSE)</f>
        <v>gr</v>
      </c>
      <c r="F352" s="136"/>
      <c r="G352" s="138">
        <f>SUM(G353:G358)</f>
        <v>58313.333333333336</v>
      </c>
      <c r="H352" s="139">
        <v>0.1</v>
      </c>
      <c r="I352" s="138">
        <f>G352+(G352*H352)</f>
        <v>64144.666666666672</v>
      </c>
      <c r="J352" s="180">
        <v>12</v>
      </c>
      <c r="K352" s="138">
        <f>I352/J352</f>
        <v>5345.3888888888896</v>
      </c>
      <c r="L352" s="168">
        <f>D352/J352</f>
        <v>99.583333333333329</v>
      </c>
    </row>
    <row r="353" spans="1:12" ht="13">
      <c r="A353" s="4"/>
      <c r="B353" s="4"/>
      <c r="C353" s="4" t="s">
        <v>655</v>
      </c>
      <c r="D353" s="166">
        <v>1000</v>
      </c>
      <c r="E353" s="4" t="str">
        <f>VLOOKUP(C353,Master!$B$6:$N$1000,9,FALSE)</f>
        <v>gr</v>
      </c>
      <c r="F353" s="144">
        <f>VLOOKUP(C353,Master!$B$7:$N$1000,10,FALSE)</f>
        <v>50</v>
      </c>
      <c r="G353" s="144">
        <f t="shared" ref="G353:G358" si="42">D353*F353</f>
        <v>50000</v>
      </c>
      <c r="H353" s="4"/>
      <c r="I353" s="4"/>
      <c r="J353" s="4"/>
      <c r="K353" s="4"/>
      <c r="L353" s="4"/>
    </row>
    <row r="354" spans="1:12" ht="13">
      <c r="A354" s="4"/>
      <c r="B354" s="4"/>
      <c r="C354" s="4" t="s">
        <v>712</v>
      </c>
      <c r="D354" s="166">
        <v>150</v>
      </c>
      <c r="E354" s="4" t="str">
        <f>VLOOKUP(C354,Master!$B$6:$N$1000,9,FALSE)</f>
        <v>gr</v>
      </c>
      <c r="F354" s="144">
        <f>VLOOKUP(C354,Master!$B$7:$N$1000,10,FALSE)</f>
        <v>40</v>
      </c>
      <c r="G354" s="144">
        <f t="shared" si="42"/>
        <v>6000</v>
      </c>
      <c r="H354" s="4"/>
      <c r="I354" s="4"/>
      <c r="J354" s="4"/>
      <c r="K354" s="4"/>
      <c r="L354" s="4"/>
    </row>
    <row r="355" spans="1:12" ht="13">
      <c r="A355" s="4"/>
      <c r="B355" s="4"/>
      <c r="C355" s="4" t="s">
        <v>764</v>
      </c>
      <c r="D355" s="166">
        <v>10</v>
      </c>
      <c r="E355" s="4" t="str">
        <f>VLOOKUP(C355,Master!$B$6:$N$1000,9,FALSE)</f>
        <v>gr</v>
      </c>
      <c r="F355" s="144">
        <f>VLOOKUP(C355,Master!$B$7:$N$1000,10,FALSE)</f>
        <v>15</v>
      </c>
      <c r="G355" s="144">
        <f t="shared" si="42"/>
        <v>150</v>
      </c>
      <c r="H355" s="4"/>
      <c r="I355" s="4"/>
      <c r="J355" s="4"/>
      <c r="K355" s="4"/>
      <c r="L355" s="4"/>
    </row>
    <row r="356" spans="1:12" ht="13">
      <c r="A356" s="4"/>
      <c r="B356" s="4"/>
      <c r="C356" s="4" t="s">
        <v>799</v>
      </c>
      <c r="D356" s="166">
        <v>5</v>
      </c>
      <c r="E356" s="4" t="str">
        <f>VLOOKUP(C356,Master!$B$6:$N$1000,9,FALSE)</f>
        <v>gr</v>
      </c>
      <c r="F356" s="144">
        <f>VLOOKUP(C356,Master!$B$7:$N$1000,10,FALSE)</f>
        <v>90</v>
      </c>
      <c r="G356" s="144">
        <f t="shared" si="42"/>
        <v>450</v>
      </c>
      <c r="H356" s="4"/>
      <c r="I356" s="4"/>
      <c r="J356" s="4"/>
      <c r="K356" s="4"/>
      <c r="L356" s="4"/>
    </row>
    <row r="357" spans="1:12" ht="13">
      <c r="A357" s="4"/>
      <c r="B357" s="4"/>
      <c r="C357" s="4" t="s">
        <v>1123</v>
      </c>
      <c r="D357" s="166">
        <v>25</v>
      </c>
      <c r="E357" s="4" t="str">
        <f>VLOOKUP(C357,Master!$B$6:$N$1000,9,FALSE)</f>
        <v>ml</v>
      </c>
      <c r="F357" s="144">
        <f>VLOOKUP(C357,Master!$B$7:$N$1000,10,FALSE)</f>
        <v>60.833333333333336</v>
      </c>
      <c r="G357" s="144">
        <f t="shared" si="42"/>
        <v>1520.8333333333335</v>
      </c>
      <c r="H357" s="4"/>
      <c r="I357" s="4"/>
      <c r="J357" s="4"/>
      <c r="K357" s="4"/>
      <c r="L357" s="4"/>
    </row>
    <row r="358" spans="1:12" ht="13">
      <c r="A358" s="4"/>
      <c r="B358" s="4"/>
      <c r="C358" s="4" t="s">
        <v>2043</v>
      </c>
      <c r="D358" s="166">
        <v>5</v>
      </c>
      <c r="E358" s="4" t="str">
        <f>VLOOKUP(C358,Master!$B$6:$N$1000,9,FALSE)</f>
        <v>gr</v>
      </c>
      <c r="F358" s="144">
        <f>VLOOKUP(C358,Master!$B$7:$N$1000,10,FALSE)</f>
        <v>38.5</v>
      </c>
      <c r="G358" s="144">
        <f t="shared" si="42"/>
        <v>192.5</v>
      </c>
      <c r="H358" s="4"/>
      <c r="I358" s="4"/>
      <c r="J358" s="4"/>
      <c r="K358" s="4"/>
      <c r="L358" s="4"/>
    </row>
    <row r="359" spans="1:12" ht="13">
      <c r="A359" s="183">
        <v>31</v>
      </c>
      <c r="B359" s="135" t="s">
        <v>456</v>
      </c>
      <c r="C359" s="136"/>
      <c r="D359" s="180">
        <f>SUM(D360:D364)</f>
        <v>1062</v>
      </c>
      <c r="E359" s="135" t="str">
        <f>VLOOKUP(B359,Master!$B$7:$N$316,7,FALSE)</f>
        <v>gr</v>
      </c>
      <c r="F359" s="136"/>
      <c r="G359" s="138">
        <f>SUM(G360:G364)</f>
        <v>127794</v>
      </c>
      <c r="H359" s="139">
        <v>0.1</v>
      </c>
      <c r="I359" s="138">
        <f>G359+(G359*H359)</f>
        <v>140573.4</v>
      </c>
      <c r="J359" s="180">
        <v>26</v>
      </c>
      <c r="K359" s="138">
        <f>I359/J359</f>
        <v>5406.6692307692301</v>
      </c>
      <c r="L359" s="168">
        <f>D359/J359</f>
        <v>40.846153846153847</v>
      </c>
    </row>
    <row r="360" spans="1:12" ht="13">
      <c r="A360" s="4"/>
      <c r="B360" s="4"/>
      <c r="C360" s="4" t="s">
        <v>1231</v>
      </c>
      <c r="D360" s="166">
        <v>1000</v>
      </c>
      <c r="E360" s="4" t="str">
        <f>VLOOKUP(C360,Master!$B$6:$N$1000,9,FALSE)</f>
        <v>gr</v>
      </c>
      <c r="F360" s="144">
        <f>VLOOKUP(C360,Master!$B$7:$N$1000,10,FALSE)</f>
        <v>127</v>
      </c>
      <c r="G360" s="144">
        <f t="shared" ref="G360:G364" si="43">D360*F360</f>
        <v>127000</v>
      </c>
      <c r="H360" s="4"/>
      <c r="I360" s="4"/>
      <c r="J360" s="4"/>
      <c r="K360" s="4"/>
      <c r="L360" s="4"/>
    </row>
    <row r="361" spans="1:12" ht="13">
      <c r="A361" s="4"/>
      <c r="B361" s="4"/>
      <c r="C361" s="4" t="s">
        <v>901</v>
      </c>
      <c r="D361" s="166">
        <v>2</v>
      </c>
      <c r="E361" s="4" t="str">
        <f>VLOOKUP(C361,Master!$B$6:$N$1000,9,FALSE)</f>
        <v>gr</v>
      </c>
      <c r="F361" s="144">
        <f>VLOOKUP(C361,Master!$B$7:$N$1000,10,FALSE)</f>
        <v>12</v>
      </c>
      <c r="G361" s="144">
        <f t="shared" si="43"/>
        <v>24</v>
      </c>
      <c r="H361" s="4"/>
      <c r="I361" s="4"/>
      <c r="J361" s="4"/>
      <c r="K361" s="4"/>
      <c r="L361" s="4"/>
    </row>
    <row r="362" spans="1:12" ht="13">
      <c r="A362" s="4"/>
      <c r="B362" s="4"/>
      <c r="C362" s="4" t="s">
        <v>815</v>
      </c>
      <c r="D362" s="166">
        <v>30</v>
      </c>
      <c r="E362" s="4" t="str">
        <f>VLOOKUP(C362,Master!$B$6:$N$1000,9,FALSE)</f>
        <v>gr</v>
      </c>
      <c r="F362" s="144">
        <f>VLOOKUP(C362,Master!$B$7:$N$1000,10,FALSE)</f>
        <v>12</v>
      </c>
      <c r="G362" s="144">
        <f t="shared" si="43"/>
        <v>360</v>
      </c>
      <c r="H362" s="4"/>
      <c r="I362" s="4"/>
      <c r="J362" s="4"/>
      <c r="K362" s="4"/>
      <c r="L362" s="4"/>
    </row>
    <row r="363" spans="1:12" ht="13">
      <c r="A363" s="4"/>
      <c r="B363" s="4"/>
      <c r="C363" s="4" t="s">
        <v>1152</v>
      </c>
      <c r="D363" s="166">
        <v>20</v>
      </c>
      <c r="E363" s="4" t="str">
        <f>VLOOKUP(C363,Master!$B$6:$N$1000,9,FALSE)</f>
        <v>gr</v>
      </c>
      <c r="F363" s="144">
        <f>VLOOKUP(C363,Master!$B$7:$N$1000,10,FALSE)</f>
        <v>13</v>
      </c>
      <c r="G363" s="144">
        <f t="shared" si="43"/>
        <v>260</v>
      </c>
      <c r="H363" s="4"/>
      <c r="I363" s="4"/>
      <c r="J363" s="4"/>
      <c r="K363" s="4"/>
      <c r="L363" s="4"/>
    </row>
    <row r="364" spans="1:12" ht="13">
      <c r="A364" s="4"/>
      <c r="B364" s="4"/>
      <c r="C364" s="4" t="s">
        <v>764</v>
      </c>
      <c r="D364" s="166">
        <v>10</v>
      </c>
      <c r="E364" s="4" t="str">
        <f>VLOOKUP(C364,Master!$B$6:$N$1000,9,FALSE)</f>
        <v>gr</v>
      </c>
      <c r="F364" s="144">
        <f>VLOOKUP(C364,Master!$B$7:$N$1000,10,FALSE)</f>
        <v>15</v>
      </c>
      <c r="G364" s="144">
        <f t="shared" si="43"/>
        <v>150</v>
      </c>
      <c r="H364" s="4"/>
      <c r="I364" s="4"/>
      <c r="J364" s="4"/>
      <c r="K364" s="4"/>
      <c r="L364" s="4"/>
    </row>
    <row r="365" spans="1:12" ht="13">
      <c r="A365" s="183">
        <v>31</v>
      </c>
      <c r="B365" s="135" t="s">
        <v>468</v>
      </c>
      <c r="C365" s="136"/>
      <c r="D365" s="180">
        <f>SUM(D366:D377)</f>
        <v>4817</v>
      </c>
      <c r="E365" s="135" t="str">
        <f>VLOOKUP(B365,Master!$B$7:$N$316,7,FALSE)</f>
        <v>gr</v>
      </c>
      <c r="F365" s="136"/>
      <c r="G365" s="138">
        <f>SUM(G366:G377)</f>
        <v>455859.65</v>
      </c>
      <c r="H365" s="139">
        <v>0.1</v>
      </c>
      <c r="I365" s="138">
        <f>G365+(G365*H365)</f>
        <v>501445.61500000005</v>
      </c>
      <c r="J365" s="180">
        <v>50</v>
      </c>
      <c r="K365" s="138">
        <f>I365/J365</f>
        <v>10028.912300000002</v>
      </c>
      <c r="L365" s="168">
        <f>D365/J365</f>
        <v>96.34</v>
      </c>
    </row>
    <row r="366" spans="1:12" ht="13">
      <c r="A366" s="4"/>
      <c r="B366" s="4"/>
      <c r="C366" s="4" t="s">
        <v>1231</v>
      </c>
      <c r="D366" s="166">
        <v>2000</v>
      </c>
      <c r="E366" s="4" t="str">
        <f>VLOOKUP(C366,Master!$B$6:$N$1000,9,FALSE)</f>
        <v>gr</v>
      </c>
      <c r="F366" s="144">
        <f>VLOOKUP(C366,Master!$B$7:$N$1000,10,FALSE)</f>
        <v>127</v>
      </c>
      <c r="G366" s="144">
        <f t="shared" ref="G366:G377" si="44">D366*F366</f>
        <v>254000</v>
      </c>
      <c r="H366" s="4"/>
      <c r="I366" s="4"/>
      <c r="J366" s="4"/>
      <c r="K366" s="4"/>
      <c r="L366" s="4"/>
    </row>
    <row r="367" spans="1:12" ht="13">
      <c r="A367" s="4"/>
      <c r="B367" s="4"/>
      <c r="C367" s="4" t="s">
        <v>1240</v>
      </c>
      <c r="D367" s="166">
        <v>2000</v>
      </c>
      <c r="E367" s="4" t="str">
        <f>VLOOKUP(C367,Master!$B$6:$N$1000,9,FALSE)</f>
        <v>gr</v>
      </c>
      <c r="F367" s="144">
        <f>VLOOKUP(C367,Master!$B$7:$N$1000,10,FALSE)</f>
        <v>85</v>
      </c>
      <c r="G367" s="144">
        <f t="shared" si="44"/>
        <v>170000</v>
      </c>
      <c r="H367" s="4"/>
      <c r="I367" s="4"/>
      <c r="J367" s="4"/>
      <c r="K367" s="4"/>
      <c r="L367" s="4"/>
    </row>
    <row r="368" spans="1:12" ht="13">
      <c r="A368" s="4"/>
      <c r="B368" s="4"/>
      <c r="C368" s="4" t="s">
        <v>671</v>
      </c>
      <c r="D368" s="166">
        <v>150</v>
      </c>
      <c r="E368" s="4" t="str">
        <f>VLOOKUP(C368,Master!$B$6:$N$1000,9,FALSE)</f>
        <v>gr</v>
      </c>
      <c r="F368" s="144">
        <f>VLOOKUP(C368,Master!$B$7:$N$1000,10,FALSE)</f>
        <v>50</v>
      </c>
      <c r="G368" s="144">
        <f t="shared" si="44"/>
        <v>7500</v>
      </c>
      <c r="H368" s="4"/>
      <c r="I368" s="4"/>
      <c r="J368" s="4"/>
      <c r="K368" s="4"/>
      <c r="L368" s="4"/>
    </row>
    <row r="369" spans="1:12" ht="13">
      <c r="A369" s="4"/>
      <c r="B369" s="4"/>
      <c r="C369" s="4" t="s">
        <v>1134</v>
      </c>
      <c r="D369" s="166">
        <v>200</v>
      </c>
      <c r="E369" s="4" t="str">
        <f>VLOOKUP(C369,Master!$B$6:$N$1000,9,FALSE)</f>
        <v>gr</v>
      </c>
      <c r="F369" s="144">
        <f>VLOOKUP(C369,Master!$B$7:$N$1000,10,FALSE)</f>
        <v>40</v>
      </c>
      <c r="G369" s="144">
        <f t="shared" si="44"/>
        <v>8000</v>
      </c>
      <c r="H369" s="4"/>
      <c r="I369" s="4"/>
      <c r="J369" s="4"/>
      <c r="K369" s="4"/>
      <c r="L369" s="4"/>
    </row>
    <row r="370" spans="1:12" ht="13">
      <c r="A370" s="4"/>
      <c r="B370" s="4"/>
      <c r="C370" s="4" t="s">
        <v>712</v>
      </c>
      <c r="D370" s="166">
        <v>100</v>
      </c>
      <c r="E370" s="4" t="str">
        <f>VLOOKUP(C370,Master!$B$6:$N$1000,9,FALSE)</f>
        <v>gr</v>
      </c>
      <c r="F370" s="144">
        <f>VLOOKUP(C370,Master!$B$7:$N$1000,10,FALSE)</f>
        <v>40</v>
      </c>
      <c r="G370" s="144">
        <f t="shared" si="44"/>
        <v>4000</v>
      </c>
      <c r="H370" s="4"/>
      <c r="I370" s="4"/>
      <c r="J370" s="4"/>
      <c r="K370" s="4"/>
      <c r="L370" s="4"/>
    </row>
    <row r="371" spans="1:12" ht="13">
      <c r="A371" s="4"/>
      <c r="B371" s="4"/>
      <c r="C371" s="4" t="s">
        <v>1064</v>
      </c>
      <c r="D371" s="166">
        <v>200</v>
      </c>
      <c r="E371" s="4" t="str">
        <f>VLOOKUP(C371,Master!$B$6:$N$1000,9,FALSE)</f>
        <v>gr</v>
      </c>
      <c r="F371" s="144">
        <f>VLOOKUP(C371,Master!$B$7:$N$1000,10,FALSE)</f>
        <v>37.700000000000003</v>
      </c>
      <c r="G371" s="144">
        <f t="shared" si="44"/>
        <v>7540.0000000000009</v>
      </c>
      <c r="H371" s="4"/>
      <c r="I371" s="4"/>
      <c r="J371" s="4"/>
      <c r="K371" s="4"/>
      <c r="L371" s="4"/>
    </row>
    <row r="372" spans="1:12" ht="13">
      <c r="A372" s="4"/>
      <c r="B372" s="4"/>
      <c r="C372" s="4" t="s">
        <v>2042</v>
      </c>
      <c r="D372" s="166">
        <v>100</v>
      </c>
      <c r="E372" s="4" t="str">
        <f>VLOOKUP(C372,Master!$B$6:$N$1000,9,FALSE)</f>
        <v>gr</v>
      </c>
      <c r="F372" s="144">
        <f>VLOOKUP(C372,Master!$B$7:$N$1000,10,FALSE)</f>
        <v>29.0625</v>
      </c>
      <c r="G372" s="144">
        <f t="shared" si="44"/>
        <v>2906.25</v>
      </c>
      <c r="H372" s="4"/>
      <c r="I372" s="4"/>
      <c r="J372" s="4"/>
      <c r="K372" s="4"/>
      <c r="L372" s="4"/>
    </row>
    <row r="373" spans="1:12" ht="13">
      <c r="A373" s="4"/>
      <c r="B373" s="4"/>
      <c r="C373" s="4" t="s">
        <v>815</v>
      </c>
      <c r="D373" s="166">
        <v>5</v>
      </c>
      <c r="E373" s="4" t="str">
        <f>VLOOKUP(C373,Master!$B$6:$N$1000,9,FALSE)</f>
        <v>gr</v>
      </c>
      <c r="F373" s="144">
        <f>VLOOKUP(C373,Master!$B$7:$N$1000,10,FALSE)</f>
        <v>12</v>
      </c>
      <c r="G373" s="144">
        <f t="shared" si="44"/>
        <v>60</v>
      </c>
      <c r="H373" s="4"/>
      <c r="I373" s="4"/>
      <c r="J373" s="4"/>
      <c r="K373" s="4"/>
      <c r="L373" s="4"/>
    </row>
    <row r="374" spans="1:12" ht="13">
      <c r="A374" s="4"/>
      <c r="B374" s="4"/>
      <c r="C374" s="4" t="s">
        <v>898</v>
      </c>
      <c r="D374" s="166">
        <v>2</v>
      </c>
      <c r="E374" s="185" t="str">
        <f>VLOOKUP(C374,Master!$B$6:$N$1000,9,FALSE)</f>
        <v>gr</v>
      </c>
      <c r="F374" s="144">
        <f>VLOOKUP(C374,Master!$B$7:$N$1000,10,FALSE)</f>
        <v>64.2</v>
      </c>
      <c r="G374" s="144">
        <f t="shared" si="44"/>
        <v>128.4</v>
      </c>
      <c r="H374" s="4"/>
      <c r="I374" s="4"/>
      <c r="J374" s="4"/>
      <c r="K374" s="4"/>
      <c r="L374" s="4"/>
    </row>
    <row r="375" spans="1:12" ht="13">
      <c r="A375" s="4"/>
      <c r="B375" s="4"/>
      <c r="C375" s="4" t="s">
        <v>764</v>
      </c>
      <c r="D375" s="166">
        <v>20</v>
      </c>
      <c r="E375" s="185" t="str">
        <f>VLOOKUP(C375,Master!$B$6:$N$1000,9,FALSE)</f>
        <v>gr</v>
      </c>
      <c r="F375" s="144">
        <f>VLOOKUP(C375,Master!$B$7:$N$1000,10,FALSE)</f>
        <v>15</v>
      </c>
      <c r="G375" s="144">
        <f t="shared" si="44"/>
        <v>300</v>
      </c>
      <c r="H375" s="4"/>
      <c r="I375" s="4"/>
      <c r="J375" s="4"/>
      <c r="K375" s="4"/>
      <c r="L375" s="4"/>
    </row>
    <row r="376" spans="1:12" ht="13">
      <c r="A376" s="4"/>
      <c r="B376" s="4"/>
      <c r="C376" s="4" t="s">
        <v>1980</v>
      </c>
      <c r="D376" s="166">
        <v>30</v>
      </c>
      <c r="E376" s="185" t="str">
        <f>VLOOKUP(C376,Master!$B$6:$N$1000,9,FALSE)</f>
        <v>gr</v>
      </c>
      <c r="F376" s="144">
        <f>VLOOKUP(C376,Master!$B$7:$N$1000,10,FALSE)</f>
        <v>17.5</v>
      </c>
      <c r="G376" s="144">
        <f t="shared" si="44"/>
        <v>525</v>
      </c>
      <c r="H376" s="4"/>
      <c r="I376" s="4"/>
      <c r="J376" s="4"/>
      <c r="K376" s="4"/>
      <c r="L376" s="4"/>
    </row>
    <row r="377" spans="1:12" ht="13">
      <c r="A377" s="4"/>
      <c r="B377" s="4"/>
      <c r="C377" s="4" t="s">
        <v>799</v>
      </c>
      <c r="D377" s="166">
        <v>10</v>
      </c>
      <c r="E377" s="185" t="str">
        <f>VLOOKUP(C377,Master!$B$6:$N$1000,9,FALSE)</f>
        <v>gr</v>
      </c>
      <c r="F377" s="144">
        <f>VLOOKUP(C377,Master!$B$7:$N$1000,10,FALSE)</f>
        <v>90</v>
      </c>
      <c r="G377" s="144">
        <f t="shared" si="44"/>
        <v>900</v>
      </c>
      <c r="H377" s="4"/>
      <c r="I377" s="4"/>
      <c r="J377" s="4"/>
      <c r="K377" s="4"/>
      <c r="L377" s="4"/>
    </row>
    <row r="378" spans="1:12" ht="13">
      <c r="A378" s="183">
        <v>32</v>
      </c>
      <c r="B378" s="135" t="s">
        <v>304</v>
      </c>
      <c r="C378" s="136"/>
      <c r="D378" s="180">
        <f>SUM(D379:D388)</f>
        <v>364</v>
      </c>
      <c r="E378" s="186">
        <f>VLOOKUP(B378,Master!$B$7:$N$316,7,FALSE)</f>
        <v>0</v>
      </c>
      <c r="F378" s="136"/>
      <c r="G378" s="138">
        <f>SUM(G379:G388)</f>
        <v>12066.625</v>
      </c>
      <c r="H378" s="139">
        <v>0.1</v>
      </c>
      <c r="I378" s="138">
        <f>G378+(G378*H378)</f>
        <v>13273.2875</v>
      </c>
      <c r="J378" s="180">
        <v>203</v>
      </c>
      <c r="K378" s="138">
        <f>I378/J378</f>
        <v>65.385652709359604</v>
      </c>
      <c r="L378" s="168">
        <f>D378/J378</f>
        <v>1.7931034482758621</v>
      </c>
    </row>
    <row r="379" spans="1:12" ht="13">
      <c r="A379" s="4"/>
      <c r="B379" s="4"/>
      <c r="C379" s="4" t="s">
        <v>712</v>
      </c>
      <c r="D379" s="166">
        <v>25</v>
      </c>
      <c r="E379" s="4" t="str">
        <f>VLOOKUP(C379,Master!$B$6:$N$1000,9,FALSE)</f>
        <v>gr</v>
      </c>
      <c r="F379" s="144">
        <f>VLOOKUP(C379,Master!$B$7:$N$1000,10,FALSE)</f>
        <v>40</v>
      </c>
      <c r="G379" s="144">
        <f t="shared" ref="G379:G388" si="45">D379*F379</f>
        <v>1000</v>
      </c>
      <c r="H379" s="4"/>
      <c r="I379" s="4"/>
      <c r="J379" s="4"/>
      <c r="K379" s="4"/>
      <c r="L379" s="4"/>
    </row>
    <row r="380" spans="1:12" ht="13">
      <c r="A380" s="4"/>
      <c r="B380" s="4"/>
      <c r="C380" s="4" t="s">
        <v>1064</v>
      </c>
      <c r="D380" s="166">
        <v>30</v>
      </c>
      <c r="E380" s="4" t="str">
        <f>VLOOKUP(C380,Master!$B$6:$N$1000,9,FALSE)</f>
        <v>gr</v>
      </c>
      <c r="F380" s="144">
        <f>VLOOKUP(C380,Master!$B$7:$N$1000,10,FALSE)</f>
        <v>37.700000000000003</v>
      </c>
      <c r="G380" s="144">
        <f t="shared" si="45"/>
        <v>1131</v>
      </c>
      <c r="H380" s="4"/>
      <c r="I380" s="4"/>
      <c r="J380" s="4"/>
      <c r="K380" s="4"/>
      <c r="L380" s="4"/>
    </row>
    <row r="381" spans="1:12" ht="13">
      <c r="A381" s="4"/>
      <c r="B381" s="4"/>
      <c r="C381" s="4" t="s">
        <v>1150</v>
      </c>
      <c r="D381" s="166">
        <v>10</v>
      </c>
      <c r="E381" s="4" t="str">
        <f>VLOOKUP(C381,Master!$B$6:$N$1000,9,FALSE)</f>
        <v>gr</v>
      </c>
      <c r="F381" s="144">
        <f>VLOOKUP(C381,Master!$B$7:$N$1000,10,FALSE)</f>
        <v>75</v>
      </c>
      <c r="G381" s="144">
        <f t="shared" si="45"/>
        <v>750</v>
      </c>
      <c r="H381" s="4"/>
      <c r="I381" s="4"/>
      <c r="J381" s="4"/>
      <c r="K381" s="4"/>
      <c r="L381" s="4"/>
    </row>
    <row r="382" spans="1:12" ht="13">
      <c r="A382" s="4"/>
      <c r="B382" s="4"/>
      <c r="C382" s="4" t="s">
        <v>1148</v>
      </c>
      <c r="D382" s="166">
        <v>2</v>
      </c>
      <c r="E382" s="4" t="str">
        <f>VLOOKUP(C382,Master!$B$6:$N$1000,9,FALSE)</f>
        <v>gr</v>
      </c>
      <c r="F382" s="144">
        <f>VLOOKUP(C382,Master!$B$7:$N$1000,10,FALSE)</f>
        <v>40</v>
      </c>
      <c r="G382" s="144">
        <f t="shared" si="45"/>
        <v>80</v>
      </c>
      <c r="H382" s="4"/>
      <c r="I382" s="4"/>
      <c r="J382" s="4"/>
      <c r="K382" s="4"/>
      <c r="L382" s="4"/>
    </row>
    <row r="383" spans="1:12" ht="13">
      <c r="A383" s="4"/>
      <c r="B383" s="4"/>
      <c r="C383" s="4" t="s">
        <v>2042</v>
      </c>
      <c r="D383" s="166">
        <v>250</v>
      </c>
      <c r="E383" s="4" t="str">
        <f>VLOOKUP(C383,Master!$B$6:$N$1000,9,FALSE)</f>
        <v>gr</v>
      </c>
      <c r="F383" s="144">
        <f>VLOOKUP(C383,Master!$B$7:$N$1000,10,FALSE)</f>
        <v>29.0625</v>
      </c>
      <c r="G383" s="144">
        <f t="shared" si="45"/>
        <v>7265.625</v>
      </c>
      <c r="H383" s="4"/>
      <c r="I383" s="4"/>
      <c r="J383" s="4"/>
      <c r="K383" s="4"/>
      <c r="L383" s="4"/>
    </row>
    <row r="384" spans="1:12" ht="13">
      <c r="A384" s="4"/>
      <c r="B384" s="4"/>
      <c r="C384" s="4" t="s">
        <v>1989</v>
      </c>
      <c r="D384" s="166">
        <v>30</v>
      </c>
      <c r="E384" s="4" t="str">
        <f>VLOOKUP(C384,Master!$B$6:$N$1000,9,FALSE)</f>
        <v>gr</v>
      </c>
      <c r="F384" s="144">
        <f>VLOOKUP(C384,Master!$B$7:$N$1000,10,FALSE)</f>
        <v>39</v>
      </c>
      <c r="G384" s="144">
        <f t="shared" si="45"/>
        <v>1170</v>
      </c>
      <c r="H384" s="4"/>
      <c r="I384" s="4"/>
      <c r="J384" s="4"/>
      <c r="K384" s="4"/>
      <c r="L384" s="4"/>
    </row>
    <row r="385" spans="1:12" ht="13">
      <c r="A385" s="4"/>
      <c r="B385" s="4"/>
      <c r="C385" s="4" t="s">
        <v>764</v>
      </c>
      <c r="D385" s="166">
        <v>5</v>
      </c>
      <c r="E385" s="4" t="str">
        <f>VLOOKUP(C385,Master!$B$6:$N$1000,9,FALSE)</f>
        <v>gr</v>
      </c>
      <c r="F385" s="144">
        <f>VLOOKUP(C385,Master!$B$7:$N$1000,10,FALSE)</f>
        <v>15</v>
      </c>
      <c r="G385" s="144">
        <f t="shared" si="45"/>
        <v>75</v>
      </c>
      <c r="H385" s="4"/>
      <c r="I385" s="4"/>
      <c r="J385" s="4"/>
      <c r="K385" s="4"/>
      <c r="L385" s="4"/>
    </row>
    <row r="386" spans="1:12" ht="13">
      <c r="A386" s="4"/>
      <c r="B386" s="4"/>
      <c r="C386" s="4" t="s">
        <v>1000</v>
      </c>
      <c r="D386" s="166">
        <v>5</v>
      </c>
      <c r="E386" s="4" t="str">
        <f>VLOOKUP(C386,Master!$B$6:$N$1000,9,FALSE)</f>
        <v>gr</v>
      </c>
      <c r="F386" s="144">
        <f>VLOOKUP(C386,Master!$B$7:$N$1000,10,FALSE)</f>
        <v>44.5</v>
      </c>
      <c r="G386" s="144">
        <f t="shared" si="45"/>
        <v>222.5</v>
      </c>
      <c r="H386" s="4"/>
      <c r="I386" s="4"/>
      <c r="J386" s="4"/>
      <c r="K386" s="4"/>
      <c r="L386" s="4"/>
    </row>
    <row r="387" spans="1:12" ht="13">
      <c r="A387" s="4"/>
      <c r="B387" s="4"/>
      <c r="C387" s="4" t="s">
        <v>799</v>
      </c>
      <c r="D387" s="166">
        <v>2</v>
      </c>
      <c r="E387" s="4" t="str">
        <f>VLOOKUP(C387,Master!$B$6:$N$1000,9,FALSE)</f>
        <v>gr</v>
      </c>
      <c r="F387" s="144">
        <f>VLOOKUP(C387,Master!$B$7:$N$1000,10,FALSE)</f>
        <v>90</v>
      </c>
      <c r="G387" s="144">
        <f t="shared" si="45"/>
        <v>180</v>
      </c>
      <c r="H387" s="4"/>
      <c r="I387" s="4"/>
      <c r="J387" s="4"/>
      <c r="K387" s="4"/>
      <c r="L387" s="4"/>
    </row>
    <row r="388" spans="1:12" ht="13">
      <c r="A388" s="4"/>
      <c r="B388" s="4"/>
      <c r="C388" s="4" t="s">
        <v>2043</v>
      </c>
      <c r="D388" s="166">
        <v>5</v>
      </c>
      <c r="E388" s="4" t="str">
        <f>VLOOKUP(C388,Master!$B$6:$N$1000,9,FALSE)</f>
        <v>gr</v>
      </c>
      <c r="F388" s="144">
        <f>VLOOKUP(C388,Master!$B$7:$N$1000,10,FALSE)</f>
        <v>38.5</v>
      </c>
      <c r="G388" s="144">
        <f t="shared" si="45"/>
        <v>192.5</v>
      </c>
      <c r="H388" s="4"/>
      <c r="I388" s="4"/>
      <c r="J388" s="4"/>
      <c r="K388" s="4"/>
      <c r="L388" s="4"/>
    </row>
    <row r="389" spans="1:12" ht="13">
      <c r="A389" s="183">
        <v>33</v>
      </c>
      <c r="B389" s="135" t="s">
        <v>327</v>
      </c>
      <c r="C389" s="136"/>
      <c r="D389" s="180">
        <f>SUM(D390:D394)</f>
        <v>151</v>
      </c>
      <c r="E389" s="186">
        <f>VLOOKUP(B389,Master!$B$7:$N$316,7,FALSE)</f>
        <v>0</v>
      </c>
      <c r="F389" s="136"/>
      <c r="G389" s="138">
        <f>SUM(G390:G406)</f>
        <v>41245.073152709359</v>
      </c>
      <c r="H389" s="139">
        <v>0.1</v>
      </c>
      <c r="I389" s="138">
        <f>G389+(G389*H389)</f>
        <v>45369.580467980297</v>
      </c>
      <c r="J389" s="180">
        <v>28</v>
      </c>
      <c r="K389" s="138">
        <f>I389/J389</f>
        <v>1620.3421595707248</v>
      </c>
      <c r="L389" s="168">
        <f>D389/J389</f>
        <v>5.3928571428571432</v>
      </c>
    </row>
    <row r="390" spans="1:12" ht="13">
      <c r="A390" s="4"/>
      <c r="B390" s="4"/>
      <c r="C390" s="4" t="s">
        <v>1247</v>
      </c>
      <c r="D390" s="166">
        <v>84</v>
      </c>
      <c r="E390" s="4" t="str">
        <f>VLOOKUP(C390,Master!$B$6:$N$1000,9,FALSE)</f>
        <v>pcs</v>
      </c>
      <c r="F390" s="144">
        <f>VLOOKUP(C390,Master!$B$7:$N$1000,10,FALSE)</f>
        <v>428.57142857142856</v>
      </c>
      <c r="G390" s="144">
        <f t="shared" ref="G390:G406" si="46">D390*F390</f>
        <v>36000</v>
      </c>
      <c r="H390" s="4"/>
      <c r="I390" s="4"/>
      <c r="J390" s="4"/>
      <c r="K390" s="4"/>
      <c r="L390" s="4"/>
    </row>
    <row r="391" spans="1:12" ht="13">
      <c r="A391" s="4"/>
      <c r="B391" s="4"/>
      <c r="C391" s="4" t="s">
        <v>712</v>
      </c>
      <c r="D391" s="166">
        <v>25</v>
      </c>
      <c r="E391" s="4" t="str">
        <f>VLOOKUP(C391,Master!$B$6:$N$1000,9,FALSE)</f>
        <v>gr</v>
      </c>
      <c r="F391" s="144">
        <f>VLOOKUP(C391,Master!$B$7:$N$1000,10,FALSE)</f>
        <v>40</v>
      </c>
      <c r="G391" s="144">
        <f t="shared" si="46"/>
        <v>1000</v>
      </c>
      <c r="H391" s="4"/>
      <c r="I391" s="4"/>
      <c r="J391" s="4"/>
      <c r="K391" s="4"/>
      <c r="L391" s="4"/>
    </row>
    <row r="392" spans="1:12" ht="13">
      <c r="A392" s="4"/>
      <c r="B392" s="4"/>
      <c r="C392" s="4" t="s">
        <v>1064</v>
      </c>
      <c r="D392" s="166">
        <v>30</v>
      </c>
      <c r="E392" s="4" t="str">
        <f>VLOOKUP(C392,Master!$B$6:$N$1000,9,FALSE)</f>
        <v>gr</v>
      </c>
      <c r="F392" s="144">
        <f>VLOOKUP(C392,Master!$B$7:$N$1000,10,FALSE)</f>
        <v>37.700000000000003</v>
      </c>
      <c r="G392" s="144">
        <f t="shared" si="46"/>
        <v>1131</v>
      </c>
      <c r="H392" s="4"/>
      <c r="I392" s="4"/>
      <c r="J392" s="4"/>
      <c r="K392" s="4"/>
      <c r="L392" s="4"/>
    </row>
    <row r="393" spans="1:12" ht="13">
      <c r="A393" s="4"/>
      <c r="B393" s="4"/>
      <c r="C393" s="4" t="s">
        <v>1150</v>
      </c>
      <c r="D393" s="166">
        <v>10</v>
      </c>
      <c r="E393" s="4" t="str">
        <f>VLOOKUP(C393,Master!$B$6:$N$1000,9,FALSE)</f>
        <v>gr</v>
      </c>
      <c r="F393" s="144">
        <f>VLOOKUP(C393,Master!$B$7:$N$1000,10,FALSE)</f>
        <v>75</v>
      </c>
      <c r="G393" s="144">
        <f t="shared" si="46"/>
        <v>750</v>
      </c>
      <c r="H393" s="4"/>
      <c r="I393" s="4"/>
      <c r="J393" s="4"/>
      <c r="K393" s="4"/>
      <c r="L393" s="4"/>
    </row>
    <row r="394" spans="1:12" ht="13">
      <c r="A394" s="4"/>
      <c r="B394" s="4"/>
      <c r="C394" s="4" t="s">
        <v>1148</v>
      </c>
      <c r="D394" s="166">
        <v>2</v>
      </c>
      <c r="E394" s="4" t="str">
        <f>VLOOKUP(C394,Master!$B$6:$N$1000,9,FALSE)</f>
        <v>gr</v>
      </c>
      <c r="F394" s="144">
        <f>VLOOKUP(C394,Master!$B$7:$N$1000,10,FALSE)</f>
        <v>40</v>
      </c>
      <c r="G394" s="144">
        <f t="shared" si="46"/>
        <v>80</v>
      </c>
      <c r="H394" s="4"/>
      <c r="I394" s="4"/>
      <c r="J394" s="4"/>
      <c r="K394" s="4"/>
      <c r="L394" s="4"/>
    </row>
    <row r="395" spans="1:12" ht="13">
      <c r="A395" s="4"/>
      <c r="B395" s="4"/>
      <c r="C395" s="4" t="s">
        <v>815</v>
      </c>
      <c r="D395" s="166">
        <v>10</v>
      </c>
      <c r="E395" s="4" t="str">
        <f>VLOOKUP(C395,Master!$B$6:$N$1000,9,FALSE)</f>
        <v>gr</v>
      </c>
      <c r="F395" s="144">
        <f>VLOOKUP(C395,Master!$B$7:$N$1000,10,FALSE)</f>
        <v>12</v>
      </c>
      <c r="G395" s="144">
        <f t="shared" si="46"/>
        <v>120</v>
      </c>
      <c r="H395" s="4"/>
      <c r="I395" s="4"/>
      <c r="J395" s="4"/>
      <c r="K395" s="4"/>
      <c r="L395" s="4"/>
    </row>
    <row r="396" spans="1:12" ht="13">
      <c r="A396" s="4"/>
      <c r="B396" s="4"/>
      <c r="C396" s="4" t="s">
        <v>1152</v>
      </c>
      <c r="D396" s="166">
        <v>15</v>
      </c>
      <c r="E396" s="4" t="str">
        <f>VLOOKUP(C396,Master!$B$6:$N$1000,9,FALSE)</f>
        <v>gr</v>
      </c>
      <c r="F396" s="144">
        <f>VLOOKUP(C396,Master!$B$7:$N$1000,10,FALSE)</f>
        <v>13</v>
      </c>
      <c r="G396" s="144">
        <f t="shared" si="46"/>
        <v>195</v>
      </c>
      <c r="H396" s="4"/>
      <c r="I396" s="4"/>
      <c r="J396" s="4"/>
      <c r="K396" s="4"/>
      <c r="L396" s="4"/>
    </row>
    <row r="397" spans="1:12" ht="13">
      <c r="A397" s="4"/>
      <c r="B397" s="4"/>
      <c r="C397" s="4" t="s">
        <v>901</v>
      </c>
      <c r="D397" s="166">
        <v>2</v>
      </c>
      <c r="E397" s="4" t="str">
        <f>VLOOKUP(C397,Master!$B$6:$N$1000,9,FALSE)</f>
        <v>gr</v>
      </c>
      <c r="F397" s="144">
        <f>VLOOKUP(C397,Master!$B$7:$N$1000,10,FALSE)</f>
        <v>12</v>
      </c>
      <c r="G397" s="144">
        <f t="shared" si="46"/>
        <v>24</v>
      </c>
      <c r="H397" s="4"/>
      <c r="I397" s="4"/>
      <c r="J397" s="4"/>
      <c r="K397" s="4"/>
      <c r="L397" s="4"/>
    </row>
    <row r="398" spans="1:12" ht="13">
      <c r="A398" s="4"/>
      <c r="B398" s="4"/>
      <c r="C398" s="4" t="s">
        <v>2059</v>
      </c>
      <c r="D398" s="166">
        <v>5</v>
      </c>
      <c r="E398" s="4" t="str">
        <f>VLOOKUP(C398,Master!$B$6:$N$1000,9,FALSE)</f>
        <v>gr</v>
      </c>
      <c r="F398" s="144">
        <f>VLOOKUP(C398,Master!$B$7:$N$1000,10,FALSE)</f>
        <v>17.5</v>
      </c>
      <c r="G398" s="144">
        <f t="shared" si="46"/>
        <v>87.5</v>
      </c>
      <c r="H398" s="4"/>
      <c r="I398" s="4"/>
      <c r="J398" s="4"/>
      <c r="K398" s="4"/>
      <c r="L398" s="4"/>
    </row>
    <row r="399" spans="1:12" ht="13">
      <c r="A399" s="4"/>
      <c r="B399" s="4"/>
      <c r="C399" s="4" t="s">
        <v>643</v>
      </c>
      <c r="D399" s="166">
        <v>5</v>
      </c>
      <c r="E399" s="4" t="str">
        <f>VLOOKUP(C399,Master!$B$6:$N$1000,9,FALSE)</f>
        <v>gr</v>
      </c>
      <c r="F399" s="144">
        <f>VLOOKUP(C399,Master!$B$7:$N$1000,10,FALSE)</f>
        <v>17</v>
      </c>
      <c r="G399" s="144">
        <f t="shared" si="46"/>
        <v>85</v>
      </c>
      <c r="H399" s="4"/>
      <c r="I399" s="4"/>
      <c r="J399" s="4"/>
      <c r="K399" s="4"/>
      <c r="L399" s="4"/>
    </row>
    <row r="400" spans="1:12" ht="13">
      <c r="A400" s="4"/>
      <c r="B400" s="4"/>
      <c r="C400" s="4" t="s">
        <v>1076</v>
      </c>
      <c r="D400" s="166">
        <v>2</v>
      </c>
      <c r="E400" s="4" t="str">
        <f>VLOOKUP(C400,Master!$B$6:$N$1000,9,FALSE)</f>
        <v>gr</v>
      </c>
      <c r="F400" s="144">
        <f>VLOOKUP(C400,Master!$B$7:$N$1000,10,FALSE)</f>
        <v>10</v>
      </c>
      <c r="G400" s="144">
        <f t="shared" si="46"/>
        <v>20</v>
      </c>
      <c r="H400" s="4"/>
      <c r="I400" s="4"/>
      <c r="J400" s="4"/>
      <c r="K400" s="4"/>
      <c r="L400" s="4"/>
    </row>
    <row r="401" spans="1:12" ht="13">
      <c r="A401" s="4"/>
      <c r="B401" s="4"/>
      <c r="C401" s="4" t="s">
        <v>1000</v>
      </c>
      <c r="D401" s="166">
        <v>5</v>
      </c>
      <c r="E401" s="4" t="str">
        <f>VLOOKUP(C401,Master!$B$6:$N$1000,9,FALSE)</f>
        <v>gr</v>
      </c>
      <c r="F401" s="144">
        <f>VLOOKUP(C401,Master!$B$7:$N$1000,10,FALSE)</f>
        <v>44.5</v>
      </c>
      <c r="G401" s="144">
        <f t="shared" si="46"/>
        <v>222.5</v>
      </c>
      <c r="H401" s="4"/>
      <c r="I401" s="4"/>
      <c r="J401" s="4"/>
      <c r="K401" s="4"/>
      <c r="L401" s="4"/>
    </row>
    <row r="402" spans="1:12" ht="13">
      <c r="A402" s="4"/>
      <c r="B402" s="4"/>
      <c r="C402" s="4" t="s">
        <v>764</v>
      </c>
      <c r="D402" s="166">
        <v>5</v>
      </c>
      <c r="E402" s="4" t="str">
        <f>VLOOKUP(C402,Master!$B$6:$N$1000,9,FALSE)</f>
        <v>gr</v>
      </c>
      <c r="F402" s="144">
        <f>VLOOKUP(C402,Master!$B$7:$N$1000,10,FALSE)</f>
        <v>15</v>
      </c>
      <c r="G402" s="144">
        <f t="shared" si="46"/>
        <v>75</v>
      </c>
      <c r="H402" s="4"/>
      <c r="I402" s="4"/>
      <c r="J402" s="4"/>
      <c r="K402" s="4"/>
      <c r="L402" s="4"/>
    </row>
    <row r="403" spans="1:12" ht="13">
      <c r="A403" s="4"/>
      <c r="B403" s="4"/>
      <c r="C403" s="4" t="s">
        <v>799</v>
      </c>
      <c r="D403" s="166">
        <v>2</v>
      </c>
      <c r="E403" s="4" t="str">
        <f>VLOOKUP(C403,Master!$B$6:$N$1000,9,FALSE)</f>
        <v>gr</v>
      </c>
      <c r="F403" s="144">
        <f>VLOOKUP(C403,Master!$B$7:$N$1000,10,FALSE)</f>
        <v>90</v>
      </c>
      <c r="G403" s="144">
        <f t="shared" si="46"/>
        <v>180</v>
      </c>
      <c r="H403" s="4"/>
      <c r="I403" s="4"/>
      <c r="J403" s="4"/>
      <c r="K403" s="4"/>
      <c r="L403" s="4"/>
    </row>
    <row r="404" spans="1:12" ht="13">
      <c r="A404" s="4"/>
      <c r="B404" s="4"/>
      <c r="C404" s="4" t="s">
        <v>2043</v>
      </c>
      <c r="D404" s="166">
        <v>5</v>
      </c>
      <c r="E404" s="4" t="str">
        <f>VLOOKUP(C404,Master!$B$6:$N$1000,9,FALSE)</f>
        <v>gr</v>
      </c>
      <c r="F404" s="144">
        <f>VLOOKUP(C404,Master!$B$7:$N$1000,10,FALSE)</f>
        <v>38.5</v>
      </c>
      <c r="G404" s="144">
        <f t="shared" si="46"/>
        <v>192.5</v>
      </c>
      <c r="H404" s="4"/>
      <c r="I404" s="4"/>
      <c r="J404" s="4"/>
      <c r="K404" s="4"/>
      <c r="L404" s="4"/>
    </row>
    <row r="405" spans="1:12" ht="13">
      <c r="A405" s="4"/>
      <c r="B405" s="4"/>
      <c r="C405" s="4" t="s">
        <v>2042</v>
      </c>
      <c r="D405" s="166">
        <v>35</v>
      </c>
      <c r="E405" s="4" t="str">
        <f>VLOOKUP(C405,Master!$B$6:$N$1000,9,FALSE)</f>
        <v>gr</v>
      </c>
      <c r="F405" s="144">
        <f>VLOOKUP(C405,Master!$B$7:$N$1000,10,FALSE)</f>
        <v>29.0625</v>
      </c>
      <c r="G405" s="144">
        <f t="shared" si="46"/>
        <v>1017.1875</v>
      </c>
      <c r="H405" s="4"/>
      <c r="I405" s="4"/>
      <c r="J405" s="4"/>
      <c r="K405" s="4"/>
      <c r="L405" s="4"/>
    </row>
    <row r="406" spans="1:12" ht="13">
      <c r="A406" s="4"/>
      <c r="B406" s="4"/>
      <c r="C406" s="4" t="s">
        <v>304</v>
      </c>
      <c r="D406" s="166">
        <v>1</v>
      </c>
      <c r="E406" s="4" t="str">
        <f>VLOOKUP(C406,Master!$B$6:$N$1000,9,FALSE)</f>
        <v>pcs</v>
      </c>
      <c r="F406" s="144">
        <f>VLOOKUP(C406,Master!$B$7:$N$1000,10,FALSE)</f>
        <v>65.385652709359604</v>
      </c>
      <c r="G406" s="144">
        <f t="shared" si="46"/>
        <v>65.385652709359604</v>
      </c>
      <c r="H406" s="4"/>
      <c r="I406" s="4"/>
      <c r="J406" s="4"/>
      <c r="K406" s="4"/>
      <c r="L406" s="4"/>
    </row>
    <row r="407" spans="1:12" ht="13">
      <c r="A407" s="183">
        <v>34</v>
      </c>
      <c r="B407" s="135" t="s">
        <v>332</v>
      </c>
      <c r="C407" s="136"/>
      <c r="D407" s="180">
        <f>SUM(D408:D412)</f>
        <v>567</v>
      </c>
      <c r="E407" s="186">
        <f>VLOOKUP(B407,Master!$B$7:$N$316,7,FALSE)</f>
        <v>0</v>
      </c>
      <c r="F407" s="136"/>
      <c r="G407" s="138">
        <f>SUM(G408:G424)</f>
        <v>35365.073152709359</v>
      </c>
      <c r="H407" s="139">
        <v>0.1</v>
      </c>
      <c r="I407" s="138">
        <f>G407+(G407*H407)</f>
        <v>38901.580467980297</v>
      </c>
      <c r="J407" s="180">
        <v>30</v>
      </c>
      <c r="K407" s="138">
        <f>I407/J407</f>
        <v>1296.7193489326767</v>
      </c>
      <c r="L407" s="168">
        <f>D407/J407</f>
        <v>18.899999999999999</v>
      </c>
    </row>
    <row r="408" spans="1:12" ht="13">
      <c r="A408" s="4"/>
      <c r="B408" s="4"/>
      <c r="C408" s="4" t="s">
        <v>1248</v>
      </c>
      <c r="D408" s="166">
        <v>500</v>
      </c>
      <c r="E408" s="4" t="str">
        <f>VLOOKUP(C408,Master!$B$6:$N$1000,9,FALSE)</f>
        <v>gr</v>
      </c>
      <c r="F408" s="144">
        <f>VLOOKUP(C408,Master!$B$7:$N$1000,10,FALSE)</f>
        <v>60</v>
      </c>
      <c r="G408" s="144">
        <f t="shared" ref="G408:G424" si="47">D408*F408</f>
        <v>30000</v>
      </c>
      <c r="H408" s="4"/>
      <c r="I408" s="4"/>
      <c r="J408" s="4"/>
      <c r="K408" s="4"/>
      <c r="L408" s="4"/>
    </row>
    <row r="409" spans="1:12" ht="13">
      <c r="A409" s="4"/>
      <c r="B409" s="4"/>
      <c r="C409" s="4" t="s">
        <v>712</v>
      </c>
      <c r="D409" s="166">
        <v>25</v>
      </c>
      <c r="E409" s="4" t="str">
        <f>VLOOKUP(C409,Master!$B$6:$N$1000,9,FALSE)</f>
        <v>gr</v>
      </c>
      <c r="F409" s="144">
        <f>VLOOKUP(C409,Master!$B$7:$N$1000,10,FALSE)</f>
        <v>40</v>
      </c>
      <c r="G409" s="144">
        <f t="shared" si="47"/>
        <v>1000</v>
      </c>
      <c r="H409" s="4"/>
      <c r="I409" s="4"/>
      <c r="J409" s="4"/>
      <c r="K409" s="4"/>
      <c r="L409" s="4"/>
    </row>
    <row r="410" spans="1:12" ht="13">
      <c r="A410" s="4"/>
      <c r="B410" s="4"/>
      <c r="C410" s="4" t="s">
        <v>1064</v>
      </c>
      <c r="D410" s="166">
        <v>30</v>
      </c>
      <c r="E410" s="4" t="str">
        <f>VLOOKUP(C410,Master!$B$6:$N$1000,9,FALSE)</f>
        <v>gr</v>
      </c>
      <c r="F410" s="144">
        <f>VLOOKUP(C410,Master!$B$7:$N$1000,10,FALSE)</f>
        <v>37.700000000000003</v>
      </c>
      <c r="G410" s="144">
        <f t="shared" si="47"/>
        <v>1131</v>
      </c>
      <c r="H410" s="4"/>
      <c r="I410" s="4"/>
      <c r="J410" s="4"/>
      <c r="K410" s="4"/>
      <c r="L410" s="4"/>
    </row>
    <row r="411" spans="1:12" ht="13">
      <c r="A411" s="4"/>
      <c r="B411" s="4"/>
      <c r="C411" s="4" t="s">
        <v>1150</v>
      </c>
      <c r="D411" s="166">
        <v>10</v>
      </c>
      <c r="E411" s="4" t="str">
        <f>VLOOKUP(C411,Master!$B$6:$N$1000,9,FALSE)</f>
        <v>gr</v>
      </c>
      <c r="F411" s="144">
        <f>VLOOKUP(C411,Master!$B$7:$N$1000,10,FALSE)</f>
        <v>75</v>
      </c>
      <c r="G411" s="144">
        <f t="shared" si="47"/>
        <v>750</v>
      </c>
      <c r="H411" s="4"/>
      <c r="I411" s="4"/>
      <c r="J411" s="4"/>
      <c r="K411" s="4"/>
      <c r="L411" s="4"/>
    </row>
    <row r="412" spans="1:12" ht="13">
      <c r="A412" s="4"/>
      <c r="B412" s="4"/>
      <c r="C412" s="4" t="s">
        <v>1148</v>
      </c>
      <c r="D412" s="166">
        <v>2</v>
      </c>
      <c r="E412" s="4" t="str">
        <f>VLOOKUP(C412,Master!$B$6:$N$1000,9,FALSE)</f>
        <v>gr</v>
      </c>
      <c r="F412" s="144">
        <f>VLOOKUP(C412,Master!$B$7:$N$1000,10,FALSE)</f>
        <v>40</v>
      </c>
      <c r="G412" s="144">
        <f t="shared" si="47"/>
        <v>80</v>
      </c>
      <c r="H412" s="4"/>
      <c r="I412" s="4"/>
      <c r="J412" s="4"/>
      <c r="K412" s="4"/>
      <c r="L412" s="4"/>
    </row>
    <row r="413" spans="1:12" ht="13">
      <c r="A413" s="4"/>
      <c r="B413" s="4"/>
      <c r="C413" s="4" t="s">
        <v>815</v>
      </c>
      <c r="D413" s="166">
        <v>20</v>
      </c>
      <c r="E413" s="4" t="str">
        <f>VLOOKUP(C413,Master!$B$6:$N$1000,9,FALSE)</f>
        <v>gr</v>
      </c>
      <c r="F413" s="144">
        <f>VLOOKUP(C413,Master!$B$7:$N$1000,10,FALSE)</f>
        <v>12</v>
      </c>
      <c r="G413" s="144">
        <f t="shared" si="47"/>
        <v>240</v>
      </c>
      <c r="H413" s="4"/>
      <c r="I413" s="4"/>
      <c r="J413" s="4"/>
      <c r="K413" s="4"/>
      <c r="L413" s="4"/>
    </row>
    <row r="414" spans="1:12" ht="13">
      <c r="A414" s="4"/>
      <c r="B414" s="4"/>
      <c r="C414" s="4" t="s">
        <v>1152</v>
      </c>
      <c r="D414" s="166">
        <v>15</v>
      </c>
      <c r="E414" s="4" t="str">
        <f>VLOOKUP(C414,Master!$B$6:$N$1000,9,FALSE)</f>
        <v>gr</v>
      </c>
      <c r="F414" s="144">
        <f>VLOOKUP(C414,Master!$B$7:$N$1000,10,FALSE)</f>
        <v>13</v>
      </c>
      <c r="G414" s="144">
        <f t="shared" si="47"/>
        <v>195</v>
      </c>
      <c r="H414" s="4"/>
      <c r="I414" s="4"/>
      <c r="J414" s="4"/>
      <c r="K414" s="4"/>
      <c r="L414" s="4"/>
    </row>
    <row r="415" spans="1:12" ht="13">
      <c r="A415" s="4"/>
      <c r="B415" s="4"/>
      <c r="C415" s="4" t="s">
        <v>901</v>
      </c>
      <c r="D415" s="166">
        <v>2</v>
      </c>
      <c r="E415" s="4" t="str">
        <f>VLOOKUP(C415,Master!$B$6:$N$1000,9,FALSE)</f>
        <v>gr</v>
      </c>
      <c r="F415" s="144">
        <f>VLOOKUP(C415,Master!$B$7:$N$1000,10,FALSE)</f>
        <v>12</v>
      </c>
      <c r="G415" s="144">
        <f t="shared" si="47"/>
        <v>24</v>
      </c>
      <c r="H415" s="4"/>
      <c r="I415" s="4"/>
      <c r="J415" s="4"/>
      <c r="K415" s="4"/>
      <c r="L415" s="4"/>
    </row>
    <row r="416" spans="1:12" ht="13">
      <c r="A416" s="4"/>
      <c r="B416" s="4"/>
      <c r="C416" s="4" t="s">
        <v>2059</v>
      </c>
      <c r="D416" s="166">
        <v>5</v>
      </c>
      <c r="E416" s="4" t="str">
        <f>VLOOKUP(C416,Master!$B$6:$N$1000,9,FALSE)</f>
        <v>gr</v>
      </c>
      <c r="F416" s="144">
        <f>VLOOKUP(C416,Master!$B$7:$N$1000,10,FALSE)</f>
        <v>17.5</v>
      </c>
      <c r="G416" s="144">
        <f t="shared" si="47"/>
        <v>87.5</v>
      </c>
      <c r="H416" s="4"/>
      <c r="I416" s="4"/>
      <c r="J416" s="4"/>
      <c r="K416" s="4"/>
      <c r="L416" s="4"/>
    </row>
    <row r="417" spans="1:12" ht="13">
      <c r="A417" s="4"/>
      <c r="B417" s="4"/>
      <c r="C417" s="4" t="s">
        <v>643</v>
      </c>
      <c r="D417" s="166">
        <v>5</v>
      </c>
      <c r="E417" s="4" t="str">
        <f>VLOOKUP(C417,Master!$B$6:$N$1000,9,FALSE)</f>
        <v>gr</v>
      </c>
      <c r="F417" s="144">
        <f>VLOOKUP(C417,Master!$B$7:$N$1000,10,FALSE)</f>
        <v>17</v>
      </c>
      <c r="G417" s="144">
        <f t="shared" si="47"/>
        <v>85</v>
      </c>
      <c r="H417" s="4"/>
      <c r="I417" s="4"/>
      <c r="J417" s="4"/>
      <c r="K417" s="4"/>
      <c r="L417" s="4"/>
    </row>
    <row r="418" spans="1:12" ht="13">
      <c r="A418" s="4"/>
      <c r="B418" s="4"/>
      <c r="C418" s="4" t="s">
        <v>1076</v>
      </c>
      <c r="D418" s="166">
        <v>2</v>
      </c>
      <c r="E418" s="4" t="str">
        <f>VLOOKUP(C418,Master!$B$6:$N$1000,9,FALSE)</f>
        <v>gr</v>
      </c>
      <c r="F418" s="144">
        <f>VLOOKUP(C418,Master!$B$7:$N$1000,10,FALSE)</f>
        <v>10</v>
      </c>
      <c r="G418" s="144">
        <f t="shared" si="47"/>
        <v>20</v>
      </c>
      <c r="H418" s="4"/>
      <c r="I418" s="4"/>
      <c r="J418" s="4"/>
      <c r="K418" s="4"/>
      <c r="L418" s="4"/>
    </row>
    <row r="419" spans="1:12" ht="13">
      <c r="A419" s="4"/>
      <c r="B419" s="4"/>
      <c r="C419" s="4" t="s">
        <v>1000</v>
      </c>
      <c r="D419" s="166">
        <v>5</v>
      </c>
      <c r="E419" s="4" t="str">
        <f>VLOOKUP(C419,Master!$B$6:$N$1000,9,FALSE)</f>
        <v>gr</v>
      </c>
      <c r="F419" s="144">
        <f>VLOOKUP(C419,Master!$B$7:$N$1000,10,FALSE)</f>
        <v>44.5</v>
      </c>
      <c r="G419" s="144">
        <f t="shared" si="47"/>
        <v>222.5</v>
      </c>
      <c r="H419" s="4"/>
      <c r="I419" s="4"/>
      <c r="J419" s="4"/>
      <c r="K419" s="4"/>
      <c r="L419" s="4"/>
    </row>
    <row r="420" spans="1:12" ht="13">
      <c r="A420" s="4"/>
      <c r="B420" s="4"/>
      <c r="C420" s="4" t="s">
        <v>764</v>
      </c>
      <c r="D420" s="166">
        <v>5</v>
      </c>
      <c r="E420" s="4" t="str">
        <f>VLOOKUP(C420,Master!$B$6:$N$1000,9,FALSE)</f>
        <v>gr</v>
      </c>
      <c r="F420" s="144">
        <f>VLOOKUP(C420,Master!$B$7:$N$1000,10,FALSE)</f>
        <v>15</v>
      </c>
      <c r="G420" s="144">
        <f t="shared" si="47"/>
        <v>75</v>
      </c>
      <c r="H420" s="4"/>
      <c r="I420" s="4"/>
      <c r="J420" s="4"/>
      <c r="K420" s="4"/>
      <c r="L420" s="4"/>
    </row>
    <row r="421" spans="1:12" ht="13">
      <c r="A421" s="4"/>
      <c r="B421" s="4"/>
      <c r="C421" s="4" t="s">
        <v>799</v>
      </c>
      <c r="D421" s="166">
        <v>2</v>
      </c>
      <c r="E421" s="4" t="str">
        <f>VLOOKUP(C421,Master!$B$6:$N$1000,9,FALSE)</f>
        <v>gr</v>
      </c>
      <c r="F421" s="144">
        <f>VLOOKUP(C421,Master!$B$7:$N$1000,10,FALSE)</f>
        <v>90</v>
      </c>
      <c r="G421" s="144">
        <f t="shared" si="47"/>
        <v>180</v>
      </c>
      <c r="H421" s="4"/>
      <c r="I421" s="4"/>
      <c r="J421" s="4"/>
      <c r="K421" s="4"/>
      <c r="L421" s="4"/>
    </row>
    <row r="422" spans="1:12" ht="13">
      <c r="A422" s="4"/>
      <c r="B422" s="4"/>
      <c r="C422" s="4" t="s">
        <v>2043</v>
      </c>
      <c r="D422" s="166">
        <v>5</v>
      </c>
      <c r="E422" s="4" t="str">
        <f>VLOOKUP(C422,Master!$B$6:$N$1000,9,FALSE)</f>
        <v>gr</v>
      </c>
      <c r="F422" s="144">
        <f>VLOOKUP(C422,Master!$B$7:$N$1000,10,FALSE)</f>
        <v>38.5</v>
      </c>
      <c r="G422" s="144">
        <f t="shared" si="47"/>
        <v>192.5</v>
      </c>
      <c r="H422" s="4"/>
      <c r="I422" s="4"/>
      <c r="J422" s="4"/>
      <c r="K422" s="4"/>
      <c r="L422" s="4"/>
    </row>
    <row r="423" spans="1:12" ht="13">
      <c r="A423" s="4"/>
      <c r="B423" s="4"/>
      <c r="C423" s="4" t="s">
        <v>2042</v>
      </c>
      <c r="D423" s="166">
        <v>35</v>
      </c>
      <c r="E423" s="4" t="str">
        <f>VLOOKUP(C423,Master!$B$6:$N$1000,9,FALSE)</f>
        <v>gr</v>
      </c>
      <c r="F423" s="144">
        <f>VLOOKUP(C423,Master!$B$7:$N$1000,10,FALSE)</f>
        <v>29.0625</v>
      </c>
      <c r="G423" s="144">
        <f t="shared" si="47"/>
        <v>1017.1875</v>
      </c>
      <c r="H423" s="4"/>
      <c r="I423" s="4"/>
      <c r="J423" s="4"/>
      <c r="K423" s="4"/>
      <c r="L423" s="4"/>
    </row>
    <row r="424" spans="1:12" ht="13">
      <c r="A424" s="4"/>
      <c r="B424" s="4"/>
      <c r="C424" s="4" t="s">
        <v>304</v>
      </c>
      <c r="D424" s="166">
        <v>1</v>
      </c>
      <c r="E424" s="4" t="str">
        <f>VLOOKUP(C424,Master!$B$6:$N$1000,9,FALSE)</f>
        <v>pcs</v>
      </c>
      <c r="F424" s="144">
        <f>VLOOKUP(C424,Master!$B$7:$N$1000,10,FALSE)</f>
        <v>65.385652709359604</v>
      </c>
      <c r="G424" s="144">
        <f t="shared" si="47"/>
        <v>65.385652709359604</v>
      </c>
      <c r="H424" s="4"/>
      <c r="I424" s="4"/>
      <c r="J424" s="4"/>
      <c r="K424" s="4"/>
      <c r="L424" s="4"/>
    </row>
    <row r="425" spans="1:12" ht="13">
      <c r="A425" s="183">
        <v>35</v>
      </c>
      <c r="B425" s="135" t="s">
        <v>337</v>
      </c>
      <c r="C425" s="136"/>
      <c r="D425" s="180">
        <f>SUM(D426:D430)</f>
        <v>567</v>
      </c>
      <c r="E425" s="186">
        <f>VLOOKUP(B425,Master!$B$7:$N$316,7,FALSE)</f>
        <v>0</v>
      </c>
      <c r="F425" s="136"/>
      <c r="G425" s="138">
        <f>SUM(G426:G442)</f>
        <v>14365.073152709359</v>
      </c>
      <c r="H425" s="139">
        <v>0.1</v>
      </c>
      <c r="I425" s="138">
        <f>G425+(G425*H425)</f>
        <v>15801.580467980295</v>
      </c>
      <c r="J425" s="180">
        <v>15</v>
      </c>
      <c r="K425" s="138">
        <f>I425/J425</f>
        <v>1053.4386978653531</v>
      </c>
      <c r="L425" s="168">
        <f>D425/J425</f>
        <v>37.799999999999997</v>
      </c>
    </row>
    <row r="426" spans="1:12" ht="13">
      <c r="A426" s="4"/>
      <c r="B426" s="4"/>
      <c r="C426" s="4" t="s">
        <v>1249</v>
      </c>
      <c r="D426" s="166">
        <v>500</v>
      </c>
      <c r="E426" s="4" t="str">
        <f>VLOOKUP(C426,Master!$B$6:$N$1000,9,FALSE)</f>
        <v>gr</v>
      </c>
      <c r="F426" s="144">
        <f>VLOOKUP(C426,Master!$B$7:$N$1000,10,FALSE)</f>
        <v>18</v>
      </c>
      <c r="G426" s="144">
        <f t="shared" ref="G426:G442" si="48">D426*F426</f>
        <v>9000</v>
      </c>
      <c r="H426" s="4"/>
      <c r="I426" s="4"/>
      <c r="J426" s="4"/>
      <c r="K426" s="4"/>
      <c r="L426" s="4"/>
    </row>
    <row r="427" spans="1:12" ht="13">
      <c r="A427" s="4"/>
      <c r="B427" s="4"/>
      <c r="C427" s="4" t="s">
        <v>712</v>
      </c>
      <c r="D427" s="166">
        <v>25</v>
      </c>
      <c r="E427" s="4" t="str">
        <f>VLOOKUP(C427,Master!$B$6:$N$1000,9,FALSE)</f>
        <v>gr</v>
      </c>
      <c r="F427" s="144">
        <f>VLOOKUP(C427,Master!$B$7:$N$1000,10,FALSE)</f>
        <v>40</v>
      </c>
      <c r="G427" s="144">
        <f t="shared" si="48"/>
        <v>1000</v>
      </c>
      <c r="H427" s="4"/>
      <c r="I427" s="4"/>
      <c r="J427" s="4"/>
      <c r="K427" s="4"/>
      <c r="L427" s="4"/>
    </row>
    <row r="428" spans="1:12" ht="13">
      <c r="A428" s="4"/>
      <c r="B428" s="4"/>
      <c r="C428" s="4" t="s">
        <v>1064</v>
      </c>
      <c r="D428" s="166">
        <v>30</v>
      </c>
      <c r="E428" s="4" t="str">
        <f>VLOOKUP(C428,Master!$B$6:$N$1000,9,FALSE)</f>
        <v>gr</v>
      </c>
      <c r="F428" s="144">
        <f>VLOOKUP(C428,Master!$B$7:$N$1000,10,FALSE)</f>
        <v>37.700000000000003</v>
      </c>
      <c r="G428" s="144">
        <f t="shared" si="48"/>
        <v>1131</v>
      </c>
      <c r="H428" s="4"/>
      <c r="I428" s="4"/>
      <c r="J428" s="4"/>
      <c r="K428" s="4"/>
      <c r="L428" s="4"/>
    </row>
    <row r="429" spans="1:12" ht="13">
      <c r="A429" s="4"/>
      <c r="B429" s="4"/>
      <c r="C429" s="4" t="s">
        <v>1150</v>
      </c>
      <c r="D429" s="166">
        <v>10</v>
      </c>
      <c r="E429" s="4" t="str">
        <f>VLOOKUP(C429,Master!$B$6:$N$1000,9,FALSE)</f>
        <v>gr</v>
      </c>
      <c r="F429" s="144">
        <f>VLOOKUP(C429,Master!$B$7:$N$1000,10,FALSE)</f>
        <v>75</v>
      </c>
      <c r="G429" s="144">
        <f t="shared" si="48"/>
        <v>750</v>
      </c>
      <c r="H429" s="4"/>
      <c r="I429" s="4"/>
      <c r="J429" s="4"/>
      <c r="K429" s="4"/>
      <c r="L429" s="4"/>
    </row>
    <row r="430" spans="1:12" ht="13">
      <c r="A430" s="4"/>
      <c r="B430" s="4"/>
      <c r="C430" s="4" t="s">
        <v>1148</v>
      </c>
      <c r="D430" s="166">
        <v>2</v>
      </c>
      <c r="E430" s="4" t="str">
        <f>VLOOKUP(C430,Master!$B$6:$N$1000,9,FALSE)</f>
        <v>gr</v>
      </c>
      <c r="F430" s="144">
        <f>VLOOKUP(C430,Master!$B$7:$N$1000,10,FALSE)</f>
        <v>40</v>
      </c>
      <c r="G430" s="144">
        <f t="shared" si="48"/>
        <v>80</v>
      </c>
      <c r="H430" s="4"/>
      <c r="I430" s="4"/>
      <c r="J430" s="4"/>
      <c r="K430" s="4"/>
      <c r="L430" s="4"/>
    </row>
    <row r="431" spans="1:12" ht="13">
      <c r="A431" s="4"/>
      <c r="B431" s="4"/>
      <c r="C431" s="4" t="s">
        <v>815</v>
      </c>
      <c r="D431" s="166">
        <v>20</v>
      </c>
      <c r="E431" s="4" t="str">
        <f>VLOOKUP(C431,Master!$B$6:$N$1000,9,FALSE)</f>
        <v>gr</v>
      </c>
      <c r="F431" s="144">
        <f>VLOOKUP(C431,Master!$B$7:$N$1000,10,FALSE)</f>
        <v>12</v>
      </c>
      <c r="G431" s="144">
        <f t="shared" si="48"/>
        <v>240</v>
      </c>
      <c r="H431" s="4"/>
      <c r="I431" s="4"/>
      <c r="J431" s="4"/>
      <c r="K431" s="4"/>
      <c r="L431" s="4"/>
    </row>
    <row r="432" spans="1:12" ht="13">
      <c r="A432" s="4"/>
      <c r="B432" s="4"/>
      <c r="C432" s="4" t="s">
        <v>1152</v>
      </c>
      <c r="D432" s="166">
        <v>15</v>
      </c>
      <c r="E432" s="4" t="str">
        <f>VLOOKUP(C432,Master!$B$6:$N$1000,9,FALSE)</f>
        <v>gr</v>
      </c>
      <c r="F432" s="144">
        <f>VLOOKUP(C432,Master!$B$7:$N$1000,10,FALSE)</f>
        <v>13</v>
      </c>
      <c r="G432" s="144">
        <f t="shared" si="48"/>
        <v>195</v>
      </c>
      <c r="H432" s="4"/>
      <c r="I432" s="4"/>
      <c r="J432" s="4"/>
      <c r="K432" s="4"/>
      <c r="L432" s="4"/>
    </row>
    <row r="433" spans="1:12" ht="13">
      <c r="A433" s="4"/>
      <c r="B433" s="4"/>
      <c r="C433" s="4" t="s">
        <v>901</v>
      </c>
      <c r="D433" s="166">
        <v>2</v>
      </c>
      <c r="E433" s="4" t="str">
        <f>VLOOKUP(C433,Master!$B$6:$N$1000,9,FALSE)</f>
        <v>gr</v>
      </c>
      <c r="F433" s="144">
        <f>VLOOKUP(C433,Master!$B$7:$N$1000,10,FALSE)</f>
        <v>12</v>
      </c>
      <c r="G433" s="144">
        <f t="shared" si="48"/>
        <v>24</v>
      </c>
      <c r="H433" s="4"/>
      <c r="I433" s="4"/>
      <c r="J433" s="4"/>
      <c r="K433" s="4"/>
      <c r="L433" s="4"/>
    </row>
    <row r="434" spans="1:12" ht="13">
      <c r="A434" s="4"/>
      <c r="B434" s="4"/>
      <c r="C434" s="4" t="s">
        <v>2059</v>
      </c>
      <c r="D434" s="166">
        <v>5</v>
      </c>
      <c r="E434" s="4" t="str">
        <f>VLOOKUP(C434,Master!$B$6:$N$1000,9,FALSE)</f>
        <v>gr</v>
      </c>
      <c r="F434" s="144">
        <f>VLOOKUP(C434,Master!$B$7:$N$1000,10,FALSE)</f>
        <v>17.5</v>
      </c>
      <c r="G434" s="144">
        <f t="shared" si="48"/>
        <v>87.5</v>
      </c>
      <c r="H434" s="4"/>
      <c r="I434" s="4"/>
      <c r="J434" s="4"/>
      <c r="K434" s="4"/>
      <c r="L434" s="4"/>
    </row>
    <row r="435" spans="1:12" ht="13">
      <c r="A435" s="4"/>
      <c r="B435" s="4"/>
      <c r="C435" s="4" t="s">
        <v>643</v>
      </c>
      <c r="D435" s="166">
        <v>5</v>
      </c>
      <c r="E435" s="4" t="str">
        <f>VLOOKUP(C435,Master!$B$6:$N$1000,9,FALSE)</f>
        <v>gr</v>
      </c>
      <c r="F435" s="144">
        <f>VLOOKUP(C435,Master!$B$7:$N$1000,10,FALSE)</f>
        <v>17</v>
      </c>
      <c r="G435" s="144">
        <f t="shared" si="48"/>
        <v>85</v>
      </c>
      <c r="H435" s="4"/>
      <c r="I435" s="4"/>
      <c r="J435" s="4"/>
      <c r="K435" s="4"/>
      <c r="L435" s="4"/>
    </row>
    <row r="436" spans="1:12" ht="13">
      <c r="A436" s="4"/>
      <c r="B436" s="4"/>
      <c r="C436" s="4" t="s">
        <v>1076</v>
      </c>
      <c r="D436" s="166">
        <v>2</v>
      </c>
      <c r="E436" s="4" t="str">
        <f>VLOOKUP(C436,Master!$B$6:$N$1000,9,FALSE)</f>
        <v>gr</v>
      </c>
      <c r="F436" s="144">
        <f>VLOOKUP(C436,Master!$B$7:$N$1000,10,FALSE)</f>
        <v>10</v>
      </c>
      <c r="G436" s="144">
        <f t="shared" si="48"/>
        <v>20</v>
      </c>
      <c r="H436" s="4"/>
      <c r="I436" s="4"/>
      <c r="J436" s="4"/>
      <c r="K436" s="4"/>
      <c r="L436" s="4"/>
    </row>
    <row r="437" spans="1:12" ht="13">
      <c r="A437" s="4"/>
      <c r="B437" s="4"/>
      <c r="C437" s="4" t="s">
        <v>1000</v>
      </c>
      <c r="D437" s="166">
        <v>5</v>
      </c>
      <c r="E437" s="4" t="str">
        <f>VLOOKUP(C437,Master!$B$6:$N$1000,9,FALSE)</f>
        <v>gr</v>
      </c>
      <c r="F437" s="144">
        <f>VLOOKUP(C437,Master!$B$7:$N$1000,10,FALSE)</f>
        <v>44.5</v>
      </c>
      <c r="G437" s="144">
        <f t="shared" si="48"/>
        <v>222.5</v>
      </c>
      <c r="H437" s="4"/>
      <c r="I437" s="4"/>
      <c r="J437" s="4"/>
      <c r="K437" s="4"/>
      <c r="L437" s="4"/>
    </row>
    <row r="438" spans="1:12" ht="13">
      <c r="A438" s="4"/>
      <c r="B438" s="4"/>
      <c r="C438" s="4" t="s">
        <v>764</v>
      </c>
      <c r="D438" s="166">
        <v>5</v>
      </c>
      <c r="E438" s="4" t="str">
        <f>VLOOKUP(C438,Master!$B$6:$N$1000,9,FALSE)</f>
        <v>gr</v>
      </c>
      <c r="F438" s="144">
        <f>VLOOKUP(C438,Master!$B$7:$N$1000,10,FALSE)</f>
        <v>15</v>
      </c>
      <c r="G438" s="144">
        <f t="shared" si="48"/>
        <v>75</v>
      </c>
      <c r="H438" s="4"/>
      <c r="I438" s="4"/>
      <c r="J438" s="4"/>
      <c r="K438" s="4"/>
      <c r="L438" s="4"/>
    </row>
    <row r="439" spans="1:12" ht="13">
      <c r="A439" s="4"/>
      <c r="B439" s="4"/>
      <c r="C439" s="4" t="s">
        <v>799</v>
      </c>
      <c r="D439" s="166">
        <v>2</v>
      </c>
      <c r="E439" s="4" t="str">
        <f>VLOOKUP(C439,Master!$B$6:$N$1000,9,FALSE)</f>
        <v>gr</v>
      </c>
      <c r="F439" s="144">
        <f>VLOOKUP(C439,Master!$B$7:$N$1000,10,FALSE)</f>
        <v>90</v>
      </c>
      <c r="G439" s="144">
        <f t="shared" si="48"/>
        <v>180</v>
      </c>
      <c r="H439" s="4"/>
      <c r="I439" s="4"/>
      <c r="J439" s="4"/>
      <c r="K439" s="4"/>
      <c r="L439" s="4"/>
    </row>
    <row r="440" spans="1:12" ht="13">
      <c r="A440" s="4"/>
      <c r="B440" s="4"/>
      <c r="C440" s="4" t="s">
        <v>2043</v>
      </c>
      <c r="D440" s="166">
        <v>5</v>
      </c>
      <c r="E440" s="4" t="str">
        <f>VLOOKUP(C440,Master!$B$6:$N$1000,9,FALSE)</f>
        <v>gr</v>
      </c>
      <c r="F440" s="144">
        <f>VLOOKUP(C440,Master!$B$7:$N$1000,10,FALSE)</f>
        <v>38.5</v>
      </c>
      <c r="G440" s="144">
        <f t="shared" si="48"/>
        <v>192.5</v>
      </c>
      <c r="H440" s="4"/>
      <c r="I440" s="4"/>
      <c r="J440" s="4"/>
      <c r="K440" s="4"/>
      <c r="L440" s="4"/>
    </row>
    <row r="441" spans="1:12" ht="13">
      <c r="A441" s="4"/>
      <c r="B441" s="4"/>
      <c r="C441" s="4" t="s">
        <v>2042</v>
      </c>
      <c r="D441" s="166">
        <v>35</v>
      </c>
      <c r="E441" s="4" t="str">
        <f>VLOOKUP(C441,Master!$B$6:$N$1000,9,FALSE)</f>
        <v>gr</v>
      </c>
      <c r="F441" s="144">
        <f>VLOOKUP(C441,Master!$B$7:$N$1000,10,FALSE)</f>
        <v>29.0625</v>
      </c>
      <c r="G441" s="144">
        <f t="shared" si="48"/>
        <v>1017.1875</v>
      </c>
      <c r="H441" s="4"/>
      <c r="I441" s="4"/>
      <c r="J441" s="4"/>
      <c r="K441" s="4"/>
      <c r="L441" s="4"/>
    </row>
    <row r="442" spans="1:12" ht="13">
      <c r="A442" s="4"/>
      <c r="B442" s="4"/>
      <c r="C442" s="4" t="s">
        <v>304</v>
      </c>
      <c r="D442" s="166">
        <v>1</v>
      </c>
      <c r="E442" s="4" t="str">
        <f>VLOOKUP(C442,Master!$B$6:$N$1000,9,FALSE)</f>
        <v>pcs</v>
      </c>
      <c r="F442" s="144">
        <f>VLOOKUP(C442,Master!$B$7:$N$1000,10,FALSE)</f>
        <v>65.385652709359604</v>
      </c>
      <c r="G442" s="144">
        <f t="shared" si="48"/>
        <v>65.385652709359604</v>
      </c>
      <c r="H442" s="4"/>
      <c r="I442" s="4"/>
      <c r="J442" s="4"/>
      <c r="K442" s="4"/>
      <c r="L442" s="4"/>
    </row>
    <row r="443" spans="1:12" ht="13">
      <c r="A443" s="183">
        <v>36</v>
      </c>
      <c r="B443" s="135" t="s">
        <v>342</v>
      </c>
      <c r="C443" s="136"/>
      <c r="D443" s="180">
        <f>SUM(D444:D448)</f>
        <v>1067</v>
      </c>
      <c r="E443" s="186">
        <f>VLOOKUP(B443,Master!$B$7:$N$316,7,FALSE)</f>
        <v>0</v>
      </c>
      <c r="F443" s="136"/>
      <c r="G443" s="138">
        <f>SUM(G444:G460)</f>
        <v>33365.073152709359</v>
      </c>
      <c r="H443" s="139">
        <v>0.1</v>
      </c>
      <c r="I443" s="138">
        <f>G443+(G443*H443)</f>
        <v>36701.580467980297</v>
      </c>
      <c r="J443" s="180">
        <v>46</v>
      </c>
      <c r="K443" s="138">
        <f>I443/J443</f>
        <v>797.86044495609337</v>
      </c>
      <c r="L443" s="168">
        <f>D443/J443</f>
        <v>23.195652173913043</v>
      </c>
    </row>
    <row r="444" spans="1:12" ht="13">
      <c r="A444" s="4"/>
      <c r="B444" s="4"/>
      <c r="C444" s="4" t="s">
        <v>928</v>
      </c>
      <c r="D444" s="166">
        <v>1000</v>
      </c>
      <c r="E444" s="4" t="str">
        <f>VLOOKUP(C444,Master!$B$6:$N$1000,9,FALSE)</f>
        <v>gr</v>
      </c>
      <c r="F444" s="144">
        <f>VLOOKUP(C444,Master!$B$7:$N$1000,10,FALSE)</f>
        <v>28</v>
      </c>
      <c r="G444" s="144">
        <f t="shared" ref="G444:G460" si="49">D444*F444</f>
        <v>28000</v>
      </c>
      <c r="H444" s="4"/>
      <c r="I444" s="4"/>
      <c r="J444" s="4"/>
      <c r="K444" s="4"/>
      <c r="L444" s="4"/>
    </row>
    <row r="445" spans="1:12" ht="13">
      <c r="A445" s="4"/>
      <c r="B445" s="4"/>
      <c r="C445" s="4" t="s">
        <v>712</v>
      </c>
      <c r="D445" s="166">
        <v>25</v>
      </c>
      <c r="E445" s="4" t="str">
        <f>VLOOKUP(C445,Master!$B$6:$N$1000,9,FALSE)</f>
        <v>gr</v>
      </c>
      <c r="F445" s="144">
        <f>VLOOKUP(C445,Master!$B$7:$N$1000,10,FALSE)</f>
        <v>40</v>
      </c>
      <c r="G445" s="144">
        <f t="shared" si="49"/>
        <v>1000</v>
      </c>
      <c r="H445" s="4"/>
      <c r="I445" s="4"/>
      <c r="J445" s="4"/>
      <c r="K445" s="4"/>
      <c r="L445" s="4"/>
    </row>
    <row r="446" spans="1:12" ht="13">
      <c r="A446" s="4"/>
      <c r="B446" s="4"/>
      <c r="C446" s="4" t="s">
        <v>1064</v>
      </c>
      <c r="D446" s="166">
        <v>30</v>
      </c>
      <c r="E446" s="4" t="str">
        <f>VLOOKUP(C446,Master!$B$6:$N$1000,9,FALSE)</f>
        <v>gr</v>
      </c>
      <c r="F446" s="144">
        <f>VLOOKUP(C446,Master!$B$7:$N$1000,10,FALSE)</f>
        <v>37.700000000000003</v>
      </c>
      <c r="G446" s="144">
        <f t="shared" si="49"/>
        <v>1131</v>
      </c>
      <c r="H446" s="4"/>
      <c r="I446" s="4"/>
      <c r="J446" s="4"/>
      <c r="K446" s="4"/>
      <c r="L446" s="4"/>
    </row>
    <row r="447" spans="1:12" ht="13">
      <c r="A447" s="4"/>
      <c r="B447" s="4"/>
      <c r="C447" s="4" t="s">
        <v>1150</v>
      </c>
      <c r="D447" s="166">
        <v>10</v>
      </c>
      <c r="E447" s="4" t="str">
        <f>VLOOKUP(C447,Master!$B$6:$N$1000,9,FALSE)</f>
        <v>gr</v>
      </c>
      <c r="F447" s="144">
        <f>VLOOKUP(C447,Master!$B$7:$N$1000,10,FALSE)</f>
        <v>75</v>
      </c>
      <c r="G447" s="144">
        <f t="shared" si="49"/>
        <v>750</v>
      </c>
      <c r="H447" s="4"/>
      <c r="I447" s="4"/>
      <c r="J447" s="4"/>
      <c r="K447" s="4"/>
      <c r="L447" s="4"/>
    </row>
    <row r="448" spans="1:12" ht="13">
      <c r="A448" s="4"/>
      <c r="B448" s="4"/>
      <c r="C448" s="4" t="s">
        <v>1148</v>
      </c>
      <c r="D448" s="166">
        <v>2</v>
      </c>
      <c r="E448" s="4" t="str">
        <f>VLOOKUP(C448,Master!$B$6:$N$1000,9,FALSE)</f>
        <v>gr</v>
      </c>
      <c r="F448" s="144">
        <f>VLOOKUP(C448,Master!$B$7:$N$1000,10,FALSE)</f>
        <v>40</v>
      </c>
      <c r="G448" s="144">
        <f t="shared" si="49"/>
        <v>80</v>
      </c>
      <c r="H448" s="4"/>
      <c r="I448" s="4"/>
      <c r="J448" s="4"/>
      <c r="K448" s="4"/>
      <c r="L448" s="4"/>
    </row>
    <row r="449" spans="1:12" ht="13">
      <c r="A449" s="4"/>
      <c r="B449" s="4"/>
      <c r="C449" s="4" t="s">
        <v>815</v>
      </c>
      <c r="D449" s="166">
        <v>20</v>
      </c>
      <c r="E449" s="4" t="str">
        <f>VLOOKUP(C449,Master!$B$6:$N$1000,9,FALSE)</f>
        <v>gr</v>
      </c>
      <c r="F449" s="144">
        <f>VLOOKUP(C449,Master!$B$7:$N$1000,10,FALSE)</f>
        <v>12</v>
      </c>
      <c r="G449" s="144">
        <f t="shared" si="49"/>
        <v>240</v>
      </c>
      <c r="H449" s="4"/>
      <c r="I449" s="4"/>
      <c r="J449" s="4"/>
      <c r="K449" s="4"/>
      <c r="L449" s="4"/>
    </row>
    <row r="450" spans="1:12" ht="13">
      <c r="A450" s="4"/>
      <c r="B450" s="4"/>
      <c r="C450" s="4" t="s">
        <v>1152</v>
      </c>
      <c r="D450" s="166">
        <v>15</v>
      </c>
      <c r="E450" s="4" t="str">
        <f>VLOOKUP(C450,Master!$B$6:$N$1000,9,FALSE)</f>
        <v>gr</v>
      </c>
      <c r="F450" s="144">
        <f>VLOOKUP(C450,Master!$B$7:$N$1000,10,FALSE)</f>
        <v>13</v>
      </c>
      <c r="G450" s="144">
        <f t="shared" si="49"/>
        <v>195</v>
      </c>
      <c r="H450" s="4"/>
      <c r="I450" s="4"/>
      <c r="J450" s="4"/>
      <c r="K450" s="4"/>
      <c r="L450" s="4"/>
    </row>
    <row r="451" spans="1:12" ht="13">
      <c r="A451" s="4"/>
      <c r="B451" s="4"/>
      <c r="C451" s="4" t="s">
        <v>901</v>
      </c>
      <c r="D451" s="166">
        <v>2</v>
      </c>
      <c r="E451" s="4" t="str">
        <f>VLOOKUP(C451,Master!$B$6:$N$1000,9,FALSE)</f>
        <v>gr</v>
      </c>
      <c r="F451" s="144">
        <f>VLOOKUP(C451,Master!$B$7:$N$1000,10,FALSE)</f>
        <v>12</v>
      </c>
      <c r="G451" s="144">
        <f t="shared" si="49"/>
        <v>24</v>
      </c>
      <c r="H451" s="4"/>
      <c r="I451" s="4"/>
      <c r="J451" s="4"/>
      <c r="K451" s="4"/>
      <c r="L451" s="4"/>
    </row>
    <row r="452" spans="1:12" ht="13">
      <c r="A452" s="4"/>
      <c r="B452" s="4"/>
      <c r="C452" s="4" t="s">
        <v>2059</v>
      </c>
      <c r="D452" s="166">
        <v>5</v>
      </c>
      <c r="E452" s="4" t="str">
        <f>VLOOKUP(C452,Master!$B$6:$N$1000,9,FALSE)</f>
        <v>gr</v>
      </c>
      <c r="F452" s="144">
        <f>VLOOKUP(C452,Master!$B$7:$N$1000,10,FALSE)</f>
        <v>17.5</v>
      </c>
      <c r="G452" s="144">
        <f t="shared" si="49"/>
        <v>87.5</v>
      </c>
      <c r="H452" s="4"/>
      <c r="I452" s="4"/>
      <c r="J452" s="4"/>
      <c r="K452" s="4"/>
      <c r="L452" s="4"/>
    </row>
    <row r="453" spans="1:12" ht="13">
      <c r="A453" s="4"/>
      <c r="B453" s="4"/>
      <c r="C453" s="4" t="s">
        <v>643</v>
      </c>
      <c r="D453" s="166">
        <v>5</v>
      </c>
      <c r="E453" s="4" t="str">
        <f>VLOOKUP(C453,Master!$B$6:$N$1000,9,FALSE)</f>
        <v>gr</v>
      </c>
      <c r="F453" s="144">
        <f>VLOOKUP(C453,Master!$B$7:$N$1000,10,FALSE)</f>
        <v>17</v>
      </c>
      <c r="G453" s="144">
        <f t="shared" si="49"/>
        <v>85</v>
      </c>
      <c r="H453" s="4"/>
      <c r="I453" s="4"/>
      <c r="J453" s="4"/>
      <c r="K453" s="4"/>
      <c r="L453" s="4"/>
    </row>
    <row r="454" spans="1:12" ht="13">
      <c r="A454" s="4"/>
      <c r="B454" s="4"/>
      <c r="C454" s="4" t="s">
        <v>1076</v>
      </c>
      <c r="D454" s="166">
        <v>2</v>
      </c>
      <c r="E454" s="4" t="str">
        <f>VLOOKUP(C454,Master!$B$6:$N$1000,9,FALSE)</f>
        <v>gr</v>
      </c>
      <c r="F454" s="144">
        <f>VLOOKUP(C454,Master!$B$7:$N$1000,10,FALSE)</f>
        <v>10</v>
      </c>
      <c r="G454" s="144">
        <f t="shared" si="49"/>
        <v>20</v>
      </c>
      <c r="H454" s="4"/>
      <c r="I454" s="4"/>
      <c r="J454" s="4"/>
      <c r="K454" s="4"/>
      <c r="L454" s="4"/>
    </row>
    <row r="455" spans="1:12" ht="13">
      <c r="A455" s="4"/>
      <c r="B455" s="4"/>
      <c r="C455" s="4" t="s">
        <v>1000</v>
      </c>
      <c r="D455" s="166">
        <v>5</v>
      </c>
      <c r="E455" s="4" t="str">
        <f>VLOOKUP(C455,Master!$B$6:$N$1000,9,FALSE)</f>
        <v>gr</v>
      </c>
      <c r="F455" s="144">
        <f>VLOOKUP(C455,Master!$B$7:$N$1000,10,FALSE)</f>
        <v>44.5</v>
      </c>
      <c r="G455" s="144">
        <f t="shared" si="49"/>
        <v>222.5</v>
      </c>
      <c r="H455" s="4"/>
      <c r="I455" s="4"/>
      <c r="J455" s="4"/>
      <c r="K455" s="4"/>
      <c r="L455" s="4"/>
    </row>
    <row r="456" spans="1:12" ht="13">
      <c r="A456" s="4"/>
      <c r="B456" s="4"/>
      <c r="C456" s="4" t="s">
        <v>764</v>
      </c>
      <c r="D456" s="166">
        <v>5</v>
      </c>
      <c r="E456" s="4" t="str">
        <f>VLOOKUP(C456,Master!$B$6:$N$1000,9,FALSE)</f>
        <v>gr</v>
      </c>
      <c r="F456" s="144">
        <f>VLOOKUP(C456,Master!$B$7:$N$1000,10,FALSE)</f>
        <v>15</v>
      </c>
      <c r="G456" s="144">
        <f t="shared" si="49"/>
        <v>75</v>
      </c>
      <c r="H456" s="4"/>
      <c r="I456" s="4"/>
      <c r="J456" s="4"/>
      <c r="K456" s="4"/>
      <c r="L456" s="4"/>
    </row>
    <row r="457" spans="1:12" ht="13">
      <c r="A457" s="4"/>
      <c r="B457" s="4"/>
      <c r="C457" s="4" t="s">
        <v>799</v>
      </c>
      <c r="D457" s="166">
        <v>2</v>
      </c>
      <c r="E457" s="4" t="str">
        <f>VLOOKUP(C457,Master!$B$6:$N$1000,9,FALSE)</f>
        <v>gr</v>
      </c>
      <c r="F457" s="144">
        <f>VLOOKUP(C457,Master!$B$7:$N$1000,10,FALSE)</f>
        <v>90</v>
      </c>
      <c r="G457" s="144">
        <f t="shared" si="49"/>
        <v>180</v>
      </c>
      <c r="H457" s="4"/>
      <c r="I457" s="4"/>
      <c r="J457" s="4"/>
      <c r="K457" s="4"/>
      <c r="L457" s="4"/>
    </row>
    <row r="458" spans="1:12" ht="13">
      <c r="A458" s="4"/>
      <c r="B458" s="4"/>
      <c r="C458" s="4" t="s">
        <v>2043</v>
      </c>
      <c r="D458" s="166">
        <v>5</v>
      </c>
      <c r="E458" s="4" t="str">
        <f>VLOOKUP(C458,Master!$B$6:$N$1000,9,FALSE)</f>
        <v>gr</v>
      </c>
      <c r="F458" s="144">
        <f>VLOOKUP(C458,Master!$B$7:$N$1000,10,FALSE)</f>
        <v>38.5</v>
      </c>
      <c r="G458" s="144">
        <f t="shared" si="49"/>
        <v>192.5</v>
      </c>
      <c r="H458" s="4"/>
      <c r="I458" s="4"/>
      <c r="J458" s="4"/>
      <c r="K458" s="4"/>
      <c r="L458" s="4"/>
    </row>
    <row r="459" spans="1:12" ht="13">
      <c r="A459" s="4"/>
      <c r="B459" s="4"/>
      <c r="C459" s="4" t="s">
        <v>2042</v>
      </c>
      <c r="D459" s="166">
        <v>35</v>
      </c>
      <c r="E459" s="4" t="str">
        <f>VLOOKUP(C459,Master!$B$6:$N$1000,9,FALSE)</f>
        <v>gr</v>
      </c>
      <c r="F459" s="144">
        <f>VLOOKUP(C459,Master!$B$7:$N$1000,10,FALSE)</f>
        <v>29.0625</v>
      </c>
      <c r="G459" s="144">
        <f t="shared" si="49"/>
        <v>1017.1875</v>
      </c>
      <c r="H459" s="4"/>
      <c r="I459" s="4"/>
      <c r="J459" s="4"/>
      <c r="K459" s="4"/>
      <c r="L459" s="4"/>
    </row>
    <row r="460" spans="1:12" ht="13">
      <c r="A460" s="4"/>
      <c r="B460" s="4"/>
      <c r="C460" s="4" t="s">
        <v>304</v>
      </c>
      <c r="D460" s="166">
        <v>1</v>
      </c>
      <c r="E460" s="4" t="str">
        <f>VLOOKUP(C460,Master!$B$6:$N$1000,9,FALSE)</f>
        <v>pcs</v>
      </c>
      <c r="F460" s="144">
        <f>VLOOKUP(C460,Master!$B$7:$N$1000,10,FALSE)</f>
        <v>65.385652709359604</v>
      </c>
      <c r="G460" s="144">
        <f t="shared" si="49"/>
        <v>65.385652709359604</v>
      </c>
      <c r="H460" s="4"/>
      <c r="I460" s="4"/>
      <c r="J460" s="4"/>
      <c r="K460" s="4"/>
      <c r="L460" s="4"/>
    </row>
    <row r="461" spans="1:12" ht="13">
      <c r="A461" s="183">
        <v>37</v>
      </c>
      <c r="B461" s="135" t="s">
        <v>347</v>
      </c>
      <c r="C461" s="136"/>
      <c r="D461" s="180">
        <f>SUM(D462:D466)</f>
        <v>567</v>
      </c>
      <c r="E461" s="186">
        <f>VLOOKUP(B461,Master!$B$7:$N$316,7,FALSE)</f>
        <v>0</v>
      </c>
      <c r="F461" s="136"/>
      <c r="G461" s="138">
        <f>SUM(G462:G478)</f>
        <v>35365.073152709359</v>
      </c>
      <c r="H461" s="139">
        <v>0.1</v>
      </c>
      <c r="I461" s="138">
        <f>G461+(G461*H461)</f>
        <v>38901.580467980297</v>
      </c>
      <c r="J461" s="180">
        <v>29</v>
      </c>
      <c r="K461" s="138">
        <f>I461/J461</f>
        <v>1341.4338092406999</v>
      </c>
      <c r="L461" s="168">
        <f>D461/J461</f>
        <v>19.551724137931036</v>
      </c>
    </row>
    <row r="462" spans="1:12" ht="13">
      <c r="A462" s="4"/>
      <c r="B462" s="4"/>
      <c r="C462" s="4" t="s">
        <v>1129</v>
      </c>
      <c r="D462" s="166">
        <v>500</v>
      </c>
      <c r="E462" s="4" t="str">
        <f>VLOOKUP(C462,Master!$B$6:$N$1000,9,FALSE)</f>
        <v>gr</v>
      </c>
      <c r="F462" s="144">
        <f>VLOOKUP(C462,Master!$B$7:$N$1000,10,FALSE)</f>
        <v>60</v>
      </c>
      <c r="G462" s="144">
        <f t="shared" ref="G462:G478" si="50">D462*F462</f>
        <v>30000</v>
      </c>
      <c r="H462" s="4"/>
      <c r="I462" s="4"/>
      <c r="J462" s="4"/>
      <c r="K462" s="4"/>
      <c r="L462" s="4"/>
    </row>
    <row r="463" spans="1:12" ht="13">
      <c r="A463" s="4"/>
      <c r="B463" s="4"/>
      <c r="C463" s="4" t="s">
        <v>712</v>
      </c>
      <c r="D463" s="166">
        <v>25</v>
      </c>
      <c r="E463" s="4" t="str">
        <f>VLOOKUP(C463,Master!$B$6:$N$1000,9,FALSE)</f>
        <v>gr</v>
      </c>
      <c r="F463" s="144">
        <f>VLOOKUP(C463,Master!$B$7:$N$1000,10,FALSE)</f>
        <v>40</v>
      </c>
      <c r="G463" s="144">
        <f t="shared" si="50"/>
        <v>1000</v>
      </c>
      <c r="H463" s="4"/>
      <c r="I463" s="4"/>
      <c r="J463" s="4"/>
      <c r="K463" s="4"/>
      <c r="L463" s="4"/>
    </row>
    <row r="464" spans="1:12" ht="13">
      <c r="A464" s="4"/>
      <c r="B464" s="4"/>
      <c r="C464" s="4" t="s">
        <v>1064</v>
      </c>
      <c r="D464" s="166">
        <v>30</v>
      </c>
      <c r="E464" s="4" t="str">
        <f>VLOOKUP(C464,Master!$B$6:$N$1000,9,FALSE)</f>
        <v>gr</v>
      </c>
      <c r="F464" s="144">
        <f>VLOOKUP(C464,Master!$B$7:$N$1000,10,FALSE)</f>
        <v>37.700000000000003</v>
      </c>
      <c r="G464" s="144">
        <f t="shared" si="50"/>
        <v>1131</v>
      </c>
      <c r="H464" s="4"/>
      <c r="I464" s="4"/>
      <c r="J464" s="4"/>
      <c r="K464" s="4"/>
      <c r="L464" s="4"/>
    </row>
    <row r="465" spans="1:12" ht="13">
      <c r="A465" s="4"/>
      <c r="B465" s="4"/>
      <c r="C465" s="4" t="s">
        <v>1150</v>
      </c>
      <c r="D465" s="166">
        <v>10</v>
      </c>
      <c r="E465" s="4" t="str">
        <f>VLOOKUP(C465,Master!$B$6:$N$1000,9,FALSE)</f>
        <v>gr</v>
      </c>
      <c r="F465" s="144">
        <f>VLOOKUP(C465,Master!$B$7:$N$1000,10,FALSE)</f>
        <v>75</v>
      </c>
      <c r="G465" s="144">
        <f t="shared" si="50"/>
        <v>750</v>
      </c>
      <c r="H465" s="4"/>
      <c r="I465" s="4"/>
      <c r="J465" s="4"/>
      <c r="K465" s="4"/>
      <c r="L465" s="4"/>
    </row>
    <row r="466" spans="1:12" ht="13">
      <c r="A466" s="4"/>
      <c r="B466" s="4"/>
      <c r="C466" s="4" t="s">
        <v>1148</v>
      </c>
      <c r="D466" s="166">
        <v>2</v>
      </c>
      <c r="E466" s="4" t="str">
        <f>VLOOKUP(C466,Master!$B$6:$N$1000,9,FALSE)</f>
        <v>gr</v>
      </c>
      <c r="F466" s="144">
        <f>VLOOKUP(C466,Master!$B$7:$N$1000,10,FALSE)</f>
        <v>40</v>
      </c>
      <c r="G466" s="144">
        <f t="shared" si="50"/>
        <v>80</v>
      </c>
      <c r="H466" s="4"/>
      <c r="I466" s="4"/>
      <c r="J466" s="4"/>
      <c r="K466" s="4"/>
      <c r="L466" s="4"/>
    </row>
    <row r="467" spans="1:12" ht="13">
      <c r="A467" s="4"/>
      <c r="B467" s="4"/>
      <c r="C467" s="4" t="s">
        <v>815</v>
      </c>
      <c r="D467" s="166">
        <v>20</v>
      </c>
      <c r="E467" s="4" t="str">
        <f>VLOOKUP(C467,Master!$B$6:$N$1000,9,FALSE)</f>
        <v>gr</v>
      </c>
      <c r="F467" s="144">
        <f>VLOOKUP(C467,Master!$B$7:$N$1000,10,FALSE)</f>
        <v>12</v>
      </c>
      <c r="G467" s="144">
        <f t="shared" si="50"/>
        <v>240</v>
      </c>
      <c r="H467" s="4"/>
      <c r="I467" s="4"/>
      <c r="J467" s="4"/>
      <c r="K467" s="4"/>
      <c r="L467" s="4"/>
    </row>
    <row r="468" spans="1:12" ht="13">
      <c r="A468" s="4"/>
      <c r="B468" s="4"/>
      <c r="C468" s="4" t="s">
        <v>1152</v>
      </c>
      <c r="D468" s="166">
        <v>15</v>
      </c>
      <c r="E468" s="4" t="str">
        <f>VLOOKUP(C468,Master!$B$6:$N$1000,9,FALSE)</f>
        <v>gr</v>
      </c>
      <c r="F468" s="144">
        <f>VLOOKUP(C468,Master!$B$7:$N$1000,10,FALSE)</f>
        <v>13</v>
      </c>
      <c r="G468" s="144">
        <f t="shared" si="50"/>
        <v>195</v>
      </c>
      <c r="H468" s="4"/>
      <c r="I468" s="4"/>
      <c r="J468" s="4"/>
      <c r="K468" s="4"/>
      <c r="L468" s="4"/>
    </row>
    <row r="469" spans="1:12" ht="13">
      <c r="A469" s="4"/>
      <c r="B469" s="4"/>
      <c r="C469" s="4" t="s">
        <v>901</v>
      </c>
      <c r="D469" s="166">
        <v>2</v>
      </c>
      <c r="E469" s="4" t="str">
        <f>VLOOKUP(C469,Master!$B$6:$N$1000,9,FALSE)</f>
        <v>gr</v>
      </c>
      <c r="F469" s="144">
        <f>VLOOKUP(C469,Master!$B$7:$N$1000,10,FALSE)</f>
        <v>12</v>
      </c>
      <c r="G469" s="144">
        <f t="shared" si="50"/>
        <v>24</v>
      </c>
      <c r="H469" s="4"/>
      <c r="I469" s="4"/>
      <c r="J469" s="4"/>
      <c r="K469" s="4"/>
      <c r="L469" s="4"/>
    </row>
    <row r="470" spans="1:12" ht="13">
      <c r="A470" s="4"/>
      <c r="B470" s="4"/>
      <c r="C470" s="4" t="s">
        <v>2059</v>
      </c>
      <c r="D470" s="166">
        <v>5</v>
      </c>
      <c r="E470" s="4" t="str">
        <f>VLOOKUP(C470,Master!$B$6:$N$1000,9,FALSE)</f>
        <v>gr</v>
      </c>
      <c r="F470" s="144">
        <f>VLOOKUP(C470,Master!$B$7:$N$1000,10,FALSE)</f>
        <v>17.5</v>
      </c>
      <c r="G470" s="144">
        <f t="shared" si="50"/>
        <v>87.5</v>
      </c>
      <c r="H470" s="4"/>
      <c r="I470" s="4"/>
      <c r="J470" s="4"/>
      <c r="K470" s="4"/>
      <c r="L470" s="4"/>
    </row>
    <row r="471" spans="1:12" ht="13">
      <c r="A471" s="4"/>
      <c r="B471" s="4"/>
      <c r="C471" s="4" t="s">
        <v>643</v>
      </c>
      <c r="D471" s="166">
        <v>5</v>
      </c>
      <c r="E471" s="4" t="str">
        <f>VLOOKUP(C471,Master!$B$6:$N$1000,9,FALSE)</f>
        <v>gr</v>
      </c>
      <c r="F471" s="144">
        <f>VLOOKUP(C471,Master!$B$7:$N$1000,10,FALSE)</f>
        <v>17</v>
      </c>
      <c r="G471" s="144">
        <f t="shared" si="50"/>
        <v>85</v>
      </c>
      <c r="H471" s="4"/>
      <c r="I471" s="4"/>
      <c r="J471" s="4"/>
      <c r="K471" s="4"/>
      <c r="L471" s="4"/>
    </row>
    <row r="472" spans="1:12" ht="13">
      <c r="A472" s="4"/>
      <c r="B472" s="4"/>
      <c r="C472" s="4" t="s">
        <v>1076</v>
      </c>
      <c r="D472" s="166">
        <v>2</v>
      </c>
      <c r="E472" s="4" t="str">
        <f>VLOOKUP(C472,Master!$B$6:$N$1000,9,FALSE)</f>
        <v>gr</v>
      </c>
      <c r="F472" s="144">
        <f>VLOOKUP(C472,Master!$B$7:$N$1000,10,FALSE)</f>
        <v>10</v>
      </c>
      <c r="G472" s="144">
        <f t="shared" si="50"/>
        <v>20</v>
      </c>
      <c r="H472" s="4"/>
      <c r="I472" s="4"/>
      <c r="J472" s="4"/>
      <c r="K472" s="4"/>
      <c r="L472" s="4"/>
    </row>
    <row r="473" spans="1:12" ht="13">
      <c r="A473" s="4"/>
      <c r="B473" s="4"/>
      <c r="C473" s="4" t="s">
        <v>1000</v>
      </c>
      <c r="D473" s="166">
        <v>5</v>
      </c>
      <c r="E473" s="4" t="str">
        <f>VLOOKUP(C473,Master!$B$6:$N$1000,9,FALSE)</f>
        <v>gr</v>
      </c>
      <c r="F473" s="144">
        <f>VLOOKUP(C473,Master!$B$7:$N$1000,10,FALSE)</f>
        <v>44.5</v>
      </c>
      <c r="G473" s="144">
        <f t="shared" si="50"/>
        <v>222.5</v>
      </c>
      <c r="H473" s="4"/>
      <c r="I473" s="4"/>
      <c r="J473" s="4"/>
      <c r="K473" s="4"/>
      <c r="L473" s="4"/>
    </row>
    <row r="474" spans="1:12" ht="13">
      <c r="A474" s="4"/>
      <c r="B474" s="4"/>
      <c r="C474" s="4" t="s">
        <v>764</v>
      </c>
      <c r="D474" s="166">
        <v>5</v>
      </c>
      <c r="E474" s="4" t="str">
        <f>VLOOKUP(C474,Master!$B$6:$N$1000,9,FALSE)</f>
        <v>gr</v>
      </c>
      <c r="F474" s="144">
        <f>VLOOKUP(C474,Master!$B$7:$N$1000,10,FALSE)</f>
        <v>15</v>
      </c>
      <c r="G474" s="144">
        <f t="shared" si="50"/>
        <v>75</v>
      </c>
      <c r="H474" s="4"/>
      <c r="I474" s="4"/>
      <c r="J474" s="4"/>
      <c r="K474" s="4"/>
      <c r="L474" s="4"/>
    </row>
    <row r="475" spans="1:12" ht="13">
      <c r="A475" s="4"/>
      <c r="B475" s="4"/>
      <c r="C475" s="4" t="s">
        <v>799</v>
      </c>
      <c r="D475" s="166">
        <v>2</v>
      </c>
      <c r="E475" s="4" t="str">
        <f>VLOOKUP(C475,Master!$B$6:$N$1000,9,FALSE)</f>
        <v>gr</v>
      </c>
      <c r="F475" s="144">
        <f>VLOOKUP(C475,Master!$B$7:$N$1000,10,FALSE)</f>
        <v>90</v>
      </c>
      <c r="G475" s="144">
        <f t="shared" si="50"/>
        <v>180</v>
      </c>
      <c r="H475" s="4"/>
      <c r="I475" s="4"/>
      <c r="J475" s="4"/>
      <c r="K475" s="4"/>
      <c r="L475" s="4"/>
    </row>
    <row r="476" spans="1:12" ht="13">
      <c r="A476" s="4"/>
      <c r="B476" s="4"/>
      <c r="C476" s="4" t="s">
        <v>2043</v>
      </c>
      <c r="D476" s="166">
        <v>5</v>
      </c>
      <c r="E476" s="4" t="str">
        <f>VLOOKUP(C476,Master!$B$6:$N$1000,9,FALSE)</f>
        <v>gr</v>
      </c>
      <c r="F476" s="144">
        <f>VLOOKUP(C476,Master!$B$7:$N$1000,10,FALSE)</f>
        <v>38.5</v>
      </c>
      <c r="G476" s="144">
        <f t="shared" si="50"/>
        <v>192.5</v>
      </c>
      <c r="H476" s="4"/>
      <c r="I476" s="4"/>
      <c r="J476" s="4"/>
      <c r="K476" s="4"/>
      <c r="L476" s="4"/>
    </row>
    <row r="477" spans="1:12" ht="13">
      <c r="A477" s="4"/>
      <c r="B477" s="4"/>
      <c r="C477" s="4" t="s">
        <v>2042</v>
      </c>
      <c r="D477" s="166">
        <v>35</v>
      </c>
      <c r="E477" s="4" t="str">
        <f>VLOOKUP(C477,Master!$B$6:$N$1000,9,FALSE)</f>
        <v>gr</v>
      </c>
      <c r="F477" s="144">
        <f>VLOOKUP(C477,Master!$B$7:$N$1000,10,FALSE)</f>
        <v>29.0625</v>
      </c>
      <c r="G477" s="144">
        <f t="shared" si="50"/>
        <v>1017.1875</v>
      </c>
      <c r="H477" s="4"/>
      <c r="I477" s="4"/>
      <c r="J477" s="4"/>
      <c r="K477" s="4"/>
      <c r="L477" s="4"/>
    </row>
    <row r="478" spans="1:12" ht="13">
      <c r="A478" s="4"/>
      <c r="B478" s="4"/>
      <c r="C478" s="4" t="s">
        <v>304</v>
      </c>
      <c r="D478" s="166">
        <v>1</v>
      </c>
      <c r="E478" s="4" t="str">
        <f>VLOOKUP(C478,Master!$B$6:$N$1000,9,FALSE)</f>
        <v>pcs</v>
      </c>
      <c r="F478" s="144">
        <f>VLOOKUP(C478,Master!$B$7:$N$1000,10,FALSE)</f>
        <v>65.385652709359604</v>
      </c>
      <c r="G478" s="144">
        <f t="shared" si="50"/>
        <v>65.385652709359604</v>
      </c>
      <c r="H478" s="4"/>
      <c r="I478" s="4"/>
      <c r="J478" s="4"/>
      <c r="K478" s="4"/>
      <c r="L478" s="4"/>
    </row>
    <row r="479" spans="1:12" ht="13">
      <c r="A479" s="183">
        <v>38</v>
      </c>
      <c r="B479" s="135" t="s">
        <v>352</v>
      </c>
      <c r="C479" s="136"/>
      <c r="D479" s="180">
        <f>SUM(D480:D484)</f>
        <v>72</v>
      </c>
      <c r="E479" s="186">
        <f>VLOOKUP(B479,Master!$B$7:$N$316,7,FALSE)</f>
        <v>0</v>
      </c>
      <c r="F479" s="136"/>
      <c r="G479" s="138">
        <f>SUM(G480:G496)</f>
        <v>17365.073152709359</v>
      </c>
      <c r="H479" s="139">
        <v>0.1</v>
      </c>
      <c r="I479" s="138">
        <f>G479+(G479*H479)</f>
        <v>19101.580467980297</v>
      </c>
      <c r="J479" s="180">
        <v>16</v>
      </c>
      <c r="K479" s="138">
        <f>I479/J479</f>
        <v>1193.8487792487686</v>
      </c>
      <c r="L479" s="168">
        <f>D479/J479</f>
        <v>4.5</v>
      </c>
    </row>
    <row r="480" spans="1:12" ht="13">
      <c r="A480" s="4"/>
      <c r="B480" s="4"/>
      <c r="C480" s="4" t="s">
        <v>1250</v>
      </c>
      <c r="D480" s="166">
        <v>5</v>
      </c>
      <c r="E480" s="4" t="str">
        <f>VLOOKUP(C480,Master!$B$6:$N$1000,9,FALSE)</f>
        <v>pcs</v>
      </c>
      <c r="F480" s="144">
        <f>VLOOKUP(C480,Master!$B$7:$N$1000,10,FALSE)</f>
        <v>2400</v>
      </c>
      <c r="G480" s="144">
        <f t="shared" ref="G480:G496" si="51">D480*F480</f>
        <v>12000</v>
      </c>
      <c r="H480" s="4"/>
      <c r="I480" s="4"/>
      <c r="J480" s="4"/>
      <c r="K480" s="4"/>
      <c r="L480" s="4"/>
    </row>
    <row r="481" spans="1:12" ht="13">
      <c r="A481" s="4"/>
      <c r="B481" s="4"/>
      <c r="C481" s="4" t="s">
        <v>712</v>
      </c>
      <c r="D481" s="166">
        <v>25</v>
      </c>
      <c r="E481" s="4" t="str">
        <f>VLOOKUP(C481,Master!$B$6:$N$1000,9,FALSE)</f>
        <v>gr</v>
      </c>
      <c r="F481" s="144">
        <f>VLOOKUP(C481,Master!$B$7:$N$1000,10,FALSE)</f>
        <v>40</v>
      </c>
      <c r="G481" s="144">
        <f t="shared" si="51"/>
        <v>1000</v>
      </c>
      <c r="H481" s="4"/>
      <c r="I481" s="4"/>
      <c r="J481" s="4"/>
      <c r="K481" s="4"/>
      <c r="L481" s="4"/>
    </row>
    <row r="482" spans="1:12" ht="13">
      <c r="A482" s="4"/>
      <c r="B482" s="4"/>
      <c r="C482" s="4" t="s">
        <v>1064</v>
      </c>
      <c r="D482" s="166">
        <v>30</v>
      </c>
      <c r="E482" s="4" t="str">
        <f>VLOOKUP(C482,Master!$B$6:$N$1000,9,FALSE)</f>
        <v>gr</v>
      </c>
      <c r="F482" s="144">
        <f>VLOOKUP(C482,Master!$B$7:$N$1000,10,FALSE)</f>
        <v>37.700000000000003</v>
      </c>
      <c r="G482" s="144">
        <f t="shared" si="51"/>
        <v>1131</v>
      </c>
      <c r="H482" s="4"/>
      <c r="I482" s="4"/>
      <c r="J482" s="4"/>
      <c r="K482" s="4"/>
      <c r="L482" s="4"/>
    </row>
    <row r="483" spans="1:12" ht="13">
      <c r="A483" s="4"/>
      <c r="B483" s="4"/>
      <c r="C483" s="4" t="s">
        <v>1150</v>
      </c>
      <c r="D483" s="166">
        <v>10</v>
      </c>
      <c r="E483" s="4" t="str">
        <f>VLOOKUP(C483,Master!$B$6:$N$1000,9,FALSE)</f>
        <v>gr</v>
      </c>
      <c r="F483" s="144">
        <f>VLOOKUP(C483,Master!$B$7:$N$1000,10,FALSE)</f>
        <v>75</v>
      </c>
      <c r="G483" s="144">
        <f t="shared" si="51"/>
        <v>750</v>
      </c>
      <c r="H483" s="4"/>
      <c r="I483" s="4"/>
      <c r="J483" s="4"/>
      <c r="K483" s="4"/>
      <c r="L483" s="4"/>
    </row>
    <row r="484" spans="1:12" ht="13">
      <c r="A484" s="4"/>
      <c r="B484" s="4"/>
      <c r="C484" s="4" t="s">
        <v>1148</v>
      </c>
      <c r="D484" s="166">
        <v>2</v>
      </c>
      <c r="E484" s="4" t="str">
        <f>VLOOKUP(C484,Master!$B$6:$N$1000,9,FALSE)</f>
        <v>gr</v>
      </c>
      <c r="F484" s="144">
        <f>VLOOKUP(C484,Master!$B$7:$N$1000,10,FALSE)</f>
        <v>40</v>
      </c>
      <c r="G484" s="144">
        <f t="shared" si="51"/>
        <v>80</v>
      </c>
      <c r="H484" s="4"/>
      <c r="I484" s="4"/>
      <c r="J484" s="4"/>
      <c r="K484" s="4"/>
      <c r="L484" s="4"/>
    </row>
    <row r="485" spans="1:12" ht="13">
      <c r="A485" s="4"/>
      <c r="B485" s="4"/>
      <c r="C485" s="4" t="s">
        <v>815</v>
      </c>
      <c r="D485" s="166">
        <v>20</v>
      </c>
      <c r="E485" s="4" t="str">
        <f>VLOOKUP(C485,Master!$B$6:$N$1000,9,FALSE)</f>
        <v>gr</v>
      </c>
      <c r="F485" s="144">
        <f>VLOOKUP(C485,Master!$B$7:$N$1000,10,FALSE)</f>
        <v>12</v>
      </c>
      <c r="G485" s="144">
        <f t="shared" si="51"/>
        <v>240</v>
      </c>
      <c r="H485" s="4"/>
      <c r="I485" s="4"/>
      <c r="J485" s="4"/>
      <c r="K485" s="4"/>
      <c r="L485" s="4"/>
    </row>
    <row r="486" spans="1:12" ht="13">
      <c r="A486" s="4"/>
      <c r="B486" s="4"/>
      <c r="C486" s="4" t="s">
        <v>1152</v>
      </c>
      <c r="D486" s="166">
        <v>15</v>
      </c>
      <c r="E486" s="4" t="str">
        <f>VLOOKUP(C486,Master!$B$6:$N$1000,9,FALSE)</f>
        <v>gr</v>
      </c>
      <c r="F486" s="144">
        <f>VLOOKUP(C486,Master!$B$7:$N$1000,10,FALSE)</f>
        <v>13</v>
      </c>
      <c r="G486" s="144">
        <f t="shared" si="51"/>
        <v>195</v>
      </c>
      <c r="H486" s="4"/>
      <c r="I486" s="4"/>
      <c r="J486" s="4"/>
      <c r="K486" s="4"/>
      <c r="L486" s="4"/>
    </row>
    <row r="487" spans="1:12" ht="13">
      <c r="A487" s="4"/>
      <c r="B487" s="4"/>
      <c r="C487" s="4" t="s">
        <v>901</v>
      </c>
      <c r="D487" s="166">
        <v>2</v>
      </c>
      <c r="E487" s="4" t="str">
        <f>VLOOKUP(C487,Master!$B$6:$N$1000,9,FALSE)</f>
        <v>gr</v>
      </c>
      <c r="F487" s="144">
        <f>VLOOKUP(C487,Master!$B$7:$N$1000,10,FALSE)</f>
        <v>12</v>
      </c>
      <c r="G487" s="144">
        <f t="shared" si="51"/>
        <v>24</v>
      </c>
      <c r="H487" s="4"/>
      <c r="I487" s="4"/>
      <c r="J487" s="4"/>
      <c r="K487" s="4"/>
      <c r="L487" s="4"/>
    </row>
    <row r="488" spans="1:12" ht="13">
      <c r="A488" s="4"/>
      <c r="B488" s="4"/>
      <c r="C488" s="4" t="s">
        <v>2059</v>
      </c>
      <c r="D488" s="166">
        <v>5</v>
      </c>
      <c r="E488" s="4" t="str">
        <f>VLOOKUP(C488,Master!$B$6:$N$1000,9,FALSE)</f>
        <v>gr</v>
      </c>
      <c r="F488" s="144">
        <f>VLOOKUP(C488,Master!$B$7:$N$1000,10,FALSE)</f>
        <v>17.5</v>
      </c>
      <c r="G488" s="144">
        <f t="shared" si="51"/>
        <v>87.5</v>
      </c>
      <c r="H488" s="4"/>
      <c r="I488" s="4"/>
      <c r="J488" s="4"/>
      <c r="K488" s="4"/>
      <c r="L488" s="4"/>
    </row>
    <row r="489" spans="1:12" ht="13">
      <c r="A489" s="4"/>
      <c r="B489" s="4"/>
      <c r="C489" s="4" t="s">
        <v>643</v>
      </c>
      <c r="D489" s="166">
        <v>5</v>
      </c>
      <c r="E489" s="4" t="str">
        <f>VLOOKUP(C489,Master!$B$6:$N$1000,9,FALSE)</f>
        <v>gr</v>
      </c>
      <c r="F489" s="144">
        <f>VLOOKUP(C489,Master!$B$7:$N$1000,10,FALSE)</f>
        <v>17</v>
      </c>
      <c r="G489" s="144">
        <f t="shared" si="51"/>
        <v>85</v>
      </c>
      <c r="H489" s="4"/>
      <c r="I489" s="4"/>
      <c r="J489" s="4"/>
      <c r="K489" s="4"/>
      <c r="L489" s="4"/>
    </row>
    <row r="490" spans="1:12" ht="13">
      <c r="A490" s="4"/>
      <c r="B490" s="4"/>
      <c r="C490" s="4" t="s">
        <v>1076</v>
      </c>
      <c r="D490" s="166">
        <v>2</v>
      </c>
      <c r="E490" s="4" t="str">
        <f>VLOOKUP(C490,Master!$B$6:$N$1000,9,FALSE)</f>
        <v>gr</v>
      </c>
      <c r="F490" s="144">
        <f>VLOOKUP(C490,Master!$B$7:$N$1000,10,FALSE)</f>
        <v>10</v>
      </c>
      <c r="G490" s="144">
        <f t="shared" si="51"/>
        <v>20</v>
      </c>
      <c r="H490" s="4"/>
      <c r="I490" s="4"/>
      <c r="J490" s="4"/>
      <c r="K490" s="4"/>
      <c r="L490" s="4"/>
    </row>
    <row r="491" spans="1:12" ht="13">
      <c r="A491" s="4"/>
      <c r="B491" s="4"/>
      <c r="C491" s="4" t="s">
        <v>1000</v>
      </c>
      <c r="D491" s="166">
        <v>5</v>
      </c>
      <c r="E491" s="4" t="str">
        <f>VLOOKUP(C491,Master!$B$6:$N$1000,9,FALSE)</f>
        <v>gr</v>
      </c>
      <c r="F491" s="144">
        <f>VLOOKUP(C491,Master!$B$7:$N$1000,10,FALSE)</f>
        <v>44.5</v>
      </c>
      <c r="G491" s="144">
        <f t="shared" si="51"/>
        <v>222.5</v>
      </c>
      <c r="H491" s="4"/>
      <c r="I491" s="4"/>
      <c r="J491" s="4"/>
      <c r="K491" s="4"/>
      <c r="L491" s="4"/>
    </row>
    <row r="492" spans="1:12" ht="13">
      <c r="A492" s="4"/>
      <c r="B492" s="4"/>
      <c r="C492" s="4" t="s">
        <v>764</v>
      </c>
      <c r="D492" s="166">
        <v>5</v>
      </c>
      <c r="E492" s="4" t="str">
        <f>VLOOKUP(C492,Master!$B$6:$N$1000,9,FALSE)</f>
        <v>gr</v>
      </c>
      <c r="F492" s="144">
        <f>VLOOKUP(C492,Master!$B$7:$N$1000,10,FALSE)</f>
        <v>15</v>
      </c>
      <c r="G492" s="144">
        <f t="shared" si="51"/>
        <v>75</v>
      </c>
      <c r="H492" s="4"/>
      <c r="I492" s="4"/>
      <c r="J492" s="4"/>
      <c r="K492" s="4"/>
      <c r="L492" s="4"/>
    </row>
    <row r="493" spans="1:12" ht="13">
      <c r="A493" s="4"/>
      <c r="B493" s="4"/>
      <c r="C493" s="4" t="s">
        <v>799</v>
      </c>
      <c r="D493" s="166">
        <v>2</v>
      </c>
      <c r="E493" s="4" t="str">
        <f>VLOOKUP(C493,Master!$B$6:$N$1000,9,FALSE)</f>
        <v>gr</v>
      </c>
      <c r="F493" s="144">
        <f>VLOOKUP(C493,Master!$B$7:$N$1000,10,FALSE)</f>
        <v>90</v>
      </c>
      <c r="G493" s="144">
        <f t="shared" si="51"/>
        <v>180</v>
      </c>
      <c r="H493" s="4"/>
      <c r="I493" s="4"/>
      <c r="J493" s="4"/>
      <c r="K493" s="4"/>
      <c r="L493" s="4"/>
    </row>
    <row r="494" spans="1:12" ht="13">
      <c r="A494" s="4"/>
      <c r="B494" s="4"/>
      <c r="C494" s="4" t="s">
        <v>2043</v>
      </c>
      <c r="D494" s="166">
        <v>5</v>
      </c>
      <c r="E494" s="4" t="str">
        <f>VLOOKUP(C494,Master!$B$6:$N$1000,9,FALSE)</f>
        <v>gr</v>
      </c>
      <c r="F494" s="144">
        <f>VLOOKUP(C494,Master!$B$7:$N$1000,10,FALSE)</f>
        <v>38.5</v>
      </c>
      <c r="G494" s="144">
        <f t="shared" si="51"/>
        <v>192.5</v>
      </c>
      <c r="H494" s="4"/>
      <c r="I494" s="4"/>
      <c r="J494" s="4"/>
      <c r="K494" s="4"/>
      <c r="L494" s="4"/>
    </row>
    <row r="495" spans="1:12" ht="13">
      <c r="A495" s="4"/>
      <c r="B495" s="4"/>
      <c r="C495" s="4" t="s">
        <v>2042</v>
      </c>
      <c r="D495" s="166">
        <v>35</v>
      </c>
      <c r="E495" s="4" t="str">
        <f>VLOOKUP(C495,Master!$B$6:$N$1000,9,FALSE)</f>
        <v>gr</v>
      </c>
      <c r="F495" s="144">
        <f>VLOOKUP(C495,Master!$B$7:$N$1000,10,FALSE)</f>
        <v>29.0625</v>
      </c>
      <c r="G495" s="144">
        <f t="shared" si="51"/>
        <v>1017.1875</v>
      </c>
      <c r="H495" s="4"/>
      <c r="I495" s="4"/>
      <c r="J495" s="4"/>
      <c r="K495" s="4"/>
      <c r="L495" s="4"/>
    </row>
    <row r="496" spans="1:12" ht="13">
      <c r="A496" s="4"/>
      <c r="B496" s="4"/>
      <c r="C496" s="4" t="s">
        <v>304</v>
      </c>
      <c r="D496" s="166">
        <v>1</v>
      </c>
      <c r="E496" s="4" t="str">
        <f>VLOOKUP(C496,Master!$B$6:$N$1000,9,FALSE)</f>
        <v>pcs</v>
      </c>
      <c r="F496" s="144">
        <f>VLOOKUP(C496,Master!$B$7:$N$1000,10,FALSE)</f>
        <v>65.385652709359604</v>
      </c>
      <c r="G496" s="144">
        <f t="shared" si="51"/>
        <v>65.385652709359604</v>
      </c>
      <c r="H496" s="4"/>
      <c r="I496" s="4"/>
      <c r="J496" s="4"/>
      <c r="K496" s="4"/>
      <c r="L496" s="4"/>
    </row>
    <row r="497" spans="1:12" ht="13">
      <c r="A497" s="183">
        <v>39</v>
      </c>
      <c r="B497" s="135" t="s">
        <v>356</v>
      </c>
      <c r="C497" s="136"/>
      <c r="D497" s="180">
        <f>SUM(D498:D502)</f>
        <v>1067</v>
      </c>
      <c r="E497" s="186">
        <f>VLOOKUP(B497,Master!$B$7:$N$316,7,FALSE)</f>
        <v>0</v>
      </c>
      <c r="F497" s="136"/>
      <c r="G497" s="138">
        <f>SUM(G498:G514)</f>
        <v>27365.073152709359</v>
      </c>
      <c r="H497" s="139">
        <v>0.1</v>
      </c>
      <c r="I497" s="138">
        <f>G497+(G497*H497)</f>
        <v>30101.580467980297</v>
      </c>
      <c r="J497" s="180">
        <v>60</v>
      </c>
      <c r="K497" s="138">
        <f>I497/J497</f>
        <v>501.69300779967159</v>
      </c>
      <c r="L497" s="168">
        <f>D497/J497</f>
        <v>17.783333333333335</v>
      </c>
    </row>
    <row r="498" spans="1:12" ht="13">
      <c r="A498" s="4"/>
      <c r="B498" s="4"/>
      <c r="C498" s="4" t="s">
        <v>1251</v>
      </c>
      <c r="D498" s="166">
        <v>1000</v>
      </c>
      <c r="E498" s="4" t="str">
        <f>VLOOKUP(C498,Master!$B$6:$N$1000,9,FALSE)</f>
        <v>gr</v>
      </c>
      <c r="F498" s="144">
        <f>VLOOKUP(C498,Master!$B$7:$N$1000,10,FALSE)</f>
        <v>22</v>
      </c>
      <c r="G498" s="144">
        <f t="shared" ref="G498:G514" si="52">D498*F498</f>
        <v>22000</v>
      </c>
      <c r="H498" s="4"/>
      <c r="I498" s="4"/>
      <c r="J498" s="4"/>
      <c r="K498" s="4"/>
      <c r="L498" s="4"/>
    </row>
    <row r="499" spans="1:12" ht="13">
      <c r="A499" s="4"/>
      <c r="B499" s="4"/>
      <c r="C499" s="4" t="s">
        <v>712</v>
      </c>
      <c r="D499" s="166">
        <v>25</v>
      </c>
      <c r="E499" s="4" t="str">
        <f>VLOOKUP(C499,Master!$B$6:$N$1000,9,FALSE)</f>
        <v>gr</v>
      </c>
      <c r="F499" s="144">
        <f>VLOOKUP(C499,Master!$B$7:$N$1000,10,FALSE)</f>
        <v>40</v>
      </c>
      <c r="G499" s="144">
        <f t="shared" si="52"/>
        <v>1000</v>
      </c>
      <c r="H499" s="4"/>
      <c r="I499" s="4"/>
      <c r="J499" s="4"/>
      <c r="K499" s="4"/>
      <c r="L499" s="4"/>
    </row>
    <row r="500" spans="1:12" ht="13">
      <c r="A500" s="4"/>
      <c r="B500" s="4"/>
      <c r="C500" s="4" t="s">
        <v>1064</v>
      </c>
      <c r="D500" s="166">
        <v>30</v>
      </c>
      <c r="E500" s="4" t="str">
        <f>VLOOKUP(C500,Master!$B$6:$N$1000,9,FALSE)</f>
        <v>gr</v>
      </c>
      <c r="F500" s="144">
        <f>VLOOKUP(C500,Master!$B$7:$N$1000,10,FALSE)</f>
        <v>37.700000000000003</v>
      </c>
      <c r="G500" s="144">
        <f t="shared" si="52"/>
        <v>1131</v>
      </c>
      <c r="H500" s="4"/>
      <c r="I500" s="4"/>
      <c r="J500" s="4"/>
      <c r="K500" s="4"/>
      <c r="L500" s="4"/>
    </row>
    <row r="501" spans="1:12" ht="13">
      <c r="A501" s="4"/>
      <c r="B501" s="4"/>
      <c r="C501" s="4" t="s">
        <v>1150</v>
      </c>
      <c r="D501" s="166">
        <v>10</v>
      </c>
      <c r="E501" s="4" t="str">
        <f>VLOOKUP(C501,Master!$B$6:$N$1000,9,FALSE)</f>
        <v>gr</v>
      </c>
      <c r="F501" s="144">
        <f>VLOOKUP(C501,Master!$B$7:$N$1000,10,FALSE)</f>
        <v>75</v>
      </c>
      <c r="G501" s="144">
        <f t="shared" si="52"/>
        <v>750</v>
      </c>
      <c r="H501" s="4"/>
      <c r="I501" s="4"/>
      <c r="J501" s="4"/>
      <c r="K501" s="4"/>
      <c r="L501" s="4"/>
    </row>
    <row r="502" spans="1:12" ht="13">
      <c r="A502" s="4"/>
      <c r="B502" s="4"/>
      <c r="C502" s="4" t="s">
        <v>1148</v>
      </c>
      <c r="D502" s="166">
        <v>2</v>
      </c>
      <c r="E502" s="4" t="str">
        <f>VLOOKUP(C502,Master!$B$6:$N$1000,9,FALSE)</f>
        <v>gr</v>
      </c>
      <c r="F502" s="144">
        <f>VLOOKUP(C502,Master!$B$7:$N$1000,10,FALSE)</f>
        <v>40</v>
      </c>
      <c r="G502" s="144">
        <f t="shared" si="52"/>
        <v>80</v>
      </c>
      <c r="H502" s="4"/>
      <c r="I502" s="4"/>
      <c r="J502" s="4"/>
      <c r="K502" s="4"/>
      <c r="L502" s="4"/>
    </row>
    <row r="503" spans="1:12" ht="13">
      <c r="A503" s="4"/>
      <c r="B503" s="4"/>
      <c r="C503" s="4" t="s">
        <v>815</v>
      </c>
      <c r="D503" s="166">
        <v>20</v>
      </c>
      <c r="E503" s="4" t="str">
        <f>VLOOKUP(C503,Master!$B$6:$N$1000,9,FALSE)</f>
        <v>gr</v>
      </c>
      <c r="F503" s="144">
        <f>VLOOKUP(C503,Master!$B$7:$N$1000,10,FALSE)</f>
        <v>12</v>
      </c>
      <c r="G503" s="144">
        <f t="shared" si="52"/>
        <v>240</v>
      </c>
      <c r="H503" s="4"/>
      <c r="I503" s="4"/>
      <c r="J503" s="4"/>
      <c r="K503" s="4"/>
      <c r="L503" s="4"/>
    </row>
    <row r="504" spans="1:12" ht="13">
      <c r="A504" s="4"/>
      <c r="B504" s="4"/>
      <c r="C504" s="4" t="s">
        <v>1152</v>
      </c>
      <c r="D504" s="166">
        <v>15</v>
      </c>
      <c r="E504" s="4" t="str">
        <f>VLOOKUP(C504,Master!$B$6:$N$1000,9,FALSE)</f>
        <v>gr</v>
      </c>
      <c r="F504" s="144">
        <f>VLOOKUP(C504,Master!$B$7:$N$1000,10,FALSE)</f>
        <v>13</v>
      </c>
      <c r="G504" s="144">
        <f t="shared" si="52"/>
        <v>195</v>
      </c>
      <c r="H504" s="4"/>
      <c r="I504" s="4"/>
      <c r="J504" s="4"/>
      <c r="K504" s="4"/>
      <c r="L504" s="4"/>
    </row>
    <row r="505" spans="1:12" ht="13">
      <c r="A505" s="4"/>
      <c r="B505" s="4"/>
      <c r="C505" s="4" t="s">
        <v>901</v>
      </c>
      <c r="D505" s="166">
        <v>2</v>
      </c>
      <c r="E505" s="4" t="str">
        <f>VLOOKUP(C505,Master!$B$6:$N$1000,9,FALSE)</f>
        <v>gr</v>
      </c>
      <c r="F505" s="144">
        <f>VLOOKUP(C505,Master!$B$7:$N$1000,10,FALSE)</f>
        <v>12</v>
      </c>
      <c r="G505" s="144">
        <f t="shared" si="52"/>
        <v>24</v>
      </c>
      <c r="H505" s="4"/>
      <c r="I505" s="4"/>
      <c r="J505" s="4"/>
      <c r="K505" s="4"/>
      <c r="L505" s="4"/>
    </row>
    <row r="506" spans="1:12" ht="13">
      <c r="A506" s="4"/>
      <c r="B506" s="4"/>
      <c r="C506" s="4" t="s">
        <v>2059</v>
      </c>
      <c r="D506" s="166">
        <v>5</v>
      </c>
      <c r="E506" s="4" t="str">
        <f>VLOOKUP(C506,Master!$B$6:$N$1000,9,FALSE)</f>
        <v>gr</v>
      </c>
      <c r="F506" s="144">
        <f>VLOOKUP(C506,Master!$B$7:$N$1000,10,FALSE)</f>
        <v>17.5</v>
      </c>
      <c r="G506" s="144">
        <f t="shared" si="52"/>
        <v>87.5</v>
      </c>
      <c r="H506" s="4"/>
      <c r="I506" s="4"/>
      <c r="J506" s="4"/>
      <c r="K506" s="4"/>
      <c r="L506" s="4"/>
    </row>
    <row r="507" spans="1:12" ht="13">
      <c r="A507" s="4"/>
      <c r="B507" s="4"/>
      <c r="C507" s="4" t="s">
        <v>643</v>
      </c>
      <c r="D507" s="166">
        <v>5</v>
      </c>
      <c r="E507" s="4" t="str">
        <f>VLOOKUP(C507,Master!$B$6:$N$1000,9,FALSE)</f>
        <v>gr</v>
      </c>
      <c r="F507" s="144">
        <f>VLOOKUP(C507,Master!$B$7:$N$1000,10,FALSE)</f>
        <v>17</v>
      </c>
      <c r="G507" s="144">
        <f t="shared" si="52"/>
        <v>85</v>
      </c>
      <c r="H507" s="4"/>
      <c r="I507" s="4"/>
      <c r="J507" s="4"/>
      <c r="K507" s="4"/>
      <c r="L507" s="4"/>
    </row>
    <row r="508" spans="1:12" ht="13">
      <c r="A508" s="4"/>
      <c r="B508" s="4"/>
      <c r="C508" s="4" t="s">
        <v>1076</v>
      </c>
      <c r="D508" s="166">
        <v>2</v>
      </c>
      <c r="E508" s="4" t="str">
        <f>VLOOKUP(C508,Master!$B$6:$N$1000,9,FALSE)</f>
        <v>gr</v>
      </c>
      <c r="F508" s="144">
        <f>VLOOKUP(C508,Master!$B$7:$N$1000,10,FALSE)</f>
        <v>10</v>
      </c>
      <c r="G508" s="144">
        <f t="shared" si="52"/>
        <v>20</v>
      </c>
      <c r="H508" s="4"/>
      <c r="I508" s="4"/>
      <c r="J508" s="4"/>
      <c r="K508" s="4"/>
      <c r="L508" s="4"/>
    </row>
    <row r="509" spans="1:12" ht="13">
      <c r="A509" s="4"/>
      <c r="B509" s="4"/>
      <c r="C509" s="4" t="s">
        <v>1000</v>
      </c>
      <c r="D509" s="166">
        <v>5</v>
      </c>
      <c r="E509" s="4" t="str">
        <f>VLOOKUP(C509,Master!$B$6:$N$1000,9,FALSE)</f>
        <v>gr</v>
      </c>
      <c r="F509" s="144">
        <f>VLOOKUP(C509,Master!$B$7:$N$1000,10,FALSE)</f>
        <v>44.5</v>
      </c>
      <c r="G509" s="144">
        <f t="shared" si="52"/>
        <v>222.5</v>
      </c>
      <c r="H509" s="4"/>
      <c r="I509" s="4"/>
      <c r="J509" s="4"/>
      <c r="K509" s="4"/>
      <c r="L509" s="4"/>
    </row>
    <row r="510" spans="1:12" ht="13">
      <c r="A510" s="4"/>
      <c r="B510" s="4"/>
      <c r="C510" s="4" t="s">
        <v>764</v>
      </c>
      <c r="D510" s="166">
        <v>5</v>
      </c>
      <c r="E510" s="4" t="str">
        <f>VLOOKUP(C510,Master!$B$6:$N$1000,9,FALSE)</f>
        <v>gr</v>
      </c>
      <c r="F510" s="144">
        <f>VLOOKUP(C510,Master!$B$7:$N$1000,10,FALSE)</f>
        <v>15</v>
      </c>
      <c r="G510" s="144">
        <f t="shared" si="52"/>
        <v>75</v>
      </c>
      <c r="H510" s="4"/>
      <c r="I510" s="4"/>
      <c r="J510" s="4"/>
      <c r="K510" s="4"/>
      <c r="L510" s="4"/>
    </row>
    <row r="511" spans="1:12" ht="13">
      <c r="A511" s="4"/>
      <c r="B511" s="4"/>
      <c r="C511" s="4" t="s">
        <v>799</v>
      </c>
      <c r="D511" s="166">
        <v>2</v>
      </c>
      <c r="E511" s="4" t="str">
        <f>VLOOKUP(C511,Master!$B$6:$N$1000,9,FALSE)</f>
        <v>gr</v>
      </c>
      <c r="F511" s="144">
        <f>VLOOKUP(C511,Master!$B$7:$N$1000,10,FALSE)</f>
        <v>90</v>
      </c>
      <c r="G511" s="144">
        <f t="shared" si="52"/>
        <v>180</v>
      </c>
      <c r="H511" s="4"/>
      <c r="I511" s="4"/>
      <c r="J511" s="4"/>
      <c r="K511" s="4"/>
      <c r="L511" s="4"/>
    </row>
    <row r="512" spans="1:12" ht="13">
      <c r="A512" s="4"/>
      <c r="B512" s="4"/>
      <c r="C512" s="4" t="s">
        <v>2043</v>
      </c>
      <c r="D512" s="166">
        <v>5</v>
      </c>
      <c r="E512" s="4" t="str">
        <f>VLOOKUP(C512,Master!$B$6:$N$1000,9,FALSE)</f>
        <v>gr</v>
      </c>
      <c r="F512" s="144">
        <f>VLOOKUP(C512,Master!$B$7:$N$1000,10,FALSE)</f>
        <v>38.5</v>
      </c>
      <c r="G512" s="144">
        <f t="shared" si="52"/>
        <v>192.5</v>
      </c>
      <c r="H512" s="4"/>
      <c r="I512" s="4"/>
      <c r="J512" s="4"/>
      <c r="K512" s="4"/>
      <c r="L512" s="4"/>
    </row>
    <row r="513" spans="1:12" ht="13">
      <c r="A513" s="4"/>
      <c r="B513" s="4"/>
      <c r="C513" s="4" t="s">
        <v>2042</v>
      </c>
      <c r="D513" s="166">
        <v>35</v>
      </c>
      <c r="E513" s="4" t="str">
        <f>VLOOKUP(C513,Master!$B$6:$N$1000,9,FALSE)</f>
        <v>gr</v>
      </c>
      <c r="F513" s="144">
        <f>VLOOKUP(C513,Master!$B$7:$N$1000,10,FALSE)</f>
        <v>29.0625</v>
      </c>
      <c r="G513" s="144">
        <f t="shared" si="52"/>
        <v>1017.1875</v>
      </c>
      <c r="H513" s="4"/>
      <c r="I513" s="4"/>
      <c r="J513" s="4"/>
      <c r="K513" s="4"/>
      <c r="L513" s="4"/>
    </row>
    <row r="514" spans="1:12" ht="13">
      <c r="A514" s="4"/>
      <c r="B514" s="4"/>
      <c r="C514" s="4" t="s">
        <v>304</v>
      </c>
      <c r="D514" s="166">
        <v>1</v>
      </c>
      <c r="E514" s="4" t="str">
        <f>VLOOKUP(C514,Master!$B$6:$N$1000,9,FALSE)</f>
        <v>pcs</v>
      </c>
      <c r="F514" s="144">
        <f>VLOOKUP(C514,Master!$B$7:$N$1000,10,FALSE)</f>
        <v>65.385652709359604</v>
      </c>
      <c r="G514" s="144">
        <f t="shared" si="52"/>
        <v>65.385652709359604</v>
      </c>
      <c r="H514" s="4"/>
      <c r="I514" s="4"/>
      <c r="J514" s="4"/>
      <c r="K514" s="4"/>
      <c r="L514" s="4"/>
    </row>
    <row r="515" spans="1:12" ht="13">
      <c r="A515" s="4"/>
      <c r="B515" s="4"/>
      <c r="C515" s="4"/>
      <c r="D515" s="4"/>
      <c r="E515" s="4"/>
      <c r="F515" s="4"/>
      <c r="G515" s="4"/>
      <c r="H515" s="4"/>
      <c r="I515" s="4"/>
      <c r="J515" s="4"/>
      <c r="K515" s="4"/>
      <c r="L515" s="4"/>
    </row>
    <row r="516" spans="1:12" ht="13">
      <c r="A516" s="183">
        <v>39</v>
      </c>
      <c r="B516" s="135" t="s">
        <v>480</v>
      </c>
      <c r="C516" s="136"/>
      <c r="D516" s="180">
        <f>SUM(D517:D521)</f>
        <v>6552</v>
      </c>
      <c r="E516" s="135" t="str">
        <f>VLOOKUP(B516,Master!$B$7:$N$316,7,FALSE)</f>
        <v>gr</v>
      </c>
      <c r="F516" s="136"/>
      <c r="G516" s="138">
        <f>SUM(G517:G518)</f>
        <v>19733.333333333332</v>
      </c>
      <c r="H516" s="139">
        <v>0.1</v>
      </c>
      <c r="I516" s="138">
        <f>G516+(G516*H516)</f>
        <v>21706.666666666664</v>
      </c>
      <c r="J516" s="180">
        <v>2</v>
      </c>
      <c r="K516" s="138">
        <f>I516/J516</f>
        <v>10853.333333333332</v>
      </c>
      <c r="L516" s="168">
        <f>D516/J516</f>
        <v>3276</v>
      </c>
    </row>
    <row r="517" spans="1:12" ht="13">
      <c r="A517" s="4"/>
      <c r="B517" s="4"/>
      <c r="C517" s="4" t="s">
        <v>1254</v>
      </c>
      <c r="D517" s="166">
        <v>250</v>
      </c>
      <c r="E517" s="4" t="str">
        <f>VLOOKUP(C517,Master!$B$6:$N$1000,9,FALSE)</f>
        <v>gr</v>
      </c>
      <c r="F517" s="144">
        <f>VLOOKUP(C517,Master!$B$7:$N$1000,10,FALSE)</f>
        <v>64</v>
      </c>
      <c r="G517" s="144">
        <f t="shared" ref="G517:G518" si="53">D517*F517</f>
        <v>16000</v>
      </c>
      <c r="H517" s="4"/>
      <c r="I517" s="4"/>
      <c r="J517" s="4"/>
      <c r="K517" s="4"/>
      <c r="L517" s="4"/>
    </row>
    <row r="518" spans="1:12" ht="13">
      <c r="A518" s="4"/>
      <c r="B518" s="4"/>
      <c r="C518" s="4" t="s">
        <v>659</v>
      </c>
      <c r="D518" s="166">
        <v>2</v>
      </c>
      <c r="E518" s="4" t="str">
        <f>VLOOKUP(C518,Master!$B$6:$N$1000,9,FALSE)</f>
        <v>pcs</v>
      </c>
      <c r="F518" s="144">
        <f>VLOOKUP(C518,Master!$B$7:$N$1000,10,FALSE)</f>
        <v>1866.6666666666667</v>
      </c>
      <c r="G518" s="144">
        <f t="shared" si="53"/>
        <v>3733.3333333333335</v>
      </c>
      <c r="H518" s="4"/>
      <c r="I518" s="4"/>
      <c r="J518" s="4"/>
      <c r="K518" s="4"/>
      <c r="L518" s="4"/>
    </row>
    <row r="519" spans="1:12" ht="13">
      <c r="A519" s="4"/>
      <c r="B519" s="4"/>
      <c r="C519" s="4"/>
      <c r="D519" s="4"/>
      <c r="E519" s="4"/>
      <c r="F519" s="4"/>
      <c r="G519" s="4"/>
      <c r="H519" s="4"/>
      <c r="I519" s="4"/>
      <c r="J519" s="4"/>
      <c r="K519" s="4"/>
      <c r="L519" s="4"/>
    </row>
    <row r="520" spans="1:12" ht="13">
      <c r="A520" s="183">
        <v>39</v>
      </c>
      <c r="B520" s="135" t="s">
        <v>484</v>
      </c>
      <c r="C520" s="136"/>
      <c r="D520" s="180">
        <f>SUM(D521:D525)</f>
        <v>3300</v>
      </c>
      <c r="E520" s="135" t="str">
        <f>VLOOKUP(B520,Master!$B$7:$N$316,7,FALSE)</f>
        <v>gr</v>
      </c>
      <c r="F520" s="136"/>
      <c r="G520" s="138">
        <f>SUM(G521:G536)</f>
        <v>125975</v>
      </c>
      <c r="H520" s="139">
        <v>0.1</v>
      </c>
      <c r="I520" s="138">
        <f>G520+(G520*H520)</f>
        <v>138572.5</v>
      </c>
      <c r="J520" s="180">
        <v>250</v>
      </c>
      <c r="K520" s="138">
        <f>I520/J520</f>
        <v>554.29</v>
      </c>
      <c r="L520" s="168">
        <f>D520/J520</f>
        <v>13.2</v>
      </c>
    </row>
    <row r="521" spans="1:12" ht="13">
      <c r="A521" s="4"/>
      <c r="B521" s="4"/>
      <c r="C521" s="4" t="s">
        <v>1257</v>
      </c>
      <c r="D521" s="166">
        <v>3000</v>
      </c>
      <c r="E521" s="4" t="str">
        <f>VLOOKUP(C521,Master!$B$6:$N$1000,9,FALSE)</f>
        <v>gr</v>
      </c>
      <c r="F521" s="144">
        <f>VLOOKUP(C521,Master!$B$7:$N$1000,10,FALSE)</f>
        <v>30</v>
      </c>
      <c r="G521" s="144">
        <f t="shared" ref="G521:G531" si="54">D521*F521</f>
        <v>90000</v>
      </c>
      <c r="H521" s="4"/>
      <c r="I521" s="4"/>
      <c r="J521" s="4"/>
      <c r="K521" s="4"/>
      <c r="L521" s="4"/>
    </row>
    <row r="522" spans="1:12" ht="13">
      <c r="A522" s="4"/>
      <c r="B522" s="4"/>
      <c r="C522" s="4" t="s">
        <v>732</v>
      </c>
      <c r="D522" s="166">
        <v>100</v>
      </c>
      <c r="E522" s="4" t="str">
        <f>VLOOKUP(C522,Master!$B$6:$N$1000,9,FALSE)</f>
        <v>gr</v>
      </c>
      <c r="F522" s="144">
        <f>VLOOKUP(C522,Master!$B$7:$N$1000,10,FALSE)</f>
        <v>40</v>
      </c>
      <c r="G522" s="144">
        <f t="shared" si="54"/>
        <v>4000</v>
      </c>
      <c r="H522" s="4"/>
      <c r="I522" s="4"/>
      <c r="J522" s="4"/>
      <c r="K522" s="4"/>
      <c r="L522" s="4"/>
    </row>
    <row r="523" spans="1:12" ht="13">
      <c r="A523" s="4"/>
      <c r="B523" s="4"/>
      <c r="C523" s="4" t="s">
        <v>885</v>
      </c>
      <c r="D523" s="166">
        <v>50</v>
      </c>
      <c r="E523" s="4" t="str">
        <f>VLOOKUP(C523,Master!$B$6:$N$1000,9,FALSE)</f>
        <v>gr</v>
      </c>
      <c r="F523" s="144">
        <f>VLOOKUP(C523,Master!$B$7:$N$1000,10,FALSE)</f>
        <v>30.5</v>
      </c>
      <c r="G523" s="144">
        <f t="shared" si="54"/>
        <v>1525</v>
      </c>
      <c r="H523" s="4"/>
      <c r="I523" s="4"/>
      <c r="J523" s="4"/>
      <c r="K523" s="4"/>
      <c r="L523" s="4"/>
    </row>
    <row r="524" spans="1:12" ht="13">
      <c r="A524" s="4"/>
      <c r="B524" s="4"/>
      <c r="C524" s="4" t="s">
        <v>651</v>
      </c>
      <c r="D524" s="166">
        <v>100</v>
      </c>
      <c r="E524" s="4" t="str">
        <f>VLOOKUP(C524,Master!$B$6:$N$1000,9,FALSE)</f>
        <v>gr</v>
      </c>
      <c r="F524" s="144">
        <f>VLOOKUP(C524,Master!$B$7:$N$1000,10,FALSE)</f>
        <v>18</v>
      </c>
      <c r="G524" s="144">
        <f t="shared" si="54"/>
        <v>1800</v>
      </c>
      <c r="H524" s="4"/>
      <c r="I524" s="4"/>
      <c r="J524" s="4"/>
      <c r="K524" s="4"/>
      <c r="L524" s="4"/>
    </row>
    <row r="525" spans="1:12" ht="13">
      <c r="A525" s="4"/>
      <c r="B525" s="4"/>
      <c r="C525" s="4" t="s">
        <v>819</v>
      </c>
      <c r="D525" s="166">
        <v>50</v>
      </c>
      <c r="E525" s="4" t="str">
        <f>VLOOKUP(C525,Master!$B$6:$N$1000,9,FALSE)</f>
        <v>gr</v>
      </c>
      <c r="F525" s="144">
        <f>VLOOKUP(C525,Master!$B$7:$N$1000,10,FALSE)</f>
        <v>13</v>
      </c>
      <c r="G525" s="144">
        <f t="shared" si="54"/>
        <v>650</v>
      </c>
      <c r="H525" s="4"/>
      <c r="I525" s="4"/>
      <c r="J525" s="4"/>
      <c r="K525" s="4"/>
      <c r="L525" s="4"/>
    </row>
    <row r="526" spans="1:12" ht="13">
      <c r="A526" s="4"/>
      <c r="B526" s="4"/>
      <c r="C526" s="4" t="s">
        <v>1259</v>
      </c>
      <c r="D526" s="166">
        <v>30</v>
      </c>
      <c r="E526" s="4" t="str">
        <f>VLOOKUP(C526,Master!$B$6:$N$1000,9,FALSE)</f>
        <v>gr</v>
      </c>
      <c r="F526" s="144">
        <f>VLOOKUP(C526,Master!$B$7:$N$1000,10,FALSE)</f>
        <v>100</v>
      </c>
      <c r="G526" s="144">
        <f t="shared" si="54"/>
        <v>3000</v>
      </c>
      <c r="H526" s="4"/>
      <c r="I526" s="4"/>
      <c r="J526" s="4"/>
      <c r="K526" s="4"/>
      <c r="L526" s="4"/>
    </row>
    <row r="527" spans="1:12" ht="13">
      <c r="A527" s="4"/>
      <c r="B527" s="4"/>
      <c r="C527" s="4" t="s">
        <v>536</v>
      </c>
      <c r="D527" s="166">
        <v>30</v>
      </c>
      <c r="E527" s="4" t="str">
        <f>VLOOKUP(C527,Master!$B$6:$N$1000,9,FALSE)</f>
        <v>gr</v>
      </c>
      <c r="F527" s="144">
        <f>VLOOKUP(C527,Master!$B$7:$N$1000,10,FALSE)</f>
        <v>210</v>
      </c>
      <c r="G527" s="144">
        <f t="shared" si="54"/>
        <v>6300</v>
      </c>
      <c r="H527" s="4"/>
      <c r="I527" s="4"/>
      <c r="J527" s="4"/>
      <c r="K527" s="4"/>
      <c r="L527" s="4"/>
    </row>
    <row r="528" spans="1:12" ht="13">
      <c r="A528" s="4"/>
      <c r="B528" s="4"/>
      <c r="C528" s="4" t="s">
        <v>799</v>
      </c>
      <c r="D528" s="166">
        <v>100</v>
      </c>
      <c r="E528" s="4" t="str">
        <f>VLOOKUP(C528,Master!$B$6:$N$1000,9,FALSE)</f>
        <v>gr</v>
      </c>
      <c r="F528" s="144">
        <f>VLOOKUP(C528,Master!$B$7:$N$1000,10,FALSE)</f>
        <v>90</v>
      </c>
      <c r="G528" s="144">
        <f t="shared" si="54"/>
        <v>9000</v>
      </c>
      <c r="H528" s="4"/>
      <c r="I528" s="4"/>
      <c r="J528" s="4"/>
      <c r="K528" s="4"/>
      <c r="L528" s="4"/>
    </row>
    <row r="529" spans="1:12" ht="13">
      <c r="A529" s="4"/>
      <c r="B529" s="4"/>
      <c r="C529" s="4" t="s">
        <v>764</v>
      </c>
      <c r="D529" s="166">
        <v>100</v>
      </c>
      <c r="E529" s="4" t="str">
        <f>VLOOKUP(C529,Master!$B$6:$N$1000,9,FALSE)</f>
        <v>gr</v>
      </c>
      <c r="F529" s="144">
        <f>VLOOKUP(C529,Master!$B$7:$N$1000,10,FALSE)</f>
        <v>15</v>
      </c>
      <c r="G529" s="144">
        <f t="shared" si="54"/>
        <v>1500</v>
      </c>
      <c r="H529" s="4"/>
      <c r="I529" s="4"/>
      <c r="J529" s="4"/>
      <c r="K529" s="4"/>
      <c r="L529" s="4"/>
    </row>
    <row r="530" spans="1:12" ht="13">
      <c r="A530" s="4"/>
      <c r="B530" s="4"/>
      <c r="C530" s="4" t="s">
        <v>2058</v>
      </c>
      <c r="D530" s="166">
        <v>200</v>
      </c>
      <c r="E530" s="4" t="str">
        <f>VLOOKUP(C530,Master!$B$6:$N$1000,9,FALSE)</f>
        <v>gr</v>
      </c>
      <c r="F530" s="144">
        <f>VLOOKUP(C530,Master!$B$7:$N$1000,10,FALSE)</f>
        <v>38</v>
      </c>
      <c r="G530" s="144">
        <f t="shared" si="54"/>
        <v>7600</v>
      </c>
      <c r="H530" s="4"/>
      <c r="I530" s="4"/>
      <c r="J530" s="4"/>
      <c r="K530" s="4"/>
      <c r="L530" s="4"/>
    </row>
    <row r="531" spans="1:12" ht="13">
      <c r="A531" s="4"/>
      <c r="B531" s="4"/>
      <c r="C531" s="4" t="s">
        <v>815</v>
      </c>
      <c r="D531" s="166">
        <v>50</v>
      </c>
      <c r="E531" s="4" t="str">
        <f>VLOOKUP(C531,Master!$B$6:$N$1000,9,FALSE)</f>
        <v>gr</v>
      </c>
      <c r="F531" s="144">
        <f>VLOOKUP(C531,Master!$B$7:$N$1000,10,FALSE)</f>
        <v>12</v>
      </c>
      <c r="G531" s="144">
        <f t="shared" si="54"/>
        <v>600</v>
      </c>
      <c r="H531" s="4"/>
      <c r="I531" s="4"/>
      <c r="J531" s="4"/>
      <c r="K531" s="4"/>
      <c r="L531" s="4"/>
    </row>
    <row r="532" spans="1:12" ht="13">
      <c r="A532" s="4"/>
      <c r="B532" s="4"/>
      <c r="C532" s="4"/>
      <c r="D532" s="166"/>
      <c r="E532" s="4"/>
      <c r="F532" s="144"/>
      <c r="G532" s="144"/>
      <c r="H532" s="4"/>
      <c r="I532" s="4"/>
      <c r="J532" s="4"/>
      <c r="K532" s="4"/>
      <c r="L532" s="4"/>
    </row>
    <row r="533" spans="1:12" ht="13">
      <c r="A533" s="4"/>
      <c r="B533" s="4"/>
      <c r="C533" s="4"/>
      <c r="D533" s="166"/>
      <c r="E533" s="4"/>
      <c r="F533" s="144"/>
      <c r="G533" s="144"/>
      <c r="H533" s="4"/>
      <c r="I533" s="4"/>
      <c r="J533" s="4"/>
      <c r="K533" s="4"/>
      <c r="L533" s="4"/>
    </row>
    <row r="534" spans="1:12" ht="13">
      <c r="A534" s="4"/>
      <c r="B534" s="4"/>
      <c r="C534" s="4"/>
      <c r="D534" s="166"/>
      <c r="E534" s="4"/>
      <c r="F534" s="144"/>
      <c r="G534" s="144"/>
      <c r="H534" s="4"/>
      <c r="I534" s="4"/>
      <c r="J534" s="4"/>
      <c r="K534" s="4"/>
      <c r="L534" s="4"/>
    </row>
    <row r="535" spans="1:12" ht="13">
      <c r="A535" s="4"/>
      <c r="B535" s="4"/>
      <c r="C535" s="4"/>
      <c r="D535" s="166"/>
      <c r="E535" s="4"/>
      <c r="F535" s="144"/>
      <c r="G535" s="144"/>
      <c r="H535" s="4"/>
      <c r="I535" s="4"/>
      <c r="J535" s="4"/>
      <c r="K535" s="4"/>
      <c r="L535" s="4"/>
    </row>
    <row r="536" spans="1:12" ht="13">
      <c r="A536" s="4"/>
      <c r="B536" s="4"/>
      <c r="C536" s="4"/>
      <c r="D536" s="166"/>
      <c r="E536" s="4"/>
      <c r="F536" s="144"/>
      <c r="G536" s="144"/>
      <c r="H536" s="4"/>
      <c r="I536" s="4"/>
      <c r="J536" s="4"/>
      <c r="K536" s="4"/>
      <c r="L536" s="4"/>
    </row>
    <row r="537" spans="1:12" ht="13">
      <c r="A537" s="4"/>
      <c r="B537" s="4"/>
      <c r="C537" s="4"/>
      <c r="D537" s="4"/>
      <c r="E537" s="4"/>
      <c r="F537" s="4"/>
      <c r="G537" s="4"/>
      <c r="H537" s="4"/>
      <c r="I537" s="4"/>
      <c r="J537" s="4"/>
      <c r="K537" s="4"/>
      <c r="L537" s="4"/>
    </row>
    <row r="538" spans="1:12" ht="13">
      <c r="A538" s="183">
        <v>39</v>
      </c>
      <c r="B538" s="135" t="s">
        <v>311</v>
      </c>
      <c r="C538" s="136"/>
      <c r="D538" s="180">
        <f>SUM(D539:D543)</f>
        <v>1003</v>
      </c>
      <c r="E538" s="186">
        <f>VLOOKUP(B538,Master!$B$7:$N$316,7,FALSE)</f>
        <v>0</v>
      </c>
      <c r="F538" s="136"/>
      <c r="G538" s="138">
        <f>SUM(G539:G543)</f>
        <v>38550</v>
      </c>
      <c r="H538" s="139">
        <v>0.1</v>
      </c>
      <c r="I538" s="138">
        <f>G538+(G538*H538)</f>
        <v>42405</v>
      </c>
      <c r="J538" s="180">
        <v>5</v>
      </c>
      <c r="K538" s="138">
        <f>I538/J538</f>
        <v>8481</v>
      </c>
      <c r="L538" s="168">
        <f>D538/J538</f>
        <v>200.6</v>
      </c>
    </row>
    <row r="539" spans="1:12" ht="13">
      <c r="A539" s="4"/>
      <c r="B539" s="4" t="s">
        <v>311</v>
      </c>
      <c r="C539" s="4" t="s">
        <v>716</v>
      </c>
      <c r="D539" s="146">
        <v>300</v>
      </c>
      <c r="E539" s="4" t="str">
        <f>VLOOKUP(C539,Master!$B$6:$N$1000,9,FALSE)</f>
        <v>gr</v>
      </c>
      <c r="F539" s="144">
        <f>VLOOKUP(C539,Master!$B$7:$N$1000,10,FALSE)</f>
        <v>45</v>
      </c>
      <c r="G539" s="144">
        <f t="shared" ref="G539:G543" si="55">D539*F539</f>
        <v>13500</v>
      </c>
      <c r="H539" s="4"/>
      <c r="I539" s="4"/>
      <c r="J539" s="4"/>
      <c r="K539" s="4"/>
      <c r="L539" s="4"/>
    </row>
    <row r="540" spans="1:12" ht="13">
      <c r="A540" s="4"/>
      <c r="B540" s="4"/>
      <c r="C540" s="4" t="s">
        <v>732</v>
      </c>
      <c r="D540" s="146">
        <v>300</v>
      </c>
      <c r="E540" s="4" t="str">
        <f>VLOOKUP(C540,Master!$B$6:$N$1000,9,FALSE)</f>
        <v>gr</v>
      </c>
      <c r="F540" s="144">
        <f>VLOOKUP(C540,Master!$B$7:$N$1000,10,FALSE)</f>
        <v>40</v>
      </c>
      <c r="G540" s="144">
        <f t="shared" si="55"/>
        <v>12000</v>
      </c>
      <c r="H540" s="4"/>
      <c r="I540" s="4"/>
      <c r="J540" s="4"/>
      <c r="K540" s="4"/>
      <c r="L540" s="4"/>
    </row>
    <row r="541" spans="1:12" ht="13">
      <c r="A541" s="4"/>
      <c r="B541" s="4"/>
      <c r="C541" s="4" t="s">
        <v>2045</v>
      </c>
      <c r="D541" s="146">
        <v>150</v>
      </c>
      <c r="E541" s="4" t="str">
        <f>VLOOKUP(C541,Master!$B$6:$N$1000,9,FALSE)</f>
        <v>gr</v>
      </c>
      <c r="F541" s="144">
        <f>VLOOKUP(C541,Master!$B$7:$N$1000,10,FALSE)</f>
        <v>14.25</v>
      </c>
      <c r="G541" s="144">
        <f t="shared" si="55"/>
        <v>2137.5</v>
      </c>
      <c r="H541" s="4"/>
      <c r="I541" s="4"/>
      <c r="J541" s="4"/>
      <c r="K541" s="4"/>
      <c r="L541" s="4"/>
    </row>
    <row r="542" spans="1:12" ht="13">
      <c r="A542" s="4"/>
      <c r="B542" s="4"/>
      <c r="C542" s="4" t="s">
        <v>831</v>
      </c>
      <c r="D542" s="146">
        <v>250</v>
      </c>
      <c r="E542" s="4" t="str">
        <f>VLOOKUP(C542,Master!$B$6:$N$1000,9,FALSE)</f>
        <v>gr</v>
      </c>
      <c r="F542" s="144">
        <f>VLOOKUP(C542,Master!$B$7:$N$1000,10,FALSE)</f>
        <v>21.25</v>
      </c>
      <c r="G542" s="144">
        <f t="shared" si="55"/>
        <v>5312.5</v>
      </c>
      <c r="H542" s="4"/>
      <c r="I542" s="4"/>
      <c r="J542" s="4"/>
      <c r="K542" s="4"/>
      <c r="L542" s="4"/>
    </row>
    <row r="543" spans="1:12" ht="13">
      <c r="A543" s="4"/>
      <c r="B543" s="4"/>
      <c r="C543" s="4" t="s">
        <v>659</v>
      </c>
      <c r="D543" s="146">
        <v>3</v>
      </c>
      <c r="E543" s="4" t="str">
        <f>VLOOKUP(C543,Master!$B$6:$N$1000,9,FALSE)</f>
        <v>pcs</v>
      </c>
      <c r="F543" s="144">
        <f>VLOOKUP(C543,Master!$B$7:$N$1000,10,FALSE)</f>
        <v>1866.6666666666667</v>
      </c>
      <c r="G543" s="144">
        <f t="shared" si="55"/>
        <v>5600</v>
      </c>
      <c r="H543" s="4"/>
      <c r="I543" s="4"/>
      <c r="J543" s="4"/>
      <c r="K543" s="4"/>
      <c r="L543" s="4"/>
    </row>
    <row r="544" spans="1:12" ht="13">
      <c r="A544" s="4"/>
      <c r="B544" s="4"/>
      <c r="C544" s="4"/>
      <c r="D544" s="4"/>
      <c r="E544" s="4"/>
      <c r="F544" s="4"/>
      <c r="G544" s="4"/>
      <c r="H544" s="4"/>
      <c r="I544" s="4"/>
      <c r="J544" s="4"/>
      <c r="K544" s="4"/>
      <c r="L544" s="4"/>
    </row>
    <row r="545" spans="1:12" ht="13">
      <c r="A545" s="183">
        <v>39</v>
      </c>
      <c r="B545" s="135" t="s">
        <v>317</v>
      </c>
      <c r="C545" s="136"/>
      <c r="D545" s="180">
        <f>SUM(D546:D550)</f>
        <v>850</v>
      </c>
      <c r="E545" s="186">
        <f>VLOOKUP(B545,Master!$B$7:$N$316,7,FALSE)</f>
        <v>0</v>
      </c>
      <c r="F545" s="136"/>
      <c r="G545" s="138">
        <f>SUM(G546:G556)</f>
        <v>34828.465789473688</v>
      </c>
      <c r="H545" s="139">
        <v>0.1</v>
      </c>
      <c r="I545" s="138">
        <f>G545+(G545*H545)</f>
        <v>38311.312368421059</v>
      </c>
      <c r="J545" s="180">
        <v>50</v>
      </c>
      <c r="K545" s="138">
        <f>I545/J545</f>
        <v>766.22624736842113</v>
      </c>
      <c r="L545" s="168">
        <f>D545/J545</f>
        <v>17</v>
      </c>
    </row>
    <row r="546" spans="1:12" ht="13">
      <c r="A546" s="4"/>
      <c r="B546" s="4"/>
      <c r="C546" s="4" t="s">
        <v>2042</v>
      </c>
      <c r="D546" s="146">
        <v>300</v>
      </c>
      <c r="E546" s="4" t="str">
        <f>VLOOKUP(C546,Master!$B$6:$N$1000,9,FALSE)</f>
        <v>gr</v>
      </c>
      <c r="F546" s="144">
        <f>VLOOKUP(C546,Master!$B$7:$N$1000,10,FALSE)</f>
        <v>29.0625</v>
      </c>
      <c r="G546" s="144">
        <f t="shared" ref="G546:G556" si="56">D546*F546</f>
        <v>8718.75</v>
      </c>
      <c r="H546" s="4"/>
      <c r="I546" s="4"/>
      <c r="J546" s="4"/>
      <c r="K546" s="4"/>
      <c r="L546" s="4"/>
    </row>
    <row r="547" spans="1:12" ht="13">
      <c r="A547" s="4"/>
      <c r="B547" s="4"/>
      <c r="C547" s="4" t="s">
        <v>1989</v>
      </c>
      <c r="D547" s="146">
        <v>200</v>
      </c>
      <c r="E547" s="4" t="str">
        <f>VLOOKUP(C547,Master!$B$6:$N$1000,9,FALSE)</f>
        <v>gr</v>
      </c>
      <c r="F547" s="144">
        <f>VLOOKUP(C547,Master!$B$7:$N$1000,10,FALSE)</f>
        <v>39</v>
      </c>
      <c r="G547" s="144">
        <f t="shared" si="56"/>
        <v>7800</v>
      </c>
      <c r="H547" s="4"/>
      <c r="I547" s="4"/>
      <c r="J547" s="4"/>
      <c r="K547" s="4"/>
      <c r="L547" s="4"/>
    </row>
    <row r="548" spans="1:12" ht="13">
      <c r="A548" s="4"/>
      <c r="B548" s="4"/>
      <c r="C548" s="4" t="s">
        <v>1064</v>
      </c>
      <c r="D548" s="146">
        <v>100</v>
      </c>
      <c r="E548" s="4" t="str">
        <f>VLOOKUP(C548,Master!$B$6:$N$1000,9,FALSE)</f>
        <v>gr</v>
      </c>
      <c r="F548" s="144">
        <f>VLOOKUP(C548,Master!$B$7:$N$1000,10,FALSE)</f>
        <v>37.700000000000003</v>
      </c>
      <c r="G548" s="144">
        <f t="shared" si="56"/>
        <v>3770.0000000000005</v>
      </c>
      <c r="H548" s="4"/>
      <c r="I548" s="4"/>
      <c r="J548" s="4"/>
      <c r="K548" s="4"/>
      <c r="L548" s="4"/>
    </row>
    <row r="549" spans="1:12" ht="13">
      <c r="A549" s="4"/>
      <c r="B549" s="4"/>
      <c r="C549" s="4" t="s">
        <v>712</v>
      </c>
      <c r="D549" s="146">
        <v>200</v>
      </c>
      <c r="E549" s="4" t="str">
        <f>VLOOKUP(C549,Master!$B$6:$N$1000,9,FALSE)</f>
        <v>gr</v>
      </c>
      <c r="F549" s="144">
        <f>VLOOKUP(C549,Master!$B$7:$N$1000,10,FALSE)</f>
        <v>40</v>
      </c>
      <c r="G549" s="144">
        <f t="shared" si="56"/>
        <v>8000</v>
      </c>
      <c r="H549" s="4"/>
      <c r="I549" s="4"/>
      <c r="J549" s="4"/>
      <c r="K549" s="4"/>
      <c r="L549" s="4"/>
    </row>
    <row r="550" spans="1:12" ht="13">
      <c r="A550" s="4"/>
      <c r="B550" s="4"/>
      <c r="C550" s="4" t="s">
        <v>1148</v>
      </c>
      <c r="D550" s="146">
        <v>50</v>
      </c>
      <c r="E550" s="4" t="str">
        <f>VLOOKUP(C550,Master!$B$6:$N$1000,9,FALSE)</f>
        <v>gr</v>
      </c>
      <c r="F550" s="144">
        <f>VLOOKUP(C550,Master!$B$7:$N$1000,10,FALSE)</f>
        <v>40</v>
      </c>
      <c r="G550" s="144">
        <f t="shared" si="56"/>
        <v>2000</v>
      </c>
      <c r="H550" s="4"/>
      <c r="I550" s="4"/>
      <c r="J550" s="4"/>
      <c r="K550" s="4"/>
      <c r="L550" s="4"/>
    </row>
    <row r="551" spans="1:12" ht="13">
      <c r="A551" s="4"/>
      <c r="B551" s="4"/>
      <c r="C551" s="4" t="s">
        <v>1150</v>
      </c>
      <c r="D551" s="146">
        <v>50</v>
      </c>
      <c r="E551" s="4" t="str">
        <f>VLOOKUP(C551,Master!$B$6:$N$1000,9,FALSE)</f>
        <v>gr</v>
      </c>
      <c r="F551" s="144">
        <f>VLOOKUP(C551,Master!$B$7:$N$1000,10,FALSE)</f>
        <v>75</v>
      </c>
      <c r="G551" s="144">
        <f t="shared" si="56"/>
        <v>3750</v>
      </c>
      <c r="H551" s="4"/>
      <c r="I551" s="4"/>
      <c r="J551" s="4"/>
      <c r="K551" s="4"/>
      <c r="L551" s="4"/>
    </row>
    <row r="552" spans="1:12" ht="13">
      <c r="A552" s="4"/>
      <c r="B552" s="4"/>
      <c r="C552" s="4" t="s">
        <v>2043</v>
      </c>
      <c r="D552" s="146">
        <v>5</v>
      </c>
      <c r="E552" s="4" t="str">
        <f>VLOOKUP(C552,Master!$B$6:$N$1000,9,FALSE)</f>
        <v>gr</v>
      </c>
      <c r="F552" s="144">
        <f>VLOOKUP(C552,Master!$B$7:$N$1000,10,FALSE)</f>
        <v>38.5</v>
      </c>
      <c r="G552" s="144">
        <f t="shared" si="56"/>
        <v>192.5</v>
      </c>
      <c r="H552" s="4"/>
      <c r="I552" s="4"/>
      <c r="J552" s="4"/>
      <c r="K552" s="4"/>
      <c r="L552" s="4"/>
    </row>
    <row r="553" spans="1:12" ht="13">
      <c r="A553" s="4"/>
      <c r="B553" s="4"/>
      <c r="C553" s="4" t="s">
        <v>799</v>
      </c>
      <c r="D553" s="146">
        <v>2</v>
      </c>
      <c r="E553" s="4" t="str">
        <f>VLOOKUP(C553,Master!$B$6:$N$1000,9,FALSE)</f>
        <v>gr</v>
      </c>
      <c r="F553" s="144">
        <f>VLOOKUP(C553,Master!$B$7:$N$1000,10,FALSE)</f>
        <v>90</v>
      </c>
      <c r="G553" s="144">
        <f t="shared" si="56"/>
        <v>180</v>
      </c>
      <c r="H553" s="4"/>
      <c r="I553" s="4"/>
      <c r="J553" s="4"/>
      <c r="K553" s="4"/>
      <c r="L553" s="4"/>
    </row>
    <row r="554" spans="1:12" ht="13">
      <c r="A554" s="4"/>
      <c r="B554" s="4"/>
      <c r="C554" s="4" t="s">
        <v>1000</v>
      </c>
      <c r="D554" s="146">
        <v>5</v>
      </c>
      <c r="E554" s="4" t="str">
        <f>VLOOKUP(C554,Master!$B$6:$N$1000,9,FALSE)</f>
        <v>gr</v>
      </c>
      <c r="F554" s="144">
        <f>VLOOKUP(C554,Master!$B$7:$N$1000,10,FALSE)</f>
        <v>44.5</v>
      </c>
      <c r="G554" s="144">
        <f t="shared" si="56"/>
        <v>222.5</v>
      </c>
      <c r="H554" s="4"/>
      <c r="I554" s="4"/>
      <c r="J554" s="4"/>
      <c r="K554" s="4"/>
      <c r="L554" s="4"/>
    </row>
    <row r="555" spans="1:12" ht="13">
      <c r="A555" s="4"/>
      <c r="B555" s="4"/>
      <c r="C555" s="4" t="s">
        <v>898</v>
      </c>
      <c r="D555" s="146">
        <v>2</v>
      </c>
      <c r="E555" s="4" t="str">
        <f>VLOOKUP(C555,Master!$B$6:$N$1000,9,FALSE)</f>
        <v>gr</v>
      </c>
      <c r="F555" s="144">
        <f>VLOOKUP(C555,Master!$B$7:$N$1000,10,FALSE)</f>
        <v>64.2</v>
      </c>
      <c r="G555" s="144">
        <f t="shared" si="56"/>
        <v>128.4</v>
      </c>
      <c r="H555" s="4"/>
      <c r="I555" s="4"/>
      <c r="J555" s="4"/>
      <c r="K555" s="4"/>
      <c r="L555" s="4"/>
    </row>
    <row r="556" spans="1:12" ht="13">
      <c r="A556" s="4"/>
      <c r="B556" s="4"/>
      <c r="C556" s="4" t="s">
        <v>2052</v>
      </c>
      <c r="D556" s="146">
        <v>100</v>
      </c>
      <c r="E556" s="4" t="str">
        <f>VLOOKUP(C556,Master!$B$6:$N$1000,9,FALSE)</f>
        <v>ml</v>
      </c>
      <c r="F556" s="144">
        <f>VLOOKUP(C556,Master!$B$7:$N$1000,10,FALSE)</f>
        <v>0.66315789473684206</v>
      </c>
      <c r="G556" s="144">
        <f t="shared" si="56"/>
        <v>66.315789473684205</v>
      </c>
      <c r="H556" s="4"/>
      <c r="I556" s="4"/>
      <c r="J556" s="4"/>
      <c r="K556" s="4"/>
      <c r="L556" s="4"/>
    </row>
    <row r="557" spans="1:12" ht="13">
      <c r="A557" s="4"/>
      <c r="B557" s="4"/>
      <c r="C557" s="4"/>
      <c r="D557" s="4"/>
      <c r="E557" s="4"/>
      <c r="F557" s="4"/>
      <c r="G557" s="4"/>
      <c r="H557" s="4"/>
      <c r="I557" s="4"/>
      <c r="J557" s="4"/>
      <c r="K557" s="4"/>
      <c r="L557" s="4"/>
    </row>
    <row r="558" spans="1:12" ht="13">
      <c r="A558" s="183">
        <v>39</v>
      </c>
      <c r="B558" s="135" t="s">
        <v>322</v>
      </c>
      <c r="C558" s="136"/>
      <c r="D558" s="180">
        <f>SUM(D559:D563)</f>
        <v>4894</v>
      </c>
      <c r="E558" s="186">
        <f>VLOOKUP(B558,Master!$B$7:$N$316,7,FALSE)</f>
        <v>0</v>
      </c>
      <c r="F558" s="136"/>
      <c r="G558" s="138">
        <f>SUM(G559)</f>
        <v>10000</v>
      </c>
      <c r="H558" s="139">
        <v>0.1</v>
      </c>
      <c r="I558" s="138">
        <f>G558+(G558*H558)</f>
        <v>11000</v>
      </c>
      <c r="J558" s="180">
        <v>40</v>
      </c>
      <c r="K558" s="138">
        <f>I558/J558</f>
        <v>275</v>
      </c>
      <c r="L558" s="168">
        <f>D558/J558</f>
        <v>122.35</v>
      </c>
    </row>
    <row r="559" spans="1:12" ht="13">
      <c r="A559" s="4"/>
      <c r="B559" s="4"/>
      <c r="C559" s="4" t="s">
        <v>1235</v>
      </c>
      <c r="D559" s="146">
        <v>1</v>
      </c>
      <c r="E559" s="4" t="str">
        <f>VLOOKUP(C559,Master!$B$6:$N$1000,9,FALSE)</f>
        <v>pcs</v>
      </c>
      <c r="F559" s="144">
        <f>VLOOKUP(C559,Master!$B$7:$N$1000,10,FALSE)</f>
        <v>10000</v>
      </c>
      <c r="G559" s="144">
        <f>D559*F559</f>
        <v>10000</v>
      </c>
      <c r="H559" s="4"/>
      <c r="I559" s="4"/>
      <c r="J559" s="4"/>
      <c r="K559" s="4"/>
      <c r="L559" s="4"/>
    </row>
    <row r="560" spans="1:12" ht="13">
      <c r="A560" s="4"/>
      <c r="B560" s="4"/>
      <c r="C560" s="4"/>
      <c r="D560" s="4"/>
      <c r="E560" s="4"/>
      <c r="F560" s="4"/>
      <c r="G560" s="4"/>
      <c r="H560" s="4"/>
      <c r="I560" s="4"/>
      <c r="J560" s="4"/>
      <c r="K560" s="4"/>
      <c r="L560" s="4"/>
    </row>
    <row r="561" spans="1:12" ht="13">
      <c r="A561" s="183">
        <v>39</v>
      </c>
      <c r="B561" s="135" t="s">
        <v>488</v>
      </c>
      <c r="C561" s="136"/>
      <c r="D561" s="180">
        <f>SUM(D562:D566)</f>
        <v>4683</v>
      </c>
      <c r="E561" s="186" t="str">
        <f>VLOOKUP(B561,Master!$B$7:$N$316,7,FALSE)</f>
        <v>gr</v>
      </c>
      <c r="F561" s="136"/>
      <c r="G561" s="138">
        <f>SUM(G562:G563)</f>
        <v>5162.2222222222226</v>
      </c>
      <c r="H561" s="139">
        <v>0.1</v>
      </c>
      <c r="I561" s="138">
        <f>G561+(G561*H561)</f>
        <v>5678.4444444444453</v>
      </c>
      <c r="J561" s="180">
        <v>3</v>
      </c>
      <c r="K561" s="138">
        <f>I561/J561</f>
        <v>1892.814814814815</v>
      </c>
      <c r="L561" s="168">
        <f>D561/J561</f>
        <v>1561</v>
      </c>
    </row>
    <row r="562" spans="1:12" ht="13">
      <c r="A562" s="4"/>
      <c r="B562" s="4"/>
      <c r="C562" s="4" t="s">
        <v>1268</v>
      </c>
      <c r="D562" s="146">
        <v>200</v>
      </c>
      <c r="E562" s="4" t="str">
        <f>VLOOKUP(C562,Master!$B$6:$N$1000,9,FALSE)</f>
        <v>gr</v>
      </c>
      <c r="F562" s="144">
        <f>VLOOKUP(C562,Master!$B$7:$N$1000,10,FALSE)</f>
        <v>25</v>
      </c>
      <c r="G562" s="144">
        <f t="shared" ref="G562:G563" si="57">D562*F562</f>
        <v>5000</v>
      </c>
      <c r="H562" s="4"/>
      <c r="I562" s="4"/>
      <c r="J562" s="4"/>
      <c r="K562" s="4"/>
      <c r="L562" s="4"/>
    </row>
    <row r="563" spans="1:12" ht="13">
      <c r="A563" s="4"/>
      <c r="B563" s="4"/>
      <c r="C563" s="4" t="s">
        <v>1988</v>
      </c>
      <c r="D563" s="146">
        <v>10</v>
      </c>
      <c r="E563" s="4" t="str">
        <f>VLOOKUP(C563,Master!$B$6:$N$1000,9,FALSE)</f>
        <v>ml</v>
      </c>
      <c r="F563" s="144">
        <f>VLOOKUP(C563,Master!$B$7:$N$1000,10,FALSE)</f>
        <v>16.222222222222221</v>
      </c>
      <c r="G563" s="144">
        <f t="shared" si="57"/>
        <v>162.22222222222223</v>
      </c>
      <c r="H563" s="4"/>
      <c r="I563" s="4"/>
      <c r="J563" s="4"/>
      <c r="K563" s="4"/>
      <c r="L563" s="4"/>
    </row>
    <row r="564" spans="1:12" ht="13">
      <c r="A564" s="4"/>
      <c r="B564" s="4"/>
      <c r="C564" s="4"/>
      <c r="D564" s="4"/>
      <c r="E564" s="4"/>
      <c r="F564" s="4"/>
      <c r="G564" s="4"/>
      <c r="H564" s="4"/>
      <c r="I564" s="4"/>
      <c r="J564" s="4"/>
      <c r="K564" s="4"/>
      <c r="L564" s="4"/>
    </row>
    <row r="565" spans="1:12" ht="13">
      <c r="A565" s="183">
        <v>39</v>
      </c>
      <c r="B565" s="135" t="s">
        <v>492</v>
      </c>
      <c r="C565" s="136"/>
      <c r="D565" s="180">
        <f>SUM(D566:D570)</f>
        <v>2473</v>
      </c>
      <c r="E565" s="186" t="str">
        <f>VLOOKUP(B565,Master!$B$7:$N$316,7,FALSE)</f>
        <v>gr</v>
      </c>
      <c r="F565" s="136"/>
      <c r="G565" s="138">
        <f>SUM(G566:G582)</f>
        <v>319805</v>
      </c>
      <c r="H565" s="139">
        <v>0.1</v>
      </c>
      <c r="I565" s="138">
        <f>G565+(G565*H565)</f>
        <v>351785.5</v>
      </c>
      <c r="J565" s="180">
        <v>40</v>
      </c>
      <c r="K565" s="138">
        <f>I565/J565</f>
        <v>8794.6375000000007</v>
      </c>
      <c r="L565" s="168">
        <f>D565/J565</f>
        <v>61.825000000000003</v>
      </c>
    </row>
    <row r="566" spans="1:12" ht="13">
      <c r="A566" s="4"/>
      <c r="B566" s="4"/>
      <c r="C566" s="4" t="s">
        <v>1125</v>
      </c>
      <c r="D566" s="146">
        <v>2000</v>
      </c>
      <c r="E566" s="4" t="str">
        <f>VLOOKUP(C566,Master!$B$6:$N$1000,9,FALSE)</f>
        <v>gr</v>
      </c>
      <c r="F566" s="144">
        <f>VLOOKUP(C566,Master!$B$7:$N$1000,10,FALSE)</f>
        <v>127</v>
      </c>
      <c r="G566" s="144">
        <f t="shared" ref="G566:G583" si="58">D566*F566</f>
        <v>254000</v>
      </c>
      <c r="H566" s="4"/>
      <c r="I566" s="4"/>
      <c r="J566" s="4"/>
      <c r="K566" s="4"/>
      <c r="L566" s="4"/>
    </row>
    <row r="567" spans="1:12" ht="13">
      <c r="A567" s="4"/>
      <c r="B567" s="4"/>
      <c r="C567" s="4" t="s">
        <v>1234</v>
      </c>
      <c r="D567" s="146">
        <v>250</v>
      </c>
      <c r="E567" s="4" t="str">
        <f>VLOOKUP(C567,Master!$B$6:$N$1000,9,FALSE)</f>
        <v>gr</v>
      </c>
      <c r="F567" s="144">
        <f>VLOOKUP(C567,Master!$B$7:$N$1000,10,FALSE)</f>
        <v>20</v>
      </c>
      <c r="G567" s="144">
        <f t="shared" si="58"/>
        <v>5000</v>
      </c>
      <c r="H567" s="4"/>
      <c r="I567" s="4"/>
      <c r="J567" s="4"/>
      <c r="K567" s="4"/>
      <c r="L567" s="4"/>
    </row>
    <row r="568" spans="1:12" ht="13">
      <c r="A568" s="4"/>
      <c r="B568" s="4"/>
      <c r="C568" s="4" t="s">
        <v>764</v>
      </c>
      <c r="D568" s="145">
        <v>3</v>
      </c>
      <c r="E568" s="4" t="str">
        <f>VLOOKUP(C568,Master!$B$6:$N$1000,9,FALSE)</f>
        <v>gr</v>
      </c>
      <c r="F568" s="144">
        <f>VLOOKUP(C568,Master!$B$7:$N$1000,10,FALSE)</f>
        <v>15</v>
      </c>
      <c r="G568" s="144">
        <f t="shared" si="58"/>
        <v>45</v>
      </c>
      <c r="H568" s="4"/>
      <c r="I568" s="4"/>
      <c r="J568" s="4"/>
      <c r="K568" s="4"/>
      <c r="L568" s="4"/>
    </row>
    <row r="569" spans="1:12" ht="13">
      <c r="A569" s="4"/>
      <c r="B569" s="4"/>
      <c r="C569" s="4" t="s">
        <v>643</v>
      </c>
      <c r="D569" s="145">
        <v>200</v>
      </c>
      <c r="E569" s="4" t="str">
        <f>VLOOKUP(C569,Master!$B$6:$N$1000,9,FALSE)</f>
        <v>gr</v>
      </c>
      <c r="F569" s="144">
        <f>VLOOKUP(C569,Master!$B$7:$N$1000,10,FALSE)</f>
        <v>17</v>
      </c>
      <c r="G569" s="144">
        <f t="shared" si="58"/>
        <v>3400</v>
      </c>
      <c r="H569" s="4"/>
      <c r="I569" s="4"/>
      <c r="J569" s="4"/>
      <c r="K569" s="4"/>
      <c r="L569" s="4"/>
    </row>
    <row r="570" spans="1:12" ht="13">
      <c r="A570" s="4"/>
      <c r="B570" s="4"/>
      <c r="C570" s="4" t="s">
        <v>2059</v>
      </c>
      <c r="D570" s="145">
        <v>20</v>
      </c>
      <c r="E570" s="4" t="str">
        <f>VLOOKUP(C570,Master!$B$6:$N$1000,9,FALSE)</f>
        <v>gr</v>
      </c>
      <c r="F570" s="144">
        <f>VLOOKUP(C570,Master!$B$7:$N$1000,10,FALSE)</f>
        <v>17.5</v>
      </c>
      <c r="G570" s="144">
        <f t="shared" si="58"/>
        <v>350</v>
      </c>
      <c r="H570" s="4"/>
      <c r="I570" s="4"/>
      <c r="J570" s="4"/>
      <c r="K570" s="4"/>
      <c r="L570" s="4"/>
    </row>
    <row r="571" spans="1:12" ht="13">
      <c r="A571" s="4"/>
      <c r="B571" s="4"/>
      <c r="C571" s="4" t="s">
        <v>895</v>
      </c>
      <c r="D571" s="145">
        <v>100</v>
      </c>
      <c r="E571" s="4" t="str">
        <f>VLOOKUP(C571,Master!$B$6:$N$1000,9,FALSE)</f>
        <v>gr</v>
      </c>
      <c r="F571" s="144">
        <f>VLOOKUP(C571,Master!$B$7:$N$1000,10,FALSE)</f>
        <v>256</v>
      </c>
      <c r="G571" s="144">
        <f t="shared" si="58"/>
        <v>25600</v>
      </c>
      <c r="H571" s="4"/>
      <c r="I571" s="4"/>
      <c r="J571" s="4"/>
      <c r="K571" s="4"/>
      <c r="L571" s="4"/>
    </row>
    <row r="572" spans="1:12" ht="13">
      <c r="A572" s="4"/>
      <c r="B572" s="4"/>
      <c r="C572" s="4" t="s">
        <v>2058</v>
      </c>
      <c r="D572" s="145">
        <v>10</v>
      </c>
      <c r="E572" s="4" t="str">
        <f>VLOOKUP(C572,Master!$B$6:$N$1000,9,FALSE)</f>
        <v>gr</v>
      </c>
      <c r="F572" s="144">
        <f>VLOOKUP(C572,Master!$B$7:$N$1000,10,FALSE)</f>
        <v>38</v>
      </c>
      <c r="G572" s="144">
        <f t="shared" si="58"/>
        <v>380</v>
      </c>
      <c r="H572" s="4"/>
      <c r="I572" s="4"/>
      <c r="J572" s="4"/>
      <c r="K572" s="4"/>
      <c r="L572" s="4"/>
    </row>
    <row r="573" spans="1:12" ht="13">
      <c r="A573" s="4"/>
      <c r="B573" s="4"/>
      <c r="C573" s="4" t="s">
        <v>815</v>
      </c>
      <c r="D573" s="145">
        <v>100</v>
      </c>
      <c r="E573" s="4" t="str">
        <f>VLOOKUP(C573,Master!$B$6:$N$1000,9,FALSE)</f>
        <v>gr</v>
      </c>
      <c r="F573" s="144">
        <f>VLOOKUP(C573,Master!$B$7:$N$1000,10,FALSE)</f>
        <v>12</v>
      </c>
      <c r="G573" s="144">
        <f t="shared" si="58"/>
        <v>1200</v>
      </c>
      <c r="H573" s="4"/>
      <c r="I573" s="4"/>
      <c r="J573" s="4"/>
      <c r="K573" s="4"/>
      <c r="L573" s="4"/>
    </row>
    <row r="574" spans="1:12" ht="13">
      <c r="A574" s="4"/>
      <c r="B574" s="4"/>
      <c r="C574" s="4" t="s">
        <v>901</v>
      </c>
      <c r="D574" s="145">
        <v>5</v>
      </c>
      <c r="E574" s="4" t="str">
        <f>VLOOKUP(C574,Master!$B$6:$N$1000,9,FALSE)</f>
        <v>gr</v>
      </c>
      <c r="F574" s="144">
        <f>VLOOKUP(C574,Master!$B$7:$N$1000,10,FALSE)</f>
        <v>12</v>
      </c>
      <c r="G574" s="144">
        <f t="shared" si="58"/>
        <v>60</v>
      </c>
      <c r="H574" s="4"/>
      <c r="I574" s="4"/>
      <c r="J574" s="4"/>
      <c r="K574" s="4"/>
      <c r="L574" s="4"/>
    </row>
    <row r="575" spans="1:12" ht="13">
      <c r="A575" s="4"/>
      <c r="B575" s="4"/>
      <c r="C575" s="4" t="s">
        <v>536</v>
      </c>
      <c r="D575" s="145">
        <v>1</v>
      </c>
      <c r="E575" s="4" t="str">
        <f>VLOOKUP(C575,Master!$B$6:$N$1000,9,FALSE)</f>
        <v>gr</v>
      </c>
      <c r="F575" s="144">
        <f>VLOOKUP(C575,Master!$B$7:$N$1000,10,FALSE)</f>
        <v>210</v>
      </c>
      <c r="G575" s="144">
        <f t="shared" si="58"/>
        <v>210</v>
      </c>
      <c r="H575" s="4"/>
      <c r="I575" s="4"/>
      <c r="J575" s="4"/>
      <c r="K575" s="4"/>
      <c r="L575" s="4"/>
    </row>
    <row r="576" spans="1:12" ht="13">
      <c r="A576" s="4"/>
      <c r="B576" s="4"/>
      <c r="C576" s="4" t="s">
        <v>1152</v>
      </c>
      <c r="D576" s="145">
        <v>50</v>
      </c>
      <c r="E576" s="4" t="str">
        <f>VLOOKUP(C576,Master!$B$6:$N$1000,9,FALSE)</f>
        <v>gr</v>
      </c>
      <c r="F576" s="144">
        <f>VLOOKUP(C576,Master!$B$7:$N$1000,10,FALSE)</f>
        <v>13</v>
      </c>
      <c r="G576" s="144">
        <f t="shared" si="58"/>
        <v>650</v>
      </c>
      <c r="H576" s="4"/>
      <c r="I576" s="4"/>
      <c r="J576" s="4"/>
      <c r="K576" s="4"/>
      <c r="L576" s="4"/>
    </row>
    <row r="577" spans="1:12" ht="13">
      <c r="A577" s="4"/>
      <c r="B577" s="4"/>
      <c r="C577" s="4" t="s">
        <v>1066</v>
      </c>
      <c r="D577" s="145">
        <v>50</v>
      </c>
      <c r="E577" s="4" t="str">
        <f>VLOOKUP(C577,Master!$B$6:$N$1000,9,FALSE)</f>
        <v>gr</v>
      </c>
      <c r="F577" s="144">
        <f>VLOOKUP(C577,Master!$B$7:$N$1000,10,FALSE)</f>
        <v>16</v>
      </c>
      <c r="G577" s="144">
        <f t="shared" si="58"/>
        <v>800</v>
      </c>
      <c r="H577" s="4"/>
      <c r="I577" s="4"/>
      <c r="J577" s="4"/>
      <c r="K577" s="4"/>
      <c r="L577" s="4"/>
    </row>
    <row r="578" spans="1:12" ht="13">
      <c r="A578" s="4"/>
      <c r="B578" s="4"/>
      <c r="C578" s="4" t="s">
        <v>1064</v>
      </c>
      <c r="D578" s="145">
        <v>300</v>
      </c>
      <c r="E578" s="4" t="str">
        <f>VLOOKUP(C578,Master!$B$6:$N$1000,9,FALSE)</f>
        <v>gr</v>
      </c>
      <c r="F578" s="144">
        <f>VLOOKUP(C578,Master!$B$7:$N$1000,10,FALSE)</f>
        <v>37.700000000000003</v>
      </c>
      <c r="G578" s="144">
        <f t="shared" si="58"/>
        <v>11310</v>
      </c>
      <c r="H578" s="4"/>
      <c r="I578" s="4"/>
      <c r="J578" s="4"/>
      <c r="K578" s="4"/>
      <c r="L578" s="4"/>
    </row>
    <row r="579" spans="1:12" ht="13">
      <c r="A579" s="4"/>
      <c r="B579" s="4"/>
      <c r="C579" s="4" t="s">
        <v>712</v>
      </c>
      <c r="D579" s="145">
        <v>200</v>
      </c>
      <c r="E579" s="4" t="str">
        <f>VLOOKUP(C579,Master!$B$6:$N$1000,9,FALSE)</f>
        <v>gr</v>
      </c>
      <c r="F579" s="144">
        <f>VLOOKUP(C579,Master!$B$7:$N$1000,10,FALSE)</f>
        <v>40</v>
      </c>
      <c r="G579" s="144">
        <f t="shared" si="58"/>
        <v>8000</v>
      </c>
      <c r="H579" s="4"/>
      <c r="I579" s="4"/>
      <c r="J579" s="4"/>
      <c r="K579" s="4"/>
      <c r="L579" s="4"/>
    </row>
    <row r="580" spans="1:12" ht="13">
      <c r="A580" s="4"/>
      <c r="B580" s="4"/>
      <c r="C580" s="4" t="s">
        <v>1150</v>
      </c>
      <c r="D580" s="145">
        <v>100</v>
      </c>
      <c r="E580" s="4" t="str">
        <f>VLOOKUP(C580,Master!$B$6:$N$1000,9,FALSE)</f>
        <v>gr</v>
      </c>
      <c r="F580" s="144">
        <f>VLOOKUP(C580,Master!$B$7:$N$1000,10,FALSE)</f>
        <v>75</v>
      </c>
      <c r="G580" s="144">
        <f t="shared" si="58"/>
        <v>7500</v>
      </c>
      <c r="H580" s="4"/>
      <c r="I580" s="4"/>
      <c r="J580" s="4"/>
      <c r="K580" s="4"/>
      <c r="L580" s="4"/>
    </row>
    <row r="581" spans="1:12" ht="13">
      <c r="A581" s="4"/>
      <c r="B581" s="4"/>
      <c r="C581" s="4" t="s">
        <v>1148</v>
      </c>
      <c r="D581" s="145">
        <v>10</v>
      </c>
      <c r="E581" s="4" t="str">
        <f>VLOOKUP(C581,Master!$B$6:$N$1000,9,FALSE)</f>
        <v>gr</v>
      </c>
      <c r="F581" s="144">
        <f>VLOOKUP(C581,Master!$B$7:$N$1000,10,FALSE)</f>
        <v>40</v>
      </c>
      <c r="G581" s="144">
        <f t="shared" si="58"/>
        <v>400</v>
      </c>
      <c r="H581" s="4"/>
      <c r="I581" s="4"/>
      <c r="J581" s="4"/>
      <c r="K581" s="4"/>
      <c r="L581" s="4"/>
    </row>
    <row r="582" spans="1:12" ht="13">
      <c r="A582" s="4"/>
      <c r="B582" s="4"/>
      <c r="C582" s="4" t="s">
        <v>799</v>
      </c>
      <c r="D582" s="145">
        <v>10</v>
      </c>
      <c r="E582" s="4" t="str">
        <f>VLOOKUP(C582,Master!$B$6:$N$1000,9,FALSE)</f>
        <v>gr</v>
      </c>
      <c r="F582" s="144">
        <f>VLOOKUP(C582,Master!$B$7:$N$1000,10,FALSE)</f>
        <v>90</v>
      </c>
      <c r="G582" s="144">
        <f t="shared" si="58"/>
        <v>900</v>
      </c>
      <c r="H582" s="4"/>
      <c r="I582" s="4"/>
      <c r="J582" s="4"/>
      <c r="K582" s="4"/>
      <c r="L582" s="4"/>
    </row>
    <row r="583" spans="1:12" ht="13">
      <c r="A583" s="4"/>
      <c r="B583" s="4"/>
      <c r="C583" s="4" t="s">
        <v>1000</v>
      </c>
      <c r="D583" s="145">
        <v>10</v>
      </c>
      <c r="E583" s="4" t="str">
        <f>VLOOKUP(C583,Master!$B$6:$N$1000,9,FALSE)</f>
        <v>gr</v>
      </c>
      <c r="F583" s="144">
        <f>VLOOKUP(C583,Master!$B$7:$N$1000,10,FALSE)</f>
        <v>44.5</v>
      </c>
      <c r="G583" s="144">
        <f t="shared" si="58"/>
        <v>445</v>
      </c>
      <c r="H583" s="4"/>
      <c r="I583" s="4"/>
      <c r="J583" s="4"/>
      <c r="K583" s="4"/>
      <c r="L583" s="4"/>
    </row>
    <row r="584" spans="1:12" ht="13">
      <c r="A584" s="183">
        <v>39</v>
      </c>
      <c r="B584" s="135" t="s">
        <v>496</v>
      </c>
      <c r="C584" s="136"/>
      <c r="D584" s="180">
        <f>SUM(D585:D589)</f>
        <v>390</v>
      </c>
      <c r="E584" s="186" t="str">
        <f>VLOOKUP(B584,Master!$B$7:$N$316,7,FALSE)</f>
        <v>gr</v>
      </c>
      <c r="F584" s="136"/>
      <c r="G584" s="138">
        <f>SUM(G585:G588)</f>
        <v>12834.25</v>
      </c>
      <c r="H584" s="139">
        <v>0.1</v>
      </c>
      <c r="I584" s="138">
        <f>G584+(G584*H584)</f>
        <v>14117.674999999999</v>
      </c>
      <c r="J584" s="180">
        <v>15</v>
      </c>
      <c r="K584" s="138">
        <f>I584/J584</f>
        <v>941.17833333333328</v>
      </c>
      <c r="L584" s="168">
        <f>D584/J584</f>
        <v>26</v>
      </c>
    </row>
    <row r="585" spans="1:12" ht="13">
      <c r="A585" s="4"/>
      <c r="B585" s="4"/>
      <c r="C585" s="4" t="s">
        <v>2042</v>
      </c>
      <c r="D585" s="166">
        <v>300</v>
      </c>
      <c r="E585" s="4" t="str">
        <f>VLOOKUP(C585,Master!$B$6:$N$1000,9,FALSE)</f>
        <v>gr</v>
      </c>
      <c r="F585" s="144">
        <f>VLOOKUP(C585,Master!$B$7:$N$1000,10,FALSE)</f>
        <v>29.0625</v>
      </c>
      <c r="G585" s="144">
        <f t="shared" ref="G585:G588" si="59">D585*F585</f>
        <v>8718.75</v>
      </c>
      <c r="H585" s="4"/>
      <c r="I585" s="4"/>
      <c r="J585" s="4"/>
      <c r="K585" s="4"/>
      <c r="L585" s="4"/>
    </row>
    <row r="586" spans="1:12" ht="13">
      <c r="A586" s="4"/>
      <c r="B586" s="4"/>
      <c r="C586" s="4" t="s">
        <v>671</v>
      </c>
      <c r="D586" s="166">
        <v>50</v>
      </c>
      <c r="E586" s="4" t="str">
        <f>VLOOKUP(C586,Master!$B$6:$N$1000,9,FALSE)</f>
        <v>gr</v>
      </c>
      <c r="F586" s="144">
        <f>VLOOKUP(C586,Master!$B$7:$N$1000,10,FALSE)</f>
        <v>50</v>
      </c>
      <c r="G586" s="144">
        <f t="shared" si="59"/>
        <v>2500</v>
      </c>
      <c r="H586" s="4"/>
      <c r="I586" s="4"/>
      <c r="J586" s="4"/>
      <c r="K586" s="4"/>
      <c r="L586" s="4"/>
    </row>
    <row r="587" spans="1:12" ht="13">
      <c r="A587" s="4"/>
      <c r="B587" s="4"/>
      <c r="C587" s="4" t="s">
        <v>1138</v>
      </c>
      <c r="D587" s="166">
        <v>25</v>
      </c>
      <c r="E587" s="4" t="str">
        <f>VLOOKUP(C587,Master!$B$6:$N$1000,9,FALSE)</f>
        <v>gr</v>
      </c>
      <c r="F587" s="144">
        <f>VLOOKUP(C587,Master!$B$7:$N$1000,10,FALSE)</f>
        <v>42</v>
      </c>
      <c r="G587" s="144">
        <f t="shared" si="59"/>
        <v>1050</v>
      </c>
      <c r="H587" s="4"/>
      <c r="I587" s="4"/>
      <c r="J587" s="4"/>
      <c r="K587" s="4"/>
      <c r="L587" s="4"/>
    </row>
    <row r="588" spans="1:12" ht="13">
      <c r="A588" s="4"/>
      <c r="B588" s="4"/>
      <c r="C588" s="4" t="s">
        <v>1064</v>
      </c>
      <c r="D588" s="166">
        <v>15</v>
      </c>
      <c r="E588" s="4" t="str">
        <f>VLOOKUP(C588,Master!$B$6:$N$1000,9,FALSE)</f>
        <v>gr</v>
      </c>
      <c r="F588" s="144">
        <f>VLOOKUP(C588,Master!$B$7:$N$1000,10,FALSE)</f>
        <v>37.700000000000003</v>
      </c>
      <c r="G588" s="144">
        <f t="shared" si="59"/>
        <v>565.5</v>
      </c>
      <c r="H588" s="4"/>
      <c r="I588" s="4"/>
      <c r="J588" s="4"/>
      <c r="K588" s="4"/>
      <c r="L588" s="4"/>
    </row>
    <row r="589" spans="1:12" ht="13">
      <c r="A589" s="4"/>
      <c r="B589" s="4"/>
      <c r="C589" s="4"/>
      <c r="D589" s="4"/>
      <c r="E589" s="4"/>
      <c r="F589" s="4"/>
      <c r="G589" s="4"/>
      <c r="H589" s="4"/>
      <c r="I589" s="4"/>
      <c r="J589" s="4"/>
      <c r="K589" s="4"/>
      <c r="L589" s="4"/>
    </row>
    <row r="590" spans="1:12" ht="13">
      <c r="A590" s="183">
        <v>39</v>
      </c>
      <c r="B590" s="135" t="s">
        <v>500</v>
      </c>
      <c r="C590" s="136"/>
      <c r="D590" s="180">
        <f>SUM(D591:D595)</f>
        <v>436</v>
      </c>
      <c r="E590" s="186" t="str">
        <f>VLOOKUP(B590,Master!$B$7:$N$316,7,FALSE)</f>
        <v>gr</v>
      </c>
      <c r="F590" s="136"/>
      <c r="G590" s="138">
        <f>SUM(G591:G597)</f>
        <v>17665</v>
      </c>
      <c r="H590" s="139">
        <v>0.1</v>
      </c>
      <c r="I590" s="138">
        <f>G590+(G590*H590)</f>
        <v>19431.5</v>
      </c>
      <c r="J590" s="180">
        <v>15</v>
      </c>
      <c r="K590" s="138">
        <f>I590/J590</f>
        <v>1295.4333333333334</v>
      </c>
      <c r="L590" s="168">
        <f>D590/J590</f>
        <v>29.066666666666666</v>
      </c>
    </row>
    <row r="591" spans="1:12" ht="13">
      <c r="A591" s="4"/>
      <c r="B591" s="4"/>
      <c r="C591" s="4" t="s">
        <v>1235</v>
      </c>
      <c r="D591" s="166">
        <v>1</v>
      </c>
      <c r="E591" s="4" t="str">
        <f>VLOOKUP(C591,Master!$B$6:$N$1000,9,FALSE)</f>
        <v>pcs</v>
      </c>
      <c r="F591" s="144">
        <f>VLOOKUP(C591,Master!$B$7:$N$1000,10,FALSE)</f>
        <v>10000</v>
      </c>
      <c r="G591" s="144">
        <f t="shared" ref="G591:G597" si="60">D591*F591</f>
        <v>10000</v>
      </c>
      <c r="H591" s="4"/>
      <c r="I591" s="4"/>
      <c r="J591" s="4"/>
      <c r="K591" s="4"/>
      <c r="L591" s="4"/>
    </row>
    <row r="592" spans="1:12" ht="13">
      <c r="A592" s="4"/>
      <c r="B592" s="4"/>
      <c r="C592" s="4" t="s">
        <v>2045</v>
      </c>
      <c r="D592" s="166">
        <v>400</v>
      </c>
      <c r="E592" s="4" t="str">
        <f>VLOOKUP(C592,Master!$B$6:$N$1000,9,FALSE)</f>
        <v>gr</v>
      </c>
      <c r="F592" s="144">
        <f>VLOOKUP(C592,Master!$B$7:$N$1000,10,FALSE)</f>
        <v>14.25</v>
      </c>
      <c r="G592" s="144">
        <f t="shared" si="60"/>
        <v>5700</v>
      </c>
      <c r="H592" s="4"/>
      <c r="I592" s="4"/>
      <c r="J592" s="4"/>
      <c r="K592" s="4"/>
      <c r="L592" s="4"/>
    </row>
    <row r="593" spans="1:12" ht="13">
      <c r="A593" s="4"/>
      <c r="B593" s="4"/>
      <c r="C593" s="4" t="s">
        <v>819</v>
      </c>
      <c r="D593" s="166">
        <v>15</v>
      </c>
      <c r="E593" s="4" t="str">
        <f>VLOOKUP(C593,Master!$B$6:$N$1000,9,FALSE)</f>
        <v>gr</v>
      </c>
      <c r="F593" s="144">
        <f>VLOOKUP(C593,Master!$B$7:$N$1000,10,FALSE)</f>
        <v>13</v>
      </c>
      <c r="G593" s="144">
        <f t="shared" si="60"/>
        <v>195</v>
      </c>
      <c r="H593" s="4"/>
      <c r="I593" s="4"/>
      <c r="J593" s="4"/>
      <c r="K593" s="4"/>
      <c r="L593" s="4"/>
    </row>
    <row r="594" spans="1:12" ht="13">
      <c r="A594" s="4"/>
      <c r="B594" s="4"/>
      <c r="C594" s="4" t="s">
        <v>2043</v>
      </c>
      <c r="D594" s="166">
        <v>15</v>
      </c>
      <c r="E594" s="4" t="str">
        <f>VLOOKUP(C594,Master!$B$6:$N$1000,9,FALSE)</f>
        <v>gr</v>
      </c>
      <c r="F594" s="144">
        <f>VLOOKUP(C594,Master!$B$7:$N$1000,10,FALSE)</f>
        <v>38.5</v>
      </c>
      <c r="G594" s="144">
        <f t="shared" si="60"/>
        <v>577.5</v>
      </c>
      <c r="H594" s="4"/>
      <c r="I594" s="4"/>
      <c r="J594" s="4"/>
      <c r="K594" s="4"/>
      <c r="L594" s="4"/>
    </row>
    <row r="595" spans="1:12" ht="13">
      <c r="A595" s="4"/>
      <c r="B595" s="4"/>
      <c r="C595" s="4" t="s">
        <v>764</v>
      </c>
      <c r="D595" s="166">
        <v>5</v>
      </c>
      <c r="E595" s="4" t="str">
        <f>VLOOKUP(C595,Master!$B$6:$N$1000,9,FALSE)</f>
        <v>gr</v>
      </c>
      <c r="F595" s="144">
        <f>VLOOKUP(C595,Master!$B$7:$N$1000,10,FALSE)</f>
        <v>15</v>
      </c>
      <c r="G595" s="144">
        <f t="shared" si="60"/>
        <v>75</v>
      </c>
      <c r="H595" s="4"/>
      <c r="I595" s="4"/>
      <c r="J595" s="4"/>
      <c r="K595" s="4"/>
      <c r="L595" s="4"/>
    </row>
    <row r="596" spans="1:12" ht="13">
      <c r="A596" s="4"/>
      <c r="B596" s="4"/>
      <c r="C596" s="4" t="s">
        <v>799</v>
      </c>
      <c r="D596" s="166">
        <v>5</v>
      </c>
      <c r="E596" s="4" t="str">
        <f>VLOOKUP(C596,Master!$B$6:$N$1000,9,FALSE)</f>
        <v>gr</v>
      </c>
      <c r="F596" s="144">
        <f>VLOOKUP(C596,Master!$B$7:$N$1000,10,FALSE)</f>
        <v>90</v>
      </c>
      <c r="G596" s="144">
        <f t="shared" si="60"/>
        <v>450</v>
      </c>
      <c r="H596" s="4"/>
      <c r="I596" s="4"/>
      <c r="J596" s="4"/>
      <c r="K596" s="4"/>
      <c r="L596" s="4"/>
    </row>
    <row r="597" spans="1:12" ht="13">
      <c r="A597" s="4"/>
      <c r="B597" s="4"/>
      <c r="C597" s="4" t="s">
        <v>1000</v>
      </c>
      <c r="D597" s="166">
        <v>15</v>
      </c>
      <c r="E597" s="4" t="str">
        <f>VLOOKUP(C597,Master!$B$6:$N$1000,9,FALSE)</f>
        <v>gr</v>
      </c>
      <c r="F597" s="144">
        <f>VLOOKUP(C597,Master!$B$7:$N$1000,10,FALSE)</f>
        <v>44.5</v>
      </c>
      <c r="G597" s="144">
        <f t="shared" si="60"/>
        <v>667.5</v>
      </c>
      <c r="H597" s="4"/>
      <c r="I597" s="4"/>
      <c r="J597" s="4"/>
      <c r="K597" s="4"/>
      <c r="L597" s="4"/>
    </row>
    <row r="598" spans="1:12" ht="13">
      <c r="A598" s="4"/>
      <c r="B598" s="4"/>
      <c r="C598" s="4"/>
      <c r="D598" s="4"/>
      <c r="E598" s="4"/>
      <c r="F598" s="4"/>
      <c r="G598" s="4"/>
      <c r="H598" s="4"/>
      <c r="I598" s="4"/>
      <c r="J598" s="4"/>
      <c r="K598" s="4"/>
      <c r="L598" s="4"/>
    </row>
    <row r="599" spans="1:12" ht="13">
      <c r="A599" s="183">
        <v>39</v>
      </c>
      <c r="B599" s="135" t="s">
        <v>504</v>
      </c>
      <c r="C599" s="136"/>
      <c r="D599" s="180">
        <f>SUM(D600:D604)</f>
        <v>36</v>
      </c>
      <c r="E599" s="135" t="str">
        <f>VLOOKUP(B599,Master!$B$7:$N$316,7,FALSE)</f>
        <v>gr</v>
      </c>
      <c r="F599" s="136"/>
      <c r="G599" s="138">
        <f>SUM(G600:G606)</f>
        <v>4408</v>
      </c>
      <c r="H599" s="139">
        <v>0.1</v>
      </c>
      <c r="I599" s="138">
        <f>G599+(G599*H599)</f>
        <v>4848.8</v>
      </c>
      <c r="J599" s="180">
        <v>5</v>
      </c>
      <c r="K599" s="138">
        <f>I599/J599</f>
        <v>969.76</v>
      </c>
      <c r="L599" s="168">
        <f>D599/J599</f>
        <v>7.2</v>
      </c>
    </row>
    <row r="600" spans="1:12" ht="13">
      <c r="A600" s="4"/>
      <c r="B600" s="4"/>
      <c r="C600" s="4" t="s">
        <v>1278</v>
      </c>
      <c r="D600" s="166">
        <v>1</v>
      </c>
      <c r="E600" s="4" t="str">
        <f>VLOOKUP(C600,Master!$B$6:$N$1000,9,FALSE)</f>
        <v>pcs</v>
      </c>
      <c r="F600" s="144">
        <f>VLOOKUP(C600,Master!$B$7:$N$1000,10,FALSE)</f>
        <v>3000</v>
      </c>
      <c r="G600" s="144">
        <f t="shared" ref="G600:G606" si="61">D600*F600</f>
        <v>3000</v>
      </c>
      <c r="H600" s="4"/>
      <c r="I600" s="4"/>
      <c r="J600" s="4"/>
      <c r="K600" s="4"/>
      <c r="L600" s="4"/>
    </row>
    <row r="601" spans="1:12" ht="13">
      <c r="A601" s="4"/>
      <c r="B601" s="4"/>
      <c r="C601" s="4" t="s">
        <v>799</v>
      </c>
      <c r="D601" s="166">
        <v>5</v>
      </c>
      <c r="E601" s="4" t="str">
        <f>VLOOKUP(C601,Master!$B$6:$N$1000,9,FALSE)</f>
        <v>gr</v>
      </c>
      <c r="F601" s="144">
        <f>VLOOKUP(C601,Master!$B$7:$N$1000,10,FALSE)</f>
        <v>90</v>
      </c>
      <c r="G601" s="144">
        <f t="shared" si="61"/>
        <v>450</v>
      </c>
      <c r="H601" s="4"/>
      <c r="I601" s="4"/>
      <c r="J601" s="4"/>
      <c r="K601" s="4"/>
      <c r="L601" s="4"/>
    </row>
    <row r="602" spans="1:12" ht="13">
      <c r="A602" s="4"/>
      <c r="B602" s="4"/>
      <c r="C602" s="4" t="s">
        <v>764</v>
      </c>
      <c r="D602" s="166">
        <v>5</v>
      </c>
      <c r="E602" s="4" t="str">
        <f>VLOOKUP(C602,Master!$B$6:$N$1000,9,FALSE)</f>
        <v>gr</v>
      </c>
      <c r="F602" s="144">
        <f>VLOOKUP(C602,Master!$B$7:$N$1000,10,FALSE)</f>
        <v>15</v>
      </c>
      <c r="G602" s="144">
        <f t="shared" si="61"/>
        <v>75</v>
      </c>
      <c r="H602" s="4"/>
      <c r="I602" s="4"/>
      <c r="J602" s="4"/>
      <c r="K602" s="4"/>
      <c r="L602" s="4"/>
    </row>
    <row r="603" spans="1:12" ht="13">
      <c r="A603" s="4"/>
      <c r="B603" s="4"/>
      <c r="C603" s="4" t="s">
        <v>2058</v>
      </c>
      <c r="D603" s="166">
        <v>20</v>
      </c>
      <c r="E603" s="4" t="str">
        <f>VLOOKUP(C603,Master!$B$6:$N$1000,9,FALSE)</f>
        <v>gr</v>
      </c>
      <c r="F603" s="144">
        <f>VLOOKUP(C603,Master!$B$7:$N$1000,10,FALSE)</f>
        <v>38</v>
      </c>
      <c r="G603" s="144">
        <f t="shared" si="61"/>
        <v>760</v>
      </c>
      <c r="H603" s="4"/>
      <c r="I603" s="4"/>
      <c r="J603" s="4"/>
      <c r="K603" s="4"/>
      <c r="L603" s="4"/>
    </row>
    <row r="604" spans="1:12" ht="13">
      <c r="A604" s="4"/>
      <c r="B604" s="4"/>
      <c r="C604" s="4" t="s">
        <v>815</v>
      </c>
      <c r="D604" s="166">
        <v>5</v>
      </c>
      <c r="E604" s="4" t="str">
        <f>VLOOKUP(C604,Master!$B$6:$N$1000,9,FALSE)</f>
        <v>gr</v>
      </c>
      <c r="F604" s="144">
        <f>VLOOKUP(C604,Master!$B$7:$N$1000,10,FALSE)</f>
        <v>12</v>
      </c>
      <c r="G604" s="144">
        <f t="shared" si="61"/>
        <v>60</v>
      </c>
      <c r="H604" s="4"/>
      <c r="I604" s="4"/>
      <c r="J604" s="4"/>
      <c r="K604" s="4"/>
      <c r="L604" s="4"/>
    </row>
    <row r="605" spans="1:12" ht="13">
      <c r="A605" s="4"/>
      <c r="B605" s="4"/>
      <c r="C605" s="4" t="s">
        <v>901</v>
      </c>
      <c r="D605" s="166">
        <v>2</v>
      </c>
      <c r="E605" s="4" t="str">
        <f>VLOOKUP(C605,Master!$B$6:$N$1000,9,FALSE)</f>
        <v>gr</v>
      </c>
      <c r="F605" s="144">
        <f>VLOOKUP(C605,Master!$B$7:$N$1000,10,FALSE)</f>
        <v>12</v>
      </c>
      <c r="G605" s="144">
        <f t="shared" si="61"/>
        <v>24</v>
      </c>
      <c r="H605" s="4"/>
      <c r="I605" s="4"/>
      <c r="J605" s="4"/>
      <c r="K605" s="4"/>
      <c r="L605" s="4"/>
    </row>
    <row r="606" spans="1:12" ht="13">
      <c r="A606" s="4"/>
      <c r="B606" s="4"/>
      <c r="C606" s="4" t="s">
        <v>1152</v>
      </c>
      <c r="D606" s="166">
        <v>3</v>
      </c>
      <c r="E606" s="4" t="str">
        <f>VLOOKUP(C606,Master!$B$6:$N$1000,9,FALSE)</f>
        <v>gr</v>
      </c>
      <c r="F606" s="144">
        <f>VLOOKUP(C606,Master!$B$7:$N$1000,10,FALSE)</f>
        <v>13</v>
      </c>
      <c r="G606" s="144">
        <f t="shared" si="61"/>
        <v>39</v>
      </c>
      <c r="H606" s="4"/>
      <c r="I606" s="4"/>
      <c r="J606" s="4"/>
      <c r="K606" s="4"/>
      <c r="L606" s="4"/>
    </row>
    <row r="607" spans="1:12" ht="13">
      <c r="A607" s="4"/>
      <c r="B607" s="4"/>
      <c r="C607" s="4"/>
      <c r="D607" s="166"/>
      <c r="E607" s="4"/>
      <c r="F607" s="144"/>
      <c r="G607" s="144"/>
      <c r="H607" s="4"/>
      <c r="I607" s="4"/>
      <c r="J607" s="4"/>
      <c r="K607" s="4"/>
      <c r="L607" s="4"/>
    </row>
    <row r="608" spans="1:12" ht="13">
      <c r="A608" s="183">
        <v>39</v>
      </c>
      <c r="B608" s="135" t="s">
        <v>508</v>
      </c>
      <c r="C608" s="136"/>
      <c r="D608" s="180">
        <f>SUM(D609:D613)</f>
        <v>685</v>
      </c>
      <c r="E608" s="135" t="str">
        <f>VLOOKUP(B608,Master!$B$7:$N$316,7,FALSE)</f>
        <v>gr</v>
      </c>
      <c r="F608" s="136"/>
      <c r="G608" s="138">
        <f>SUM(G609:G611)</f>
        <v>14566.315789473685</v>
      </c>
      <c r="H608" s="139">
        <v>0.1</v>
      </c>
      <c r="I608" s="138">
        <f>G608+(G608*H608)</f>
        <v>16022.947368421053</v>
      </c>
      <c r="J608" s="180">
        <v>25</v>
      </c>
      <c r="K608" s="138">
        <f>I608/J608</f>
        <v>640.91789473684219</v>
      </c>
      <c r="L608" s="168">
        <f>D608/J608</f>
        <v>27.4</v>
      </c>
    </row>
    <row r="609" spans="1:12" ht="13">
      <c r="A609" s="4"/>
      <c r="B609" s="4"/>
      <c r="C609" s="4" t="s">
        <v>1138</v>
      </c>
      <c r="D609" s="166">
        <v>250</v>
      </c>
      <c r="E609" s="4" t="str">
        <f>VLOOKUP(C609,Master!$B$6:$N$1000,9,FALSE)</f>
        <v>gr</v>
      </c>
      <c r="F609" s="144">
        <f>VLOOKUP(C609,Master!$B$7:$N$1000,10,FALSE)</f>
        <v>42</v>
      </c>
      <c r="G609" s="144">
        <f t="shared" ref="G609:G611" si="62">D609*F609</f>
        <v>10500</v>
      </c>
      <c r="H609" s="4"/>
      <c r="I609" s="4"/>
      <c r="J609" s="4"/>
      <c r="K609" s="4"/>
      <c r="L609" s="4"/>
    </row>
    <row r="610" spans="1:12" ht="13">
      <c r="A610" s="4"/>
      <c r="B610" s="4"/>
      <c r="C610" s="4" t="s">
        <v>712</v>
      </c>
      <c r="D610" s="166">
        <v>100</v>
      </c>
      <c r="E610" s="4" t="str">
        <f>VLOOKUP(C610,Master!$B$6:$N$1000,9,FALSE)</f>
        <v>gr</v>
      </c>
      <c r="F610" s="144">
        <f>VLOOKUP(C610,Master!$B$7:$N$1000,10,FALSE)</f>
        <v>40</v>
      </c>
      <c r="G610" s="144">
        <f t="shared" si="62"/>
        <v>4000</v>
      </c>
      <c r="H610" s="4"/>
      <c r="I610" s="4"/>
      <c r="J610" s="4"/>
      <c r="K610" s="4"/>
      <c r="L610" s="4"/>
    </row>
    <row r="611" spans="1:12" ht="13">
      <c r="A611" s="4"/>
      <c r="B611" s="4"/>
      <c r="C611" s="4" t="s">
        <v>2052</v>
      </c>
      <c r="D611" s="166">
        <v>100</v>
      </c>
      <c r="E611" s="4" t="str">
        <f>VLOOKUP(C611,Master!$B$6:$N$1000,9,FALSE)</f>
        <v>ml</v>
      </c>
      <c r="F611" s="144">
        <f>VLOOKUP(C611,Master!$B$7:$N$1000,10,FALSE)</f>
        <v>0.66315789473684206</v>
      </c>
      <c r="G611" s="144">
        <f t="shared" si="62"/>
        <v>66.315789473684205</v>
      </c>
      <c r="H611" s="4"/>
      <c r="I611" s="4"/>
      <c r="J611" s="4"/>
      <c r="K611" s="4"/>
      <c r="L611" s="4"/>
    </row>
    <row r="612" spans="1:12" ht="13">
      <c r="A612" s="4"/>
      <c r="B612" s="4"/>
      <c r="C612" s="4"/>
      <c r="D612" s="166"/>
      <c r="E612" s="4"/>
      <c r="F612" s="144"/>
      <c r="G612" s="144"/>
      <c r="H612" s="4"/>
      <c r="I612" s="4"/>
      <c r="J612" s="4"/>
      <c r="K612" s="4"/>
      <c r="L612" s="4"/>
    </row>
    <row r="613" spans="1:12" ht="13">
      <c r="A613" s="183">
        <v>39</v>
      </c>
      <c r="B613" s="135" t="s">
        <v>516</v>
      </c>
      <c r="C613" s="136"/>
      <c r="D613" s="180">
        <f>SUM(D614:D618)</f>
        <v>235</v>
      </c>
      <c r="E613" s="135" t="str">
        <f>VLOOKUP(B613,Master!$B$7:$N$316,7,FALSE)</f>
        <v>gr</v>
      </c>
      <c r="F613" s="136"/>
      <c r="G613" s="138">
        <f>SUM(G614:G615)</f>
        <v>5924.4444444444443</v>
      </c>
      <c r="H613" s="139">
        <v>0.1</v>
      </c>
      <c r="I613" s="138">
        <f>G613+(G613*H613)</f>
        <v>6516.8888888888887</v>
      </c>
      <c r="J613" s="180">
        <v>4</v>
      </c>
      <c r="K613" s="138">
        <f>I613/J613</f>
        <v>1629.2222222222222</v>
      </c>
      <c r="L613" s="168">
        <f>D613/J613</f>
        <v>58.75</v>
      </c>
    </row>
    <row r="614" spans="1:12" ht="13">
      <c r="A614" s="4"/>
      <c r="B614" s="4"/>
      <c r="C614" s="4" t="s">
        <v>2019</v>
      </c>
      <c r="D614" s="166">
        <v>100</v>
      </c>
      <c r="E614" s="4" t="str">
        <f>VLOOKUP(C614,Master!$B$6:$N$1000,9,FALSE)</f>
        <v>gr</v>
      </c>
      <c r="F614" s="144">
        <f>VLOOKUP(C614,Master!$B$7:$N$1000,10,FALSE)</f>
        <v>56</v>
      </c>
      <c r="G614" s="144">
        <f t="shared" ref="G614:G615" si="63">D614*F614</f>
        <v>5600</v>
      </c>
      <c r="H614" s="4"/>
      <c r="I614" s="4"/>
      <c r="J614" s="4"/>
      <c r="K614" s="4"/>
      <c r="L614" s="4"/>
    </row>
    <row r="615" spans="1:12" ht="13">
      <c r="A615" s="4"/>
      <c r="B615" s="4"/>
      <c r="C615" s="4" t="s">
        <v>1988</v>
      </c>
      <c r="D615" s="166">
        <v>20</v>
      </c>
      <c r="E615" s="4" t="str">
        <f>VLOOKUP(C615,Master!$B$6:$N$1000,9,FALSE)</f>
        <v>ml</v>
      </c>
      <c r="F615" s="144">
        <f>VLOOKUP(C615,Master!$B$7:$N$1000,10,FALSE)</f>
        <v>16.222222222222221</v>
      </c>
      <c r="G615" s="144">
        <f t="shared" si="63"/>
        <v>324.44444444444446</v>
      </c>
      <c r="H615" s="4"/>
      <c r="I615" s="4"/>
      <c r="J615" s="4"/>
      <c r="K615" s="4"/>
      <c r="L615" s="4"/>
    </row>
    <row r="616" spans="1:12" ht="13">
      <c r="A616" s="4"/>
      <c r="B616" s="4"/>
      <c r="C616" s="4"/>
      <c r="D616" s="4"/>
      <c r="E616" s="4"/>
      <c r="F616" s="4"/>
      <c r="G616" s="4"/>
      <c r="H616" s="4"/>
      <c r="I616" s="4"/>
      <c r="J616" s="4"/>
      <c r="K616" s="4"/>
      <c r="L616" s="4"/>
    </row>
    <row r="617" spans="1:12" ht="13">
      <c r="A617" s="183">
        <v>39</v>
      </c>
      <c r="B617" s="135" t="s">
        <v>512</v>
      </c>
      <c r="C617" s="136"/>
      <c r="D617" s="180">
        <f>SUM(D618:D622)</f>
        <v>65</v>
      </c>
      <c r="E617" s="135" t="str">
        <f>VLOOKUP(B617,Master!$B$7:$N$316,7,FALSE)</f>
        <v>gr</v>
      </c>
      <c r="F617" s="136"/>
      <c r="G617" s="138">
        <f>SUM(G618:G623)</f>
        <v>5000.6507936507933</v>
      </c>
      <c r="H617" s="139">
        <v>0.1</v>
      </c>
      <c r="I617" s="138">
        <f>G617+(G617*H617)</f>
        <v>5500.7158730158726</v>
      </c>
      <c r="J617" s="180">
        <v>1</v>
      </c>
      <c r="K617" s="138">
        <f>I617/J617</f>
        <v>5500.7158730158726</v>
      </c>
      <c r="L617" s="168">
        <f>D617/J617</f>
        <v>65</v>
      </c>
    </row>
    <row r="618" spans="1:12" ht="13">
      <c r="A618" s="4"/>
      <c r="B618" s="4"/>
      <c r="C618" s="4" t="s">
        <v>1265</v>
      </c>
      <c r="D618" s="166">
        <v>50</v>
      </c>
      <c r="E618" s="4" t="str">
        <f>VLOOKUP(C618,Master!$B$6:$N$1000,9,FALSE)</f>
        <v>gr</v>
      </c>
      <c r="F618" s="144">
        <f>VLOOKUP(C618,Master!$B$7:$N$1000,10,FALSE)</f>
        <v>15</v>
      </c>
      <c r="G618" s="144">
        <f t="shared" ref="G618:G623" si="64">D618*F618</f>
        <v>750</v>
      </c>
      <c r="H618" s="4"/>
      <c r="I618" s="4"/>
      <c r="J618" s="4"/>
      <c r="K618" s="4"/>
      <c r="L618" s="4"/>
    </row>
    <row r="619" spans="1:12" ht="13">
      <c r="A619" s="4"/>
      <c r="B619" s="4"/>
      <c r="C619" s="4" t="s">
        <v>516</v>
      </c>
      <c r="D619" s="166">
        <v>1</v>
      </c>
      <c r="E619" s="4" t="str">
        <f>VLOOKUP(C619,Master!$B$6:$N$1000,9,FALSE)</f>
        <v>porsi</v>
      </c>
      <c r="F619" s="144">
        <f>VLOOKUP(C619,Master!$B$7:$N$1000,10,FALSE)</f>
        <v>1629.2222222222222</v>
      </c>
      <c r="G619" s="144">
        <f t="shared" si="64"/>
        <v>1629.2222222222222</v>
      </c>
      <c r="H619" s="4"/>
      <c r="I619" s="4"/>
      <c r="J619" s="4"/>
      <c r="K619" s="4"/>
      <c r="L619" s="4"/>
    </row>
    <row r="620" spans="1:12" ht="13">
      <c r="A620" s="4"/>
      <c r="B620" s="4"/>
      <c r="C620" s="4" t="s">
        <v>1281</v>
      </c>
      <c r="D620" s="166">
        <v>4</v>
      </c>
      <c r="E620" s="4" t="str">
        <f>VLOOKUP(C620,Master!$B$6:$N$1000,9,FALSE)</f>
        <v>pcs</v>
      </c>
      <c r="F620" s="144">
        <f>VLOOKUP(C620,Master!$B$7:$N$1000,10,FALSE)</f>
        <v>400</v>
      </c>
      <c r="G620" s="144">
        <f t="shared" si="64"/>
        <v>1600</v>
      </c>
      <c r="H620" s="4"/>
      <c r="I620" s="4"/>
      <c r="J620" s="4"/>
      <c r="K620" s="4"/>
      <c r="L620" s="4"/>
    </row>
    <row r="621" spans="1:12" ht="13">
      <c r="A621" s="4"/>
      <c r="B621" s="4"/>
      <c r="C621" s="4" t="s">
        <v>2060</v>
      </c>
      <c r="D621" s="166">
        <v>5</v>
      </c>
      <c r="E621" s="4" t="str">
        <f>VLOOKUP(C621,Master!$B$6:$N$1000,9,FALSE)</f>
        <v>gr</v>
      </c>
      <c r="F621" s="144">
        <f>VLOOKUP(C621,Master!$B$7:$N$1000,10,FALSE)</f>
        <v>74.285714285714292</v>
      </c>
      <c r="G621" s="144">
        <f t="shared" si="64"/>
        <v>371.42857142857144</v>
      </c>
      <c r="H621" s="4"/>
      <c r="I621" s="4"/>
      <c r="J621" s="4"/>
      <c r="K621" s="4"/>
      <c r="L621" s="4"/>
    </row>
    <row r="622" spans="1:12" ht="13">
      <c r="A622" s="4"/>
      <c r="B622" s="4"/>
      <c r="C622" s="4" t="s">
        <v>782</v>
      </c>
      <c r="D622" s="166">
        <v>5</v>
      </c>
      <c r="E622" s="4" t="str">
        <f>VLOOKUP(C622,Master!$B$6:$N$1000,9,FALSE)</f>
        <v>gr</v>
      </c>
      <c r="F622" s="144">
        <f>VLOOKUP(C622,Master!$B$7:$N$1000,10,FALSE)</f>
        <v>50</v>
      </c>
      <c r="G622" s="144">
        <f t="shared" si="64"/>
        <v>250</v>
      </c>
      <c r="H622" s="4"/>
      <c r="I622" s="4"/>
      <c r="J622" s="4"/>
      <c r="K622" s="4"/>
      <c r="L622" s="4"/>
    </row>
    <row r="623" spans="1:12" ht="13">
      <c r="A623" s="4"/>
      <c r="B623" s="4"/>
      <c r="C623" s="4" t="s">
        <v>940</v>
      </c>
      <c r="D623" s="166">
        <v>2</v>
      </c>
      <c r="E623" s="4" t="str">
        <f>VLOOKUP(C623,Master!$B$6:$N$1000,9,FALSE)</f>
        <v>gr</v>
      </c>
      <c r="F623" s="144">
        <f>VLOOKUP(C623,Master!$B$7:$N$1000,10,FALSE)</f>
        <v>200</v>
      </c>
      <c r="G623" s="144">
        <f t="shared" si="64"/>
        <v>400</v>
      </c>
      <c r="H623" s="4"/>
      <c r="I623" s="4"/>
      <c r="J623" s="4"/>
      <c r="K623" s="4"/>
      <c r="L623" s="4"/>
    </row>
    <row r="624" spans="1:12" ht="13">
      <c r="A624" s="4"/>
      <c r="B624" s="4"/>
      <c r="C624" s="4"/>
      <c r="D624" s="4"/>
      <c r="E624" s="4"/>
      <c r="F624" s="4"/>
      <c r="G624" s="4"/>
      <c r="H624" s="4"/>
      <c r="I624" s="4"/>
      <c r="J624" s="4"/>
      <c r="K624" s="4"/>
      <c r="L624" s="4"/>
    </row>
    <row r="625" spans="1:12" ht="13">
      <c r="A625" s="4"/>
      <c r="B625" s="4"/>
      <c r="C625" s="4"/>
      <c r="D625" s="4"/>
      <c r="E625" s="4"/>
      <c r="F625" s="4"/>
      <c r="G625" s="4"/>
      <c r="H625" s="4"/>
      <c r="I625" s="4"/>
      <c r="J625" s="4"/>
      <c r="K625" s="4"/>
      <c r="L625" s="4"/>
    </row>
    <row r="626" spans="1:12" ht="13">
      <c r="A626" s="4"/>
      <c r="B626" s="4"/>
      <c r="C626" s="4"/>
      <c r="D626" s="4"/>
      <c r="E626" s="4"/>
      <c r="F626" s="4"/>
      <c r="G626" s="4"/>
      <c r="H626" s="4"/>
      <c r="I626" s="4"/>
      <c r="J626" s="4"/>
      <c r="K626" s="4"/>
      <c r="L626" s="4"/>
    </row>
    <row r="627" spans="1:12" ht="13">
      <c r="A627" s="4"/>
      <c r="B627" s="4"/>
      <c r="C627" s="4"/>
      <c r="D627" s="4"/>
      <c r="E627" s="4"/>
      <c r="F627" s="4"/>
      <c r="G627" s="4"/>
      <c r="H627" s="4"/>
      <c r="I627" s="4"/>
      <c r="J627" s="4"/>
      <c r="K627" s="4"/>
      <c r="L627" s="4"/>
    </row>
    <row r="628" spans="1:12" ht="13">
      <c r="A628" s="4"/>
      <c r="B628" s="4"/>
      <c r="C628" s="4"/>
      <c r="D628" s="4"/>
      <c r="E628" s="4"/>
      <c r="F628" s="4"/>
      <c r="G628" s="4"/>
      <c r="H628" s="4"/>
      <c r="I628" s="4"/>
      <c r="J628" s="4"/>
      <c r="K628" s="4"/>
      <c r="L628" s="4"/>
    </row>
    <row r="629" spans="1:12" ht="13">
      <c r="A629" s="4"/>
      <c r="B629" s="4"/>
      <c r="C629" s="4"/>
      <c r="D629" s="4"/>
      <c r="E629" s="4"/>
      <c r="F629" s="4"/>
      <c r="G629" s="4"/>
      <c r="H629" s="4"/>
      <c r="I629" s="4"/>
      <c r="J629" s="4"/>
      <c r="K629" s="4"/>
      <c r="L629" s="4"/>
    </row>
    <row r="630" spans="1:12" ht="13">
      <c r="A630" s="4"/>
      <c r="B630" s="4"/>
      <c r="C630" s="4"/>
      <c r="D630" s="4"/>
      <c r="E630" s="4"/>
      <c r="F630" s="4"/>
      <c r="G630" s="4"/>
      <c r="H630" s="4"/>
      <c r="I630" s="4"/>
      <c r="J630" s="4"/>
      <c r="K630" s="4"/>
      <c r="L630" s="4"/>
    </row>
    <row r="631" spans="1:12" ht="13">
      <c r="A631" s="4"/>
      <c r="B631" s="4"/>
      <c r="C631" s="4"/>
      <c r="D631" s="4"/>
      <c r="E631" s="4"/>
      <c r="F631" s="4"/>
      <c r="G631" s="4"/>
      <c r="H631" s="4"/>
      <c r="I631" s="4"/>
      <c r="J631" s="4"/>
      <c r="K631" s="4"/>
      <c r="L631" s="4"/>
    </row>
    <row r="632" spans="1:12" ht="13">
      <c r="A632" s="4"/>
      <c r="B632" s="4"/>
      <c r="C632" s="4"/>
      <c r="D632" s="4"/>
      <c r="E632" s="4"/>
      <c r="F632" s="4"/>
      <c r="G632" s="4"/>
      <c r="H632" s="4"/>
      <c r="I632" s="4"/>
      <c r="J632" s="4"/>
      <c r="K632" s="4"/>
      <c r="L632" s="4"/>
    </row>
    <row r="633" spans="1:12" ht="13">
      <c r="A633" s="4"/>
      <c r="B633" s="4"/>
      <c r="C633" s="4"/>
      <c r="D633" s="4"/>
      <c r="E633" s="4"/>
      <c r="F633" s="4"/>
      <c r="G633" s="4"/>
      <c r="H633" s="4"/>
      <c r="I633" s="4"/>
      <c r="J633" s="4"/>
      <c r="K633" s="4"/>
      <c r="L633" s="4"/>
    </row>
    <row r="634" spans="1:12" ht="13">
      <c r="A634" s="4"/>
      <c r="B634" s="4"/>
      <c r="C634" s="4"/>
      <c r="D634" s="4"/>
      <c r="E634" s="4"/>
      <c r="F634" s="4"/>
      <c r="G634" s="4"/>
      <c r="H634" s="4"/>
      <c r="I634" s="4"/>
      <c r="J634" s="4"/>
      <c r="K634" s="4"/>
      <c r="L634" s="4"/>
    </row>
    <row r="635" spans="1:12" ht="13">
      <c r="A635" s="4"/>
      <c r="B635" s="4"/>
      <c r="C635" s="4"/>
      <c r="D635" s="4"/>
      <c r="E635" s="4"/>
      <c r="F635" s="4"/>
      <c r="G635" s="4"/>
      <c r="H635" s="4"/>
      <c r="I635" s="4"/>
      <c r="J635" s="4"/>
      <c r="K635" s="4"/>
      <c r="L635" s="4"/>
    </row>
    <row r="636" spans="1:12" ht="13">
      <c r="A636" s="4"/>
      <c r="B636" s="4"/>
      <c r="C636" s="4"/>
      <c r="D636" s="4"/>
      <c r="E636" s="4"/>
      <c r="F636" s="4"/>
      <c r="G636" s="4"/>
      <c r="H636" s="4"/>
      <c r="I636" s="4"/>
      <c r="J636" s="4"/>
      <c r="K636" s="4"/>
      <c r="L636" s="4"/>
    </row>
    <row r="637" spans="1:12" ht="13">
      <c r="A637" s="4"/>
      <c r="B637" s="4"/>
      <c r="C637" s="4"/>
      <c r="D637" s="4"/>
      <c r="E637" s="4"/>
      <c r="F637" s="4"/>
      <c r="G637" s="4"/>
      <c r="H637" s="4"/>
      <c r="I637" s="4"/>
      <c r="J637" s="4"/>
      <c r="K637" s="4"/>
      <c r="L637" s="4"/>
    </row>
    <row r="638" spans="1:12" ht="13">
      <c r="A638" s="4"/>
      <c r="B638" s="4"/>
      <c r="C638" s="4"/>
      <c r="D638" s="4"/>
      <c r="E638" s="4"/>
      <c r="F638" s="4"/>
      <c r="G638" s="4"/>
      <c r="H638" s="4"/>
      <c r="I638" s="4"/>
      <c r="J638" s="4"/>
      <c r="K638" s="4"/>
      <c r="L638" s="4"/>
    </row>
    <row r="639" spans="1:12" ht="13">
      <c r="A639" s="4"/>
      <c r="B639" s="4"/>
      <c r="C639" s="4"/>
      <c r="D639" s="4"/>
      <c r="E639" s="4"/>
      <c r="F639" s="4"/>
      <c r="G639" s="4"/>
      <c r="H639" s="4"/>
      <c r="I639" s="4"/>
      <c r="J639" s="4"/>
      <c r="K639" s="4"/>
      <c r="L639" s="4"/>
    </row>
    <row r="640" spans="1:12" ht="13">
      <c r="A640" s="4"/>
      <c r="B640" s="4"/>
      <c r="C640" s="4"/>
      <c r="D640" s="4"/>
      <c r="E640" s="4"/>
      <c r="F640" s="4"/>
      <c r="G640" s="4"/>
      <c r="H640" s="4"/>
      <c r="I640" s="4"/>
      <c r="J640" s="4"/>
      <c r="K640" s="4"/>
      <c r="L640" s="4"/>
    </row>
    <row r="641" spans="1:12" ht="13">
      <c r="A641" s="4"/>
      <c r="B641" s="4"/>
      <c r="C641" s="4"/>
      <c r="D641" s="4"/>
      <c r="E641" s="4"/>
      <c r="F641" s="4"/>
      <c r="G641" s="4"/>
      <c r="H641" s="4"/>
      <c r="I641" s="4"/>
      <c r="J641" s="4"/>
      <c r="K641" s="4"/>
      <c r="L641" s="4"/>
    </row>
    <row r="642" spans="1:12" ht="13">
      <c r="A642" s="4"/>
      <c r="B642" s="4"/>
      <c r="C642" s="4"/>
      <c r="D642" s="4"/>
      <c r="E642" s="4"/>
      <c r="F642" s="4"/>
      <c r="G642" s="4"/>
      <c r="H642" s="4"/>
      <c r="I642" s="4"/>
      <c r="J642" s="4"/>
      <c r="K642" s="4"/>
      <c r="L642" s="4"/>
    </row>
    <row r="643" spans="1:12" ht="13">
      <c r="A643" s="4"/>
      <c r="B643" s="4"/>
      <c r="C643" s="4"/>
      <c r="D643" s="4"/>
      <c r="E643" s="4"/>
      <c r="F643" s="4"/>
      <c r="G643" s="4"/>
      <c r="H643" s="4"/>
      <c r="I643" s="4"/>
      <c r="J643" s="4"/>
      <c r="K643" s="4"/>
      <c r="L643" s="4"/>
    </row>
    <row r="644" spans="1:12" ht="13">
      <c r="A644" s="4"/>
      <c r="B644" s="4"/>
      <c r="C644" s="4"/>
      <c r="D644" s="4"/>
      <c r="E644" s="4"/>
      <c r="F644" s="4"/>
      <c r="G644" s="4"/>
      <c r="H644" s="4"/>
      <c r="I644" s="4"/>
      <c r="J644" s="4"/>
      <c r="K644" s="4"/>
      <c r="L644" s="4"/>
    </row>
    <row r="645" spans="1:12" ht="13">
      <c r="A645" s="4"/>
      <c r="B645" s="4"/>
      <c r="C645" s="4"/>
      <c r="D645" s="4"/>
      <c r="E645" s="4"/>
      <c r="F645" s="4"/>
      <c r="G645" s="4"/>
      <c r="H645" s="4"/>
      <c r="I645" s="4"/>
      <c r="J645" s="4"/>
      <c r="K645" s="4"/>
      <c r="L645" s="4"/>
    </row>
    <row r="646" spans="1:12" ht="13">
      <c r="A646" s="4"/>
      <c r="B646" s="4"/>
      <c r="C646" s="4"/>
      <c r="D646" s="4"/>
      <c r="E646" s="4"/>
      <c r="F646" s="4"/>
      <c r="G646" s="4"/>
      <c r="H646" s="4"/>
      <c r="I646" s="4"/>
      <c r="J646" s="4"/>
      <c r="K646" s="4"/>
      <c r="L646" s="4"/>
    </row>
    <row r="647" spans="1:12" ht="13">
      <c r="A647" s="4"/>
      <c r="B647" s="4"/>
      <c r="C647" s="4"/>
      <c r="D647" s="4"/>
      <c r="E647" s="4"/>
      <c r="F647" s="4"/>
      <c r="G647" s="4"/>
      <c r="H647" s="4"/>
      <c r="I647" s="4"/>
      <c r="J647" s="4"/>
      <c r="K647" s="4"/>
      <c r="L647" s="4"/>
    </row>
    <row r="648" spans="1:12" ht="13">
      <c r="A648" s="4"/>
      <c r="B648" s="4"/>
      <c r="C648" s="4"/>
      <c r="D648" s="4"/>
      <c r="E648" s="4"/>
      <c r="F648" s="4"/>
      <c r="G648" s="4"/>
      <c r="H648" s="4"/>
      <c r="I648" s="4"/>
      <c r="J648" s="4"/>
      <c r="K648" s="4"/>
      <c r="L648" s="4"/>
    </row>
    <row r="649" spans="1:12" ht="13">
      <c r="A649" s="4"/>
      <c r="B649" s="4"/>
      <c r="C649" s="4"/>
      <c r="D649" s="4"/>
      <c r="E649" s="4"/>
      <c r="F649" s="4"/>
      <c r="G649" s="4"/>
      <c r="H649" s="4"/>
      <c r="I649" s="4"/>
      <c r="J649" s="4"/>
      <c r="K649" s="4"/>
      <c r="L649" s="4"/>
    </row>
    <row r="650" spans="1:12" ht="13">
      <c r="A650" s="4"/>
      <c r="B650" s="4"/>
      <c r="C650" s="4"/>
      <c r="D650" s="4"/>
      <c r="E650" s="4"/>
      <c r="F650" s="4"/>
      <c r="G650" s="4"/>
      <c r="H650" s="4"/>
      <c r="I650" s="4"/>
      <c r="J650" s="4"/>
      <c r="K650" s="4"/>
      <c r="L650" s="4"/>
    </row>
    <row r="651" spans="1:12" ht="13">
      <c r="A651" s="4"/>
      <c r="B651" s="4"/>
      <c r="C651" s="4"/>
      <c r="D651" s="4"/>
      <c r="E651" s="4"/>
      <c r="F651" s="4"/>
      <c r="G651" s="4"/>
      <c r="H651" s="4"/>
      <c r="I651" s="4"/>
      <c r="J651" s="4"/>
      <c r="K651" s="4"/>
      <c r="L651" s="4"/>
    </row>
    <row r="652" spans="1:12" ht="13">
      <c r="A652" s="4"/>
      <c r="B652" s="4"/>
      <c r="C652" s="4"/>
      <c r="D652" s="4"/>
      <c r="E652" s="4"/>
      <c r="F652" s="4"/>
      <c r="G652" s="4"/>
      <c r="H652" s="4"/>
      <c r="I652" s="4"/>
      <c r="J652" s="4"/>
      <c r="K652" s="4"/>
      <c r="L652" s="4"/>
    </row>
    <row r="653" spans="1:12" ht="13">
      <c r="A653" s="4"/>
      <c r="B653" s="4"/>
      <c r="C653" s="4"/>
      <c r="D653" s="4"/>
      <c r="E653" s="4"/>
      <c r="F653" s="4"/>
      <c r="G653" s="4"/>
      <c r="H653" s="4"/>
      <c r="I653" s="4"/>
      <c r="J653" s="4"/>
      <c r="K653" s="4"/>
      <c r="L653" s="4"/>
    </row>
    <row r="654" spans="1:12" ht="13">
      <c r="A654" s="4"/>
      <c r="B654" s="4"/>
      <c r="C654" s="4"/>
      <c r="D654" s="4"/>
      <c r="E654" s="4"/>
      <c r="F654" s="4"/>
      <c r="G654" s="4"/>
      <c r="H654" s="4"/>
      <c r="I654" s="4"/>
      <c r="J654" s="4"/>
      <c r="K654" s="4"/>
      <c r="L654" s="4"/>
    </row>
    <row r="655" spans="1:12" ht="13">
      <c r="A655" s="4"/>
      <c r="B655" s="4"/>
      <c r="C655" s="4"/>
      <c r="D655" s="4"/>
      <c r="E655" s="4"/>
      <c r="F655" s="4"/>
      <c r="G655" s="4"/>
      <c r="H655" s="4"/>
      <c r="I655" s="4"/>
      <c r="J655" s="4"/>
      <c r="K655" s="4"/>
      <c r="L655" s="4"/>
    </row>
    <row r="656" spans="1:12" ht="13">
      <c r="A656" s="4"/>
      <c r="B656" s="4"/>
      <c r="C656" s="4"/>
      <c r="D656" s="4"/>
      <c r="E656" s="4"/>
      <c r="F656" s="4"/>
      <c r="G656" s="4"/>
      <c r="H656" s="4"/>
      <c r="I656" s="4"/>
      <c r="J656" s="4"/>
      <c r="K656" s="4"/>
      <c r="L656" s="4"/>
    </row>
    <row r="657" spans="1:12" ht="13">
      <c r="A657" s="4"/>
      <c r="B657" s="4"/>
      <c r="C657" s="4"/>
      <c r="D657" s="4"/>
      <c r="E657" s="4"/>
      <c r="F657" s="4"/>
      <c r="G657" s="4"/>
      <c r="H657" s="4"/>
      <c r="I657" s="4"/>
      <c r="J657" s="4"/>
      <c r="K657" s="4"/>
      <c r="L657" s="4"/>
    </row>
    <row r="658" spans="1:12" ht="13">
      <c r="A658" s="4"/>
      <c r="B658" s="4"/>
      <c r="C658" s="4"/>
      <c r="D658" s="4"/>
      <c r="E658" s="4"/>
      <c r="F658" s="4"/>
      <c r="G658" s="4"/>
      <c r="H658" s="4"/>
      <c r="I658" s="4"/>
      <c r="J658" s="4"/>
      <c r="K658" s="4"/>
      <c r="L658" s="4"/>
    </row>
    <row r="659" spans="1:12" ht="13">
      <c r="A659" s="4"/>
      <c r="B659" s="4"/>
      <c r="C659" s="4"/>
      <c r="D659" s="4"/>
      <c r="E659" s="4"/>
      <c r="F659" s="4"/>
      <c r="G659" s="4"/>
      <c r="H659" s="4"/>
      <c r="I659" s="4"/>
      <c r="J659" s="4"/>
      <c r="K659" s="4"/>
      <c r="L659" s="4"/>
    </row>
    <row r="660" spans="1:12" ht="13">
      <c r="A660" s="4"/>
      <c r="B660" s="4"/>
      <c r="C660" s="4"/>
      <c r="D660" s="4"/>
      <c r="E660" s="4"/>
      <c r="F660" s="4"/>
      <c r="G660" s="4"/>
      <c r="H660" s="4"/>
      <c r="I660" s="4"/>
      <c r="J660" s="4"/>
      <c r="K660" s="4"/>
      <c r="L660" s="4"/>
    </row>
    <row r="661" spans="1:12" ht="13">
      <c r="A661" s="4"/>
      <c r="B661" s="4"/>
      <c r="C661" s="4"/>
      <c r="D661" s="4"/>
      <c r="E661" s="4"/>
      <c r="F661" s="4"/>
      <c r="G661" s="4"/>
      <c r="H661" s="4"/>
      <c r="I661" s="4"/>
      <c r="J661" s="4"/>
      <c r="K661" s="4"/>
      <c r="L661" s="4"/>
    </row>
    <row r="662" spans="1:12" ht="13">
      <c r="A662" s="4"/>
      <c r="B662" s="4"/>
      <c r="C662" s="4"/>
      <c r="D662" s="4"/>
      <c r="E662" s="4"/>
      <c r="F662" s="4"/>
      <c r="G662" s="4"/>
      <c r="H662" s="4"/>
      <c r="I662" s="4"/>
      <c r="J662" s="4"/>
      <c r="K662" s="4"/>
      <c r="L662" s="4"/>
    </row>
    <row r="663" spans="1:12" ht="13">
      <c r="A663" s="4"/>
      <c r="B663" s="4"/>
      <c r="C663" s="4"/>
      <c r="D663" s="4"/>
      <c r="E663" s="4"/>
      <c r="F663" s="4"/>
      <c r="G663" s="4"/>
      <c r="H663" s="4"/>
      <c r="I663" s="4"/>
      <c r="J663" s="4"/>
      <c r="K663" s="4"/>
      <c r="L663" s="4"/>
    </row>
    <row r="664" spans="1:12" ht="13">
      <c r="A664" s="4"/>
      <c r="B664" s="4"/>
      <c r="C664" s="4"/>
      <c r="D664" s="4"/>
      <c r="E664" s="4"/>
      <c r="F664" s="4"/>
      <c r="G664" s="4"/>
      <c r="H664" s="4"/>
      <c r="I664" s="4"/>
      <c r="J664" s="4"/>
      <c r="K664" s="4"/>
      <c r="L664" s="4"/>
    </row>
    <row r="665" spans="1:12" ht="13">
      <c r="A665" s="4"/>
      <c r="B665" s="4"/>
      <c r="C665" s="4"/>
      <c r="D665" s="4"/>
      <c r="E665" s="4"/>
      <c r="F665" s="4"/>
      <c r="G665" s="4"/>
      <c r="H665" s="4"/>
      <c r="I665" s="4"/>
      <c r="J665" s="4"/>
      <c r="K665" s="4"/>
      <c r="L665" s="4"/>
    </row>
    <row r="666" spans="1:12" ht="13">
      <c r="A666" s="4"/>
      <c r="B666" s="4"/>
      <c r="C666" s="4"/>
      <c r="D666" s="4"/>
      <c r="E666" s="4"/>
      <c r="F666" s="4"/>
      <c r="G666" s="4"/>
      <c r="H666" s="4"/>
      <c r="I666" s="4"/>
      <c r="J666" s="4"/>
      <c r="K666" s="4"/>
      <c r="L666" s="4"/>
    </row>
    <row r="667" spans="1:12" ht="13">
      <c r="A667" s="4"/>
      <c r="B667" s="4"/>
      <c r="C667" s="4"/>
      <c r="D667" s="4"/>
      <c r="E667" s="4"/>
      <c r="F667" s="4"/>
      <c r="G667" s="4"/>
      <c r="H667" s="4"/>
      <c r="I667" s="4"/>
      <c r="J667" s="4"/>
      <c r="K667" s="4"/>
      <c r="L667" s="4"/>
    </row>
    <row r="668" spans="1:12" ht="13">
      <c r="A668" s="4"/>
      <c r="B668" s="4"/>
      <c r="C668" s="4"/>
      <c r="D668" s="4"/>
      <c r="E668" s="4"/>
      <c r="F668" s="4"/>
      <c r="G668" s="4"/>
      <c r="H668" s="4"/>
      <c r="I668" s="4"/>
      <c r="J668" s="4"/>
      <c r="K668" s="4"/>
      <c r="L668" s="4"/>
    </row>
    <row r="669" spans="1:12" ht="13">
      <c r="A669" s="4"/>
      <c r="B669" s="4"/>
      <c r="C669" s="4"/>
      <c r="D669" s="4"/>
      <c r="E669" s="4"/>
      <c r="F669" s="4"/>
      <c r="G669" s="4"/>
      <c r="H669" s="4"/>
      <c r="I669" s="4"/>
      <c r="J669" s="4"/>
      <c r="K669" s="4"/>
      <c r="L669" s="4"/>
    </row>
    <row r="670" spans="1:12" ht="13">
      <c r="A670" s="4"/>
      <c r="B670" s="4"/>
      <c r="C670" s="4"/>
      <c r="D670" s="4"/>
      <c r="E670" s="4"/>
      <c r="F670" s="4"/>
      <c r="G670" s="4"/>
      <c r="H670" s="4"/>
      <c r="I670" s="4"/>
      <c r="J670" s="4"/>
      <c r="K670" s="4"/>
      <c r="L670" s="4"/>
    </row>
    <row r="671" spans="1:12" ht="13">
      <c r="A671" s="4"/>
      <c r="B671" s="4"/>
      <c r="C671" s="4"/>
      <c r="D671" s="4"/>
      <c r="E671" s="4"/>
      <c r="F671" s="4"/>
      <c r="G671" s="4"/>
      <c r="H671" s="4"/>
      <c r="I671" s="4"/>
      <c r="J671" s="4"/>
      <c r="K671" s="4"/>
      <c r="L671" s="4"/>
    </row>
    <row r="672" spans="1:12" ht="13">
      <c r="A672" s="4"/>
      <c r="B672" s="4"/>
      <c r="C672" s="4"/>
      <c r="D672" s="4"/>
      <c r="E672" s="4"/>
      <c r="F672" s="4"/>
      <c r="G672" s="4"/>
      <c r="H672" s="4"/>
      <c r="I672" s="4"/>
      <c r="J672" s="4"/>
      <c r="K672" s="4"/>
      <c r="L672" s="4"/>
    </row>
    <row r="673" spans="1:12" ht="13">
      <c r="A673" s="4"/>
      <c r="B673" s="4"/>
      <c r="C673" s="4"/>
      <c r="D673" s="4"/>
      <c r="E673" s="4"/>
      <c r="F673" s="4"/>
      <c r="G673" s="4"/>
      <c r="H673" s="4"/>
      <c r="I673" s="4"/>
      <c r="J673" s="4"/>
      <c r="K673" s="4"/>
      <c r="L673" s="4"/>
    </row>
    <row r="674" spans="1:12" ht="13">
      <c r="A674" s="4"/>
      <c r="B674" s="4"/>
      <c r="C674" s="4"/>
      <c r="D674" s="4"/>
      <c r="E674" s="4"/>
      <c r="F674" s="4"/>
      <c r="G674" s="4"/>
      <c r="H674" s="4"/>
      <c r="I674" s="4"/>
      <c r="J674" s="4"/>
      <c r="K674" s="4"/>
      <c r="L674" s="4"/>
    </row>
    <row r="675" spans="1:12" ht="13">
      <c r="A675" s="4"/>
      <c r="B675" s="4"/>
      <c r="C675" s="4"/>
      <c r="D675" s="4"/>
      <c r="E675" s="4"/>
      <c r="F675" s="4"/>
      <c r="G675" s="4"/>
      <c r="H675" s="4"/>
      <c r="I675" s="4"/>
      <c r="J675" s="4"/>
      <c r="K675" s="4"/>
      <c r="L675" s="4"/>
    </row>
    <row r="676" spans="1:12" ht="13">
      <c r="A676" s="4"/>
      <c r="B676" s="4"/>
      <c r="C676" s="4"/>
      <c r="D676" s="4"/>
      <c r="E676" s="4"/>
      <c r="F676" s="4"/>
      <c r="G676" s="4"/>
      <c r="H676" s="4"/>
      <c r="I676" s="4"/>
      <c r="J676" s="4"/>
      <c r="K676" s="4"/>
      <c r="L676" s="4"/>
    </row>
    <row r="677" spans="1:12" ht="13">
      <c r="A677" s="4"/>
      <c r="B677" s="4"/>
      <c r="C677" s="4"/>
      <c r="D677" s="4"/>
      <c r="E677" s="4"/>
      <c r="F677" s="4"/>
      <c r="G677" s="4"/>
      <c r="H677" s="4"/>
      <c r="I677" s="4"/>
      <c r="J677" s="4"/>
      <c r="K677" s="4"/>
      <c r="L677" s="4"/>
    </row>
    <row r="678" spans="1:12" ht="13">
      <c r="A678" s="4"/>
      <c r="B678" s="4"/>
      <c r="C678" s="4"/>
      <c r="D678" s="4"/>
      <c r="E678" s="4"/>
      <c r="F678" s="4"/>
      <c r="G678" s="4"/>
      <c r="H678" s="4"/>
      <c r="I678" s="4"/>
      <c r="J678" s="4"/>
      <c r="K678" s="4"/>
      <c r="L678" s="4"/>
    </row>
    <row r="679" spans="1:12" ht="13">
      <c r="A679" s="4"/>
      <c r="B679" s="4"/>
      <c r="C679" s="4"/>
      <c r="D679" s="4"/>
      <c r="E679" s="4"/>
      <c r="F679" s="4"/>
      <c r="G679" s="4"/>
      <c r="H679" s="4"/>
      <c r="I679" s="4"/>
      <c r="J679" s="4"/>
      <c r="K679" s="4"/>
      <c r="L679" s="4"/>
    </row>
    <row r="680" spans="1:12" ht="13">
      <c r="A680" s="4"/>
      <c r="B680" s="4"/>
      <c r="C680" s="4"/>
      <c r="D680" s="4"/>
      <c r="E680" s="4"/>
      <c r="F680" s="4"/>
      <c r="G680" s="4"/>
      <c r="H680" s="4"/>
      <c r="I680" s="4"/>
      <c r="J680" s="4"/>
      <c r="K680" s="4"/>
      <c r="L680" s="4"/>
    </row>
    <row r="681" spans="1:12" ht="13">
      <c r="A681" s="4"/>
      <c r="B681" s="4"/>
      <c r="C681" s="4"/>
      <c r="D681" s="4"/>
      <c r="E681" s="4"/>
      <c r="F681" s="4"/>
      <c r="G681" s="4"/>
      <c r="H681" s="4"/>
      <c r="I681" s="4"/>
      <c r="J681" s="4"/>
      <c r="K681" s="4"/>
      <c r="L681" s="4"/>
    </row>
    <row r="682" spans="1:12" ht="13">
      <c r="A682" s="4"/>
      <c r="B682" s="4"/>
      <c r="C682" s="4"/>
      <c r="D682" s="4"/>
      <c r="E682" s="4"/>
      <c r="F682" s="4"/>
      <c r="G682" s="4"/>
      <c r="H682" s="4"/>
      <c r="I682" s="4"/>
      <c r="J682" s="4"/>
      <c r="K682" s="4"/>
      <c r="L682" s="4"/>
    </row>
    <row r="683" spans="1:12" ht="13">
      <c r="A683" s="4"/>
      <c r="B683" s="4"/>
      <c r="C683" s="4"/>
      <c r="D683" s="4"/>
      <c r="E683" s="4"/>
      <c r="F683" s="4"/>
      <c r="G683" s="4"/>
      <c r="H683" s="4"/>
      <c r="I683" s="4"/>
      <c r="J683" s="4"/>
      <c r="K683" s="4"/>
      <c r="L683" s="4"/>
    </row>
    <row r="684" spans="1:12" ht="13">
      <c r="A684" s="4"/>
      <c r="B684" s="4"/>
      <c r="C684" s="4"/>
      <c r="D684" s="4"/>
      <c r="E684" s="4"/>
      <c r="F684" s="4"/>
      <c r="G684" s="4"/>
      <c r="H684" s="4"/>
      <c r="I684" s="4"/>
      <c r="J684" s="4"/>
      <c r="K684" s="4"/>
      <c r="L684" s="4"/>
    </row>
    <row r="685" spans="1:12" ht="13">
      <c r="A685" s="4"/>
      <c r="B685" s="4"/>
      <c r="C685" s="4"/>
      <c r="D685" s="4"/>
      <c r="E685" s="4"/>
      <c r="F685" s="4"/>
      <c r="G685" s="4"/>
      <c r="H685" s="4"/>
      <c r="I685" s="4"/>
      <c r="J685" s="4"/>
      <c r="K685" s="4"/>
      <c r="L685" s="4"/>
    </row>
    <row r="686" spans="1:12" ht="13">
      <c r="A686" s="4"/>
      <c r="B686" s="4"/>
      <c r="C686" s="4"/>
      <c r="D686" s="4"/>
      <c r="E686" s="4"/>
      <c r="F686" s="4"/>
      <c r="G686" s="4"/>
      <c r="H686" s="4"/>
      <c r="I686" s="4"/>
      <c r="J686" s="4"/>
      <c r="K686" s="4"/>
      <c r="L686" s="4"/>
    </row>
    <row r="687" spans="1:12" ht="13">
      <c r="A687" s="4"/>
      <c r="B687" s="4"/>
      <c r="C687" s="4"/>
      <c r="D687" s="4"/>
      <c r="E687" s="4"/>
      <c r="F687" s="4"/>
      <c r="G687" s="4"/>
      <c r="H687" s="4"/>
      <c r="I687" s="4"/>
      <c r="J687" s="4"/>
      <c r="K687" s="4"/>
      <c r="L687" s="4"/>
    </row>
    <row r="688" spans="1:12" ht="13">
      <c r="A688" s="4"/>
      <c r="B688" s="4"/>
      <c r="C688" s="4"/>
      <c r="D688" s="4"/>
      <c r="E688" s="4"/>
      <c r="F688" s="4"/>
      <c r="G688" s="4"/>
      <c r="H688" s="4"/>
      <c r="I688" s="4"/>
      <c r="J688" s="4"/>
      <c r="K688" s="4"/>
      <c r="L688" s="4"/>
    </row>
    <row r="689" spans="1:12" ht="13">
      <c r="A689" s="4"/>
      <c r="B689" s="4"/>
      <c r="C689" s="4"/>
      <c r="D689" s="4"/>
      <c r="E689" s="4"/>
      <c r="F689" s="4"/>
      <c r="G689" s="4"/>
      <c r="H689" s="4"/>
      <c r="I689" s="4"/>
      <c r="J689" s="4"/>
      <c r="K689" s="4"/>
      <c r="L689" s="4"/>
    </row>
    <row r="690" spans="1:12" ht="13">
      <c r="A690" s="4"/>
      <c r="B690" s="4"/>
      <c r="C690" s="4"/>
      <c r="D690" s="4"/>
      <c r="E690" s="4"/>
      <c r="F690" s="4"/>
      <c r="G690" s="4"/>
      <c r="H690" s="4"/>
      <c r="I690" s="4"/>
      <c r="J690" s="4"/>
      <c r="K690" s="4"/>
      <c r="L690" s="4"/>
    </row>
    <row r="691" spans="1:12" ht="13">
      <c r="A691" s="4"/>
      <c r="B691" s="4"/>
      <c r="C691" s="4"/>
      <c r="D691" s="4"/>
      <c r="E691" s="4"/>
      <c r="F691" s="4"/>
      <c r="G691" s="4"/>
      <c r="H691" s="4"/>
      <c r="I691" s="4"/>
      <c r="J691" s="4"/>
      <c r="K691" s="4"/>
      <c r="L691" s="4"/>
    </row>
    <row r="692" spans="1:12" ht="13">
      <c r="A692" s="4"/>
      <c r="B692" s="4"/>
      <c r="C692" s="4"/>
      <c r="D692" s="4"/>
      <c r="E692" s="4"/>
      <c r="F692" s="4"/>
      <c r="G692" s="4"/>
      <c r="H692" s="4"/>
      <c r="I692" s="4"/>
      <c r="J692" s="4"/>
      <c r="K692" s="4"/>
      <c r="L692" s="4"/>
    </row>
    <row r="693" spans="1:12" ht="13">
      <c r="A693" s="4"/>
      <c r="B693" s="4"/>
      <c r="C693" s="4"/>
      <c r="D693" s="4"/>
      <c r="E693" s="4"/>
      <c r="F693" s="4"/>
      <c r="G693" s="4"/>
      <c r="H693" s="4"/>
      <c r="I693" s="4"/>
      <c r="J693" s="4"/>
      <c r="K693" s="4"/>
      <c r="L693" s="4"/>
    </row>
    <row r="694" spans="1:12" ht="13">
      <c r="A694" s="4"/>
      <c r="B694" s="4"/>
      <c r="C694" s="4"/>
      <c r="D694" s="4"/>
      <c r="E694" s="4"/>
      <c r="F694" s="4"/>
      <c r="G694" s="4"/>
      <c r="H694" s="4"/>
      <c r="I694" s="4"/>
      <c r="J694" s="4"/>
      <c r="K694" s="4"/>
      <c r="L694" s="4"/>
    </row>
    <row r="695" spans="1:12" ht="13">
      <c r="A695" s="4"/>
      <c r="B695" s="4"/>
      <c r="C695" s="4"/>
      <c r="D695" s="4"/>
      <c r="E695" s="4"/>
      <c r="F695" s="4"/>
      <c r="G695" s="4"/>
      <c r="H695" s="4"/>
      <c r="I695" s="4"/>
      <c r="J695" s="4"/>
      <c r="K695" s="4"/>
      <c r="L695" s="4"/>
    </row>
    <row r="696" spans="1:12" ht="13">
      <c r="A696" s="4"/>
      <c r="B696" s="4"/>
      <c r="C696" s="4"/>
      <c r="D696" s="4"/>
      <c r="E696" s="4"/>
      <c r="F696" s="4"/>
      <c r="G696" s="4"/>
      <c r="H696" s="4"/>
      <c r="I696" s="4"/>
      <c r="J696" s="4"/>
      <c r="K696" s="4"/>
      <c r="L696" s="4"/>
    </row>
    <row r="697" spans="1:12" ht="13">
      <c r="A697" s="4"/>
      <c r="B697" s="4"/>
      <c r="C697" s="4"/>
      <c r="D697" s="4"/>
      <c r="E697" s="4"/>
      <c r="F697" s="4"/>
      <c r="G697" s="4"/>
      <c r="H697" s="4"/>
      <c r="I697" s="4"/>
      <c r="J697" s="4"/>
      <c r="K697" s="4"/>
      <c r="L697" s="4"/>
    </row>
    <row r="698" spans="1:12" ht="13">
      <c r="A698" s="4"/>
      <c r="B698" s="4"/>
      <c r="C698" s="4"/>
      <c r="D698" s="4"/>
      <c r="E698" s="4"/>
      <c r="F698" s="4"/>
      <c r="G698" s="4"/>
      <c r="H698" s="4"/>
      <c r="I698" s="4"/>
      <c r="J698" s="4"/>
      <c r="K698" s="4"/>
      <c r="L698" s="4"/>
    </row>
    <row r="699" spans="1:12" ht="13">
      <c r="A699" s="4"/>
      <c r="B699" s="4"/>
      <c r="C699" s="4"/>
      <c r="D699" s="4"/>
      <c r="E699" s="4"/>
      <c r="F699" s="4"/>
      <c r="G699" s="4"/>
      <c r="H699" s="4"/>
      <c r="I699" s="4"/>
      <c r="J699" s="4"/>
      <c r="K699" s="4"/>
      <c r="L699" s="4"/>
    </row>
    <row r="700" spans="1:12" ht="13">
      <c r="A700" s="4"/>
      <c r="B700" s="4"/>
      <c r="C700" s="4"/>
      <c r="D700" s="4"/>
      <c r="E700" s="4"/>
      <c r="F700" s="4"/>
      <c r="G700" s="4"/>
      <c r="H700" s="4"/>
      <c r="I700" s="4"/>
      <c r="J700" s="4"/>
      <c r="K700" s="4"/>
      <c r="L700" s="4"/>
    </row>
    <row r="701" spans="1:12" ht="13">
      <c r="A701" s="4"/>
      <c r="B701" s="4"/>
      <c r="C701" s="4"/>
      <c r="D701" s="4"/>
      <c r="E701" s="4"/>
      <c r="F701" s="4"/>
      <c r="G701" s="4"/>
      <c r="H701" s="4"/>
      <c r="I701" s="4"/>
      <c r="J701" s="4"/>
      <c r="K701" s="4"/>
      <c r="L701" s="4"/>
    </row>
    <row r="702" spans="1:12" ht="13">
      <c r="A702" s="4"/>
      <c r="B702" s="4"/>
      <c r="C702" s="4"/>
      <c r="D702" s="4"/>
      <c r="E702" s="4"/>
      <c r="F702" s="4"/>
      <c r="G702" s="4"/>
      <c r="H702" s="4"/>
      <c r="I702" s="4"/>
      <c r="J702" s="4"/>
      <c r="K702" s="4"/>
      <c r="L702" s="4"/>
    </row>
    <row r="703" spans="1:12" ht="13">
      <c r="A703" s="4"/>
      <c r="B703" s="4"/>
      <c r="C703" s="4"/>
      <c r="D703" s="4"/>
      <c r="E703" s="4"/>
      <c r="F703" s="4"/>
      <c r="G703" s="4"/>
      <c r="H703" s="4"/>
      <c r="I703" s="4"/>
      <c r="J703" s="4"/>
      <c r="K703" s="4"/>
      <c r="L703" s="4"/>
    </row>
    <row r="704" spans="1:12" ht="13">
      <c r="A704" s="4"/>
      <c r="B704" s="4"/>
      <c r="C704" s="4"/>
      <c r="D704" s="4"/>
      <c r="E704" s="4"/>
      <c r="F704" s="4"/>
      <c r="G704" s="4"/>
      <c r="H704" s="4"/>
      <c r="I704" s="4"/>
      <c r="J704" s="4"/>
      <c r="K704" s="4"/>
      <c r="L704" s="4"/>
    </row>
    <row r="705" spans="1:12" ht="13">
      <c r="A705" s="4"/>
      <c r="B705" s="4"/>
      <c r="C705" s="4"/>
      <c r="D705" s="4"/>
      <c r="E705" s="4"/>
      <c r="F705" s="4"/>
      <c r="G705" s="4"/>
      <c r="H705" s="4"/>
      <c r="I705" s="4"/>
      <c r="J705" s="4"/>
      <c r="K705" s="4"/>
      <c r="L705" s="4"/>
    </row>
    <row r="706" spans="1:12" ht="13">
      <c r="A706" s="4"/>
      <c r="B706" s="4"/>
      <c r="C706" s="4"/>
      <c r="D706" s="4"/>
      <c r="E706" s="4"/>
      <c r="F706" s="4"/>
      <c r="G706" s="4"/>
      <c r="H706" s="4"/>
      <c r="I706" s="4"/>
      <c r="J706" s="4"/>
      <c r="K706" s="4"/>
      <c r="L706" s="4"/>
    </row>
    <row r="707" spans="1:12" ht="13">
      <c r="A707" s="4"/>
      <c r="B707" s="4"/>
      <c r="C707" s="4"/>
      <c r="D707" s="4"/>
      <c r="E707" s="4"/>
      <c r="F707" s="4"/>
      <c r="G707" s="4"/>
      <c r="H707" s="4"/>
      <c r="I707" s="4"/>
      <c r="J707" s="4"/>
      <c r="K707" s="4"/>
      <c r="L707" s="4"/>
    </row>
    <row r="708" spans="1:12" ht="13">
      <c r="A708" s="4"/>
      <c r="B708" s="4"/>
      <c r="C708" s="4"/>
      <c r="D708" s="4"/>
      <c r="E708" s="4"/>
      <c r="F708" s="4"/>
      <c r="G708" s="4"/>
      <c r="H708" s="4"/>
      <c r="I708" s="4"/>
      <c r="J708" s="4"/>
      <c r="K708" s="4"/>
      <c r="L708" s="4"/>
    </row>
    <row r="709" spans="1:12" ht="13">
      <c r="A709" s="4"/>
      <c r="B709" s="4"/>
      <c r="C709" s="4"/>
      <c r="D709" s="4"/>
      <c r="E709" s="4"/>
      <c r="F709" s="4"/>
      <c r="G709" s="4"/>
      <c r="H709" s="4"/>
      <c r="I709" s="4"/>
      <c r="J709" s="4"/>
      <c r="K709" s="4"/>
      <c r="L709" s="4"/>
    </row>
    <row r="710" spans="1:12" ht="13">
      <c r="A710" s="4"/>
      <c r="B710" s="4"/>
      <c r="C710" s="4"/>
      <c r="D710" s="4"/>
      <c r="E710" s="4"/>
      <c r="F710" s="4"/>
      <c r="G710" s="4"/>
      <c r="H710" s="4"/>
      <c r="I710" s="4"/>
      <c r="J710" s="4"/>
      <c r="K710" s="4"/>
      <c r="L710" s="4"/>
    </row>
    <row r="711" spans="1:12" ht="13">
      <c r="A711" s="4"/>
      <c r="B711" s="4"/>
      <c r="C711" s="4"/>
      <c r="D711" s="4"/>
      <c r="E711" s="4"/>
      <c r="F711" s="4"/>
      <c r="G711" s="4"/>
      <c r="H711" s="4"/>
      <c r="I711" s="4"/>
      <c r="J711" s="4"/>
      <c r="K711" s="4"/>
      <c r="L711" s="4"/>
    </row>
    <row r="712" spans="1:12" ht="13">
      <c r="A712" s="4"/>
      <c r="B712" s="4"/>
      <c r="C712" s="4"/>
      <c r="D712" s="4"/>
      <c r="E712" s="4"/>
      <c r="F712" s="4"/>
      <c r="G712" s="4"/>
      <c r="H712" s="4"/>
      <c r="I712" s="4"/>
      <c r="J712" s="4"/>
      <c r="K712" s="4"/>
      <c r="L712" s="4"/>
    </row>
    <row r="713" spans="1:12" ht="13">
      <c r="A713" s="4"/>
      <c r="B713" s="4"/>
      <c r="C713" s="4"/>
      <c r="D713" s="4"/>
      <c r="E713" s="4"/>
      <c r="F713" s="4"/>
      <c r="G713" s="4"/>
      <c r="H713" s="4"/>
      <c r="I713" s="4"/>
      <c r="J713" s="4"/>
      <c r="K713" s="4"/>
      <c r="L713" s="4"/>
    </row>
    <row r="714" spans="1:12" ht="13">
      <c r="A714" s="4"/>
      <c r="B714" s="4"/>
      <c r="C714" s="4"/>
      <c r="D714" s="4"/>
      <c r="E714" s="4"/>
      <c r="F714" s="4"/>
      <c r="G714" s="4"/>
      <c r="H714" s="4"/>
      <c r="I714" s="4"/>
      <c r="J714" s="4"/>
      <c r="K714" s="4"/>
      <c r="L714" s="4"/>
    </row>
    <row r="715" spans="1:12" ht="13">
      <c r="A715" s="4"/>
      <c r="B715" s="4"/>
      <c r="C715" s="4"/>
      <c r="D715" s="4"/>
      <c r="E715" s="4"/>
      <c r="F715" s="4"/>
      <c r="G715" s="4"/>
      <c r="H715" s="4"/>
      <c r="I715" s="4"/>
      <c r="J715" s="4"/>
      <c r="K715" s="4"/>
      <c r="L715" s="4"/>
    </row>
    <row r="716" spans="1:12" ht="13">
      <c r="A716" s="4"/>
      <c r="B716" s="4"/>
      <c r="C716" s="4"/>
      <c r="D716" s="4"/>
      <c r="E716" s="4"/>
      <c r="F716" s="4"/>
      <c r="G716" s="4"/>
      <c r="H716" s="4"/>
      <c r="I716" s="4"/>
      <c r="J716" s="4"/>
      <c r="K716" s="4"/>
      <c r="L716" s="4"/>
    </row>
    <row r="717" spans="1:12" ht="13">
      <c r="A717" s="4"/>
      <c r="B717" s="4"/>
      <c r="C717" s="4"/>
      <c r="D717" s="4"/>
      <c r="E717" s="4"/>
      <c r="F717" s="4"/>
      <c r="G717" s="4"/>
      <c r="H717" s="4"/>
      <c r="I717" s="4"/>
      <c r="J717" s="4"/>
      <c r="K717" s="4"/>
      <c r="L717" s="4"/>
    </row>
    <row r="718" spans="1:12" ht="13">
      <c r="A718" s="4"/>
      <c r="B718" s="4"/>
      <c r="C718" s="4"/>
      <c r="D718" s="4"/>
      <c r="E718" s="4"/>
      <c r="F718" s="4"/>
      <c r="G718" s="4"/>
      <c r="H718" s="4"/>
      <c r="I718" s="4"/>
      <c r="J718" s="4"/>
      <c r="K718" s="4"/>
      <c r="L718" s="4"/>
    </row>
    <row r="719" spans="1:12" ht="13">
      <c r="A719" s="4"/>
      <c r="B719" s="4"/>
      <c r="C719" s="4"/>
      <c r="D719" s="4"/>
      <c r="E719" s="4"/>
      <c r="F719" s="4"/>
      <c r="G719" s="4"/>
      <c r="H719" s="4"/>
      <c r="I719" s="4"/>
      <c r="J719" s="4"/>
      <c r="K719" s="4"/>
      <c r="L719" s="4"/>
    </row>
    <row r="720" spans="1:12" ht="13">
      <c r="A720" s="4"/>
      <c r="B720" s="4"/>
      <c r="C720" s="4"/>
      <c r="D720" s="4"/>
      <c r="E720" s="4"/>
      <c r="F720" s="4"/>
      <c r="G720" s="4"/>
      <c r="H720" s="4"/>
      <c r="I720" s="4"/>
      <c r="J720" s="4"/>
      <c r="K720" s="4"/>
      <c r="L720" s="4"/>
    </row>
    <row r="721" spans="1:12" ht="13">
      <c r="A721" s="4"/>
      <c r="B721" s="4"/>
      <c r="C721" s="4"/>
      <c r="D721" s="4"/>
      <c r="E721" s="4"/>
      <c r="F721" s="4"/>
      <c r="G721" s="4"/>
      <c r="H721" s="4"/>
      <c r="I721" s="4"/>
      <c r="J721" s="4"/>
      <c r="K721" s="4"/>
      <c r="L721" s="4"/>
    </row>
    <row r="722" spans="1:12" ht="13">
      <c r="A722" s="4"/>
      <c r="B722" s="4"/>
      <c r="C722" s="4"/>
      <c r="D722" s="4"/>
      <c r="E722" s="4"/>
      <c r="F722" s="4"/>
      <c r="G722" s="4"/>
      <c r="H722" s="4"/>
      <c r="I722" s="4"/>
      <c r="J722" s="4"/>
      <c r="K722" s="4"/>
      <c r="L722" s="4"/>
    </row>
    <row r="723" spans="1:12" ht="13">
      <c r="A723" s="4"/>
      <c r="B723" s="4"/>
      <c r="C723" s="4"/>
      <c r="D723" s="4"/>
      <c r="E723" s="4"/>
      <c r="F723" s="4"/>
      <c r="G723" s="4"/>
      <c r="H723" s="4"/>
      <c r="I723" s="4"/>
      <c r="J723" s="4"/>
      <c r="K723" s="4"/>
      <c r="L723" s="4"/>
    </row>
    <row r="724" spans="1:12" ht="13">
      <c r="A724" s="4"/>
      <c r="B724" s="4"/>
      <c r="C724" s="4"/>
      <c r="D724" s="4"/>
      <c r="E724" s="4"/>
      <c r="F724" s="4"/>
      <c r="G724" s="4"/>
      <c r="H724" s="4"/>
      <c r="I724" s="4"/>
      <c r="J724" s="4"/>
      <c r="K724" s="4"/>
      <c r="L724" s="4"/>
    </row>
    <row r="725" spans="1:12" ht="13">
      <c r="A725" s="4"/>
      <c r="B725" s="4"/>
      <c r="C725" s="4"/>
      <c r="D725" s="4"/>
      <c r="E725" s="4"/>
      <c r="F725" s="4"/>
      <c r="G725" s="4"/>
      <c r="H725" s="4"/>
      <c r="I725" s="4"/>
      <c r="J725" s="4"/>
      <c r="K725" s="4"/>
      <c r="L725" s="4"/>
    </row>
    <row r="726" spans="1:12" ht="13">
      <c r="A726" s="4"/>
      <c r="B726" s="4"/>
      <c r="C726" s="4"/>
      <c r="D726" s="4"/>
      <c r="E726" s="4"/>
      <c r="F726" s="4"/>
      <c r="G726" s="4"/>
      <c r="H726" s="4"/>
      <c r="I726" s="4"/>
      <c r="J726" s="4"/>
      <c r="K726" s="4"/>
      <c r="L726" s="4"/>
    </row>
    <row r="727" spans="1:12" ht="13">
      <c r="A727" s="4"/>
      <c r="B727" s="4"/>
      <c r="C727" s="4"/>
      <c r="D727" s="4"/>
      <c r="E727" s="4"/>
      <c r="F727" s="4"/>
      <c r="G727" s="4"/>
      <c r="H727" s="4"/>
      <c r="I727" s="4"/>
      <c r="J727" s="4"/>
      <c r="K727" s="4"/>
      <c r="L727" s="4"/>
    </row>
    <row r="728" spans="1:12" ht="13">
      <c r="A728" s="4"/>
      <c r="B728" s="4"/>
      <c r="C728" s="4"/>
      <c r="D728" s="4"/>
      <c r="E728" s="4"/>
      <c r="F728" s="4"/>
      <c r="G728" s="4"/>
      <c r="H728" s="4"/>
      <c r="I728" s="4"/>
      <c r="J728" s="4"/>
      <c r="K728" s="4"/>
      <c r="L728" s="4"/>
    </row>
    <row r="729" spans="1:12" ht="13">
      <c r="A729" s="4"/>
      <c r="B729" s="4"/>
      <c r="C729" s="4"/>
      <c r="D729" s="4"/>
      <c r="E729" s="4"/>
      <c r="F729" s="4"/>
      <c r="G729" s="4"/>
      <c r="H729" s="4"/>
      <c r="I729" s="4"/>
      <c r="J729" s="4"/>
      <c r="K729" s="4"/>
      <c r="L729" s="4"/>
    </row>
    <row r="730" spans="1:12" ht="13">
      <c r="A730" s="4"/>
      <c r="B730" s="4"/>
      <c r="C730" s="4"/>
      <c r="D730" s="4"/>
      <c r="E730" s="4"/>
      <c r="F730" s="4"/>
      <c r="G730" s="4"/>
      <c r="H730" s="4"/>
      <c r="I730" s="4"/>
      <c r="J730" s="4"/>
      <c r="K730" s="4"/>
      <c r="L730" s="4"/>
    </row>
    <row r="731" spans="1:12" ht="13">
      <c r="A731" s="4"/>
      <c r="B731" s="4"/>
      <c r="C731" s="4"/>
      <c r="D731" s="4"/>
      <c r="E731" s="4"/>
      <c r="F731" s="4"/>
      <c r="G731" s="4"/>
      <c r="H731" s="4"/>
      <c r="I731" s="4"/>
      <c r="J731" s="4"/>
      <c r="K731" s="4"/>
      <c r="L731" s="4"/>
    </row>
    <row r="732" spans="1:12" ht="13">
      <c r="A732" s="4"/>
      <c r="B732" s="4"/>
      <c r="C732" s="4"/>
      <c r="D732" s="4"/>
      <c r="E732" s="4"/>
      <c r="F732" s="4"/>
      <c r="G732" s="4"/>
      <c r="H732" s="4"/>
      <c r="I732" s="4"/>
      <c r="J732" s="4"/>
      <c r="K732" s="4"/>
      <c r="L732" s="4"/>
    </row>
    <row r="733" spans="1:12" ht="13">
      <c r="A733" s="4"/>
      <c r="B733" s="4"/>
      <c r="C733" s="4"/>
      <c r="D733" s="4"/>
      <c r="E733" s="4"/>
      <c r="F733" s="4"/>
      <c r="G733" s="4"/>
      <c r="H733" s="4"/>
      <c r="I733" s="4"/>
      <c r="J733" s="4"/>
      <c r="K733" s="4"/>
      <c r="L733" s="4"/>
    </row>
    <row r="734" spans="1:12" ht="13">
      <c r="A734" s="4"/>
      <c r="B734" s="4"/>
      <c r="C734" s="4"/>
      <c r="D734" s="4"/>
      <c r="E734" s="4"/>
      <c r="F734" s="4"/>
      <c r="G734" s="4"/>
      <c r="H734" s="4"/>
      <c r="I734" s="4"/>
      <c r="J734" s="4"/>
      <c r="K734" s="4"/>
      <c r="L734" s="4"/>
    </row>
    <row r="735" spans="1:12" ht="13">
      <c r="A735" s="4"/>
      <c r="B735" s="4"/>
      <c r="C735" s="4"/>
      <c r="D735" s="4"/>
      <c r="E735" s="4"/>
      <c r="F735" s="4"/>
      <c r="G735" s="4"/>
      <c r="H735" s="4"/>
      <c r="I735" s="4"/>
      <c r="J735" s="4"/>
      <c r="K735" s="4"/>
      <c r="L735" s="4"/>
    </row>
    <row r="736" spans="1:12" ht="13">
      <c r="A736" s="4"/>
      <c r="B736" s="4"/>
      <c r="C736" s="4"/>
      <c r="D736" s="4"/>
      <c r="E736" s="4"/>
      <c r="F736" s="4"/>
      <c r="G736" s="4"/>
      <c r="H736" s="4"/>
      <c r="I736" s="4"/>
      <c r="J736" s="4"/>
      <c r="K736" s="4"/>
      <c r="L736" s="4"/>
    </row>
    <row r="737" spans="1:12" ht="13">
      <c r="A737" s="4"/>
      <c r="B737" s="4"/>
      <c r="C737" s="4"/>
      <c r="D737" s="4"/>
      <c r="E737" s="4"/>
      <c r="F737" s="4"/>
      <c r="G737" s="4"/>
      <c r="H737" s="4"/>
      <c r="I737" s="4"/>
      <c r="J737" s="4"/>
      <c r="K737" s="4"/>
      <c r="L737" s="4"/>
    </row>
    <row r="738" spans="1:12" ht="13">
      <c r="A738" s="4"/>
      <c r="B738" s="4"/>
      <c r="C738" s="4"/>
      <c r="D738" s="4"/>
      <c r="E738" s="4"/>
      <c r="F738" s="4"/>
      <c r="G738" s="4"/>
      <c r="H738" s="4"/>
      <c r="I738" s="4"/>
      <c r="J738" s="4"/>
      <c r="K738" s="4"/>
      <c r="L738" s="4"/>
    </row>
    <row r="739" spans="1:12" ht="13">
      <c r="A739" s="4"/>
      <c r="B739" s="4"/>
      <c r="C739" s="4"/>
      <c r="D739" s="4"/>
      <c r="E739" s="4"/>
      <c r="F739" s="4"/>
      <c r="G739" s="4"/>
      <c r="H739" s="4"/>
      <c r="I739" s="4"/>
      <c r="J739" s="4"/>
      <c r="K739" s="4"/>
      <c r="L739" s="4"/>
    </row>
    <row r="740" spans="1:12" ht="13">
      <c r="A740" s="4"/>
      <c r="B740" s="4"/>
      <c r="C740" s="4"/>
      <c r="D740" s="4"/>
      <c r="E740" s="4"/>
      <c r="F740" s="4"/>
      <c r="G740" s="4"/>
      <c r="H740" s="4"/>
      <c r="I740" s="4"/>
      <c r="J740" s="4"/>
      <c r="K740" s="4"/>
      <c r="L740" s="4"/>
    </row>
    <row r="741" spans="1:12" ht="13">
      <c r="A741" s="4"/>
      <c r="B741" s="4"/>
      <c r="C741" s="4"/>
      <c r="D741" s="4"/>
      <c r="E741" s="4"/>
      <c r="F741" s="4"/>
      <c r="G741" s="4"/>
      <c r="H741" s="4"/>
      <c r="I741" s="4"/>
      <c r="J741" s="4"/>
      <c r="K741" s="4"/>
      <c r="L741" s="4"/>
    </row>
    <row r="742" spans="1:12" ht="13">
      <c r="A742" s="4"/>
      <c r="B742" s="4"/>
      <c r="C742" s="4"/>
      <c r="D742" s="4"/>
      <c r="E742" s="4"/>
      <c r="F742" s="4"/>
      <c r="G742" s="4"/>
      <c r="H742" s="4"/>
      <c r="I742" s="4"/>
      <c r="J742" s="4"/>
      <c r="K742" s="4"/>
      <c r="L742" s="4"/>
    </row>
    <row r="743" spans="1:12" ht="13">
      <c r="A743" s="4"/>
      <c r="B743" s="4"/>
      <c r="C743" s="4"/>
      <c r="D743" s="4"/>
      <c r="E743" s="4"/>
      <c r="F743" s="4"/>
      <c r="G743" s="4"/>
      <c r="H743" s="4"/>
      <c r="I743" s="4"/>
      <c r="J743" s="4"/>
      <c r="K743" s="4"/>
      <c r="L743" s="4"/>
    </row>
    <row r="744" spans="1:12" ht="13">
      <c r="A744" s="4"/>
      <c r="B744" s="4"/>
      <c r="C744" s="4"/>
      <c r="D744" s="4"/>
      <c r="E744" s="4"/>
      <c r="F744" s="4"/>
      <c r="G744" s="4"/>
      <c r="H744" s="4"/>
      <c r="I744" s="4"/>
      <c r="J744" s="4"/>
      <c r="K744" s="4"/>
      <c r="L744" s="4"/>
    </row>
    <row r="745" spans="1:12" ht="13">
      <c r="A745" s="4"/>
      <c r="B745" s="4"/>
      <c r="C745" s="4"/>
      <c r="D745" s="4"/>
      <c r="E745" s="4"/>
      <c r="F745" s="4"/>
      <c r="G745" s="4"/>
      <c r="H745" s="4"/>
      <c r="I745" s="4"/>
      <c r="J745" s="4"/>
      <c r="K745" s="4"/>
      <c r="L745" s="4"/>
    </row>
    <row r="746" spans="1:12" ht="13">
      <c r="A746" s="4"/>
      <c r="B746" s="4"/>
      <c r="C746" s="4"/>
      <c r="D746" s="4"/>
      <c r="E746" s="4"/>
      <c r="F746" s="4"/>
      <c r="G746" s="4"/>
      <c r="H746" s="4"/>
      <c r="I746" s="4"/>
      <c r="J746" s="4"/>
      <c r="K746" s="4"/>
      <c r="L746" s="4"/>
    </row>
    <row r="747" spans="1:12" ht="13">
      <c r="A747" s="4"/>
      <c r="B747" s="4"/>
      <c r="C747" s="4"/>
      <c r="D747" s="4"/>
      <c r="E747" s="4"/>
      <c r="F747" s="4"/>
      <c r="G747" s="4"/>
      <c r="H747" s="4"/>
      <c r="I747" s="4"/>
      <c r="J747" s="4"/>
      <c r="K747" s="4"/>
      <c r="L747" s="4"/>
    </row>
    <row r="748" spans="1:12" ht="13">
      <c r="A748" s="4"/>
      <c r="B748" s="4"/>
      <c r="C748" s="4"/>
      <c r="D748" s="4"/>
      <c r="E748" s="4"/>
      <c r="F748" s="4"/>
      <c r="G748" s="4"/>
      <c r="H748" s="4"/>
      <c r="I748" s="4"/>
      <c r="J748" s="4"/>
      <c r="K748" s="4"/>
      <c r="L748" s="4"/>
    </row>
    <row r="749" spans="1:12" ht="13">
      <c r="A749" s="4"/>
      <c r="B749" s="4"/>
      <c r="C749" s="4"/>
      <c r="D749" s="4"/>
      <c r="E749" s="4"/>
      <c r="F749" s="4"/>
      <c r="G749" s="4"/>
      <c r="H749" s="4"/>
      <c r="I749" s="4"/>
      <c r="J749" s="4"/>
      <c r="K749" s="4"/>
      <c r="L749" s="4"/>
    </row>
    <row r="750" spans="1:12" ht="13">
      <c r="A750" s="4"/>
      <c r="B750" s="4"/>
      <c r="C750" s="4"/>
      <c r="D750" s="4"/>
      <c r="E750" s="4"/>
      <c r="F750" s="4"/>
      <c r="G750" s="4"/>
      <c r="H750" s="4"/>
      <c r="I750" s="4"/>
      <c r="J750" s="4"/>
      <c r="K750" s="4"/>
      <c r="L750" s="4"/>
    </row>
    <row r="751" spans="1:12" ht="13">
      <c r="A751" s="4"/>
      <c r="B751" s="4"/>
      <c r="C751" s="4"/>
      <c r="D751" s="4"/>
      <c r="E751" s="4"/>
      <c r="F751" s="4"/>
      <c r="G751" s="4"/>
      <c r="H751" s="4"/>
      <c r="I751" s="4"/>
      <c r="J751" s="4"/>
      <c r="K751" s="4"/>
      <c r="L751" s="4"/>
    </row>
    <row r="752" spans="1:12" ht="13">
      <c r="A752" s="4"/>
      <c r="B752" s="4"/>
      <c r="C752" s="4"/>
      <c r="D752" s="4"/>
      <c r="E752" s="4"/>
      <c r="F752" s="4"/>
      <c r="G752" s="4"/>
      <c r="H752" s="4"/>
      <c r="I752" s="4"/>
      <c r="J752" s="4"/>
      <c r="K752" s="4"/>
      <c r="L752" s="4"/>
    </row>
    <row r="753" spans="1:12" ht="13">
      <c r="A753" s="4"/>
      <c r="B753" s="4"/>
      <c r="C753" s="4"/>
      <c r="D753" s="4"/>
      <c r="E753" s="4"/>
      <c r="F753" s="4"/>
      <c r="G753" s="4"/>
      <c r="H753" s="4"/>
      <c r="I753" s="4"/>
      <c r="J753" s="4"/>
      <c r="K753" s="4"/>
      <c r="L753" s="4"/>
    </row>
    <row r="754" spans="1:12" ht="13">
      <c r="A754" s="4"/>
      <c r="B754" s="4"/>
      <c r="C754" s="4"/>
      <c r="D754" s="4"/>
      <c r="E754" s="4"/>
      <c r="F754" s="4"/>
      <c r="G754" s="4"/>
      <c r="H754" s="4"/>
      <c r="I754" s="4"/>
      <c r="J754" s="4"/>
      <c r="K754" s="4"/>
      <c r="L754" s="4"/>
    </row>
    <row r="755" spans="1:12" ht="13">
      <c r="A755" s="4"/>
      <c r="B755" s="4"/>
      <c r="C755" s="4"/>
      <c r="D755" s="4"/>
      <c r="E755" s="4"/>
      <c r="F755" s="4"/>
      <c r="G755" s="4"/>
      <c r="H755" s="4"/>
      <c r="I755" s="4"/>
      <c r="J755" s="4"/>
      <c r="K755" s="4"/>
      <c r="L755" s="4"/>
    </row>
    <row r="756" spans="1:12" ht="13">
      <c r="A756" s="4"/>
      <c r="B756" s="4"/>
      <c r="C756" s="4"/>
      <c r="D756" s="4"/>
      <c r="E756" s="4"/>
      <c r="F756" s="4"/>
      <c r="G756" s="4"/>
      <c r="H756" s="4"/>
      <c r="I756" s="4"/>
      <c r="J756" s="4"/>
      <c r="K756" s="4"/>
      <c r="L756" s="4"/>
    </row>
    <row r="757" spans="1:12" ht="13">
      <c r="A757" s="4"/>
      <c r="B757" s="4"/>
      <c r="C757" s="4"/>
      <c r="D757" s="4"/>
      <c r="E757" s="4"/>
      <c r="F757" s="4"/>
      <c r="G757" s="4"/>
      <c r="H757" s="4"/>
      <c r="I757" s="4"/>
      <c r="J757" s="4"/>
      <c r="K757" s="4"/>
      <c r="L757" s="4"/>
    </row>
    <row r="758" spans="1:12" ht="13">
      <c r="A758" s="4"/>
      <c r="B758" s="4"/>
      <c r="C758" s="4"/>
      <c r="D758" s="4"/>
      <c r="E758" s="4"/>
      <c r="F758" s="4"/>
      <c r="G758" s="4"/>
      <c r="H758" s="4"/>
      <c r="I758" s="4"/>
      <c r="J758" s="4"/>
      <c r="K758" s="4"/>
      <c r="L758" s="4"/>
    </row>
    <row r="759" spans="1:12" ht="13">
      <c r="A759" s="4"/>
      <c r="B759" s="4"/>
      <c r="C759" s="4"/>
      <c r="D759" s="4"/>
      <c r="E759" s="4"/>
      <c r="F759" s="4"/>
      <c r="G759" s="4"/>
      <c r="H759" s="4"/>
      <c r="I759" s="4"/>
      <c r="J759" s="4"/>
      <c r="K759" s="4"/>
      <c r="L759" s="4"/>
    </row>
    <row r="760" spans="1:12" ht="13">
      <c r="A760" s="4"/>
      <c r="B760" s="4"/>
      <c r="C760" s="4"/>
      <c r="D760" s="4"/>
      <c r="E760" s="4"/>
      <c r="F760" s="4"/>
      <c r="G760" s="4"/>
      <c r="H760" s="4"/>
      <c r="I760" s="4"/>
      <c r="J760" s="4"/>
      <c r="K760" s="4"/>
      <c r="L760" s="4"/>
    </row>
    <row r="761" spans="1:12" ht="13">
      <c r="A761" s="4"/>
      <c r="B761" s="4"/>
      <c r="C761" s="4"/>
      <c r="D761" s="4"/>
      <c r="E761" s="4"/>
      <c r="F761" s="4"/>
      <c r="G761" s="4"/>
      <c r="H761" s="4"/>
      <c r="I761" s="4"/>
      <c r="J761" s="4"/>
      <c r="K761" s="4"/>
      <c r="L761" s="4"/>
    </row>
    <row r="762" spans="1:12" ht="13">
      <c r="A762" s="4"/>
      <c r="B762" s="4"/>
      <c r="C762" s="4"/>
      <c r="D762" s="4"/>
      <c r="E762" s="4"/>
      <c r="F762" s="4"/>
      <c r="G762" s="4"/>
      <c r="H762" s="4"/>
      <c r="I762" s="4"/>
      <c r="J762" s="4"/>
      <c r="K762" s="4"/>
      <c r="L762" s="4"/>
    </row>
    <row r="763" spans="1:12" ht="13">
      <c r="A763" s="4"/>
      <c r="B763" s="4"/>
      <c r="C763" s="4"/>
      <c r="D763" s="4"/>
      <c r="E763" s="4"/>
      <c r="F763" s="4"/>
      <c r="G763" s="4"/>
      <c r="H763" s="4"/>
      <c r="I763" s="4"/>
      <c r="J763" s="4"/>
      <c r="K763" s="4"/>
      <c r="L763" s="4"/>
    </row>
    <row r="764" spans="1:12" ht="13">
      <c r="A764" s="4"/>
      <c r="B764" s="4"/>
      <c r="C764" s="4"/>
      <c r="D764" s="4"/>
      <c r="E764" s="4"/>
      <c r="F764" s="4"/>
      <c r="G764" s="4"/>
      <c r="H764" s="4"/>
      <c r="I764" s="4"/>
      <c r="J764" s="4"/>
      <c r="K764" s="4"/>
      <c r="L764" s="4"/>
    </row>
    <row r="765" spans="1:12" ht="13">
      <c r="A765" s="4"/>
      <c r="B765" s="4"/>
      <c r="C765" s="4"/>
      <c r="D765" s="4"/>
      <c r="E765" s="4"/>
      <c r="F765" s="4"/>
      <c r="G765" s="4"/>
      <c r="H765" s="4"/>
      <c r="I765" s="4"/>
      <c r="J765" s="4"/>
      <c r="K765" s="4"/>
      <c r="L765" s="4"/>
    </row>
    <row r="766" spans="1:12" ht="13">
      <c r="A766" s="4"/>
      <c r="B766" s="4"/>
      <c r="C766" s="4"/>
      <c r="D766" s="4"/>
      <c r="E766" s="4"/>
      <c r="F766" s="4"/>
      <c r="G766" s="4"/>
      <c r="H766" s="4"/>
      <c r="I766" s="4"/>
      <c r="J766" s="4"/>
      <c r="K766" s="4"/>
      <c r="L766" s="4"/>
    </row>
    <row r="767" spans="1:12" ht="13">
      <c r="A767" s="4"/>
      <c r="B767" s="4"/>
      <c r="C767" s="4"/>
      <c r="D767" s="4"/>
      <c r="E767" s="4"/>
      <c r="F767" s="4"/>
      <c r="G767" s="4"/>
      <c r="H767" s="4"/>
      <c r="I767" s="4"/>
      <c r="J767" s="4"/>
      <c r="K767" s="4"/>
      <c r="L767" s="4"/>
    </row>
    <row r="768" spans="1:12" ht="13">
      <c r="A768" s="4"/>
      <c r="B768" s="4"/>
      <c r="C768" s="4"/>
      <c r="D768" s="4"/>
      <c r="E768" s="4"/>
      <c r="F768" s="4"/>
      <c r="G768" s="4"/>
      <c r="H768" s="4"/>
      <c r="I768" s="4"/>
      <c r="J768" s="4"/>
      <c r="K768" s="4"/>
      <c r="L768" s="4"/>
    </row>
    <row r="769" spans="1:12" ht="13">
      <c r="A769" s="4"/>
      <c r="B769" s="4"/>
      <c r="C769" s="4"/>
      <c r="D769" s="4"/>
      <c r="E769" s="4"/>
      <c r="F769" s="4"/>
      <c r="G769" s="4"/>
      <c r="H769" s="4"/>
      <c r="I769" s="4"/>
      <c r="J769" s="4"/>
      <c r="K769" s="4"/>
      <c r="L769" s="4"/>
    </row>
    <row r="770" spans="1:12" ht="13">
      <c r="A770" s="4"/>
      <c r="B770" s="4"/>
      <c r="C770" s="4"/>
      <c r="D770" s="4"/>
      <c r="E770" s="4"/>
      <c r="F770" s="4"/>
      <c r="G770" s="4"/>
      <c r="H770" s="4"/>
      <c r="I770" s="4"/>
      <c r="J770" s="4"/>
      <c r="K770" s="4"/>
      <c r="L770" s="4"/>
    </row>
    <row r="771" spans="1:12" ht="13">
      <c r="A771" s="4"/>
      <c r="B771" s="4"/>
      <c r="C771" s="4"/>
      <c r="D771" s="4"/>
      <c r="E771" s="4"/>
      <c r="F771" s="4"/>
      <c r="G771" s="4"/>
      <c r="H771" s="4"/>
      <c r="I771" s="4"/>
      <c r="J771" s="4"/>
      <c r="K771" s="4"/>
      <c r="L771" s="4"/>
    </row>
    <row r="772" spans="1:12" ht="13">
      <c r="A772" s="4"/>
      <c r="B772" s="4"/>
      <c r="C772" s="4"/>
      <c r="D772" s="4"/>
      <c r="E772" s="4"/>
      <c r="F772" s="4"/>
      <c r="G772" s="4"/>
      <c r="H772" s="4"/>
      <c r="I772" s="4"/>
      <c r="J772" s="4"/>
      <c r="K772" s="4"/>
      <c r="L772" s="4"/>
    </row>
    <row r="773" spans="1:12" ht="13">
      <c r="A773" s="4"/>
      <c r="B773" s="4"/>
      <c r="C773" s="4"/>
      <c r="D773" s="4"/>
      <c r="E773" s="4"/>
      <c r="F773" s="4"/>
      <c r="G773" s="4"/>
      <c r="H773" s="4"/>
      <c r="I773" s="4"/>
      <c r="J773" s="4"/>
      <c r="K773" s="4"/>
      <c r="L773" s="4"/>
    </row>
    <row r="774" spans="1:12" ht="13">
      <c r="A774" s="4"/>
      <c r="B774" s="4"/>
      <c r="C774" s="4"/>
      <c r="D774" s="4"/>
      <c r="E774" s="4"/>
      <c r="F774" s="4"/>
      <c r="G774" s="4"/>
      <c r="H774" s="4"/>
      <c r="I774" s="4"/>
      <c r="J774" s="4"/>
      <c r="K774" s="4"/>
      <c r="L774" s="4"/>
    </row>
    <row r="775" spans="1:12" ht="13">
      <c r="A775" s="4"/>
      <c r="B775" s="4"/>
      <c r="C775" s="4"/>
      <c r="D775" s="4"/>
      <c r="E775" s="4"/>
      <c r="F775" s="4"/>
      <c r="G775" s="4"/>
      <c r="H775" s="4"/>
      <c r="I775" s="4"/>
      <c r="J775" s="4"/>
      <c r="K775" s="4"/>
      <c r="L775" s="4"/>
    </row>
    <row r="776" spans="1:12" ht="13">
      <c r="A776" s="4"/>
      <c r="B776" s="4"/>
      <c r="C776" s="4"/>
      <c r="D776" s="4"/>
      <c r="E776" s="4"/>
      <c r="F776" s="4"/>
      <c r="G776" s="4"/>
      <c r="H776" s="4"/>
      <c r="I776" s="4"/>
      <c r="J776" s="4"/>
      <c r="K776" s="4"/>
      <c r="L776" s="4"/>
    </row>
    <row r="777" spans="1:12" ht="13">
      <c r="A777" s="4"/>
      <c r="B777" s="4"/>
      <c r="C777" s="4"/>
      <c r="D777" s="4"/>
      <c r="E777" s="4"/>
      <c r="F777" s="4"/>
      <c r="G777" s="4"/>
      <c r="H777" s="4"/>
      <c r="I777" s="4"/>
      <c r="J777" s="4"/>
      <c r="K777" s="4"/>
      <c r="L777" s="4"/>
    </row>
    <row r="778" spans="1:12" ht="13">
      <c r="A778" s="4"/>
      <c r="B778" s="4"/>
      <c r="C778" s="4"/>
      <c r="D778" s="4"/>
      <c r="E778" s="4"/>
      <c r="F778" s="4"/>
      <c r="G778" s="4"/>
      <c r="H778" s="4"/>
      <c r="I778" s="4"/>
      <c r="J778" s="4"/>
      <c r="K778" s="4"/>
      <c r="L778" s="4"/>
    </row>
    <row r="779" spans="1:12" ht="13">
      <c r="A779" s="4"/>
      <c r="B779" s="4"/>
      <c r="C779" s="4"/>
      <c r="D779" s="4"/>
      <c r="E779" s="4"/>
      <c r="F779" s="4"/>
      <c r="G779" s="4"/>
      <c r="H779" s="4"/>
      <c r="I779" s="4"/>
      <c r="J779" s="4"/>
      <c r="K779" s="4"/>
      <c r="L779" s="4"/>
    </row>
    <row r="780" spans="1:12" ht="13">
      <c r="A780" s="4"/>
      <c r="B780" s="4"/>
      <c r="C780" s="4"/>
      <c r="D780" s="4"/>
      <c r="E780" s="4"/>
      <c r="F780" s="4"/>
      <c r="G780" s="4"/>
      <c r="H780" s="4"/>
      <c r="I780" s="4"/>
      <c r="J780" s="4"/>
      <c r="K780" s="4"/>
      <c r="L780" s="4"/>
    </row>
    <row r="781" spans="1:12" ht="13">
      <c r="A781" s="4"/>
      <c r="B781" s="4"/>
      <c r="C781" s="4"/>
      <c r="D781" s="4"/>
      <c r="E781" s="4"/>
      <c r="F781" s="4"/>
      <c r="G781" s="4"/>
      <c r="H781" s="4"/>
      <c r="I781" s="4"/>
      <c r="J781" s="4"/>
      <c r="K781" s="4"/>
      <c r="L781" s="4"/>
    </row>
    <row r="782" spans="1:12" ht="13">
      <c r="A782" s="4"/>
      <c r="B782" s="4"/>
      <c r="C782" s="4"/>
      <c r="D782" s="4"/>
      <c r="E782" s="4"/>
      <c r="F782" s="4"/>
      <c r="G782" s="4"/>
      <c r="H782" s="4"/>
      <c r="I782" s="4"/>
      <c r="J782" s="4"/>
      <c r="K782" s="4"/>
      <c r="L782" s="4"/>
    </row>
    <row r="783" spans="1:12" ht="13">
      <c r="A783" s="4"/>
      <c r="B783" s="4"/>
      <c r="C783" s="4"/>
      <c r="D783" s="4"/>
      <c r="E783" s="4"/>
      <c r="F783" s="4"/>
      <c r="G783" s="4"/>
      <c r="H783" s="4"/>
      <c r="I783" s="4"/>
      <c r="J783" s="4"/>
      <c r="K783" s="4"/>
      <c r="L783" s="4"/>
    </row>
    <row r="784" spans="1:12" ht="13">
      <c r="A784" s="4"/>
      <c r="B784" s="4"/>
      <c r="C784" s="4"/>
      <c r="D784" s="4"/>
      <c r="E784" s="4"/>
      <c r="F784" s="4"/>
      <c r="G784" s="4"/>
      <c r="H784" s="4"/>
      <c r="I784" s="4"/>
      <c r="J784" s="4"/>
      <c r="K784" s="4"/>
      <c r="L784" s="4"/>
    </row>
    <row r="785" spans="1:12" ht="13">
      <c r="A785" s="4"/>
      <c r="B785" s="4"/>
      <c r="C785" s="4"/>
      <c r="D785" s="4"/>
      <c r="E785" s="4"/>
      <c r="F785" s="4"/>
      <c r="G785" s="4"/>
      <c r="H785" s="4"/>
      <c r="I785" s="4"/>
      <c r="J785" s="4"/>
      <c r="K785" s="4"/>
      <c r="L785" s="4"/>
    </row>
    <row r="786" spans="1:12" ht="13">
      <c r="A786" s="4"/>
      <c r="B786" s="4"/>
      <c r="C786" s="4"/>
      <c r="D786" s="4"/>
      <c r="E786" s="4"/>
      <c r="F786" s="4"/>
      <c r="G786" s="4"/>
      <c r="H786" s="4"/>
      <c r="I786" s="4"/>
      <c r="J786" s="4"/>
      <c r="K786" s="4"/>
      <c r="L786" s="4"/>
    </row>
    <row r="787" spans="1:12" ht="13">
      <c r="A787" s="4"/>
      <c r="B787" s="4"/>
      <c r="C787" s="4"/>
      <c r="D787" s="4"/>
      <c r="E787" s="4"/>
      <c r="F787" s="4"/>
      <c r="G787" s="4"/>
      <c r="H787" s="4"/>
      <c r="I787" s="4"/>
      <c r="J787" s="4"/>
      <c r="K787" s="4"/>
      <c r="L787" s="4"/>
    </row>
    <row r="788" spans="1:12" ht="13">
      <c r="A788" s="4"/>
      <c r="B788" s="4"/>
      <c r="C788" s="4"/>
      <c r="D788" s="4"/>
      <c r="E788" s="4"/>
      <c r="F788" s="4"/>
      <c r="G788" s="4"/>
      <c r="H788" s="4"/>
      <c r="I788" s="4"/>
      <c r="J788" s="4"/>
      <c r="K788" s="4"/>
      <c r="L788" s="4"/>
    </row>
    <row r="789" spans="1:12" ht="13">
      <c r="A789" s="4"/>
      <c r="B789" s="4"/>
      <c r="C789" s="4"/>
      <c r="D789" s="4"/>
      <c r="E789" s="4"/>
      <c r="F789" s="4"/>
      <c r="G789" s="4"/>
      <c r="H789" s="4"/>
      <c r="I789" s="4"/>
      <c r="J789" s="4"/>
      <c r="K789" s="4"/>
      <c r="L789" s="4"/>
    </row>
    <row r="790" spans="1:12" ht="13">
      <c r="A790" s="4"/>
      <c r="B790" s="4"/>
      <c r="C790" s="4"/>
      <c r="D790" s="4"/>
      <c r="E790" s="4"/>
      <c r="F790" s="4"/>
      <c r="G790" s="4"/>
      <c r="H790" s="4"/>
      <c r="I790" s="4"/>
      <c r="J790" s="4"/>
      <c r="K790" s="4"/>
      <c r="L790" s="4"/>
    </row>
    <row r="791" spans="1:12" ht="13">
      <c r="A791" s="4"/>
      <c r="B791" s="4"/>
      <c r="C791" s="4"/>
      <c r="D791" s="4"/>
      <c r="E791" s="4"/>
      <c r="F791" s="4"/>
      <c r="G791" s="4"/>
      <c r="H791" s="4"/>
      <c r="I791" s="4"/>
      <c r="J791" s="4"/>
      <c r="K791" s="4"/>
      <c r="L791" s="4"/>
    </row>
    <row r="792" spans="1:12" ht="13">
      <c r="A792" s="4"/>
      <c r="B792" s="4"/>
      <c r="C792" s="4"/>
      <c r="D792" s="4"/>
      <c r="E792" s="4"/>
      <c r="F792" s="4"/>
      <c r="G792" s="4"/>
      <c r="H792" s="4"/>
      <c r="I792" s="4"/>
      <c r="J792" s="4"/>
      <c r="K792" s="4"/>
      <c r="L792" s="4"/>
    </row>
    <row r="793" spans="1:12" ht="13">
      <c r="A793" s="4"/>
      <c r="B793" s="4"/>
      <c r="C793" s="4"/>
      <c r="D793" s="4"/>
      <c r="E793" s="4"/>
      <c r="F793" s="4"/>
      <c r="G793" s="4"/>
      <c r="H793" s="4"/>
      <c r="I793" s="4"/>
      <c r="J793" s="4"/>
      <c r="K793" s="4"/>
      <c r="L793" s="4"/>
    </row>
    <row r="794" spans="1:12" ht="13">
      <c r="A794" s="4"/>
      <c r="B794" s="4"/>
      <c r="C794" s="4"/>
      <c r="D794" s="4"/>
      <c r="E794" s="4"/>
      <c r="F794" s="4"/>
      <c r="G794" s="4"/>
      <c r="H794" s="4"/>
      <c r="I794" s="4"/>
      <c r="J794" s="4"/>
      <c r="K794" s="4"/>
      <c r="L794" s="4"/>
    </row>
    <row r="795" spans="1:12" ht="13">
      <c r="A795" s="4"/>
      <c r="B795" s="4"/>
      <c r="C795" s="4"/>
      <c r="D795" s="4"/>
      <c r="E795" s="4"/>
      <c r="F795" s="4"/>
      <c r="G795" s="4"/>
      <c r="H795" s="4"/>
      <c r="I795" s="4"/>
      <c r="J795" s="4"/>
      <c r="K795" s="4"/>
      <c r="L795" s="4"/>
    </row>
    <row r="796" spans="1:12" ht="13">
      <c r="A796" s="4"/>
      <c r="B796" s="4"/>
      <c r="C796" s="4"/>
      <c r="D796" s="4"/>
      <c r="E796" s="4"/>
      <c r="F796" s="4"/>
      <c r="G796" s="4"/>
      <c r="H796" s="4"/>
      <c r="I796" s="4"/>
      <c r="J796" s="4"/>
      <c r="K796" s="4"/>
      <c r="L796" s="4"/>
    </row>
    <row r="797" spans="1:12" ht="13">
      <c r="A797" s="4"/>
      <c r="B797" s="4"/>
      <c r="C797" s="4"/>
      <c r="D797" s="4"/>
      <c r="E797" s="4"/>
      <c r="F797" s="4"/>
      <c r="G797" s="4"/>
      <c r="H797" s="4"/>
      <c r="I797" s="4"/>
      <c r="J797" s="4"/>
      <c r="K797" s="4"/>
      <c r="L797" s="4"/>
    </row>
    <row r="798" spans="1:12" ht="13">
      <c r="A798" s="4"/>
      <c r="B798" s="4"/>
      <c r="C798" s="4"/>
      <c r="D798" s="4"/>
      <c r="E798" s="4"/>
      <c r="F798" s="4"/>
      <c r="G798" s="4"/>
      <c r="H798" s="4"/>
      <c r="I798" s="4"/>
      <c r="J798" s="4"/>
      <c r="K798" s="4"/>
      <c r="L798" s="4"/>
    </row>
    <row r="799" spans="1:12" ht="13">
      <c r="A799" s="4"/>
      <c r="B799" s="4"/>
      <c r="C799" s="4"/>
      <c r="D799" s="4"/>
      <c r="E799" s="4"/>
      <c r="F799" s="4"/>
      <c r="G799" s="4"/>
      <c r="H799" s="4"/>
      <c r="I799" s="4"/>
      <c r="J799" s="4"/>
      <c r="K799" s="4"/>
      <c r="L799" s="4"/>
    </row>
    <row r="800" spans="1:12" ht="13">
      <c r="A800" s="4"/>
      <c r="B800" s="4"/>
      <c r="C800" s="4"/>
      <c r="D800" s="4"/>
      <c r="E800" s="4"/>
      <c r="F800" s="4"/>
      <c r="G800" s="4"/>
      <c r="H800" s="4"/>
      <c r="I800" s="4"/>
      <c r="J800" s="4"/>
      <c r="K800" s="4"/>
      <c r="L800" s="4"/>
    </row>
    <row r="801" spans="1:12" ht="13">
      <c r="A801" s="4"/>
      <c r="B801" s="4"/>
      <c r="C801" s="4"/>
      <c r="D801" s="4"/>
      <c r="E801" s="4"/>
      <c r="F801" s="4"/>
      <c r="G801" s="4"/>
      <c r="H801" s="4"/>
      <c r="I801" s="4"/>
      <c r="J801" s="4"/>
      <c r="K801" s="4"/>
      <c r="L801" s="4"/>
    </row>
    <row r="802" spans="1:12" ht="13">
      <c r="A802" s="4"/>
      <c r="B802" s="4"/>
      <c r="C802" s="4"/>
      <c r="D802" s="4"/>
      <c r="E802" s="4"/>
      <c r="F802" s="4"/>
      <c r="G802" s="4"/>
      <c r="H802" s="4"/>
      <c r="I802" s="4"/>
      <c r="J802" s="4"/>
      <c r="K802" s="4"/>
      <c r="L802" s="4"/>
    </row>
    <row r="803" spans="1:12" ht="13">
      <c r="A803" s="4"/>
      <c r="B803" s="4"/>
      <c r="C803" s="4"/>
      <c r="D803" s="4"/>
      <c r="E803" s="4"/>
      <c r="F803" s="4"/>
      <c r="G803" s="4"/>
      <c r="H803" s="4"/>
      <c r="I803" s="4"/>
      <c r="J803" s="4"/>
      <c r="K803" s="4"/>
      <c r="L803" s="4"/>
    </row>
    <row r="804" spans="1:12" ht="13">
      <c r="A804" s="4"/>
      <c r="B804" s="4"/>
      <c r="C804" s="4"/>
      <c r="D804" s="4"/>
      <c r="E804" s="4"/>
      <c r="F804" s="4"/>
      <c r="G804" s="4"/>
      <c r="H804" s="4"/>
      <c r="I804" s="4"/>
      <c r="J804" s="4"/>
      <c r="K804" s="4"/>
      <c r="L804" s="4"/>
    </row>
    <row r="805" spans="1:12" ht="13">
      <c r="A805" s="4"/>
      <c r="B805" s="4"/>
      <c r="C805" s="4"/>
      <c r="D805" s="4"/>
      <c r="E805" s="4"/>
      <c r="F805" s="4"/>
      <c r="G805" s="4"/>
      <c r="H805" s="4"/>
      <c r="I805" s="4"/>
      <c r="J805" s="4"/>
      <c r="K805" s="4"/>
      <c r="L805" s="4"/>
    </row>
    <row r="806" spans="1:12" ht="13">
      <c r="A806" s="4"/>
      <c r="B806" s="4"/>
      <c r="C806" s="4"/>
      <c r="D806" s="4"/>
      <c r="E806" s="4"/>
      <c r="F806" s="4"/>
      <c r="G806" s="4"/>
      <c r="H806" s="4"/>
      <c r="I806" s="4"/>
      <c r="J806" s="4"/>
      <c r="K806" s="4"/>
      <c r="L806" s="4"/>
    </row>
    <row r="807" spans="1:12" ht="13">
      <c r="A807" s="4"/>
      <c r="B807" s="4"/>
      <c r="C807" s="4"/>
      <c r="D807" s="4"/>
      <c r="E807" s="4"/>
      <c r="F807" s="4"/>
      <c r="G807" s="4"/>
      <c r="H807" s="4"/>
      <c r="I807" s="4"/>
      <c r="J807" s="4"/>
      <c r="K807" s="4"/>
      <c r="L807" s="4"/>
    </row>
    <row r="808" spans="1:12" ht="13">
      <c r="A808" s="4"/>
      <c r="B808" s="4"/>
      <c r="C808" s="4"/>
      <c r="D808" s="4"/>
      <c r="E808" s="4"/>
      <c r="F808" s="4"/>
      <c r="G808" s="4"/>
      <c r="H808" s="4"/>
      <c r="I808" s="4"/>
      <c r="J808" s="4"/>
      <c r="K808" s="4"/>
      <c r="L808" s="4"/>
    </row>
    <row r="809" spans="1:12" ht="13">
      <c r="A809" s="4"/>
      <c r="B809" s="4"/>
      <c r="C809" s="4"/>
      <c r="D809" s="4"/>
      <c r="E809" s="4"/>
      <c r="F809" s="4"/>
      <c r="G809" s="4"/>
      <c r="H809" s="4"/>
      <c r="I809" s="4"/>
      <c r="J809" s="4"/>
      <c r="K809" s="4"/>
      <c r="L809" s="4"/>
    </row>
    <row r="810" spans="1:12" ht="13">
      <c r="A810" s="4"/>
      <c r="B810" s="4"/>
      <c r="C810" s="4"/>
      <c r="D810" s="4"/>
      <c r="E810" s="4"/>
      <c r="F810" s="4"/>
      <c r="G810" s="4"/>
      <c r="H810" s="4"/>
      <c r="I810" s="4"/>
      <c r="J810" s="4"/>
      <c r="K810" s="4"/>
      <c r="L810" s="4"/>
    </row>
    <row r="811" spans="1:12" ht="13">
      <c r="A811" s="4"/>
      <c r="B811" s="4"/>
      <c r="C811" s="4"/>
      <c r="D811" s="4"/>
      <c r="E811" s="4"/>
      <c r="F811" s="4"/>
      <c r="G811" s="4"/>
      <c r="H811" s="4"/>
      <c r="I811" s="4"/>
      <c r="J811" s="4"/>
      <c r="K811" s="4"/>
      <c r="L811" s="4"/>
    </row>
    <row r="812" spans="1:12" ht="13">
      <c r="A812" s="4"/>
      <c r="B812" s="4"/>
      <c r="C812" s="4"/>
      <c r="D812" s="4"/>
      <c r="E812" s="4"/>
      <c r="F812" s="4"/>
      <c r="G812" s="4"/>
      <c r="H812" s="4"/>
      <c r="I812" s="4"/>
      <c r="J812" s="4"/>
      <c r="K812" s="4"/>
      <c r="L812" s="4"/>
    </row>
    <row r="813" spans="1:12" ht="13">
      <c r="A813" s="4"/>
      <c r="B813" s="4"/>
      <c r="C813" s="4"/>
      <c r="D813" s="4"/>
      <c r="E813" s="4"/>
      <c r="F813" s="4"/>
      <c r="G813" s="4"/>
      <c r="H813" s="4"/>
      <c r="I813" s="4"/>
      <c r="J813" s="4"/>
      <c r="K813" s="4"/>
      <c r="L813" s="4"/>
    </row>
    <row r="814" spans="1:12" ht="13">
      <c r="A814" s="4"/>
      <c r="B814" s="4"/>
      <c r="C814" s="4"/>
      <c r="D814" s="4"/>
      <c r="E814" s="4"/>
      <c r="F814" s="4"/>
      <c r="G814" s="4"/>
      <c r="H814" s="4"/>
      <c r="I814" s="4"/>
      <c r="J814" s="4"/>
      <c r="K814" s="4"/>
      <c r="L814" s="4"/>
    </row>
    <row r="815" spans="1:12" ht="13">
      <c r="A815" s="4"/>
      <c r="B815" s="4"/>
      <c r="C815" s="4"/>
      <c r="D815" s="4"/>
      <c r="E815" s="4"/>
      <c r="F815" s="4"/>
      <c r="G815" s="4"/>
      <c r="H815" s="4"/>
      <c r="I815" s="4"/>
      <c r="J815" s="4"/>
      <c r="K815" s="4"/>
      <c r="L815" s="4"/>
    </row>
    <row r="816" spans="1:12" ht="13">
      <c r="A816" s="4"/>
      <c r="B816" s="4"/>
      <c r="C816" s="4"/>
      <c r="D816" s="4"/>
      <c r="E816" s="4"/>
      <c r="F816" s="4"/>
      <c r="G816" s="4"/>
      <c r="H816" s="4"/>
      <c r="I816" s="4"/>
      <c r="J816" s="4"/>
      <c r="K816" s="4"/>
      <c r="L816" s="4"/>
    </row>
    <row r="817" spans="1:12" ht="13">
      <c r="A817" s="4"/>
      <c r="B817" s="4"/>
      <c r="C817" s="4"/>
      <c r="D817" s="4"/>
      <c r="E817" s="4"/>
      <c r="F817" s="4"/>
      <c r="G817" s="4"/>
      <c r="H817" s="4"/>
      <c r="I817" s="4"/>
      <c r="J817" s="4"/>
      <c r="K817" s="4"/>
      <c r="L817" s="4"/>
    </row>
    <row r="818" spans="1:12" ht="13">
      <c r="A818" s="4"/>
      <c r="B818" s="4"/>
      <c r="C818" s="4"/>
      <c r="D818" s="4"/>
      <c r="E818" s="4"/>
      <c r="F818" s="4"/>
      <c r="G818" s="4"/>
      <c r="H818" s="4"/>
      <c r="I818" s="4"/>
      <c r="J818" s="4"/>
      <c r="K818" s="4"/>
      <c r="L818" s="4"/>
    </row>
    <row r="819" spans="1:12" ht="13">
      <c r="A819" s="4"/>
      <c r="B819" s="4"/>
      <c r="C819" s="4"/>
      <c r="D819" s="4"/>
      <c r="E819" s="4"/>
      <c r="F819" s="4"/>
      <c r="G819" s="4"/>
      <c r="H819" s="4"/>
      <c r="I819" s="4"/>
      <c r="J819" s="4"/>
      <c r="K819" s="4"/>
      <c r="L819" s="4"/>
    </row>
    <row r="820" spans="1:12" ht="13">
      <c r="A820" s="4"/>
      <c r="B820" s="4"/>
      <c r="C820" s="4"/>
      <c r="D820" s="4"/>
      <c r="E820" s="4"/>
      <c r="F820" s="4"/>
      <c r="G820" s="4"/>
      <c r="H820" s="4"/>
      <c r="I820" s="4"/>
      <c r="J820" s="4"/>
      <c r="K820" s="4"/>
      <c r="L820" s="4"/>
    </row>
    <row r="821" spans="1:12" ht="13">
      <c r="A821" s="4"/>
      <c r="B821" s="4"/>
      <c r="C821" s="4"/>
      <c r="D821" s="4"/>
      <c r="E821" s="4"/>
      <c r="F821" s="4"/>
      <c r="G821" s="4"/>
      <c r="H821" s="4"/>
      <c r="I821" s="4"/>
      <c r="J821" s="4"/>
      <c r="K821" s="4"/>
      <c r="L821" s="4"/>
    </row>
    <row r="822" spans="1:12" ht="13">
      <c r="A822" s="4"/>
      <c r="B822" s="4"/>
      <c r="C822" s="4"/>
      <c r="D822" s="4"/>
      <c r="E822" s="4"/>
      <c r="F822" s="4"/>
      <c r="G822" s="4"/>
      <c r="H822" s="4"/>
      <c r="I822" s="4"/>
      <c r="J822" s="4"/>
      <c r="K822" s="4"/>
      <c r="L822" s="4"/>
    </row>
    <row r="823" spans="1:12" ht="13">
      <c r="A823" s="4"/>
      <c r="B823" s="4"/>
      <c r="C823" s="4"/>
      <c r="D823" s="4"/>
      <c r="E823" s="4"/>
      <c r="F823" s="4"/>
      <c r="G823" s="4"/>
      <c r="H823" s="4"/>
      <c r="I823" s="4"/>
      <c r="J823" s="4"/>
      <c r="K823" s="4"/>
      <c r="L823" s="4"/>
    </row>
    <row r="824" spans="1:12" ht="13">
      <c r="A824" s="4"/>
      <c r="B824" s="4"/>
      <c r="C824" s="4"/>
      <c r="D824" s="4"/>
      <c r="E824" s="4"/>
      <c r="F824" s="4"/>
      <c r="G824" s="4"/>
      <c r="H824" s="4"/>
      <c r="I824" s="4"/>
      <c r="J824" s="4"/>
      <c r="K824" s="4"/>
      <c r="L824" s="4"/>
    </row>
    <row r="825" spans="1:12" ht="13">
      <c r="A825" s="4"/>
      <c r="B825" s="4"/>
      <c r="C825" s="4"/>
      <c r="D825" s="4"/>
      <c r="E825" s="4"/>
      <c r="F825" s="4"/>
      <c r="G825" s="4"/>
      <c r="H825" s="4"/>
      <c r="I825" s="4"/>
      <c r="J825" s="4"/>
      <c r="K825" s="4"/>
      <c r="L825" s="4"/>
    </row>
    <row r="826" spans="1:12" ht="13">
      <c r="A826" s="4"/>
      <c r="B826" s="4"/>
      <c r="C826" s="4"/>
      <c r="D826" s="4"/>
      <c r="E826" s="4"/>
      <c r="F826" s="4"/>
      <c r="G826" s="4"/>
      <c r="H826" s="4"/>
      <c r="I826" s="4"/>
      <c r="J826" s="4"/>
      <c r="K826" s="4"/>
      <c r="L826" s="4"/>
    </row>
    <row r="827" spans="1:12" ht="13">
      <c r="A827" s="4"/>
      <c r="B827" s="4"/>
      <c r="C827" s="4"/>
      <c r="D827" s="4"/>
      <c r="E827" s="4"/>
      <c r="F827" s="4"/>
      <c r="G827" s="4"/>
      <c r="H827" s="4"/>
      <c r="I827" s="4"/>
      <c r="J827" s="4"/>
      <c r="K827" s="4"/>
      <c r="L827" s="4"/>
    </row>
    <row r="828" spans="1:12" ht="13">
      <c r="A828" s="4"/>
      <c r="B828" s="4"/>
      <c r="C828" s="4"/>
      <c r="D828" s="4"/>
      <c r="E828" s="4"/>
      <c r="F828" s="4"/>
      <c r="G828" s="4"/>
      <c r="H828" s="4"/>
      <c r="I828" s="4"/>
      <c r="J828" s="4"/>
      <c r="K828" s="4"/>
      <c r="L828" s="4"/>
    </row>
    <row r="829" spans="1:12" ht="13">
      <c r="A829" s="4"/>
      <c r="B829" s="4"/>
      <c r="C829" s="4"/>
      <c r="D829" s="4"/>
      <c r="E829" s="4"/>
      <c r="F829" s="4"/>
      <c r="G829" s="4"/>
      <c r="H829" s="4"/>
      <c r="I829" s="4"/>
      <c r="J829" s="4"/>
      <c r="K829" s="4"/>
      <c r="L829" s="4"/>
    </row>
    <row r="830" spans="1:12" ht="13">
      <c r="A830" s="4"/>
      <c r="B830" s="4"/>
      <c r="C830" s="4"/>
      <c r="D830" s="4"/>
      <c r="E830" s="4"/>
      <c r="F830" s="4"/>
      <c r="G830" s="4"/>
      <c r="H830" s="4"/>
      <c r="I830" s="4"/>
      <c r="J830" s="4"/>
      <c r="K830" s="4"/>
      <c r="L830" s="4"/>
    </row>
    <row r="831" spans="1:12" ht="13">
      <c r="A831" s="4"/>
      <c r="B831" s="4"/>
      <c r="C831" s="4"/>
      <c r="D831" s="4"/>
      <c r="E831" s="4"/>
      <c r="F831" s="4"/>
      <c r="G831" s="4"/>
      <c r="H831" s="4"/>
      <c r="I831" s="4"/>
      <c r="J831" s="4"/>
      <c r="K831" s="4"/>
      <c r="L831" s="4"/>
    </row>
    <row r="832" spans="1:12" ht="13">
      <c r="A832" s="4"/>
      <c r="B832" s="4"/>
      <c r="C832" s="4"/>
      <c r="D832" s="4"/>
      <c r="E832" s="4"/>
      <c r="F832" s="4"/>
      <c r="G832" s="4"/>
      <c r="H832" s="4"/>
      <c r="I832" s="4"/>
      <c r="J832" s="4"/>
      <c r="K832" s="4"/>
      <c r="L832" s="4"/>
    </row>
    <row r="833" spans="1:12" ht="13">
      <c r="A833" s="4"/>
      <c r="B833" s="4"/>
      <c r="C833" s="4"/>
      <c r="D833" s="4"/>
      <c r="E833" s="4"/>
      <c r="F833" s="4"/>
      <c r="G833" s="4"/>
      <c r="H833" s="4"/>
      <c r="I833" s="4"/>
      <c r="J833" s="4"/>
      <c r="K833" s="4"/>
      <c r="L833" s="4"/>
    </row>
    <row r="834" spans="1:12" ht="13">
      <c r="A834" s="4"/>
      <c r="B834" s="4"/>
      <c r="C834" s="4"/>
      <c r="D834" s="4"/>
      <c r="E834" s="4"/>
      <c r="F834" s="4"/>
      <c r="G834" s="4"/>
      <c r="H834" s="4"/>
      <c r="I834" s="4"/>
      <c r="J834" s="4"/>
      <c r="K834" s="4"/>
      <c r="L834" s="4"/>
    </row>
    <row r="835" spans="1:12" ht="13">
      <c r="A835" s="4"/>
      <c r="B835" s="4"/>
      <c r="C835" s="4"/>
      <c r="D835" s="4"/>
      <c r="E835" s="4"/>
      <c r="F835" s="4"/>
      <c r="G835" s="4"/>
      <c r="H835" s="4"/>
      <c r="I835" s="4"/>
      <c r="J835" s="4"/>
      <c r="K835" s="4"/>
      <c r="L835" s="4"/>
    </row>
    <row r="836" spans="1:12" ht="13">
      <c r="A836" s="4"/>
      <c r="B836" s="4"/>
      <c r="C836" s="4"/>
      <c r="D836" s="4"/>
      <c r="E836" s="4"/>
      <c r="F836" s="4"/>
      <c r="G836" s="4"/>
      <c r="H836" s="4"/>
      <c r="I836" s="4"/>
      <c r="J836" s="4"/>
      <c r="K836" s="4"/>
      <c r="L836" s="4"/>
    </row>
    <row r="837" spans="1:12" ht="13">
      <c r="A837" s="4"/>
      <c r="B837" s="4"/>
      <c r="C837" s="4"/>
      <c r="D837" s="4"/>
      <c r="E837" s="4"/>
      <c r="F837" s="4"/>
      <c r="G837" s="4"/>
      <c r="H837" s="4"/>
      <c r="I837" s="4"/>
      <c r="J837" s="4"/>
      <c r="K837" s="4"/>
      <c r="L837" s="4"/>
    </row>
    <row r="838" spans="1:12" ht="13">
      <c r="A838" s="4"/>
      <c r="B838" s="4"/>
      <c r="C838" s="4"/>
      <c r="D838" s="4"/>
      <c r="E838" s="4"/>
      <c r="F838" s="4"/>
      <c r="G838" s="4"/>
      <c r="H838" s="4"/>
      <c r="I838" s="4"/>
      <c r="J838" s="4"/>
      <c r="K838" s="4"/>
      <c r="L838" s="4"/>
    </row>
    <row r="839" spans="1:12" ht="13">
      <c r="A839" s="4"/>
      <c r="B839" s="4"/>
      <c r="C839" s="4"/>
      <c r="D839" s="4"/>
      <c r="E839" s="4"/>
      <c r="F839" s="4"/>
      <c r="G839" s="4"/>
      <c r="H839" s="4"/>
      <c r="I839" s="4"/>
      <c r="J839" s="4"/>
      <c r="K839" s="4"/>
      <c r="L839" s="4"/>
    </row>
    <row r="840" spans="1:12" ht="13">
      <c r="A840" s="4"/>
      <c r="B840" s="4"/>
      <c r="C840" s="4"/>
      <c r="D840" s="4"/>
      <c r="E840" s="4"/>
      <c r="F840" s="4"/>
      <c r="G840" s="4"/>
      <c r="H840" s="4"/>
      <c r="I840" s="4"/>
      <c r="J840" s="4"/>
      <c r="K840" s="4"/>
      <c r="L840" s="4"/>
    </row>
    <row r="841" spans="1:12" ht="13">
      <c r="A841" s="4"/>
      <c r="B841" s="4"/>
      <c r="C841" s="4"/>
      <c r="D841" s="4"/>
      <c r="E841" s="4"/>
      <c r="F841" s="4"/>
      <c r="G841" s="4"/>
      <c r="H841" s="4"/>
      <c r="I841" s="4"/>
      <c r="J841" s="4"/>
      <c r="K841" s="4"/>
      <c r="L841" s="4"/>
    </row>
    <row r="842" spans="1:12" ht="13">
      <c r="A842" s="4"/>
      <c r="B842" s="4"/>
      <c r="C842" s="4"/>
      <c r="D842" s="4"/>
      <c r="E842" s="4"/>
      <c r="F842" s="4"/>
      <c r="G842" s="4"/>
      <c r="H842" s="4"/>
      <c r="I842" s="4"/>
      <c r="J842" s="4"/>
      <c r="K842" s="4"/>
      <c r="L842" s="4"/>
    </row>
    <row r="843" spans="1:12" ht="13">
      <c r="A843" s="4"/>
      <c r="B843" s="4"/>
      <c r="C843" s="4"/>
      <c r="D843" s="4"/>
      <c r="E843" s="4"/>
      <c r="F843" s="4"/>
      <c r="G843" s="4"/>
      <c r="H843" s="4"/>
      <c r="I843" s="4"/>
      <c r="J843" s="4"/>
      <c r="K843" s="4"/>
      <c r="L843" s="4"/>
    </row>
    <row r="844" spans="1:12" ht="13">
      <c r="A844" s="4"/>
      <c r="B844" s="4"/>
      <c r="C844" s="4"/>
      <c r="D844" s="4"/>
      <c r="E844" s="4"/>
      <c r="F844" s="4"/>
      <c r="G844" s="4"/>
      <c r="H844" s="4"/>
      <c r="I844" s="4"/>
      <c r="J844" s="4"/>
      <c r="K844" s="4"/>
      <c r="L844" s="4"/>
    </row>
    <row r="845" spans="1:12" ht="13">
      <c r="A845" s="4"/>
      <c r="B845" s="4"/>
      <c r="C845" s="4"/>
      <c r="D845" s="4"/>
      <c r="E845" s="4"/>
      <c r="F845" s="4"/>
      <c r="G845" s="4"/>
      <c r="H845" s="4"/>
      <c r="I845" s="4"/>
      <c r="J845" s="4"/>
      <c r="K845" s="4"/>
      <c r="L845" s="4"/>
    </row>
    <row r="846" spans="1:12" ht="13">
      <c r="A846" s="4"/>
      <c r="B846" s="4"/>
      <c r="C846" s="4"/>
      <c r="D846" s="4"/>
      <c r="E846" s="4"/>
      <c r="F846" s="4"/>
      <c r="G846" s="4"/>
      <c r="H846" s="4"/>
      <c r="I846" s="4"/>
      <c r="J846" s="4"/>
      <c r="K846" s="4"/>
      <c r="L846" s="4"/>
    </row>
    <row r="847" spans="1:12" ht="13">
      <c r="A847" s="4"/>
      <c r="B847" s="4"/>
      <c r="C847" s="4"/>
      <c r="D847" s="4"/>
      <c r="E847" s="4"/>
      <c r="F847" s="4"/>
      <c r="G847" s="4"/>
      <c r="H847" s="4"/>
      <c r="I847" s="4"/>
      <c r="J847" s="4"/>
      <c r="K847" s="4"/>
      <c r="L847" s="4"/>
    </row>
    <row r="848" spans="1:12" ht="13">
      <c r="A848" s="4"/>
      <c r="B848" s="4"/>
      <c r="C848" s="4"/>
      <c r="D848" s="4"/>
      <c r="E848" s="4"/>
      <c r="F848" s="4"/>
      <c r="G848" s="4"/>
      <c r="H848" s="4"/>
      <c r="I848" s="4"/>
      <c r="J848" s="4"/>
      <c r="K848" s="4"/>
      <c r="L848" s="4"/>
    </row>
    <row r="849" spans="1:12" ht="13">
      <c r="A849" s="4"/>
      <c r="B849" s="4"/>
      <c r="C849" s="4"/>
      <c r="D849" s="4"/>
      <c r="E849" s="4"/>
      <c r="F849" s="4"/>
      <c r="G849" s="4"/>
      <c r="H849" s="4"/>
      <c r="I849" s="4"/>
      <c r="J849" s="4"/>
      <c r="K849" s="4"/>
      <c r="L849" s="4"/>
    </row>
    <row r="850" spans="1:12" ht="13">
      <c r="A850" s="4"/>
      <c r="B850" s="4"/>
      <c r="C850" s="4"/>
      <c r="D850" s="4"/>
      <c r="E850" s="4"/>
      <c r="F850" s="4"/>
      <c r="G850" s="4"/>
      <c r="H850" s="4"/>
      <c r="I850" s="4"/>
      <c r="J850" s="4"/>
      <c r="K850" s="4"/>
      <c r="L850" s="4"/>
    </row>
    <row r="851" spans="1:12" ht="13">
      <c r="A851" s="4"/>
      <c r="B851" s="4"/>
      <c r="C851" s="4"/>
      <c r="D851" s="4"/>
      <c r="E851" s="4"/>
      <c r="F851" s="4"/>
      <c r="G851" s="4"/>
      <c r="H851" s="4"/>
      <c r="I851" s="4"/>
      <c r="J851" s="4"/>
      <c r="K851" s="4"/>
      <c r="L851" s="4"/>
    </row>
    <row r="852" spans="1:12" ht="13">
      <c r="A852" s="4"/>
      <c r="B852" s="4"/>
      <c r="C852" s="4"/>
      <c r="D852" s="4"/>
      <c r="E852" s="4"/>
      <c r="F852" s="4"/>
      <c r="G852" s="4"/>
      <c r="H852" s="4"/>
      <c r="I852" s="4"/>
      <c r="J852" s="4"/>
      <c r="K852" s="4"/>
      <c r="L852" s="4"/>
    </row>
    <row r="853" spans="1:12" ht="13">
      <c r="A853" s="4"/>
      <c r="B853" s="4"/>
      <c r="C853" s="4"/>
      <c r="D853" s="4"/>
      <c r="E853" s="4"/>
      <c r="F853" s="4"/>
      <c r="G853" s="4"/>
      <c r="H853" s="4"/>
      <c r="I853" s="4"/>
      <c r="J853" s="4"/>
      <c r="K853" s="4"/>
      <c r="L853" s="4"/>
    </row>
    <row r="854" spans="1:12" ht="13">
      <c r="A854" s="4"/>
      <c r="B854" s="4"/>
      <c r="C854" s="4"/>
      <c r="D854" s="4"/>
      <c r="E854" s="4"/>
      <c r="F854" s="4"/>
      <c r="G854" s="4"/>
      <c r="H854" s="4"/>
      <c r="I854" s="4"/>
      <c r="J854" s="4"/>
      <c r="K854" s="4"/>
      <c r="L854" s="4"/>
    </row>
    <row r="855" spans="1:12" ht="13">
      <c r="A855" s="4"/>
      <c r="B855" s="4"/>
      <c r="C855" s="4"/>
      <c r="D855" s="4"/>
      <c r="E855" s="4"/>
      <c r="F855" s="4"/>
      <c r="G855" s="4"/>
      <c r="H855" s="4"/>
      <c r="I855" s="4"/>
      <c r="J855" s="4"/>
      <c r="K855" s="4"/>
      <c r="L855" s="4"/>
    </row>
    <row r="856" spans="1:12" ht="13">
      <c r="A856" s="4"/>
      <c r="B856" s="4"/>
      <c r="C856" s="4"/>
      <c r="D856" s="4"/>
      <c r="E856" s="4"/>
      <c r="F856" s="4"/>
      <c r="G856" s="4"/>
      <c r="H856" s="4"/>
      <c r="I856" s="4"/>
      <c r="J856" s="4"/>
      <c r="K856" s="4"/>
      <c r="L856" s="4"/>
    </row>
    <row r="857" spans="1:12" ht="13">
      <c r="A857" s="4"/>
      <c r="B857" s="4"/>
      <c r="C857" s="4"/>
      <c r="D857" s="4"/>
      <c r="E857" s="4"/>
      <c r="F857" s="4"/>
      <c r="G857" s="4"/>
      <c r="H857" s="4"/>
      <c r="I857" s="4"/>
      <c r="J857" s="4"/>
      <c r="K857" s="4"/>
      <c r="L857" s="4"/>
    </row>
    <row r="858" spans="1:12" ht="13">
      <c r="A858" s="4"/>
      <c r="B858" s="4"/>
      <c r="C858" s="4"/>
      <c r="D858" s="4"/>
      <c r="E858" s="4"/>
      <c r="F858" s="4"/>
      <c r="G858" s="4"/>
      <c r="H858" s="4"/>
      <c r="I858" s="4"/>
      <c r="J858" s="4"/>
      <c r="K858" s="4"/>
      <c r="L858" s="4"/>
    </row>
    <row r="859" spans="1:12" ht="13">
      <c r="A859" s="4"/>
      <c r="B859" s="4"/>
      <c r="C859" s="4"/>
      <c r="D859" s="4"/>
      <c r="E859" s="4"/>
      <c r="F859" s="4"/>
      <c r="G859" s="4"/>
      <c r="H859" s="4"/>
      <c r="I859" s="4"/>
      <c r="J859" s="4"/>
      <c r="K859" s="4"/>
      <c r="L859" s="4"/>
    </row>
    <row r="860" spans="1:12" ht="13">
      <c r="A860" s="4"/>
      <c r="B860" s="4"/>
      <c r="C860" s="4"/>
      <c r="D860" s="4"/>
      <c r="E860" s="4"/>
      <c r="F860" s="4"/>
      <c r="G860" s="4"/>
      <c r="H860" s="4"/>
      <c r="I860" s="4"/>
      <c r="J860" s="4"/>
      <c r="K860" s="4"/>
      <c r="L860" s="4"/>
    </row>
    <row r="861" spans="1:12" ht="13">
      <c r="A861" s="4"/>
      <c r="B861" s="4"/>
      <c r="C861" s="4"/>
      <c r="D861" s="4"/>
      <c r="E861" s="4"/>
      <c r="F861" s="4"/>
      <c r="G861" s="4"/>
      <c r="H861" s="4"/>
      <c r="I861" s="4"/>
      <c r="J861" s="4"/>
      <c r="K861" s="4"/>
      <c r="L861" s="4"/>
    </row>
    <row r="862" spans="1:12" ht="13">
      <c r="A862" s="4"/>
      <c r="B862" s="4"/>
      <c r="C862" s="4"/>
      <c r="D862" s="4"/>
      <c r="E862" s="4"/>
      <c r="F862" s="4"/>
      <c r="G862" s="4"/>
      <c r="H862" s="4"/>
      <c r="I862" s="4"/>
      <c r="J862" s="4"/>
      <c r="K862" s="4"/>
      <c r="L862" s="4"/>
    </row>
    <row r="863" spans="1:12" ht="13">
      <c r="A863" s="4"/>
      <c r="B863" s="4"/>
      <c r="C863" s="4"/>
      <c r="D863" s="4"/>
      <c r="E863" s="4"/>
      <c r="F863" s="4"/>
      <c r="G863" s="4"/>
      <c r="H863" s="4"/>
      <c r="I863" s="4"/>
      <c r="J863" s="4"/>
      <c r="K863" s="4"/>
      <c r="L863" s="4"/>
    </row>
    <row r="864" spans="1:12" ht="13">
      <c r="A864" s="4"/>
      <c r="B864" s="4"/>
      <c r="C864" s="4"/>
      <c r="D864" s="4"/>
      <c r="E864" s="4"/>
      <c r="F864" s="4"/>
      <c r="G864" s="4"/>
      <c r="H864" s="4"/>
      <c r="I864" s="4"/>
      <c r="J864" s="4"/>
      <c r="K864" s="4"/>
      <c r="L864" s="4"/>
    </row>
    <row r="865" spans="1:12" ht="13">
      <c r="A865" s="4"/>
      <c r="B865" s="4"/>
      <c r="C865" s="4"/>
      <c r="D865" s="4"/>
      <c r="E865" s="4"/>
      <c r="F865" s="4"/>
      <c r="G865" s="4"/>
      <c r="H865" s="4"/>
      <c r="I865" s="4"/>
      <c r="J865" s="4"/>
      <c r="K865" s="4"/>
      <c r="L865" s="4"/>
    </row>
    <row r="866" spans="1:12" ht="13">
      <c r="A866" s="4"/>
      <c r="B866" s="4"/>
      <c r="C866" s="4"/>
      <c r="D866" s="4"/>
      <c r="E866" s="4"/>
      <c r="F866" s="4"/>
      <c r="G866" s="4"/>
      <c r="H866" s="4"/>
      <c r="I866" s="4"/>
      <c r="J866" s="4"/>
      <c r="K866" s="4"/>
      <c r="L866" s="4"/>
    </row>
    <row r="867" spans="1:12" ht="13">
      <c r="A867" s="4"/>
      <c r="B867" s="4"/>
      <c r="C867" s="4"/>
      <c r="D867" s="4"/>
      <c r="E867" s="4"/>
      <c r="F867" s="4"/>
      <c r="G867" s="4"/>
      <c r="H867" s="4"/>
      <c r="I867" s="4"/>
      <c r="J867" s="4"/>
      <c r="K867" s="4"/>
      <c r="L867" s="4"/>
    </row>
    <row r="868" spans="1:12" ht="13">
      <c r="A868" s="4"/>
      <c r="B868" s="4"/>
      <c r="C868" s="4"/>
      <c r="D868" s="4"/>
      <c r="E868" s="4"/>
      <c r="F868" s="4"/>
      <c r="G868" s="4"/>
      <c r="H868" s="4"/>
      <c r="I868" s="4"/>
      <c r="J868" s="4"/>
      <c r="K868" s="4"/>
      <c r="L868" s="4"/>
    </row>
    <row r="869" spans="1:12" ht="13">
      <c r="A869" s="4"/>
      <c r="B869" s="4"/>
      <c r="C869" s="4"/>
      <c r="D869" s="4"/>
      <c r="E869" s="4"/>
      <c r="F869" s="4"/>
      <c r="G869" s="4"/>
      <c r="H869" s="4"/>
      <c r="I869" s="4"/>
      <c r="J869" s="4"/>
      <c r="K869" s="4"/>
      <c r="L869" s="4"/>
    </row>
    <row r="870" spans="1:12" ht="13">
      <c r="A870" s="4"/>
      <c r="B870" s="4"/>
      <c r="C870" s="4"/>
      <c r="D870" s="4"/>
      <c r="E870" s="4"/>
      <c r="F870" s="4"/>
      <c r="G870" s="4"/>
      <c r="H870" s="4"/>
      <c r="I870" s="4"/>
      <c r="J870" s="4"/>
      <c r="K870" s="4"/>
      <c r="L870" s="4"/>
    </row>
    <row r="871" spans="1:12" ht="13">
      <c r="A871" s="4"/>
      <c r="B871" s="4"/>
      <c r="C871" s="4"/>
      <c r="D871" s="4"/>
      <c r="E871" s="4"/>
      <c r="F871" s="4"/>
      <c r="G871" s="4"/>
      <c r="H871" s="4"/>
      <c r="I871" s="4"/>
      <c r="J871" s="4"/>
      <c r="K871" s="4"/>
      <c r="L871" s="4"/>
    </row>
    <row r="872" spans="1:12" ht="13">
      <c r="A872" s="4"/>
      <c r="B872" s="4"/>
      <c r="C872" s="4"/>
      <c r="D872" s="4"/>
      <c r="E872" s="4"/>
      <c r="F872" s="4"/>
      <c r="G872" s="4"/>
      <c r="H872" s="4"/>
      <c r="I872" s="4"/>
      <c r="J872" s="4"/>
      <c r="K872" s="4"/>
      <c r="L872" s="4"/>
    </row>
    <row r="873" spans="1:12" ht="13">
      <c r="A873" s="4"/>
      <c r="B873" s="4"/>
      <c r="C873" s="4"/>
      <c r="D873" s="4"/>
      <c r="E873" s="4"/>
      <c r="F873" s="4"/>
      <c r="G873" s="4"/>
      <c r="H873" s="4"/>
      <c r="I873" s="4"/>
      <c r="J873" s="4"/>
      <c r="K873" s="4"/>
      <c r="L873" s="4"/>
    </row>
    <row r="874" spans="1:12" ht="13">
      <c r="A874" s="4"/>
      <c r="B874" s="4"/>
      <c r="C874" s="4"/>
      <c r="D874" s="4"/>
      <c r="E874" s="4"/>
      <c r="F874" s="4"/>
      <c r="G874" s="4"/>
      <c r="H874" s="4"/>
      <c r="I874" s="4"/>
      <c r="J874" s="4"/>
      <c r="K874" s="4"/>
      <c r="L874" s="4"/>
    </row>
    <row r="875" spans="1:12" ht="13">
      <c r="A875" s="4"/>
      <c r="B875" s="4"/>
      <c r="C875" s="4"/>
      <c r="D875" s="4"/>
      <c r="E875" s="4"/>
      <c r="F875" s="4"/>
      <c r="G875" s="4"/>
      <c r="H875" s="4"/>
      <c r="I875" s="4"/>
      <c r="J875" s="4"/>
      <c r="K875" s="4"/>
      <c r="L875" s="4"/>
    </row>
    <row r="876" spans="1:12" ht="13">
      <c r="A876" s="4"/>
      <c r="B876" s="4"/>
      <c r="C876" s="4"/>
      <c r="D876" s="4"/>
      <c r="E876" s="4"/>
      <c r="F876" s="4"/>
      <c r="G876" s="4"/>
      <c r="H876" s="4"/>
      <c r="I876" s="4"/>
      <c r="J876" s="4"/>
      <c r="K876" s="4"/>
      <c r="L876" s="4"/>
    </row>
    <row r="877" spans="1:12" ht="13">
      <c r="A877" s="4"/>
      <c r="B877" s="4"/>
      <c r="C877" s="4"/>
      <c r="D877" s="4"/>
      <c r="E877" s="4"/>
      <c r="F877" s="4"/>
      <c r="G877" s="4"/>
      <c r="H877" s="4"/>
      <c r="I877" s="4"/>
      <c r="J877" s="4"/>
      <c r="K877" s="4"/>
      <c r="L877" s="4"/>
    </row>
    <row r="878" spans="1:12" ht="13">
      <c r="A878" s="4"/>
      <c r="B878" s="4"/>
      <c r="C878" s="4"/>
      <c r="D878" s="4"/>
      <c r="E878" s="4"/>
      <c r="F878" s="4"/>
      <c r="G878" s="4"/>
      <c r="H878" s="4"/>
      <c r="I878" s="4"/>
      <c r="J878" s="4"/>
      <c r="K878" s="4"/>
      <c r="L878" s="4"/>
    </row>
    <row r="879" spans="1:12" ht="13">
      <c r="A879" s="4"/>
      <c r="B879" s="4"/>
      <c r="C879" s="4"/>
      <c r="D879" s="4"/>
      <c r="E879" s="4"/>
      <c r="F879" s="4"/>
      <c r="G879" s="4"/>
      <c r="H879" s="4"/>
      <c r="I879" s="4"/>
      <c r="J879" s="4"/>
      <c r="K879" s="4"/>
      <c r="L879" s="4"/>
    </row>
    <row r="880" spans="1:12" ht="13">
      <c r="A880" s="4"/>
      <c r="B880" s="4"/>
      <c r="C880" s="4"/>
      <c r="D880" s="4"/>
      <c r="E880" s="4"/>
      <c r="F880" s="4"/>
      <c r="G880" s="4"/>
      <c r="H880" s="4"/>
      <c r="I880" s="4"/>
      <c r="J880" s="4"/>
      <c r="K880" s="4"/>
      <c r="L880" s="4"/>
    </row>
    <row r="881" spans="1:12" ht="13">
      <c r="A881" s="4"/>
      <c r="B881" s="4"/>
      <c r="C881" s="4"/>
      <c r="D881" s="4"/>
      <c r="E881" s="4"/>
      <c r="F881" s="4"/>
      <c r="G881" s="4"/>
      <c r="H881" s="4"/>
      <c r="I881" s="4"/>
      <c r="J881" s="4"/>
      <c r="K881" s="4"/>
      <c r="L881" s="4"/>
    </row>
    <row r="882" spans="1:12" ht="13">
      <c r="A882" s="4"/>
      <c r="B882" s="4"/>
      <c r="C882" s="4"/>
      <c r="D882" s="4"/>
      <c r="E882" s="4"/>
      <c r="F882" s="4"/>
      <c r="G882" s="4"/>
      <c r="H882" s="4"/>
      <c r="I882" s="4"/>
      <c r="J882" s="4"/>
      <c r="K882" s="4"/>
      <c r="L882" s="4"/>
    </row>
    <row r="883" spans="1:12" ht="13">
      <c r="A883" s="4"/>
      <c r="B883" s="4"/>
      <c r="C883" s="4"/>
      <c r="D883" s="4"/>
      <c r="E883" s="4"/>
      <c r="F883" s="4"/>
      <c r="G883" s="4"/>
      <c r="H883" s="4"/>
      <c r="I883" s="4"/>
      <c r="J883" s="4"/>
      <c r="K883" s="4"/>
      <c r="L883" s="4"/>
    </row>
    <row r="884" spans="1:12" ht="13">
      <c r="A884" s="4"/>
      <c r="B884" s="4"/>
      <c r="C884" s="4"/>
      <c r="D884" s="4"/>
      <c r="E884" s="4"/>
      <c r="F884" s="4"/>
      <c r="G884" s="4"/>
      <c r="H884" s="4"/>
      <c r="I884" s="4"/>
      <c r="J884" s="4"/>
      <c r="K884" s="4"/>
      <c r="L884" s="4"/>
    </row>
    <row r="885" spans="1:12" ht="13">
      <c r="A885" s="4"/>
      <c r="B885" s="4"/>
      <c r="C885" s="4"/>
      <c r="D885" s="4"/>
      <c r="E885" s="4"/>
      <c r="F885" s="4"/>
      <c r="G885" s="4"/>
      <c r="H885" s="4"/>
      <c r="I885" s="4"/>
      <c r="J885" s="4"/>
      <c r="K885" s="4"/>
      <c r="L885" s="4"/>
    </row>
    <row r="886" spans="1:12" ht="13">
      <c r="A886" s="4"/>
      <c r="B886" s="4"/>
      <c r="C886" s="4"/>
      <c r="D886" s="4"/>
      <c r="E886" s="4"/>
      <c r="F886" s="4"/>
      <c r="G886" s="4"/>
      <c r="H886" s="4"/>
      <c r="I886" s="4"/>
      <c r="J886" s="4"/>
      <c r="K886" s="4"/>
      <c r="L886" s="4"/>
    </row>
    <row r="887" spans="1:12" ht="13">
      <c r="A887" s="4"/>
      <c r="B887" s="4"/>
      <c r="C887" s="4"/>
      <c r="D887" s="4"/>
      <c r="E887" s="4"/>
      <c r="F887" s="4"/>
      <c r="G887" s="4"/>
      <c r="H887" s="4"/>
      <c r="I887" s="4"/>
      <c r="J887" s="4"/>
      <c r="K887" s="4"/>
      <c r="L887" s="4"/>
    </row>
    <row r="888" spans="1:12" ht="13">
      <c r="A888" s="4"/>
      <c r="B888" s="4"/>
      <c r="C888" s="4"/>
      <c r="D888" s="4"/>
      <c r="E888" s="4"/>
      <c r="F888" s="4"/>
      <c r="G888" s="4"/>
      <c r="H888" s="4"/>
      <c r="I888" s="4"/>
      <c r="J888" s="4"/>
      <c r="K888" s="4"/>
      <c r="L888" s="4"/>
    </row>
    <row r="889" spans="1:12" ht="13">
      <c r="A889" s="4"/>
      <c r="B889" s="4"/>
      <c r="C889" s="4"/>
      <c r="D889" s="4"/>
      <c r="E889" s="4"/>
      <c r="F889" s="4"/>
      <c r="G889" s="4"/>
      <c r="H889" s="4"/>
      <c r="I889" s="4"/>
      <c r="J889" s="4"/>
      <c r="K889" s="4"/>
      <c r="L889" s="4"/>
    </row>
    <row r="890" spans="1:12" ht="13">
      <c r="A890" s="4"/>
      <c r="B890" s="4"/>
      <c r="C890" s="4"/>
      <c r="D890" s="4"/>
      <c r="E890" s="4"/>
      <c r="F890" s="4"/>
      <c r="G890" s="4"/>
      <c r="H890" s="4"/>
      <c r="I890" s="4"/>
      <c r="J890" s="4"/>
      <c r="K890" s="4"/>
      <c r="L890" s="4"/>
    </row>
    <row r="891" spans="1:12" ht="13">
      <c r="A891" s="4"/>
      <c r="B891" s="4"/>
      <c r="C891" s="4"/>
      <c r="D891" s="4"/>
      <c r="E891" s="4"/>
      <c r="F891" s="4"/>
      <c r="G891" s="4"/>
      <c r="H891" s="4"/>
      <c r="I891" s="4"/>
      <c r="J891" s="4"/>
      <c r="K891" s="4"/>
      <c r="L891" s="4"/>
    </row>
    <row r="892" spans="1:12" ht="13">
      <c r="A892" s="4"/>
      <c r="B892" s="4"/>
      <c r="C892" s="4"/>
      <c r="D892" s="4"/>
      <c r="E892" s="4"/>
      <c r="F892" s="4"/>
      <c r="G892" s="4"/>
      <c r="H892" s="4"/>
      <c r="I892" s="4"/>
      <c r="J892" s="4"/>
      <c r="K892" s="4"/>
      <c r="L892" s="4"/>
    </row>
    <row r="893" spans="1:12" ht="13">
      <c r="A893" s="4"/>
      <c r="B893" s="4"/>
      <c r="C893" s="4"/>
      <c r="D893" s="4"/>
      <c r="E893" s="4"/>
      <c r="F893" s="4"/>
      <c r="G893" s="4"/>
      <c r="H893" s="4"/>
      <c r="I893" s="4"/>
      <c r="J893" s="4"/>
      <c r="K893" s="4"/>
      <c r="L893" s="4"/>
    </row>
    <row r="894" spans="1:12" ht="13">
      <c r="A894" s="4"/>
      <c r="B894" s="4"/>
      <c r="C894" s="4"/>
      <c r="D894" s="4"/>
      <c r="E894" s="4"/>
      <c r="F894" s="4"/>
      <c r="G894" s="4"/>
      <c r="H894" s="4"/>
      <c r="I894" s="4"/>
      <c r="J894" s="4"/>
      <c r="K894" s="4"/>
      <c r="L894" s="4"/>
    </row>
    <row r="895" spans="1:12" ht="13">
      <c r="A895" s="4"/>
      <c r="B895" s="4"/>
      <c r="C895" s="4"/>
      <c r="D895" s="4"/>
      <c r="E895" s="4"/>
      <c r="F895" s="4"/>
      <c r="G895" s="4"/>
      <c r="H895" s="4"/>
      <c r="I895" s="4"/>
      <c r="J895" s="4"/>
      <c r="K895" s="4"/>
      <c r="L895" s="4"/>
    </row>
    <row r="896" spans="1:12" ht="13">
      <c r="A896" s="4"/>
      <c r="B896" s="4"/>
      <c r="C896" s="4"/>
      <c r="D896" s="4"/>
      <c r="E896" s="4"/>
      <c r="F896" s="4"/>
      <c r="G896" s="4"/>
      <c r="H896" s="4"/>
      <c r="I896" s="4"/>
      <c r="J896" s="4"/>
      <c r="K896" s="4"/>
      <c r="L896" s="4"/>
    </row>
    <row r="897" spans="1:12" ht="13">
      <c r="A897" s="4"/>
      <c r="B897" s="4"/>
      <c r="C897" s="4"/>
      <c r="D897" s="4"/>
      <c r="E897" s="4"/>
      <c r="F897" s="4"/>
      <c r="G897" s="4"/>
      <c r="H897" s="4"/>
      <c r="I897" s="4"/>
      <c r="J897" s="4"/>
      <c r="K897" s="4"/>
      <c r="L897" s="4"/>
    </row>
    <row r="898" spans="1:12" ht="13">
      <c r="A898" s="4"/>
      <c r="B898" s="4"/>
      <c r="C898" s="4"/>
      <c r="D898" s="4"/>
      <c r="E898" s="4"/>
      <c r="F898" s="4"/>
      <c r="G898" s="4"/>
      <c r="H898" s="4"/>
      <c r="I898" s="4"/>
      <c r="J898" s="4"/>
      <c r="K898" s="4"/>
      <c r="L898" s="4"/>
    </row>
    <row r="899" spans="1:12" ht="13">
      <c r="A899" s="4"/>
      <c r="B899" s="4"/>
      <c r="C899" s="4"/>
      <c r="D899" s="4"/>
      <c r="E899" s="4"/>
      <c r="F899" s="4"/>
      <c r="G899" s="4"/>
      <c r="H899" s="4"/>
      <c r="I899" s="4"/>
      <c r="J899" s="4"/>
      <c r="K899" s="4"/>
      <c r="L899" s="4"/>
    </row>
    <row r="900" spans="1:12" ht="13">
      <c r="A900" s="4"/>
      <c r="B900" s="4"/>
      <c r="C900" s="4"/>
      <c r="D900" s="4"/>
      <c r="E900" s="4"/>
      <c r="F900" s="4"/>
      <c r="G900" s="4"/>
      <c r="H900" s="4"/>
      <c r="I900" s="4"/>
      <c r="J900" s="4"/>
      <c r="K900" s="4"/>
      <c r="L900" s="4"/>
    </row>
    <row r="901" spans="1:12" ht="13">
      <c r="A901" s="4"/>
      <c r="B901" s="4"/>
      <c r="C901" s="4"/>
      <c r="D901" s="4"/>
      <c r="E901" s="4"/>
      <c r="F901" s="4"/>
      <c r="G901" s="4"/>
      <c r="H901" s="4"/>
      <c r="I901" s="4"/>
      <c r="J901" s="4"/>
      <c r="K901" s="4"/>
      <c r="L901" s="4"/>
    </row>
    <row r="902" spans="1:12" ht="13">
      <c r="A902" s="4"/>
      <c r="B902" s="4"/>
      <c r="C902" s="4"/>
      <c r="D902" s="4"/>
      <c r="E902" s="4"/>
      <c r="F902" s="4"/>
      <c r="G902" s="4"/>
      <c r="H902" s="4"/>
      <c r="I902" s="4"/>
      <c r="J902" s="4"/>
      <c r="K902" s="4"/>
      <c r="L902" s="4"/>
    </row>
    <row r="903" spans="1:12" ht="13">
      <c r="A903" s="4"/>
      <c r="B903" s="4"/>
      <c r="C903" s="4"/>
      <c r="D903" s="4"/>
      <c r="E903" s="4"/>
      <c r="F903" s="4"/>
      <c r="G903" s="4"/>
      <c r="H903" s="4"/>
      <c r="I903" s="4"/>
      <c r="J903" s="4"/>
      <c r="K903" s="4"/>
      <c r="L903" s="4"/>
    </row>
    <row r="904" spans="1:12" ht="13">
      <c r="A904" s="4"/>
      <c r="B904" s="4"/>
      <c r="C904" s="4"/>
      <c r="D904" s="4"/>
      <c r="E904" s="4"/>
      <c r="F904" s="4"/>
      <c r="G904" s="4"/>
      <c r="H904" s="4"/>
      <c r="I904" s="4"/>
      <c r="J904" s="4"/>
      <c r="K904" s="4"/>
      <c r="L904" s="4"/>
    </row>
    <row r="905" spans="1:12" ht="13">
      <c r="A905" s="4"/>
      <c r="B905" s="4"/>
      <c r="C905" s="4"/>
      <c r="D905" s="4"/>
      <c r="E905" s="4"/>
      <c r="F905" s="4"/>
      <c r="G905" s="4"/>
      <c r="H905" s="4"/>
      <c r="I905" s="4"/>
      <c r="J905" s="4"/>
      <c r="K905" s="4"/>
      <c r="L905" s="4"/>
    </row>
    <row r="906" spans="1:12" ht="13">
      <c r="A906" s="4"/>
      <c r="B906" s="4"/>
      <c r="C906" s="4"/>
      <c r="D906" s="4"/>
      <c r="E906" s="4"/>
      <c r="F906" s="4"/>
      <c r="G906" s="4"/>
      <c r="H906" s="4"/>
      <c r="I906" s="4"/>
      <c r="J906" s="4"/>
      <c r="K906" s="4"/>
      <c r="L906" s="4"/>
    </row>
    <row r="907" spans="1:12" ht="13">
      <c r="A907" s="4"/>
      <c r="B907" s="4"/>
      <c r="C907" s="4"/>
      <c r="D907" s="4"/>
      <c r="E907" s="4"/>
      <c r="F907" s="4"/>
      <c r="G907" s="4"/>
      <c r="H907" s="4"/>
      <c r="I907" s="4"/>
      <c r="J907" s="4"/>
      <c r="K907" s="4"/>
      <c r="L907" s="4"/>
    </row>
    <row r="908" spans="1:12" ht="13">
      <c r="A908" s="4"/>
      <c r="B908" s="4"/>
      <c r="C908" s="4"/>
      <c r="D908" s="4"/>
      <c r="E908" s="4"/>
      <c r="F908" s="4"/>
      <c r="G908" s="4"/>
      <c r="H908" s="4"/>
      <c r="I908" s="4"/>
      <c r="J908" s="4"/>
      <c r="K908" s="4"/>
      <c r="L908" s="4"/>
    </row>
    <row r="909" spans="1:12" ht="13">
      <c r="A909" s="4"/>
      <c r="B909" s="4"/>
      <c r="C909" s="4"/>
      <c r="D909" s="4"/>
      <c r="E909" s="4"/>
      <c r="F909" s="4"/>
      <c r="G909" s="4"/>
      <c r="H909" s="4"/>
      <c r="I909" s="4"/>
      <c r="J909" s="4"/>
      <c r="K909" s="4"/>
      <c r="L909" s="4"/>
    </row>
    <row r="910" spans="1:12" ht="13">
      <c r="A910" s="4"/>
      <c r="B910" s="4"/>
      <c r="C910" s="4"/>
      <c r="D910" s="4"/>
      <c r="E910" s="4"/>
      <c r="F910" s="4"/>
      <c r="G910" s="4"/>
      <c r="H910" s="4"/>
      <c r="I910" s="4"/>
      <c r="J910" s="4"/>
      <c r="K910" s="4"/>
      <c r="L910" s="4"/>
    </row>
    <row r="911" spans="1:12" ht="13">
      <c r="A911" s="4"/>
      <c r="B911" s="4"/>
      <c r="C911" s="4"/>
      <c r="D911" s="4"/>
      <c r="E911" s="4"/>
      <c r="F911" s="4"/>
      <c r="G911" s="4"/>
      <c r="H911" s="4"/>
      <c r="I911" s="4"/>
      <c r="J911" s="4"/>
      <c r="K911" s="4"/>
      <c r="L911" s="4"/>
    </row>
    <row r="912" spans="1:12" ht="13">
      <c r="A912" s="4"/>
      <c r="B912" s="4"/>
      <c r="C912" s="4"/>
      <c r="D912" s="4"/>
      <c r="E912" s="4"/>
      <c r="F912" s="4"/>
      <c r="G912" s="4"/>
      <c r="H912" s="4"/>
      <c r="I912" s="4"/>
      <c r="J912" s="4"/>
      <c r="K912" s="4"/>
      <c r="L912" s="4"/>
    </row>
    <row r="913" spans="1:12" ht="13">
      <c r="A913" s="4"/>
      <c r="B913" s="4"/>
      <c r="C913" s="4"/>
      <c r="D913" s="4"/>
      <c r="E913" s="4"/>
      <c r="F913" s="4"/>
      <c r="G913" s="4"/>
      <c r="H913" s="4"/>
      <c r="I913" s="4"/>
      <c r="J913" s="4"/>
      <c r="K913" s="4"/>
      <c r="L913" s="4"/>
    </row>
    <row r="914" spans="1:12" ht="13">
      <c r="A914" s="4"/>
      <c r="B914" s="4"/>
      <c r="C914" s="4"/>
      <c r="D914" s="4"/>
      <c r="E914" s="4"/>
      <c r="F914" s="4"/>
      <c r="G914" s="4"/>
      <c r="H914" s="4"/>
      <c r="I914" s="4"/>
      <c r="J914" s="4"/>
      <c r="K914" s="4"/>
      <c r="L914" s="4"/>
    </row>
    <row r="915" spans="1:12" ht="13">
      <c r="A915" s="4"/>
      <c r="B915" s="4"/>
      <c r="C915" s="4"/>
      <c r="D915" s="4"/>
      <c r="E915" s="4"/>
      <c r="F915" s="4"/>
      <c r="G915" s="4"/>
      <c r="H915" s="4"/>
      <c r="I915" s="4"/>
      <c r="J915" s="4"/>
      <c r="K915" s="4"/>
      <c r="L915" s="4"/>
    </row>
    <row r="916" spans="1:12" ht="13">
      <c r="A916" s="4"/>
      <c r="B916" s="4"/>
      <c r="C916" s="4"/>
      <c r="D916" s="4"/>
      <c r="E916" s="4"/>
      <c r="F916" s="4"/>
      <c r="G916" s="4"/>
      <c r="H916" s="4"/>
      <c r="I916" s="4"/>
      <c r="J916" s="4"/>
      <c r="K916" s="4"/>
      <c r="L916" s="4"/>
    </row>
    <row r="917" spans="1:12" ht="13">
      <c r="A917" s="4"/>
      <c r="B917" s="4"/>
      <c r="C917" s="4"/>
      <c r="D917" s="4"/>
      <c r="E917" s="4"/>
      <c r="F917" s="4"/>
      <c r="G917" s="4"/>
      <c r="H917" s="4"/>
      <c r="I917" s="4"/>
      <c r="J917" s="4"/>
      <c r="K917" s="4"/>
      <c r="L917" s="4"/>
    </row>
    <row r="918" spans="1:12" ht="13">
      <c r="A918" s="4"/>
      <c r="B918" s="4"/>
      <c r="C918" s="4"/>
      <c r="D918" s="4"/>
      <c r="E918" s="4"/>
      <c r="F918" s="4"/>
      <c r="G918" s="4"/>
      <c r="H918" s="4"/>
      <c r="I918" s="4"/>
      <c r="J918" s="4"/>
      <c r="K918" s="4"/>
      <c r="L918" s="4"/>
    </row>
    <row r="919" spans="1:12" ht="13">
      <c r="A919" s="4"/>
      <c r="B919" s="4"/>
      <c r="C919" s="4"/>
      <c r="D919" s="4"/>
      <c r="E919" s="4"/>
      <c r="F919" s="4"/>
      <c r="G919" s="4"/>
      <c r="H919" s="4"/>
      <c r="I919" s="4"/>
      <c r="J919" s="4"/>
      <c r="K919" s="4"/>
      <c r="L919" s="4"/>
    </row>
    <row r="920" spans="1:12" ht="13">
      <c r="A920" s="4"/>
      <c r="B920" s="4"/>
      <c r="C920" s="4"/>
      <c r="D920" s="4"/>
      <c r="E920" s="4"/>
      <c r="F920" s="4"/>
      <c r="G920" s="4"/>
      <c r="H920" s="4"/>
      <c r="I920" s="4"/>
      <c r="J920" s="4"/>
      <c r="K920" s="4"/>
      <c r="L920" s="4"/>
    </row>
    <row r="921" spans="1:12" ht="13">
      <c r="A921" s="4"/>
      <c r="B921" s="4"/>
      <c r="C921" s="4"/>
      <c r="D921" s="4"/>
      <c r="E921" s="4"/>
      <c r="F921" s="4"/>
      <c r="G921" s="4"/>
      <c r="H921" s="4"/>
      <c r="I921" s="4"/>
      <c r="J921" s="4"/>
      <c r="K921" s="4"/>
      <c r="L921" s="4"/>
    </row>
    <row r="922" spans="1:12" ht="13">
      <c r="A922" s="4"/>
      <c r="B922" s="4"/>
      <c r="C922" s="4"/>
      <c r="D922" s="4"/>
      <c r="E922" s="4"/>
      <c r="F922" s="4"/>
      <c r="G922" s="4"/>
      <c r="H922" s="4"/>
      <c r="I922" s="4"/>
      <c r="J922" s="4"/>
      <c r="K922" s="4"/>
      <c r="L922" s="4"/>
    </row>
    <row r="923" spans="1:12" ht="13">
      <c r="A923" s="4"/>
      <c r="B923" s="4"/>
      <c r="C923" s="4"/>
      <c r="D923" s="4"/>
      <c r="E923" s="4"/>
      <c r="F923" s="4"/>
      <c r="G923" s="4"/>
      <c r="H923" s="4"/>
      <c r="I923" s="4"/>
      <c r="J923" s="4"/>
      <c r="K923" s="4"/>
      <c r="L923" s="4"/>
    </row>
    <row r="924" spans="1:12" ht="13">
      <c r="A924" s="4"/>
      <c r="B924" s="4"/>
      <c r="C924" s="4"/>
      <c r="D924" s="4"/>
      <c r="E924" s="4"/>
      <c r="F924" s="4"/>
      <c r="G924" s="4"/>
      <c r="H924" s="4"/>
      <c r="I924" s="4"/>
      <c r="J924" s="4"/>
      <c r="K924" s="4"/>
      <c r="L924" s="4"/>
    </row>
    <row r="925" spans="1:12" ht="13">
      <c r="A925" s="4"/>
      <c r="B925" s="4"/>
      <c r="C925" s="4"/>
      <c r="D925" s="4"/>
      <c r="E925" s="4"/>
      <c r="F925" s="4"/>
      <c r="G925" s="4"/>
      <c r="H925" s="4"/>
      <c r="I925" s="4"/>
      <c r="J925" s="4"/>
      <c r="K925" s="4"/>
      <c r="L925" s="4"/>
    </row>
    <row r="926" spans="1:12" ht="13">
      <c r="A926" s="4"/>
      <c r="B926" s="4"/>
      <c r="C926" s="4"/>
      <c r="D926" s="4"/>
      <c r="E926" s="4"/>
      <c r="F926" s="4"/>
      <c r="G926" s="4"/>
      <c r="H926" s="4"/>
      <c r="I926" s="4"/>
      <c r="J926" s="4"/>
      <c r="K926" s="4"/>
      <c r="L926" s="4"/>
    </row>
    <row r="927" spans="1:12" ht="13">
      <c r="A927" s="4"/>
      <c r="B927" s="4"/>
      <c r="C927" s="4"/>
      <c r="D927" s="4"/>
      <c r="E927" s="4"/>
      <c r="F927" s="4"/>
      <c r="G927" s="4"/>
      <c r="H927" s="4"/>
      <c r="I927" s="4"/>
      <c r="J927" s="4"/>
      <c r="K927" s="4"/>
      <c r="L927" s="4"/>
    </row>
    <row r="928" spans="1:12" ht="13">
      <c r="A928" s="4"/>
      <c r="B928" s="4"/>
      <c r="C928" s="4"/>
      <c r="D928" s="4"/>
      <c r="E928" s="4"/>
      <c r="F928" s="4"/>
      <c r="G928" s="4"/>
      <c r="H928" s="4"/>
      <c r="I928" s="4"/>
      <c r="J928" s="4"/>
      <c r="K928" s="4"/>
      <c r="L928" s="4"/>
    </row>
    <row r="929" spans="1:12" ht="13">
      <c r="A929" s="4"/>
      <c r="B929" s="4"/>
      <c r="C929" s="4"/>
      <c r="D929" s="4"/>
      <c r="E929" s="4"/>
      <c r="F929" s="4"/>
      <c r="G929" s="4"/>
      <c r="H929" s="4"/>
      <c r="I929" s="4"/>
      <c r="J929" s="4"/>
      <c r="K929" s="4"/>
      <c r="L929" s="4"/>
    </row>
    <row r="930" spans="1:12" ht="13">
      <c r="A930" s="4"/>
      <c r="B930" s="4"/>
      <c r="C930" s="4"/>
      <c r="D930" s="4"/>
      <c r="E930" s="4"/>
      <c r="F930" s="4"/>
      <c r="G930" s="4"/>
      <c r="H930" s="4"/>
      <c r="I930" s="4"/>
      <c r="J930" s="4"/>
      <c r="K930" s="4"/>
      <c r="L930" s="4"/>
    </row>
    <row r="931" spans="1:12" ht="13">
      <c r="A931" s="4"/>
      <c r="B931" s="4"/>
      <c r="C931" s="4"/>
      <c r="D931" s="4"/>
      <c r="E931" s="4"/>
      <c r="F931" s="4"/>
      <c r="G931" s="4"/>
      <c r="H931" s="4"/>
      <c r="I931" s="4"/>
      <c r="J931" s="4"/>
      <c r="K931" s="4"/>
      <c r="L931" s="4"/>
    </row>
    <row r="932" spans="1:12" ht="13">
      <c r="A932" s="4"/>
      <c r="B932" s="4"/>
      <c r="C932" s="4"/>
      <c r="D932" s="4"/>
      <c r="E932" s="4"/>
      <c r="F932" s="4"/>
      <c r="G932" s="4"/>
      <c r="H932" s="4"/>
      <c r="I932" s="4"/>
      <c r="J932" s="4"/>
      <c r="K932" s="4"/>
      <c r="L932" s="4"/>
    </row>
    <row r="933" spans="1:12" ht="13">
      <c r="A933" s="4"/>
      <c r="B933" s="4"/>
      <c r="C933" s="4"/>
      <c r="D933" s="4"/>
      <c r="E933" s="4"/>
      <c r="F933" s="4"/>
      <c r="G933" s="4"/>
      <c r="H933" s="4"/>
      <c r="I933" s="4"/>
      <c r="J933" s="4"/>
      <c r="K933" s="4"/>
      <c r="L933" s="4"/>
    </row>
    <row r="934" spans="1:12" ht="13">
      <c r="A934" s="4"/>
      <c r="B934" s="4"/>
      <c r="C934" s="4"/>
      <c r="D934" s="4"/>
      <c r="E934" s="4"/>
      <c r="F934" s="4"/>
      <c r="G934" s="4"/>
      <c r="H934" s="4"/>
      <c r="I934" s="4"/>
      <c r="J934" s="4"/>
      <c r="K934" s="4"/>
      <c r="L934" s="4"/>
    </row>
    <row r="935" spans="1:12" ht="13">
      <c r="A935" s="4"/>
      <c r="B935" s="4"/>
      <c r="C935" s="4"/>
      <c r="D935" s="4"/>
      <c r="E935" s="4"/>
      <c r="F935" s="4"/>
      <c r="G935" s="4"/>
      <c r="H935" s="4"/>
      <c r="I935" s="4"/>
      <c r="J935" s="4"/>
      <c r="K935" s="4"/>
      <c r="L935" s="4"/>
    </row>
    <row r="936" spans="1:12" ht="13">
      <c r="A936" s="4"/>
      <c r="B936" s="4"/>
      <c r="C936" s="4"/>
      <c r="D936" s="4"/>
      <c r="E936" s="4"/>
      <c r="F936" s="4"/>
      <c r="G936" s="4"/>
      <c r="H936" s="4"/>
      <c r="I936" s="4"/>
      <c r="J936" s="4"/>
      <c r="K936" s="4"/>
      <c r="L936" s="4"/>
    </row>
    <row r="937" spans="1:12" ht="13">
      <c r="A937" s="4"/>
      <c r="B937" s="4"/>
      <c r="C937" s="4"/>
      <c r="D937" s="4"/>
      <c r="E937" s="4"/>
      <c r="F937" s="4"/>
      <c r="G937" s="4"/>
      <c r="H937" s="4"/>
      <c r="I937" s="4"/>
      <c r="J937" s="4"/>
      <c r="K937" s="4"/>
      <c r="L937" s="4"/>
    </row>
    <row r="938" spans="1:12" ht="13">
      <c r="A938" s="4"/>
      <c r="B938" s="4"/>
      <c r="C938" s="4"/>
      <c r="D938" s="4"/>
      <c r="E938" s="4"/>
      <c r="F938" s="4"/>
      <c r="G938" s="4"/>
      <c r="H938" s="4"/>
      <c r="I938" s="4"/>
      <c r="J938" s="4"/>
      <c r="K938" s="4"/>
      <c r="L938" s="4"/>
    </row>
    <row r="939" spans="1:12" ht="13">
      <c r="A939" s="4"/>
      <c r="B939" s="4"/>
      <c r="C939" s="4"/>
      <c r="D939" s="4"/>
      <c r="E939" s="4"/>
      <c r="F939" s="4"/>
      <c r="G939" s="4"/>
      <c r="H939" s="4"/>
      <c r="I939" s="4"/>
      <c r="J939" s="4"/>
      <c r="K939" s="4"/>
      <c r="L939" s="4"/>
    </row>
    <row r="940" spans="1:12" ht="13">
      <c r="A940" s="4"/>
      <c r="B940" s="4"/>
      <c r="C940" s="4"/>
      <c r="D940" s="4"/>
      <c r="E940" s="4"/>
      <c r="F940" s="4"/>
      <c r="G940" s="4"/>
      <c r="H940" s="4"/>
      <c r="I940" s="4"/>
      <c r="J940" s="4"/>
      <c r="K940" s="4"/>
      <c r="L940" s="4"/>
    </row>
    <row r="941" spans="1:12" ht="13">
      <c r="A941" s="4"/>
      <c r="B941" s="4"/>
      <c r="C941" s="4"/>
      <c r="D941" s="4"/>
      <c r="E941" s="4"/>
      <c r="F941" s="4"/>
      <c r="G941" s="4"/>
      <c r="H941" s="4"/>
      <c r="I941" s="4"/>
      <c r="J941" s="4"/>
      <c r="K941" s="4"/>
      <c r="L941" s="4"/>
    </row>
    <row r="942" spans="1:12" ht="13">
      <c r="A942" s="4"/>
      <c r="B942" s="4"/>
      <c r="C942" s="4"/>
      <c r="D942" s="4"/>
      <c r="E942" s="4"/>
      <c r="F942" s="4"/>
      <c r="G942" s="4"/>
      <c r="H942" s="4"/>
      <c r="I942" s="4"/>
      <c r="J942" s="4"/>
      <c r="K942" s="4"/>
      <c r="L942" s="4"/>
    </row>
    <row r="943" spans="1:12" ht="13">
      <c r="A943" s="4"/>
      <c r="B943" s="4"/>
      <c r="C943" s="4"/>
      <c r="D943" s="4"/>
      <c r="E943" s="4"/>
      <c r="F943" s="4"/>
      <c r="G943" s="4"/>
      <c r="H943" s="4"/>
      <c r="I943" s="4"/>
      <c r="J943" s="4"/>
      <c r="K943" s="4"/>
      <c r="L943" s="4"/>
    </row>
    <row r="944" spans="1:12" ht="13">
      <c r="A944" s="4"/>
      <c r="B944" s="4"/>
      <c r="C944" s="4"/>
      <c r="D944" s="4"/>
      <c r="E944" s="4"/>
      <c r="F944" s="4"/>
      <c r="G944" s="4"/>
      <c r="H944" s="4"/>
      <c r="I944" s="4"/>
      <c r="J944" s="4"/>
      <c r="K944" s="4"/>
      <c r="L944" s="4"/>
    </row>
    <row r="945" spans="1:12" ht="13">
      <c r="A945" s="4"/>
      <c r="B945" s="4"/>
      <c r="C945" s="4"/>
      <c r="D945" s="4"/>
      <c r="E945" s="4"/>
      <c r="F945" s="4"/>
      <c r="G945" s="4"/>
      <c r="H945" s="4"/>
      <c r="I945" s="4"/>
      <c r="J945" s="4"/>
      <c r="K945" s="4"/>
      <c r="L945" s="4"/>
    </row>
    <row r="946" spans="1:12" ht="13">
      <c r="A946" s="4"/>
      <c r="B946" s="4"/>
      <c r="C946" s="4"/>
      <c r="D946" s="4"/>
      <c r="E946" s="4"/>
      <c r="F946" s="4"/>
      <c r="G946" s="4"/>
      <c r="H946" s="4"/>
      <c r="I946" s="4"/>
      <c r="J946" s="4"/>
      <c r="K946" s="4"/>
      <c r="L946" s="4"/>
    </row>
    <row r="947" spans="1:12" ht="13">
      <c r="A947" s="4"/>
      <c r="B947" s="4"/>
      <c r="C947" s="4"/>
      <c r="D947" s="4"/>
      <c r="E947" s="4"/>
      <c r="F947" s="4"/>
      <c r="G947" s="4"/>
      <c r="H947" s="4"/>
      <c r="I947" s="4"/>
      <c r="J947" s="4"/>
      <c r="K947" s="4"/>
      <c r="L947" s="4"/>
    </row>
    <row r="948" spans="1:12" ht="13">
      <c r="A948" s="4"/>
      <c r="B948" s="4"/>
      <c r="C948" s="4"/>
      <c r="D948" s="4"/>
      <c r="E948" s="4"/>
      <c r="F948" s="4"/>
      <c r="G948" s="4"/>
      <c r="H948" s="4"/>
      <c r="I948" s="4"/>
      <c r="J948" s="4"/>
      <c r="K948" s="4"/>
      <c r="L948" s="4"/>
    </row>
    <row r="949" spans="1:12" ht="13">
      <c r="A949" s="4"/>
      <c r="B949" s="4"/>
      <c r="C949" s="4"/>
      <c r="D949" s="4"/>
      <c r="E949" s="4"/>
      <c r="F949" s="4"/>
      <c r="G949" s="4"/>
      <c r="H949" s="4"/>
      <c r="I949" s="4"/>
      <c r="J949" s="4"/>
      <c r="K949" s="4"/>
      <c r="L949" s="4"/>
    </row>
    <row r="950" spans="1:12" ht="13">
      <c r="A950" s="4"/>
      <c r="B950" s="4"/>
      <c r="C950" s="4"/>
      <c r="D950" s="4"/>
      <c r="E950" s="4"/>
      <c r="F950" s="4"/>
      <c r="G950" s="4"/>
      <c r="H950" s="4"/>
      <c r="I950" s="4"/>
      <c r="J950" s="4"/>
      <c r="K950" s="4"/>
      <c r="L950" s="4"/>
    </row>
    <row r="951" spans="1:12" ht="13">
      <c r="A951" s="4"/>
      <c r="B951" s="4"/>
      <c r="C951" s="4"/>
      <c r="D951" s="4"/>
      <c r="E951" s="4"/>
      <c r="F951" s="4"/>
      <c r="G951" s="4"/>
      <c r="H951" s="4"/>
      <c r="I951" s="4"/>
      <c r="J951" s="4"/>
      <c r="K951" s="4"/>
      <c r="L951" s="4"/>
    </row>
    <row r="952" spans="1:12" ht="13">
      <c r="A952" s="4"/>
      <c r="B952" s="4"/>
      <c r="C952" s="4"/>
      <c r="D952" s="4"/>
      <c r="E952" s="4"/>
      <c r="F952" s="4"/>
      <c r="G952" s="4"/>
      <c r="H952" s="4"/>
      <c r="I952" s="4"/>
      <c r="J952" s="4"/>
      <c r="K952" s="4"/>
      <c r="L952" s="4"/>
    </row>
    <row r="953" spans="1:12" ht="13">
      <c r="A953" s="4"/>
      <c r="B953" s="4"/>
      <c r="C953" s="4"/>
      <c r="D953" s="4"/>
      <c r="E953" s="4"/>
      <c r="F953" s="4"/>
      <c r="G953" s="4"/>
      <c r="H953" s="4"/>
      <c r="I953" s="4"/>
      <c r="J953" s="4"/>
      <c r="K953" s="4"/>
      <c r="L953" s="4"/>
    </row>
    <row r="954" spans="1:12" ht="13">
      <c r="A954" s="4"/>
      <c r="B954" s="4"/>
      <c r="C954" s="4"/>
      <c r="D954" s="4"/>
      <c r="E954" s="4"/>
      <c r="F954" s="4"/>
      <c r="G954" s="4"/>
      <c r="H954" s="4"/>
      <c r="I954" s="4"/>
      <c r="J954" s="4"/>
      <c r="K954" s="4"/>
      <c r="L954" s="4"/>
    </row>
    <row r="955" spans="1:12" ht="13">
      <c r="A955" s="4"/>
      <c r="B955" s="4"/>
      <c r="C955" s="4"/>
      <c r="D955" s="4"/>
      <c r="E955" s="4"/>
      <c r="F955" s="4"/>
      <c r="G955" s="4"/>
      <c r="H955" s="4"/>
      <c r="I955" s="4"/>
      <c r="J955" s="4"/>
      <c r="K955" s="4"/>
      <c r="L955" s="4"/>
    </row>
    <row r="956" spans="1:12" ht="13">
      <c r="A956" s="4"/>
      <c r="B956" s="4"/>
      <c r="C956" s="4"/>
      <c r="D956" s="4"/>
      <c r="E956" s="4"/>
      <c r="F956" s="4"/>
      <c r="G956" s="4"/>
      <c r="H956" s="4"/>
      <c r="I956" s="4"/>
      <c r="J956" s="4"/>
      <c r="K956" s="4"/>
      <c r="L956" s="4"/>
    </row>
    <row r="957" spans="1:12" ht="13">
      <c r="A957" s="4"/>
      <c r="B957" s="4"/>
      <c r="C957" s="4"/>
      <c r="D957" s="4"/>
      <c r="E957" s="4"/>
      <c r="F957" s="4"/>
      <c r="G957" s="4"/>
      <c r="H957" s="4"/>
      <c r="I957" s="4"/>
      <c r="J957" s="4"/>
      <c r="K957" s="4"/>
      <c r="L957" s="4"/>
    </row>
    <row r="958" spans="1:12" ht="13">
      <c r="A958" s="4"/>
      <c r="B958" s="4"/>
      <c r="C958" s="4"/>
      <c r="D958" s="4"/>
      <c r="E958" s="4"/>
      <c r="F958" s="4"/>
      <c r="G958" s="4"/>
      <c r="H958" s="4"/>
      <c r="I958" s="4"/>
      <c r="J958" s="4"/>
      <c r="K958" s="4"/>
      <c r="L958" s="4"/>
    </row>
    <row r="959" spans="1:12" ht="13">
      <c r="A959" s="4"/>
      <c r="B959" s="4"/>
      <c r="C959" s="4"/>
      <c r="D959" s="4"/>
      <c r="E959" s="4"/>
      <c r="F959" s="4"/>
      <c r="G959" s="4"/>
      <c r="H959" s="4"/>
      <c r="I959" s="4"/>
      <c r="J959" s="4"/>
      <c r="K959" s="4"/>
      <c r="L959" s="4"/>
    </row>
    <row r="960" spans="1:12" ht="13">
      <c r="A960" s="4"/>
      <c r="B960" s="4"/>
      <c r="C960" s="4"/>
      <c r="D960" s="4"/>
      <c r="E960" s="4"/>
      <c r="F960" s="4"/>
      <c r="G960" s="4"/>
      <c r="H960" s="4"/>
      <c r="I960" s="4"/>
      <c r="J960" s="4"/>
      <c r="K960" s="4"/>
      <c r="L960" s="4"/>
    </row>
    <row r="961" spans="1:12" ht="13">
      <c r="A961" s="4"/>
      <c r="B961" s="4"/>
      <c r="C961" s="4"/>
      <c r="D961" s="4"/>
      <c r="E961" s="4"/>
      <c r="F961" s="4"/>
      <c r="G961" s="4"/>
      <c r="H961" s="4"/>
      <c r="I961" s="4"/>
      <c r="J961" s="4"/>
      <c r="K961" s="4"/>
      <c r="L961" s="4"/>
    </row>
    <row r="962" spans="1:12" ht="13">
      <c r="A962" s="4"/>
      <c r="B962" s="4"/>
      <c r="C962" s="4"/>
      <c r="D962" s="4"/>
      <c r="E962" s="4"/>
      <c r="F962" s="4"/>
      <c r="G962" s="4"/>
      <c r="H962" s="4"/>
      <c r="I962" s="4"/>
      <c r="J962" s="4"/>
      <c r="K962" s="4"/>
      <c r="L962" s="4"/>
    </row>
    <row r="963" spans="1:12" ht="13">
      <c r="A963" s="4"/>
      <c r="B963" s="4"/>
      <c r="C963" s="4"/>
      <c r="D963" s="4"/>
      <c r="E963" s="4"/>
      <c r="F963" s="4"/>
      <c r="G963" s="4"/>
      <c r="H963" s="4"/>
      <c r="I963" s="4"/>
      <c r="J963" s="4"/>
      <c r="K963" s="4"/>
      <c r="L963" s="4"/>
    </row>
    <row r="964" spans="1:12" ht="13">
      <c r="A964" s="4"/>
      <c r="B964" s="4"/>
      <c r="C964" s="4"/>
      <c r="D964" s="4"/>
      <c r="E964" s="4"/>
      <c r="F964" s="4"/>
      <c r="G964" s="4"/>
      <c r="H964" s="4"/>
      <c r="I964" s="4"/>
      <c r="J964" s="4"/>
      <c r="K964" s="4"/>
      <c r="L964" s="4"/>
    </row>
    <row r="965" spans="1:12" ht="13">
      <c r="A965" s="4"/>
      <c r="B965" s="4"/>
      <c r="C965" s="4"/>
      <c r="D965" s="4"/>
      <c r="E965" s="4"/>
      <c r="F965" s="4"/>
      <c r="G965" s="4"/>
      <c r="H965" s="4"/>
      <c r="I965" s="4"/>
      <c r="J965" s="4"/>
      <c r="K965" s="4"/>
      <c r="L965" s="4"/>
    </row>
    <row r="966" spans="1:12" ht="13">
      <c r="A966" s="4"/>
      <c r="B966" s="4"/>
      <c r="C966" s="4"/>
      <c r="D966" s="4"/>
      <c r="E966" s="4"/>
      <c r="F966" s="4"/>
      <c r="G966" s="4"/>
      <c r="H966" s="4"/>
      <c r="I966" s="4"/>
      <c r="J966" s="4"/>
      <c r="K966" s="4"/>
      <c r="L966" s="4"/>
    </row>
    <row r="967" spans="1:12" ht="13">
      <c r="A967" s="4"/>
      <c r="B967" s="4"/>
      <c r="C967" s="4"/>
      <c r="D967" s="4"/>
      <c r="E967" s="4"/>
      <c r="F967" s="4"/>
      <c r="G967" s="4"/>
      <c r="H967" s="4"/>
      <c r="I967" s="4"/>
      <c r="J967" s="4"/>
      <c r="K967" s="4"/>
      <c r="L967" s="4"/>
    </row>
    <row r="968" spans="1:12" ht="13">
      <c r="A968" s="4"/>
      <c r="B968" s="4"/>
      <c r="C968" s="4"/>
      <c r="D968" s="4"/>
      <c r="E968" s="4"/>
      <c r="F968" s="4"/>
      <c r="G968" s="4"/>
      <c r="H968" s="4"/>
      <c r="I968" s="4"/>
      <c r="J968" s="4"/>
      <c r="K968" s="4"/>
      <c r="L968" s="4"/>
    </row>
    <row r="969" spans="1:12" ht="13">
      <c r="A969" s="4"/>
      <c r="B969" s="4"/>
      <c r="C969" s="4"/>
      <c r="D969" s="4"/>
      <c r="E969" s="4"/>
      <c r="F969" s="4"/>
      <c r="G969" s="4"/>
      <c r="H969" s="4"/>
      <c r="I969" s="4"/>
      <c r="J969" s="4"/>
      <c r="K969" s="4"/>
      <c r="L969" s="4"/>
    </row>
    <row r="970" spans="1:12" ht="13">
      <c r="A970" s="4"/>
      <c r="B970" s="4"/>
      <c r="C970" s="4"/>
      <c r="D970" s="4"/>
      <c r="E970" s="4"/>
      <c r="F970" s="4"/>
      <c r="G970" s="4"/>
      <c r="H970" s="4"/>
      <c r="I970" s="4"/>
      <c r="J970" s="4"/>
      <c r="K970" s="4"/>
      <c r="L970" s="4"/>
    </row>
    <row r="971" spans="1:12" ht="13">
      <c r="A971" s="4"/>
      <c r="B971" s="4"/>
      <c r="C971" s="4"/>
      <c r="D971" s="4"/>
      <c r="E971" s="4"/>
      <c r="F971" s="4"/>
      <c r="G971" s="4"/>
      <c r="H971" s="4"/>
      <c r="I971" s="4"/>
      <c r="J971" s="4"/>
      <c r="K971" s="4"/>
      <c r="L971" s="4"/>
    </row>
    <row r="972" spans="1:12" ht="13">
      <c r="A972" s="4"/>
      <c r="B972" s="4"/>
      <c r="C972" s="4"/>
      <c r="D972" s="4"/>
      <c r="E972" s="4"/>
      <c r="F972" s="4"/>
      <c r="G972" s="4"/>
      <c r="H972" s="4"/>
      <c r="I972" s="4"/>
      <c r="J972" s="4"/>
      <c r="K972" s="4"/>
      <c r="L972" s="4"/>
    </row>
    <row r="973" spans="1:12" ht="13">
      <c r="A973" s="4"/>
      <c r="B973" s="4"/>
      <c r="C973" s="4"/>
      <c r="D973" s="4"/>
      <c r="E973" s="4"/>
      <c r="F973" s="4"/>
      <c r="G973" s="4"/>
      <c r="H973" s="4"/>
      <c r="I973" s="4"/>
      <c r="J973" s="4"/>
      <c r="K973" s="4"/>
      <c r="L973" s="4"/>
    </row>
    <row r="974" spans="1:12" ht="13">
      <c r="A974" s="4"/>
      <c r="B974" s="4"/>
      <c r="C974" s="4"/>
      <c r="D974" s="4"/>
      <c r="E974" s="4"/>
      <c r="F974" s="4"/>
      <c r="G974" s="4"/>
      <c r="H974" s="4"/>
      <c r="I974" s="4"/>
      <c r="J974" s="4"/>
      <c r="K974" s="4"/>
      <c r="L974" s="4"/>
    </row>
    <row r="975" spans="1:12" ht="13">
      <c r="A975" s="4"/>
      <c r="B975" s="4"/>
      <c r="C975" s="4"/>
      <c r="D975" s="4"/>
      <c r="E975" s="4"/>
      <c r="F975" s="4"/>
      <c r="G975" s="4"/>
      <c r="H975" s="4"/>
      <c r="I975" s="4"/>
      <c r="J975" s="4"/>
      <c r="K975" s="4"/>
      <c r="L975" s="4"/>
    </row>
    <row r="976" spans="1:12" ht="13">
      <c r="A976" s="4"/>
      <c r="B976" s="4"/>
      <c r="C976" s="4"/>
      <c r="D976" s="4"/>
      <c r="E976" s="4"/>
      <c r="F976" s="4"/>
      <c r="G976" s="4"/>
      <c r="H976" s="4"/>
      <c r="I976" s="4"/>
      <c r="J976" s="4"/>
      <c r="K976" s="4"/>
      <c r="L976" s="4"/>
    </row>
    <row r="977" spans="1:12" ht="13">
      <c r="A977" s="4"/>
      <c r="B977" s="4"/>
      <c r="C977" s="4"/>
      <c r="D977" s="4"/>
      <c r="E977" s="4"/>
      <c r="F977" s="4"/>
      <c r="G977" s="4"/>
      <c r="H977" s="4"/>
      <c r="I977" s="4"/>
      <c r="J977" s="4"/>
      <c r="K977" s="4"/>
      <c r="L977" s="4"/>
    </row>
    <row r="978" spans="1:12" ht="13">
      <c r="A978" s="4"/>
      <c r="B978" s="4"/>
      <c r="C978" s="4"/>
      <c r="D978" s="4"/>
      <c r="E978" s="4"/>
      <c r="F978" s="4"/>
      <c r="G978" s="4"/>
      <c r="H978" s="4"/>
      <c r="I978" s="4"/>
      <c r="J978" s="4"/>
      <c r="K978" s="4"/>
      <c r="L978" s="4"/>
    </row>
    <row r="979" spans="1:12" ht="13">
      <c r="A979" s="4"/>
      <c r="B979" s="4"/>
      <c r="C979" s="4"/>
      <c r="D979" s="4"/>
      <c r="E979" s="4"/>
      <c r="F979" s="4"/>
      <c r="G979" s="4"/>
      <c r="H979" s="4"/>
      <c r="I979" s="4"/>
      <c r="J979" s="4"/>
      <c r="K979" s="4"/>
      <c r="L979" s="4"/>
    </row>
    <row r="980" spans="1:12" ht="13">
      <c r="A980" s="4"/>
      <c r="B980" s="4"/>
      <c r="C980" s="4"/>
      <c r="D980" s="4"/>
      <c r="E980" s="4"/>
      <c r="F980" s="4"/>
      <c r="G980" s="4"/>
      <c r="H980" s="4"/>
      <c r="I980" s="4"/>
      <c r="J980" s="4"/>
      <c r="K980" s="4"/>
      <c r="L980" s="4"/>
    </row>
    <row r="981" spans="1:12" ht="13">
      <c r="A981" s="4"/>
      <c r="B981" s="4"/>
      <c r="C981" s="4"/>
      <c r="D981" s="4"/>
      <c r="E981" s="4"/>
      <c r="F981" s="4"/>
      <c r="G981" s="4"/>
      <c r="H981" s="4"/>
      <c r="I981" s="4"/>
      <c r="J981" s="4"/>
      <c r="K981" s="4"/>
      <c r="L981" s="4"/>
    </row>
    <row r="982" spans="1:12" ht="13">
      <c r="A982" s="4"/>
      <c r="B982" s="4"/>
      <c r="C982" s="4"/>
      <c r="D982" s="4"/>
      <c r="E982" s="4"/>
      <c r="F982" s="4"/>
      <c r="G982" s="4"/>
      <c r="H982" s="4"/>
      <c r="I982" s="4"/>
      <c r="J982" s="4"/>
      <c r="K982" s="4"/>
      <c r="L982" s="4"/>
    </row>
    <row r="983" spans="1:12" ht="13">
      <c r="A983" s="4"/>
      <c r="B983" s="4"/>
      <c r="C983" s="4"/>
      <c r="D983" s="4"/>
      <c r="E983" s="4"/>
      <c r="F983" s="4"/>
      <c r="G983" s="4"/>
      <c r="H983" s="4"/>
      <c r="I983" s="4"/>
      <c r="J983" s="4"/>
      <c r="K983" s="4"/>
      <c r="L983" s="4"/>
    </row>
    <row r="984" spans="1:12" ht="13">
      <c r="A984" s="4"/>
      <c r="B984" s="4"/>
      <c r="C984" s="4"/>
      <c r="D984" s="4"/>
      <c r="E984" s="4"/>
      <c r="F984" s="4"/>
      <c r="G984" s="4"/>
      <c r="H984" s="4"/>
      <c r="I984" s="4"/>
      <c r="J984" s="4"/>
      <c r="K984" s="4"/>
      <c r="L984" s="4"/>
    </row>
    <row r="985" spans="1:12" ht="13">
      <c r="A985" s="4"/>
      <c r="B985" s="4"/>
      <c r="C985" s="4"/>
      <c r="D985" s="4"/>
      <c r="E985" s="4"/>
      <c r="F985" s="4"/>
      <c r="G985" s="4"/>
      <c r="H985" s="4"/>
      <c r="I985" s="4"/>
      <c r="J985" s="4"/>
      <c r="K985" s="4"/>
      <c r="L985" s="4"/>
    </row>
    <row r="986" spans="1:12" ht="13">
      <c r="A986" s="4"/>
      <c r="B986" s="4"/>
      <c r="C986" s="4"/>
      <c r="D986" s="4"/>
      <c r="E986" s="4"/>
      <c r="F986" s="4"/>
      <c r="G986" s="4"/>
      <c r="H986" s="4"/>
      <c r="I986" s="4"/>
      <c r="J986" s="4"/>
      <c r="K986" s="4"/>
      <c r="L986" s="4"/>
    </row>
    <row r="987" spans="1:12" ht="13">
      <c r="A987" s="4"/>
      <c r="B987" s="4"/>
      <c r="C987" s="4"/>
      <c r="D987" s="4"/>
      <c r="E987" s="4"/>
      <c r="F987" s="4"/>
      <c r="G987" s="4"/>
      <c r="H987" s="4"/>
      <c r="I987" s="4"/>
      <c r="J987" s="4"/>
      <c r="K987" s="4"/>
      <c r="L987" s="4"/>
    </row>
    <row r="988" spans="1:12" ht="13">
      <c r="A988" s="4"/>
      <c r="B988" s="4"/>
      <c r="C988" s="4"/>
      <c r="D988" s="4"/>
      <c r="E988" s="4"/>
      <c r="F988" s="4"/>
      <c r="G988" s="4"/>
      <c r="H988" s="4"/>
      <c r="I988" s="4"/>
      <c r="J988" s="4"/>
      <c r="K988" s="4"/>
      <c r="L988" s="4"/>
    </row>
    <row r="989" spans="1:12" ht="13">
      <c r="A989" s="4"/>
      <c r="B989" s="4"/>
      <c r="C989" s="4"/>
      <c r="D989" s="4"/>
      <c r="E989" s="4"/>
      <c r="F989" s="4"/>
      <c r="G989" s="4"/>
      <c r="H989" s="4"/>
      <c r="I989" s="4"/>
      <c r="J989" s="4"/>
      <c r="K989" s="4"/>
      <c r="L989" s="4"/>
    </row>
    <row r="990" spans="1:12" ht="13">
      <c r="A990" s="4"/>
      <c r="B990" s="4"/>
      <c r="C990" s="4"/>
      <c r="D990" s="4"/>
      <c r="E990" s="4"/>
      <c r="F990" s="4"/>
      <c r="G990" s="4"/>
      <c r="H990" s="4"/>
      <c r="I990" s="4"/>
      <c r="J990" s="4"/>
      <c r="K990" s="4"/>
      <c r="L990" s="4"/>
    </row>
    <row r="991" spans="1:12" ht="13">
      <c r="A991" s="4"/>
      <c r="B991" s="4"/>
      <c r="C991" s="4"/>
      <c r="D991" s="4"/>
      <c r="E991" s="4"/>
      <c r="F991" s="4"/>
      <c r="G991" s="4"/>
      <c r="H991" s="4"/>
      <c r="I991" s="4"/>
      <c r="J991" s="4"/>
      <c r="K991" s="4"/>
      <c r="L991" s="4"/>
    </row>
    <row r="992" spans="1:12" ht="13">
      <c r="A992" s="4"/>
      <c r="B992" s="4"/>
      <c r="C992" s="4"/>
      <c r="D992" s="4"/>
      <c r="E992" s="4"/>
      <c r="F992" s="4"/>
      <c r="G992" s="4"/>
      <c r="H992" s="4"/>
      <c r="I992" s="4"/>
      <c r="J992" s="4"/>
      <c r="K992" s="4"/>
      <c r="L992" s="4"/>
    </row>
    <row r="993" spans="1:12" ht="13">
      <c r="A993" s="4"/>
      <c r="B993" s="4"/>
      <c r="C993" s="4"/>
      <c r="D993" s="4"/>
      <c r="E993" s="4"/>
      <c r="F993" s="4"/>
      <c r="G993" s="4"/>
      <c r="H993" s="4"/>
      <c r="I993" s="4"/>
      <c r="J993" s="4"/>
      <c r="K993" s="4"/>
      <c r="L993" s="4"/>
    </row>
    <row r="994" spans="1:12" ht="13">
      <c r="A994" s="4"/>
      <c r="B994" s="4"/>
      <c r="C994" s="4"/>
      <c r="D994" s="4"/>
      <c r="E994" s="4"/>
      <c r="F994" s="4"/>
      <c r="G994" s="4"/>
      <c r="H994" s="4"/>
      <c r="I994" s="4"/>
      <c r="J994" s="4"/>
      <c r="K994" s="4"/>
      <c r="L994" s="4"/>
    </row>
    <row r="995" spans="1:12" ht="13">
      <c r="A995" s="4"/>
      <c r="B995" s="4"/>
      <c r="C995" s="4"/>
      <c r="D995" s="4"/>
      <c r="E995" s="4"/>
      <c r="F995" s="4"/>
      <c r="G995" s="4"/>
      <c r="H995" s="4"/>
      <c r="I995" s="4"/>
      <c r="J995" s="4"/>
      <c r="K995" s="4"/>
      <c r="L995" s="4"/>
    </row>
    <row r="996" spans="1:12" ht="13">
      <c r="A996" s="4"/>
      <c r="B996" s="4"/>
      <c r="C996" s="4"/>
      <c r="D996" s="4"/>
      <c r="E996" s="4"/>
      <c r="F996" s="4"/>
      <c r="G996" s="4"/>
      <c r="H996" s="4"/>
      <c r="I996" s="4"/>
      <c r="J996" s="4"/>
      <c r="K996" s="4"/>
      <c r="L996" s="4"/>
    </row>
    <row r="997" spans="1:12" ht="13">
      <c r="A997" s="4"/>
      <c r="B997" s="4"/>
      <c r="C997" s="4"/>
      <c r="D997" s="4"/>
      <c r="E997" s="4"/>
      <c r="F997" s="4"/>
      <c r="G997" s="4"/>
      <c r="H997" s="4"/>
      <c r="I997" s="4"/>
      <c r="J997" s="4"/>
      <c r="K997" s="4"/>
      <c r="L997" s="4"/>
    </row>
    <row r="998" spans="1:12" ht="13">
      <c r="A998" s="4"/>
      <c r="B998" s="4"/>
      <c r="C998" s="4"/>
      <c r="D998" s="4"/>
      <c r="E998" s="4"/>
      <c r="F998" s="4"/>
      <c r="G998" s="4"/>
      <c r="H998" s="4"/>
      <c r="I998" s="4"/>
      <c r="J998" s="4"/>
      <c r="K998" s="4"/>
      <c r="L998" s="4"/>
    </row>
    <row r="999" spans="1:12" ht="13">
      <c r="A999" s="4"/>
      <c r="B999" s="4"/>
      <c r="C999" s="4"/>
      <c r="D999" s="4"/>
      <c r="E999" s="4"/>
      <c r="F999" s="4"/>
      <c r="G999" s="4"/>
      <c r="H999" s="4"/>
      <c r="I999" s="4"/>
      <c r="J999" s="4"/>
      <c r="K999" s="4"/>
      <c r="L999" s="4"/>
    </row>
    <row r="1000" spans="1:12" ht="13">
      <c r="A1000" s="4"/>
      <c r="B1000" s="4"/>
      <c r="C1000" s="4"/>
      <c r="D1000" s="4"/>
      <c r="E1000" s="4"/>
      <c r="F1000" s="4"/>
      <c r="G1000" s="4"/>
      <c r="H1000" s="4"/>
      <c r="I1000" s="4"/>
      <c r="J1000" s="4"/>
      <c r="K1000" s="4"/>
      <c r="L1000" s="4"/>
    </row>
    <row r="1001" spans="1:12" ht="13">
      <c r="A1001" s="4"/>
      <c r="B1001" s="4"/>
      <c r="C1001" s="4"/>
      <c r="D1001" s="4"/>
      <c r="E1001" s="4"/>
      <c r="F1001" s="4"/>
      <c r="G1001" s="4"/>
      <c r="H1001" s="4"/>
      <c r="I1001" s="4"/>
      <c r="J1001" s="4"/>
      <c r="K1001" s="4"/>
      <c r="L1001" s="4"/>
    </row>
    <row r="1002" spans="1:12" ht="13">
      <c r="A1002" s="4"/>
      <c r="B1002" s="4"/>
      <c r="C1002" s="4"/>
      <c r="D1002" s="4"/>
      <c r="E1002" s="4"/>
      <c r="F1002" s="4"/>
      <c r="G1002" s="4"/>
      <c r="H1002" s="4"/>
      <c r="I1002" s="4"/>
      <c r="J1002" s="4"/>
      <c r="K1002" s="4"/>
      <c r="L1002" s="4"/>
    </row>
    <row r="1003" spans="1:12" ht="13">
      <c r="A1003" s="4"/>
      <c r="B1003" s="4"/>
      <c r="C1003" s="4"/>
      <c r="D1003" s="4"/>
      <c r="E1003" s="4"/>
      <c r="F1003" s="4"/>
      <c r="G1003" s="4"/>
      <c r="H1003" s="4"/>
      <c r="I1003" s="4"/>
      <c r="J1003" s="4"/>
      <c r="K1003" s="4"/>
      <c r="L1003" s="4"/>
    </row>
    <row r="1004" spans="1:12" ht="13">
      <c r="A1004" s="4"/>
      <c r="B1004" s="4"/>
      <c r="C1004" s="4"/>
      <c r="D1004" s="4"/>
      <c r="E1004" s="4"/>
      <c r="F1004" s="4"/>
      <c r="G1004" s="4"/>
      <c r="H1004" s="4"/>
      <c r="I1004" s="4"/>
      <c r="J1004" s="4"/>
      <c r="K1004" s="4"/>
      <c r="L1004" s="4"/>
    </row>
    <row r="1005" spans="1:12" ht="13">
      <c r="A1005" s="4"/>
      <c r="B1005" s="4"/>
      <c r="C1005" s="4"/>
      <c r="D1005" s="4"/>
      <c r="E1005" s="4"/>
      <c r="F1005" s="4"/>
      <c r="G1005" s="4"/>
      <c r="H1005" s="4"/>
      <c r="I1005" s="4"/>
      <c r="J1005" s="4"/>
      <c r="K1005" s="4"/>
      <c r="L1005" s="4"/>
    </row>
    <row r="1006" spans="1:12" ht="13">
      <c r="A1006" s="4"/>
      <c r="B1006" s="4"/>
      <c r="C1006" s="4"/>
      <c r="D1006" s="4"/>
      <c r="E1006" s="4"/>
      <c r="F1006" s="4"/>
      <c r="G1006" s="4"/>
      <c r="H1006" s="4"/>
      <c r="I1006" s="4"/>
      <c r="J1006" s="4"/>
      <c r="K1006" s="4"/>
      <c r="L1006" s="4"/>
    </row>
    <row r="1007" spans="1:12" ht="13">
      <c r="A1007" s="4"/>
      <c r="B1007" s="4"/>
      <c r="C1007" s="4"/>
      <c r="D1007" s="4"/>
      <c r="E1007" s="4"/>
      <c r="F1007" s="4"/>
      <c r="G1007" s="4"/>
      <c r="H1007" s="4"/>
      <c r="I1007" s="4"/>
      <c r="J1007" s="4"/>
      <c r="K1007" s="4"/>
      <c r="L1007" s="4"/>
    </row>
    <row r="1008" spans="1:12" ht="13">
      <c r="A1008" s="4"/>
      <c r="B1008" s="4"/>
      <c r="C1008" s="4"/>
      <c r="D1008" s="4"/>
      <c r="E1008" s="4"/>
      <c r="F1008" s="4"/>
      <c r="G1008" s="4"/>
      <c r="H1008" s="4"/>
      <c r="I1008" s="4"/>
      <c r="J1008" s="4"/>
      <c r="K1008" s="4"/>
      <c r="L1008" s="4"/>
    </row>
    <row r="1009" spans="1:12" ht="13">
      <c r="A1009" s="4"/>
      <c r="B1009" s="4"/>
      <c r="C1009" s="4"/>
      <c r="D1009" s="4"/>
      <c r="E1009" s="4"/>
      <c r="F1009" s="4"/>
      <c r="G1009" s="4"/>
      <c r="H1009" s="4"/>
      <c r="I1009" s="4"/>
      <c r="J1009" s="4"/>
      <c r="K1009" s="4"/>
      <c r="L1009" s="4"/>
    </row>
    <row r="1010" spans="1:12" ht="13">
      <c r="A1010" s="4"/>
      <c r="B1010" s="4"/>
      <c r="C1010" s="4"/>
      <c r="D1010" s="4"/>
      <c r="E1010" s="4"/>
      <c r="F1010" s="4"/>
      <c r="G1010" s="4"/>
      <c r="H1010" s="4"/>
      <c r="I1010" s="4"/>
      <c r="J1010" s="4"/>
      <c r="K1010" s="4"/>
      <c r="L1010" s="4"/>
    </row>
    <row r="1011" spans="1:12" ht="13">
      <c r="A1011" s="4"/>
      <c r="B1011" s="4"/>
      <c r="C1011" s="4"/>
      <c r="D1011" s="4"/>
      <c r="E1011" s="4"/>
      <c r="F1011" s="4"/>
      <c r="G1011" s="4"/>
      <c r="H1011" s="4"/>
      <c r="I1011" s="4"/>
      <c r="J1011" s="4"/>
      <c r="K1011" s="4"/>
      <c r="L1011" s="4"/>
    </row>
    <row r="1012" spans="1:12" ht="13">
      <c r="A1012" s="4"/>
      <c r="B1012" s="4"/>
      <c r="C1012" s="4"/>
      <c r="D1012" s="4"/>
      <c r="E1012" s="4"/>
      <c r="F1012" s="4"/>
      <c r="G1012" s="4"/>
      <c r="H1012" s="4"/>
      <c r="I1012" s="4"/>
      <c r="J1012" s="4"/>
      <c r="K1012" s="4"/>
      <c r="L1012" s="4"/>
    </row>
    <row r="1013" spans="1:12" ht="13">
      <c r="A1013" s="4"/>
      <c r="B1013" s="4"/>
      <c r="C1013" s="4"/>
      <c r="D1013" s="4"/>
      <c r="E1013" s="4"/>
      <c r="F1013" s="4"/>
      <c r="G1013" s="4"/>
      <c r="H1013" s="4"/>
      <c r="I1013" s="4"/>
      <c r="J1013" s="4"/>
      <c r="K1013" s="4"/>
      <c r="L1013" s="4"/>
    </row>
    <row r="1014" spans="1:12" ht="13">
      <c r="A1014" s="4"/>
      <c r="B1014" s="4"/>
      <c r="C1014" s="4"/>
      <c r="D1014" s="4"/>
      <c r="E1014" s="4"/>
      <c r="F1014" s="4"/>
      <c r="G1014" s="4"/>
      <c r="H1014" s="4"/>
      <c r="I1014" s="4"/>
      <c r="J1014" s="4"/>
      <c r="K1014" s="4"/>
      <c r="L1014" s="4"/>
    </row>
    <row r="1015" spans="1:12" ht="13">
      <c r="A1015" s="4"/>
      <c r="B1015" s="4"/>
      <c r="C1015" s="4"/>
      <c r="D1015" s="4"/>
      <c r="E1015" s="4"/>
      <c r="F1015" s="4"/>
      <c r="G1015" s="4"/>
      <c r="H1015" s="4"/>
      <c r="I1015" s="4"/>
      <c r="J1015" s="4"/>
      <c r="K1015" s="4"/>
      <c r="L1015" s="4"/>
    </row>
    <row r="1016" spans="1:12" ht="13">
      <c r="A1016" s="4"/>
      <c r="B1016" s="4"/>
      <c r="C1016" s="4"/>
      <c r="D1016" s="4"/>
      <c r="E1016" s="4"/>
      <c r="F1016" s="4"/>
      <c r="G1016" s="4"/>
      <c r="H1016" s="4"/>
      <c r="I1016" s="4"/>
      <c r="J1016" s="4"/>
      <c r="K1016" s="4"/>
      <c r="L1016" s="4"/>
    </row>
    <row r="1017" spans="1:12" ht="13">
      <c r="A1017" s="4"/>
      <c r="B1017" s="4"/>
      <c r="C1017" s="4"/>
      <c r="D1017" s="4"/>
      <c r="E1017" s="4"/>
      <c r="F1017" s="4"/>
      <c r="G1017" s="4"/>
      <c r="H1017" s="4"/>
      <c r="I1017" s="4"/>
      <c r="J1017" s="4"/>
      <c r="K1017" s="4"/>
      <c r="L1017" s="4"/>
    </row>
    <row r="1018" spans="1:12" ht="13">
      <c r="A1018" s="4"/>
      <c r="B1018" s="4"/>
      <c r="C1018" s="4"/>
      <c r="D1018" s="4"/>
      <c r="E1018" s="4"/>
      <c r="F1018" s="4"/>
      <c r="G1018" s="4"/>
      <c r="H1018" s="4"/>
      <c r="I1018" s="4"/>
      <c r="J1018" s="4"/>
      <c r="K1018" s="4"/>
      <c r="L1018" s="4"/>
    </row>
    <row r="1019" spans="1:12" ht="13">
      <c r="A1019" s="4"/>
      <c r="B1019" s="4"/>
      <c r="C1019" s="4"/>
      <c r="D1019" s="4"/>
      <c r="E1019" s="4"/>
      <c r="F1019" s="4"/>
      <c r="G1019" s="4"/>
      <c r="H1019" s="4"/>
      <c r="I1019" s="4"/>
      <c r="J1019" s="4"/>
      <c r="K1019" s="4"/>
      <c r="L1019" s="4"/>
    </row>
    <row r="1020" spans="1:12" ht="13">
      <c r="A1020" s="4"/>
      <c r="B1020" s="4"/>
      <c r="C1020" s="4"/>
      <c r="D1020" s="4"/>
      <c r="E1020" s="4"/>
      <c r="F1020" s="4"/>
      <c r="G1020" s="4"/>
      <c r="H1020" s="4"/>
      <c r="I1020" s="4"/>
      <c r="J1020" s="4"/>
      <c r="K1020" s="4"/>
      <c r="L1020" s="4"/>
    </row>
    <row r="1021" spans="1:12" ht="13">
      <c r="A1021" s="4"/>
      <c r="B1021" s="4"/>
      <c r="C1021" s="4"/>
      <c r="D1021" s="4"/>
      <c r="E1021" s="4"/>
      <c r="F1021" s="4"/>
      <c r="G1021" s="4"/>
      <c r="H1021" s="4"/>
      <c r="I1021" s="4"/>
      <c r="J1021" s="4"/>
      <c r="K1021" s="4"/>
      <c r="L1021" s="4"/>
    </row>
    <row r="1022" spans="1:12" ht="13">
      <c r="A1022" s="4"/>
      <c r="B1022" s="4"/>
      <c r="C1022" s="4"/>
      <c r="D1022" s="4"/>
      <c r="E1022" s="4"/>
      <c r="F1022" s="4"/>
      <c r="G1022" s="4"/>
      <c r="H1022" s="4"/>
      <c r="I1022" s="4"/>
      <c r="J1022" s="4"/>
      <c r="K1022" s="4"/>
      <c r="L1022" s="4"/>
    </row>
    <row r="1023" spans="1:12" ht="13">
      <c r="A1023" s="4"/>
      <c r="B1023" s="4"/>
      <c r="C1023" s="4"/>
      <c r="D1023" s="4"/>
      <c r="E1023" s="4"/>
      <c r="F1023" s="4"/>
      <c r="G1023" s="4"/>
      <c r="H1023" s="4"/>
      <c r="I1023" s="4"/>
      <c r="J1023" s="4"/>
      <c r="K1023" s="4"/>
      <c r="L1023" s="4"/>
    </row>
    <row r="1024" spans="1:12" ht="13">
      <c r="A1024" s="4"/>
      <c r="B1024" s="4"/>
      <c r="C1024" s="4"/>
      <c r="D1024" s="4"/>
      <c r="E1024" s="4"/>
      <c r="F1024" s="4"/>
      <c r="G1024" s="4"/>
      <c r="H1024" s="4"/>
      <c r="I1024" s="4"/>
      <c r="J1024" s="4"/>
      <c r="K1024" s="4"/>
      <c r="L1024" s="4"/>
    </row>
    <row r="1025" spans="1:12" ht="13">
      <c r="A1025" s="4"/>
      <c r="B1025" s="4"/>
      <c r="C1025" s="4"/>
      <c r="D1025" s="4"/>
      <c r="E1025" s="4"/>
      <c r="F1025" s="4"/>
      <c r="G1025" s="4"/>
      <c r="H1025" s="4"/>
      <c r="I1025" s="4"/>
      <c r="J1025" s="4"/>
      <c r="K1025" s="4"/>
      <c r="L1025" s="4"/>
    </row>
    <row r="1026" spans="1:12" ht="13">
      <c r="A1026" s="4"/>
      <c r="B1026" s="4"/>
      <c r="C1026" s="4"/>
      <c r="D1026" s="4"/>
      <c r="E1026" s="4"/>
      <c r="F1026" s="4"/>
      <c r="G1026" s="4"/>
      <c r="H1026" s="4"/>
      <c r="I1026" s="4"/>
      <c r="J1026" s="4"/>
      <c r="K1026" s="4"/>
      <c r="L1026" s="4"/>
    </row>
    <row r="1027" spans="1:12" ht="13">
      <c r="A1027" s="4"/>
      <c r="B1027" s="4"/>
      <c r="C1027" s="4"/>
      <c r="D1027" s="4"/>
      <c r="E1027" s="4"/>
      <c r="F1027" s="4"/>
      <c r="G1027" s="4"/>
      <c r="H1027" s="4"/>
      <c r="I1027" s="4"/>
      <c r="J1027" s="4"/>
      <c r="K1027" s="4"/>
      <c r="L1027" s="4"/>
    </row>
    <row r="1028" spans="1:12" ht="13">
      <c r="A1028" s="4"/>
      <c r="B1028" s="4"/>
      <c r="C1028" s="4"/>
      <c r="D1028" s="4"/>
      <c r="E1028" s="4"/>
      <c r="F1028" s="4"/>
      <c r="G1028" s="4"/>
      <c r="H1028" s="4"/>
      <c r="I1028" s="4"/>
      <c r="J1028" s="4"/>
      <c r="K1028" s="4"/>
      <c r="L1028" s="4"/>
    </row>
    <row r="1029" spans="1:12" ht="13">
      <c r="A1029" s="4"/>
      <c r="B1029" s="4"/>
      <c r="C1029" s="4"/>
      <c r="D1029" s="4"/>
      <c r="E1029" s="4"/>
      <c r="F1029" s="4"/>
      <c r="G1029" s="4"/>
      <c r="H1029" s="4"/>
      <c r="I1029" s="4"/>
      <c r="J1029" s="4"/>
      <c r="K1029" s="4"/>
      <c r="L1029" s="4"/>
    </row>
    <row r="1030" spans="1:12" ht="13">
      <c r="A1030" s="4"/>
      <c r="B1030" s="4"/>
      <c r="C1030" s="4"/>
      <c r="D1030" s="4"/>
      <c r="E1030" s="4"/>
      <c r="F1030" s="4"/>
      <c r="G1030" s="4"/>
      <c r="H1030" s="4"/>
      <c r="I1030" s="4"/>
      <c r="J1030" s="4"/>
      <c r="K1030" s="4"/>
      <c r="L1030" s="4"/>
    </row>
  </sheetData>
  <autoFilter ref="A5:L1030" xr:uid="{00000000-0009-0000-0000-000003000000}"/>
  <mergeCells count="2">
    <mergeCell ref="A1:C1"/>
    <mergeCell ref="A2:C2"/>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Master!$B$7:$B$1000</xm:f>
          </x14:formula1>
          <xm:sqref>B6 C7:C16 B17 C18:C27 B28 C29:C36 B37 C38:C43 B44 C45:C57 B58 C59:C73 B74 C75:C78 B79 C80:C84 B85 C86:C88 B89 C90:C94 B95 C96:C97 B98 C99:C103 B104 C105:C107 B108 C109:C110 B111 C112:C118 B119 C120:C128 B129:C129 C130:C138 B139:C139 C140:C144 B145:C151 C152:C165 B166:C169 C170:C183 B184:C187 C188:C191 B192:C195 C196:C208 B209:C212 C213:C224 B225:C228 C229:C233 B234:C237 C238:C239 B240:C243 C244:C245 B246:C249 C250:C253 B254:C254 C255:C258 B259:C259 C260:C262 B263:C263 C264:C268 B269:C269 C270:C272 B273:C273 C274:C278 B279:C279 C280:C282 B283:C283 C284:C291 B292:C292 C293:C294 B295:C295 C296:C309 B310:C310 C311:C317 B318:C318 C319:C332 B333:C333 C334:C343 B344:C344 C345:C351 B352:C352 C353:C358 B359:C359 C360:C364 B365:C365 C366:C377 B378:C378 C379:C388 B389:C389 C390:C406 B407:C407 C408:C424 B425:C425 C426:C442 B443:C443 C444:C460 B461:C461 C462:C478 B479:C479 C480:C496 B497:C497 C498:C514 B516:C516 C517:C518 B520:C520 C521:C531 B538:C538 C539:C543 B545:C545 C546:C556 B558:C558 C559 B561:C561 C562:C563 B565:C565 C566:C583 B584:C584 C585:C588 B590:C590 C591:C597 B599:C599 C600:C606 B608:C608 C609:C611 B613:C613 C614:C615 B617:C617 C618:C623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982"/>
  <sheetViews>
    <sheetView topLeftCell="A157" zoomScale="112" workbookViewId="0">
      <selection activeCell="C169" sqref="C169"/>
    </sheetView>
  </sheetViews>
  <sheetFormatPr baseColWidth="10" defaultColWidth="12.6640625" defaultRowHeight="15.75" customHeight="1"/>
  <cols>
    <col min="2" max="2" width="28.33203125" customWidth="1"/>
    <col min="3" max="3" width="27.5" customWidth="1"/>
    <col min="4" max="4" width="12.83203125" customWidth="1"/>
    <col min="5" max="5" width="9" customWidth="1"/>
    <col min="6" max="6" width="12.83203125" customWidth="1"/>
    <col min="7" max="7" width="11.5" customWidth="1"/>
    <col min="8" max="8" width="8.1640625" customWidth="1"/>
    <col min="9" max="9" width="10.1640625" customWidth="1"/>
    <col min="10" max="10" width="25" customWidth="1"/>
    <col min="11" max="11" width="44.33203125" hidden="1" customWidth="1"/>
    <col min="12" max="26" width="12.6640625" hidden="1"/>
  </cols>
  <sheetData>
    <row r="1" spans="1:11" ht="18">
      <c r="A1" s="418" t="s">
        <v>1357</v>
      </c>
      <c r="B1" s="419"/>
      <c r="C1" s="419"/>
      <c r="D1" s="4"/>
      <c r="E1" s="4"/>
      <c r="F1" s="4"/>
      <c r="G1" s="4"/>
      <c r="H1" s="4"/>
      <c r="I1" s="4"/>
    </row>
    <row r="2" spans="1:11" ht="18">
      <c r="A2" s="418" t="s">
        <v>2</v>
      </c>
      <c r="B2" s="419"/>
      <c r="C2" s="419"/>
      <c r="D2" s="4"/>
      <c r="E2" s="4"/>
      <c r="F2" s="4"/>
      <c r="G2" s="4"/>
      <c r="H2" s="4"/>
      <c r="I2" s="4"/>
    </row>
    <row r="3" spans="1:11" ht="15.75" customHeight="1">
      <c r="A3" s="4"/>
      <c r="B3" s="4"/>
      <c r="C3" s="4"/>
      <c r="D3" s="4"/>
      <c r="E3" s="4"/>
      <c r="F3" s="4"/>
      <c r="G3" s="4"/>
      <c r="H3" s="4"/>
      <c r="I3" s="4"/>
    </row>
    <row r="4" spans="1:11" ht="15.75" customHeight="1">
      <c r="A4" s="90"/>
      <c r="B4" s="90"/>
      <c r="C4" s="90"/>
      <c r="D4" s="90"/>
      <c r="E4" s="90"/>
      <c r="F4" s="90"/>
      <c r="G4" s="90"/>
      <c r="H4" s="90"/>
      <c r="I4" s="90"/>
    </row>
    <row r="5" spans="1:11" ht="15.75" customHeight="1">
      <c r="A5" s="133" t="s">
        <v>5</v>
      </c>
      <c r="B5" s="92" t="s">
        <v>19</v>
      </c>
      <c r="C5" s="92" t="s">
        <v>1336</v>
      </c>
      <c r="D5" s="93" t="s">
        <v>1337</v>
      </c>
      <c r="E5" s="92" t="s">
        <v>1338</v>
      </c>
      <c r="F5" s="93" t="s">
        <v>1339</v>
      </c>
      <c r="G5" s="93" t="s">
        <v>1340</v>
      </c>
      <c r="H5" s="93" t="s">
        <v>1341</v>
      </c>
      <c r="I5" s="93" t="s">
        <v>1286</v>
      </c>
      <c r="J5" s="187"/>
      <c r="K5" s="187" t="s">
        <v>1289</v>
      </c>
    </row>
    <row r="6" spans="1:11" ht="15.75" customHeight="1">
      <c r="A6" s="188" t="str">
        <f>VLOOKUP(B6,Master!$V$7:$W$150,2,FALSE)</f>
        <v>M0001</v>
      </c>
      <c r="B6" s="152" t="s">
        <v>2071</v>
      </c>
      <c r="C6" s="153"/>
      <c r="D6" s="153"/>
      <c r="E6" s="154"/>
      <c r="F6" s="153"/>
      <c r="G6" s="155">
        <f>SUM(G7:G10)</f>
        <v>6280.5263157894733</v>
      </c>
      <c r="H6" s="171">
        <v>0.15</v>
      </c>
      <c r="I6" s="155">
        <f>G6+(G6*H6)</f>
        <v>7222.6052631578941</v>
      </c>
      <c r="J6" s="189" t="b">
        <v>1</v>
      </c>
      <c r="K6" s="189" t="b">
        <v>1</v>
      </c>
    </row>
    <row r="7" spans="1:11" ht="15.75" customHeight="1">
      <c r="A7" s="141"/>
      <c r="B7" s="4"/>
      <c r="C7" s="4" t="s">
        <v>2030</v>
      </c>
      <c r="D7" s="146">
        <v>18</v>
      </c>
      <c r="E7" s="4" t="str">
        <f>VLOOKUP(C7,Master!$B$6:$N$1000,9,FALSE)</f>
        <v>gr</v>
      </c>
      <c r="F7" s="144">
        <f>VLOOKUP(C7,Master!$B$6:$N$1000,10,FALSE)</f>
        <v>195</v>
      </c>
      <c r="G7" s="144">
        <f t="shared" ref="G7:G10" si="0">D7*F7</f>
        <v>3510</v>
      </c>
      <c r="H7" s="145"/>
      <c r="I7" s="145"/>
      <c r="J7" s="190" t="s">
        <v>1358</v>
      </c>
    </row>
    <row r="8" spans="1:11" ht="15.75" customHeight="1">
      <c r="A8" s="141"/>
      <c r="B8" s="4"/>
      <c r="C8" s="4" t="s">
        <v>2052</v>
      </c>
      <c r="D8" s="146">
        <v>0</v>
      </c>
      <c r="E8" s="4" t="str">
        <f>VLOOKUP(C8,Master!$B$6:$N$1000,9,FALSE)</f>
        <v>ml</v>
      </c>
      <c r="F8" s="144">
        <f>VLOOKUP(C8,Master!$B$6:$N$1000,10,FALSE)</f>
        <v>0.66315789473684206</v>
      </c>
      <c r="G8" s="144">
        <f t="shared" si="0"/>
        <v>0</v>
      </c>
      <c r="H8" s="145"/>
      <c r="I8" s="145"/>
      <c r="J8" s="132" t="s">
        <v>1359</v>
      </c>
    </row>
    <row r="9" spans="1:11" ht="15.75" customHeight="1">
      <c r="A9" s="141"/>
      <c r="B9" s="4"/>
      <c r="C9" s="4" t="s">
        <v>1987</v>
      </c>
      <c r="D9" s="146">
        <v>120</v>
      </c>
      <c r="E9" s="4" t="str">
        <f>VLOOKUP(C9,Master!$B$6:$N$1000,9,FALSE)</f>
        <v>ml</v>
      </c>
      <c r="F9" s="144">
        <f>VLOOKUP(C9,Master!$B$6:$N$1000,10,FALSE)</f>
        <v>18.421052631578949</v>
      </c>
      <c r="G9" s="144">
        <f t="shared" si="0"/>
        <v>2210.5263157894738</v>
      </c>
      <c r="H9" s="145"/>
      <c r="I9" s="145"/>
    </row>
    <row r="10" spans="1:11" ht="15.75" customHeight="1">
      <c r="A10" s="148"/>
      <c r="B10" s="90"/>
      <c r="C10" s="90" t="s">
        <v>843</v>
      </c>
      <c r="D10" s="149">
        <v>1</v>
      </c>
      <c r="E10" s="4" t="str">
        <f>VLOOKUP(C10,Master!$B$6:$N$1000,9,FALSE)</f>
        <v>pcs</v>
      </c>
      <c r="F10" s="158">
        <f>VLOOKUP(C10,Master!$B$6:$N$1000,10,FALSE)</f>
        <v>560</v>
      </c>
      <c r="G10" s="150">
        <f t="shared" si="0"/>
        <v>560</v>
      </c>
      <c r="H10" s="151"/>
      <c r="I10" s="151"/>
      <c r="J10" s="190" t="s">
        <v>1360</v>
      </c>
    </row>
    <row r="11" spans="1:11" ht="15.75" customHeight="1">
      <c r="A11" s="188" t="str">
        <f>VLOOKUP(B11,Master!$V$7:$W$150,2,FALSE)</f>
        <v>M0002</v>
      </c>
      <c r="B11" s="135" t="s">
        <v>2072</v>
      </c>
      <c r="C11" s="136"/>
      <c r="D11" s="153"/>
      <c r="E11" s="153"/>
      <c r="F11" s="153"/>
      <c r="G11" s="155">
        <f>SUM(G12:G15)</f>
        <v>5857.05403508772</v>
      </c>
      <c r="H11" s="171">
        <v>0.15</v>
      </c>
      <c r="I11" s="155">
        <f>G11+(G11*H11)</f>
        <v>6735.6121403508778</v>
      </c>
      <c r="J11" s="140" t="b">
        <v>1</v>
      </c>
      <c r="K11" s="140" t="b">
        <v>1</v>
      </c>
    </row>
    <row r="12" spans="1:11" ht="15.75" customHeight="1">
      <c r="A12" s="141"/>
      <c r="B12" s="4"/>
      <c r="C12" s="4" t="s">
        <v>2030</v>
      </c>
      <c r="D12" s="146">
        <v>18</v>
      </c>
      <c r="E12" s="4" t="str">
        <f>VLOOKUP(C12,Master!$B$6:$N$1000,9,FALSE)</f>
        <v>gr</v>
      </c>
      <c r="F12" s="144">
        <f>VLOOKUP(C12,Master!$B$6:$N$1000,10,FALSE)</f>
        <v>195</v>
      </c>
      <c r="G12" s="144">
        <f t="shared" ref="G12:G15" si="1">D12*F12</f>
        <v>3510</v>
      </c>
      <c r="H12" s="145"/>
      <c r="I12" s="145"/>
      <c r="K12" s="191" t="s">
        <v>1361</v>
      </c>
    </row>
    <row r="13" spans="1:11" ht="15.75" customHeight="1">
      <c r="A13" s="141"/>
      <c r="B13" s="4"/>
      <c r="C13" s="4" t="s">
        <v>378</v>
      </c>
      <c r="D13" s="146">
        <v>30</v>
      </c>
      <c r="E13" s="4" t="str">
        <f>VLOOKUP(C13,Master!$B$6:$N$1000,9,FALSE)</f>
        <v>ml</v>
      </c>
      <c r="F13" s="144">
        <f>VLOOKUP(C13,Master!$B$6:$N$1000,10,FALSE)</f>
        <v>15.983578947368422</v>
      </c>
      <c r="G13" s="144">
        <f t="shared" si="1"/>
        <v>479.50736842105266</v>
      </c>
      <c r="H13" s="145"/>
      <c r="I13" s="145"/>
    </row>
    <row r="14" spans="1:11" ht="15.75" customHeight="1">
      <c r="A14" s="141"/>
      <c r="B14" s="4"/>
      <c r="C14" s="4" t="s">
        <v>1981</v>
      </c>
      <c r="D14" s="146">
        <v>80</v>
      </c>
      <c r="E14" s="4" t="str">
        <f>VLOOKUP(C14,Master!$B$6:$N$1000,9,FALSE)</f>
        <v>ml</v>
      </c>
      <c r="F14" s="144">
        <f>VLOOKUP(C14,Master!$B$6:$N$1000,10,FALSE)</f>
        <v>17.094333333333335</v>
      </c>
      <c r="G14" s="144">
        <f t="shared" si="1"/>
        <v>1367.5466666666669</v>
      </c>
      <c r="H14" s="145"/>
      <c r="I14" s="145"/>
    </row>
    <row r="15" spans="1:11" ht="15.75" customHeight="1">
      <c r="A15" s="148"/>
      <c r="B15" s="90"/>
      <c r="C15" s="90" t="s">
        <v>839</v>
      </c>
      <c r="D15" s="149">
        <v>1</v>
      </c>
      <c r="E15" s="4" t="str">
        <f>VLOOKUP(C15,Master!$B$6:$N$1000,9,FALSE)</f>
        <v>pcs</v>
      </c>
      <c r="F15" s="158">
        <f>VLOOKUP(C15,Master!$B$6:$N$1000,10,FALSE)</f>
        <v>500</v>
      </c>
      <c r="G15" s="150">
        <f t="shared" si="1"/>
        <v>500</v>
      </c>
      <c r="H15" s="151"/>
      <c r="I15" s="151"/>
      <c r="J15" s="190" t="s">
        <v>1362</v>
      </c>
    </row>
    <row r="16" spans="1:11" ht="15.75" customHeight="1">
      <c r="A16" s="188" t="str">
        <f>VLOOKUP(B16,Master!$V$7:$W$150,2,FALSE)</f>
        <v>M0003</v>
      </c>
      <c r="B16" s="152" t="s">
        <v>59</v>
      </c>
      <c r="C16" s="153"/>
      <c r="D16" s="153"/>
      <c r="E16" s="153"/>
      <c r="F16" s="153"/>
      <c r="G16" s="155">
        <f>SUM(G17:G20)</f>
        <v>5572.3636842105261</v>
      </c>
      <c r="H16" s="171">
        <v>0.15</v>
      </c>
      <c r="I16" s="155">
        <f>G16+(G16*H16)</f>
        <v>6408.2182368421054</v>
      </c>
      <c r="J16" s="192" t="b">
        <v>1</v>
      </c>
      <c r="K16" s="140" t="b">
        <v>1</v>
      </c>
    </row>
    <row r="17" spans="1:11" ht="15.75" customHeight="1">
      <c r="A17" s="141"/>
      <c r="B17" s="4"/>
      <c r="C17" s="4" t="s">
        <v>2030</v>
      </c>
      <c r="D17" s="146">
        <v>18</v>
      </c>
      <c r="E17" s="4" t="str">
        <f>VLOOKUP(C17,Master!$B$6:$N$1000,9,FALSE)</f>
        <v>gr</v>
      </c>
      <c r="F17" s="144">
        <f>VLOOKUP(C17,Master!$B$6:$N$1000,10,FALSE)</f>
        <v>195</v>
      </c>
      <c r="G17" s="144">
        <f t="shared" ref="G17:G20" si="2">D17*F17</f>
        <v>3510</v>
      </c>
      <c r="H17" s="145"/>
      <c r="I17" s="145"/>
    </row>
    <row r="18" spans="1:11" ht="15.75" customHeight="1">
      <c r="A18" s="141"/>
      <c r="B18" s="4"/>
      <c r="C18" s="4" t="s">
        <v>2052</v>
      </c>
      <c r="D18" s="146">
        <v>36</v>
      </c>
      <c r="E18" s="4" t="str">
        <f>VLOOKUP(C18,Master!$B$6:$N$1000,9,FALSE)</f>
        <v>ml</v>
      </c>
      <c r="F18" s="158">
        <f>VLOOKUP(C18,Master!$B$6:$N$1000,10,FALSE)</f>
        <v>0.66315789473684206</v>
      </c>
      <c r="G18" s="144">
        <f t="shared" si="2"/>
        <v>23.873684210526314</v>
      </c>
      <c r="H18" s="145"/>
      <c r="I18" s="145"/>
    </row>
    <row r="19" spans="1:11" ht="15.75" customHeight="1">
      <c r="A19" s="141"/>
      <c r="B19" s="4"/>
      <c r="C19" s="4" t="s">
        <v>1981</v>
      </c>
      <c r="D19" s="146">
        <v>90</v>
      </c>
      <c r="E19" s="4" t="str">
        <f>VLOOKUP(C19,Master!$B$6:$N$1000,9,FALSE)</f>
        <v>ml</v>
      </c>
      <c r="F19" s="158">
        <f>VLOOKUP(C19,Master!$B$6:$N$1000,10,FALSE)</f>
        <v>17.094333333333335</v>
      </c>
      <c r="G19" s="144">
        <f t="shared" si="2"/>
        <v>1538.4900000000002</v>
      </c>
      <c r="H19" s="145"/>
      <c r="I19" s="145"/>
    </row>
    <row r="20" spans="1:11" ht="15.75" customHeight="1">
      <c r="A20" s="148"/>
      <c r="B20" s="90"/>
      <c r="C20" s="90" t="s">
        <v>839</v>
      </c>
      <c r="D20" s="149">
        <v>1</v>
      </c>
      <c r="E20" s="4" t="str">
        <f>VLOOKUP(C20,Master!$B$6:$N$1000,9,FALSE)</f>
        <v>pcs</v>
      </c>
      <c r="F20" s="158">
        <f>VLOOKUP(C20,Master!$B$6:$N$1000,10,FALSE)</f>
        <v>500</v>
      </c>
      <c r="G20" s="150">
        <f t="shared" si="2"/>
        <v>500</v>
      </c>
      <c r="H20" s="151"/>
      <c r="I20" s="151"/>
    </row>
    <row r="21" spans="1:11" ht="15.75" customHeight="1">
      <c r="A21" s="188" t="str">
        <f>VLOOKUP(B21,Master!$V$7:$W$150,2,FALSE)</f>
        <v>M0004</v>
      </c>
      <c r="B21" s="135" t="s">
        <v>72</v>
      </c>
      <c r="C21" s="136"/>
      <c r="D21" s="136"/>
      <c r="E21" s="153"/>
      <c r="F21" s="153"/>
      <c r="G21" s="155">
        <f>SUM(G22:G25)</f>
        <v>6857.031578947368</v>
      </c>
      <c r="H21" s="171">
        <v>0.15</v>
      </c>
      <c r="I21" s="155">
        <f>G21+(G21*H21)</f>
        <v>7885.5863157894728</v>
      </c>
      <c r="J21" s="192" t="b">
        <v>1</v>
      </c>
      <c r="K21" s="140" t="b">
        <v>1</v>
      </c>
    </row>
    <row r="22" spans="1:11" ht="15.75" customHeight="1">
      <c r="A22" s="141"/>
      <c r="B22" s="4"/>
      <c r="C22" s="4" t="s">
        <v>2030</v>
      </c>
      <c r="D22" s="146">
        <v>18</v>
      </c>
      <c r="E22" s="4" t="str">
        <f>VLOOKUP(C22,Master!$B$6:$N$1000,9,FALSE)</f>
        <v>gr</v>
      </c>
      <c r="F22" s="144">
        <f>VLOOKUP(C22,Master!$B$6:$N$1000,10,FALSE)</f>
        <v>195</v>
      </c>
      <c r="G22" s="144">
        <f t="shared" ref="G22:G25" si="3">D22*F22</f>
        <v>3510</v>
      </c>
      <c r="H22" s="145"/>
      <c r="I22" s="145"/>
      <c r="J22" s="190" t="s">
        <v>1358</v>
      </c>
    </row>
    <row r="23" spans="1:11" ht="15.75" customHeight="1">
      <c r="A23" s="141"/>
      <c r="B23" s="4"/>
      <c r="C23" s="4" t="s">
        <v>2052</v>
      </c>
      <c r="D23" s="146">
        <v>36</v>
      </c>
      <c r="E23" s="4" t="str">
        <f>VLOOKUP(C23,Master!$B$6:$N$1000,9,FALSE)</f>
        <v>ml</v>
      </c>
      <c r="F23" s="144">
        <f>VLOOKUP(C23,Master!$B$6:$N$1000,10,FALSE)</f>
        <v>0.66315789473684206</v>
      </c>
      <c r="G23" s="144">
        <f t="shared" si="3"/>
        <v>23.873684210526314</v>
      </c>
      <c r="H23" s="145"/>
      <c r="I23" s="145"/>
      <c r="J23" s="132" t="s">
        <v>1363</v>
      </c>
    </row>
    <row r="24" spans="1:11" ht="15.75" customHeight="1">
      <c r="A24" s="141"/>
      <c r="B24" s="4"/>
      <c r="C24" s="4" t="s">
        <v>1987</v>
      </c>
      <c r="D24" s="146">
        <v>150</v>
      </c>
      <c r="E24" s="4" t="str">
        <f>VLOOKUP(C24,Master!$B$6:$N$1000,9,FALSE)</f>
        <v>ml</v>
      </c>
      <c r="F24" s="144">
        <f>VLOOKUP(C24,Master!$B$6:$N$1000,10,FALSE)</f>
        <v>18.421052631578949</v>
      </c>
      <c r="G24" s="144">
        <f t="shared" si="3"/>
        <v>2763.1578947368421</v>
      </c>
      <c r="H24" s="145"/>
      <c r="I24" s="145"/>
    </row>
    <row r="25" spans="1:11" ht="15.75" customHeight="1">
      <c r="A25" s="148"/>
      <c r="B25" s="90"/>
      <c r="C25" s="90" t="s">
        <v>843</v>
      </c>
      <c r="D25" s="149">
        <v>1</v>
      </c>
      <c r="E25" s="4" t="str">
        <f>VLOOKUP(C25,Master!$B$6:$N$1000,9,FALSE)</f>
        <v>pcs</v>
      </c>
      <c r="F25" s="158">
        <f>VLOOKUP(C25,Master!$B$6:$N$1000,10,FALSE)</f>
        <v>560</v>
      </c>
      <c r="G25" s="150">
        <f t="shared" si="3"/>
        <v>560</v>
      </c>
      <c r="H25" s="151"/>
      <c r="I25" s="151"/>
    </row>
    <row r="26" spans="1:11" ht="15.75" customHeight="1">
      <c r="A26" s="188" t="str">
        <f>VLOOKUP(B26,Master!$V$7:$W$150,2,FALSE)</f>
        <v>M0005</v>
      </c>
      <c r="B26" s="135" t="s">
        <v>84</v>
      </c>
      <c r="C26" s="136"/>
      <c r="D26" s="136"/>
      <c r="E26" s="153"/>
      <c r="F26" s="153"/>
      <c r="G26" s="155">
        <f>SUM(G27:G29)</f>
        <v>4136.3157894736842</v>
      </c>
      <c r="H26" s="171">
        <v>0.15</v>
      </c>
      <c r="I26" s="155">
        <f>G26+(G26*H26)</f>
        <v>4756.7631578947367</v>
      </c>
      <c r="J26" s="192" t="b">
        <v>1</v>
      </c>
      <c r="K26" s="140" t="b">
        <v>1</v>
      </c>
    </row>
    <row r="27" spans="1:11" ht="15.75" customHeight="1">
      <c r="A27" s="141"/>
      <c r="B27" s="4"/>
      <c r="C27" s="4" t="s">
        <v>2030</v>
      </c>
      <c r="D27" s="146">
        <v>18</v>
      </c>
      <c r="E27" s="4" t="str">
        <f>VLOOKUP(C27,Master!$B$6:$N$1000,9,FALSE)</f>
        <v>gr</v>
      </c>
      <c r="F27" s="144">
        <f>VLOOKUP(C27,Master!$B$6:$N$1000,10,FALSE)</f>
        <v>195</v>
      </c>
      <c r="G27" s="144">
        <f t="shared" ref="G27:G29" si="4">D27*F27</f>
        <v>3510</v>
      </c>
      <c r="H27" s="145"/>
      <c r="I27" s="145"/>
    </row>
    <row r="28" spans="1:11" ht="15.75" customHeight="1">
      <c r="A28" s="141"/>
      <c r="B28" s="4"/>
      <c r="C28" s="4" t="s">
        <v>2052</v>
      </c>
      <c r="D28" s="146">
        <v>100</v>
      </c>
      <c r="E28" s="4" t="str">
        <f>VLOOKUP(C28,Master!$B$6:$N$1000,9,FALSE)</f>
        <v>ml</v>
      </c>
      <c r="F28" s="144">
        <f>VLOOKUP(C28,Master!$B$6:$N$1000,10,FALSE)</f>
        <v>0.66315789473684206</v>
      </c>
      <c r="G28" s="144">
        <f t="shared" si="4"/>
        <v>66.315789473684205</v>
      </c>
      <c r="H28" s="145"/>
      <c r="I28" s="145"/>
    </row>
    <row r="29" spans="1:11" ht="15.75" customHeight="1">
      <c r="A29" s="148"/>
      <c r="B29" s="90"/>
      <c r="C29" s="90" t="s">
        <v>843</v>
      </c>
      <c r="D29" s="149">
        <v>1</v>
      </c>
      <c r="E29" s="4" t="str">
        <f>VLOOKUP(C29,Master!$B$6:$N$1000,9,FALSE)</f>
        <v>pcs</v>
      </c>
      <c r="F29" s="158">
        <f>VLOOKUP(C29,Master!$B$6:$N$1000,10,FALSE)</f>
        <v>560</v>
      </c>
      <c r="G29" s="150">
        <f t="shared" si="4"/>
        <v>560</v>
      </c>
      <c r="H29" s="151"/>
      <c r="I29" s="151"/>
    </row>
    <row r="30" spans="1:11" ht="15.75" customHeight="1">
      <c r="A30" s="188" t="str">
        <f>VLOOKUP(B30,Master!$V$7:$W$150,2,FALSE)</f>
        <v>M0006</v>
      </c>
      <c r="B30" s="135" t="s">
        <v>94</v>
      </c>
      <c r="C30" s="136"/>
      <c r="D30" s="136"/>
      <c r="E30" s="153"/>
      <c r="F30" s="153"/>
      <c r="G30" s="155">
        <f>SUM(G31:G33)</f>
        <v>4076.3157894736842</v>
      </c>
      <c r="H30" s="171">
        <v>0.1</v>
      </c>
      <c r="I30" s="155">
        <f>G30+(G30*H30)</f>
        <v>4483.9473684210525</v>
      </c>
      <c r="J30" s="192" t="b">
        <v>1</v>
      </c>
      <c r="K30" s="140" t="b">
        <v>1</v>
      </c>
    </row>
    <row r="31" spans="1:11" ht="15.75" customHeight="1">
      <c r="A31" s="141"/>
      <c r="B31" s="4"/>
      <c r="C31" s="4" t="s">
        <v>2030</v>
      </c>
      <c r="D31" s="146">
        <v>18</v>
      </c>
      <c r="E31" s="4" t="str">
        <f>VLOOKUP(C31,Master!$B$6:$N$1000,9,FALSE)</f>
        <v>gr</v>
      </c>
      <c r="F31" s="144">
        <f>VLOOKUP(C31,Master!$B$6:$N$1000,10,FALSE)</f>
        <v>195</v>
      </c>
      <c r="G31" s="144">
        <f t="shared" ref="G31:G33" si="5">D31*F31</f>
        <v>3510</v>
      </c>
      <c r="H31" s="145"/>
      <c r="I31" s="145"/>
    </row>
    <row r="32" spans="1:11" ht="15.75" customHeight="1">
      <c r="A32" s="141"/>
      <c r="B32" s="4"/>
      <c r="C32" s="4" t="s">
        <v>2052</v>
      </c>
      <c r="D32" s="146">
        <v>100</v>
      </c>
      <c r="E32" s="4" t="str">
        <f>VLOOKUP(C32,Master!$B$6:$N$1000,9,FALSE)</f>
        <v>ml</v>
      </c>
      <c r="F32" s="158">
        <f>VLOOKUP(C32,Master!$B$6:$N$1000,10,FALSE)</f>
        <v>0.66315789473684206</v>
      </c>
      <c r="G32" s="144">
        <f t="shared" si="5"/>
        <v>66.315789473684205</v>
      </c>
      <c r="H32" s="145"/>
      <c r="I32" s="145"/>
    </row>
    <row r="33" spans="1:11" ht="15.75" customHeight="1">
      <c r="A33" s="148"/>
      <c r="B33" s="90"/>
      <c r="C33" s="90" t="s">
        <v>839</v>
      </c>
      <c r="D33" s="149">
        <v>1</v>
      </c>
      <c r="E33" s="4" t="str">
        <f>VLOOKUP(C33,Master!$B$6:$N$1000,9,FALSE)</f>
        <v>pcs</v>
      </c>
      <c r="F33" s="158">
        <f>VLOOKUP(C33,Master!$B$6:$N$1000,10,FALSE)</f>
        <v>500</v>
      </c>
      <c r="G33" s="150">
        <f t="shared" si="5"/>
        <v>500</v>
      </c>
      <c r="H33" s="151"/>
      <c r="I33" s="151"/>
    </row>
    <row r="34" spans="1:11" ht="15.75" customHeight="1">
      <c r="A34" s="188" t="str">
        <f>VLOOKUP(B34,Master!$V$7:$W$150,2,FALSE)</f>
        <v>M0007</v>
      </c>
      <c r="B34" s="135" t="s">
        <v>105</v>
      </c>
      <c r="C34" s="136"/>
      <c r="D34" s="153"/>
      <c r="E34" s="153"/>
      <c r="F34" s="153"/>
      <c r="G34" s="138">
        <f>SUM(G35:G39)</f>
        <v>6570.1894736842105</v>
      </c>
      <c r="H34" s="139">
        <v>0.15</v>
      </c>
      <c r="I34" s="138">
        <f>G34+(G34*H34)</f>
        <v>7555.717894736842</v>
      </c>
      <c r="J34" s="192" t="b">
        <v>1</v>
      </c>
      <c r="K34" s="140" t="b">
        <v>1</v>
      </c>
    </row>
    <row r="35" spans="1:11" ht="15.75" customHeight="1">
      <c r="A35" s="141"/>
      <c r="B35" s="4"/>
      <c r="C35" s="4" t="s">
        <v>2030</v>
      </c>
      <c r="D35" s="146">
        <v>18</v>
      </c>
      <c r="E35" s="4" t="str">
        <f>VLOOKUP(C35,Master!$B$6:$N$1000,9,FALSE)</f>
        <v>gr</v>
      </c>
      <c r="F35" s="144">
        <f>VLOOKUP(C35,Master!$B$6:$N$1000,10,FALSE)</f>
        <v>195</v>
      </c>
      <c r="G35" s="144">
        <f t="shared" ref="G35:G39" si="6">D35*F35</f>
        <v>3510</v>
      </c>
      <c r="H35" s="145"/>
      <c r="I35" s="145"/>
    </row>
    <row r="36" spans="1:11" ht="15.75" customHeight="1">
      <c r="A36" s="141"/>
      <c r="B36" s="4"/>
      <c r="C36" s="4" t="s">
        <v>2052</v>
      </c>
      <c r="D36" s="146">
        <v>36</v>
      </c>
      <c r="E36" s="4" t="str">
        <f>VLOOKUP(C36,Master!$B$6:$N$1000,9,FALSE)</f>
        <v>ml</v>
      </c>
      <c r="F36" s="158">
        <f>VLOOKUP(C36,Master!$B$6:$N$1000,10,FALSE)</f>
        <v>0.66315789473684206</v>
      </c>
      <c r="G36" s="144">
        <f t="shared" si="6"/>
        <v>23.873684210526314</v>
      </c>
      <c r="H36" s="145"/>
      <c r="I36" s="145"/>
    </row>
    <row r="37" spans="1:11" ht="15.75" customHeight="1">
      <c r="A37" s="141"/>
      <c r="B37" s="4"/>
      <c r="C37" s="4" t="s">
        <v>1987</v>
      </c>
      <c r="D37" s="146">
        <v>15</v>
      </c>
      <c r="E37" s="4" t="str">
        <f>VLOOKUP(C37,Master!$B$6:$N$1000,9,FALSE)</f>
        <v>ml</v>
      </c>
      <c r="F37" s="158">
        <f>VLOOKUP(C37,Master!$B$6:$N$1000,10,FALSE)</f>
        <v>18.421052631578949</v>
      </c>
      <c r="G37" s="144">
        <f t="shared" si="6"/>
        <v>276.31578947368422</v>
      </c>
      <c r="H37" s="145"/>
      <c r="I37" s="145"/>
    </row>
    <row r="38" spans="1:11" ht="15.75" customHeight="1">
      <c r="A38" s="141"/>
      <c r="B38" s="4"/>
      <c r="C38" s="4" t="s">
        <v>1180</v>
      </c>
      <c r="D38" s="146">
        <v>10</v>
      </c>
      <c r="E38" s="4" t="str">
        <f>VLOOKUP(C38,Master!$B$6:$N$1000,9,FALSE)</f>
        <v>gr</v>
      </c>
      <c r="F38" s="158">
        <f>VLOOKUP(C38,Master!$B$6:$N$1000,10,FALSE)</f>
        <v>220</v>
      </c>
      <c r="G38" s="144">
        <f t="shared" si="6"/>
        <v>2200</v>
      </c>
      <c r="H38" s="145"/>
      <c r="I38" s="145"/>
    </row>
    <row r="39" spans="1:11" ht="15.75" customHeight="1">
      <c r="A39" s="148"/>
      <c r="B39" s="90"/>
      <c r="C39" s="90" t="s">
        <v>843</v>
      </c>
      <c r="D39" s="149">
        <v>1</v>
      </c>
      <c r="E39" s="4" t="str">
        <f>VLOOKUP(C39,Master!$B$6:$N$1000,9,FALSE)</f>
        <v>pcs</v>
      </c>
      <c r="F39" s="158">
        <f>VLOOKUP(C39,Master!$B$6:$N$1000,10,FALSE)</f>
        <v>560</v>
      </c>
      <c r="G39" s="150">
        <f t="shared" si="6"/>
        <v>560</v>
      </c>
      <c r="H39" s="151"/>
      <c r="I39" s="151"/>
    </row>
    <row r="40" spans="1:11" ht="15.75" customHeight="1">
      <c r="A40" s="188" t="str">
        <f>VLOOKUP(B40,Master!$V$7:$W$150,2,FALSE)</f>
        <v>M0008</v>
      </c>
      <c r="B40" s="135" t="s">
        <v>118</v>
      </c>
      <c r="C40" s="136"/>
      <c r="D40" s="153"/>
      <c r="E40" s="153"/>
      <c r="F40" s="153"/>
      <c r="G40" s="138">
        <f>SUM(G41:G45)</f>
        <v>9385.193684210526</v>
      </c>
      <c r="H40" s="139">
        <v>0.15</v>
      </c>
      <c r="I40" s="138">
        <f>G40+(G40*H40)</f>
        <v>10792.972736842104</v>
      </c>
      <c r="J40" s="192" t="b">
        <v>1</v>
      </c>
      <c r="K40" s="140" t="b">
        <v>1</v>
      </c>
    </row>
    <row r="41" spans="1:11" ht="15.75" customHeight="1">
      <c r="A41" s="141"/>
      <c r="B41" s="4"/>
      <c r="C41" s="4" t="s">
        <v>2030</v>
      </c>
      <c r="D41" s="146">
        <v>18</v>
      </c>
      <c r="E41" s="4" t="str">
        <f>VLOOKUP(C41,Master!$B$6:$N$1000,9,FALSE)</f>
        <v>gr</v>
      </c>
      <c r="F41" s="144">
        <f>VLOOKUP(C41,Master!$B$6:$N$1000,10,FALSE)</f>
        <v>195</v>
      </c>
      <c r="G41" s="144">
        <f t="shared" ref="G41:G45" si="7">D41*F41</f>
        <v>3510</v>
      </c>
      <c r="H41" s="145"/>
      <c r="I41" s="145"/>
    </row>
    <row r="42" spans="1:11" ht="15.75" customHeight="1">
      <c r="A42" s="141"/>
      <c r="B42" s="4"/>
      <c r="C42" s="4" t="s">
        <v>2052</v>
      </c>
      <c r="D42" s="146">
        <v>36</v>
      </c>
      <c r="E42" s="4" t="str">
        <f>VLOOKUP(C42,Master!$B$6:$N$1000,9,FALSE)</f>
        <v>ml</v>
      </c>
      <c r="F42" s="158">
        <f>VLOOKUP(C42,Master!$B$6:$N$1000,10,FALSE)</f>
        <v>0.66315789473684206</v>
      </c>
      <c r="G42" s="144">
        <f t="shared" si="7"/>
        <v>23.873684210526314</v>
      </c>
      <c r="H42" s="145"/>
      <c r="I42" s="145"/>
    </row>
    <row r="43" spans="1:11" ht="15.75" customHeight="1">
      <c r="A43" s="141"/>
      <c r="B43" s="4"/>
      <c r="C43" s="4" t="s">
        <v>1981</v>
      </c>
      <c r="D43" s="146">
        <v>120</v>
      </c>
      <c r="E43" s="4" t="str">
        <f>VLOOKUP(C43,Master!$B$6:$N$1000,9,FALSE)</f>
        <v>ml</v>
      </c>
      <c r="F43" s="158">
        <f>VLOOKUP(C43,Master!$B$6:$N$1000,10,FALSE)</f>
        <v>17.094333333333335</v>
      </c>
      <c r="G43" s="144">
        <f t="shared" si="7"/>
        <v>2051.3200000000002</v>
      </c>
      <c r="H43" s="145"/>
      <c r="I43" s="145"/>
    </row>
    <row r="44" spans="1:11" ht="15.75" customHeight="1">
      <c r="A44" s="141"/>
      <c r="B44" s="4"/>
      <c r="C44" s="4" t="s">
        <v>1180</v>
      </c>
      <c r="D44" s="146">
        <v>15</v>
      </c>
      <c r="E44" s="4" t="str">
        <f>VLOOKUP(C44,Master!$B$6:$N$1000,9,FALSE)</f>
        <v>gr</v>
      </c>
      <c r="F44" s="158">
        <f>VLOOKUP(C44,Master!$B$6:$N$1000,10,FALSE)</f>
        <v>220</v>
      </c>
      <c r="G44" s="144">
        <f t="shared" si="7"/>
        <v>3300</v>
      </c>
      <c r="H44" s="145"/>
      <c r="I44" s="145"/>
    </row>
    <row r="45" spans="1:11" ht="15.75" customHeight="1">
      <c r="A45" s="148"/>
      <c r="B45" s="90"/>
      <c r="C45" s="90" t="s">
        <v>839</v>
      </c>
      <c r="D45" s="149">
        <v>1</v>
      </c>
      <c r="E45" s="4" t="str">
        <f>VLOOKUP(C45,Master!$B$6:$N$1000,9,FALSE)</f>
        <v>pcs</v>
      </c>
      <c r="F45" s="158">
        <f>VLOOKUP(C45,Master!$B$6:$N$1000,10,FALSE)</f>
        <v>500</v>
      </c>
      <c r="G45" s="150">
        <f t="shared" si="7"/>
        <v>500</v>
      </c>
      <c r="H45" s="151"/>
      <c r="I45" s="151"/>
    </row>
    <row r="46" spans="1:11" ht="15.75" customHeight="1">
      <c r="A46" s="188" t="str">
        <f>VLOOKUP(B46,Master!$V$7:$W$150,2,FALSE)</f>
        <v>M0009</v>
      </c>
      <c r="B46" s="135" t="s">
        <v>2064</v>
      </c>
      <c r="C46" s="136"/>
      <c r="D46" s="153"/>
      <c r="E46" s="153"/>
      <c r="F46" s="153"/>
      <c r="G46" s="138">
        <f>SUM(G47:G51)</f>
        <v>8757.031578947368</v>
      </c>
      <c r="H46" s="139">
        <v>0.15</v>
      </c>
      <c r="I46" s="138">
        <f>G46+(G46*H46)</f>
        <v>10070.586315789473</v>
      </c>
      <c r="J46" s="192" t="b">
        <v>1</v>
      </c>
      <c r="K46" s="140" t="b">
        <v>1</v>
      </c>
    </row>
    <row r="47" spans="1:11" ht="15.75" customHeight="1">
      <c r="A47" s="141"/>
      <c r="B47" s="4"/>
      <c r="C47" s="4" t="s">
        <v>2030</v>
      </c>
      <c r="D47" s="146">
        <v>18</v>
      </c>
      <c r="E47" s="4" t="str">
        <f>VLOOKUP(C47,Master!$B$6:$N$1000,9,FALSE)</f>
        <v>gr</v>
      </c>
      <c r="F47" s="158">
        <f>VLOOKUP(C47,Master!$B$6:$N$1000,10,FALSE)</f>
        <v>195</v>
      </c>
      <c r="G47" s="144">
        <f t="shared" ref="G47:G51" si="8">D47*F47</f>
        <v>3510</v>
      </c>
      <c r="H47" s="145"/>
      <c r="I47" s="145"/>
    </row>
    <row r="48" spans="1:11" ht="15.75" customHeight="1">
      <c r="A48" s="141"/>
      <c r="B48" s="4"/>
      <c r="C48" s="4" t="s">
        <v>2052</v>
      </c>
      <c r="D48" s="146">
        <v>36</v>
      </c>
      <c r="E48" s="4" t="str">
        <f>VLOOKUP(C48,Master!$B$6:$N$1000,9,FALSE)</f>
        <v>ml</v>
      </c>
      <c r="F48" s="158">
        <f>VLOOKUP(C48,Master!$B$6:$N$1000,10,FALSE)</f>
        <v>0.66315789473684206</v>
      </c>
      <c r="G48" s="144">
        <f t="shared" si="8"/>
        <v>23.873684210526314</v>
      </c>
      <c r="H48" s="145"/>
      <c r="I48" s="145"/>
    </row>
    <row r="49" spans="1:11" ht="15.75" customHeight="1">
      <c r="A49" s="141"/>
      <c r="B49" s="4"/>
      <c r="C49" s="4" t="s">
        <v>1987</v>
      </c>
      <c r="D49" s="146">
        <v>150</v>
      </c>
      <c r="E49" s="4" t="str">
        <f>VLOOKUP(C49,Master!$B$6:$N$1000,9,FALSE)</f>
        <v>ml</v>
      </c>
      <c r="F49" s="158">
        <f>VLOOKUP(C49,Master!$B$6:$N$1000,10,FALSE)</f>
        <v>18.421052631578949</v>
      </c>
      <c r="G49" s="144">
        <f t="shared" si="8"/>
        <v>2763.1578947368421</v>
      </c>
      <c r="H49" s="145"/>
      <c r="I49" s="145"/>
    </row>
    <row r="50" spans="1:11" ht="15.75" customHeight="1">
      <c r="A50" s="141"/>
      <c r="B50" s="4"/>
      <c r="C50" s="4" t="s">
        <v>1274</v>
      </c>
      <c r="D50" s="146">
        <v>15</v>
      </c>
      <c r="E50" s="4" t="str">
        <f>VLOOKUP(C50,Master!$B$6:$N$1000,9,FALSE)</f>
        <v>ml</v>
      </c>
      <c r="F50" s="158">
        <f>VLOOKUP(C50,Master!$B$6:$N$1000,10,FALSE)</f>
        <v>126.66666666666667</v>
      </c>
      <c r="G50" s="144">
        <f t="shared" si="8"/>
        <v>1900</v>
      </c>
      <c r="H50" s="145"/>
      <c r="I50" s="145"/>
    </row>
    <row r="51" spans="1:11" ht="13">
      <c r="A51" s="148"/>
      <c r="B51" s="90"/>
      <c r="C51" s="90" t="s">
        <v>843</v>
      </c>
      <c r="D51" s="149">
        <v>1</v>
      </c>
      <c r="E51" s="4" t="str">
        <f>VLOOKUP(C51,Master!$B$6:$N$1000,9,FALSE)</f>
        <v>pcs</v>
      </c>
      <c r="F51" s="158">
        <f>VLOOKUP(C51,Master!$B$6:$N$1000,10,FALSE)</f>
        <v>560</v>
      </c>
      <c r="G51" s="150">
        <f t="shared" si="8"/>
        <v>560</v>
      </c>
      <c r="H51" s="151"/>
      <c r="I51" s="151"/>
    </row>
    <row r="52" spans="1:11" ht="13">
      <c r="A52" s="188" t="str">
        <f>VLOOKUP(B52,Master!$V$7:$W$150,2,FALSE)</f>
        <v>M0010</v>
      </c>
      <c r="B52" s="135" t="s">
        <v>2065</v>
      </c>
      <c r="C52" s="136"/>
      <c r="D52" s="153"/>
      <c r="E52" s="153"/>
      <c r="F52" s="153"/>
      <c r="G52" s="138">
        <f>SUM(G53:G57)</f>
        <v>8618.52701754386</v>
      </c>
      <c r="H52" s="139">
        <v>0.15</v>
      </c>
      <c r="I52" s="138">
        <f>G52+(G52*H52)</f>
        <v>9911.3060701754384</v>
      </c>
      <c r="J52" s="192" t="b">
        <v>1</v>
      </c>
      <c r="K52" s="140" t="b">
        <v>1</v>
      </c>
    </row>
    <row r="53" spans="1:11" ht="13">
      <c r="A53" s="141"/>
      <c r="B53" s="4"/>
      <c r="C53" s="4" t="s">
        <v>2030</v>
      </c>
      <c r="D53" s="146">
        <v>18</v>
      </c>
      <c r="E53" s="4" t="str">
        <f>VLOOKUP(C53,Master!$B$6:$N$1000,9,FALSE)</f>
        <v>gr</v>
      </c>
      <c r="F53" s="158">
        <f>VLOOKUP(C53,Master!$B$6:$N$1000,10,FALSE)</f>
        <v>195</v>
      </c>
      <c r="G53" s="144">
        <f t="shared" ref="G53:G57" si="9">D53*F53</f>
        <v>3510</v>
      </c>
      <c r="H53" s="145"/>
      <c r="I53" s="145"/>
    </row>
    <row r="54" spans="1:11" ht="13">
      <c r="A54" s="141"/>
      <c r="B54" s="4"/>
      <c r="C54" s="4" t="s">
        <v>2052</v>
      </c>
      <c r="D54" s="146">
        <v>36</v>
      </c>
      <c r="E54" s="4" t="str">
        <f>VLOOKUP(C54,Master!$B$6:$N$1000,9,FALSE)</f>
        <v>ml</v>
      </c>
      <c r="F54" s="158">
        <f>VLOOKUP(C54,Master!$B$6:$N$1000,10,FALSE)</f>
        <v>0.66315789473684206</v>
      </c>
      <c r="G54" s="144">
        <f t="shared" si="9"/>
        <v>23.873684210526314</v>
      </c>
      <c r="H54" s="145"/>
      <c r="I54" s="145"/>
    </row>
    <row r="55" spans="1:11" ht="13">
      <c r="A55" s="141"/>
      <c r="B55" s="4"/>
      <c r="C55" s="4" t="s">
        <v>1981</v>
      </c>
      <c r="D55" s="146">
        <v>120</v>
      </c>
      <c r="E55" s="4" t="str">
        <f>VLOOKUP(C55,Master!$B$6:$N$1000,9,FALSE)</f>
        <v>ml</v>
      </c>
      <c r="F55" s="158">
        <f>VLOOKUP(C55,Master!$B$6:$N$1000,10,FALSE)</f>
        <v>17.094333333333335</v>
      </c>
      <c r="G55" s="144">
        <f t="shared" si="9"/>
        <v>2051.3200000000002</v>
      </c>
      <c r="H55" s="145"/>
      <c r="I55" s="145"/>
    </row>
    <row r="56" spans="1:11" ht="13">
      <c r="A56" s="141"/>
      <c r="B56" s="4"/>
      <c r="C56" s="4" t="s">
        <v>1274</v>
      </c>
      <c r="D56" s="146">
        <v>20</v>
      </c>
      <c r="E56" s="4" t="str">
        <f>VLOOKUP(C56,Master!$B$6:$N$1000,9,FALSE)</f>
        <v>ml</v>
      </c>
      <c r="F56" s="158">
        <f>VLOOKUP(C56,Master!$B$6:$N$1000,10,FALSE)</f>
        <v>126.66666666666667</v>
      </c>
      <c r="G56" s="144">
        <f t="shared" si="9"/>
        <v>2533.3333333333335</v>
      </c>
      <c r="H56" s="145"/>
      <c r="I56" s="145"/>
    </row>
    <row r="57" spans="1:11" ht="13">
      <c r="A57" s="148"/>
      <c r="B57" s="90"/>
      <c r="C57" s="90" t="s">
        <v>839</v>
      </c>
      <c r="D57" s="149">
        <v>1</v>
      </c>
      <c r="E57" s="4" t="str">
        <f>VLOOKUP(C57,Master!$B$6:$N$1000,9,FALSE)</f>
        <v>pcs</v>
      </c>
      <c r="F57" s="158">
        <f>VLOOKUP(C57,Master!$B$6:$N$1000,10,FALSE)</f>
        <v>500</v>
      </c>
      <c r="G57" s="150">
        <f t="shared" si="9"/>
        <v>500</v>
      </c>
      <c r="H57" s="151"/>
      <c r="I57" s="151"/>
    </row>
    <row r="58" spans="1:11" ht="13">
      <c r="A58" s="188" t="str">
        <f>VLOOKUP(B58,Master!$V$7:$W$150,2,FALSE)</f>
        <v>M0012</v>
      </c>
      <c r="B58" s="135" t="s">
        <v>157</v>
      </c>
      <c r="C58" s="136"/>
      <c r="D58" s="153"/>
      <c r="E58" s="153"/>
      <c r="F58" s="153"/>
      <c r="G58" s="138">
        <f>SUM(G59:G63)</f>
        <v>8618.52701754386</v>
      </c>
      <c r="H58" s="139">
        <v>0.15</v>
      </c>
      <c r="I58" s="138">
        <f>G58+(G58*H58)</f>
        <v>9911.3060701754384</v>
      </c>
      <c r="J58" s="192" t="b">
        <v>1</v>
      </c>
      <c r="K58" s="140" t="b">
        <v>1</v>
      </c>
    </row>
    <row r="59" spans="1:11" ht="13">
      <c r="A59" s="141"/>
      <c r="B59" s="4"/>
      <c r="C59" s="4" t="s">
        <v>2030</v>
      </c>
      <c r="D59" s="146">
        <v>18</v>
      </c>
      <c r="E59" s="4" t="str">
        <f>VLOOKUP(C59,Master!$B$6:$N$1000,9,FALSE)</f>
        <v>gr</v>
      </c>
      <c r="F59" s="158">
        <f>VLOOKUP(C59,Master!$B$6:$N$1000,10,FALSE)</f>
        <v>195</v>
      </c>
      <c r="G59" s="144">
        <f t="shared" ref="G59:G63" si="10">D59*F59</f>
        <v>3510</v>
      </c>
      <c r="H59" s="145"/>
      <c r="I59" s="145"/>
    </row>
    <row r="60" spans="1:11" ht="13">
      <c r="A60" s="141"/>
      <c r="B60" s="4"/>
      <c r="C60" s="4" t="s">
        <v>2052</v>
      </c>
      <c r="D60" s="146">
        <v>36</v>
      </c>
      <c r="E60" s="4" t="str">
        <f>VLOOKUP(C60,Master!$B$6:$N$1000,9,FALSE)</f>
        <v>ml</v>
      </c>
      <c r="F60" s="158">
        <f>VLOOKUP(C60,Master!$B$6:$N$1000,10,FALSE)</f>
        <v>0.66315789473684206</v>
      </c>
      <c r="G60" s="144">
        <f t="shared" si="10"/>
        <v>23.873684210526314</v>
      </c>
      <c r="H60" s="145"/>
      <c r="I60" s="145"/>
    </row>
    <row r="61" spans="1:11" ht="13">
      <c r="A61" s="141"/>
      <c r="B61" s="4"/>
      <c r="C61" s="4" t="s">
        <v>1981</v>
      </c>
      <c r="D61" s="146">
        <v>120</v>
      </c>
      <c r="E61" s="4" t="str">
        <f>VLOOKUP(C61,Master!$B$6:$N$1000,9,FALSE)</f>
        <v>ml</v>
      </c>
      <c r="F61" s="158">
        <f>VLOOKUP(C61,Master!$B$6:$N$1000,10,FALSE)</f>
        <v>17.094333333333335</v>
      </c>
      <c r="G61" s="144">
        <f t="shared" si="10"/>
        <v>2051.3200000000002</v>
      </c>
      <c r="H61" s="145"/>
      <c r="I61" s="145"/>
    </row>
    <row r="62" spans="1:11" ht="13">
      <c r="A62" s="141"/>
      <c r="B62" s="4"/>
      <c r="C62" s="4" t="s">
        <v>1273</v>
      </c>
      <c r="D62" s="146">
        <v>20</v>
      </c>
      <c r="E62" s="4" t="str">
        <f>VLOOKUP(C62,Master!$B$6:$N$1000,9,FALSE)</f>
        <v>ml</v>
      </c>
      <c r="F62" s="158">
        <f>VLOOKUP(C62,Master!$B$6:$N$1000,10,FALSE)</f>
        <v>126.66666666666667</v>
      </c>
      <c r="G62" s="144">
        <f t="shared" si="10"/>
        <v>2533.3333333333335</v>
      </c>
      <c r="H62" s="145"/>
      <c r="I62" s="145"/>
    </row>
    <row r="63" spans="1:11" ht="13">
      <c r="A63" s="148"/>
      <c r="B63" s="90"/>
      <c r="C63" s="90" t="s">
        <v>839</v>
      </c>
      <c r="D63" s="149">
        <v>1</v>
      </c>
      <c r="E63" s="4" t="str">
        <f>VLOOKUP(C63,Master!$B$6:$N$1000,9,FALSE)</f>
        <v>pcs</v>
      </c>
      <c r="F63" s="158">
        <f>VLOOKUP(C63,Master!$B$6:$N$1000,10,FALSE)</f>
        <v>500</v>
      </c>
      <c r="G63" s="150">
        <f t="shared" si="10"/>
        <v>500</v>
      </c>
      <c r="H63" s="151"/>
      <c r="I63" s="151"/>
    </row>
    <row r="64" spans="1:11" ht="13">
      <c r="A64" s="188" t="str">
        <f>VLOOKUP(B64,Master!$V$7:$W$150,2,FALSE)</f>
        <v>M0011</v>
      </c>
      <c r="B64" s="135" t="s">
        <v>149</v>
      </c>
      <c r="C64" s="136"/>
      <c r="D64" s="153"/>
      <c r="E64" s="153"/>
      <c r="F64" s="153"/>
      <c r="G64" s="138">
        <f>SUM(G65:G69)</f>
        <v>8757.031578947368</v>
      </c>
      <c r="H64" s="139">
        <v>0.15</v>
      </c>
      <c r="I64" s="138">
        <f>G64+(G64*H64)</f>
        <v>10070.586315789473</v>
      </c>
      <c r="J64" s="192" t="b">
        <v>1</v>
      </c>
      <c r="K64" s="140" t="b">
        <v>1</v>
      </c>
    </row>
    <row r="65" spans="1:11" ht="13">
      <c r="A65" s="141"/>
      <c r="B65" s="4"/>
      <c r="C65" s="4" t="s">
        <v>2030</v>
      </c>
      <c r="D65" s="146">
        <v>18</v>
      </c>
      <c r="E65" s="4" t="str">
        <f>VLOOKUP(C65,Master!$B$6:$N$1000,9,FALSE)</f>
        <v>gr</v>
      </c>
      <c r="F65" s="158">
        <f>VLOOKUP(C65,Master!$B$6:$N$1000,10,FALSE)</f>
        <v>195</v>
      </c>
      <c r="G65" s="144">
        <f t="shared" ref="G65:G69" si="11">D65*F65</f>
        <v>3510</v>
      </c>
      <c r="H65" s="145"/>
      <c r="I65" s="145"/>
    </row>
    <row r="66" spans="1:11" ht="13">
      <c r="A66" s="141"/>
      <c r="B66" s="4"/>
      <c r="C66" s="4" t="s">
        <v>2052</v>
      </c>
      <c r="D66" s="146">
        <v>36</v>
      </c>
      <c r="E66" s="4" t="str">
        <f>VLOOKUP(C66,Master!$B$6:$N$1000,9,FALSE)</f>
        <v>ml</v>
      </c>
      <c r="F66" s="158">
        <f>VLOOKUP(C66,Master!$B$6:$N$1000,10,FALSE)</f>
        <v>0.66315789473684206</v>
      </c>
      <c r="G66" s="144">
        <f t="shared" si="11"/>
        <v>23.873684210526314</v>
      </c>
      <c r="H66" s="145"/>
      <c r="I66" s="145"/>
    </row>
    <row r="67" spans="1:11" ht="13">
      <c r="A67" s="141"/>
      <c r="B67" s="4"/>
      <c r="C67" s="4" t="s">
        <v>1987</v>
      </c>
      <c r="D67" s="146">
        <v>150</v>
      </c>
      <c r="E67" s="4" t="str">
        <f>VLOOKUP(C67,Master!$B$6:$N$1000,9,FALSE)</f>
        <v>ml</v>
      </c>
      <c r="F67" s="158">
        <f>VLOOKUP(C67,Master!$B$6:$N$1000,10,FALSE)</f>
        <v>18.421052631578949</v>
      </c>
      <c r="G67" s="144">
        <f t="shared" si="11"/>
        <v>2763.1578947368421</v>
      </c>
      <c r="H67" s="145"/>
      <c r="I67" s="145"/>
    </row>
    <row r="68" spans="1:11" ht="13">
      <c r="A68" s="141"/>
      <c r="B68" s="4"/>
      <c r="C68" s="4" t="s">
        <v>1273</v>
      </c>
      <c r="D68" s="146">
        <v>15</v>
      </c>
      <c r="E68" s="4" t="str">
        <f>VLOOKUP(C68,Master!$B$6:$N$1000,9,FALSE)</f>
        <v>ml</v>
      </c>
      <c r="F68" s="158">
        <f>VLOOKUP(C68,Master!$B$6:$N$1000,10,FALSE)</f>
        <v>126.66666666666667</v>
      </c>
      <c r="G68" s="144">
        <f t="shared" si="11"/>
        <v>1900</v>
      </c>
      <c r="H68" s="145"/>
      <c r="I68" s="145"/>
    </row>
    <row r="69" spans="1:11" ht="13">
      <c r="A69" s="148"/>
      <c r="B69" s="90"/>
      <c r="C69" s="90" t="s">
        <v>843</v>
      </c>
      <c r="D69" s="149">
        <v>1</v>
      </c>
      <c r="E69" s="4" t="str">
        <f>VLOOKUP(C69,Master!$B$6:$N$243,9,FALSE)</f>
        <v>pcs</v>
      </c>
      <c r="F69" s="144">
        <f>VLOOKUP(C69,Master!$B$6:$N$243,10,FALSE)</f>
        <v>560</v>
      </c>
      <c r="G69" s="150">
        <f t="shared" si="11"/>
        <v>560</v>
      </c>
      <c r="H69" s="151"/>
      <c r="I69" s="151"/>
    </row>
    <row r="70" spans="1:11" ht="13">
      <c r="A70" s="169" t="str">
        <f>VLOOKUP(B70,Master!$V$7:$W$150,2,FALSE)</f>
        <v>M0013</v>
      </c>
      <c r="B70" s="135" t="s">
        <v>166</v>
      </c>
      <c r="C70" s="136"/>
      <c r="D70" s="153"/>
      <c r="E70" s="153"/>
      <c r="F70" s="153"/>
      <c r="G70" s="138">
        <f>SUM(G71:G73)</f>
        <v>5676.8736842105263</v>
      </c>
      <c r="H70" s="139">
        <v>0.15</v>
      </c>
      <c r="I70" s="138">
        <f>G70+(G70*H70)</f>
        <v>6528.4047368421052</v>
      </c>
      <c r="J70" s="192" t="b">
        <v>1</v>
      </c>
      <c r="K70" s="140" t="b">
        <v>1</v>
      </c>
    </row>
    <row r="71" spans="1:11" ht="13">
      <c r="A71" s="141"/>
      <c r="B71" s="4"/>
      <c r="C71" s="4" t="s">
        <v>2030</v>
      </c>
      <c r="D71" s="146">
        <v>18</v>
      </c>
      <c r="E71" s="4" t="str">
        <f>VLOOKUP(C71,Master!$B$6:$N$1000,9,FALSE)</f>
        <v>gr</v>
      </c>
      <c r="F71" s="158">
        <f>VLOOKUP(C71,Master!$B$6:$N$1000,10,FALSE)</f>
        <v>195</v>
      </c>
      <c r="G71" s="144">
        <f t="shared" ref="G71:G73" si="12">D71*F71</f>
        <v>3510</v>
      </c>
      <c r="H71" s="145"/>
      <c r="I71" s="145"/>
    </row>
    <row r="72" spans="1:11" ht="13">
      <c r="A72" s="141"/>
      <c r="B72" s="4"/>
      <c r="C72" s="4" t="s">
        <v>2052</v>
      </c>
      <c r="D72" s="146">
        <v>36</v>
      </c>
      <c r="E72" s="4" t="str">
        <f>VLOOKUP(C72,Master!$B$6:$N$1000,9,FALSE)</f>
        <v>ml</v>
      </c>
      <c r="F72" s="158">
        <f>VLOOKUP(C72,Master!$B$6:$N$1000,10,FALSE)</f>
        <v>0.66315789473684206</v>
      </c>
      <c r="G72" s="144">
        <f t="shared" si="12"/>
        <v>23.873684210526314</v>
      </c>
      <c r="H72" s="145"/>
      <c r="I72" s="145"/>
    </row>
    <row r="73" spans="1:11" ht="13">
      <c r="A73" s="148"/>
      <c r="B73" s="90"/>
      <c r="C73" s="90" t="s">
        <v>1986</v>
      </c>
      <c r="D73" s="149">
        <v>100</v>
      </c>
      <c r="E73" s="4" t="str">
        <f>VLOOKUP(C73,Master!$B$6:$N$1000,9,FALSE)</f>
        <v>gr</v>
      </c>
      <c r="F73" s="158">
        <f>VLOOKUP(C73,Master!$B$6:$N$1000,10,FALSE)</f>
        <v>21.43</v>
      </c>
      <c r="G73" s="150">
        <f t="shared" si="12"/>
        <v>2143</v>
      </c>
      <c r="H73" s="151"/>
      <c r="I73" s="151"/>
    </row>
    <row r="74" spans="1:11" ht="13">
      <c r="A74" s="188" t="str">
        <f>VLOOKUP(B74,Master!$V$7:$W$150,2,FALSE)</f>
        <v>M0015</v>
      </c>
      <c r="B74" s="135" t="s">
        <v>185</v>
      </c>
      <c r="C74" s="136"/>
      <c r="D74" s="153"/>
      <c r="E74" s="153"/>
      <c r="F74" s="153"/>
      <c r="G74" s="138">
        <f>SUM(G75:G80)</f>
        <v>7225.4384210526314</v>
      </c>
      <c r="H74" s="139">
        <v>0.15</v>
      </c>
      <c r="I74" s="138">
        <f>G74+(G74*H74)</f>
        <v>8309.2541842105256</v>
      </c>
      <c r="J74" s="192" t="b">
        <v>1</v>
      </c>
      <c r="K74" s="140" t="b">
        <v>1</v>
      </c>
    </row>
    <row r="75" spans="1:11" ht="13">
      <c r="A75" s="141"/>
      <c r="B75" s="4"/>
      <c r="C75" s="4" t="s">
        <v>2030</v>
      </c>
      <c r="D75" s="146">
        <v>18</v>
      </c>
      <c r="E75" s="4" t="str">
        <f>VLOOKUP(C75,Master!$B$6:$N$1000,9,FALSE)</f>
        <v>gr</v>
      </c>
      <c r="F75" s="158">
        <f>VLOOKUP(C75,Master!$B$6:$N$1000,10,FALSE)</f>
        <v>195</v>
      </c>
      <c r="G75" s="144">
        <f t="shared" ref="G75:G80" si="13">D75*F75</f>
        <v>3510</v>
      </c>
      <c r="H75" s="145"/>
      <c r="I75" s="145"/>
    </row>
    <row r="76" spans="1:11" ht="13">
      <c r="A76" s="141"/>
      <c r="B76" s="4"/>
      <c r="C76" s="4" t="s">
        <v>2052</v>
      </c>
      <c r="D76" s="146">
        <v>0</v>
      </c>
      <c r="E76" s="4" t="str">
        <f>VLOOKUP(C76,Master!$B$6:$N$1000,9,FALSE)</f>
        <v>ml</v>
      </c>
      <c r="F76" s="158">
        <f>VLOOKUP(C76,Master!$B$6:$N$1000,10,FALSE)</f>
        <v>0.66315789473684206</v>
      </c>
      <c r="G76" s="144">
        <f t="shared" si="13"/>
        <v>0</v>
      </c>
      <c r="H76" s="145"/>
      <c r="I76" s="145"/>
    </row>
    <row r="77" spans="1:11" ht="13">
      <c r="A77" s="141"/>
      <c r="B77" s="4"/>
      <c r="C77" s="4" t="s">
        <v>409</v>
      </c>
      <c r="D77" s="146">
        <v>1</v>
      </c>
      <c r="E77" s="4" t="str">
        <f>VLOOKUP(C77,Master!$B$6:$N$1000,9,FALSE)</f>
        <v>porsi</v>
      </c>
      <c r="F77" s="158">
        <f>VLOOKUP(C77,Master!$B$6:$N$1000,10,FALSE)</f>
        <v>1164.1184210526314</v>
      </c>
      <c r="G77" s="144">
        <f t="shared" si="13"/>
        <v>1164.1184210526314</v>
      </c>
      <c r="H77" s="145"/>
      <c r="I77" s="145"/>
    </row>
    <row r="78" spans="1:11" ht="13">
      <c r="A78" s="141"/>
      <c r="B78" s="4"/>
      <c r="C78" s="4" t="s">
        <v>2013</v>
      </c>
      <c r="D78" s="146">
        <v>0</v>
      </c>
      <c r="E78" s="4" t="str">
        <f>VLOOKUP(C78,Master!$B$6:$N$1000,9,FALSE)</f>
        <v>ml</v>
      </c>
      <c r="F78" s="158">
        <f>VLOOKUP(C78,Master!$B$6:$N$1000,10,FALSE)</f>
        <v>40</v>
      </c>
      <c r="G78" s="144">
        <f t="shared" si="13"/>
        <v>0</v>
      </c>
      <c r="H78" s="145"/>
      <c r="I78" s="145"/>
    </row>
    <row r="79" spans="1:11" ht="13">
      <c r="A79" s="4"/>
      <c r="B79" s="4"/>
      <c r="C79" s="4" t="s">
        <v>1981</v>
      </c>
      <c r="D79" s="146">
        <v>120</v>
      </c>
      <c r="E79" s="4" t="str">
        <f>VLOOKUP(C79,Master!$B$6:$N$1000,9,FALSE)</f>
        <v>ml</v>
      </c>
      <c r="F79" s="158">
        <f>VLOOKUP(C79,Master!$B$6:$N$1000,10,FALSE)</f>
        <v>17.094333333333335</v>
      </c>
      <c r="G79" s="144">
        <f t="shared" si="13"/>
        <v>2051.3200000000002</v>
      </c>
      <c r="H79" s="145"/>
      <c r="I79" s="145"/>
    </row>
    <row r="80" spans="1:11" ht="13">
      <c r="A80" s="148"/>
      <c r="B80" s="90"/>
      <c r="C80" s="90" t="s">
        <v>839</v>
      </c>
      <c r="D80" s="149">
        <v>1</v>
      </c>
      <c r="E80" s="4" t="str">
        <f>VLOOKUP(C80,Master!$B$6:$N$1000,9,FALSE)</f>
        <v>pcs</v>
      </c>
      <c r="F80" s="158">
        <f>VLOOKUP(C80,Master!$B$6:$N$1000,10,FALSE)</f>
        <v>500</v>
      </c>
      <c r="G80" s="150">
        <f t="shared" si="13"/>
        <v>500</v>
      </c>
      <c r="H80" s="151"/>
      <c r="I80" s="151"/>
      <c r="J80" s="132"/>
    </row>
    <row r="81" spans="1:11" ht="13">
      <c r="A81" s="169" t="str">
        <f>VLOOKUP(B81,Master!$V$7:$W$150,2,FALSE)</f>
        <v>M0017</v>
      </c>
      <c r="B81" s="135" t="s">
        <v>202</v>
      </c>
      <c r="C81" s="136"/>
      <c r="D81" s="153"/>
      <c r="E81" s="153"/>
      <c r="F81" s="153"/>
      <c r="G81" s="138">
        <f>SUM(G82:G85)</f>
        <v>3923.6842105263158</v>
      </c>
      <c r="H81" s="139">
        <v>0.15</v>
      </c>
      <c r="I81" s="138">
        <f>G81+(G81*H81)</f>
        <v>4512.2368421052633</v>
      </c>
      <c r="J81" s="192" t="b">
        <v>1</v>
      </c>
      <c r="K81" s="140" t="b">
        <v>1</v>
      </c>
    </row>
    <row r="82" spans="1:11" ht="13">
      <c r="A82" s="141"/>
      <c r="B82" s="4"/>
      <c r="C82" s="4" t="s">
        <v>2019</v>
      </c>
      <c r="D82" s="146">
        <v>20</v>
      </c>
      <c r="E82" s="4" t="str">
        <f>VLOOKUP(C82,Master!$B$6:$N$1000,9,FALSE)</f>
        <v>gr</v>
      </c>
      <c r="F82" s="158">
        <f>VLOOKUP(C82,Master!$B$6:$N$1000,10,FALSE)</f>
        <v>56</v>
      </c>
      <c r="G82" s="144">
        <f t="shared" ref="G82:G85" si="14">D82*F82</f>
        <v>1120</v>
      </c>
      <c r="H82" s="145"/>
      <c r="I82" s="145"/>
    </row>
    <row r="83" spans="1:11" ht="13">
      <c r="A83" s="141"/>
      <c r="B83" s="4"/>
      <c r="C83" s="4" t="s">
        <v>2052</v>
      </c>
      <c r="D83" s="146">
        <v>50</v>
      </c>
      <c r="E83" s="4" t="str">
        <f>VLOOKUP(C83,Master!$B$6:$N$1000,9,FALSE)</f>
        <v>ml</v>
      </c>
      <c r="F83" s="158">
        <f>VLOOKUP(C83,Master!$B$6:$N$1000,10,FALSE)</f>
        <v>0.66315789473684206</v>
      </c>
      <c r="G83" s="144">
        <f t="shared" si="14"/>
        <v>33.157894736842103</v>
      </c>
      <c r="H83" s="145"/>
      <c r="I83" s="145"/>
    </row>
    <row r="84" spans="1:11" ht="13">
      <c r="A84" s="141"/>
      <c r="B84" s="4"/>
      <c r="C84" s="145" t="s">
        <v>1987</v>
      </c>
      <c r="D84" s="146">
        <v>120</v>
      </c>
      <c r="E84" s="4" t="str">
        <f>VLOOKUP(C84,Master!$B$6:$N$1000,9,FALSE)</f>
        <v>ml</v>
      </c>
      <c r="F84" s="158">
        <f>VLOOKUP(C84,Master!$B$6:$N$1000,10,FALSE)</f>
        <v>18.421052631578949</v>
      </c>
      <c r="G84" s="144">
        <f t="shared" si="14"/>
        <v>2210.5263157894738</v>
      </c>
      <c r="H84" s="145"/>
      <c r="I84" s="145"/>
    </row>
    <row r="85" spans="1:11" ht="13">
      <c r="A85" s="4"/>
      <c r="B85" s="4"/>
      <c r="C85" s="4" t="s">
        <v>843</v>
      </c>
      <c r="D85" s="146">
        <v>1</v>
      </c>
      <c r="E85" s="4" t="str">
        <f>VLOOKUP(C85,Master!$B$6:$N$1000,9,FALSE)</f>
        <v>pcs</v>
      </c>
      <c r="F85" s="158">
        <f>VLOOKUP(C85,Master!$B$6:$N$1000,10,FALSE)</f>
        <v>560</v>
      </c>
      <c r="G85" s="144">
        <f t="shared" si="14"/>
        <v>560</v>
      </c>
      <c r="H85" s="145"/>
      <c r="I85" s="145"/>
    </row>
    <row r="86" spans="1:11" ht="13">
      <c r="A86" s="4"/>
      <c r="B86" s="4"/>
      <c r="C86" s="145"/>
      <c r="D86" s="146"/>
      <c r="E86" s="4"/>
      <c r="F86" s="158"/>
      <c r="G86" s="144"/>
      <c r="H86" s="145"/>
      <c r="I86" s="145"/>
    </row>
    <row r="87" spans="1:11" ht="13">
      <c r="A87" s="148"/>
      <c r="B87" s="90"/>
      <c r="C87" s="145"/>
      <c r="D87" s="146"/>
      <c r="E87" s="4"/>
      <c r="F87" s="158"/>
      <c r="G87" s="144"/>
      <c r="H87" s="151"/>
      <c r="I87" s="151"/>
      <c r="J87" s="132"/>
    </row>
    <row r="88" spans="1:11" ht="13">
      <c r="A88" s="169" t="str">
        <f>VLOOKUP(B88,Master!$V$7:$W$150,2,FALSE)</f>
        <v>M0018</v>
      </c>
      <c r="B88" s="135" t="s">
        <v>210</v>
      </c>
      <c r="C88" s="153"/>
      <c r="D88" s="153"/>
      <c r="E88" s="153"/>
      <c r="F88" s="153"/>
      <c r="G88" s="155">
        <f>SUM(G89:G94)</f>
        <v>4730.137894736843</v>
      </c>
      <c r="H88" s="171">
        <v>0.15</v>
      </c>
      <c r="I88" s="155">
        <f>G88+(G88*H88)</f>
        <v>5439.6585789473693</v>
      </c>
      <c r="J88" s="192" t="b">
        <v>1</v>
      </c>
      <c r="K88" s="140" t="b">
        <v>1</v>
      </c>
    </row>
    <row r="89" spans="1:11" ht="13">
      <c r="A89" s="141"/>
      <c r="B89" s="4"/>
      <c r="C89" s="4" t="s">
        <v>2019</v>
      </c>
      <c r="D89" s="146">
        <v>20</v>
      </c>
      <c r="E89" s="4" t="str">
        <f>VLOOKUP(C89,Master!$B$6:$N$1000,9,FALSE)</f>
        <v>gr</v>
      </c>
      <c r="F89" s="158">
        <f>VLOOKUP(C89,Master!$B$6:$N$1000,10,FALSE)</f>
        <v>56</v>
      </c>
      <c r="G89" s="144">
        <f t="shared" ref="G89:G94" si="15">D89*F89</f>
        <v>1120</v>
      </c>
      <c r="H89" s="145"/>
      <c r="I89" s="145"/>
    </row>
    <row r="90" spans="1:11" ht="13">
      <c r="A90" s="141"/>
      <c r="B90" s="4"/>
      <c r="C90" s="4" t="s">
        <v>2052</v>
      </c>
      <c r="D90" s="146">
        <v>50</v>
      </c>
      <c r="E90" s="4" t="str">
        <f>VLOOKUP(C90,Master!$B$6:$N$243,9,FALSE)</f>
        <v>ml</v>
      </c>
      <c r="F90" s="144">
        <f>VLOOKUP(C90,Master!$B$6:$N$243,10,FALSE)</f>
        <v>0.66315789473684206</v>
      </c>
      <c r="G90" s="144">
        <f t="shared" si="15"/>
        <v>33.157894736842103</v>
      </c>
      <c r="H90" s="145"/>
      <c r="I90" s="145"/>
    </row>
    <row r="91" spans="1:11" ht="13">
      <c r="A91" s="141"/>
      <c r="B91" s="4"/>
      <c r="C91" s="145" t="s">
        <v>1981</v>
      </c>
      <c r="D91" s="146">
        <v>180</v>
      </c>
      <c r="E91" s="4" t="str">
        <f>VLOOKUP(C91,Master!$B$6:$N$243,9,FALSE)</f>
        <v>ml</v>
      </c>
      <c r="F91" s="144">
        <f>VLOOKUP(C91,Master!$B$6:$N$243,10,FALSE)</f>
        <v>17.094333333333335</v>
      </c>
      <c r="G91" s="144">
        <f t="shared" si="15"/>
        <v>3076.9800000000005</v>
      </c>
      <c r="H91" s="145"/>
      <c r="I91" s="145"/>
    </row>
    <row r="92" spans="1:11" ht="13">
      <c r="A92" s="4"/>
      <c r="B92" s="4"/>
      <c r="C92" s="4" t="s">
        <v>1160</v>
      </c>
      <c r="D92" s="146">
        <v>0</v>
      </c>
      <c r="E92" s="4" t="str">
        <f>VLOOKUP(C92,Master!$B$6:$N$1000,9,FALSE)</f>
        <v>gr</v>
      </c>
      <c r="F92" s="144">
        <f>VLOOKUP(C92,Master!$B$6:$N$1000,10,FALSE)</f>
        <v>200</v>
      </c>
      <c r="G92" s="144">
        <f t="shared" si="15"/>
        <v>0</v>
      </c>
      <c r="H92" s="145"/>
      <c r="I92" s="145"/>
    </row>
    <row r="93" spans="1:11" ht="13">
      <c r="A93" s="4"/>
      <c r="B93" s="4"/>
      <c r="C93" s="145" t="s">
        <v>1164</v>
      </c>
      <c r="D93" s="146">
        <v>0</v>
      </c>
      <c r="E93" s="4" t="str">
        <f>VLOOKUP(C93,Master!$B$6:$N$1000,9,FALSE)</f>
        <v>pcs</v>
      </c>
      <c r="F93" s="144">
        <f>VLOOKUP(C93,Master!$B$6:$N$1000,10,FALSE)</f>
        <v>320</v>
      </c>
      <c r="G93" s="144">
        <f t="shared" si="15"/>
        <v>0</v>
      </c>
      <c r="H93" s="145"/>
      <c r="I93" s="145"/>
    </row>
    <row r="94" spans="1:11" ht="13">
      <c r="A94" s="148"/>
      <c r="B94" s="90"/>
      <c r="C94" s="90" t="s">
        <v>839</v>
      </c>
      <c r="D94" s="149">
        <v>1</v>
      </c>
      <c r="E94" s="4" t="str">
        <f>VLOOKUP(C94,Master!$B$6:$N$1000,9,FALSE)</f>
        <v>pcs</v>
      </c>
      <c r="F94" s="144">
        <f>VLOOKUP(C94,Master!$B$6:$N$1000,10,FALSE)</f>
        <v>500</v>
      </c>
      <c r="G94" s="144">
        <f t="shared" si="15"/>
        <v>500</v>
      </c>
      <c r="H94" s="151"/>
      <c r="I94" s="151"/>
      <c r="J94" s="132"/>
    </row>
    <row r="95" spans="1:11" ht="13">
      <c r="A95" s="169" t="str">
        <f>VLOOKUP(B95,Master!$V$7:$W$150,2,FALSE)</f>
        <v>M0019</v>
      </c>
      <c r="B95" s="135" t="s">
        <v>2066</v>
      </c>
      <c r="C95" s="136"/>
      <c r="D95" s="153"/>
      <c r="E95" s="153"/>
      <c r="F95" s="153"/>
      <c r="G95" s="155">
        <f>SUM(G96:G99)</f>
        <v>9098.032631578948</v>
      </c>
      <c r="H95" s="171">
        <v>0.15</v>
      </c>
      <c r="I95" s="155">
        <f>G95+(G95*H95)</f>
        <v>10462.73752631579</v>
      </c>
      <c r="J95" s="193" t="b">
        <v>1</v>
      </c>
      <c r="K95" s="140" t="b">
        <v>1</v>
      </c>
    </row>
    <row r="96" spans="1:11" ht="13">
      <c r="A96" s="141"/>
      <c r="B96" s="166"/>
      <c r="C96" s="4" t="s">
        <v>1099</v>
      </c>
      <c r="D96" s="146">
        <v>20</v>
      </c>
      <c r="E96" s="4" t="str">
        <f>VLOOKUP(C96,Master!$B$6:$N$1000,9,FALSE)</f>
        <v>gr</v>
      </c>
      <c r="F96" s="144">
        <f>VLOOKUP(C96,Master!$B$6:$N$1000,10,FALSE)</f>
        <v>130</v>
      </c>
      <c r="G96" s="144">
        <f t="shared" ref="G96:G99" si="16">D96*F96</f>
        <v>2600</v>
      </c>
      <c r="H96" s="145"/>
      <c r="I96" s="145"/>
      <c r="K96" s="190" t="s">
        <v>1361</v>
      </c>
    </row>
    <row r="97" spans="1:11" ht="13">
      <c r="A97" s="141"/>
      <c r="B97" s="4"/>
      <c r="C97" s="145" t="s">
        <v>1981</v>
      </c>
      <c r="D97" s="146">
        <v>180</v>
      </c>
      <c r="E97" s="4" t="str">
        <f>VLOOKUP(C97,Master!$B$6:$N$1000,9,FALSE)</f>
        <v>ml</v>
      </c>
      <c r="F97" s="144">
        <f>VLOOKUP(C97,Master!$B$6:$N$1000,10,FALSE)</f>
        <v>17.094333333333335</v>
      </c>
      <c r="G97" s="144">
        <f t="shared" si="16"/>
        <v>3076.9800000000005</v>
      </c>
      <c r="H97" s="145"/>
      <c r="I97" s="145"/>
    </row>
    <row r="98" spans="1:11" ht="13">
      <c r="A98" s="141"/>
      <c r="B98" s="4"/>
      <c r="C98" s="147" t="s">
        <v>1219</v>
      </c>
      <c r="D98" s="146">
        <v>20</v>
      </c>
      <c r="E98" s="4" t="str">
        <f>VLOOKUP(C98,Master!$B$6:$N$1000,9,FALSE)</f>
        <v>ml</v>
      </c>
      <c r="F98" s="144">
        <f>VLOOKUP(C98,Master!$B$6:$N$1000,10,FALSE)</f>
        <v>146.05263157894737</v>
      </c>
      <c r="G98" s="144">
        <f t="shared" si="16"/>
        <v>2921.0526315789475</v>
      </c>
      <c r="H98" s="145"/>
      <c r="I98" s="145"/>
      <c r="J98" s="132" t="s">
        <v>1364</v>
      </c>
    </row>
    <row r="99" spans="1:11" ht="13">
      <c r="A99" s="148"/>
      <c r="B99" s="90"/>
      <c r="C99" s="90" t="s">
        <v>839</v>
      </c>
      <c r="D99" s="149">
        <v>1</v>
      </c>
      <c r="E99" s="4" t="str">
        <f>VLOOKUP(C99,Master!$B$6:$N$1000,9,FALSE)</f>
        <v>pcs</v>
      </c>
      <c r="F99" s="144">
        <f>VLOOKUP(C99,Master!$B$6:$N$1000,10,FALSE)</f>
        <v>500</v>
      </c>
      <c r="G99" s="150">
        <f t="shared" si="16"/>
        <v>500</v>
      </c>
      <c r="H99" s="151"/>
      <c r="I99" s="151"/>
      <c r="J99" s="132"/>
    </row>
    <row r="100" spans="1:11" ht="13">
      <c r="A100" s="188" t="str">
        <f>VLOOKUP(B100,Master!$V$7:$W$150,2,FALSE)</f>
        <v>M0020</v>
      </c>
      <c r="B100" s="135" t="s">
        <v>225</v>
      </c>
      <c r="C100" s="136"/>
      <c r="D100" s="153"/>
      <c r="E100" s="153"/>
      <c r="F100" s="153"/>
      <c r="G100" s="155">
        <f>SUM(G101:G103)</f>
        <v>738.73552631578946</v>
      </c>
      <c r="H100" s="171">
        <v>0.15</v>
      </c>
      <c r="I100" s="155">
        <f>G100+(G100*H100)</f>
        <v>849.54585526315782</v>
      </c>
      <c r="J100" s="192" t="b">
        <v>1</v>
      </c>
      <c r="K100" s="140" t="b">
        <v>1</v>
      </c>
    </row>
    <row r="101" spans="1:11" ht="13">
      <c r="A101" s="141"/>
      <c r="B101" s="4"/>
      <c r="C101" s="145" t="s">
        <v>382</v>
      </c>
      <c r="D101" s="146">
        <v>150</v>
      </c>
      <c r="E101" s="4" t="str">
        <f>VLOOKUP(C101,Master!$B$6:$N$1000,9,FALSE)</f>
        <v>ml</v>
      </c>
      <c r="F101" s="144">
        <f>VLOOKUP(C101,Master!$B$6:$N$1000,10,FALSE)</f>
        <v>1.1915701754385966</v>
      </c>
      <c r="G101" s="144">
        <f t="shared" ref="G101:G103" si="17">D101*F101</f>
        <v>178.73552631578949</v>
      </c>
      <c r="H101" s="145"/>
      <c r="I101" s="145"/>
    </row>
    <row r="102" spans="1:11" ht="13">
      <c r="A102" s="141"/>
      <c r="B102" s="4"/>
      <c r="C102" s="4" t="s">
        <v>2052</v>
      </c>
      <c r="D102" s="146">
        <v>0</v>
      </c>
      <c r="E102" s="4" t="str">
        <f>VLOOKUP(C102,Master!$B$6:$N$1000,9,FALSE)</f>
        <v>ml</v>
      </c>
      <c r="F102" s="144">
        <f>VLOOKUP(C102,Master!$B$6:$N$1000,10,FALSE)</f>
        <v>0.66315789473684206</v>
      </c>
      <c r="G102" s="144">
        <f t="shared" si="17"/>
        <v>0</v>
      </c>
      <c r="H102" s="145"/>
      <c r="I102" s="145"/>
    </row>
    <row r="103" spans="1:11" ht="13">
      <c r="A103" s="148"/>
      <c r="B103" s="90"/>
      <c r="C103" s="90" t="s">
        <v>843</v>
      </c>
      <c r="D103" s="149">
        <v>1</v>
      </c>
      <c r="E103" s="4" t="str">
        <f>VLOOKUP(C103,Master!$B$6:$N$1000,9,FALSE)</f>
        <v>pcs</v>
      </c>
      <c r="F103" s="144">
        <f>VLOOKUP(C103,Master!$B$6:$N$1000,10,FALSE)</f>
        <v>560</v>
      </c>
      <c r="G103" s="150">
        <f t="shared" si="17"/>
        <v>560</v>
      </c>
      <c r="H103" s="151"/>
      <c r="I103" s="151"/>
      <c r="J103" s="132"/>
    </row>
    <row r="104" spans="1:11" ht="13">
      <c r="A104" s="188" t="str">
        <f>VLOOKUP(B104,Master!$V$7:$W$150,2,FALSE)</f>
        <v>M0021</v>
      </c>
      <c r="B104" s="135" t="s">
        <v>232</v>
      </c>
      <c r="C104" s="136"/>
      <c r="D104" s="153"/>
      <c r="E104" s="153"/>
      <c r="F104" s="153"/>
      <c r="G104" s="138">
        <f>SUM(G105:G107)</f>
        <v>2200.6675438596494</v>
      </c>
      <c r="H104" s="139">
        <v>0.1</v>
      </c>
      <c r="I104" s="155">
        <f>G104+(G104*H104)</f>
        <v>2420.7342982456144</v>
      </c>
      <c r="J104" s="192" t="b">
        <v>1</v>
      </c>
      <c r="K104" s="140" t="b">
        <v>1</v>
      </c>
    </row>
    <row r="105" spans="1:11" ht="13">
      <c r="A105" s="141"/>
      <c r="B105" s="4"/>
      <c r="C105" s="4" t="s">
        <v>382</v>
      </c>
      <c r="D105" s="146">
        <v>220</v>
      </c>
      <c r="E105" s="4" t="str">
        <f>VLOOKUP(C105,Master!$B$6:$N$1000,9,FALSE)</f>
        <v>ml</v>
      </c>
      <c r="F105" s="144">
        <f>VLOOKUP(C105,Master!$B$6:$N$1000,10,FALSE)</f>
        <v>1.1915701754385966</v>
      </c>
      <c r="G105" s="144">
        <f t="shared" ref="G105:G107" si="18">D105*F105</f>
        <v>262.14543859649126</v>
      </c>
      <c r="H105" s="145"/>
      <c r="I105" s="145"/>
    </row>
    <row r="106" spans="1:11" ht="13">
      <c r="A106" s="141"/>
      <c r="B106" s="4"/>
      <c r="C106" s="145" t="s">
        <v>378</v>
      </c>
      <c r="D106" s="146">
        <v>90</v>
      </c>
      <c r="E106" s="4" t="str">
        <f>VLOOKUP(C106,Master!$B$6:$N$1000,9,FALSE)</f>
        <v>ml</v>
      </c>
      <c r="F106" s="144">
        <f>VLOOKUP(C106,Master!$B$6:$N$1000,10,FALSE)</f>
        <v>15.983578947368422</v>
      </c>
      <c r="G106" s="144">
        <f t="shared" si="18"/>
        <v>1438.522105263158</v>
      </c>
      <c r="H106" s="145"/>
      <c r="I106" s="145"/>
    </row>
    <row r="107" spans="1:11" ht="13">
      <c r="A107" s="148"/>
      <c r="B107" s="90"/>
      <c r="C107" s="90" t="s">
        <v>839</v>
      </c>
      <c r="D107" s="149">
        <v>1</v>
      </c>
      <c r="E107" s="4" t="str">
        <f>VLOOKUP(C107,Master!$B$6:$N$1000,9,FALSE)</f>
        <v>pcs</v>
      </c>
      <c r="F107" s="144">
        <f>VLOOKUP(C107,Master!$B$6:$N$1000,10,FALSE)</f>
        <v>500</v>
      </c>
      <c r="G107" s="150">
        <f t="shared" si="18"/>
        <v>500</v>
      </c>
      <c r="H107" s="151"/>
      <c r="I107" s="151"/>
      <c r="J107" s="132"/>
    </row>
    <row r="108" spans="1:11" ht="13">
      <c r="A108" s="188" t="str">
        <f>VLOOKUP(B108,Master!$V$7:$W$150,2,FALSE)</f>
        <v>M0022</v>
      </c>
      <c r="B108" s="135" t="s">
        <v>239</v>
      </c>
      <c r="C108" s="136"/>
      <c r="D108" s="153"/>
      <c r="E108" s="153"/>
      <c r="F108" s="153"/>
      <c r="G108" s="138">
        <f>SUM(G109:G112)</f>
        <v>4710.0431406384814</v>
      </c>
      <c r="H108" s="139">
        <v>0.15</v>
      </c>
      <c r="I108" s="155">
        <f>G108+(G108*H108)</f>
        <v>5416.5496117342536</v>
      </c>
      <c r="J108" s="192" t="b">
        <v>1</v>
      </c>
      <c r="K108" s="140" t="b">
        <v>1</v>
      </c>
    </row>
    <row r="109" spans="1:11" ht="13">
      <c r="A109" s="141"/>
      <c r="B109" s="4"/>
      <c r="C109" s="4" t="s">
        <v>2050</v>
      </c>
      <c r="D109" s="146">
        <v>15</v>
      </c>
      <c r="E109" s="4" t="str">
        <f>VLOOKUP(C109,Master!$B$6:$N$1000,9,FALSE)</f>
        <v>gr</v>
      </c>
      <c r="F109" s="144">
        <f>VLOOKUP(C109,Master!$B$6:$N$1000,10,FALSE)</f>
        <v>140</v>
      </c>
      <c r="G109" s="144">
        <f t="shared" ref="G109:G112" si="19">D109*F109</f>
        <v>2100</v>
      </c>
      <c r="H109" s="145"/>
      <c r="I109" s="145"/>
    </row>
    <row r="110" spans="1:11" ht="13">
      <c r="A110" s="141"/>
      <c r="B110" s="4"/>
      <c r="C110" s="4" t="s">
        <v>2052</v>
      </c>
      <c r="D110" s="146">
        <v>0</v>
      </c>
      <c r="E110" s="4" t="str">
        <f>VLOOKUP(C110,Master!$B$6:$N$1000,9,FALSE)</f>
        <v>ml</v>
      </c>
      <c r="F110" s="144">
        <f>VLOOKUP(C110,Master!$B$6:$N$1000,10,FALSE)</f>
        <v>0.66315789473684206</v>
      </c>
      <c r="G110" s="144">
        <f t="shared" si="19"/>
        <v>0</v>
      </c>
      <c r="H110" s="145"/>
      <c r="I110" s="145"/>
    </row>
    <row r="111" spans="1:11" ht="13">
      <c r="A111" s="141"/>
      <c r="B111" s="4"/>
      <c r="C111" s="145" t="s">
        <v>390</v>
      </c>
      <c r="D111" s="146">
        <v>50</v>
      </c>
      <c r="E111" s="4" t="str">
        <f>VLOOKUP(C111,Master!$B$6:$N$1000,9,FALSE)</f>
        <v>ml</v>
      </c>
      <c r="F111" s="144">
        <f>VLOOKUP(C111,Master!$B$6:$N$1000,10,FALSE)</f>
        <v>41.000862812769633</v>
      </c>
      <c r="G111" s="144">
        <f t="shared" si="19"/>
        <v>2050.0431406384814</v>
      </c>
      <c r="H111" s="145"/>
      <c r="I111" s="145"/>
    </row>
    <row r="112" spans="1:11" ht="13">
      <c r="A112" s="148"/>
      <c r="B112" s="90"/>
      <c r="C112" s="90" t="s">
        <v>843</v>
      </c>
      <c r="D112" s="149">
        <v>1</v>
      </c>
      <c r="E112" s="4" t="str">
        <f>VLOOKUP(C112,Master!$B$6:$N$1000,9,FALSE)</f>
        <v>pcs</v>
      </c>
      <c r="F112" s="144">
        <f>VLOOKUP(C112,Master!$B$6:$N$1000,10,FALSE)</f>
        <v>560</v>
      </c>
      <c r="G112" s="150">
        <f t="shared" si="19"/>
        <v>560</v>
      </c>
      <c r="H112" s="151"/>
      <c r="I112" s="151"/>
      <c r="J112" s="132"/>
    </row>
    <row r="113" spans="1:11" ht="13">
      <c r="A113" s="188" t="str">
        <f>VLOOKUP(B113,Master!$V$7:$W$150,2,FALSE)</f>
        <v>M0023</v>
      </c>
      <c r="B113" s="135" t="s">
        <v>246</v>
      </c>
      <c r="C113" s="136" t="s">
        <v>532</v>
      </c>
      <c r="D113" s="153"/>
      <c r="E113" s="153"/>
      <c r="F113" s="153"/>
      <c r="G113" s="138">
        <f>SUM(G114:G117)</f>
        <v>3917.485979292494</v>
      </c>
      <c r="H113" s="139">
        <v>0.15</v>
      </c>
      <c r="I113" s="155">
        <f>G113+(G113*H113)</f>
        <v>4505.1088761863684</v>
      </c>
      <c r="J113" s="192" t="b">
        <v>1</v>
      </c>
      <c r="K113" s="140" t="b">
        <v>1</v>
      </c>
    </row>
    <row r="114" spans="1:11" ht="13">
      <c r="A114" s="141"/>
      <c r="B114" s="4"/>
      <c r="C114" s="145" t="s">
        <v>394</v>
      </c>
      <c r="D114" s="146">
        <v>10</v>
      </c>
      <c r="E114" s="4" t="str">
        <f>VLOOKUP(C114,Master!$B$6:$N$1000,9,FALSE)</f>
        <v>ml</v>
      </c>
      <c r="F114" s="144">
        <f>VLOOKUP(C114,Master!$B$6:$N$1000,10,FALSE)</f>
        <v>95.743421052631575</v>
      </c>
      <c r="G114" s="144">
        <f t="shared" ref="G114:G117" si="20">D114*F114</f>
        <v>957.43421052631572</v>
      </c>
      <c r="H114" s="145"/>
      <c r="I114" s="145"/>
    </row>
    <row r="115" spans="1:11" ht="13">
      <c r="A115" s="141"/>
      <c r="B115" s="4"/>
      <c r="C115" s="4" t="s">
        <v>2052</v>
      </c>
      <c r="D115" s="146">
        <v>0</v>
      </c>
      <c r="E115" s="4" t="str">
        <f>VLOOKUP(C115,Master!$B$6:$N$1000,9,FALSE)</f>
        <v>ml</v>
      </c>
      <c r="F115" s="144">
        <f>VLOOKUP(C115,Master!$B$6:$N$1000,10,FALSE)</f>
        <v>0.66315789473684206</v>
      </c>
      <c r="G115" s="144">
        <f t="shared" si="20"/>
        <v>0</v>
      </c>
      <c r="H115" s="145"/>
      <c r="I115" s="145"/>
    </row>
    <row r="116" spans="1:11" ht="13">
      <c r="A116" s="141"/>
      <c r="B116" s="4"/>
      <c r="C116" s="4" t="s">
        <v>390</v>
      </c>
      <c r="D116" s="146">
        <v>60</v>
      </c>
      <c r="E116" s="4" t="str">
        <f>VLOOKUP(C116,Master!$B$6:$N$1000,9,FALSE)</f>
        <v>ml</v>
      </c>
      <c r="F116" s="144">
        <f>VLOOKUP(C116,Master!$B$6:$N$1000,10,FALSE)</f>
        <v>41.000862812769633</v>
      </c>
      <c r="G116" s="144">
        <f t="shared" si="20"/>
        <v>2460.0517687661782</v>
      </c>
      <c r="H116" s="145"/>
      <c r="I116" s="145"/>
    </row>
    <row r="117" spans="1:11" ht="13">
      <c r="A117" s="148"/>
      <c r="B117" s="90"/>
      <c r="C117" s="90" t="s">
        <v>839</v>
      </c>
      <c r="D117" s="149">
        <v>1</v>
      </c>
      <c r="E117" s="4" t="str">
        <f>VLOOKUP(C117,Master!$B$6:$N$1000,9,FALSE)</f>
        <v>pcs</v>
      </c>
      <c r="F117" s="144">
        <f>VLOOKUP(C117,Master!$B$6:$N$1000,10,FALSE)</f>
        <v>500</v>
      </c>
      <c r="G117" s="150">
        <f t="shared" si="20"/>
        <v>500</v>
      </c>
      <c r="H117" s="151"/>
      <c r="I117" s="151"/>
      <c r="J117" s="132"/>
    </row>
    <row r="118" spans="1:11" ht="13">
      <c r="A118" s="188" t="str">
        <f>VLOOKUP(B118,Master!$V$7:$W$150,2,FALSE)</f>
        <v>M0024</v>
      </c>
      <c r="B118" s="135" t="s">
        <v>254</v>
      </c>
      <c r="C118" s="136"/>
      <c r="D118" s="153"/>
      <c r="E118" s="153"/>
      <c r="F118" s="153"/>
      <c r="G118" s="138">
        <f>SUM(G119:G120)</f>
        <v>4165.7894736842109</v>
      </c>
      <c r="H118" s="139">
        <v>0.15</v>
      </c>
      <c r="I118" s="155">
        <f>G118+(G118*H118)</f>
        <v>4790.6578947368425</v>
      </c>
      <c r="J118" s="192" t="b">
        <v>1</v>
      </c>
      <c r="K118" s="140" t="b">
        <v>1</v>
      </c>
    </row>
    <row r="119" spans="1:11" ht="13">
      <c r="A119" s="141"/>
      <c r="B119" s="166"/>
      <c r="C119" s="145" t="s">
        <v>2016</v>
      </c>
      <c r="D119" s="146">
        <v>3</v>
      </c>
      <c r="E119" s="4" t="str">
        <f>VLOOKUP(C119,Master!$B$6:$N$1000,9,FALSE)</f>
        <v>gr</v>
      </c>
      <c r="F119" s="144">
        <f>VLOOKUP(C119,Master!$B$6:$N$1000,10,FALSE)</f>
        <v>1333.3333333333333</v>
      </c>
      <c r="G119" s="144">
        <f t="shared" ref="G119:G120" si="21">D119*F119</f>
        <v>4000</v>
      </c>
      <c r="H119" s="145"/>
      <c r="I119" s="145"/>
    </row>
    <row r="120" spans="1:11" ht="13">
      <c r="A120" s="148"/>
      <c r="B120" s="90"/>
      <c r="C120" s="90" t="s">
        <v>2052</v>
      </c>
      <c r="D120" s="149">
        <v>250</v>
      </c>
      <c r="E120" s="4" t="str">
        <f>VLOOKUP(C120,Master!$B$6:$N$1000,9,FALSE)</f>
        <v>ml</v>
      </c>
      <c r="F120" s="144">
        <f>VLOOKUP(C120,Master!$B$6:$N$1000,10,FALSE)</f>
        <v>0.66315789473684206</v>
      </c>
      <c r="G120" s="150">
        <f t="shared" si="21"/>
        <v>165.78947368421052</v>
      </c>
      <c r="H120" s="151"/>
      <c r="I120" s="151"/>
      <c r="J120" s="132"/>
    </row>
    <row r="121" spans="1:11" ht="13">
      <c r="A121" s="169" t="str">
        <f>VLOOKUP(B121,Master!$V$7:$W$1000,2,FALSE)</f>
        <v>M0145</v>
      </c>
      <c r="B121" s="135" t="s">
        <v>789</v>
      </c>
      <c r="C121" s="136"/>
      <c r="D121" s="153"/>
      <c r="E121" s="153"/>
      <c r="F121" s="153"/>
      <c r="G121" s="138">
        <f>SUM(G122:G123)</f>
        <v>4165.7894736842109</v>
      </c>
      <c r="H121" s="139">
        <v>0.15</v>
      </c>
      <c r="I121" s="155">
        <f>G121+(G121*H121)</f>
        <v>4790.6578947368425</v>
      </c>
      <c r="J121" s="192" t="b">
        <v>1</v>
      </c>
      <c r="K121" s="140" t="b">
        <v>1</v>
      </c>
    </row>
    <row r="122" spans="1:11" ht="13">
      <c r="A122" s="141"/>
      <c r="B122" s="166"/>
      <c r="C122" s="145" t="s">
        <v>789</v>
      </c>
      <c r="D122" s="146">
        <v>3</v>
      </c>
      <c r="E122" s="4" t="str">
        <f>VLOOKUP(C122,Master!$B$6:$N$1000,9,FALSE)</f>
        <v>gr</v>
      </c>
      <c r="F122" s="144">
        <f>VLOOKUP(C122,Master!$B$6:$N$1000,10,FALSE)</f>
        <v>1333.3333333333333</v>
      </c>
      <c r="G122" s="144">
        <f t="shared" ref="G122:G123" si="22">D122*F122</f>
        <v>4000</v>
      </c>
      <c r="H122" s="145"/>
      <c r="I122" s="145"/>
      <c r="K122" s="132" t="s">
        <v>1365</v>
      </c>
    </row>
    <row r="123" spans="1:11" ht="13">
      <c r="A123" s="148"/>
      <c r="B123" s="90"/>
      <c r="C123" s="90" t="s">
        <v>2052</v>
      </c>
      <c r="D123" s="149">
        <v>250</v>
      </c>
      <c r="E123" s="4" t="str">
        <f>VLOOKUP(C123,Master!$B$6:$N$1000,9,FALSE)</f>
        <v>ml</v>
      </c>
      <c r="F123" s="144">
        <f>VLOOKUP(C123,Master!$B$6:$N$1000,10,FALSE)</f>
        <v>0.66315789473684206</v>
      </c>
      <c r="G123" s="150">
        <f t="shared" si="22"/>
        <v>165.78947368421052</v>
      </c>
      <c r="H123" s="151"/>
      <c r="I123" s="151"/>
    </row>
    <row r="124" spans="1:11" ht="13">
      <c r="A124" s="188" t="str">
        <f>VLOOKUP(B124,Master!$V$7:$W$150,2,FALSE)</f>
        <v>M0025</v>
      </c>
      <c r="B124" s="135" t="s">
        <v>262</v>
      </c>
      <c r="C124" s="136"/>
      <c r="D124" s="153"/>
      <c r="E124" s="153"/>
      <c r="F124" s="153"/>
      <c r="G124" s="138">
        <f>SUM(G125:G128)</f>
        <v>6323.1578947368416</v>
      </c>
      <c r="H124" s="139">
        <v>0.15</v>
      </c>
      <c r="I124" s="155">
        <f>G124+(G124*H124)</f>
        <v>7271.6315789473683</v>
      </c>
      <c r="J124" s="192" t="b">
        <v>0</v>
      </c>
      <c r="K124" s="140" t="b">
        <v>1</v>
      </c>
    </row>
    <row r="125" spans="1:11" ht="13">
      <c r="A125" s="141"/>
      <c r="B125" s="4"/>
      <c r="C125" s="4" t="s">
        <v>2002</v>
      </c>
      <c r="D125" s="146">
        <v>20</v>
      </c>
      <c r="E125" s="4" t="str">
        <f>VLOOKUP(C125,Master!$B$6:$N$243,9,FALSE)</f>
        <v>gr</v>
      </c>
      <c r="F125" s="144">
        <f>VLOOKUP(C125,Master!$B$6:$N$243,10,FALSE)</f>
        <v>150</v>
      </c>
      <c r="G125" s="144">
        <f t="shared" ref="G125:G128" si="23">D125*F125</f>
        <v>3000</v>
      </c>
      <c r="H125" s="145"/>
      <c r="I125" s="145"/>
      <c r="J125" s="132"/>
    </row>
    <row r="126" spans="1:11" ht="13">
      <c r="A126" s="141"/>
      <c r="B126" s="4"/>
      <c r="C126" s="4" t="s">
        <v>2052</v>
      </c>
      <c r="D126" s="146">
        <v>0</v>
      </c>
      <c r="E126" s="4" t="str">
        <f>VLOOKUP(C126,Master!$B$6:$N$243,9,FALSE)</f>
        <v>ml</v>
      </c>
      <c r="F126" s="144">
        <f>VLOOKUP(C126,Master!$B$6:$N$243,10,FALSE)</f>
        <v>0.66315789473684206</v>
      </c>
      <c r="G126" s="144">
        <f t="shared" si="23"/>
        <v>0</v>
      </c>
      <c r="H126" s="145"/>
      <c r="I126" s="145"/>
      <c r="J126" s="132"/>
    </row>
    <row r="127" spans="1:11" ht="13">
      <c r="A127" s="141"/>
      <c r="B127" s="4"/>
      <c r="C127" s="145" t="s">
        <v>1987</v>
      </c>
      <c r="D127" s="146">
        <v>150</v>
      </c>
      <c r="E127" s="4" t="str">
        <f>VLOOKUP(C127,Master!$B$6:$N$243,9,FALSE)</f>
        <v>ml</v>
      </c>
      <c r="F127" s="144">
        <f>VLOOKUP(C127,Master!$B$6:$N$243,10,FALSE)</f>
        <v>18.421052631578949</v>
      </c>
      <c r="G127" s="144">
        <f t="shared" si="23"/>
        <v>2763.1578947368421</v>
      </c>
      <c r="H127" s="145"/>
      <c r="I127" s="145"/>
    </row>
    <row r="128" spans="1:11" ht="13">
      <c r="A128" s="148"/>
      <c r="B128" s="90"/>
      <c r="C128" s="90" t="s">
        <v>843</v>
      </c>
      <c r="D128" s="149">
        <v>1</v>
      </c>
      <c r="E128" s="4" t="str">
        <f>VLOOKUP(C128,Master!$B$6:$N$243,9,FALSE)</f>
        <v>pcs</v>
      </c>
      <c r="F128" s="144">
        <f>VLOOKUP(C128,Master!$B$6:$N$243,10,FALSE)</f>
        <v>560</v>
      </c>
      <c r="G128" s="150">
        <f t="shared" si="23"/>
        <v>560</v>
      </c>
      <c r="H128" s="151"/>
      <c r="I128" s="151"/>
    </row>
    <row r="129" spans="1:11" ht="13">
      <c r="A129" s="188" t="str">
        <f>VLOOKUP(B129,Master!$V$7:$W$150,2,FALSE)</f>
        <v>M0026</v>
      </c>
      <c r="B129" s="135" t="s">
        <v>270</v>
      </c>
      <c r="C129" s="136"/>
      <c r="D129" s="153"/>
      <c r="E129" s="153"/>
      <c r="F129" s="153"/>
      <c r="G129" s="138">
        <f>SUM(G130:G133)</f>
        <v>6371.3372562553923</v>
      </c>
      <c r="H129" s="139">
        <v>0.15</v>
      </c>
      <c r="I129" s="155">
        <f>G129+(G129*H129)</f>
        <v>7327.0378446937011</v>
      </c>
      <c r="J129" s="192" t="b">
        <v>0</v>
      </c>
      <c r="K129" s="140" t="b">
        <v>1</v>
      </c>
    </row>
    <row r="130" spans="1:11" ht="13">
      <c r="A130" s="141"/>
      <c r="B130" s="4"/>
      <c r="C130" s="4" t="s">
        <v>2002</v>
      </c>
      <c r="D130" s="146">
        <v>20</v>
      </c>
      <c r="E130" s="4" t="str">
        <f>VLOOKUP(C130,Master!$B$6:$N$1000,9,FALSE)</f>
        <v>gr</v>
      </c>
      <c r="F130" s="144">
        <f>VLOOKUP(C130,Master!$B$6:$N$1000,10,FALSE)</f>
        <v>150</v>
      </c>
      <c r="G130" s="144">
        <f t="shared" ref="G130:G133" si="24">D130*F130</f>
        <v>3000</v>
      </c>
      <c r="H130" s="145"/>
      <c r="I130" s="145"/>
      <c r="J130" s="132"/>
    </row>
    <row r="131" spans="1:11" ht="13">
      <c r="A131" s="141"/>
      <c r="B131" s="4"/>
      <c r="C131" s="4" t="s">
        <v>390</v>
      </c>
      <c r="D131" s="146">
        <v>20</v>
      </c>
      <c r="E131" s="4" t="str">
        <f>VLOOKUP(C131,Master!$B$6:$N$1000,9,FALSE)</f>
        <v>ml</v>
      </c>
      <c r="F131" s="144">
        <f>VLOOKUP(C131,Master!$B$6:$N$1000,10,FALSE)</f>
        <v>41.000862812769633</v>
      </c>
      <c r="G131" s="144">
        <f t="shared" si="24"/>
        <v>820.01725625539268</v>
      </c>
      <c r="H131" s="145"/>
      <c r="I131" s="145"/>
      <c r="J131" s="132"/>
    </row>
    <row r="132" spans="1:11" ht="13">
      <c r="A132" s="141"/>
      <c r="B132" s="4"/>
      <c r="C132" s="145" t="s">
        <v>1981</v>
      </c>
      <c r="D132" s="146">
        <v>120</v>
      </c>
      <c r="E132" s="4" t="str">
        <f>VLOOKUP(C132,Master!$B$6:$N$1000,9,FALSE)</f>
        <v>ml</v>
      </c>
      <c r="F132" s="144">
        <f>VLOOKUP(C132,Master!$B$6:$N$1000,10,FALSE)</f>
        <v>17.094333333333335</v>
      </c>
      <c r="G132" s="144">
        <f t="shared" si="24"/>
        <v>2051.3200000000002</v>
      </c>
      <c r="H132" s="145"/>
      <c r="I132" s="145"/>
    </row>
    <row r="133" spans="1:11" ht="13">
      <c r="A133" s="148"/>
      <c r="B133" s="90"/>
      <c r="C133" s="90" t="s">
        <v>839</v>
      </c>
      <c r="D133" s="149">
        <v>1</v>
      </c>
      <c r="E133" s="4" t="str">
        <f>VLOOKUP(C133,Master!$B$6:$N$1000,9,FALSE)</f>
        <v>pcs</v>
      </c>
      <c r="F133" s="144">
        <f>VLOOKUP(C133,Master!$B$6:$N$1000,10,FALSE)</f>
        <v>500</v>
      </c>
      <c r="G133" s="150">
        <f t="shared" si="24"/>
        <v>500</v>
      </c>
      <c r="H133" s="151"/>
      <c r="I133" s="151"/>
    </row>
    <row r="134" spans="1:11" ht="13">
      <c r="A134" s="188" t="str">
        <f>VLOOKUP(B134,Master!$V$7:$W$1000,2,FALSE)</f>
        <v>M0027</v>
      </c>
      <c r="B134" s="135" t="s">
        <v>793</v>
      </c>
      <c r="C134" s="136"/>
      <c r="D134" s="153"/>
      <c r="E134" s="153"/>
      <c r="F134" s="153"/>
      <c r="G134" s="138">
        <f>SUM(G135:G138)</f>
        <v>7723.1578947368416</v>
      </c>
      <c r="H134" s="139">
        <v>0.15</v>
      </c>
      <c r="I134" s="138">
        <f>G134+(G134*H134)</f>
        <v>8881.6315789473683</v>
      </c>
      <c r="J134" s="192" t="b">
        <v>1</v>
      </c>
      <c r="K134" s="140" t="b">
        <v>1</v>
      </c>
    </row>
    <row r="135" spans="1:11" ht="13">
      <c r="A135" s="141"/>
      <c r="B135" s="4"/>
      <c r="C135" s="4" t="s">
        <v>2015</v>
      </c>
      <c r="D135" s="146">
        <v>20</v>
      </c>
      <c r="E135" s="4" t="str">
        <f>VLOOKUP(C135,Master!$B$6:$N$1000,9,FALSE)</f>
        <v>gr</v>
      </c>
      <c r="F135" s="144">
        <f>VLOOKUP(C135,Master!$B$6:$N$1000,10,FALSE)</f>
        <v>220</v>
      </c>
      <c r="G135" s="144">
        <f t="shared" ref="G135:G138" si="25">D135*F135</f>
        <v>4400</v>
      </c>
      <c r="H135" s="145"/>
      <c r="I135" s="145"/>
    </row>
    <row r="136" spans="1:11" ht="13">
      <c r="A136" s="141"/>
      <c r="B136" s="4"/>
      <c r="C136" s="4" t="s">
        <v>2052</v>
      </c>
      <c r="D136" s="146">
        <v>0</v>
      </c>
      <c r="E136" s="4" t="str">
        <f>VLOOKUP(C136,Master!$B$6:$N$1000,9,FALSE)</f>
        <v>ml</v>
      </c>
      <c r="F136" s="144">
        <f>VLOOKUP(C136,Master!$B$6:$N$1000,10,FALSE)</f>
        <v>0.66315789473684206</v>
      </c>
      <c r="G136" s="144">
        <f t="shared" si="25"/>
        <v>0</v>
      </c>
      <c r="H136" s="145"/>
      <c r="I136" s="145"/>
      <c r="J136" s="132"/>
    </row>
    <row r="137" spans="1:11" ht="13">
      <c r="A137" s="141"/>
      <c r="B137" s="4"/>
      <c r="C137" s="145" t="s">
        <v>1987</v>
      </c>
      <c r="D137" s="146">
        <v>150</v>
      </c>
      <c r="E137" s="4" t="str">
        <f>VLOOKUP(C137,Master!$B$6:$N$1000,9,FALSE)</f>
        <v>ml</v>
      </c>
      <c r="F137" s="144">
        <f>VLOOKUP(C137,Master!$B$6:$N$1000,10,FALSE)</f>
        <v>18.421052631578949</v>
      </c>
      <c r="G137" s="144">
        <f t="shared" si="25"/>
        <v>2763.1578947368421</v>
      </c>
      <c r="H137" s="145"/>
      <c r="I137" s="145"/>
    </row>
    <row r="138" spans="1:11" ht="13">
      <c r="A138" s="148"/>
      <c r="B138" s="90"/>
      <c r="C138" s="90" t="s">
        <v>843</v>
      </c>
      <c r="D138" s="149">
        <v>1</v>
      </c>
      <c r="E138" s="4" t="str">
        <f>VLOOKUP(C138,Master!$B$6:$N$1000,9,FALSE)</f>
        <v>pcs</v>
      </c>
      <c r="F138" s="144">
        <f>VLOOKUP(C138,Master!$B$6:$N$1000,10,FALSE)</f>
        <v>560</v>
      </c>
      <c r="G138" s="150">
        <f t="shared" si="25"/>
        <v>560</v>
      </c>
      <c r="H138" s="151"/>
      <c r="I138" s="151"/>
    </row>
    <row r="139" spans="1:11" ht="13">
      <c r="A139" s="188" t="str">
        <f>VLOOKUP(B139,Master!$V$7:$W$1000,2,FALSE)</f>
        <v>M0028</v>
      </c>
      <c r="B139" s="135" t="s">
        <v>797</v>
      </c>
      <c r="C139" s="136"/>
      <c r="D139" s="153"/>
      <c r="E139" s="153"/>
      <c r="F139" s="153"/>
      <c r="G139" s="138">
        <f>SUM(G140:G143)</f>
        <v>7351.3372562553923</v>
      </c>
      <c r="H139" s="139">
        <v>0.15</v>
      </c>
      <c r="I139" s="138">
        <f>G139+(G139*H139)</f>
        <v>8454.0378446937011</v>
      </c>
      <c r="J139" s="192" t="b">
        <v>1</v>
      </c>
      <c r="K139" s="140" t="b">
        <v>1</v>
      </c>
    </row>
    <row r="140" spans="1:11" ht="13">
      <c r="A140" s="141"/>
      <c r="B140" s="4"/>
      <c r="C140" s="4" t="s">
        <v>2020</v>
      </c>
      <c r="D140" s="146">
        <v>20</v>
      </c>
      <c r="E140" s="4" t="str">
        <f>VLOOKUP(C140,Master!$B$6:$N$1000,9,FALSE)</f>
        <v>gr</v>
      </c>
      <c r="F140" s="144">
        <f>VLOOKUP(C140,Master!$B$6:$N$1000,10,FALSE)</f>
        <v>199</v>
      </c>
      <c r="G140" s="144">
        <f t="shared" ref="G140:G143" si="26">D140*F140</f>
        <v>3980</v>
      </c>
      <c r="H140" s="145"/>
      <c r="I140" s="145"/>
    </row>
    <row r="141" spans="1:11" ht="13">
      <c r="A141" s="141"/>
      <c r="B141" s="4"/>
      <c r="C141" s="4" t="s">
        <v>390</v>
      </c>
      <c r="D141" s="146">
        <v>20</v>
      </c>
      <c r="E141" s="4" t="str">
        <f>VLOOKUP(C141,Master!$B$6:$N$1000,9,FALSE)</f>
        <v>ml</v>
      </c>
      <c r="F141" s="144">
        <f>VLOOKUP(C141,Master!$B$6:$N$1000,10,FALSE)</f>
        <v>41.000862812769633</v>
      </c>
      <c r="G141" s="144">
        <f t="shared" si="26"/>
        <v>820.01725625539268</v>
      </c>
      <c r="H141" s="145"/>
      <c r="I141" s="145"/>
      <c r="J141" s="132"/>
    </row>
    <row r="142" spans="1:11" ht="13">
      <c r="A142" s="141"/>
      <c r="B142" s="4"/>
      <c r="C142" s="145" t="s">
        <v>1981</v>
      </c>
      <c r="D142" s="146">
        <v>120</v>
      </c>
      <c r="E142" s="4" t="str">
        <f>VLOOKUP(C142,Master!$B$6:$N$1000,9,FALSE)</f>
        <v>ml</v>
      </c>
      <c r="F142" s="144">
        <f>VLOOKUP(C142,Master!$B$6:$N$1000,10,FALSE)</f>
        <v>17.094333333333335</v>
      </c>
      <c r="G142" s="144">
        <f t="shared" si="26"/>
        <v>2051.3200000000002</v>
      </c>
      <c r="H142" s="145"/>
      <c r="I142" s="145"/>
    </row>
    <row r="143" spans="1:11" ht="13">
      <c r="A143" s="148"/>
      <c r="B143" s="90"/>
      <c r="C143" s="90" t="s">
        <v>839</v>
      </c>
      <c r="D143" s="149">
        <v>1</v>
      </c>
      <c r="E143" s="4" t="str">
        <f>VLOOKUP(C143,Master!$B$6:$N$1000,9,FALSE)</f>
        <v>pcs</v>
      </c>
      <c r="F143" s="144">
        <f>VLOOKUP(C143,Master!$B$6:$N$1000,10,FALSE)</f>
        <v>500</v>
      </c>
      <c r="G143" s="150">
        <f t="shared" si="26"/>
        <v>500</v>
      </c>
      <c r="H143" s="151"/>
      <c r="I143" s="151"/>
    </row>
    <row r="144" spans="1:11" ht="13">
      <c r="A144" s="188" t="str">
        <f>VLOOKUP(B144,Master!$V$7:$W$150,2,FALSE)</f>
        <v>M0029</v>
      </c>
      <c r="B144" s="135" t="s">
        <v>2067</v>
      </c>
      <c r="C144" s="136"/>
      <c r="D144" s="153"/>
      <c r="E144" s="153"/>
      <c r="F144" s="153"/>
      <c r="G144" s="138">
        <f>SUM(G145:G148)</f>
        <v>6323.1578947368416</v>
      </c>
      <c r="H144" s="139">
        <v>0.15</v>
      </c>
      <c r="I144" s="138">
        <f>G144+(G144*H144)</f>
        <v>7271.6315789473683</v>
      </c>
      <c r="J144" s="192" t="b">
        <v>1</v>
      </c>
      <c r="K144" s="140" t="b">
        <v>1</v>
      </c>
    </row>
    <row r="145" spans="1:11" ht="13">
      <c r="A145" s="141"/>
      <c r="B145" s="4"/>
      <c r="C145" s="4" t="s">
        <v>2003</v>
      </c>
      <c r="D145" s="146">
        <v>20</v>
      </c>
      <c r="E145" s="4" t="str">
        <f>VLOOKUP(C145,Master!$B$6:$N$243,9,FALSE)</f>
        <v>gr</v>
      </c>
      <c r="F145" s="144">
        <f>VLOOKUP(C145,Master!$B$6:$N$243,10,FALSE)</f>
        <v>150</v>
      </c>
      <c r="G145" s="144">
        <f t="shared" ref="G145:G148" si="27">D145*F145</f>
        <v>3000</v>
      </c>
      <c r="H145" s="145"/>
      <c r="I145" s="145"/>
      <c r="J145" s="132"/>
    </row>
    <row r="146" spans="1:11" ht="13">
      <c r="A146" s="141"/>
      <c r="B146" s="4"/>
      <c r="C146" s="4" t="s">
        <v>2052</v>
      </c>
      <c r="D146" s="146">
        <v>0</v>
      </c>
      <c r="E146" s="4" t="str">
        <f>VLOOKUP(C146,Master!$B$6:$N$243,9,FALSE)</f>
        <v>ml</v>
      </c>
      <c r="F146" s="144">
        <f>VLOOKUP(C146,Master!$B$6:$N$243,10,FALSE)</f>
        <v>0.66315789473684206</v>
      </c>
      <c r="G146" s="144">
        <f t="shared" si="27"/>
        <v>0</v>
      </c>
      <c r="H146" s="145"/>
      <c r="I146" s="145"/>
      <c r="J146" s="132"/>
    </row>
    <row r="147" spans="1:11" ht="13">
      <c r="A147" s="141"/>
      <c r="B147" s="4"/>
      <c r="C147" s="145" t="s">
        <v>1987</v>
      </c>
      <c r="D147" s="146">
        <v>150</v>
      </c>
      <c r="E147" s="4" t="str">
        <f>VLOOKUP(C147,Master!$B$6:$N$243,9,FALSE)</f>
        <v>ml</v>
      </c>
      <c r="F147" s="144">
        <f>VLOOKUP(C147,Master!$B$6:$N$243,10,FALSE)</f>
        <v>18.421052631578949</v>
      </c>
      <c r="G147" s="144">
        <f t="shared" si="27"/>
        <v>2763.1578947368421</v>
      </c>
      <c r="H147" s="145"/>
      <c r="I147" s="145"/>
    </row>
    <row r="148" spans="1:11" ht="13">
      <c r="A148" s="148"/>
      <c r="B148" s="90"/>
      <c r="C148" s="90" t="s">
        <v>843</v>
      </c>
      <c r="D148" s="149">
        <v>1</v>
      </c>
      <c r="E148" s="4" t="str">
        <f>VLOOKUP(C148,Master!$B$6:$N$243,9,FALSE)</f>
        <v>pcs</v>
      </c>
      <c r="F148" s="144">
        <f>VLOOKUP(C148,Master!$B$6:$N$243,10,FALSE)</f>
        <v>560</v>
      </c>
      <c r="G148" s="150">
        <f t="shared" si="27"/>
        <v>560</v>
      </c>
      <c r="H148" s="151"/>
      <c r="I148" s="151"/>
    </row>
    <row r="149" spans="1:11" ht="13">
      <c r="A149" s="188" t="str">
        <f>VLOOKUP(B149,Master!$V$7:$W$150,2,FALSE)</f>
        <v>M0030</v>
      </c>
      <c r="B149" s="135" t="s">
        <v>2068</v>
      </c>
      <c r="C149" s="136"/>
      <c r="D149" s="153"/>
      <c r="E149" s="153"/>
      <c r="F149" s="153"/>
      <c r="G149" s="138">
        <f>SUM(G150:G153)</f>
        <v>6371.3372562553923</v>
      </c>
      <c r="H149" s="139">
        <v>0.15</v>
      </c>
      <c r="I149" s="138">
        <f>G149+(G149*H149)</f>
        <v>7327.0378446937011</v>
      </c>
      <c r="J149" s="192" t="b">
        <v>1</v>
      </c>
      <c r="K149" s="140" t="b">
        <v>1</v>
      </c>
    </row>
    <row r="150" spans="1:11" ht="13">
      <c r="A150" s="141"/>
      <c r="B150" s="4"/>
      <c r="C150" s="4" t="s">
        <v>2003</v>
      </c>
      <c r="D150" s="146">
        <v>20</v>
      </c>
      <c r="E150" s="4" t="str">
        <f>VLOOKUP(C150,Master!$B$6:$N$243,9,FALSE)</f>
        <v>gr</v>
      </c>
      <c r="F150" s="144">
        <f>VLOOKUP(C150,Master!$B$6:$N$243,10,FALSE)</f>
        <v>150</v>
      </c>
      <c r="G150" s="144">
        <f t="shared" ref="G150:G153" si="28">D150*F150</f>
        <v>3000</v>
      </c>
      <c r="H150" s="145"/>
      <c r="I150" s="145"/>
      <c r="J150" s="132"/>
    </row>
    <row r="151" spans="1:11" ht="13">
      <c r="A151" s="141"/>
      <c r="B151" s="4"/>
      <c r="C151" s="4" t="s">
        <v>390</v>
      </c>
      <c r="D151" s="146">
        <v>20</v>
      </c>
      <c r="E151" s="4" t="str">
        <f>VLOOKUP(C151,Master!$B$6:$N$243,9,FALSE)</f>
        <v>ml</v>
      </c>
      <c r="F151" s="144">
        <f>VLOOKUP(C151,Master!$B$6:$N$243,10,FALSE)</f>
        <v>41.000862812769633</v>
      </c>
      <c r="G151" s="144">
        <f t="shared" si="28"/>
        <v>820.01725625539268</v>
      </c>
      <c r="H151" s="145"/>
      <c r="I151" s="145"/>
      <c r="J151" s="132"/>
    </row>
    <row r="152" spans="1:11" ht="13">
      <c r="A152" s="141"/>
      <c r="B152" s="4"/>
      <c r="C152" s="145" t="s">
        <v>1981</v>
      </c>
      <c r="D152" s="146">
        <v>120</v>
      </c>
      <c r="E152" s="4" t="str">
        <f>VLOOKUP(C152,Master!$B$6:$N$243,9,FALSE)</f>
        <v>ml</v>
      </c>
      <c r="F152" s="144">
        <f>VLOOKUP(C152,Master!$B$6:$N$243,10,FALSE)</f>
        <v>17.094333333333335</v>
      </c>
      <c r="G152" s="144">
        <f t="shared" si="28"/>
        <v>2051.3200000000002</v>
      </c>
      <c r="H152" s="145"/>
      <c r="I152" s="145"/>
    </row>
    <row r="153" spans="1:11" ht="13">
      <c r="A153" s="148"/>
      <c r="B153" s="90"/>
      <c r="C153" s="90" t="s">
        <v>839</v>
      </c>
      <c r="D153" s="149">
        <v>1</v>
      </c>
      <c r="E153" s="4" t="str">
        <f>VLOOKUP(C153,Master!$B$6:$N$243,9,FALSE)</f>
        <v>pcs</v>
      </c>
      <c r="F153" s="144">
        <f>VLOOKUP(C153,Master!$B$6:$N$243,10,FALSE)</f>
        <v>500</v>
      </c>
      <c r="G153" s="150">
        <f t="shared" si="28"/>
        <v>500</v>
      </c>
      <c r="H153" s="151"/>
      <c r="I153" s="151"/>
    </row>
    <row r="154" spans="1:11" ht="13">
      <c r="A154" s="188" t="str">
        <f>VLOOKUP(B154,Master!$V$7:$W$150,2,FALSE)</f>
        <v>M0031</v>
      </c>
      <c r="B154" s="135" t="s">
        <v>301</v>
      </c>
      <c r="C154" s="136"/>
      <c r="D154" s="153"/>
      <c r="E154" s="153"/>
      <c r="F154" s="153"/>
      <c r="G154" s="138">
        <f>SUM(G155:G160)</f>
        <v>7018.7707780320379</v>
      </c>
      <c r="H154" s="139">
        <v>0.15</v>
      </c>
      <c r="I154" s="138">
        <f>G154+(G154*H154)</f>
        <v>8071.5863947368434</v>
      </c>
      <c r="J154" s="192" t="b">
        <v>1</v>
      </c>
      <c r="K154" s="140" t="b">
        <v>1</v>
      </c>
    </row>
    <row r="155" spans="1:11" ht="13">
      <c r="A155" s="141"/>
      <c r="B155" s="4"/>
      <c r="C155" s="4" t="s">
        <v>386</v>
      </c>
      <c r="D155" s="146">
        <v>30</v>
      </c>
      <c r="E155" s="4" t="str">
        <f>VLOOKUP(C155,Master!$B$6:$N$1000,9,FALSE)</f>
        <v>ml</v>
      </c>
      <c r="F155" s="144">
        <f>VLOOKUP(C155,Master!$B$6:$N$1000,10,FALSE)</f>
        <v>130.68541189931352</v>
      </c>
      <c r="G155" s="144">
        <f t="shared" ref="G155:G160" si="29">D155*F155</f>
        <v>3920.5623569794056</v>
      </c>
      <c r="H155" s="145"/>
      <c r="I155" s="145"/>
    </row>
    <row r="156" spans="1:11" ht="13">
      <c r="A156" s="141"/>
      <c r="B156" s="4"/>
      <c r="C156" s="4" t="s">
        <v>2056</v>
      </c>
      <c r="D156" s="146">
        <v>120</v>
      </c>
      <c r="E156" s="4" t="str">
        <f>VLOOKUP(C156,Master!$B$6:$N$1000,9,FALSE)</f>
        <v>ml</v>
      </c>
      <c r="F156" s="144">
        <f>VLOOKUP(C156,Master!$B$6:$N$1000,10,FALSE)</f>
        <v>10.833333333333334</v>
      </c>
      <c r="G156" s="144">
        <f t="shared" si="29"/>
        <v>1300</v>
      </c>
      <c r="H156" s="145"/>
      <c r="I156" s="145"/>
      <c r="J156" s="132"/>
    </row>
    <row r="157" spans="1:11" ht="13">
      <c r="A157" s="141"/>
      <c r="B157" s="4"/>
      <c r="C157" s="145" t="s">
        <v>1170</v>
      </c>
      <c r="D157" s="146">
        <v>1</v>
      </c>
      <c r="E157" s="4" t="str">
        <f>VLOOKUP(C157,Master!$B$6:$N$1000,9,FALSE)</f>
        <v>pcs</v>
      </c>
      <c r="F157" s="144">
        <f>VLOOKUP(C157,Master!$B$6:$N$1000,10,FALSE)</f>
        <v>578.9473684210526</v>
      </c>
      <c r="G157" s="144">
        <f t="shared" si="29"/>
        <v>578.9473684210526</v>
      </c>
      <c r="H157" s="145"/>
      <c r="I157" s="145"/>
      <c r="J157" s="132"/>
    </row>
    <row r="158" spans="1:11" ht="13">
      <c r="A158" s="141"/>
      <c r="B158" s="4"/>
      <c r="C158" s="4" t="s">
        <v>378</v>
      </c>
      <c r="D158" s="146">
        <v>45</v>
      </c>
      <c r="E158" s="4" t="str">
        <f>VLOOKUP(C158,Master!$B$6:$N$1000,9,FALSE)</f>
        <v>ml</v>
      </c>
      <c r="F158" s="144">
        <f>VLOOKUP(C158,Master!$B$6:$N$1000,10,FALSE)</f>
        <v>15.983578947368422</v>
      </c>
      <c r="G158" s="144">
        <f t="shared" si="29"/>
        <v>719.26105263157899</v>
      </c>
      <c r="H158" s="145"/>
      <c r="I158" s="145"/>
    </row>
    <row r="159" spans="1:11" ht="13">
      <c r="A159" s="141"/>
      <c r="B159" s="4"/>
      <c r="C159" s="4" t="s">
        <v>1196</v>
      </c>
      <c r="D159" s="146">
        <v>0</v>
      </c>
      <c r="E159" s="4" t="str">
        <f>VLOOKUP(C159,Master!$B$6:$N$1000,9,FALSE)</f>
        <v>gr</v>
      </c>
      <c r="F159" s="144">
        <f>VLOOKUP(C159,Master!$B$6:$N$1000,10,FALSE)</f>
        <v>100</v>
      </c>
      <c r="G159" s="144">
        <f t="shared" si="29"/>
        <v>0</v>
      </c>
      <c r="H159" s="145"/>
      <c r="I159" s="145"/>
    </row>
    <row r="160" spans="1:11" ht="13">
      <c r="A160" s="148"/>
      <c r="B160" s="90"/>
      <c r="C160" s="90" t="s">
        <v>839</v>
      </c>
      <c r="D160" s="149">
        <v>1</v>
      </c>
      <c r="E160" s="4" t="str">
        <f>VLOOKUP(C160,Master!$B$6:$N$1000,9,FALSE)</f>
        <v>pcs</v>
      </c>
      <c r="F160" s="144">
        <f>VLOOKUP(C160,Master!$B$6:$N$1000,10,FALSE)</f>
        <v>500</v>
      </c>
      <c r="G160" s="150">
        <f t="shared" si="29"/>
        <v>500</v>
      </c>
      <c r="H160" s="151"/>
      <c r="I160" s="151"/>
      <c r="J160" s="132"/>
      <c r="K160" s="132"/>
    </row>
    <row r="161" spans="1:11" ht="13">
      <c r="A161" s="188" t="str">
        <f>VLOOKUP(B161,Master!$V$7:$W$150,2,FALSE)</f>
        <v>M0032</v>
      </c>
      <c r="B161" s="135" t="s">
        <v>308</v>
      </c>
      <c r="C161" s="136"/>
      <c r="D161" s="153"/>
      <c r="E161" s="153"/>
      <c r="F161" s="153"/>
      <c r="G161" s="138">
        <f>SUM(G162:G167)</f>
        <v>6350.9994896331746</v>
      </c>
      <c r="H161" s="139">
        <v>0.15</v>
      </c>
      <c r="I161" s="138">
        <f>G161+(G161*H161)</f>
        <v>7303.6494130781502</v>
      </c>
      <c r="J161" s="192" t="b">
        <v>1</v>
      </c>
      <c r="K161" s="140" t="b">
        <v>1</v>
      </c>
    </row>
    <row r="162" spans="1:11" ht="13">
      <c r="A162" s="141"/>
      <c r="B162" s="4"/>
      <c r="C162" s="4" t="s">
        <v>2048</v>
      </c>
      <c r="D162" s="146">
        <v>20</v>
      </c>
      <c r="E162" s="4" t="str">
        <f>VLOOKUP(C162,Master!$B$6:$N$1000,9,FALSE)</f>
        <v>ml</v>
      </c>
      <c r="F162" s="144">
        <f>VLOOKUP(C162,Master!$B$6:$N$1000,10,FALSE)</f>
        <v>106.06060606060606</v>
      </c>
      <c r="G162" s="144">
        <f t="shared" ref="G162:G167" si="30">D162*F162</f>
        <v>2121.212121212121</v>
      </c>
      <c r="H162" s="145"/>
      <c r="I162" s="145"/>
      <c r="J162" s="132"/>
    </row>
    <row r="163" spans="1:11" ht="13">
      <c r="A163" s="141"/>
      <c r="B163" s="4"/>
      <c r="C163" s="4" t="s">
        <v>2056</v>
      </c>
      <c r="D163" s="146">
        <v>120</v>
      </c>
      <c r="E163" s="4" t="str">
        <f>VLOOKUP(C163,Master!$B$6:$N$1000,9,FALSE)</f>
        <v>ml</v>
      </c>
      <c r="F163" s="144">
        <f>VLOOKUP(C163,Master!$B$6:$N$1000,10,FALSE)</f>
        <v>10.833333333333334</v>
      </c>
      <c r="G163" s="144">
        <f t="shared" si="30"/>
        <v>1300</v>
      </c>
      <c r="H163" s="145"/>
      <c r="I163" s="145"/>
    </row>
    <row r="164" spans="1:11" ht="13">
      <c r="A164" s="141"/>
      <c r="B164" s="4"/>
      <c r="C164" s="4" t="s">
        <v>1174</v>
      </c>
      <c r="D164" s="146">
        <v>1</v>
      </c>
      <c r="E164" s="4" t="str">
        <f>VLOOKUP(C164,Master!$B$6:$N$1000,9,FALSE)</f>
        <v>pcs</v>
      </c>
      <c r="F164" s="144">
        <f>VLOOKUP(C164,Master!$B$6:$N$1000,10,FALSE)</f>
        <v>1710.5263157894738</v>
      </c>
      <c r="G164" s="144">
        <f t="shared" si="30"/>
        <v>1710.5263157894738</v>
      </c>
      <c r="H164" s="145"/>
      <c r="I164" s="145"/>
      <c r="J164" s="132"/>
    </row>
    <row r="165" spans="1:11" ht="13">
      <c r="A165" s="141"/>
      <c r="B165" s="4"/>
      <c r="C165" s="4" t="s">
        <v>378</v>
      </c>
      <c r="D165" s="146">
        <v>45</v>
      </c>
      <c r="E165" s="4" t="str">
        <f>VLOOKUP(C165,Master!$B$6:$N$1000,9,FALSE)</f>
        <v>ml</v>
      </c>
      <c r="F165" s="144">
        <f>VLOOKUP(C165,Master!$B$6:$N$1000,10,FALSE)</f>
        <v>15.983578947368422</v>
      </c>
      <c r="G165" s="144">
        <f t="shared" si="30"/>
        <v>719.26105263157899</v>
      </c>
      <c r="H165" s="145"/>
      <c r="I165" s="145"/>
      <c r="J165" s="132"/>
    </row>
    <row r="166" spans="1:11" ht="13">
      <c r="A166" s="141"/>
      <c r="B166" s="4"/>
      <c r="C166" s="4" t="s">
        <v>1196</v>
      </c>
      <c r="D166" s="146">
        <v>0</v>
      </c>
      <c r="E166" s="4" t="str">
        <f>VLOOKUP(C166,Master!$B$6:$N$1000,9,FALSE)</f>
        <v>gr</v>
      </c>
      <c r="F166" s="144">
        <f>VLOOKUP(C166,Master!$B$6:$N$1000,10,FALSE)</f>
        <v>100</v>
      </c>
      <c r="G166" s="144">
        <f t="shared" si="30"/>
        <v>0</v>
      </c>
      <c r="H166" s="145"/>
      <c r="I166" s="145"/>
      <c r="J166" s="132"/>
      <c r="K166" s="132"/>
    </row>
    <row r="167" spans="1:11" ht="13">
      <c r="A167" s="148"/>
      <c r="B167" s="90"/>
      <c r="C167" s="90" t="s">
        <v>839</v>
      </c>
      <c r="D167" s="149">
        <v>1</v>
      </c>
      <c r="E167" s="4" t="str">
        <f>VLOOKUP(C167,Master!$B$6:$N$1000,9,FALSE)</f>
        <v>pcs</v>
      </c>
      <c r="F167" s="144">
        <f>VLOOKUP(C167,Master!$B$6:$N$1000,10,FALSE)</f>
        <v>500</v>
      </c>
      <c r="G167" s="150">
        <f t="shared" si="30"/>
        <v>500</v>
      </c>
      <c r="H167" s="151"/>
      <c r="I167" s="151"/>
      <c r="J167" s="132"/>
      <c r="K167" s="132"/>
    </row>
    <row r="168" spans="1:11" ht="13">
      <c r="A168" s="169" t="str">
        <f>VLOOKUP(B168,Master!$V$7:$W$150,2,FALSE)</f>
        <v>M0033</v>
      </c>
      <c r="B168" s="135" t="s">
        <v>314</v>
      </c>
      <c r="C168" s="136"/>
      <c r="D168" s="153"/>
      <c r="E168" s="153"/>
      <c r="F168" s="153"/>
      <c r="G168" s="138">
        <f>SUM(G169)</f>
        <v>1354.1666666666667</v>
      </c>
      <c r="H168" s="139">
        <v>0.15</v>
      </c>
      <c r="I168" s="138">
        <f>G168+(G168*H168)</f>
        <v>1557.2916666666667</v>
      </c>
      <c r="J168" s="192" t="b">
        <v>1</v>
      </c>
      <c r="K168" s="140" t="b">
        <v>1</v>
      </c>
    </row>
    <row r="169" spans="1:11" ht="13">
      <c r="A169" s="148"/>
      <c r="B169" s="90"/>
      <c r="C169" s="90" t="s">
        <v>2053</v>
      </c>
      <c r="D169" s="149">
        <v>1</v>
      </c>
      <c r="E169" s="4" t="str">
        <f>VLOOKUP(C169,Master!$B$6:$N$1000,9,FALSE)</f>
        <v>Botol</v>
      </c>
      <c r="F169" s="144">
        <f>VLOOKUP(C169,Master!$B$6:$N$1000,10,FALSE)</f>
        <v>1354.1666666666667</v>
      </c>
      <c r="G169" s="150">
        <f>D169*F169</f>
        <v>1354.1666666666667</v>
      </c>
      <c r="H169" s="151"/>
      <c r="I169" s="151"/>
      <c r="J169" s="132"/>
      <c r="K169" s="132"/>
    </row>
    <row r="170" spans="1:11" ht="13">
      <c r="A170" s="188" t="str">
        <f>VLOOKUP(B170,Master!$V$7:$W$150,2,FALSE)</f>
        <v>M0034</v>
      </c>
      <c r="B170" s="135" t="s">
        <v>319</v>
      </c>
      <c r="C170" s="136"/>
      <c r="D170" s="153"/>
      <c r="E170" s="153"/>
      <c r="F170" s="153"/>
      <c r="G170" s="138">
        <f>SUM(G171:G174)</f>
        <v>8796.3255502392349</v>
      </c>
      <c r="H170" s="139">
        <v>0.15</v>
      </c>
      <c r="I170" s="138">
        <f>G170+(G170*H170)</f>
        <v>10115.77438277512</v>
      </c>
      <c r="J170" s="192" t="b">
        <v>1</v>
      </c>
      <c r="K170" s="140" t="b">
        <v>1</v>
      </c>
    </row>
    <row r="171" spans="1:11" ht="13">
      <c r="A171" s="141"/>
      <c r="B171" s="4"/>
      <c r="C171" s="4" t="s">
        <v>2030</v>
      </c>
      <c r="D171" s="146">
        <v>18</v>
      </c>
      <c r="E171" s="4" t="str">
        <f>VLOOKUP(C171,Master!$B$6:$N$1000,9,FALSE)</f>
        <v>gr</v>
      </c>
      <c r="F171" s="144">
        <f>VLOOKUP(C171,Master!$B$6:$N$1000,10,FALSE)</f>
        <v>195</v>
      </c>
      <c r="G171" s="144">
        <f t="shared" ref="G171:G174" si="31">D171*F171</f>
        <v>3510</v>
      </c>
      <c r="H171" s="145"/>
      <c r="I171" s="145"/>
    </row>
    <row r="172" spans="1:11" ht="13">
      <c r="A172" s="141"/>
      <c r="B172" s="4"/>
      <c r="C172" s="4" t="s">
        <v>378</v>
      </c>
      <c r="D172" s="146">
        <v>30</v>
      </c>
      <c r="E172" s="4" t="str">
        <f>VLOOKUP(C172,Master!$B$6:$N$1000,9,FALSE)</f>
        <v>ml</v>
      </c>
      <c r="F172" s="144">
        <f>VLOOKUP(C172,Master!$B$6:$N$1000,10,FALSE)</f>
        <v>15.983578947368422</v>
      </c>
      <c r="G172" s="144">
        <f t="shared" si="31"/>
        <v>479.50736842105266</v>
      </c>
      <c r="H172" s="145"/>
      <c r="I172" s="145"/>
    </row>
    <row r="173" spans="1:11" ht="13">
      <c r="A173" s="141"/>
      <c r="B173" s="4"/>
      <c r="C173" s="4" t="s">
        <v>2047</v>
      </c>
      <c r="D173" s="146">
        <v>30</v>
      </c>
      <c r="E173" s="4" t="str">
        <f>VLOOKUP(C173,Master!$B$6:$N$1000,9,FALSE)</f>
        <v>ml</v>
      </c>
      <c r="F173" s="144">
        <f>VLOOKUP(C173,Master!$B$6:$N$1000,10,FALSE)</f>
        <v>106.06060606060606</v>
      </c>
      <c r="G173" s="144">
        <f t="shared" si="31"/>
        <v>3181.818181818182</v>
      </c>
      <c r="H173" s="145"/>
      <c r="I173" s="145"/>
      <c r="J173" s="132"/>
      <c r="K173" s="132"/>
    </row>
    <row r="174" spans="1:11" ht="13">
      <c r="A174" s="148"/>
      <c r="B174" s="90"/>
      <c r="C174" s="90" t="s">
        <v>2056</v>
      </c>
      <c r="D174" s="149">
        <v>150</v>
      </c>
      <c r="E174" s="4" t="str">
        <f>VLOOKUP(C174,Master!$B$6:$N$1000,9,FALSE)</f>
        <v>ml</v>
      </c>
      <c r="F174" s="144">
        <f>VLOOKUP(C174,Master!$B$6:$N$1000,10,FALSE)</f>
        <v>10.833333333333334</v>
      </c>
      <c r="G174" s="150">
        <f t="shared" si="31"/>
        <v>1625</v>
      </c>
      <c r="H174" s="151"/>
      <c r="I174" s="151"/>
      <c r="J174" s="132"/>
      <c r="K174" s="132"/>
    </row>
    <row r="175" spans="1:11" ht="13">
      <c r="A175" s="188" t="str">
        <f>VLOOKUP(B175,Master!$V$7:$W$150,2,FALSE)</f>
        <v>M0035</v>
      </c>
      <c r="B175" s="135" t="s">
        <v>324</v>
      </c>
      <c r="C175" s="136"/>
      <c r="D175" s="153"/>
      <c r="E175" s="153"/>
      <c r="F175" s="153"/>
      <c r="G175" s="138">
        <f>SUM(G176:G181)</f>
        <v>10906.153333333334</v>
      </c>
      <c r="H175" s="139">
        <v>0.15</v>
      </c>
      <c r="I175" s="138">
        <f>G175+(G175*H175)</f>
        <v>12542.076333333334</v>
      </c>
      <c r="J175" s="192" t="b">
        <v>1</v>
      </c>
      <c r="K175" s="140" t="b">
        <v>1</v>
      </c>
    </row>
    <row r="176" spans="1:11" ht="13">
      <c r="A176" s="141"/>
      <c r="B176" s="4"/>
      <c r="C176" s="4" t="s">
        <v>1099</v>
      </c>
      <c r="D176" s="146">
        <v>30</v>
      </c>
      <c r="E176" s="4" t="str">
        <f>VLOOKUP(C176,Master!$B$6:$N$1000,9,FALSE)</f>
        <v>gr</v>
      </c>
      <c r="F176" s="144">
        <f>VLOOKUP(C176,Master!$B$6:$N$1000,10,FALSE)</f>
        <v>130</v>
      </c>
      <c r="G176" s="144">
        <f t="shared" ref="G176:G181" si="32">D176*F176</f>
        <v>3900</v>
      </c>
      <c r="H176" s="145"/>
      <c r="I176" s="145"/>
      <c r="J176" s="132"/>
    </row>
    <row r="177" spans="1:11" ht="13">
      <c r="A177" s="141"/>
      <c r="B177" s="4"/>
      <c r="C177" s="4" t="s">
        <v>2004</v>
      </c>
      <c r="D177" s="146">
        <v>20</v>
      </c>
      <c r="E177" s="4" t="str">
        <f>VLOOKUP(C177,Master!$B$6:$N$1000,9,FALSE)</f>
        <v>ml</v>
      </c>
      <c r="F177" s="144">
        <f>VLOOKUP(C177,Master!$B$6:$N$1000,10,FALSE)</f>
        <v>126.66666666666667</v>
      </c>
      <c r="G177" s="144">
        <f t="shared" si="32"/>
        <v>2533.3333333333335</v>
      </c>
      <c r="H177" s="145"/>
      <c r="I177" s="145"/>
      <c r="J177" s="132"/>
    </row>
    <row r="178" spans="1:11" ht="13">
      <c r="A178" s="141"/>
      <c r="B178" s="4"/>
      <c r="C178" s="4" t="s">
        <v>1981</v>
      </c>
      <c r="D178" s="146">
        <v>120</v>
      </c>
      <c r="E178" s="4" t="str">
        <f>VLOOKUP(C178,Master!$B$6:$N$1000,9,FALSE)</f>
        <v>ml</v>
      </c>
      <c r="F178" s="144">
        <f>VLOOKUP(C178,Master!$B$6:$N$1000,10,FALSE)</f>
        <v>17.094333333333335</v>
      </c>
      <c r="G178" s="144">
        <f t="shared" si="32"/>
        <v>2051.3200000000002</v>
      </c>
      <c r="H178" s="145"/>
      <c r="I178" s="145"/>
    </row>
    <row r="179" spans="1:11" ht="13">
      <c r="A179" s="141"/>
      <c r="B179" s="4"/>
      <c r="C179" s="4" t="s">
        <v>1986</v>
      </c>
      <c r="D179" s="146">
        <v>50</v>
      </c>
      <c r="E179" s="4" t="str">
        <f>VLOOKUP(C179,Master!$B$6:$N$1000,9,FALSE)</f>
        <v>gr</v>
      </c>
      <c r="F179" s="144">
        <f>VLOOKUP(C179,Master!$B$6:$N$1000,10,FALSE)</f>
        <v>21.43</v>
      </c>
      <c r="G179" s="144">
        <f t="shared" si="32"/>
        <v>1071.5</v>
      </c>
      <c r="H179" s="145"/>
      <c r="I179" s="145"/>
    </row>
    <row r="180" spans="1:11" ht="13">
      <c r="A180" s="141"/>
      <c r="B180" s="4"/>
      <c r="C180" s="4" t="s">
        <v>586</v>
      </c>
      <c r="D180" s="146">
        <v>2</v>
      </c>
      <c r="E180" s="4" t="str">
        <f>VLOOKUP(C180,Master!$B$6:$N$1000,9,FALSE)</f>
        <v>pcs</v>
      </c>
      <c r="F180" s="144">
        <f>VLOOKUP(C180,Master!$B$6:$N$1000,10,FALSE)</f>
        <v>425</v>
      </c>
      <c r="G180" s="144">
        <f t="shared" si="32"/>
        <v>850</v>
      </c>
      <c r="H180" s="145"/>
      <c r="I180" s="145"/>
      <c r="J180" s="132"/>
      <c r="K180" s="132"/>
    </row>
    <row r="181" spans="1:11" ht="13">
      <c r="A181" s="148"/>
      <c r="B181" s="90"/>
      <c r="C181" s="90" t="s">
        <v>839</v>
      </c>
      <c r="D181" s="149">
        <v>1</v>
      </c>
      <c r="E181" s="4" t="str">
        <f>VLOOKUP(C181,Master!$B$6:$N$1000,9,FALSE)</f>
        <v>pcs</v>
      </c>
      <c r="F181" s="144">
        <f>VLOOKUP(C181,Master!$B$6:$N$1000,10,FALSE)</f>
        <v>500</v>
      </c>
      <c r="G181" s="150">
        <f t="shared" si="32"/>
        <v>500</v>
      </c>
      <c r="H181" s="151"/>
      <c r="I181" s="151"/>
      <c r="J181" s="132"/>
      <c r="K181" s="132"/>
    </row>
    <row r="182" spans="1:11" ht="13">
      <c r="A182" s="188" t="str">
        <f>VLOOKUP(B182,Master!$V$7:$W$150,2,FALSE)</f>
        <v>M0036</v>
      </c>
      <c r="B182" s="135" t="s">
        <v>329</v>
      </c>
      <c r="C182" s="136"/>
      <c r="D182" s="153"/>
      <c r="E182" s="153"/>
      <c r="F182" s="153"/>
      <c r="G182" s="138">
        <f>SUM(G183:G188)</f>
        <v>6027.0736842105271</v>
      </c>
      <c r="H182" s="139">
        <v>0.15</v>
      </c>
      <c r="I182" s="155">
        <f>G182+(G182*H182)</f>
        <v>6931.1347368421066</v>
      </c>
      <c r="J182" s="192" t="b">
        <v>0</v>
      </c>
      <c r="K182" s="140" t="b">
        <v>1</v>
      </c>
    </row>
    <row r="183" spans="1:11" ht="13">
      <c r="A183" s="141"/>
      <c r="B183" s="4"/>
      <c r="C183" s="4" t="s">
        <v>2001</v>
      </c>
      <c r="D183" s="146">
        <v>20</v>
      </c>
      <c r="E183" s="4" t="str">
        <f>VLOOKUP(C183,Master!$B$6:$N$1000,9,FALSE)</f>
        <v>gr</v>
      </c>
      <c r="F183" s="144">
        <f>VLOOKUP(C183,Master!$B$6:$N$1000,10,FALSE)</f>
        <v>108.22499999999999</v>
      </c>
      <c r="G183" s="144">
        <f t="shared" ref="G183:G188" si="33">D183*F183</f>
        <v>2164.5</v>
      </c>
      <c r="H183" s="145"/>
      <c r="I183" s="145"/>
      <c r="J183" s="132"/>
    </row>
    <row r="184" spans="1:11" ht="13">
      <c r="A184" s="141"/>
      <c r="B184" s="4"/>
      <c r="C184" s="4" t="s">
        <v>378</v>
      </c>
      <c r="D184" s="146">
        <v>15</v>
      </c>
      <c r="E184" s="4" t="str">
        <f>VLOOKUP(C184,Master!$B$6:$N$1000,9,FALSE)</f>
        <v>ml</v>
      </c>
      <c r="F184" s="144">
        <f>VLOOKUP(C184,Master!$B$6:$N$1000,10,FALSE)</f>
        <v>15.983578947368422</v>
      </c>
      <c r="G184" s="144">
        <f t="shared" si="33"/>
        <v>239.75368421052633</v>
      </c>
      <c r="H184" s="145"/>
      <c r="I184" s="145"/>
    </row>
    <row r="185" spans="1:11" ht="13">
      <c r="A185" s="141"/>
      <c r="B185" s="4"/>
      <c r="C185" s="4" t="s">
        <v>1981</v>
      </c>
      <c r="D185" s="146">
        <v>120</v>
      </c>
      <c r="E185" s="4" t="str">
        <f>VLOOKUP(C185,Master!$B$6:$N$1000,9,FALSE)</f>
        <v>ml</v>
      </c>
      <c r="F185" s="144">
        <f>VLOOKUP(C185,Master!$B$6:$N$1000,10,FALSE)</f>
        <v>17.094333333333335</v>
      </c>
      <c r="G185" s="144">
        <f t="shared" si="33"/>
        <v>2051.3200000000002</v>
      </c>
      <c r="H185" s="145"/>
      <c r="I185" s="145"/>
    </row>
    <row r="186" spans="1:11" ht="13">
      <c r="A186" s="141"/>
      <c r="B186" s="4"/>
      <c r="C186" s="4" t="s">
        <v>1986</v>
      </c>
      <c r="D186" s="146">
        <v>50</v>
      </c>
      <c r="E186" s="4" t="str">
        <f>VLOOKUP(C186,Master!$B$6:$N$1000,9,FALSE)</f>
        <v>gr</v>
      </c>
      <c r="F186" s="144">
        <f>VLOOKUP(C186,Master!$B$6:$N$1000,10,FALSE)</f>
        <v>21.43</v>
      </c>
      <c r="G186" s="144">
        <f t="shared" si="33"/>
        <v>1071.5</v>
      </c>
      <c r="H186" s="145"/>
      <c r="I186" s="145"/>
      <c r="J186" s="132"/>
      <c r="K186" s="132"/>
    </row>
    <row r="187" spans="1:11" ht="13">
      <c r="A187" s="141"/>
      <c r="B187" s="4"/>
      <c r="C187" s="4" t="s">
        <v>1200</v>
      </c>
      <c r="D187" s="146">
        <v>0</v>
      </c>
      <c r="E187" s="4" t="str">
        <f>VLOOKUP(C187,Master!$B$6:$N$1000,9,FALSE)</f>
        <v>gr</v>
      </c>
      <c r="F187" s="144">
        <f>VLOOKUP(C187,Master!$B$6:$N$1000,10,FALSE)</f>
        <v>15</v>
      </c>
      <c r="G187" s="144">
        <f t="shared" si="33"/>
        <v>0</v>
      </c>
      <c r="H187" s="145"/>
      <c r="I187" s="145"/>
      <c r="J187" s="132"/>
      <c r="K187" s="132"/>
    </row>
    <row r="188" spans="1:11" ht="13">
      <c r="A188" s="148"/>
      <c r="B188" s="90"/>
      <c r="C188" s="90" t="s">
        <v>839</v>
      </c>
      <c r="D188" s="149">
        <v>1</v>
      </c>
      <c r="E188" s="4" t="str">
        <f>VLOOKUP(C188,Master!$B$6:$N$1000,9,FALSE)</f>
        <v>pcs</v>
      </c>
      <c r="F188" s="144">
        <f>VLOOKUP(C188,Master!$B$6:$N$1000,10,FALSE)</f>
        <v>500</v>
      </c>
      <c r="G188" s="150">
        <f t="shared" si="33"/>
        <v>500</v>
      </c>
      <c r="H188" s="151"/>
      <c r="I188" s="151"/>
      <c r="J188" s="132"/>
      <c r="K188" s="132"/>
    </row>
    <row r="189" spans="1:11" ht="13">
      <c r="A189" s="188" t="str">
        <f>VLOOKUP(B189,Master!$V$7:$W$150,2,FALSE)</f>
        <v>M0038</v>
      </c>
      <c r="B189" s="135" t="s">
        <v>339</v>
      </c>
      <c r="C189" s="136"/>
      <c r="D189" s="153"/>
      <c r="E189" s="153"/>
      <c r="F189" s="153"/>
      <c r="G189" s="138">
        <f>SUM(G190:G192)</f>
        <v>7724.2105263157891</v>
      </c>
      <c r="H189" s="139">
        <v>0.15</v>
      </c>
      <c r="I189" s="155">
        <f>G189+(G189*H189)</f>
        <v>8882.8421052631566</v>
      </c>
      <c r="J189" s="192" t="b">
        <v>1</v>
      </c>
      <c r="K189" s="140" t="b">
        <v>1</v>
      </c>
    </row>
    <row r="190" spans="1:11" ht="13">
      <c r="A190" s="141"/>
      <c r="B190" s="4"/>
      <c r="C190" s="4" t="s">
        <v>590</v>
      </c>
      <c r="D190" s="146">
        <v>15</v>
      </c>
      <c r="E190" s="4" t="str">
        <f>VLOOKUP(C190,Master!$B$6:$N$1000,9,FALSE)</f>
        <v>gr</v>
      </c>
      <c r="F190" s="144">
        <f>VLOOKUP(C190,Master!$B$6:$N$1000,10,FALSE)</f>
        <v>425</v>
      </c>
      <c r="G190" s="144">
        <f t="shared" ref="G190:G192" si="34">D190*F190</f>
        <v>6375</v>
      </c>
      <c r="H190" s="145"/>
      <c r="I190" s="145"/>
      <c r="J190" s="132"/>
      <c r="K190" s="132"/>
    </row>
    <row r="191" spans="1:11" ht="13">
      <c r="A191" s="141"/>
      <c r="B191" s="4"/>
      <c r="C191" s="4" t="s">
        <v>2052</v>
      </c>
      <c r="D191" s="146">
        <v>225</v>
      </c>
      <c r="E191" s="4" t="str">
        <f>VLOOKUP(C191,Master!$B$6:$N$1000,9,FALSE)</f>
        <v>ml</v>
      </c>
      <c r="F191" s="144">
        <f>VLOOKUP(C191,Master!$B$6:$N$1000,10,FALSE)</f>
        <v>0.66315789473684206</v>
      </c>
      <c r="G191" s="144">
        <f t="shared" si="34"/>
        <v>149.21052631578945</v>
      </c>
      <c r="H191" s="145"/>
      <c r="I191" s="145"/>
      <c r="J191" s="132"/>
      <c r="K191" s="132"/>
    </row>
    <row r="192" spans="1:11" ht="13">
      <c r="A192" s="148"/>
      <c r="B192" s="90"/>
      <c r="C192" s="90" t="s">
        <v>739</v>
      </c>
      <c r="D192" s="149">
        <v>1</v>
      </c>
      <c r="E192" s="4" t="str">
        <f>VLOOKUP(C192,Master!$B$6:$N$1000,9,FALSE)</f>
        <v>pack</v>
      </c>
      <c r="F192" s="144">
        <f>VLOOKUP(C192,Master!$B$6:$N$1000,10,FALSE)</f>
        <v>1200</v>
      </c>
      <c r="G192" s="150">
        <f t="shared" si="34"/>
        <v>1200</v>
      </c>
      <c r="H192" s="151"/>
      <c r="I192" s="151"/>
      <c r="J192" s="132"/>
      <c r="K192" s="132"/>
    </row>
    <row r="193" spans="1:11" ht="13">
      <c r="A193" s="188" t="str">
        <f>VLOOKUP(B193,Master!$V$7:$W$150,2,FALSE)</f>
        <v>M0039</v>
      </c>
      <c r="B193" s="135" t="s">
        <v>344</v>
      </c>
      <c r="C193" s="136"/>
      <c r="D193" s="153"/>
      <c r="E193" s="153"/>
      <c r="F193" s="153"/>
      <c r="G193" s="138">
        <f>SUM(G194:G196)</f>
        <v>7657.894736842105</v>
      </c>
      <c r="H193" s="139">
        <v>0.15</v>
      </c>
      <c r="I193" s="155">
        <f>G193+(G193*H193)</f>
        <v>8806.5789473684199</v>
      </c>
      <c r="J193" s="192" t="b">
        <v>1</v>
      </c>
      <c r="K193" s="140" t="b">
        <v>1</v>
      </c>
    </row>
    <row r="194" spans="1:11" ht="13">
      <c r="A194" s="141"/>
      <c r="B194" s="4"/>
      <c r="C194" s="4" t="s">
        <v>590</v>
      </c>
      <c r="D194" s="146">
        <v>15</v>
      </c>
      <c r="E194" s="4" t="str">
        <f>VLOOKUP(C194,Master!$B$6:$N$1000,9,FALSE)</f>
        <v>gr</v>
      </c>
      <c r="F194" s="144">
        <f>VLOOKUP(C194,Master!$B$6:$N$1000,10,FALSE)</f>
        <v>425</v>
      </c>
      <c r="G194" s="144">
        <f t="shared" ref="G194:G196" si="35">D194*F194</f>
        <v>6375</v>
      </c>
      <c r="H194" s="145"/>
      <c r="I194" s="145"/>
      <c r="J194" s="132"/>
      <c r="K194" s="132"/>
    </row>
    <row r="195" spans="1:11" ht="13">
      <c r="A195" s="141"/>
      <c r="B195" s="4"/>
      <c r="C195" s="4" t="s">
        <v>2052</v>
      </c>
      <c r="D195" s="146">
        <v>125</v>
      </c>
      <c r="E195" s="4" t="str">
        <f>VLOOKUP(C195,Master!$B$6:$N$1000,9,FALSE)</f>
        <v>ml</v>
      </c>
      <c r="F195" s="144">
        <f>VLOOKUP(C195,Master!$B$6:$N$1000,10,FALSE)</f>
        <v>0.66315789473684206</v>
      </c>
      <c r="G195" s="144">
        <f t="shared" si="35"/>
        <v>82.89473684210526</v>
      </c>
      <c r="H195" s="145"/>
      <c r="I195" s="145"/>
      <c r="J195" s="132"/>
      <c r="K195" s="132"/>
    </row>
    <row r="196" spans="1:11" ht="13">
      <c r="A196" s="148"/>
      <c r="B196" s="90"/>
      <c r="C196" s="90" t="s">
        <v>739</v>
      </c>
      <c r="D196" s="149">
        <v>1</v>
      </c>
      <c r="E196" s="4" t="str">
        <f>VLOOKUP(C196,Master!$B$6:$N$1000,9,FALSE)</f>
        <v>pack</v>
      </c>
      <c r="F196" s="144">
        <f>VLOOKUP(C196,Master!$B$6:$N$1000,10,FALSE)</f>
        <v>1200</v>
      </c>
      <c r="G196" s="150">
        <f t="shared" si="35"/>
        <v>1200</v>
      </c>
      <c r="H196" s="151"/>
      <c r="I196" s="151"/>
      <c r="J196" s="132"/>
      <c r="K196" s="132"/>
    </row>
    <row r="197" spans="1:11" ht="13">
      <c r="A197" s="188" t="str">
        <f>VLOOKUP(B197,Master!$V$7:$W$150,2,FALSE)</f>
        <v>M0040</v>
      </c>
      <c r="B197" s="135" t="s">
        <v>349</v>
      </c>
      <c r="C197" s="136"/>
      <c r="D197" s="153"/>
      <c r="E197" s="153"/>
      <c r="F197" s="153"/>
      <c r="G197" s="138">
        <f>SUM(G198:G200)</f>
        <v>7349.4736842105267</v>
      </c>
      <c r="H197" s="139">
        <v>0.15</v>
      </c>
      <c r="I197" s="155">
        <f>G197+(G197*H197)</f>
        <v>8451.894736842105</v>
      </c>
      <c r="J197" s="192" t="b">
        <v>0</v>
      </c>
      <c r="K197" s="140" t="b">
        <v>1</v>
      </c>
    </row>
    <row r="198" spans="1:11" ht="13">
      <c r="A198" s="141"/>
      <c r="B198" s="4"/>
      <c r="C198" s="4" t="s">
        <v>590</v>
      </c>
      <c r="D198" s="146">
        <v>15</v>
      </c>
      <c r="E198" s="4" t="str">
        <f>VLOOKUP(C198,Master!$B$6:$N$1000,9,FALSE)</f>
        <v>gr</v>
      </c>
      <c r="F198" s="144">
        <f>VLOOKUP(C198,Master!$B$6:$N$1000,10,FALSE)</f>
        <v>425</v>
      </c>
      <c r="G198" s="144">
        <f t="shared" ref="G198:G200" si="36">D198*F198</f>
        <v>6375</v>
      </c>
      <c r="H198" s="145"/>
      <c r="I198" s="145"/>
      <c r="J198" s="132"/>
      <c r="K198" s="190" t="s">
        <v>1361</v>
      </c>
    </row>
    <row r="199" spans="1:11" ht="13">
      <c r="A199" s="141"/>
      <c r="B199" s="4"/>
      <c r="C199" s="4" t="s">
        <v>2052</v>
      </c>
      <c r="D199" s="146">
        <v>150</v>
      </c>
      <c r="E199" s="4" t="str">
        <f>VLOOKUP(C199,Master!$B$6:$N$1000,9,FALSE)</f>
        <v>ml</v>
      </c>
      <c r="F199" s="144">
        <f>VLOOKUP(C199,Master!$B$6:$N$1000,10,FALSE)</f>
        <v>0.66315789473684206</v>
      </c>
      <c r="G199" s="144">
        <f t="shared" si="36"/>
        <v>99.473684210526315</v>
      </c>
      <c r="H199" s="145"/>
      <c r="I199" s="145"/>
      <c r="J199" s="132"/>
      <c r="K199" s="132"/>
    </row>
    <row r="200" spans="1:11" ht="13">
      <c r="A200" s="148"/>
      <c r="B200" s="90"/>
      <c r="C200" s="90" t="s">
        <v>877</v>
      </c>
      <c r="D200" s="149">
        <v>1</v>
      </c>
      <c r="E200" s="4" t="str">
        <f>VLOOKUP(C200,Master!$B$6:$N$1000,9,FALSE)</f>
        <v>pcs</v>
      </c>
      <c r="F200" s="144">
        <f>VLOOKUP(C200,Master!$B$6:$N$1000,10,FALSE)</f>
        <v>875</v>
      </c>
      <c r="G200" s="150">
        <f t="shared" si="36"/>
        <v>875</v>
      </c>
      <c r="H200" s="151"/>
      <c r="I200" s="151"/>
      <c r="J200" s="132"/>
      <c r="K200" s="132"/>
    </row>
    <row r="201" spans="1:11" ht="13">
      <c r="A201" s="188" t="str">
        <f>VLOOKUP(B201,Master!$V$7:$W$150,2,FALSE)</f>
        <v>M0041</v>
      </c>
      <c r="B201" s="135" t="s">
        <v>2069</v>
      </c>
      <c r="C201" s="136"/>
      <c r="D201" s="153"/>
      <c r="E201" s="153"/>
      <c r="F201" s="153"/>
      <c r="G201" s="138">
        <f>SUM(G202:G203)</f>
        <v>6474.4736842105267</v>
      </c>
      <c r="H201" s="139">
        <v>0.15</v>
      </c>
      <c r="I201" s="155">
        <f>G201+(G201*H201)</f>
        <v>7445.6447368421059</v>
      </c>
      <c r="J201" s="192" t="b">
        <v>1</v>
      </c>
      <c r="K201" s="140" t="b">
        <v>1</v>
      </c>
    </row>
    <row r="202" spans="1:11" ht="13">
      <c r="A202" s="141"/>
      <c r="B202" s="4"/>
      <c r="C202" s="4" t="s">
        <v>590</v>
      </c>
      <c r="D202" s="146">
        <v>15</v>
      </c>
      <c r="E202" s="4" t="str">
        <f>VLOOKUP(C202,Master!$B$6:$N$1000,9,FALSE)</f>
        <v>gr</v>
      </c>
      <c r="F202" s="144">
        <f>VLOOKUP(C202,Master!$B$6:$N$1000,10,FALSE)</f>
        <v>425</v>
      </c>
      <c r="G202" s="144">
        <f t="shared" ref="G202:G203" si="37">D202*F202</f>
        <v>6375</v>
      </c>
      <c r="H202" s="145"/>
      <c r="I202" s="145"/>
      <c r="J202" s="132"/>
      <c r="K202" s="132"/>
    </row>
    <row r="203" spans="1:11" ht="13">
      <c r="A203" s="148"/>
      <c r="B203" s="90"/>
      <c r="C203" s="90" t="s">
        <v>2052</v>
      </c>
      <c r="D203" s="149">
        <v>150</v>
      </c>
      <c r="E203" s="4" t="str">
        <f>VLOOKUP(C203,Master!$B$6:$N$1000,9,FALSE)</f>
        <v>ml</v>
      </c>
      <c r="F203" s="144">
        <f>VLOOKUP(C203,Master!$B$6:$N$1000,10,FALSE)</f>
        <v>0.66315789473684206</v>
      </c>
      <c r="G203" s="150">
        <f t="shared" si="37"/>
        <v>99.473684210526315</v>
      </c>
      <c r="H203" s="151"/>
      <c r="I203" s="151"/>
      <c r="J203" s="132"/>
      <c r="K203" s="132"/>
    </row>
    <row r="204" spans="1:11" ht="13">
      <c r="A204" s="188" t="str">
        <f>VLOOKUP(B204,Master!$V$7:$W$150,2,FALSE)</f>
        <v>M0042</v>
      </c>
      <c r="B204" s="135" t="s">
        <v>358</v>
      </c>
      <c r="C204" s="136"/>
      <c r="D204" s="153"/>
      <c r="E204" s="153"/>
      <c r="F204" s="153"/>
      <c r="G204" s="138">
        <f>SUM(G205:G207)</f>
        <v>7324.4736842105267</v>
      </c>
      <c r="H204" s="139">
        <v>0.15</v>
      </c>
      <c r="I204" s="155">
        <f>G204+(G204*H204)</f>
        <v>8423.144736842105</v>
      </c>
      <c r="J204" s="192" t="b">
        <v>0</v>
      </c>
      <c r="K204" s="140" t="b">
        <v>1</v>
      </c>
    </row>
    <row r="205" spans="1:11" ht="13">
      <c r="A205" s="141"/>
      <c r="B205" s="4"/>
      <c r="C205" s="4" t="s">
        <v>590</v>
      </c>
      <c r="D205" s="146">
        <v>15</v>
      </c>
      <c r="E205" s="4" t="str">
        <f>VLOOKUP(C205,Master!$B$6:$N$1000,9,FALSE)</f>
        <v>gr</v>
      </c>
      <c r="F205" s="144">
        <f>VLOOKUP(C205,Master!$B$6:$N$1000,10,FALSE)</f>
        <v>425</v>
      </c>
      <c r="G205" s="144">
        <f t="shared" ref="G205:G207" si="38">D205*F205</f>
        <v>6375</v>
      </c>
      <c r="H205" s="145"/>
      <c r="I205" s="145"/>
      <c r="J205" s="132"/>
      <c r="K205" s="190" t="s">
        <v>1361</v>
      </c>
    </row>
    <row r="206" spans="1:11" ht="13">
      <c r="A206" s="141"/>
      <c r="B206" s="4"/>
      <c r="C206" s="4" t="s">
        <v>2052</v>
      </c>
      <c r="D206" s="146">
        <v>150</v>
      </c>
      <c r="E206" s="4" t="str">
        <f>VLOOKUP(C206,Master!$B$6:$N$1000,9,FALSE)</f>
        <v>ml</v>
      </c>
      <c r="F206" s="144">
        <f>VLOOKUP(C206,Master!$B$6:$N$1000,10,FALSE)</f>
        <v>0.66315789473684206</v>
      </c>
      <c r="G206" s="144">
        <f t="shared" si="38"/>
        <v>99.473684210526315</v>
      </c>
      <c r="H206" s="145"/>
      <c r="I206" s="145"/>
      <c r="J206" s="132"/>
      <c r="K206" s="132"/>
    </row>
    <row r="207" spans="1:11" ht="13">
      <c r="A207" s="148"/>
      <c r="B207" s="90"/>
      <c r="C207" s="90" t="s">
        <v>862</v>
      </c>
      <c r="D207" s="149">
        <v>1</v>
      </c>
      <c r="E207" s="4" t="str">
        <f>VLOOKUP(C207,Master!$B$6:$N$1000,9,FALSE)</f>
        <v>Pcs</v>
      </c>
      <c r="F207" s="144">
        <f>VLOOKUP(C207,Master!$B$6:$N$1000,10,FALSE)</f>
        <v>850</v>
      </c>
      <c r="G207" s="150">
        <f t="shared" si="38"/>
        <v>850</v>
      </c>
      <c r="H207" s="151"/>
      <c r="I207" s="151"/>
      <c r="J207" s="132"/>
      <c r="K207" s="132"/>
    </row>
    <row r="208" spans="1:11" ht="13">
      <c r="A208" s="188" t="str">
        <f>VLOOKUP(B208,Master!$V$7:$W$150,2,FALSE)</f>
        <v>M0043</v>
      </c>
      <c r="B208" s="135" t="s">
        <v>362</v>
      </c>
      <c r="C208" s="136"/>
      <c r="D208" s="153"/>
      <c r="E208" s="153"/>
      <c r="F208" s="153"/>
      <c r="G208" s="138">
        <f>SUM(G209:G212)</f>
        <v>5109.2887624466575</v>
      </c>
      <c r="H208" s="139">
        <v>0.15</v>
      </c>
      <c r="I208" s="155">
        <f>G208+(G208*H208)</f>
        <v>5875.6820768136558</v>
      </c>
      <c r="J208" s="192" t="b">
        <v>1</v>
      </c>
      <c r="K208" s="140" t="b">
        <v>1</v>
      </c>
    </row>
    <row r="209" spans="1:11" ht="13">
      <c r="A209" s="141"/>
      <c r="B209" s="4"/>
      <c r="C209" s="4" t="s">
        <v>2030</v>
      </c>
      <c r="D209" s="146">
        <v>18</v>
      </c>
      <c r="E209" s="4" t="str">
        <f>VLOOKUP(C209,Master!$B$6:$N$1000,9,FALSE)</f>
        <v>gr</v>
      </c>
      <c r="F209" s="144">
        <f>VLOOKUP(C209,Master!$B$6:$N$1000,10,FALSE)</f>
        <v>195</v>
      </c>
      <c r="G209" s="144">
        <f t="shared" ref="G209:G212" si="39">D209*F209</f>
        <v>3510</v>
      </c>
      <c r="H209" s="145"/>
      <c r="I209" s="145"/>
    </row>
    <row r="210" spans="1:11" ht="13">
      <c r="A210" s="141"/>
      <c r="B210" s="4"/>
      <c r="C210" s="4" t="s">
        <v>2052</v>
      </c>
      <c r="D210" s="146">
        <v>100</v>
      </c>
      <c r="E210" s="4" t="str">
        <f>VLOOKUP(C210,Master!$B$6:$N$1000,9,FALSE)</f>
        <v>ml</v>
      </c>
      <c r="F210" s="144">
        <f>VLOOKUP(C210,Master!$B$6:$N$1000,10,FALSE)</f>
        <v>0.66315789473684206</v>
      </c>
      <c r="G210" s="144">
        <f t="shared" si="39"/>
        <v>66.315789473684205</v>
      </c>
      <c r="H210" s="145"/>
      <c r="I210" s="145"/>
      <c r="J210" s="132"/>
      <c r="K210" s="132"/>
    </row>
    <row r="211" spans="1:11" ht="13">
      <c r="A211" s="141"/>
      <c r="B211" s="4"/>
      <c r="C211" s="4" t="s">
        <v>2049</v>
      </c>
      <c r="D211" s="146">
        <v>30</v>
      </c>
      <c r="E211" s="4" t="str">
        <f>VLOOKUP(C211,Master!$B$6:$N$1000,9,FALSE)</f>
        <v>gr</v>
      </c>
      <c r="F211" s="144">
        <f>VLOOKUP(C211,Master!$B$6:$N$1000,10,FALSE)</f>
        <v>32.432432432432435</v>
      </c>
      <c r="G211" s="144">
        <f t="shared" si="39"/>
        <v>972.97297297297303</v>
      </c>
      <c r="H211" s="145"/>
      <c r="I211" s="145"/>
      <c r="J211" s="132"/>
      <c r="K211" s="132"/>
    </row>
    <row r="212" spans="1:11" ht="13">
      <c r="A212" s="148"/>
      <c r="B212" s="90"/>
      <c r="C212" s="90" t="s">
        <v>843</v>
      </c>
      <c r="D212" s="149">
        <v>1</v>
      </c>
      <c r="E212" s="4" t="str">
        <f>VLOOKUP(C212,Master!$B$6:$N$1000,9,FALSE)</f>
        <v>pcs</v>
      </c>
      <c r="F212" s="144">
        <f>VLOOKUP(C212,Master!$B$6:$N$1000,10,FALSE)</f>
        <v>560</v>
      </c>
      <c r="G212" s="150">
        <f t="shared" si="39"/>
        <v>560</v>
      </c>
      <c r="H212" s="151"/>
      <c r="I212" s="151"/>
      <c r="J212" s="132"/>
      <c r="K212" s="132"/>
    </row>
    <row r="213" spans="1:11" ht="13">
      <c r="A213" s="188" t="str">
        <f>VLOOKUP(B213,Master!$V$7:$W$150,2,FALSE)</f>
        <v>M0044</v>
      </c>
      <c r="B213" s="135" t="s">
        <v>367</v>
      </c>
      <c r="C213" s="136"/>
      <c r="D213" s="153"/>
      <c r="E213" s="153"/>
      <c r="F213" s="153"/>
      <c r="G213" s="138">
        <f>SUM(G214:G217)</f>
        <v>6445.4196301564725</v>
      </c>
      <c r="H213" s="139">
        <v>0.15</v>
      </c>
      <c r="I213" s="155">
        <f>G213+(G213*H213)</f>
        <v>7412.2325746799434</v>
      </c>
      <c r="J213" s="192" t="b">
        <v>1</v>
      </c>
      <c r="K213" s="140" t="b">
        <v>1</v>
      </c>
    </row>
    <row r="214" spans="1:11" ht="13">
      <c r="A214" s="141"/>
      <c r="B214" s="4"/>
      <c r="C214" s="4" t="s">
        <v>2030</v>
      </c>
      <c r="D214" s="146">
        <v>20</v>
      </c>
      <c r="E214" s="4" t="str">
        <f>VLOOKUP(C214,Master!$B$6:$N$1000,9,FALSE)</f>
        <v>gr</v>
      </c>
      <c r="F214" s="144">
        <f>VLOOKUP(C214,Master!$B$6:$N$1000,10,FALSE)</f>
        <v>195</v>
      </c>
      <c r="G214" s="144">
        <f t="shared" ref="G214:G217" si="40">D214*F214</f>
        <v>3900</v>
      </c>
      <c r="H214" s="145"/>
      <c r="I214" s="145"/>
      <c r="J214" s="132"/>
    </row>
    <row r="215" spans="1:11" ht="13">
      <c r="A215" s="141"/>
      <c r="B215" s="4"/>
      <c r="C215" s="4" t="s">
        <v>2052</v>
      </c>
      <c r="D215" s="146">
        <v>150</v>
      </c>
      <c r="E215" s="4" t="str">
        <f>VLOOKUP(C215,Master!$B$6:$N$1000,9,FALSE)</f>
        <v>ml</v>
      </c>
      <c r="F215" s="144">
        <f>VLOOKUP(C215,Master!$B$6:$N$1000,10,FALSE)</f>
        <v>0.66315789473684206</v>
      </c>
      <c r="G215" s="144">
        <f t="shared" si="40"/>
        <v>99.473684210526315</v>
      </c>
      <c r="H215" s="145"/>
      <c r="I215" s="145"/>
      <c r="J215" s="132"/>
      <c r="K215" s="132"/>
    </row>
    <row r="216" spans="1:11" ht="13">
      <c r="A216" s="141"/>
      <c r="B216" s="4"/>
      <c r="C216" s="4" t="s">
        <v>2049</v>
      </c>
      <c r="D216" s="146">
        <v>60</v>
      </c>
      <c r="E216" s="4" t="str">
        <f>VLOOKUP(C216,Master!$B$6:$N$1000,9,FALSE)</f>
        <v>gr</v>
      </c>
      <c r="F216" s="144">
        <f>VLOOKUP(C216,Master!$B$6:$N$1000,10,FALSE)</f>
        <v>32.432432432432435</v>
      </c>
      <c r="G216" s="144">
        <f t="shared" si="40"/>
        <v>1945.9459459459461</v>
      </c>
      <c r="H216" s="145"/>
      <c r="I216" s="145"/>
      <c r="J216" s="132"/>
      <c r="K216" s="132"/>
    </row>
    <row r="217" spans="1:11" ht="13">
      <c r="A217" s="148"/>
      <c r="B217" s="90"/>
      <c r="C217" s="90" t="s">
        <v>839</v>
      </c>
      <c r="D217" s="149">
        <v>1</v>
      </c>
      <c r="E217" s="4" t="str">
        <f>VLOOKUP(C217,Master!$B$6:$N$1000,9,FALSE)</f>
        <v>pcs</v>
      </c>
      <c r="F217" s="144">
        <f>VLOOKUP(C217,Master!$B$6:$N$1000,10,FALSE)</f>
        <v>500</v>
      </c>
      <c r="G217" s="150">
        <f t="shared" si="40"/>
        <v>500</v>
      </c>
      <c r="H217" s="151"/>
      <c r="I217" s="151"/>
      <c r="J217" s="132"/>
      <c r="K217" s="132"/>
    </row>
    <row r="218" spans="1:11" ht="13">
      <c r="A218" s="188" t="str">
        <f>VLOOKUP(B218,Master!$V$7:$W$150,2,FALSE)</f>
        <v>M0046</v>
      </c>
      <c r="B218" s="135" t="s">
        <v>376</v>
      </c>
      <c r="C218" s="136"/>
      <c r="D218" s="153"/>
      <c r="E218" s="153"/>
      <c r="F218" s="153"/>
      <c r="G218" s="138">
        <f>SUM(G219)</f>
        <v>2143</v>
      </c>
      <c r="H218" s="139">
        <v>0.15</v>
      </c>
      <c r="I218" s="155">
        <f>G218+(G218*H218)</f>
        <v>2464.4499999999998</v>
      </c>
      <c r="J218" s="192" t="b">
        <v>1</v>
      </c>
      <c r="K218" s="140" t="b">
        <v>1</v>
      </c>
    </row>
    <row r="219" spans="1:11" ht="13">
      <c r="A219" s="148"/>
      <c r="B219" s="90"/>
      <c r="C219" s="90" t="s">
        <v>1986</v>
      </c>
      <c r="D219" s="149">
        <v>100</v>
      </c>
      <c r="E219" s="4" t="str">
        <f>VLOOKUP(C219,Master!$B$6:$N$1000,9,FALSE)</f>
        <v>gr</v>
      </c>
      <c r="F219" s="144">
        <f>VLOOKUP(C219,Master!$B$6:$N$1000,10,FALSE)</f>
        <v>21.43</v>
      </c>
      <c r="G219" s="150">
        <f>D219*F219</f>
        <v>2143</v>
      </c>
      <c r="H219" s="151"/>
      <c r="I219" s="151"/>
      <c r="J219" s="132"/>
      <c r="K219" s="132"/>
    </row>
    <row r="220" spans="1:11" ht="13">
      <c r="A220" s="188" t="str">
        <f>VLOOKUP(B220,Master!$V$7:$W$150,2,FALSE)</f>
        <v>M0047</v>
      </c>
      <c r="B220" s="135" t="s">
        <v>380</v>
      </c>
      <c r="C220" s="136"/>
      <c r="D220" s="153"/>
      <c r="E220" s="153"/>
      <c r="F220" s="153"/>
      <c r="G220" s="138">
        <f>SUM(G221:G222)</f>
        <v>3533.8736842105263</v>
      </c>
      <c r="H220" s="139">
        <v>0.15</v>
      </c>
      <c r="I220" s="155">
        <f>G220+(G220*H220)</f>
        <v>4063.9547368421054</v>
      </c>
      <c r="J220" s="192" t="b">
        <v>1</v>
      </c>
      <c r="K220" s="140" t="b">
        <v>1</v>
      </c>
    </row>
    <row r="221" spans="1:11" ht="13">
      <c r="A221" s="141"/>
      <c r="B221" s="4"/>
      <c r="C221" s="4" t="s">
        <v>2030</v>
      </c>
      <c r="D221" s="146">
        <v>18</v>
      </c>
      <c r="E221" s="4" t="str">
        <f>VLOOKUP(C221,Master!$B$6:$N$1000,9,FALSE)</f>
        <v>gr</v>
      </c>
      <c r="F221" s="144">
        <f>VLOOKUP(C221,Master!$B$6:$N$1000,10,FALSE)</f>
        <v>195</v>
      </c>
      <c r="G221" s="144">
        <f t="shared" ref="G221:G222" si="41">D221*F221</f>
        <v>3510</v>
      </c>
      <c r="H221" s="145"/>
      <c r="I221" s="145"/>
      <c r="K221" s="132"/>
    </row>
    <row r="222" spans="1:11" ht="13">
      <c r="A222" s="148"/>
      <c r="B222" s="90"/>
      <c r="C222" s="90" t="s">
        <v>2052</v>
      </c>
      <c r="D222" s="149">
        <v>36</v>
      </c>
      <c r="E222" s="4" t="str">
        <f>VLOOKUP(C222,Master!$B$6:$N$1000,9,FALSE)</f>
        <v>ml</v>
      </c>
      <c r="F222" s="144">
        <f>VLOOKUP(C222,Master!$B$6:$N$1000,10,FALSE)</f>
        <v>0.66315789473684206</v>
      </c>
      <c r="G222" s="150">
        <f t="shared" si="41"/>
        <v>23.873684210526314</v>
      </c>
      <c r="H222" s="151"/>
      <c r="I222" s="151"/>
      <c r="K222" s="132"/>
    </row>
    <row r="223" spans="1:11" ht="13">
      <c r="A223" s="194" t="str">
        <f>VLOOKUP(B223,Master!$V$7:$W$150,2,FALSE)</f>
        <v>M0069</v>
      </c>
      <c r="B223" s="195" t="s">
        <v>466</v>
      </c>
      <c r="C223" s="196"/>
      <c r="D223" s="197"/>
      <c r="E223" s="197"/>
      <c r="F223" s="197"/>
      <c r="G223" s="198">
        <f>SUM(G224:G226)</f>
        <v>9449.4736842105267</v>
      </c>
      <c r="H223" s="199">
        <v>0.1</v>
      </c>
      <c r="I223" s="198">
        <f>G223+(G223*H223)</f>
        <v>10394.42105263158</v>
      </c>
      <c r="K223" s="189" t="b">
        <v>1</v>
      </c>
    </row>
    <row r="224" spans="1:11" ht="13">
      <c r="A224" s="200"/>
      <c r="B224" s="201"/>
      <c r="C224" s="201" t="s">
        <v>602</v>
      </c>
      <c r="D224" s="202">
        <v>17</v>
      </c>
      <c r="E224" s="201" t="str">
        <f>VLOOKUP(C224,Master!$B$6:$N$1000,9,FALSE)</f>
        <v>gr</v>
      </c>
      <c r="F224" s="203">
        <f>VLOOKUP(C224,Master!$B$6:$N$1000,10,FALSE)</f>
        <v>500</v>
      </c>
      <c r="G224" s="203">
        <f t="shared" ref="G224:G226" si="42">D224*F224</f>
        <v>8500</v>
      </c>
      <c r="H224" s="204"/>
      <c r="I224" s="204"/>
      <c r="K224" s="132"/>
    </row>
    <row r="225" spans="1:11" ht="13">
      <c r="A225" s="200"/>
      <c r="B225" s="201"/>
      <c r="C225" s="201" t="s">
        <v>2052</v>
      </c>
      <c r="D225" s="202">
        <v>150</v>
      </c>
      <c r="E225" s="201" t="str">
        <f>VLOOKUP(C225,Master!$B$6:$N$1000,9,FALSE)</f>
        <v>ml</v>
      </c>
      <c r="F225" s="203">
        <f>VLOOKUP(C225,Master!$B$6:$N$1000,10,FALSE)</f>
        <v>0.66315789473684206</v>
      </c>
      <c r="G225" s="203">
        <f t="shared" si="42"/>
        <v>99.473684210526315</v>
      </c>
      <c r="H225" s="204"/>
      <c r="I225" s="204"/>
      <c r="K225" s="132"/>
    </row>
    <row r="226" spans="1:11" ht="13">
      <c r="A226" s="205"/>
      <c r="B226" s="205"/>
      <c r="C226" s="205" t="s">
        <v>862</v>
      </c>
      <c r="D226" s="206">
        <v>1</v>
      </c>
      <c r="E226" s="201" t="str">
        <f>VLOOKUP(C226,Master!$B$6:$N$1000,9,FALSE)</f>
        <v>Pcs</v>
      </c>
      <c r="F226" s="203">
        <f>VLOOKUP(C226,Master!$B$6:$N$1000,10,FALSE)</f>
        <v>850</v>
      </c>
      <c r="G226" s="207">
        <f t="shared" si="42"/>
        <v>850</v>
      </c>
      <c r="H226" s="205"/>
      <c r="I226" s="205"/>
      <c r="K226" s="132"/>
    </row>
    <row r="227" spans="1:11" ht="13">
      <c r="A227" s="194" t="str">
        <f>VLOOKUP(B227,Master!$V$7:$W$150,2,FALSE)</f>
        <v>M0070</v>
      </c>
      <c r="B227" s="195" t="s">
        <v>470</v>
      </c>
      <c r="C227" s="196"/>
      <c r="D227" s="197"/>
      <c r="E227" s="197"/>
      <c r="F227" s="197"/>
      <c r="G227" s="198">
        <f>SUM(G228:G230)</f>
        <v>9474.4736842105267</v>
      </c>
      <c r="H227" s="199">
        <v>0.1</v>
      </c>
      <c r="I227" s="198">
        <f>G227+(G227*H227)</f>
        <v>10421.92105263158</v>
      </c>
      <c r="K227" s="189" t="b">
        <v>1</v>
      </c>
    </row>
    <row r="228" spans="1:11" ht="13">
      <c r="A228" s="200"/>
      <c r="B228" s="201"/>
      <c r="C228" s="201" t="s">
        <v>602</v>
      </c>
      <c r="D228" s="202">
        <v>17</v>
      </c>
      <c r="E228" s="201" t="str">
        <f>VLOOKUP(C228,Master!$B$6:$N$1000,9,FALSE)</f>
        <v>gr</v>
      </c>
      <c r="F228" s="203">
        <f>VLOOKUP(C228,Master!$B$6:$N$1000,10,FALSE)</f>
        <v>500</v>
      </c>
      <c r="G228" s="203">
        <f t="shared" ref="G228:G230" si="43">D228*F228</f>
        <v>8500</v>
      </c>
      <c r="H228" s="204"/>
      <c r="I228" s="204"/>
      <c r="K228" s="132"/>
    </row>
    <row r="229" spans="1:11" ht="13">
      <c r="A229" s="200"/>
      <c r="B229" s="201"/>
      <c r="C229" s="201" t="s">
        <v>2052</v>
      </c>
      <c r="D229" s="202">
        <v>150</v>
      </c>
      <c r="E229" s="201" t="str">
        <f>VLOOKUP(C229,Master!$B$6:$N$1000,9,FALSE)</f>
        <v>ml</v>
      </c>
      <c r="F229" s="203">
        <f>VLOOKUP(C229,Master!$B$6:$N$1000,10,FALSE)</f>
        <v>0.66315789473684206</v>
      </c>
      <c r="G229" s="203">
        <f t="shared" si="43"/>
        <v>99.473684210526315</v>
      </c>
      <c r="H229" s="204"/>
      <c r="I229" s="204"/>
      <c r="K229" s="132"/>
    </row>
    <row r="230" spans="1:11" ht="13">
      <c r="A230" s="205"/>
      <c r="B230" s="205"/>
      <c r="C230" s="205" t="s">
        <v>877</v>
      </c>
      <c r="D230" s="206">
        <v>1</v>
      </c>
      <c r="E230" s="201" t="str">
        <f>VLOOKUP(C230,Master!$B$6:$N$1000,9,FALSE)</f>
        <v>pcs</v>
      </c>
      <c r="F230" s="203">
        <f>VLOOKUP(C230,Master!$B$6:$N$1000,10,FALSE)</f>
        <v>875</v>
      </c>
      <c r="G230" s="207">
        <f t="shared" si="43"/>
        <v>875</v>
      </c>
      <c r="H230" s="205"/>
      <c r="I230" s="205"/>
      <c r="K230" s="132"/>
    </row>
    <row r="231" spans="1:11" ht="13">
      <c r="A231" s="194" t="str">
        <f>VLOOKUP(B231,Master!$V$7:$W$150,2,FALSE)</f>
        <v>M0071</v>
      </c>
      <c r="B231" s="195" t="s">
        <v>474</v>
      </c>
      <c r="C231" s="196"/>
      <c r="D231" s="197"/>
      <c r="E231" s="197"/>
      <c r="F231" s="197"/>
      <c r="G231" s="198">
        <f>SUM(G232:G233)</f>
        <v>8599.4736842105267</v>
      </c>
      <c r="H231" s="199">
        <v>0.1</v>
      </c>
      <c r="I231" s="198">
        <f>G231+(G231*H231)</f>
        <v>9459.4210526315801</v>
      </c>
      <c r="K231" s="189" t="b">
        <v>1</v>
      </c>
    </row>
    <row r="232" spans="1:11" ht="13">
      <c r="A232" s="200"/>
      <c r="B232" s="201"/>
      <c r="C232" s="201" t="s">
        <v>602</v>
      </c>
      <c r="D232" s="202">
        <v>17</v>
      </c>
      <c r="E232" s="201" t="str">
        <f>VLOOKUP(C232,Master!$B$6:$N$1000,9,FALSE)</f>
        <v>gr</v>
      </c>
      <c r="F232" s="203">
        <f>VLOOKUP(C232,Master!$B$6:$N$1000,10,FALSE)</f>
        <v>500</v>
      </c>
      <c r="G232" s="203">
        <f t="shared" ref="G232:G233" si="44">D232*F232</f>
        <v>8500</v>
      </c>
      <c r="H232" s="204"/>
      <c r="I232" s="204"/>
      <c r="K232" s="132"/>
    </row>
    <row r="233" spans="1:11" ht="13">
      <c r="A233" s="208"/>
      <c r="B233" s="205"/>
      <c r="C233" s="205" t="s">
        <v>2052</v>
      </c>
      <c r="D233" s="206">
        <v>150</v>
      </c>
      <c r="E233" s="201" t="str">
        <f>VLOOKUP(C233,Master!$B$6:$N$1000,9,FALSE)</f>
        <v>ml</v>
      </c>
      <c r="F233" s="203">
        <f>VLOOKUP(C233,Master!$B$6:$N$1000,10,FALSE)</f>
        <v>0.66315789473684206</v>
      </c>
      <c r="G233" s="207">
        <f t="shared" si="44"/>
        <v>99.473684210526315</v>
      </c>
      <c r="H233" s="209"/>
      <c r="I233" s="209"/>
      <c r="K233" s="132"/>
    </row>
    <row r="234" spans="1:11" ht="13">
      <c r="A234" s="194" t="str">
        <f>VLOOKUP(B234,Master!$V$7:$W$150,2,FALSE)</f>
        <v>M0072</v>
      </c>
      <c r="B234" s="195" t="s">
        <v>478</v>
      </c>
      <c r="C234" s="196"/>
      <c r="D234" s="197"/>
      <c r="E234" s="197"/>
      <c r="F234" s="197"/>
      <c r="G234" s="198">
        <f>SUM(G235:G237)</f>
        <v>8799.4736842105267</v>
      </c>
      <c r="H234" s="199">
        <v>0.1</v>
      </c>
      <c r="I234" s="198">
        <f>G234+(G234*H234)</f>
        <v>9679.4210526315801</v>
      </c>
      <c r="K234" s="189" t="b">
        <v>1</v>
      </c>
    </row>
    <row r="235" spans="1:11" ht="13">
      <c r="A235" s="200"/>
      <c r="B235" s="201"/>
      <c r="C235" s="201" t="s">
        <v>602</v>
      </c>
      <c r="D235" s="202">
        <v>15</v>
      </c>
      <c r="E235" s="201" t="str">
        <f>VLOOKUP(C235,Master!$B$6:$N$1000,9,FALSE)</f>
        <v>gr</v>
      </c>
      <c r="F235" s="203">
        <f>VLOOKUP(C235,Master!$B$6:$N$1000,10,FALSE)</f>
        <v>500</v>
      </c>
      <c r="G235" s="203">
        <f t="shared" ref="G235:G237" si="45">D235*F235</f>
        <v>7500</v>
      </c>
      <c r="H235" s="204"/>
      <c r="I235" s="204"/>
      <c r="K235" s="132"/>
    </row>
    <row r="236" spans="1:11" ht="13">
      <c r="A236" s="200"/>
      <c r="B236" s="201"/>
      <c r="C236" s="201" t="s">
        <v>2052</v>
      </c>
      <c r="D236" s="202">
        <v>150</v>
      </c>
      <c r="E236" s="201" t="str">
        <f>VLOOKUP(C236,Master!$B$6:$N$1000,9,FALSE)</f>
        <v>ml</v>
      </c>
      <c r="F236" s="203">
        <f>VLOOKUP(C236,Master!$B$6:$N$1000,10,FALSE)</f>
        <v>0.66315789473684206</v>
      </c>
      <c r="G236" s="203">
        <f t="shared" si="45"/>
        <v>99.473684210526315</v>
      </c>
      <c r="H236" s="204"/>
      <c r="I236" s="204"/>
      <c r="K236" s="132"/>
    </row>
    <row r="237" spans="1:11" ht="13">
      <c r="A237" s="208"/>
      <c r="B237" s="205"/>
      <c r="C237" s="205" t="s">
        <v>739</v>
      </c>
      <c r="D237" s="206">
        <v>1</v>
      </c>
      <c r="E237" s="201" t="str">
        <f>VLOOKUP(C237,Master!$B$6:$N$1000,9,FALSE)</f>
        <v>pack</v>
      </c>
      <c r="F237" s="203">
        <f>VLOOKUP(C237,Master!$B$6:$N$1000,10,FALSE)</f>
        <v>1200</v>
      </c>
      <c r="G237" s="207">
        <f t="shared" si="45"/>
        <v>1200</v>
      </c>
      <c r="H237" s="209"/>
      <c r="I237" s="209"/>
      <c r="K237" s="132"/>
    </row>
    <row r="238" spans="1:11" ht="13">
      <c r="A238" s="194" t="str">
        <f>VLOOKUP(B238,Master!$V$7:$W$150,2,FALSE)</f>
        <v>M0073</v>
      </c>
      <c r="B238" s="195" t="s">
        <v>482</v>
      </c>
      <c r="C238" s="196"/>
      <c r="D238" s="197"/>
      <c r="E238" s="197"/>
      <c r="F238" s="197"/>
      <c r="G238" s="198">
        <f>SUM(G239:G241)</f>
        <v>7700</v>
      </c>
      <c r="H238" s="199">
        <v>0.1</v>
      </c>
      <c r="I238" s="198">
        <f>G238+(G238*H238)</f>
        <v>8470</v>
      </c>
      <c r="K238" s="189" t="b">
        <v>1</v>
      </c>
    </row>
    <row r="239" spans="1:11" ht="13">
      <c r="A239" s="200"/>
      <c r="B239" s="201"/>
      <c r="C239" s="201" t="s">
        <v>602</v>
      </c>
      <c r="D239" s="202">
        <v>13</v>
      </c>
      <c r="E239" s="201" t="str">
        <f>VLOOKUP(C239,Master!$B$6:$N$1000,9,FALSE)</f>
        <v>gr</v>
      </c>
      <c r="F239" s="203">
        <f>VLOOKUP(C239,Master!$B$6:$N$1000,10,FALSE)</f>
        <v>500</v>
      </c>
      <c r="G239" s="203">
        <f>D239*F239</f>
        <v>6500</v>
      </c>
      <c r="H239" s="204"/>
      <c r="I239" s="204"/>
      <c r="J239" s="132"/>
      <c r="K239" s="132"/>
    </row>
    <row r="240" spans="1:11" ht="13">
      <c r="A240" s="200"/>
      <c r="B240" s="201"/>
      <c r="C240" s="201" t="s">
        <v>2052</v>
      </c>
      <c r="D240" s="202">
        <v>150</v>
      </c>
      <c r="E240" s="201" t="str">
        <f>VLOOKUP(C240,Master!$B$6:$N$1000,9,FALSE)</f>
        <v>ml</v>
      </c>
      <c r="F240" s="203">
        <f>VLOOKUP(C240,Master!$B$6:$N$1000,10,FALSE)</f>
        <v>0.66315789473684206</v>
      </c>
      <c r="G240" s="203"/>
      <c r="H240" s="204"/>
      <c r="I240" s="204"/>
      <c r="J240" s="132"/>
      <c r="K240" s="132"/>
    </row>
    <row r="241" spans="1:11" ht="13">
      <c r="A241" s="208"/>
      <c r="B241" s="205"/>
      <c r="C241" s="205" t="s">
        <v>739</v>
      </c>
      <c r="D241" s="206">
        <v>1</v>
      </c>
      <c r="E241" s="201" t="str">
        <f>VLOOKUP(C241,Master!$B$6:$N$1000,9,FALSE)</f>
        <v>pack</v>
      </c>
      <c r="F241" s="203">
        <f>VLOOKUP(C241,Master!$B$6:$N$1000,10,FALSE)</f>
        <v>1200</v>
      </c>
      <c r="G241" s="207">
        <f>D241*F241</f>
        <v>1200</v>
      </c>
      <c r="H241" s="209"/>
      <c r="I241" s="209"/>
      <c r="K241" s="132"/>
    </row>
    <row r="242" spans="1:11" ht="13">
      <c r="A242" s="194" t="str">
        <f>VLOOKUP(B242,Master!$V$7:$W$150,2,FALSE)</f>
        <v>M0074</v>
      </c>
      <c r="B242" s="195" t="s">
        <v>486</v>
      </c>
      <c r="C242" s="196"/>
      <c r="D242" s="197"/>
      <c r="E242" s="197"/>
      <c r="F242" s="197"/>
      <c r="G242" s="198">
        <f>SUM(G243:G245)</f>
        <v>12549.473684210527</v>
      </c>
      <c r="H242" s="199">
        <v>0.1</v>
      </c>
      <c r="I242" s="198">
        <f>G242+(G242*H242)</f>
        <v>13804.42105263158</v>
      </c>
      <c r="K242" s="189" t="b">
        <v>1</v>
      </c>
    </row>
    <row r="243" spans="1:11" ht="13">
      <c r="A243" s="200"/>
      <c r="B243" s="201"/>
      <c r="C243" s="201" t="s">
        <v>606</v>
      </c>
      <c r="D243" s="202">
        <v>15</v>
      </c>
      <c r="E243" s="201" t="str">
        <f>VLOOKUP(C243,Master!$B$6:$N$1000,9,FALSE)</f>
        <v>gr</v>
      </c>
      <c r="F243" s="203">
        <f>VLOOKUP(C243,Master!$B$6:$N$1000,10,FALSE)</f>
        <v>750</v>
      </c>
      <c r="G243" s="203">
        <f t="shared" ref="G243:G245" si="46">D243*F243</f>
        <v>11250</v>
      </c>
      <c r="H243" s="204"/>
      <c r="I243" s="204"/>
      <c r="J243" s="132"/>
      <c r="K243" s="132"/>
    </row>
    <row r="244" spans="1:11" ht="13">
      <c r="A244" s="200"/>
      <c r="B244" s="201"/>
      <c r="C244" s="201" t="s">
        <v>2052</v>
      </c>
      <c r="D244" s="202">
        <v>150</v>
      </c>
      <c r="E244" s="201" t="str">
        <f>VLOOKUP(C244,Master!$B$6:$N$1000,9,FALSE)</f>
        <v>ml</v>
      </c>
      <c r="F244" s="203">
        <f>VLOOKUP(C244,Master!$B$6:$N$1000,10,FALSE)</f>
        <v>0.66315789473684206</v>
      </c>
      <c r="G244" s="203">
        <f t="shared" si="46"/>
        <v>99.473684210526315</v>
      </c>
      <c r="H244" s="204"/>
      <c r="I244" s="204"/>
      <c r="J244" s="132"/>
      <c r="K244" s="132"/>
    </row>
    <row r="245" spans="1:11" ht="13">
      <c r="A245" s="208"/>
      <c r="B245" s="205"/>
      <c r="C245" s="205" t="s">
        <v>739</v>
      </c>
      <c r="D245" s="206">
        <v>1</v>
      </c>
      <c r="E245" s="201" t="str">
        <f>VLOOKUP(C245,Master!$B$6:$N$1000,9,FALSE)</f>
        <v>pack</v>
      </c>
      <c r="F245" s="203">
        <f>VLOOKUP(C245,Master!$B$6:$N$1000,10,FALSE)</f>
        <v>1200</v>
      </c>
      <c r="G245" s="207">
        <f t="shared" si="46"/>
        <v>1200</v>
      </c>
      <c r="H245" s="209"/>
      <c r="I245" s="209"/>
      <c r="J245" s="132"/>
      <c r="K245" s="132"/>
    </row>
    <row r="246" spans="1:11" ht="13">
      <c r="A246" s="188" t="str">
        <f>VLOOKUP(B246,Master!$V$7:$W$150,2,FALSE)</f>
        <v>M0075</v>
      </c>
      <c r="B246" s="135" t="s">
        <v>490</v>
      </c>
      <c r="C246" s="136"/>
      <c r="D246" s="153"/>
      <c r="E246" s="153"/>
      <c r="F246" s="153"/>
      <c r="G246" s="138">
        <f>SUM(G247:G252)</f>
        <v>4351.319992372235</v>
      </c>
      <c r="H246" s="139">
        <v>0.15</v>
      </c>
      <c r="I246" s="155">
        <f>G246+(G246*H246)</f>
        <v>5004.0179912280701</v>
      </c>
      <c r="J246" s="192" t="b">
        <v>1</v>
      </c>
      <c r="K246" s="140" t="b">
        <v>1</v>
      </c>
    </row>
    <row r="247" spans="1:11" ht="13">
      <c r="A247" s="141"/>
      <c r="B247" s="4"/>
      <c r="C247" s="4" t="s">
        <v>382</v>
      </c>
      <c r="D247" s="146">
        <v>100</v>
      </c>
      <c r="E247" s="4" t="str">
        <f>VLOOKUP(C247,Master!$B$6:$N$1000,9,FALSE)</f>
        <v>ml</v>
      </c>
      <c r="F247" s="144">
        <f>VLOOKUP(C247,Master!$B$6:$N$1000,10,FALSE)</f>
        <v>1.1915701754385966</v>
      </c>
      <c r="G247" s="144">
        <f t="shared" ref="G247:G252" si="47">D247*F247</f>
        <v>119.15701754385965</v>
      </c>
      <c r="H247" s="145"/>
      <c r="I247" s="145"/>
    </row>
    <row r="248" spans="1:11" ht="13">
      <c r="A248" s="141"/>
      <c r="B248" s="4"/>
      <c r="C248" s="4" t="s">
        <v>2052</v>
      </c>
      <c r="D248" s="146">
        <v>0</v>
      </c>
      <c r="E248" s="4" t="str">
        <f>VLOOKUP(C248,Master!$B$6:$N$1000,9,FALSE)</f>
        <v>ml</v>
      </c>
      <c r="F248" s="144">
        <f>VLOOKUP(C248,Master!$B$6:$N$1000,10,FALSE)</f>
        <v>0.66315789473684206</v>
      </c>
      <c r="G248" s="144">
        <f t="shared" si="47"/>
        <v>0</v>
      </c>
      <c r="H248" s="145"/>
      <c r="I248" s="145"/>
      <c r="J248" s="132"/>
      <c r="K248" s="132"/>
    </row>
    <row r="249" spans="1:11" ht="13">
      <c r="A249" s="141"/>
      <c r="B249" s="4"/>
      <c r="C249" s="4" t="s">
        <v>386</v>
      </c>
      <c r="D249" s="146">
        <v>20</v>
      </c>
      <c r="E249" s="4" t="str">
        <f>VLOOKUP(C249,Master!$B$6:$N$1000,9,FALSE)</f>
        <v>ml</v>
      </c>
      <c r="F249" s="144">
        <f>VLOOKUP(C249,Master!$B$6:$N$1000,10,FALSE)</f>
        <v>130.68541189931352</v>
      </c>
      <c r="G249" s="144">
        <f t="shared" si="47"/>
        <v>2613.7082379862704</v>
      </c>
      <c r="H249" s="145"/>
      <c r="I249" s="145"/>
      <c r="J249" s="132"/>
      <c r="K249" s="132"/>
    </row>
    <row r="250" spans="1:11" ht="13">
      <c r="A250" s="141"/>
      <c r="B250" s="4"/>
      <c r="C250" s="4" t="s">
        <v>1170</v>
      </c>
      <c r="D250" s="146">
        <v>1</v>
      </c>
      <c r="E250" s="4" t="str">
        <f>VLOOKUP(C250,Master!$B$6:$N$1000,9,FALSE)</f>
        <v>pcs</v>
      </c>
      <c r="F250" s="144">
        <f>VLOOKUP(C250,Master!$B$6:$N$1000,10,FALSE)</f>
        <v>578.9473684210526</v>
      </c>
      <c r="G250" s="144">
        <f t="shared" si="47"/>
        <v>578.9473684210526</v>
      </c>
      <c r="H250" s="145"/>
      <c r="I250" s="145"/>
      <c r="J250" s="132"/>
      <c r="K250" s="132"/>
    </row>
    <row r="251" spans="1:11" ht="13">
      <c r="A251" s="141"/>
      <c r="B251" s="4"/>
      <c r="C251" s="4" t="s">
        <v>378</v>
      </c>
      <c r="D251" s="146">
        <v>30</v>
      </c>
      <c r="E251" s="4" t="str">
        <f>VLOOKUP(C251,Master!$B$6:$N$1000,9,FALSE)</f>
        <v>ml</v>
      </c>
      <c r="F251" s="144">
        <f>VLOOKUP(C251,Master!$B$6:$N$1000,10,FALSE)</f>
        <v>15.983578947368422</v>
      </c>
      <c r="G251" s="144">
        <f t="shared" si="47"/>
        <v>479.50736842105266</v>
      </c>
      <c r="H251" s="145"/>
      <c r="I251" s="145"/>
      <c r="J251" s="132"/>
      <c r="K251" s="132"/>
    </row>
    <row r="252" spans="1:11" ht="13">
      <c r="A252" s="148"/>
      <c r="B252" s="90"/>
      <c r="C252" s="151" t="s">
        <v>843</v>
      </c>
      <c r="D252" s="149">
        <v>1</v>
      </c>
      <c r="E252" s="151" t="str">
        <f>VLOOKUP(C252,Master!$B$6:$N$1000,9,FALSE)</f>
        <v>pcs</v>
      </c>
      <c r="F252" s="150">
        <f>VLOOKUP(C252,Master!$B$6:$N$1000,10,FALSE)</f>
        <v>560</v>
      </c>
      <c r="G252" s="150">
        <f t="shared" si="47"/>
        <v>560</v>
      </c>
      <c r="H252" s="151"/>
      <c r="I252" s="151"/>
      <c r="J252" s="132"/>
      <c r="K252" s="132"/>
    </row>
    <row r="253" spans="1:11" ht="13">
      <c r="A253" s="188" t="str">
        <f>VLOOKUP(B253,Master!$V$7:$W$150,2,FALSE)</f>
        <v>M0076</v>
      </c>
      <c r="B253" s="135" t="s">
        <v>494</v>
      </c>
      <c r="C253" s="136"/>
      <c r="D253" s="136"/>
      <c r="E253" s="136"/>
      <c r="F253" s="136"/>
      <c r="G253" s="138">
        <f>SUM(G254:G258)</f>
        <v>5897.5063043478267</v>
      </c>
      <c r="H253" s="139">
        <v>0.15</v>
      </c>
      <c r="I253" s="138">
        <f>G253+(G253*H253)</f>
        <v>6782.1322500000006</v>
      </c>
      <c r="J253" s="192" t="b">
        <v>1</v>
      </c>
      <c r="K253" s="140" t="b">
        <v>1</v>
      </c>
    </row>
    <row r="254" spans="1:11" ht="13">
      <c r="A254" s="141"/>
      <c r="B254" s="4"/>
      <c r="C254" s="4" t="s">
        <v>382</v>
      </c>
      <c r="D254" s="146">
        <v>150</v>
      </c>
      <c r="E254" s="4" t="str">
        <f>VLOOKUP(C254,Master!$B$6:$N$1000,9,FALSE)</f>
        <v>ml</v>
      </c>
      <c r="F254" s="144">
        <f>VLOOKUP(C254,Master!$B$6:$N$1000,10,FALSE)</f>
        <v>1.1915701754385966</v>
      </c>
      <c r="G254" s="144">
        <f t="shared" ref="G254:G258" si="48">D254*F254</f>
        <v>178.73552631578949</v>
      </c>
      <c r="H254" s="145"/>
      <c r="I254" s="145"/>
      <c r="J254" s="4"/>
      <c r="K254" s="4"/>
    </row>
    <row r="255" spans="1:11" ht="13">
      <c r="A255" s="141"/>
      <c r="B255" s="4"/>
      <c r="C255" s="4" t="s">
        <v>386</v>
      </c>
      <c r="D255" s="146">
        <v>30</v>
      </c>
      <c r="E255" s="4" t="str">
        <f>VLOOKUP(C255,Master!$B$6:$N$1000,9,FALSE)</f>
        <v>ml</v>
      </c>
      <c r="F255" s="144">
        <f>VLOOKUP(C255,Master!$B$6:$N$1000,10,FALSE)</f>
        <v>130.68541189931352</v>
      </c>
      <c r="G255" s="144">
        <f t="shared" si="48"/>
        <v>3920.5623569794056</v>
      </c>
      <c r="H255" s="145"/>
      <c r="I255" s="145"/>
      <c r="J255" s="4"/>
      <c r="K255" s="4"/>
    </row>
    <row r="256" spans="1:11" ht="13">
      <c r="A256" s="141"/>
      <c r="B256" s="4"/>
      <c r="C256" s="4" t="s">
        <v>378</v>
      </c>
      <c r="D256" s="146">
        <v>45</v>
      </c>
      <c r="E256" s="4" t="str">
        <f>VLOOKUP(C256,Master!$B$6:$N$1000,9,FALSE)</f>
        <v>ml</v>
      </c>
      <c r="F256" s="144">
        <f>VLOOKUP(C256,Master!$B$6:$N$1000,10,FALSE)</f>
        <v>15.983578947368422</v>
      </c>
      <c r="G256" s="144">
        <f t="shared" si="48"/>
        <v>719.26105263157899</v>
      </c>
      <c r="H256" s="145"/>
      <c r="I256" s="145"/>
    </row>
    <row r="257" spans="1:11" ht="13">
      <c r="A257" s="141"/>
      <c r="B257" s="4"/>
      <c r="C257" s="4" t="s">
        <v>1170</v>
      </c>
      <c r="D257" s="146">
        <v>1</v>
      </c>
      <c r="E257" s="4" t="str">
        <f>VLOOKUP(C257,Master!$B$6:$N$1000,9,FALSE)</f>
        <v>pcs</v>
      </c>
      <c r="F257" s="144">
        <f>VLOOKUP(C257,Master!$B$6:$N$1000,10,FALSE)</f>
        <v>578.9473684210526</v>
      </c>
      <c r="G257" s="144">
        <f t="shared" si="48"/>
        <v>578.9473684210526</v>
      </c>
      <c r="H257" s="145"/>
      <c r="I257" s="145"/>
      <c r="J257" s="132"/>
      <c r="K257" s="132"/>
    </row>
    <row r="258" spans="1:11" ht="13">
      <c r="A258" s="148"/>
      <c r="B258" s="90"/>
      <c r="C258" s="151" t="s">
        <v>839</v>
      </c>
      <c r="D258" s="149">
        <v>1</v>
      </c>
      <c r="E258" s="151" t="str">
        <f>VLOOKUP(C258,Master!$B$6:$N$1000,9,FALSE)</f>
        <v>pcs</v>
      </c>
      <c r="F258" s="150">
        <f>VLOOKUP(C258,Master!$B$6:$N$1000,10,FALSE)</f>
        <v>500</v>
      </c>
      <c r="G258" s="150">
        <f t="shared" si="48"/>
        <v>500</v>
      </c>
      <c r="H258" s="151"/>
      <c r="I258" s="151"/>
      <c r="J258" s="132"/>
      <c r="K258" s="132"/>
    </row>
    <row r="259" spans="1:11" ht="13">
      <c r="A259" s="182" t="str">
        <f>VLOOKUP(B259,Master!$V$7:$W$150,2,FALSE)</f>
        <v>M0077</v>
      </c>
      <c r="B259" s="135" t="s">
        <v>498</v>
      </c>
      <c r="C259" s="136"/>
      <c r="D259" s="136"/>
      <c r="E259" s="136"/>
      <c r="F259" s="136"/>
      <c r="G259" s="138">
        <f>SUM(G260:G261)</f>
        <v>4623.8736842105263</v>
      </c>
      <c r="H259" s="139">
        <v>0.15</v>
      </c>
      <c r="I259" s="138">
        <f>G259+(G259*H259)</f>
        <v>5317.4547368421054</v>
      </c>
      <c r="J259" s="192" t="b">
        <v>1</v>
      </c>
      <c r="K259" s="140" t="b">
        <v>1</v>
      </c>
    </row>
    <row r="260" spans="1:11" ht="13">
      <c r="A260" s="141"/>
      <c r="B260" s="4"/>
      <c r="C260" s="4" t="s">
        <v>2008</v>
      </c>
      <c r="D260" s="146">
        <v>20</v>
      </c>
      <c r="E260" s="4" t="str">
        <f>VLOOKUP(C260,Master!$B$6:$N$1000,9,FALSE)</f>
        <v>gr</v>
      </c>
      <c r="F260" s="144">
        <f>VLOOKUP(C260,Master!$B$6:$N$1000,10,FALSE)</f>
        <v>230</v>
      </c>
      <c r="G260" s="144">
        <f t="shared" ref="G260:G261" si="49">D260*F260</f>
        <v>4600</v>
      </c>
      <c r="H260" s="145"/>
      <c r="I260" s="145"/>
      <c r="J260" s="4"/>
      <c r="K260" s="4"/>
    </row>
    <row r="261" spans="1:11" ht="13">
      <c r="A261" s="148"/>
      <c r="B261" s="90"/>
      <c r="C261" s="151" t="s">
        <v>2052</v>
      </c>
      <c r="D261" s="149">
        <v>36</v>
      </c>
      <c r="E261" s="151" t="str">
        <f>VLOOKUP(C261,Master!$B$6:$N$1000,9,FALSE)</f>
        <v>ml</v>
      </c>
      <c r="F261" s="150">
        <f>VLOOKUP(C261,Master!$B$6:$N$1000,10,FALSE)</f>
        <v>0.66315789473684206</v>
      </c>
      <c r="G261" s="150">
        <f t="shared" si="49"/>
        <v>23.873684210526314</v>
      </c>
      <c r="H261" s="151"/>
      <c r="I261" s="151"/>
      <c r="J261" s="132"/>
      <c r="K261" s="132"/>
    </row>
    <row r="262" spans="1:11" ht="13">
      <c r="A262" s="182" t="str">
        <f>VLOOKUP(B262,Master!$V$7:$W$150,2,FALSE)</f>
        <v>M0091</v>
      </c>
      <c r="B262" s="135" t="s">
        <v>554</v>
      </c>
      <c r="C262" s="136"/>
      <c r="D262" s="136"/>
      <c r="E262" s="136"/>
      <c r="F262" s="136"/>
      <c r="G262" s="138">
        <f>SUM(G263:G265)</f>
        <v>7202.8210526315797</v>
      </c>
      <c r="H262" s="139">
        <v>0.15</v>
      </c>
      <c r="I262" s="138">
        <f>G262+(G262*H262)</f>
        <v>8283.2442105263162</v>
      </c>
      <c r="J262" s="137" t="b">
        <v>0</v>
      </c>
      <c r="K262" s="186" t="b">
        <v>1</v>
      </c>
    </row>
    <row r="263" spans="1:11" ht="13">
      <c r="A263" s="141"/>
      <c r="B263" s="4"/>
      <c r="C263" s="4" t="s">
        <v>2008</v>
      </c>
      <c r="D263" s="146">
        <v>20</v>
      </c>
      <c r="E263" s="4" t="str">
        <f>VLOOKUP(C263,Master!$B$6:$N$1000,9,FALSE)</f>
        <v>gr</v>
      </c>
      <c r="F263" s="144">
        <f>VLOOKUP(C263,Master!$B$6:$N$1000,10,FALSE)</f>
        <v>230</v>
      </c>
      <c r="G263" s="144">
        <f t="shared" ref="G263:G265" si="50">D263*F263</f>
        <v>4600</v>
      </c>
      <c r="H263" s="145"/>
      <c r="I263" s="145"/>
      <c r="J263" s="4"/>
      <c r="K263" s="147" t="s">
        <v>1361</v>
      </c>
    </row>
    <row r="264" spans="1:11" ht="13">
      <c r="A264" s="141"/>
      <c r="B264" s="4"/>
      <c r="C264" s="4" t="s">
        <v>2052</v>
      </c>
      <c r="D264" s="146">
        <v>36</v>
      </c>
      <c r="E264" s="4" t="str">
        <f>VLOOKUP(C264,Master!$B$6:$N$1000,9,FALSE)</f>
        <v>ml</v>
      </c>
      <c r="F264" s="144">
        <f>VLOOKUP(C264,Master!$B$6:$N$1000,10,FALSE)</f>
        <v>0.66315789473684206</v>
      </c>
      <c r="G264" s="144">
        <f t="shared" si="50"/>
        <v>23.873684210526314</v>
      </c>
      <c r="H264" s="145"/>
      <c r="I264" s="145"/>
      <c r="J264" s="4"/>
      <c r="K264" s="4"/>
    </row>
    <row r="265" spans="1:11" ht="13">
      <c r="A265" s="148"/>
      <c r="B265" s="90"/>
      <c r="C265" s="151" t="s">
        <v>1987</v>
      </c>
      <c r="D265" s="149">
        <v>140</v>
      </c>
      <c r="E265" s="151" t="str">
        <f>VLOOKUP(C265,Master!$B$6:$N$1000,9,FALSE)</f>
        <v>ml</v>
      </c>
      <c r="F265" s="150">
        <f>VLOOKUP(C265,Master!$B$6:$N$1000,10,FALSE)</f>
        <v>18.421052631578949</v>
      </c>
      <c r="G265" s="150">
        <f t="shared" si="50"/>
        <v>2578.9473684210529</v>
      </c>
      <c r="H265" s="151"/>
      <c r="I265" s="151"/>
      <c r="J265" s="4"/>
      <c r="K265" s="107"/>
    </row>
    <row r="266" spans="1:11" ht="13">
      <c r="A266" s="182" t="str">
        <f>VLOOKUP(B266,Master!$V$7:$W$150,2,FALSE)</f>
        <v>M0079</v>
      </c>
      <c r="B266" s="135" t="s">
        <v>506</v>
      </c>
      <c r="C266" s="136"/>
      <c r="D266" s="136"/>
      <c r="E266" s="136"/>
      <c r="F266" s="136"/>
      <c r="G266" s="138">
        <f>SUM(G267:G269)</f>
        <v>4755.9789473684214</v>
      </c>
      <c r="H266" s="139">
        <v>0.15</v>
      </c>
      <c r="I266" s="138">
        <f>G266+(G266*H266)</f>
        <v>5469.3757894736846</v>
      </c>
      <c r="J266" s="137" t="b">
        <v>0</v>
      </c>
      <c r="K266" s="186" t="b">
        <v>1</v>
      </c>
    </row>
    <row r="267" spans="1:11" ht="13">
      <c r="A267" s="141"/>
      <c r="B267" s="4"/>
      <c r="C267" s="4" t="s">
        <v>540</v>
      </c>
      <c r="D267" s="146">
        <v>17</v>
      </c>
      <c r="E267" s="4" t="str">
        <f>VLOOKUP(C267,Master!$B$6:$N$1000,9,FALSE)</f>
        <v>gr</v>
      </c>
      <c r="F267" s="144">
        <f>VLOOKUP(C267,Master!$B$6:$N$1000,10,FALSE)</f>
        <v>170</v>
      </c>
      <c r="G267" s="144">
        <f t="shared" ref="G267:G269" si="51">D267*F267</f>
        <v>2890</v>
      </c>
      <c r="H267" s="145"/>
      <c r="I267" s="145"/>
      <c r="J267" s="4"/>
      <c r="K267" s="147" t="s">
        <v>1361</v>
      </c>
    </row>
    <row r="268" spans="1:11" ht="13">
      <c r="A268" s="141"/>
      <c r="B268" s="4"/>
      <c r="C268" s="4" t="s">
        <v>2052</v>
      </c>
      <c r="D268" s="146">
        <v>36</v>
      </c>
      <c r="E268" s="4" t="str">
        <f>VLOOKUP(C268,Master!$B$6:$N$1000,9,FALSE)</f>
        <v>ml</v>
      </c>
      <c r="F268" s="144">
        <f>VLOOKUP(C268,Master!$B$6:$N$1000,10,FALSE)</f>
        <v>0.66315789473684206</v>
      </c>
      <c r="G268" s="144">
        <f t="shared" si="51"/>
        <v>23.873684210526314</v>
      </c>
      <c r="H268" s="145"/>
      <c r="I268" s="145"/>
      <c r="J268" s="4"/>
      <c r="K268" s="4"/>
    </row>
    <row r="269" spans="1:11" ht="13">
      <c r="A269" s="148"/>
      <c r="B269" s="90"/>
      <c r="C269" s="151" t="s">
        <v>1987</v>
      </c>
      <c r="D269" s="149">
        <v>100</v>
      </c>
      <c r="E269" s="151" t="str">
        <f>VLOOKUP(C269,Master!$B$6:$N$1000,9,FALSE)</f>
        <v>ml</v>
      </c>
      <c r="F269" s="150">
        <f>VLOOKUP(C269,Master!$B$6:$N$1000,10,FALSE)</f>
        <v>18.421052631578949</v>
      </c>
      <c r="G269" s="150">
        <f t="shared" si="51"/>
        <v>1842.1052631578948</v>
      </c>
      <c r="H269" s="151"/>
      <c r="I269" s="151"/>
      <c r="J269" s="4"/>
      <c r="K269" s="90"/>
    </row>
    <row r="270" spans="1:11" ht="13">
      <c r="A270" s="182" t="str">
        <f>VLOOKUP(B270,Master!$V$7:$W$150,2,FALSE)</f>
        <v>M0080</v>
      </c>
      <c r="B270" s="135" t="s">
        <v>510</v>
      </c>
      <c r="C270" s="136"/>
      <c r="D270" s="136"/>
      <c r="E270" s="136"/>
      <c r="F270" s="136"/>
      <c r="G270" s="138">
        <f>SUM(G271:G275)</f>
        <v>10138.384962406015</v>
      </c>
      <c r="H270" s="139">
        <v>0.15</v>
      </c>
      <c r="I270" s="138">
        <f>G270+(G270*H270)</f>
        <v>11659.142706766917</v>
      </c>
      <c r="J270" s="137" t="b">
        <v>0</v>
      </c>
      <c r="K270" s="137"/>
    </row>
    <row r="271" spans="1:11" ht="13">
      <c r="A271" s="141"/>
      <c r="B271" s="4"/>
      <c r="C271" s="4" t="s">
        <v>2008</v>
      </c>
      <c r="D271" s="146">
        <v>20</v>
      </c>
      <c r="E271" s="4" t="str">
        <f>VLOOKUP(C271,Master!$B$6:$N$1000,9,FALSE)</f>
        <v>gr</v>
      </c>
      <c r="F271" s="144">
        <f>VLOOKUP(C271,Master!$B$6:$N$1000,10,FALSE)</f>
        <v>230</v>
      </c>
      <c r="G271" s="144">
        <f t="shared" ref="G271:G275" si="52">D271*F271</f>
        <v>4600</v>
      </c>
      <c r="H271" s="145"/>
      <c r="I271" s="145"/>
      <c r="J271" s="4"/>
      <c r="K271" s="147" t="s">
        <v>1361</v>
      </c>
    </row>
    <row r="272" spans="1:11" ht="13">
      <c r="A272" s="141"/>
      <c r="B272" s="4"/>
      <c r="C272" s="4" t="s">
        <v>2052</v>
      </c>
      <c r="D272" s="146">
        <v>36</v>
      </c>
      <c r="E272" s="4" t="str">
        <f>VLOOKUP(C272,Master!$B$6:$N$1000,9,FALSE)</f>
        <v>ml</v>
      </c>
      <c r="F272" s="144">
        <f>VLOOKUP(C272,Master!$B$6:$N$1000,10,FALSE)</f>
        <v>0.66315789473684206</v>
      </c>
      <c r="G272" s="144">
        <f t="shared" si="52"/>
        <v>23.873684210526314</v>
      </c>
      <c r="H272" s="145"/>
      <c r="I272" s="145"/>
      <c r="J272" s="4"/>
      <c r="K272" s="4"/>
    </row>
    <row r="273" spans="1:11" ht="13">
      <c r="A273" s="141"/>
      <c r="B273" s="4"/>
      <c r="C273" s="4" t="s">
        <v>1987</v>
      </c>
      <c r="D273" s="146">
        <v>160</v>
      </c>
      <c r="E273" s="4" t="str">
        <f>VLOOKUP(C273,Master!$B$6:$N$1000,9,FALSE)</f>
        <v>ml</v>
      </c>
      <c r="F273" s="144">
        <f>VLOOKUP(C273,Master!$B$6:$N$1000,10,FALSE)</f>
        <v>18.421052631578949</v>
      </c>
      <c r="G273" s="144">
        <f t="shared" si="52"/>
        <v>2947.3684210526317</v>
      </c>
      <c r="H273" s="145"/>
      <c r="I273" s="145"/>
      <c r="J273" s="4"/>
      <c r="K273" s="4"/>
    </row>
    <row r="274" spans="1:11" ht="13">
      <c r="A274" s="141"/>
      <c r="B274" s="4"/>
      <c r="C274" s="4" t="s">
        <v>2009</v>
      </c>
      <c r="D274" s="146">
        <v>10</v>
      </c>
      <c r="E274" s="4" t="str">
        <f>VLOOKUP(C274,Master!$B$6:$N$1000,9,FALSE)</f>
        <v>ml</v>
      </c>
      <c r="F274" s="144">
        <f>VLOOKUP(C274,Master!$B$6:$N$1000,10,FALSE)</f>
        <v>200.71428571428572</v>
      </c>
      <c r="G274" s="144">
        <f t="shared" si="52"/>
        <v>2007.1428571428573</v>
      </c>
      <c r="H274" s="145"/>
      <c r="I274" s="145"/>
      <c r="J274" s="4"/>
      <c r="K274" s="4"/>
    </row>
    <row r="275" spans="1:11" ht="13">
      <c r="A275" s="148"/>
      <c r="B275" s="90"/>
      <c r="C275" s="151" t="s">
        <v>843</v>
      </c>
      <c r="D275" s="149">
        <v>1</v>
      </c>
      <c r="E275" s="151" t="str">
        <f>VLOOKUP(C275,Master!$B$6:$N$1000,9,FALSE)</f>
        <v>pcs</v>
      </c>
      <c r="F275" s="150">
        <f>VLOOKUP(C275,Master!$B$6:$N$1000,10,FALSE)</f>
        <v>560</v>
      </c>
      <c r="G275" s="150">
        <f t="shared" si="52"/>
        <v>560</v>
      </c>
      <c r="H275" s="151"/>
      <c r="I275" s="151"/>
      <c r="J275" s="90"/>
      <c r="K275" s="107"/>
    </row>
    <row r="276" spans="1:11" ht="13">
      <c r="A276" s="182" t="str">
        <f>VLOOKUP(B276,Master!$V$7:$W$150,2,FALSE)</f>
        <v>M0081</v>
      </c>
      <c r="B276" s="135" t="s">
        <v>514</v>
      </c>
      <c r="C276" s="136"/>
      <c r="D276" s="136"/>
      <c r="E276" s="136"/>
      <c r="F276" s="136"/>
      <c r="G276" s="138">
        <f>SUM(G277:G281)</f>
        <v>12904.575438596492</v>
      </c>
      <c r="H276" s="139">
        <v>0.15</v>
      </c>
      <c r="I276" s="138">
        <f>G276+(G276*H276)</f>
        <v>14840.261754385965</v>
      </c>
      <c r="J276" s="137" t="b">
        <v>1</v>
      </c>
      <c r="K276" s="186" t="b">
        <v>1</v>
      </c>
    </row>
    <row r="277" spans="1:11" ht="13">
      <c r="A277" s="141"/>
      <c r="B277" s="4"/>
      <c r="C277" s="4" t="s">
        <v>2008</v>
      </c>
      <c r="D277" s="146">
        <v>20</v>
      </c>
      <c r="E277" s="4" t="str">
        <f>VLOOKUP(C277,Master!$B$6:$N$1000,9,FALSE)</f>
        <v>gr</v>
      </c>
      <c r="F277" s="144">
        <f>VLOOKUP(C277,Master!$B$6:$N$1000,10,FALSE)</f>
        <v>230</v>
      </c>
      <c r="G277" s="144">
        <f t="shared" ref="G277:G281" si="53">D277*F277</f>
        <v>4600</v>
      </c>
      <c r="H277" s="145"/>
      <c r="I277" s="145"/>
      <c r="J277" s="4"/>
      <c r="K277" s="4"/>
    </row>
    <row r="278" spans="1:11" ht="13">
      <c r="A278" s="141"/>
      <c r="B278" s="4"/>
      <c r="C278" s="4" t="s">
        <v>2052</v>
      </c>
      <c r="D278" s="146">
        <v>36</v>
      </c>
      <c r="E278" s="4" t="str">
        <f>VLOOKUP(C278,Master!$B$6:$N$1000,9,FALSE)</f>
        <v>ml</v>
      </c>
      <c r="F278" s="144">
        <f>VLOOKUP(C278,Master!$B$6:$N$1000,10,FALSE)</f>
        <v>0.66315789473684206</v>
      </c>
      <c r="G278" s="144">
        <f t="shared" si="53"/>
        <v>23.873684210526314</v>
      </c>
      <c r="H278" s="145"/>
      <c r="I278" s="145"/>
      <c r="J278" s="4"/>
      <c r="K278" s="4"/>
    </row>
    <row r="279" spans="1:11" ht="13">
      <c r="A279" s="141"/>
      <c r="B279" s="4"/>
      <c r="C279" s="4" t="s">
        <v>1987</v>
      </c>
      <c r="D279" s="146">
        <v>160</v>
      </c>
      <c r="E279" s="4" t="str">
        <f>VLOOKUP(C279,Master!$B$6:$N$1000,9,FALSE)</f>
        <v>ml</v>
      </c>
      <c r="F279" s="144">
        <f>VLOOKUP(C279,Master!$B$6:$N$1000,10,FALSE)</f>
        <v>18.421052631578949</v>
      </c>
      <c r="G279" s="144">
        <f t="shared" si="53"/>
        <v>2947.3684210526317</v>
      </c>
      <c r="H279" s="145"/>
      <c r="I279" s="145"/>
      <c r="J279" s="4"/>
      <c r="K279" s="4"/>
    </row>
    <row r="280" spans="1:11" ht="13">
      <c r="A280" s="141"/>
      <c r="B280" s="4"/>
      <c r="C280" s="4" t="s">
        <v>1982</v>
      </c>
      <c r="D280" s="146">
        <v>25</v>
      </c>
      <c r="E280" s="4" t="str">
        <f>VLOOKUP(C280,Master!$B$6:$N$1000,9,FALSE)</f>
        <v>ml</v>
      </c>
      <c r="F280" s="144">
        <f>VLOOKUP(C280,Master!$B$6:$N$1000,10,FALSE)</f>
        <v>193.33333333333334</v>
      </c>
      <c r="G280" s="144">
        <f t="shared" si="53"/>
        <v>4833.3333333333339</v>
      </c>
      <c r="H280" s="145"/>
      <c r="I280" s="145"/>
      <c r="J280" s="4"/>
      <c r="K280" s="4"/>
    </row>
    <row r="281" spans="1:11" ht="13">
      <c r="A281" s="148"/>
      <c r="B281" s="90"/>
      <c r="C281" s="151" t="s">
        <v>839</v>
      </c>
      <c r="D281" s="149">
        <v>1</v>
      </c>
      <c r="E281" s="151" t="str">
        <f>VLOOKUP(C281,Master!$B$6:$N$1000,9,FALSE)</f>
        <v>pcs</v>
      </c>
      <c r="F281" s="150">
        <f>VLOOKUP(C281,Master!$B$6:$N$1000,10,FALSE)</f>
        <v>500</v>
      </c>
      <c r="G281" s="150">
        <f t="shared" si="53"/>
        <v>500</v>
      </c>
      <c r="H281" s="151"/>
      <c r="I281" s="151"/>
      <c r="J281" s="90"/>
      <c r="K281" s="107"/>
    </row>
    <row r="282" spans="1:11" ht="13">
      <c r="A282" s="188" t="str">
        <f>VLOOKUP(B282,Master!$V$7:$W$150,2,FALSE)</f>
        <v>M0082</v>
      </c>
      <c r="B282" s="135" t="s">
        <v>517</v>
      </c>
      <c r="C282" s="136"/>
      <c r="D282" s="136"/>
      <c r="E282" s="136"/>
      <c r="F282" s="136"/>
      <c r="G282" s="138">
        <f>SUM(G283:G287)</f>
        <v>8757.031578947368</v>
      </c>
      <c r="H282" s="139">
        <v>0.15</v>
      </c>
      <c r="I282" s="138">
        <f>G282+(G282*H282)</f>
        <v>10070.586315789473</v>
      </c>
      <c r="J282" s="137" t="b">
        <v>1</v>
      </c>
      <c r="K282" s="186" t="b">
        <v>1</v>
      </c>
    </row>
    <row r="283" spans="1:11" ht="13">
      <c r="A283" s="141"/>
      <c r="B283" s="4"/>
      <c r="C283" s="4" t="s">
        <v>2030</v>
      </c>
      <c r="D283" s="146">
        <v>18</v>
      </c>
      <c r="E283" s="4" t="str">
        <f>VLOOKUP(C283,Master!$B$6:$N$1000,9,FALSE)</f>
        <v>gr</v>
      </c>
      <c r="F283" s="144">
        <f>VLOOKUP(C283,Master!$B$6:$N$1000,10,FALSE)</f>
        <v>195</v>
      </c>
      <c r="G283" s="144">
        <f t="shared" ref="G283:G287" si="54">D283*F283</f>
        <v>3510</v>
      </c>
      <c r="H283" s="145"/>
      <c r="I283" s="145"/>
      <c r="J283" s="4"/>
      <c r="K283" s="4"/>
    </row>
    <row r="284" spans="1:11" ht="13">
      <c r="A284" s="141"/>
      <c r="B284" s="4"/>
      <c r="C284" s="4" t="s">
        <v>2052</v>
      </c>
      <c r="D284" s="146">
        <v>36</v>
      </c>
      <c r="E284" s="4" t="str">
        <f>VLOOKUP(C284,Master!$B$6:$N$1000,9,FALSE)</f>
        <v>ml</v>
      </c>
      <c r="F284" s="144">
        <f>VLOOKUP(C284,Master!$B$6:$N$1000,10,FALSE)</f>
        <v>0.66315789473684206</v>
      </c>
      <c r="G284" s="144">
        <f t="shared" si="54"/>
        <v>23.873684210526314</v>
      </c>
      <c r="H284" s="145"/>
      <c r="I284" s="145"/>
      <c r="J284" s="4"/>
      <c r="K284" s="4"/>
    </row>
    <row r="285" spans="1:11" ht="13">
      <c r="A285" s="141"/>
      <c r="B285" s="4"/>
      <c r="C285" s="4" t="s">
        <v>1987</v>
      </c>
      <c r="D285" s="146">
        <v>150</v>
      </c>
      <c r="E285" s="4" t="str">
        <f>VLOOKUP(C285,Master!$B$6:$N$1000,9,FALSE)</f>
        <v>ml</v>
      </c>
      <c r="F285" s="144">
        <f>VLOOKUP(C285,Master!$B$6:$N$1000,10,FALSE)</f>
        <v>18.421052631578949</v>
      </c>
      <c r="G285" s="144">
        <f t="shared" si="54"/>
        <v>2763.1578947368421</v>
      </c>
      <c r="H285" s="145"/>
      <c r="I285" s="145"/>
      <c r="J285" s="4"/>
      <c r="K285" s="4"/>
    </row>
    <row r="286" spans="1:11" ht="13">
      <c r="A286" s="141"/>
      <c r="B286" s="4"/>
      <c r="C286" s="4" t="s">
        <v>1275</v>
      </c>
      <c r="D286" s="146">
        <v>15</v>
      </c>
      <c r="E286" s="4" t="str">
        <f>VLOOKUP(C286,Master!$B$6:$N$1000,9,FALSE)</f>
        <v>ml</v>
      </c>
      <c r="F286" s="144">
        <f>VLOOKUP(C286,Master!$B$6:$N$1000,10,FALSE)</f>
        <v>126.66666666666667</v>
      </c>
      <c r="G286" s="144">
        <f t="shared" si="54"/>
        <v>1900</v>
      </c>
      <c r="H286" s="145"/>
      <c r="I286" s="145"/>
      <c r="J286" s="4"/>
      <c r="K286" s="4"/>
    </row>
    <row r="287" spans="1:11" ht="13">
      <c r="A287" s="148"/>
      <c r="B287" s="90"/>
      <c r="C287" s="151" t="s">
        <v>843</v>
      </c>
      <c r="D287" s="149">
        <v>1</v>
      </c>
      <c r="E287" s="151" t="str">
        <f>VLOOKUP(C287,Master!$B$6:$N$1000,9,FALSE)</f>
        <v>pcs</v>
      </c>
      <c r="F287" s="150">
        <f>VLOOKUP(C287,Master!$B$6:$N$1000,10,FALSE)</f>
        <v>560</v>
      </c>
      <c r="G287" s="150">
        <f t="shared" si="54"/>
        <v>560</v>
      </c>
      <c r="H287" s="151"/>
      <c r="I287" s="151"/>
      <c r="J287" s="90"/>
      <c r="K287" s="107"/>
    </row>
    <row r="288" spans="1:11" ht="13">
      <c r="A288" s="188" t="str">
        <f>VLOOKUP(B288,Master!$V$7:$W$150,2,FALSE)</f>
        <v>M0083</v>
      </c>
      <c r="B288" s="135" t="s">
        <v>522</v>
      </c>
      <c r="C288" s="136"/>
      <c r="D288" s="136"/>
      <c r="E288" s="136"/>
      <c r="F288" s="136"/>
      <c r="G288" s="138">
        <f>SUM(G289:G293)</f>
        <v>8618.52701754386</v>
      </c>
      <c r="H288" s="139">
        <v>0.15</v>
      </c>
      <c r="I288" s="138">
        <f>G288+(G288*H288)</f>
        <v>9911.3060701754384</v>
      </c>
      <c r="J288" s="137" t="b">
        <v>1</v>
      </c>
      <c r="K288" s="186" t="b">
        <v>1</v>
      </c>
    </row>
    <row r="289" spans="1:11" ht="13">
      <c r="A289" s="141"/>
      <c r="B289" s="4"/>
      <c r="C289" s="4" t="s">
        <v>2030</v>
      </c>
      <c r="D289" s="146">
        <v>18</v>
      </c>
      <c r="E289" s="4" t="str">
        <f>VLOOKUP(C289,Master!$B$6:$N$1000,9,FALSE)</f>
        <v>gr</v>
      </c>
      <c r="F289" s="144">
        <f>VLOOKUP(C289,Master!$B$6:$N$1000,10,FALSE)</f>
        <v>195</v>
      </c>
      <c r="G289" s="144">
        <f t="shared" ref="G289:G293" si="55">D289*F289</f>
        <v>3510</v>
      </c>
      <c r="H289" s="145"/>
      <c r="I289" s="145"/>
      <c r="J289" s="4"/>
      <c r="K289" s="4"/>
    </row>
    <row r="290" spans="1:11" ht="13">
      <c r="A290" s="141"/>
      <c r="B290" s="4"/>
      <c r="C290" s="4" t="s">
        <v>2052</v>
      </c>
      <c r="D290" s="146">
        <v>36</v>
      </c>
      <c r="E290" s="4" t="str">
        <f>VLOOKUP(C290,Master!$B$6:$N$1000,9,FALSE)</f>
        <v>ml</v>
      </c>
      <c r="F290" s="144">
        <f>VLOOKUP(C290,Master!$B$6:$N$1000,10,FALSE)</f>
        <v>0.66315789473684206</v>
      </c>
      <c r="G290" s="144">
        <f t="shared" si="55"/>
        <v>23.873684210526314</v>
      </c>
      <c r="H290" s="145"/>
      <c r="I290" s="145"/>
      <c r="J290" s="4"/>
      <c r="K290" s="4"/>
    </row>
    <row r="291" spans="1:11" ht="13">
      <c r="A291" s="141"/>
      <c r="B291" s="4"/>
      <c r="C291" s="4" t="s">
        <v>1981</v>
      </c>
      <c r="D291" s="146">
        <v>120</v>
      </c>
      <c r="E291" s="4" t="str">
        <f>VLOOKUP(C291,Master!$B$6:$N$1000,9,FALSE)</f>
        <v>ml</v>
      </c>
      <c r="F291" s="144">
        <f>VLOOKUP(C291,Master!$B$6:$N$1000,10,FALSE)</f>
        <v>17.094333333333335</v>
      </c>
      <c r="G291" s="144">
        <f t="shared" si="55"/>
        <v>2051.3200000000002</v>
      </c>
      <c r="H291" s="145"/>
      <c r="I291" s="145"/>
      <c r="J291" s="4"/>
      <c r="K291" s="4"/>
    </row>
    <row r="292" spans="1:11" ht="13">
      <c r="A292" s="141"/>
      <c r="B292" s="4"/>
      <c r="C292" s="4" t="s">
        <v>1275</v>
      </c>
      <c r="D292" s="146">
        <v>20</v>
      </c>
      <c r="E292" s="4" t="str">
        <f>VLOOKUP(C292,Master!$B$6:$N$1000,9,FALSE)</f>
        <v>ml</v>
      </c>
      <c r="F292" s="144">
        <f>VLOOKUP(C292,Master!$B$6:$N$1000,10,FALSE)</f>
        <v>126.66666666666667</v>
      </c>
      <c r="G292" s="144">
        <f t="shared" si="55"/>
        <v>2533.3333333333335</v>
      </c>
      <c r="H292" s="145"/>
      <c r="I292" s="145"/>
      <c r="J292" s="4"/>
      <c r="K292" s="4"/>
    </row>
    <row r="293" spans="1:11" ht="13">
      <c r="A293" s="148"/>
      <c r="B293" s="90"/>
      <c r="C293" s="151" t="s">
        <v>839</v>
      </c>
      <c r="D293" s="149">
        <v>1</v>
      </c>
      <c r="E293" s="151" t="str">
        <f>VLOOKUP(C293,Master!$B$6:$N$1000,9,FALSE)</f>
        <v>pcs</v>
      </c>
      <c r="F293" s="150">
        <f>VLOOKUP(C293,Master!$B$6:$N$1000,10,FALSE)</f>
        <v>500</v>
      </c>
      <c r="G293" s="150">
        <f t="shared" si="55"/>
        <v>500</v>
      </c>
      <c r="H293" s="151"/>
      <c r="I293" s="151"/>
      <c r="J293" s="4"/>
      <c r="K293" s="107"/>
    </row>
    <row r="294" spans="1:11" ht="13">
      <c r="A294" s="188" t="str">
        <f>VLOOKUP(B294,Master!$V$7:$W$150,2,FALSE)</f>
        <v>M0087</v>
      </c>
      <c r="B294" s="135" t="s">
        <v>538</v>
      </c>
      <c r="C294" s="136"/>
      <c r="D294" s="136"/>
      <c r="E294" s="136"/>
      <c r="F294" s="136"/>
      <c r="G294" s="138">
        <f>SUM(G295:G298)</f>
        <v>7723.1578947368416</v>
      </c>
      <c r="H294" s="139">
        <v>0.15</v>
      </c>
      <c r="I294" s="138">
        <f>G294+(G294*H294)</f>
        <v>8881.6315789473683</v>
      </c>
      <c r="J294" s="137" t="b">
        <v>1</v>
      </c>
      <c r="K294" s="186" t="b">
        <v>1</v>
      </c>
    </row>
    <row r="295" spans="1:11" ht="13">
      <c r="A295" s="141"/>
      <c r="B295" s="4"/>
      <c r="C295" s="4" t="s">
        <v>1180</v>
      </c>
      <c r="D295" s="146">
        <v>20</v>
      </c>
      <c r="E295" s="4" t="str">
        <f>VLOOKUP(C295,Master!$B$6:$N$1000,9,FALSE)</f>
        <v>gr</v>
      </c>
      <c r="F295" s="144">
        <f>VLOOKUP(C295,Master!$B$6:$N$1000,10,FALSE)</f>
        <v>220</v>
      </c>
      <c r="G295" s="144">
        <f t="shared" ref="G295:G298" si="56">D295*F295</f>
        <v>4400</v>
      </c>
      <c r="H295" s="145"/>
      <c r="I295" s="145"/>
      <c r="J295" s="4"/>
      <c r="K295" s="4" t="s">
        <v>1366</v>
      </c>
    </row>
    <row r="296" spans="1:11" ht="13">
      <c r="A296" s="141"/>
      <c r="B296" s="4"/>
      <c r="C296" s="4" t="s">
        <v>2052</v>
      </c>
      <c r="D296" s="146">
        <v>0</v>
      </c>
      <c r="E296" s="4" t="str">
        <f>VLOOKUP(C296,Master!$B$6:$N$1000,9,FALSE)</f>
        <v>ml</v>
      </c>
      <c r="F296" s="144">
        <f>VLOOKUP(C296,Master!$B$6:$N$1000,10,FALSE)</f>
        <v>0.66315789473684206</v>
      </c>
      <c r="G296" s="144">
        <f t="shared" si="56"/>
        <v>0</v>
      </c>
      <c r="H296" s="145"/>
      <c r="I296" s="145"/>
      <c r="J296" s="4"/>
      <c r="K296" s="4"/>
    </row>
    <row r="297" spans="1:11" ht="13">
      <c r="A297" s="4"/>
      <c r="B297" s="4"/>
      <c r="C297" s="4" t="s">
        <v>1987</v>
      </c>
      <c r="D297" s="146">
        <v>150</v>
      </c>
      <c r="E297" s="4" t="str">
        <f>VLOOKUP(C297,Master!$B$6:$N$1000,9,FALSE)</f>
        <v>ml</v>
      </c>
      <c r="F297" s="144">
        <f>VLOOKUP(C297,Master!$B$6:$N$1000,10,FALSE)</f>
        <v>18.421052631578949</v>
      </c>
      <c r="G297" s="144">
        <f t="shared" si="56"/>
        <v>2763.1578947368421</v>
      </c>
      <c r="H297" s="145"/>
      <c r="I297" s="145"/>
      <c r="J297" s="4"/>
      <c r="K297" s="4"/>
    </row>
    <row r="298" spans="1:11" ht="13">
      <c r="A298" s="148"/>
      <c r="B298" s="90"/>
      <c r="C298" s="151" t="s">
        <v>843</v>
      </c>
      <c r="D298" s="149">
        <v>1</v>
      </c>
      <c r="E298" s="151" t="str">
        <f>VLOOKUP(C298,Master!$B$6:$N$1000,9,FALSE)</f>
        <v>pcs</v>
      </c>
      <c r="F298" s="150">
        <f>VLOOKUP(C298,Master!$B$6:$N$1000,10,FALSE)</f>
        <v>560</v>
      </c>
      <c r="G298" s="150">
        <f t="shared" si="56"/>
        <v>560</v>
      </c>
      <c r="H298" s="151"/>
      <c r="I298" s="151"/>
      <c r="J298" s="90"/>
      <c r="K298" s="107"/>
    </row>
    <row r="299" spans="1:11" ht="13">
      <c r="A299" s="188" t="str">
        <f>VLOOKUP(B299,Master!$V$7:$W$150,2,FALSE)</f>
        <v>M0086</v>
      </c>
      <c r="B299" s="135" t="s">
        <v>534</v>
      </c>
      <c r="C299" s="136"/>
      <c r="D299" s="136"/>
      <c r="E299" s="136"/>
      <c r="F299" s="136"/>
      <c r="G299" s="138">
        <f>SUM(G300:G304)</f>
        <v>7771.3372562553923</v>
      </c>
      <c r="H299" s="139">
        <v>0.15</v>
      </c>
      <c r="I299" s="138">
        <f>G299+(G299*H299)</f>
        <v>8937.0378446937011</v>
      </c>
      <c r="J299" s="137" t="b">
        <v>1</v>
      </c>
      <c r="K299" s="186" t="b">
        <v>1</v>
      </c>
    </row>
    <row r="300" spans="1:11" ht="13">
      <c r="A300" s="141"/>
      <c r="B300" s="166"/>
      <c r="C300" s="4" t="s">
        <v>1180</v>
      </c>
      <c r="D300" s="146">
        <v>20</v>
      </c>
      <c r="E300" s="4" t="str">
        <f>VLOOKUP(C300,Master!$B$6:$N$1000,9,FALSE)</f>
        <v>gr</v>
      </c>
      <c r="F300" s="144">
        <f>VLOOKUP(C300,Master!$B$6:$N$1000,10,FALSE)</f>
        <v>220</v>
      </c>
      <c r="G300" s="144">
        <f t="shared" ref="G300:G304" si="57">D300*F300</f>
        <v>4400</v>
      </c>
      <c r="H300" s="145"/>
      <c r="I300" s="145"/>
      <c r="J300" s="4"/>
      <c r="K300" s="4" t="s">
        <v>1366</v>
      </c>
    </row>
    <row r="301" spans="1:11" ht="13">
      <c r="A301" s="141"/>
      <c r="B301" s="4"/>
      <c r="C301" s="4" t="s">
        <v>390</v>
      </c>
      <c r="D301" s="146">
        <v>20</v>
      </c>
      <c r="E301" s="4" t="str">
        <f>VLOOKUP(C301,Master!$B$6:$N$1000,9,FALSE)</f>
        <v>ml</v>
      </c>
      <c r="F301" s="144">
        <f>VLOOKUP(C301,Master!$B$6:$N$1000,10,FALSE)</f>
        <v>41.000862812769633</v>
      </c>
      <c r="G301" s="144">
        <f t="shared" si="57"/>
        <v>820.01725625539268</v>
      </c>
      <c r="H301" s="145"/>
      <c r="I301" s="145"/>
      <c r="J301" s="4"/>
      <c r="K301" s="4"/>
    </row>
    <row r="302" spans="1:11" ht="13">
      <c r="A302" s="141"/>
      <c r="B302" s="4"/>
      <c r="C302" s="4" t="s">
        <v>1981</v>
      </c>
      <c r="D302" s="146">
        <v>120</v>
      </c>
      <c r="E302" s="4" t="str">
        <f>VLOOKUP(C302,Master!$B$6:$N$1000,9,FALSE)</f>
        <v>ml</v>
      </c>
      <c r="F302" s="144">
        <f>VLOOKUP(C302,Master!$B$6:$N$1000,10,FALSE)</f>
        <v>17.094333333333335</v>
      </c>
      <c r="G302" s="144">
        <f t="shared" si="57"/>
        <v>2051.3200000000002</v>
      </c>
      <c r="H302" s="145"/>
      <c r="I302" s="145"/>
      <c r="J302" s="4"/>
      <c r="K302" s="4"/>
    </row>
    <row r="303" spans="1:11" ht="13">
      <c r="A303" s="141"/>
      <c r="B303" s="4"/>
      <c r="C303" s="4" t="s">
        <v>1164</v>
      </c>
      <c r="D303" s="146">
        <v>0</v>
      </c>
      <c r="E303" s="4" t="str">
        <f>VLOOKUP(C303,Master!$B$6:$N$1000,9,FALSE)</f>
        <v>pcs</v>
      </c>
      <c r="F303" s="144">
        <f>VLOOKUP(C303,Master!$B$6:$N$1000,10,FALSE)</f>
        <v>320</v>
      </c>
      <c r="G303" s="144">
        <f t="shared" si="57"/>
        <v>0</v>
      </c>
      <c r="H303" s="145"/>
      <c r="I303" s="145"/>
      <c r="J303" s="4"/>
      <c r="K303" s="4"/>
    </row>
    <row r="304" spans="1:11" ht="13">
      <c r="A304" s="148"/>
      <c r="B304" s="90"/>
      <c r="C304" s="151" t="s">
        <v>839</v>
      </c>
      <c r="D304" s="149">
        <v>1</v>
      </c>
      <c r="E304" s="151" t="str">
        <f>VLOOKUP(C304,Master!$B$6:$N$1000,9,FALSE)</f>
        <v>pcs</v>
      </c>
      <c r="F304" s="150">
        <f>VLOOKUP(C304,Master!$B$6:$N$1000,10,FALSE)</f>
        <v>500</v>
      </c>
      <c r="G304" s="150">
        <f t="shared" si="57"/>
        <v>500</v>
      </c>
      <c r="H304" s="151"/>
      <c r="I304" s="151"/>
      <c r="J304" s="90"/>
      <c r="K304" s="107"/>
    </row>
    <row r="305" spans="1:11" ht="13">
      <c r="A305" s="182" t="str">
        <f>VLOOKUP(B305,Master!$V$7:$W$150,2,FALSE)</f>
        <v>M0088</v>
      </c>
      <c r="B305" s="135" t="s">
        <v>542</v>
      </c>
      <c r="C305" s="136"/>
      <c r="D305" s="136"/>
      <c r="E305" s="136"/>
      <c r="F305" s="136"/>
      <c r="G305" s="138">
        <f>SUM(G306:G308)</f>
        <v>8174.4736842105267</v>
      </c>
      <c r="H305" s="139">
        <v>0.15</v>
      </c>
      <c r="I305" s="138">
        <f>G305+(G305*H305)</f>
        <v>9400.644736842105</v>
      </c>
      <c r="J305" s="137" t="b">
        <v>0</v>
      </c>
      <c r="K305" s="186" t="b">
        <v>1</v>
      </c>
    </row>
    <row r="306" spans="1:11" ht="13">
      <c r="A306" s="141"/>
      <c r="B306" s="4"/>
      <c r="C306" s="4" t="s">
        <v>590</v>
      </c>
      <c r="D306" s="146">
        <v>17</v>
      </c>
      <c r="E306" s="185" t="str">
        <f>VLOOKUP(C306,Master!$B$6:$N$1000,9,FALSE)</f>
        <v>gr</v>
      </c>
      <c r="F306" s="144">
        <f>VLOOKUP(C306,Master!$B$6:$N$1000,10,FALSE)</f>
        <v>425</v>
      </c>
      <c r="G306" s="144">
        <f t="shared" ref="G306:G308" si="58">D306*F306</f>
        <v>7225</v>
      </c>
      <c r="H306" s="145"/>
      <c r="I306" s="145"/>
      <c r="J306" s="4"/>
      <c r="K306" s="147" t="s">
        <v>1361</v>
      </c>
    </row>
    <row r="307" spans="1:11" ht="13">
      <c r="A307" s="141"/>
      <c r="B307" s="4"/>
      <c r="C307" s="4" t="s">
        <v>2052</v>
      </c>
      <c r="D307" s="146">
        <v>150</v>
      </c>
      <c r="E307" s="4" t="str">
        <f>VLOOKUP(C307,Master!$B$6:$N$1000,9,FALSE)</f>
        <v>ml</v>
      </c>
      <c r="F307" s="144">
        <f>VLOOKUP(C307,Master!$B$6:$N$1000,10,FALSE)</f>
        <v>0.66315789473684206</v>
      </c>
      <c r="G307" s="144">
        <f t="shared" si="58"/>
        <v>99.473684210526315</v>
      </c>
      <c r="H307" s="145"/>
      <c r="I307" s="145"/>
      <c r="J307" s="4"/>
      <c r="K307" s="4"/>
    </row>
    <row r="308" spans="1:11" ht="13">
      <c r="A308" s="148"/>
      <c r="B308" s="90"/>
      <c r="C308" s="151" t="s">
        <v>857</v>
      </c>
      <c r="D308" s="149">
        <v>1</v>
      </c>
      <c r="E308" s="151" t="str">
        <f>VLOOKUP(C308,Master!$B$6:$N$1000,9,FALSE)</f>
        <v>Pcs</v>
      </c>
      <c r="F308" s="150">
        <f>VLOOKUP(C308,Master!$B$6:$N$1000,10,FALSE)</f>
        <v>850</v>
      </c>
      <c r="G308" s="150">
        <f t="shared" si="58"/>
        <v>850</v>
      </c>
      <c r="H308" s="151"/>
      <c r="I308" s="151"/>
      <c r="J308" s="90"/>
      <c r="K308" s="107"/>
    </row>
    <row r="309" spans="1:11" ht="13">
      <c r="A309" s="182" t="str">
        <f>VLOOKUP(B309,Master!$V$7:$W$150,2,FALSE)</f>
        <v>M0089</v>
      </c>
      <c r="B309" s="135" t="s">
        <v>546</v>
      </c>
      <c r="C309" s="136"/>
      <c r="D309" s="136"/>
      <c r="E309" s="136"/>
      <c r="F309" s="136"/>
      <c r="G309" s="138">
        <f>SUM(G310:G312)</f>
        <v>9449.4736842105267</v>
      </c>
      <c r="H309" s="139">
        <v>0.15</v>
      </c>
      <c r="I309" s="138">
        <f>G309+(G309*H309)</f>
        <v>10866.894736842105</v>
      </c>
      <c r="J309" s="137" t="b">
        <v>0</v>
      </c>
      <c r="K309" s="186" t="b">
        <v>1</v>
      </c>
    </row>
    <row r="310" spans="1:11" ht="13">
      <c r="A310" s="141"/>
      <c r="B310" s="4"/>
      <c r="C310" s="4" t="s">
        <v>602</v>
      </c>
      <c r="D310" s="146">
        <v>17</v>
      </c>
      <c r="E310" s="4" t="str">
        <f>VLOOKUP(C310,Master!$B$6:$N$1000,9,FALSE)</f>
        <v>gr</v>
      </c>
      <c r="F310" s="144">
        <f>VLOOKUP(C310,Master!$B$6:$N$1000,10,FALSE)</f>
        <v>500</v>
      </c>
      <c r="G310" s="144">
        <f t="shared" ref="G310:G312" si="59">D310*F310</f>
        <v>8500</v>
      </c>
      <c r="H310" s="145"/>
      <c r="I310" s="145"/>
      <c r="J310" s="4"/>
      <c r="K310" s="147" t="s">
        <v>1361</v>
      </c>
    </row>
    <row r="311" spans="1:11" ht="13">
      <c r="A311" s="141"/>
      <c r="B311" s="4"/>
      <c r="C311" s="4" t="s">
        <v>2052</v>
      </c>
      <c r="D311" s="146">
        <v>150</v>
      </c>
      <c r="E311" s="4" t="str">
        <f>VLOOKUP(C311,Master!$B$6:$N$1000,9,FALSE)</f>
        <v>ml</v>
      </c>
      <c r="F311" s="144">
        <f>VLOOKUP(C311,Master!$B$6:$N$1000,10,FALSE)</f>
        <v>0.66315789473684206</v>
      </c>
      <c r="G311" s="144">
        <f t="shared" si="59"/>
        <v>99.473684210526315</v>
      </c>
      <c r="H311" s="145"/>
      <c r="I311" s="145"/>
      <c r="J311" s="4"/>
      <c r="K311" s="4"/>
    </row>
    <row r="312" spans="1:11" ht="13">
      <c r="A312" s="148"/>
      <c r="B312" s="90"/>
      <c r="C312" s="151" t="s">
        <v>857</v>
      </c>
      <c r="D312" s="149">
        <v>1</v>
      </c>
      <c r="E312" s="151" t="str">
        <f>VLOOKUP(C312,Master!$B$6:$N$1000,9,FALSE)</f>
        <v>Pcs</v>
      </c>
      <c r="F312" s="150">
        <f>VLOOKUP(C312,Master!$B$6:$N$1000,10,FALSE)</f>
        <v>850</v>
      </c>
      <c r="G312" s="150">
        <f t="shared" si="59"/>
        <v>850</v>
      </c>
      <c r="H312" s="151"/>
      <c r="I312" s="151"/>
      <c r="J312" s="90"/>
      <c r="K312" s="107"/>
    </row>
    <row r="313" spans="1:11" ht="13">
      <c r="A313" s="188" t="str">
        <f>VLOOKUP(B313,Master!$V$7:$W$150,2,FALSE)</f>
        <v>M0126</v>
      </c>
      <c r="B313" s="135" t="s">
        <v>690</v>
      </c>
      <c r="C313" s="136"/>
      <c r="D313" s="136"/>
      <c r="E313" s="136"/>
      <c r="F313" s="136"/>
      <c r="G313" s="138">
        <f>SUM(G314:G319)</f>
        <v>9917.8167828662572</v>
      </c>
      <c r="H313" s="139">
        <v>0.15</v>
      </c>
      <c r="I313" s="138">
        <f>G313+(G313*H313)</f>
        <v>11405.489300296196</v>
      </c>
      <c r="J313" s="137" t="b">
        <v>0</v>
      </c>
      <c r="K313" s="186" t="b">
        <v>1</v>
      </c>
    </row>
    <row r="314" spans="1:11" ht="13">
      <c r="A314" s="141"/>
      <c r="B314" s="4"/>
      <c r="C314" s="4" t="s">
        <v>1993</v>
      </c>
      <c r="D314" s="146">
        <v>40</v>
      </c>
      <c r="E314" s="4" t="str">
        <f>VLOOKUP(C314,Master!$B$6:$N$1000,9,FALSE)</f>
        <v>ml</v>
      </c>
      <c r="F314" s="144">
        <f>VLOOKUP(C314,Master!$B$6:$N$1000,10,FALSE)</f>
        <v>29.5</v>
      </c>
      <c r="G314" s="144">
        <f t="shared" ref="G314:G319" si="60">D314*F314</f>
        <v>1180</v>
      </c>
      <c r="H314" s="145"/>
      <c r="I314" s="145"/>
      <c r="J314" s="4"/>
      <c r="K314" s="147" t="s">
        <v>1361</v>
      </c>
    </row>
    <row r="315" spans="1:11" ht="13">
      <c r="A315" s="141"/>
      <c r="B315" s="4"/>
      <c r="C315" s="4" t="s">
        <v>2047</v>
      </c>
      <c r="D315" s="146">
        <v>20</v>
      </c>
      <c r="E315" s="4" t="str">
        <f>VLOOKUP(C315,Master!$B$6:$N$1000,9,FALSE)</f>
        <v>ml</v>
      </c>
      <c r="F315" s="144">
        <f>VLOOKUP(C315,Master!$B$6:$N$1000,10,FALSE)</f>
        <v>106.06060606060606</v>
      </c>
      <c r="G315" s="144">
        <f t="shared" si="60"/>
        <v>2121.212121212121</v>
      </c>
      <c r="H315" s="145"/>
      <c r="I315" s="145"/>
      <c r="J315" s="4"/>
      <c r="K315" s="4"/>
    </row>
    <row r="316" spans="1:11" ht="13">
      <c r="A316" s="141"/>
      <c r="B316" s="4"/>
      <c r="C316" s="4" t="s">
        <v>1997</v>
      </c>
      <c r="D316" s="146">
        <v>20</v>
      </c>
      <c r="E316" s="4" t="str">
        <f>VLOOKUP(C316,Master!$B$6:$N$1000,9,FALSE)</f>
        <v>ml</v>
      </c>
      <c r="F316" s="144">
        <f>VLOOKUP(C316,Master!$B$6:$N$1000,10,FALSE)</f>
        <v>200.71428571428572</v>
      </c>
      <c r="G316" s="144">
        <f t="shared" si="60"/>
        <v>4014.2857142857147</v>
      </c>
      <c r="H316" s="145"/>
      <c r="I316" s="145"/>
      <c r="J316" s="4"/>
      <c r="K316" s="4"/>
    </row>
    <row r="317" spans="1:11" ht="13">
      <c r="A317" s="141"/>
      <c r="B317" s="4"/>
      <c r="C317" s="4" t="s">
        <v>374</v>
      </c>
      <c r="D317" s="146">
        <v>20</v>
      </c>
      <c r="E317" s="4" t="str">
        <f>VLOOKUP(C317,Master!$B$6:$N$1000,9,FALSE)</f>
        <v>gr</v>
      </c>
      <c r="F317" s="144">
        <f>VLOOKUP(C317,Master!$B$6:$N$1000,10,FALSE)</f>
        <v>23.865947368421054</v>
      </c>
      <c r="G317" s="144">
        <f t="shared" si="60"/>
        <v>477.31894736842105</v>
      </c>
      <c r="H317" s="145"/>
      <c r="I317" s="145"/>
      <c r="J317" s="4"/>
      <c r="K317" s="4"/>
    </row>
    <row r="318" spans="1:11" ht="13">
      <c r="A318" s="141"/>
      <c r="B318" s="4"/>
      <c r="C318" s="4" t="s">
        <v>1172</v>
      </c>
      <c r="D318" s="146">
        <v>1</v>
      </c>
      <c r="E318" s="4" t="str">
        <f>VLOOKUP(C318,Master!$B$6:$N$1000,9,FALSE)</f>
        <v>pcs</v>
      </c>
      <c r="F318" s="144">
        <f>VLOOKUP(C318,Master!$B$6:$N$1000,10,FALSE)</f>
        <v>1625</v>
      </c>
      <c r="G318" s="144">
        <f t="shared" si="60"/>
        <v>1625</v>
      </c>
      <c r="H318" s="145"/>
      <c r="I318" s="145"/>
      <c r="J318" s="4"/>
      <c r="K318" s="4"/>
    </row>
    <row r="319" spans="1:11" ht="13">
      <c r="A319" s="148"/>
      <c r="B319" s="90"/>
      <c r="C319" s="151" t="s">
        <v>839</v>
      </c>
      <c r="D319" s="149">
        <v>1</v>
      </c>
      <c r="E319" s="151" t="str">
        <f>VLOOKUP(C319,Master!$B$6:$N$1000,9,FALSE)</f>
        <v>pcs</v>
      </c>
      <c r="F319" s="150">
        <f>VLOOKUP(C319,Master!$B$6:$N$1000,10,FALSE)</f>
        <v>500</v>
      </c>
      <c r="G319" s="150">
        <f t="shared" si="60"/>
        <v>500</v>
      </c>
      <c r="H319" s="151"/>
      <c r="I319" s="151"/>
      <c r="J319" s="90"/>
      <c r="K319" s="107"/>
    </row>
    <row r="320" spans="1:11" ht="13">
      <c r="A320" s="182" t="str">
        <f>VLOOKUP(B320,Master!$V$7:$W$150,2,FALSE)</f>
        <v>M0127</v>
      </c>
      <c r="B320" s="135" t="s">
        <v>694</v>
      </c>
      <c r="C320" s="136"/>
      <c r="D320" s="136"/>
      <c r="E320" s="136"/>
      <c r="F320" s="136"/>
      <c r="G320" s="138">
        <f>SUM(G321:G327)</f>
        <v>10922.554581909319</v>
      </c>
      <c r="H320" s="139">
        <v>0.1</v>
      </c>
      <c r="I320" s="138">
        <f>G320+(G320*H320)</f>
        <v>12014.81004010025</v>
      </c>
      <c r="J320" s="137" t="b">
        <v>0</v>
      </c>
      <c r="K320" s="186" t="b">
        <v>1</v>
      </c>
    </row>
    <row r="321" spans="1:11" ht="13">
      <c r="A321" s="141"/>
      <c r="B321" s="4"/>
      <c r="C321" s="4" t="s">
        <v>382</v>
      </c>
      <c r="D321" s="146">
        <v>40</v>
      </c>
      <c r="E321" s="4" t="str">
        <f>VLOOKUP(C321,Master!$B$6:$N$1000,9,FALSE)</f>
        <v>ml</v>
      </c>
      <c r="F321" s="144">
        <f>VLOOKUP(C321,Master!$B$6:$N$1000,10,FALSE)</f>
        <v>1.1915701754385966</v>
      </c>
      <c r="G321" s="144">
        <f t="shared" ref="G321:G327" si="61">D321*F321</f>
        <v>47.662807017543862</v>
      </c>
      <c r="H321" s="145"/>
      <c r="I321" s="145"/>
      <c r="J321" s="4"/>
      <c r="K321" s="147" t="s">
        <v>1361</v>
      </c>
    </row>
    <row r="322" spans="1:11" ht="13">
      <c r="A322" s="141"/>
      <c r="B322" s="4"/>
      <c r="C322" s="4" t="s">
        <v>1994</v>
      </c>
      <c r="D322" s="146">
        <v>40</v>
      </c>
      <c r="E322" s="4" t="str">
        <f>VLOOKUP(C322,Master!$B$6:$N$1000,9,FALSE)</f>
        <v>ml</v>
      </c>
      <c r="F322" s="144">
        <f>VLOOKUP(C322,Master!$B$6:$N$1000,10,FALSE)</f>
        <v>29.5</v>
      </c>
      <c r="G322" s="144">
        <f t="shared" si="61"/>
        <v>1180</v>
      </c>
      <c r="H322" s="145"/>
      <c r="I322" s="145"/>
      <c r="J322" s="4"/>
      <c r="K322" s="4"/>
    </row>
    <row r="323" spans="1:11" ht="13">
      <c r="A323" s="141"/>
      <c r="B323" s="4"/>
      <c r="C323" s="4" t="s">
        <v>1999</v>
      </c>
      <c r="D323" s="146">
        <v>20</v>
      </c>
      <c r="E323" s="4" t="str">
        <f>VLOOKUP(C323,Master!$B$6:$N$1000,9,FALSE)</f>
        <v>ml</v>
      </c>
      <c r="F323" s="144">
        <f>VLOOKUP(C323,Master!$B$6:$N$1000,10,FALSE)</f>
        <v>200.71428571428572</v>
      </c>
      <c r="G323" s="144">
        <f t="shared" si="61"/>
        <v>4014.2857142857147</v>
      </c>
      <c r="H323" s="145"/>
      <c r="I323" s="145"/>
      <c r="J323" s="4"/>
      <c r="K323" s="4"/>
    </row>
    <row r="324" spans="1:11" ht="13">
      <c r="A324" s="141"/>
      <c r="B324" s="4"/>
      <c r="C324" s="4" t="s">
        <v>2047</v>
      </c>
      <c r="D324" s="146">
        <v>10</v>
      </c>
      <c r="E324" s="4" t="str">
        <f>VLOOKUP(C324,Master!$B$6:$N$1000,9,FALSE)</f>
        <v>ml</v>
      </c>
      <c r="F324" s="144">
        <f>VLOOKUP(C324,Master!$B$6:$N$1000,10,FALSE)</f>
        <v>106.06060606060606</v>
      </c>
      <c r="G324" s="144">
        <f t="shared" si="61"/>
        <v>1060.6060606060605</v>
      </c>
      <c r="H324" s="145"/>
      <c r="I324" s="145"/>
      <c r="J324" s="4"/>
      <c r="K324" s="4"/>
    </row>
    <row r="325" spans="1:11" ht="13">
      <c r="A325" s="141"/>
      <c r="B325" s="4"/>
      <c r="C325" s="4" t="s">
        <v>970</v>
      </c>
      <c r="D325" s="146">
        <v>5</v>
      </c>
      <c r="E325" s="4" t="str">
        <f>VLOOKUP(C325,Master!$B$6:$N$1000,9,FALSE)</f>
        <v>gr</v>
      </c>
      <c r="F325" s="144">
        <f>VLOOKUP(C325,Master!$B$6:$N$1000,10,FALSE)</f>
        <v>600</v>
      </c>
      <c r="G325" s="144">
        <f t="shared" si="61"/>
        <v>3000</v>
      </c>
      <c r="H325" s="145"/>
      <c r="I325" s="145"/>
      <c r="J325" s="4"/>
      <c r="K325" s="4"/>
    </row>
    <row r="326" spans="1:11" ht="13">
      <c r="A326" s="141"/>
      <c r="B326" s="4"/>
      <c r="C326" s="4" t="s">
        <v>1110</v>
      </c>
      <c r="D326" s="146">
        <v>1</v>
      </c>
      <c r="E326" s="4" t="str">
        <f>VLOOKUP(C326,Master!$B$6:$N$1000,9,FALSE)</f>
        <v>pcs</v>
      </c>
      <c r="F326" s="144">
        <f>VLOOKUP(C326,Master!$B$6:$N$1000,10,FALSE)</f>
        <v>1120</v>
      </c>
      <c r="G326" s="144">
        <f t="shared" si="61"/>
        <v>1120</v>
      </c>
      <c r="H326" s="145"/>
      <c r="I326" s="145"/>
      <c r="J326" s="4"/>
      <c r="K326" s="4"/>
    </row>
    <row r="327" spans="1:11" ht="13">
      <c r="A327" s="148"/>
      <c r="B327" s="90"/>
      <c r="C327" s="151" t="s">
        <v>839</v>
      </c>
      <c r="D327" s="149">
        <v>1</v>
      </c>
      <c r="E327" s="151" t="str">
        <f>VLOOKUP(C327,Master!$B$6:$N$1000,9,FALSE)</f>
        <v>pcs</v>
      </c>
      <c r="F327" s="150">
        <f>VLOOKUP(C327,Master!$B$6:$N$1000,10,FALSE)</f>
        <v>500</v>
      </c>
      <c r="G327" s="150">
        <f t="shared" si="61"/>
        <v>500</v>
      </c>
      <c r="H327" s="151"/>
      <c r="I327" s="151"/>
      <c r="J327" s="90"/>
      <c r="K327" s="107"/>
    </row>
    <row r="328" spans="1:11" ht="13">
      <c r="A328" s="182" t="str">
        <f>VLOOKUP(B328,Master!$V$7:$W$150,2,FALSE)</f>
        <v>M0128</v>
      </c>
      <c r="B328" s="135" t="s">
        <v>698</v>
      </c>
      <c r="C328" s="136"/>
      <c r="D328" s="136"/>
      <c r="E328" s="136"/>
      <c r="F328" s="136"/>
      <c r="G328" s="138">
        <f>SUM(G329:G334)</f>
        <v>12195.533483709274</v>
      </c>
      <c r="H328" s="139">
        <v>0.1</v>
      </c>
      <c r="I328" s="138">
        <f>G328+(G328*H328)</f>
        <v>13415.086832080202</v>
      </c>
      <c r="J328" s="137" t="b">
        <v>0</v>
      </c>
      <c r="K328" s="186" t="b">
        <v>1</v>
      </c>
    </row>
    <row r="329" spans="1:11" ht="13">
      <c r="A329" s="141"/>
      <c r="B329" s="4"/>
      <c r="C329" s="4" t="s">
        <v>365</v>
      </c>
      <c r="D329" s="146">
        <v>1</v>
      </c>
      <c r="E329" s="4" t="str">
        <f>VLOOKUP(C329,Master!$B$6:$N$1000,9,FALSE)</f>
        <v>porsi</v>
      </c>
      <c r="F329" s="144">
        <f>VLOOKUP(C329,Master!$B$6:$N$1000,10,FALSE)</f>
        <v>3915.9157894736845</v>
      </c>
      <c r="G329" s="144">
        <f t="shared" ref="G329:G334" si="62">D329*F329</f>
        <v>3915.9157894736845</v>
      </c>
      <c r="H329" s="145"/>
      <c r="I329" s="145"/>
      <c r="J329" s="4"/>
      <c r="K329" s="4"/>
    </row>
    <row r="330" spans="1:11" ht="13">
      <c r="A330" s="141"/>
      <c r="B330" s="4"/>
      <c r="C330" s="4" t="s">
        <v>382</v>
      </c>
      <c r="D330" s="146">
        <v>40</v>
      </c>
      <c r="E330" s="4" t="str">
        <f>VLOOKUP(C330,Master!$B$6:$N$1000,9,FALSE)</f>
        <v>ml</v>
      </c>
      <c r="F330" s="144">
        <f>VLOOKUP(C330,Master!$B$6:$N$1000,10,FALSE)</f>
        <v>1.1915701754385966</v>
      </c>
      <c r="G330" s="144">
        <f t="shared" si="62"/>
        <v>47.662807017543862</v>
      </c>
      <c r="H330" s="145"/>
      <c r="I330" s="145"/>
      <c r="J330" s="4"/>
      <c r="K330" s="4"/>
    </row>
    <row r="331" spans="1:11" ht="13">
      <c r="A331" s="141"/>
      <c r="B331" s="4"/>
      <c r="C331" s="4" t="s">
        <v>1997</v>
      </c>
      <c r="D331" s="146">
        <v>15</v>
      </c>
      <c r="E331" s="4" t="str">
        <f>VLOOKUP(C331,Master!$B$6:$N$1000,9,FALSE)</f>
        <v>ml</v>
      </c>
      <c r="F331" s="144">
        <f>VLOOKUP(C331,Master!$B$6:$N$1000,10,FALSE)</f>
        <v>200.71428571428572</v>
      </c>
      <c r="G331" s="144">
        <f t="shared" si="62"/>
        <v>3010.7142857142858</v>
      </c>
      <c r="H331" s="145"/>
      <c r="I331" s="145"/>
      <c r="J331" s="4"/>
      <c r="K331" s="4"/>
    </row>
    <row r="332" spans="1:11" ht="13">
      <c r="A332" s="141"/>
      <c r="B332" s="4"/>
      <c r="C332" s="4" t="s">
        <v>1998</v>
      </c>
      <c r="D332" s="146">
        <v>15</v>
      </c>
      <c r="E332" s="4" t="str">
        <f>VLOOKUP(C332,Master!$B$6:$N$1000,9,FALSE)</f>
        <v>ml</v>
      </c>
      <c r="F332" s="144">
        <f>VLOOKUP(C332,Master!$B$6:$N$1000,10,FALSE)</f>
        <v>200.71428571428572</v>
      </c>
      <c r="G332" s="144">
        <f t="shared" si="62"/>
        <v>3010.7142857142858</v>
      </c>
      <c r="H332" s="145"/>
      <c r="I332" s="145"/>
      <c r="J332" s="4"/>
      <c r="K332" s="4"/>
    </row>
    <row r="333" spans="1:11" ht="13">
      <c r="A333" s="141"/>
      <c r="B333" s="4"/>
      <c r="C333" s="4" t="s">
        <v>1174</v>
      </c>
      <c r="D333" s="146">
        <v>1</v>
      </c>
      <c r="E333" s="4" t="str">
        <f>VLOOKUP(C333,Master!$B$6:$N$1000,9,FALSE)</f>
        <v>pcs</v>
      </c>
      <c r="F333" s="144">
        <f>VLOOKUP(C333,Master!$B$6:$N$1000,10,FALSE)</f>
        <v>1710.5263157894738</v>
      </c>
      <c r="G333" s="144">
        <f t="shared" si="62"/>
        <v>1710.5263157894738</v>
      </c>
      <c r="H333" s="145"/>
      <c r="I333" s="145"/>
      <c r="J333" s="4"/>
      <c r="K333" s="4"/>
    </row>
    <row r="334" spans="1:11" ht="13">
      <c r="A334" s="148"/>
      <c r="B334" s="90"/>
      <c r="C334" s="151" t="s">
        <v>839</v>
      </c>
      <c r="D334" s="149">
        <v>1</v>
      </c>
      <c r="E334" s="151" t="str">
        <f>VLOOKUP(C334,Master!$B$6:$N$1000,9,FALSE)</f>
        <v>pcs</v>
      </c>
      <c r="F334" s="150">
        <f>VLOOKUP(C334,Master!$B$6:$N$1000,10,FALSE)</f>
        <v>500</v>
      </c>
      <c r="G334" s="150">
        <f t="shared" si="62"/>
        <v>500</v>
      </c>
      <c r="H334" s="151"/>
      <c r="I334" s="151"/>
      <c r="J334" s="90"/>
      <c r="K334" s="107"/>
    </row>
    <row r="335" spans="1:11" ht="13">
      <c r="A335" s="182" t="str">
        <f>VLOOKUP(B335,Master!$V$7:$W$150,2,FALSE)</f>
        <v>M0045</v>
      </c>
      <c r="B335" s="135" t="s">
        <v>2070</v>
      </c>
      <c r="C335" s="136"/>
      <c r="D335" s="136"/>
      <c r="E335" s="136"/>
      <c r="F335" s="136"/>
      <c r="G335" s="138">
        <f>SUM(G336:G339)</f>
        <v>10299.473684210527</v>
      </c>
      <c r="H335" s="139">
        <v>0.1</v>
      </c>
      <c r="I335" s="138">
        <f>G335+(G335*H335)</f>
        <v>11329.42105263158</v>
      </c>
      <c r="J335" s="137" t="b">
        <v>0</v>
      </c>
      <c r="K335" s="186" t="b">
        <v>1</v>
      </c>
    </row>
    <row r="336" spans="1:11" ht="13">
      <c r="A336" s="141"/>
      <c r="B336" s="4"/>
      <c r="C336" s="4" t="s">
        <v>602</v>
      </c>
      <c r="D336" s="146">
        <v>17</v>
      </c>
      <c r="E336" s="4" t="str">
        <f>VLOOKUP(C336,Master!$B$6:$N$1000,9,FALSE)</f>
        <v>gr</v>
      </c>
      <c r="F336" s="144">
        <f>VLOOKUP(C336,Master!$B$6:$N$1000,10,FALSE)</f>
        <v>500</v>
      </c>
      <c r="G336" s="144">
        <f t="shared" ref="G336:G339" si="63">D336*F336</f>
        <v>8500</v>
      </c>
      <c r="H336" s="145"/>
      <c r="I336" s="145"/>
      <c r="J336" s="4"/>
      <c r="K336" s="147" t="s">
        <v>1361</v>
      </c>
    </row>
    <row r="337" spans="1:11" ht="13">
      <c r="A337" s="141"/>
      <c r="B337" s="4"/>
      <c r="C337" s="4" t="s">
        <v>2052</v>
      </c>
      <c r="D337" s="146">
        <v>150</v>
      </c>
      <c r="E337" s="4" t="str">
        <f>VLOOKUP(C337,Master!$B$6:$N$1000,9,FALSE)</f>
        <v>ml</v>
      </c>
      <c r="F337" s="144">
        <f>VLOOKUP(C337,Master!$B$6:$N$1000,10,FALSE)</f>
        <v>0.66315789473684206</v>
      </c>
      <c r="G337" s="144">
        <f t="shared" si="63"/>
        <v>99.473684210526315</v>
      </c>
      <c r="H337" s="145"/>
      <c r="I337" s="145"/>
      <c r="J337" s="4"/>
      <c r="K337" s="4"/>
    </row>
    <row r="338" spans="1:11" ht="13">
      <c r="A338" s="141"/>
      <c r="B338" s="4"/>
      <c r="C338" s="4" t="s">
        <v>739</v>
      </c>
      <c r="D338" s="146">
        <v>1</v>
      </c>
      <c r="E338" s="4" t="str">
        <f>VLOOKUP(C338,Master!$B$6:$N$1000,9,FALSE)</f>
        <v>pack</v>
      </c>
      <c r="F338" s="144">
        <f>VLOOKUP(C338,Master!$B$6:$N$1000,10,FALSE)</f>
        <v>1200</v>
      </c>
      <c r="G338" s="144">
        <f t="shared" si="63"/>
        <v>1200</v>
      </c>
      <c r="H338" s="145"/>
      <c r="I338" s="145"/>
      <c r="J338" s="4"/>
      <c r="K338" s="4"/>
    </row>
    <row r="339" spans="1:11" ht="13">
      <c r="A339" s="148"/>
      <c r="B339" s="90"/>
      <c r="C339" s="151" t="s">
        <v>839</v>
      </c>
      <c r="D339" s="149">
        <v>1</v>
      </c>
      <c r="E339" s="151" t="str">
        <f>VLOOKUP(C339,Master!$B$6:$N$1000,9,FALSE)</f>
        <v>pcs</v>
      </c>
      <c r="F339" s="150">
        <f>VLOOKUP(C339,Master!$B$6:$N$1000,10,FALSE)</f>
        <v>500</v>
      </c>
      <c r="G339" s="150">
        <f t="shared" si="63"/>
        <v>500</v>
      </c>
      <c r="H339" s="151"/>
      <c r="I339" s="151"/>
      <c r="J339" s="90"/>
      <c r="K339" s="107"/>
    </row>
    <row r="340" spans="1:11" ht="13">
      <c r="A340" s="182" t="str">
        <f>VLOOKUP(B340,Master!$V$7:$W$150,2,FALSE)</f>
        <v>M0014</v>
      </c>
      <c r="B340" s="135" t="s">
        <v>176</v>
      </c>
      <c r="C340" s="136"/>
      <c r="D340" s="136"/>
      <c r="E340" s="136"/>
      <c r="F340" s="136"/>
      <c r="G340" s="138">
        <f>SUM(G341:G346)</f>
        <v>14026.100000000002</v>
      </c>
      <c r="H340" s="139">
        <v>0.1</v>
      </c>
      <c r="I340" s="138">
        <f>G340+(G340*H340)</f>
        <v>15428.710000000003</v>
      </c>
      <c r="J340" s="137" t="b">
        <v>0</v>
      </c>
      <c r="K340" s="186" t="b">
        <v>1</v>
      </c>
    </row>
    <row r="341" spans="1:11" ht="13">
      <c r="A341" s="141"/>
      <c r="B341" s="4"/>
      <c r="C341" s="4" t="s">
        <v>1162</v>
      </c>
      <c r="D341" s="146">
        <v>30</v>
      </c>
      <c r="E341" s="4" t="str">
        <f>VLOOKUP(C341,Master!$B$6:$N$1000,9,FALSE)</f>
        <v>gr</v>
      </c>
      <c r="F341" s="144">
        <f>VLOOKUP(C341,Master!$B$6:$N$1000,10,FALSE)</f>
        <v>200</v>
      </c>
      <c r="G341" s="144">
        <f t="shared" ref="G341:G346" si="64">D341*F341</f>
        <v>6000</v>
      </c>
      <c r="H341" s="145"/>
      <c r="I341" s="145"/>
      <c r="J341" s="4"/>
      <c r="K341" s="147" t="s">
        <v>1361</v>
      </c>
    </row>
    <row r="342" spans="1:11" ht="13">
      <c r="A342" s="141"/>
      <c r="B342" s="4"/>
      <c r="C342" s="4" t="s">
        <v>1078</v>
      </c>
      <c r="D342" s="146">
        <v>20</v>
      </c>
      <c r="E342" s="4" t="str">
        <f>VLOOKUP(C342,Master!$B$6:$N$1000,9,FALSE)</f>
        <v>ml</v>
      </c>
      <c r="F342" s="144">
        <f>VLOOKUP(C342,Master!$B$6:$N$1000,10,FALSE)</f>
        <v>126.66666666666667</v>
      </c>
      <c r="G342" s="144">
        <f t="shared" si="64"/>
        <v>2533.3333333333335</v>
      </c>
      <c r="H342" s="145"/>
      <c r="I342" s="145"/>
      <c r="J342" s="4"/>
      <c r="K342" s="4"/>
    </row>
    <row r="343" spans="1:11" ht="13">
      <c r="A343" s="141"/>
      <c r="B343" s="4"/>
      <c r="C343" s="4" t="s">
        <v>2000</v>
      </c>
      <c r="D343" s="146">
        <v>20</v>
      </c>
      <c r="E343" s="4" t="str">
        <f>VLOOKUP(C343,Master!$B$6:$N$1000,9,FALSE)</f>
        <v>ml</v>
      </c>
      <c r="F343" s="144">
        <f>VLOOKUP(C343,Master!$B$6:$N$1000,10,FALSE)</f>
        <v>126.66666666666667</v>
      </c>
      <c r="G343" s="144">
        <f t="shared" si="64"/>
        <v>2533.3333333333335</v>
      </c>
      <c r="H343" s="145"/>
      <c r="I343" s="145"/>
      <c r="J343" s="4"/>
      <c r="K343" s="4"/>
    </row>
    <row r="344" spans="1:11" ht="13">
      <c r="A344" s="141"/>
      <c r="B344" s="4"/>
      <c r="C344" s="4" t="s">
        <v>1981</v>
      </c>
      <c r="D344" s="146">
        <v>100</v>
      </c>
      <c r="E344" s="4" t="str">
        <f>VLOOKUP(C344,Master!$B$6:$N$1000,9,FALSE)</f>
        <v>ml</v>
      </c>
      <c r="F344" s="144">
        <f>VLOOKUP(C344,Master!$B$6:$N$1000,10,FALSE)</f>
        <v>17.094333333333335</v>
      </c>
      <c r="G344" s="144">
        <f t="shared" si="64"/>
        <v>1709.4333333333334</v>
      </c>
      <c r="H344" s="145"/>
      <c r="I344" s="145"/>
      <c r="J344" s="4"/>
      <c r="K344" s="4"/>
    </row>
    <row r="345" spans="1:11" ht="13">
      <c r="A345" s="141"/>
      <c r="B345" s="4"/>
      <c r="C345" s="4" t="s">
        <v>1082</v>
      </c>
      <c r="D345" s="146">
        <v>0.5</v>
      </c>
      <c r="E345" s="4" t="str">
        <f>VLOOKUP(C345,Master!$B$6:$N$1000,9,FALSE)</f>
        <v>pcs</v>
      </c>
      <c r="F345" s="144">
        <f>VLOOKUP(C345,Master!$B$6:$N$1000,10,FALSE)</f>
        <v>1500</v>
      </c>
      <c r="G345" s="144">
        <f t="shared" si="64"/>
        <v>750</v>
      </c>
      <c r="H345" s="145"/>
      <c r="I345" s="145"/>
      <c r="J345" s="4"/>
      <c r="K345" s="4"/>
    </row>
    <row r="346" spans="1:11" ht="13">
      <c r="A346" s="90"/>
      <c r="B346" s="90"/>
      <c r="C346" s="151" t="s">
        <v>839</v>
      </c>
      <c r="D346" s="149">
        <v>1</v>
      </c>
      <c r="E346" s="151" t="str">
        <f>VLOOKUP(C346,Master!$B$6:$N$1000,9,FALSE)</f>
        <v>pcs</v>
      </c>
      <c r="F346" s="150">
        <f>VLOOKUP(C346,Master!$B$6:$N$1000,10,FALSE)</f>
        <v>500</v>
      </c>
      <c r="G346" s="150">
        <f t="shared" si="64"/>
        <v>500</v>
      </c>
      <c r="H346" s="151"/>
      <c r="I346" s="151"/>
      <c r="J346" s="90"/>
      <c r="K346" s="107"/>
    </row>
    <row r="347" spans="1:11" ht="13">
      <c r="A347" s="188" t="str">
        <f>VLOOKUP(B347,Master!$V$7:$W$150,2,FALSE)</f>
        <v>M0016</v>
      </c>
      <c r="B347" s="135" t="s">
        <v>194</v>
      </c>
      <c r="C347" s="136"/>
      <c r="D347" s="136"/>
      <c r="E347" s="136"/>
      <c r="F347" s="136"/>
      <c r="G347" s="138">
        <f>SUM(G348:G353)</f>
        <v>7209.0352982456152</v>
      </c>
      <c r="H347" s="139">
        <v>0.1</v>
      </c>
      <c r="I347" s="138">
        <f>G347+(G347*H347)</f>
        <v>7929.9388280701769</v>
      </c>
      <c r="J347" s="137" t="b">
        <v>0</v>
      </c>
      <c r="K347" s="186" t="b">
        <v>1</v>
      </c>
    </row>
    <row r="348" spans="1:11" ht="13">
      <c r="A348" s="141"/>
      <c r="B348" s="4"/>
      <c r="C348" s="4" t="s">
        <v>2001</v>
      </c>
      <c r="D348" s="146">
        <v>20</v>
      </c>
      <c r="E348" s="4" t="str">
        <f>VLOOKUP(C348,Master!$B$6:$N$1000,9,FALSE)</f>
        <v>gr</v>
      </c>
      <c r="F348" s="144">
        <f>VLOOKUP(C348,Master!$B$6:$N$1000,10,FALSE)</f>
        <v>108.22499999999999</v>
      </c>
      <c r="G348" s="144">
        <f t="shared" ref="G348:G353" si="65">D348*F348</f>
        <v>2164.5</v>
      </c>
      <c r="H348" s="145"/>
      <c r="I348" s="145"/>
      <c r="J348" s="4"/>
      <c r="K348" s="147" t="s">
        <v>1361</v>
      </c>
    </row>
    <row r="349" spans="1:11" ht="13">
      <c r="A349" s="141"/>
      <c r="B349" s="4"/>
      <c r="C349" s="4" t="s">
        <v>1078</v>
      </c>
      <c r="D349" s="146">
        <v>20</v>
      </c>
      <c r="E349" s="4" t="str">
        <f>VLOOKUP(C349,Master!$B$6:$N$1000,9,FALSE)</f>
        <v>ml</v>
      </c>
      <c r="F349" s="144">
        <f>VLOOKUP(C349,Master!$B$6:$N$1000,10,FALSE)</f>
        <v>126.66666666666667</v>
      </c>
      <c r="G349" s="144">
        <f t="shared" si="65"/>
        <v>2533.3333333333335</v>
      </c>
      <c r="H349" s="145"/>
      <c r="I349" s="145"/>
      <c r="J349" s="4"/>
      <c r="K349" s="4"/>
    </row>
    <row r="350" spans="1:11" ht="13">
      <c r="A350" s="141"/>
      <c r="B350" s="4"/>
      <c r="C350" s="4" t="s">
        <v>378</v>
      </c>
      <c r="D350" s="146">
        <v>8</v>
      </c>
      <c r="E350" s="4" t="str">
        <f>VLOOKUP(C350,Master!$B$6:$N$1000,9,FALSE)</f>
        <v>ml</v>
      </c>
      <c r="F350" s="144">
        <f>VLOOKUP(C350,Master!$B$6:$N$1000,10,FALSE)</f>
        <v>15.983578947368422</v>
      </c>
      <c r="G350" s="144">
        <f t="shared" si="65"/>
        <v>127.86863157894737</v>
      </c>
      <c r="H350" s="145"/>
      <c r="I350" s="145"/>
      <c r="J350" s="4"/>
      <c r="K350" s="4"/>
    </row>
    <row r="351" spans="1:11" ht="13">
      <c r="A351" s="141"/>
      <c r="B351" s="4"/>
      <c r="C351" s="4" t="s">
        <v>2056</v>
      </c>
      <c r="D351" s="146">
        <v>100</v>
      </c>
      <c r="E351" s="4" t="str">
        <f>VLOOKUP(C351,Master!$B$6:$N$1000,9,FALSE)</f>
        <v>ml</v>
      </c>
      <c r="F351" s="144">
        <f>VLOOKUP(C351,Master!$B$6:$N$1000,10,FALSE)</f>
        <v>10.833333333333334</v>
      </c>
      <c r="G351" s="144">
        <f t="shared" si="65"/>
        <v>1083.3333333333335</v>
      </c>
      <c r="H351" s="145"/>
      <c r="I351" s="145"/>
      <c r="J351" s="4"/>
      <c r="K351" s="4"/>
    </row>
    <row r="352" spans="1:11" ht="13">
      <c r="A352" s="141"/>
      <c r="B352" s="4"/>
      <c r="C352" s="4" t="s">
        <v>2013</v>
      </c>
      <c r="D352" s="146">
        <v>20</v>
      </c>
      <c r="E352" s="4" t="str">
        <f>VLOOKUP(C352,Master!$B$6:$N$1000,9,FALSE)</f>
        <v>ml</v>
      </c>
      <c r="F352" s="144">
        <f>VLOOKUP(C352,Master!$B$6:$N$1000,10,FALSE)</f>
        <v>40</v>
      </c>
      <c r="G352" s="144">
        <f t="shared" si="65"/>
        <v>800</v>
      </c>
      <c r="H352" s="145"/>
      <c r="I352" s="145"/>
      <c r="J352" s="4"/>
      <c r="K352" s="4"/>
    </row>
    <row r="353" spans="1:11" ht="13">
      <c r="A353" s="90"/>
      <c r="B353" s="90"/>
      <c r="C353" s="151" t="s">
        <v>839</v>
      </c>
      <c r="D353" s="149">
        <v>1</v>
      </c>
      <c r="E353" s="151" t="str">
        <f>VLOOKUP(C353,Master!$B$6:$N$1000,9,FALSE)</f>
        <v>pcs</v>
      </c>
      <c r="F353" s="150">
        <f>VLOOKUP(C353,Master!$B$6:$N$1000,10,FALSE)</f>
        <v>500</v>
      </c>
      <c r="G353" s="150">
        <f t="shared" si="65"/>
        <v>500</v>
      </c>
      <c r="H353" s="151"/>
      <c r="I353" s="151"/>
      <c r="J353" s="90"/>
      <c r="K353" s="107"/>
    </row>
    <row r="354" spans="1:11" ht="13">
      <c r="A354" s="188" t="str">
        <f>VLOOKUP(B354,Master!$V$7:$W$150,2,FALSE)</f>
        <v>M0037</v>
      </c>
      <c r="B354" s="135" t="s">
        <v>334</v>
      </c>
      <c r="C354" s="136"/>
      <c r="D354" s="136"/>
      <c r="E354" s="136"/>
      <c r="F354" s="136"/>
      <c r="G354" s="138">
        <f>SUM(G355:G361)</f>
        <v>10480.487679197995</v>
      </c>
      <c r="H354" s="139">
        <v>0.1</v>
      </c>
      <c r="I354" s="138">
        <f>G354+(G354*H354)</f>
        <v>11528.536447117795</v>
      </c>
      <c r="J354" s="137" t="b">
        <v>0</v>
      </c>
      <c r="K354" s="186" t="b">
        <v>1</v>
      </c>
    </row>
    <row r="355" spans="1:11" ht="13">
      <c r="A355" s="141"/>
      <c r="B355" s="4"/>
      <c r="C355" s="4" t="s">
        <v>2005</v>
      </c>
      <c r="D355" s="146">
        <v>20</v>
      </c>
      <c r="E355" s="4" t="str">
        <f>VLOOKUP(C355,Master!$B$6:$N$1000,9,FALSE)</f>
        <v>gr</v>
      </c>
      <c r="F355" s="144">
        <f>VLOOKUP(C355,Master!$B$6:$N$1000,10,FALSE)</f>
        <v>97.5</v>
      </c>
      <c r="G355" s="144">
        <f t="shared" ref="G355:G361" si="66">D355*F355</f>
        <v>1950</v>
      </c>
      <c r="H355" s="145"/>
      <c r="I355" s="145"/>
      <c r="J355" s="4"/>
      <c r="K355" s="147" t="s">
        <v>1361</v>
      </c>
    </row>
    <row r="356" spans="1:11" ht="13">
      <c r="A356" s="141"/>
      <c r="B356" s="4"/>
      <c r="C356" s="4" t="s">
        <v>1993</v>
      </c>
      <c r="D356" s="146">
        <v>40</v>
      </c>
      <c r="E356" s="4" t="str">
        <f>VLOOKUP(C356,Master!$B$6:$N$1000,9,FALSE)</f>
        <v>ml</v>
      </c>
      <c r="F356" s="144">
        <f>VLOOKUP(C356,Master!$B$6:$N$1000,10,FALSE)</f>
        <v>29.5</v>
      </c>
      <c r="G356" s="144">
        <f t="shared" si="66"/>
        <v>1180</v>
      </c>
      <c r="H356" s="145"/>
      <c r="I356" s="145"/>
      <c r="J356" s="4"/>
      <c r="K356" s="4"/>
    </row>
    <row r="357" spans="1:11" ht="13">
      <c r="A357" s="141"/>
      <c r="B357" s="4"/>
      <c r="C357" s="4" t="s">
        <v>1998</v>
      </c>
      <c r="D357" s="146">
        <v>20</v>
      </c>
      <c r="E357" s="4" t="str">
        <f>VLOOKUP(C357,Master!$B$6:$N$1000,9,FALSE)</f>
        <v>ml</v>
      </c>
      <c r="F357" s="144">
        <f>VLOOKUP(C357,Master!$B$6:$N$1000,10,FALSE)</f>
        <v>200.71428571428572</v>
      </c>
      <c r="G357" s="144">
        <f t="shared" si="66"/>
        <v>4014.2857142857147</v>
      </c>
      <c r="H357" s="145"/>
      <c r="I357" s="145"/>
      <c r="J357" s="4"/>
      <c r="K357" s="4"/>
    </row>
    <row r="358" spans="1:11" ht="13">
      <c r="A358" s="141"/>
      <c r="B358" s="4"/>
      <c r="C358" s="4" t="s">
        <v>2056</v>
      </c>
      <c r="D358" s="146">
        <v>100</v>
      </c>
      <c r="E358" s="4" t="str">
        <f>VLOOKUP(C358,Master!$B$6:$N$1000,9,FALSE)</f>
        <v>ml</v>
      </c>
      <c r="F358" s="144">
        <f>VLOOKUP(C358,Master!$B$6:$N$1000,10,FALSE)</f>
        <v>10.833333333333334</v>
      </c>
      <c r="G358" s="144">
        <f t="shared" si="66"/>
        <v>1083.3333333333335</v>
      </c>
      <c r="H358" s="145"/>
      <c r="I358" s="145"/>
      <c r="J358" s="4"/>
      <c r="K358" s="4"/>
    </row>
    <row r="359" spans="1:11" ht="13">
      <c r="A359" s="4"/>
      <c r="B359" s="4"/>
      <c r="C359" s="4" t="s">
        <v>1172</v>
      </c>
      <c r="D359" s="146">
        <v>1</v>
      </c>
      <c r="E359" s="4" t="str">
        <f>VLOOKUP(C359,Master!$B$6:$N$1000,9,FALSE)</f>
        <v>pcs</v>
      </c>
      <c r="F359" s="144">
        <f>VLOOKUP(C359,Master!$B$6:$N$1000,10,FALSE)</f>
        <v>1625</v>
      </c>
      <c r="G359" s="144">
        <f t="shared" si="66"/>
        <v>1625</v>
      </c>
      <c r="H359" s="145"/>
      <c r="I359" s="145"/>
      <c r="J359" s="4"/>
      <c r="K359" s="4"/>
    </row>
    <row r="360" spans="1:11" ht="13">
      <c r="A360" s="4"/>
      <c r="B360" s="4"/>
      <c r="C360" s="145" t="s">
        <v>378</v>
      </c>
      <c r="D360" s="146">
        <v>8</v>
      </c>
      <c r="E360" s="4" t="str">
        <f>VLOOKUP(C360,Master!$B$6:$N$1000,9,FALSE)</f>
        <v>ml</v>
      </c>
      <c r="F360" s="144">
        <f>VLOOKUP(C360,Master!$B$6:$N$1000,10,FALSE)</f>
        <v>15.983578947368422</v>
      </c>
      <c r="G360" s="144">
        <f t="shared" si="66"/>
        <v>127.86863157894737</v>
      </c>
      <c r="H360" s="81"/>
      <c r="I360" s="121"/>
      <c r="J360" s="4" t="b">
        <v>0</v>
      </c>
      <c r="K360" s="121" t="b">
        <v>0</v>
      </c>
    </row>
    <row r="361" spans="1:11" ht="13">
      <c r="A361" s="90"/>
      <c r="B361" s="90"/>
      <c r="C361" s="151" t="s">
        <v>839</v>
      </c>
      <c r="D361" s="149">
        <v>1</v>
      </c>
      <c r="E361" s="151" t="str">
        <f>VLOOKUP(C361,Master!$B$6:$N$1000,9,FALSE)</f>
        <v>pcs</v>
      </c>
      <c r="F361" s="150">
        <f>VLOOKUP(C361,Master!$B$6:$N$1000,10,FALSE)</f>
        <v>500</v>
      </c>
      <c r="G361" s="150">
        <f t="shared" si="66"/>
        <v>500</v>
      </c>
      <c r="H361" s="178"/>
      <c r="I361" s="107"/>
      <c r="J361" s="90"/>
      <c r="K361" s="107"/>
    </row>
    <row r="362" spans="1:11" ht="13">
      <c r="A362" s="188" t="str">
        <f>VLOOKUP(B362,Master!$V$7:$W$150,2,FALSE)</f>
        <v>M0048</v>
      </c>
      <c r="B362" s="135" t="s">
        <v>384</v>
      </c>
      <c r="C362" s="136"/>
      <c r="D362" s="136"/>
      <c r="E362" s="136"/>
      <c r="F362" s="136"/>
      <c r="G362" s="138">
        <f>SUM(G363:G366)</f>
        <v>5771.3372562553923</v>
      </c>
      <c r="H362" s="139">
        <v>0.1</v>
      </c>
      <c r="I362" s="138">
        <f>G362+(G362*H362)</f>
        <v>6348.4709818809315</v>
      </c>
      <c r="J362" s="137" t="b">
        <v>0</v>
      </c>
      <c r="K362" s="186" t="b">
        <v>1</v>
      </c>
    </row>
    <row r="363" spans="1:11" ht="13">
      <c r="A363" s="141"/>
      <c r="B363" s="4"/>
      <c r="C363" s="4" t="s">
        <v>582</v>
      </c>
      <c r="D363" s="146">
        <v>20</v>
      </c>
      <c r="E363" s="4" t="str">
        <f>VLOOKUP(C363,Master!$B$6:$N$1000,9,FALSE)</f>
        <v>gr</v>
      </c>
      <c r="F363" s="144">
        <f>VLOOKUP(C363,Master!$B$6:$N$1000,10,FALSE)</f>
        <v>120</v>
      </c>
      <c r="G363" s="144">
        <f t="shared" ref="G363:G366" si="67">D363*F363</f>
        <v>2400</v>
      </c>
      <c r="H363" s="145"/>
      <c r="I363" s="145"/>
      <c r="J363" s="4"/>
      <c r="K363" s="147" t="s">
        <v>1361</v>
      </c>
    </row>
    <row r="364" spans="1:11" ht="13">
      <c r="A364" s="141"/>
      <c r="B364" s="4"/>
      <c r="C364" s="4" t="s">
        <v>390</v>
      </c>
      <c r="D364" s="146">
        <v>20</v>
      </c>
      <c r="E364" s="4" t="str">
        <f>VLOOKUP(C364,Master!$B$6:$N$1000,9,FALSE)</f>
        <v>ml</v>
      </c>
      <c r="F364" s="144">
        <f>VLOOKUP(C364,Master!$B$6:$N$1000,10,FALSE)</f>
        <v>41.000862812769633</v>
      </c>
      <c r="G364" s="144">
        <f t="shared" si="67"/>
        <v>820.01725625539268</v>
      </c>
      <c r="H364" s="145"/>
      <c r="I364" s="145"/>
      <c r="J364" s="4"/>
      <c r="K364" s="4"/>
    </row>
    <row r="365" spans="1:11" ht="13">
      <c r="A365" s="141"/>
      <c r="B365" s="4"/>
      <c r="C365" s="4" t="s">
        <v>1981</v>
      </c>
      <c r="D365" s="146">
        <v>120</v>
      </c>
      <c r="E365" s="4" t="str">
        <f>VLOOKUP(C365,Master!$B$6:$N$1000,9,FALSE)</f>
        <v>ml</v>
      </c>
      <c r="F365" s="144">
        <f>VLOOKUP(C365,Master!$B$6:$N$1000,10,FALSE)</f>
        <v>17.094333333333335</v>
      </c>
      <c r="G365" s="144">
        <f t="shared" si="67"/>
        <v>2051.3200000000002</v>
      </c>
      <c r="H365" s="145"/>
      <c r="I365" s="145"/>
      <c r="J365" s="4"/>
      <c r="K365" s="4"/>
    </row>
    <row r="366" spans="1:11" ht="13">
      <c r="A366" s="148"/>
      <c r="B366" s="90"/>
      <c r="C366" s="151" t="s">
        <v>839</v>
      </c>
      <c r="D366" s="149">
        <v>1</v>
      </c>
      <c r="E366" s="151" t="str">
        <f>VLOOKUP(C366,Master!$B$6:$N$1000,9,FALSE)</f>
        <v>pcs</v>
      </c>
      <c r="F366" s="150">
        <f>VLOOKUP(C366,Master!$B$6:$N$1000,10,FALSE)</f>
        <v>500</v>
      </c>
      <c r="G366" s="150">
        <f t="shared" si="67"/>
        <v>500</v>
      </c>
      <c r="H366" s="151"/>
      <c r="I366" s="151"/>
      <c r="J366" s="90"/>
      <c r="K366" s="107"/>
    </row>
    <row r="367" spans="1:11" ht="13">
      <c r="A367" s="188" t="str">
        <f>VLOOKUP(B367,Master!$V$7:$W$150,2,FALSE)</f>
        <v>M0056</v>
      </c>
      <c r="B367" s="135" t="s">
        <v>414</v>
      </c>
      <c r="C367" s="136"/>
      <c r="D367" s="136"/>
      <c r="E367" s="136"/>
      <c r="F367" s="136"/>
      <c r="G367" s="138">
        <f>SUM(G368:G371)</f>
        <v>5663.1578947368416</v>
      </c>
      <c r="H367" s="139">
        <v>0.1</v>
      </c>
      <c r="I367" s="138">
        <f>G367+(G367*H367)</f>
        <v>6229.4736842105258</v>
      </c>
      <c r="J367" s="137" t="b">
        <v>0</v>
      </c>
      <c r="K367" s="186" t="b">
        <v>1</v>
      </c>
    </row>
    <row r="368" spans="1:11" ht="13">
      <c r="A368" s="141"/>
      <c r="B368" s="4"/>
      <c r="C368" s="4" t="s">
        <v>582</v>
      </c>
      <c r="D368" s="146">
        <v>20</v>
      </c>
      <c r="E368" s="4" t="str">
        <f>VLOOKUP(C368,Master!$B$6:$N$1000,9,FALSE)</f>
        <v>gr</v>
      </c>
      <c r="F368" s="144">
        <f>VLOOKUP(C368,Master!$B$6:$N$1000,10,FALSE)</f>
        <v>120</v>
      </c>
      <c r="G368" s="144">
        <f t="shared" ref="G368:G371" si="68">D368*F368</f>
        <v>2400</v>
      </c>
      <c r="H368" s="145"/>
      <c r="I368" s="145"/>
      <c r="J368" s="4"/>
      <c r="K368" s="147" t="s">
        <v>1361</v>
      </c>
    </row>
    <row r="369" spans="1:11" ht="13">
      <c r="A369" s="141"/>
      <c r="B369" s="4"/>
      <c r="C369" s="4" t="s">
        <v>2052</v>
      </c>
      <c r="D369" s="146">
        <v>0</v>
      </c>
      <c r="E369" s="4" t="str">
        <f>VLOOKUP(C369,Master!$B$6:$N$1000,9,FALSE)</f>
        <v>ml</v>
      </c>
      <c r="F369" s="144">
        <f>VLOOKUP(C369,Master!$B$6:$N$1000,10,FALSE)</f>
        <v>0.66315789473684206</v>
      </c>
      <c r="G369" s="144">
        <f t="shared" si="68"/>
        <v>0</v>
      </c>
      <c r="H369" s="145"/>
      <c r="I369" s="145"/>
      <c r="J369" s="4"/>
      <c r="K369" s="4"/>
    </row>
    <row r="370" spans="1:11" ht="13">
      <c r="A370" s="141"/>
      <c r="B370" s="4"/>
      <c r="C370" s="4" t="s">
        <v>1987</v>
      </c>
      <c r="D370" s="146">
        <v>150</v>
      </c>
      <c r="E370" s="4" t="str">
        <f>VLOOKUP(C370,Master!$B$6:$N$1000,9,FALSE)</f>
        <v>ml</v>
      </c>
      <c r="F370" s="144">
        <f>VLOOKUP(C370,Master!$B$6:$N$1000,10,FALSE)</f>
        <v>18.421052631578949</v>
      </c>
      <c r="G370" s="144">
        <f t="shared" si="68"/>
        <v>2763.1578947368421</v>
      </c>
      <c r="H370" s="145"/>
      <c r="I370" s="145"/>
      <c r="J370" s="4"/>
      <c r="K370" s="4"/>
    </row>
    <row r="371" spans="1:11" ht="13">
      <c r="A371" s="148"/>
      <c r="B371" s="90"/>
      <c r="C371" s="151" t="s">
        <v>839</v>
      </c>
      <c r="D371" s="149">
        <v>1</v>
      </c>
      <c r="E371" s="151" t="str">
        <f>VLOOKUP(C371,Master!$B$6:$N$1000,9,FALSE)</f>
        <v>pcs</v>
      </c>
      <c r="F371" s="150">
        <f>VLOOKUP(C371,Master!$B$6:$N$1000,10,FALSE)</f>
        <v>500</v>
      </c>
      <c r="G371" s="150">
        <f t="shared" si="68"/>
        <v>500</v>
      </c>
      <c r="H371" s="151"/>
      <c r="I371" s="151"/>
      <c r="J371" s="90"/>
      <c r="K371" s="107"/>
    </row>
    <row r="372" spans="1:11" ht="13">
      <c r="A372" s="182" t="str">
        <f>VLOOKUP(B372,Master!$V$7:$W$150,2,FALSE)</f>
        <v>M0054</v>
      </c>
      <c r="B372" s="135" t="s">
        <v>407</v>
      </c>
      <c r="C372" s="136"/>
      <c r="D372" s="136"/>
      <c r="E372" s="136"/>
      <c r="F372" s="136"/>
      <c r="G372" s="138">
        <f>SUM(G373:G376)</f>
        <v>9551.0091228070178</v>
      </c>
      <c r="H372" s="139">
        <v>0.1</v>
      </c>
      <c r="I372" s="138">
        <f>G372+(G372*H372)</f>
        <v>10506.11003508772</v>
      </c>
      <c r="J372" s="137" t="b">
        <v>0</v>
      </c>
      <c r="K372" s="186" t="b">
        <v>1</v>
      </c>
    </row>
    <row r="373" spans="1:11" ht="13">
      <c r="A373" s="141"/>
      <c r="B373" s="4"/>
      <c r="C373" s="4" t="s">
        <v>582</v>
      </c>
      <c r="D373" s="146">
        <v>20</v>
      </c>
      <c r="E373" s="4" t="str">
        <f>VLOOKUP(C373,Master!$B$6:$N$1000,9,FALSE)</f>
        <v>gr</v>
      </c>
      <c r="F373" s="144">
        <f>VLOOKUP(C373,Master!$B$6:$N$1000,10,FALSE)</f>
        <v>120</v>
      </c>
      <c r="G373" s="144">
        <f t="shared" ref="G373:G376" si="69">D373*F373</f>
        <v>2400</v>
      </c>
      <c r="H373" s="145"/>
      <c r="I373" s="145"/>
      <c r="J373" s="4"/>
      <c r="K373" s="147" t="s">
        <v>1361</v>
      </c>
    </row>
    <row r="374" spans="1:11" ht="13">
      <c r="A374" s="141"/>
      <c r="B374" s="4"/>
      <c r="C374" s="4" t="s">
        <v>365</v>
      </c>
      <c r="D374" s="146">
        <v>1</v>
      </c>
      <c r="E374" s="4" t="str">
        <f>VLOOKUP(C374,Master!$B$6:$N$1000,9,FALSE)</f>
        <v>porsi</v>
      </c>
      <c r="F374" s="144">
        <f>VLOOKUP(C374,Master!$B$6:$N$1000,10,FALSE)</f>
        <v>3915.9157894736845</v>
      </c>
      <c r="G374" s="144">
        <f t="shared" si="69"/>
        <v>3915.9157894736845</v>
      </c>
      <c r="H374" s="145"/>
      <c r="I374" s="145"/>
      <c r="J374" s="4"/>
      <c r="K374" s="4"/>
    </row>
    <row r="375" spans="1:11" ht="13">
      <c r="A375" s="141"/>
      <c r="B375" s="4"/>
      <c r="C375" s="4" t="s">
        <v>1981</v>
      </c>
      <c r="D375" s="146">
        <v>160</v>
      </c>
      <c r="E375" s="4" t="str">
        <f>VLOOKUP(C375,Master!$B$6:$N$1000,9,FALSE)</f>
        <v>ml</v>
      </c>
      <c r="F375" s="144">
        <f>VLOOKUP(C375,Master!$B$6:$N$1000,10,FALSE)</f>
        <v>17.094333333333335</v>
      </c>
      <c r="G375" s="144">
        <f t="shared" si="69"/>
        <v>2735.0933333333337</v>
      </c>
      <c r="H375" s="145"/>
      <c r="I375" s="145"/>
      <c r="J375" s="4"/>
      <c r="K375" s="4"/>
    </row>
    <row r="376" spans="1:11" ht="13">
      <c r="A376" s="148"/>
      <c r="B376" s="90"/>
      <c r="C376" s="151" t="s">
        <v>839</v>
      </c>
      <c r="D376" s="149">
        <v>1</v>
      </c>
      <c r="E376" s="151" t="str">
        <f>VLOOKUP(C376,Master!$B$6:$N$1000,9,FALSE)</f>
        <v>pcs</v>
      </c>
      <c r="F376" s="150">
        <f>VLOOKUP(C376,Master!$B$6:$N$1000,10,FALSE)</f>
        <v>500</v>
      </c>
      <c r="G376" s="150">
        <f t="shared" si="69"/>
        <v>500</v>
      </c>
      <c r="H376" s="151"/>
      <c r="I376" s="151"/>
      <c r="J376" s="90"/>
      <c r="K376" s="107"/>
    </row>
    <row r="377" spans="1:11" ht="13">
      <c r="A377" s="182" t="str">
        <f>VLOOKUP(B377,Master!$V$7:$W$150,2,FALSE)</f>
        <v>M0091</v>
      </c>
      <c r="B377" s="135" t="s">
        <v>554</v>
      </c>
      <c r="C377" s="136"/>
      <c r="D377" s="136"/>
      <c r="E377" s="136"/>
      <c r="F377" s="136"/>
      <c r="G377" s="138">
        <f>SUM(G378:G381)</f>
        <v>9269.1224561403506</v>
      </c>
      <c r="H377" s="139">
        <v>0.1</v>
      </c>
      <c r="I377" s="138">
        <f>G377+(G377*H377)</f>
        <v>10196.034701754386</v>
      </c>
      <c r="J377" s="137" t="b">
        <v>0</v>
      </c>
      <c r="K377" s="186" t="b">
        <v>1</v>
      </c>
    </row>
    <row r="378" spans="1:11" ht="13">
      <c r="A378" s="141"/>
      <c r="B378" s="4"/>
      <c r="C378" s="4" t="s">
        <v>582</v>
      </c>
      <c r="D378" s="146">
        <v>20</v>
      </c>
      <c r="E378" s="4" t="str">
        <f>VLOOKUP(C378,Master!$B$6:$N$1000,9,FALSE)</f>
        <v>gr</v>
      </c>
      <c r="F378" s="144">
        <f>VLOOKUP(C378,Master!$B$6:$N$1000,10,FALSE)</f>
        <v>120</v>
      </c>
      <c r="G378" s="144">
        <f t="shared" ref="G378:G381" si="70">D378*F378</f>
        <v>2400</v>
      </c>
      <c r="H378" s="145"/>
      <c r="I378" s="145"/>
      <c r="J378" s="4"/>
      <c r="K378" s="147" t="s">
        <v>1361</v>
      </c>
    </row>
    <row r="379" spans="1:11" ht="13">
      <c r="A379" s="141"/>
      <c r="B379" s="4"/>
      <c r="C379" s="4" t="s">
        <v>365</v>
      </c>
      <c r="D379" s="146">
        <v>1</v>
      </c>
      <c r="E379" s="4" t="str">
        <f>VLOOKUP(C379,Master!$B$6:$N$1000,9,FALSE)</f>
        <v>porsi</v>
      </c>
      <c r="F379" s="144">
        <f>VLOOKUP(C379,Master!$B$6:$N$1000,10,FALSE)</f>
        <v>3915.9157894736845</v>
      </c>
      <c r="G379" s="144">
        <f t="shared" si="70"/>
        <v>3915.9157894736845</v>
      </c>
      <c r="H379" s="145"/>
      <c r="I379" s="145"/>
      <c r="J379" s="4"/>
      <c r="K379" s="4"/>
    </row>
    <row r="380" spans="1:11" ht="13">
      <c r="A380" s="141"/>
      <c r="B380" s="4"/>
      <c r="C380" s="4" t="s">
        <v>1981</v>
      </c>
      <c r="D380" s="146">
        <v>140</v>
      </c>
      <c r="E380" s="4" t="str">
        <f>VLOOKUP(C380,Master!$B$6:$N$1000,9,FALSE)</f>
        <v>ml</v>
      </c>
      <c r="F380" s="144">
        <f>VLOOKUP(C380,Master!$B$6:$N$1000,10,FALSE)</f>
        <v>17.094333333333335</v>
      </c>
      <c r="G380" s="144">
        <f t="shared" si="70"/>
        <v>2393.2066666666669</v>
      </c>
      <c r="H380" s="145"/>
      <c r="I380" s="145"/>
      <c r="J380" s="4"/>
      <c r="K380" s="4"/>
    </row>
    <row r="381" spans="1:11" ht="13">
      <c r="A381" s="148"/>
      <c r="B381" s="90"/>
      <c r="C381" s="151" t="s">
        <v>843</v>
      </c>
      <c r="D381" s="149">
        <v>1</v>
      </c>
      <c r="E381" s="151" t="str">
        <f>VLOOKUP(C381,Master!$B$6:$N$1000,9,FALSE)</f>
        <v>pcs</v>
      </c>
      <c r="F381" s="150">
        <f>VLOOKUP(C381,Master!$B$6:$N$1000,10,FALSE)</f>
        <v>560</v>
      </c>
      <c r="G381" s="150">
        <f t="shared" si="70"/>
        <v>560</v>
      </c>
      <c r="H381" s="151"/>
      <c r="I381" s="151"/>
      <c r="J381" s="90"/>
      <c r="K381" s="107"/>
    </row>
    <row r="382" spans="1:11" ht="13">
      <c r="A382" s="182" t="str">
        <f>VLOOKUP(B382,Master!$V$7:$W$1000,2,FALSE)</f>
        <v>M0148</v>
      </c>
      <c r="B382" s="135" t="s">
        <v>801</v>
      </c>
      <c r="C382" s="136"/>
      <c r="D382" s="136"/>
      <c r="E382" s="136"/>
      <c r="F382" s="136"/>
      <c r="G382" s="138">
        <f>SUM(G383:G388)</f>
        <v>4533.7050079744813</v>
      </c>
      <c r="H382" s="139">
        <v>0.1</v>
      </c>
      <c r="I382" s="138">
        <f>G382+(G382*H382)</f>
        <v>4987.0755087719299</v>
      </c>
      <c r="J382" s="137" t="b">
        <v>0</v>
      </c>
      <c r="K382" s="186" t="b">
        <v>1</v>
      </c>
    </row>
    <row r="383" spans="1:11" ht="13">
      <c r="A383" s="141"/>
      <c r="B383" s="4"/>
      <c r="C383" s="4" t="s">
        <v>1993</v>
      </c>
      <c r="D383" s="146">
        <v>40</v>
      </c>
      <c r="E383" s="4" t="str">
        <f>VLOOKUP(C383,Master!$B$6:$N$1000,9,FALSE)</f>
        <v>ml</v>
      </c>
      <c r="F383" s="144">
        <f>VLOOKUP(C383,Master!$B$6:$N$1000,10,FALSE)</f>
        <v>29.5</v>
      </c>
      <c r="G383" s="144">
        <f t="shared" ref="G383:G388" si="71">D383*F383</f>
        <v>1180</v>
      </c>
      <c r="H383" s="145"/>
      <c r="I383" s="145"/>
      <c r="J383" s="4"/>
      <c r="K383" s="4"/>
    </row>
    <row r="384" spans="1:11" ht="13">
      <c r="A384" s="141"/>
      <c r="B384" s="4"/>
      <c r="C384" s="4" t="s">
        <v>2047</v>
      </c>
      <c r="D384" s="146">
        <v>10</v>
      </c>
      <c r="E384" s="4" t="str">
        <f>VLOOKUP(C384,Master!$B$6:$N$1000,9,FALSE)</f>
        <v>ml</v>
      </c>
      <c r="F384" s="144">
        <f>VLOOKUP(C384,Master!$B$6:$N$1000,10,FALSE)</f>
        <v>106.06060606060606</v>
      </c>
      <c r="G384" s="144">
        <f t="shared" si="71"/>
        <v>1060.6060606060605</v>
      </c>
      <c r="H384" s="145"/>
      <c r="I384" s="145"/>
      <c r="J384" s="4"/>
      <c r="K384" s="4"/>
    </row>
    <row r="385" spans="1:11" ht="13">
      <c r="A385" s="141"/>
      <c r="B385" s="4"/>
      <c r="C385" s="4" t="s">
        <v>378</v>
      </c>
      <c r="D385" s="146">
        <v>10</v>
      </c>
      <c r="E385" s="4" t="str">
        <f>VLOOKUP(C385,Master!$B$6:$N$1000,9,FALSE)</f>
        <v>ml</v>
      </c>
      <c r="F385" s="144">
        <f>VLOOKUP(C385,Master!$B$6:$N$1000,10,FALSE)</f>
        <v>15.983578947368422</v>
      </c>
      <c r="G385" s="144">
        <f t="shared" si="71"/>
        <v>159.8357894736842</v>
      </c>
      <c r="H385" s="145"/>
      <c r="I385" s="145"/>
      <c r="J385" s="4"/>
      <c r="K385" s="4"/>
    </row>
    <row r="386" spans="1:11" ht="13">
      <c r="A386" s="141"/>
      <c r="B386" s="4"/>
      <c r="C386" s="4" t="s">
        <v>827</v>
      </c>
      <c r="D386" s="146">
        <v>150</v>
      </c>
      <c r="E386" s="4" t="str">
        <f>VLOOKUP(C386,Master!$B$6:$N$1000,9,FALSE)</f>
        <v>gr</v>
      </c>
      <c r="F386" s="144">
        <f>VLOOKUP(C386,Master!$B$6:$N$1000,10,FALSE)</f>
        <v>12</v>
      </c>
      <c r="G386" s="144">
        <f t="shared" si="71"/>
        <v>1800</v>
      </c>
      <c r="H386" s="145"/>
      <c r="I386" s="145"/>
      <c r="J386" s="4"/>
      <c r="K386" s="4"/>
    </row>
    <row r="387" spans="1:11" ht="13">
      <c r="A387" s="141"/>
      <c r="B387" s="4"/>
      <c r="C387" s="4" t="s">
        <v>2052</v>
      </c>
      <c r="D387" s="146">
        <v>20</v>
      </c>
      <c r="E387" s="4" t="str">
        <f>VLOOKUP(C387,Master!$B$6:$N$1000,9,FALSE)</f>
        <v>ml</v>
      </c>
      <c r="F387" s="144">
        <f>VLOOKUP(C387,Master!$B$6:$N$1000,10,FALSE)</f>
        <v>0.66315789473684206</v>
      </c>
      <c r="G387" s="144">
        <f t="shared" si="71"/>
        <v>13.263157894736841</v>
      </c>
      <c r="H387" s="145"/>
      <c r="I387" s="145"/>
      <c r="J387" s="4"/>
      <c r="K387" s="4"/>
    </row>
    <row r="388" spans="1:11" ht="13">
      <c r="A388" s="148"/>
      <c r="B388" s="90"/>
      <c r="C388" s="151" t="s">
        <v>1164</v>
      </c>
      <c r="D388" s="149">
        <v>1</v>
      </c>
      <c r="E388" s="151" t="str">
        <f>VLOOKUP(C388,Master!$B$6:$N$1000,9,FALSE)</f>
        <v>pcs</v>
      </c>
      <c r="F388" s="150">
        <f>VLOOKUP(C388,Master!$B$6:$N$1000,10,FALSE)</f>
        <v>320</v>
      </c>
      <c r="G388" s="150">
        <f t="shared" si="71"/>
        <v>320</v>
      </c>
      <c r="H388" s="151"/>
      <c r="I388" s="151"/>
      <c r="J388" s="90"/>
      <c r="K388" s="107"/>
    </row>
    <row r="389" spans="1:11" ht="13">
      <c r="A389" s="182" t="str">
        <f>VLOOKUP(B389,Master!$V$7:$W$1000,2,FALSE)</f>
        <v>M0018</v>
      </c>
      <c r="B389" s="135" t="s">
        <v>210</v>
      </c>
      <c r="C389" s="136"/>
      <c r="D389" s="136"/>
      <c r="E389" s="136"/>
      <c r="F389" s="136"/>
      <c r="G389" s="138">
        <f>SUM(G390:G394)</f>
        <v>8566.3329421915441</v>
      </c>
      <c r="H389" s="139">
        <v>0.1</v>
      </c>
      <c r="I389" s="138">
        <f>G389+(G389*H389)</f>
        <v>9422.9662364106989</v>
      </c>
      <c r="J389" s="137" t="b">
        <v>0</v>
      </c>
      <c r="K389" s="186" t="b">
        <v>1</v>
      </c>
    </row>
    <row r="390" spans="1:11" ht="13">
      <c r="A390" s="141"/>
      <c r="B390" s="4"/>
      <c r="C390" s="4" t="s">
        <v>1180</v>
      </c>
      <c r="D390" s="146">
        <v>20</v>
      </c>
      <c r="E390" s="4" t="str">
        <f>VLOOKUP(C390,Master!$B$6:$N$1000,9,FALSE)</f>
        <v>gr</v>
      </c>
      <c r="F390" s="144">
        <f>VLOOKUP(C390,Master!$B$6:$N$1000,10,FALSE)</f>
        <v>220</v>
      </c>
      <c r="G390" s="144">
        <f t="shared" ref="G390:G394" si="72">D390*F390</f>
        <v>4400</v>
      </c>
      <c r="H390" s="145"/>
      <c r="I390" s="145"/>
      <c r="J390" s="4"/>
      <c r="K390" s="4"/>
    </row>
    <row r="391" spans="1:11" ht="13">
      <c r="A391" s="141"/>
      <c r="B391" s="4"/>
      <c r="C391" s="4" t="s">
        <v>390</v>
      </c>
      <c r="D391" s="146">
        <v>15</v>
      </c>
      <c r="E391" s="4" t="str">
        <f>VLOOKUP(C391,Master!$B$6:$N$1000,9,FALSE)</f>
        <v>ml</v>
      </c>
      <c r="F391" s="144">
        <f>VLOOKUP(C391,Master!$B$6:$N$1000,10,FALSE)</f>
        <v>41.000862812769633</v>
      </c>
      <c r="G391" s="144">
        <f t="shared" si="72"/>
        <v>615.01294219154454</v>
      </c>
      <c r="H391" s="145"/>
      <c r="I391" s="145"/>
      <c r="J391" s="4"/>
      <c r="K391" s="4"/>
    </row>
    <row r="392" spans="1:11" ht="13">
      <c r="A392" s="141"/>
      <c r="B392" s="4"/>
      <c r="C392" s="4" t="s">
        <v>1981</v>
      </c>
      <c r="D392" s="146">
        <v>120</v>
      </c>
      <c r="E392" s="4" t="str">
        <f>VLOOKUP(C392,Master!$B$6:$N$1000,9,FALSE)</f>
        <v>ml</v>
      </c>
      <c r="F392" s="144">
        <f>VLOOKUP(C392,Master!$B$6:$N$1000,10,FALSE)</f>
        <v>17.094333333333335</v>
      </c>
      <c r="G392" s="144">
        <f t="shared" si="72"/>
        <v>2051.3200000000002</v>
      </c>
      <c r="H392" s="145"/>
      <c r="I392" s="145"/>
      <c r="J392" s="4"/>
      <c r="K392" s="4"/>
    </row>
    <row r="393" spans="1:11" ht="13">
      <c r="A393" s="141"/>
      <c r="B393" s="4"/>
      <c r="C393" s="4" t="s">
        <v>1162</v>
      </c>
      <c r="D393" s="146">
        <v>5</v>
      </c>
      <c r="E393" s="4" t="str">
        <f>VLOOKUP(C393,Master!$B$6:$N$1000,9,FALSE)</f>
        <v>gr</v>
      </c>
      <c r="F393" s="144">
        <f>VLOOKUP(C393,Master!$B$6:$N$1000,10,FALSE)</f>
        <v>200</v>
      </c>
      <c r="G393" s="144">
        <f t="shared" si="72"/>
        <v>1000</v>
      </c>
      <c r="H393" s="145"/>
      <c r="I393" s="145"/>
      <c r="J393" s="4"/>
      <c r="K393" s="4"/>
    </row>
    <row r="394" spans="1:11" ht="13">
      <c r="A394" s="141"/>
      <c r="B394" s="4"/>
      <c r="C394" s="4" t="s">
        <v>839</v>
      </c>
      <c r="D394" s="146">
        <v>1</v>
      </c>
      <c r="E394" s="4" t="str">
        <f>VLOOKUP(C394,Master!$B$6:$N$1000,9,FALSE)</f>
        <v>pcs</v>
      </c>
      <c r="F394" s="144">
        <f>VLOOKUP(C394,Master!$B$6:$N$1000,10,FALSE)</f>
        <v>500</v>
      </c>
      <c r="G394" s="144">
        <f t="shared" si="72"/>
        <v>500</v>
      </c>
      <c r="H394" s="145"/>
      <c r="I394" s="145"/>
      <c r="J394" s="4"/>
      <c r="K394" s="4"/>
    </row>
    <row r="395" spans="1:11" ht="13">
      <c r="A395" s="148"/>
      <c r="B395" s="90"/>
      <c r="C395" s="151"/>
      <c r="D395" s="151"/>
      <c r="E395" s="151"/>
      <c r="F395" s="107"/>
      <c r="G395" s="107"/>
      <c r="H395" s="151"/>
      <c r="I395" s="151"/>
      <c r="J395" s="90"/>
      <c r="K395" s="107"/>
    </row>
    <row r="396" spans="1:11" ht="13">
      <c r="A396" s="188" t="str">
        <f>VLOOKUP(B396,Master!$V$7:$W$1000,2,FALSE)</f>
        <v>M0149</v>
      </c>
      <c r="B396" s="135" t="s">
        <v>805</v>
      </c>
      <c r="C396" s="136"/>
      <c r="D396" s="136"/>
      <c r="E396" s="136"/>
      <c r="F396" s="136"/>
      <c r="G396" s="138">
        <f>SUM(G397:G401)</f>
        <v>2911.3244736842107</v>
      </c>
      <c r="H396" s="139">
        <v>0.1</v>
      </c>
      <c r="I396" s="138">
        <f>G396+(G396*H396)</f>
        <v>3202.456921052632</v>
      </c>
      <c r="J396" s="137" t="b">
        <v>0</v>
      </c>
      <c r="K396" s="186" t="b">
        <v>1</v>
      </c>
    </row>
    <row r="397" spans="1:11" ht="13">
      <c r="A397" s="141"/>
      <c r="B397" s="4"/>
      <c r="C397" s="4" t="s">
        <v>382</v>
      </c>
      <c r="D397" s="146">
        <v>130</v>
      </c>
      <c r="E397" s="4" t="str">
        <f>VLOOKUP(C397,Master!$B$6:$N$1000,9,FALSE)</f>
        <v>ml</v>
      </c>
      <c r="F397" s="144">
        <f>VLOOKUP(C397,Master!$B$6:$N$1000,10,FALSE)</f>
        <v>1.1915701754385966</v>
      </c>
      <c r="G397" s="144">
        <f t="shared" ref="G397:G401" si="73">D397*F397</f>
        <v>154.90412280701756</v>
      </c>
      <c r="H397" s="145"/>
      <c r="I397" s="145"/>
      <c r="J397" s="4"/>
      <c r="K397" s="4"/>
    </row>
    <row r="398" spans="1:11" ht="13">
      <c r="A398" s="141"/>
      <c r="B398" s="4"/>
      <c r="C398" s="4" t="s">
        <v>2018</v>
      </c>
      <c r="D398" s="146">
        <v>20</v>
      </c>
      <c r="E398" s="4" t="str">
        <f>VLOOKUP(C398,Master!$B$6:$N$1000,9,FALSE)</f>
        <v>ml</v>
      </c>
      <c r="F398" s="144">
        <f>VLOOKUP(C398,Master!$B$6:$N$1000,10,FALSE)</f>
        <v>33.333333333333336</v>
      </c>
      <c r="G398" s="144">
        <f t="shared" si="73"/>
        <v>666.66666666666674</v>
      </c>
      <c r="H398" s="145"/>
      <c r="I398" s="145"/>
      <c r="J398" s="4"/>
      <c r="K398" s="4"/>
    </row>
    <row r="399" spans="1:11" ht="13">
      <c r="A399" s="141"/>
      <c r="B399" s="4"/>
      <c r="C399" s="4" t="s">
        <v>378</v>
      </c>
      <c r="D399" s="146">
        <v>15</v>
      </c>
      <c r="E399" s="4" t="str">
        <f>VLOOKUP(C399,Master!$B$6:$N$1000,9,FALSE)</f>
        <v>ml</v>
      </c>
      <c r="F399" s="144">
        <f>VLOOKUP(C399,Master!$B$6:$N$1000,10,FALSE)</f>
        <v>15.983578947368422</v>
      </c>
      <c r="G399" s="144">
        <f t="shared" si="73"/>
        <v>239.75368421052633</v>
      </c>
      <c r="H399" s="145"/>
      <c r="I399" s="145"/>
      <c r="J399" s="4"/>
      <c r="K399" s="4"/>
    </row>
    <row r="400" spans="1:11" ht="13">
      <c r="A400" s="141"/>
      <c r="B400" s="4"/>
      <c r="C400" s="4" t="s">
        <v>1204</v>
      </c>
      <c r="D400" s="146">
        <v>1</v>
      </c>
      <c r="E400" s="4" t="str">
        <f>VLOOKUP(C400,Master!$B$6:$N$1000,9,FALSE)</f>
        <v>pcs</v>
      </c>
      <c r="F400" s="144">
        <f>VLOOKUP(C400,Master!$B$6:$N$1000,10,FALSE)</f>
        <v>1350</v>
      </c>
      <c r="G400" s="144">
        <f t="shared" si="73"/>
        <v>1350</v>
      </c>
      <c r="H400" s="145"/>
      <c r="I400" s="145"/>
      <c r="J400" s="4"/>
      <c r="K400" s="4"/>
    </row>
    <row r="401" spans="1:11" ht="13">
      <c r="A401" s="141"/>
      <c r="B401" s="4"/>
      <c r="C401" s="4" t="s">
        <v>839</v>
      </c>
      <c r="D401" s="146">
        <v>1</v>
      </c>
      <c r="E401" s="4" t="str">
        <f>VLOOKUP(C401,Master!$B$6:$N$1000,9,FALSE)</f>
        <v>pcs</v>
      </c>
      <c r="F401" s="144">
        <f>VLOOKUP(C401,Master!$B$6:$N$1000,10,FALSE)</f>
        <v>500</v>
      </c>
      <c r="G401" s="144">
        <f t="shared" si="73"/>
        <v>500</v>
      </c>
      <c r="H401" s="145"/>
      <c r="I401" s="145"/>
      <c r="J401" s="4"/>
      <c r="K401" s="4"/>
    </row>
    <row r="402" spans="1:11" ht="13">
      <c r="A402" s="148"/>
      <c r="B402" s="90"/>
      <c r="C402" s="90"/>
      <c r="D402" s="151"/>
      <c r="E402" s="4"/>
      <c r="F402" s="121"/>
      <c r="G402" s="121"/>
      <c r="H402" s="151"/>
      <c r="I402" s="151"/>
      <c r="J402" s="4"/>
      <c r="K402" s="4"/>
    </row>
    <row r="403" spans="1:11" ht="13">
      <c r="A403" s="182" t="str">
        <f>VLOOKUP(B403,Master!$V$7:$W$1000,2,FALSE)</f>
        <v>M0150</v>
      </c>
      <c r="B403" s="135" t="s">
        <v>809</v>
      </c>
      <c r="C403" s="136"/>
      <c r="D403" s="136"/>
      <c r="E403" s="136"/>
      <c r="F403" s="136"/>
      <c r="G403" s="138">
        <f>SUM(G404:G408)</f>
        <v>88627.768213977572</v>
      </c>
      <c r="H403" s="139">
        <v>0.1</v>
      </c>
      <c r="I403" s="138">
        <f>G403+(G403*H403)</f>
        <v>97490.545035375326</v>
      </c>
      <c r="J403" s="137" t="b">
        <v>0</v>
      </c>
      <c r="K403" s="186" t="b">
        <v>1</v>
      </c>
    </row>
    <row r="404" spans="1:11" ht="13">
      <c r="A404" s="141"/>
      <c r="B404" s="4"/>
      <c r="C404" s="4" t="s">
        <v>365</v>
      </c>
      <c r="D404" s="146">
        <v>7</v>
      </c>
      <c r="E404" s="4" t="str">
        <f>VLOOKUP(C404,Master!$B$6:$N$1000,9,FALSE)</f>
        <v>porsi</v>
      </c>
      <c r="F404" s="144">
        <f>VLOOKUP(C404,Master!$B$6:$N$1000,10,FALSE)</f>
        <v>3915.9157894736845</v>
      </c>
      <c r="G404" s="144">
        <f t="shared" ref="G404:G408" si="74">D404*F404</f>
        <v>27411.410526315791</v>
      </c>
      <c r="H404" s="145"/>
      <c r="I404" s="145">
        <f>I403/12</f>
        <v>8124.2120862812772</v>
      </c>
      <c r="J404" s="4"/>
      <c r="K404" s="4" t="s">
        <v>1367</v>
      </c>
    </row>
    <row r="405" spans="1:11" ht="13">
      <c r="A405" s="141"/>
      <c r="B405" s="4"/>
      <c r="C405" s="4" t="s">
        <v>390</v>
      </c>
      <c r="D405" s="146">
        <v>600</v>
      </c>
      <c r="E405" s="4" t="str">
        <f>VLOOKUP(C405,Master!$B$6:$N$1000,9,FALSE)</f>
        <v>ml</v>
      </c>
      <c r="F405" s="144">
        <f>VLOOKUP(C405,Master!$B$6:$N$1000,10,FALSE)</f>
        <v>41.000862812769633</v>
      </c>
      <c r="G405" s="144">
        <f t="shared" si="74"/>
        <v>24600.517687661781</v>
      </c>
      <c r="H405" s="145"/>
      <c r="I405" s="145"/>
      <c r="J405" s="4"/>
      <c r="K405" s="4"/>
    </row>
    <row r="406" spans="1:11" ht="13">
      <c r="A406" s="141"/>
      <c r="B406" s="4"/>
      <c r="C406" s="4" t="s">
        <v>2013</v>
      </c>
      <c r="D406" s="146">
        <v>150</v>
      </c>
      <c r="E406" s="4" t="str">
        <f>VLOOKUP(C406,Master!$B$6:$N$1000,9,FALSE)</f>
        <v>ml</v>
      </c>
      <c r="F406" s="144">
        <f>VLOOKUP(C406,Master!$B$6:$N$1000,10,FALSE)</f>
        <v>40</v>
      </c>
      <c r="G406" s="144">
        <f t="shared" si="74"/>
        <v>6000</v>
      </c>
      <c r="H406" s="145"/>
      <c r="I406" s="145"/>
      <c r="J406" s="4"/>
      <c r="K406" s="4"/>
    </row>
    <row r="407" spans="1:11" ht="13">
      <c r="A407" s="141"/>
      <c r="B407" s="4"/>
      <c r="C407" s="4" t="s">
        <v>1981</v>
      </c>
      <c r="D407" s="146">
        <v>1440</v>
      </c>
      <c r="E407" s="4" t="str">
        <f>VLOOKUP(C407,Master!$B$6:$N$1000,9,FALSE)</f>
        <v>ml</v>
      </c>
      <c r="F407" s="144">
        <f>VLOOKUP(C407,Master!$B$6:$N$1000,10,FALSE)</f>
        <v>17.094333333333335</v>
      </c>
      <c r="G407" s="144">
        <f t="shared" si="74"/>
        <v>24615.840000000004</v>
      </c>
      <c r="H407" s="145"/>
      <c r="I407" s="145"/>
      <c r="J407" s="4"/>
      <c r="K407" s="4"/>
    </row>
    <row r="408" spans="1:11" ht="13">
      <c r="A408" s="141"/>
      <c r="B408" s="4"/>
      <c r="C408" s="4" t="s">
        <v>839</v>
      </c>
      <c r="D408" s="151">
        <v>12</v>
      </c>
      <c r="E408" s="4" t="str">
        <f>VLOOKUP(C408,Master!$B$6:$N$1000,9,FALSE)</f>
        <v>pcs</v>
      </c>
      <c r="F408" s="144">
        <f>VLOOKUP(C408,Master!$B$6:$N$1000,10,FALSE)</f>
        <v>500</v>
      </c>
      <c r="G408" s="144">
        <f t="shared" si="74"/>
        <v>6000</v>
      </c>
      <c r="H408" s="145"/>
      <c r="I408" s="145"/>
      <c r="J408" s="4"/>
      <c r="K408" s="4"/>
    </row>
    <row r="409" spans="1:11" ht="13">
      <c r="A409" s="148"/>
      <c r="B409" s="90"/>
      <c r="C409" s="90"/>
      <c r="D409" s="151"/>
      <c r="E409" s="4"/>
      <c r="F409" s="121"/>
      <c r="G409" s="121"/>
      <c r="H409" s="151"/>
      <c r="I409" s="151"/>
      <c r="J409" s="4"/>
      <c r="K409" s="4"/>
    </row>
    <row r="410" spans="1:11" ht="13">
      <c r="A410" s="188" t="str">
        <f>VLOOKUP(B410,Master!$V$7:$W$1000,2,FALSE)</f>
        <v>M0165</v>
      </c>
      <c r="B410" s="135" t="s">
        <v>872</v>
      </c>
      <c r="C410" s="136"/>
      <c r="D410" s="136"/>
      <c r="E410" s="136"/>
      <c r="F410" s="136"/>
      <c r="G410" s="138">
        <f>SUM(G411:G414)</f>
        <v>6553.9285714285716</v>
      </c>
      <c r="H410" s="139">
        <v>0.1</v>
      </c>
      <c r="I410" s="138">
        <f>G410+(G410*H410)</f>
        <v>7209.3214285714284</v>
      </c>
      <c r="J410" s="137" t="b">
        <v>0</v>
      </c>
      <c r="K410" s="186" t="b">
        <v>1</v>
      </c>
    </row>
    <row r="411" spans="1:11" ht="13">
      <c r="A411" s="141"/>
      <c r="B411" s="4"/>
      <c r="C411" s="4" t="s">
        <v>1986</v>
      </c>
      <c r="D411" s="146">
        <v>250</v>
      </c>
      <c r="E411" s="4" t="str">
        <f>VLOOKUP(C411,Master!$B$6:$N$1000,9,FALSE)</f>
        <v>gr</v>
      </c>
      <c r="F411" s="144">
        <f>VLOOKUP(C411,Master!$B$6:$N$1000,10,FALSE)</f>
        <v>21.43</v>
      </c>
      <c r="G411" s="144">
        <f t="shared" ref="G411:G414" si="75">D411*F411</f>
        <v>5357.5</v>
      </c>
      <c r="H411" s="145"/>
      <c r="I411" s="145"/>
      <c r="J411" s="4"/>
      <c r="K411" s="4"/>
    </row>
    <row r="412" spans="1:11" ht="13">
      <c r="A412" s="141"/>
      <c r="B412" s="4"/>
      <c r="C412" s="4" t="s">
        <v>940</v>
      </c>
      <c r="D412" s="146">
        <v>2</v>
      </c>
      <c r="E412" s="4" t="str">
        <f>VLOOKUP(C412,Master!$B$6:$N$1000,9,FALSE)</f>
        <v>gr</v>
      </c>
      <c r="F412" s="144">
        <f>VLOOKUP(C412,Master!$B$6:$N$1000,10,FALSE)</f>
        <v>200</v>
      </c>
      <c r="G412" s="144">
        <f t="shared" si="75"/>
        <v>400</v>
      </c>
      <c r="H412" s="145"/>
      <c r="I412" s="145"/>
      <c r="J412" s="4"/>
      <c r="K412" s="4"/>
    </row>
    <row r="413" spans="1:11" ht="13">
      <c r="A413" s="141"/>
      <c r="B413" s="4"/>
      <c r="C413" s="4" t="s">
        <v>937</v>
      </c>
      <c r="D413" s="146">
        <v>1</v>
      </c>
      <c r="E413" s="4" t="str">
        <f>VLOOKUP(C413,Master!$B$6:$N$1000,9,FALSE)</f>
        <v>pcs</v>
      </c>
      <c r="F413" s="144">
        <f>VLOOKUP(C413,Master!$B$6:$N$1000,10,FALSE)</f>
        <v>425</v>
      </c>
      <c r="G413" s="144">
        <f t="shared" si="75"/>
        <v>425</v>
      </c>
      <c r="H413" s="145"/>
      <c r="I413" s="145"/>
      <c r="J413" s="4"/>
      <c r="K413" s="4"/>
    </row>
    <row r="414" spans="1:11" ht="13">
      <c r="A414" s="141"/>
      <c r="B414" s="4"/>
      <c r="C414" s="4" t="s">
        <v>2060</v>
      </c>
      <c r="D414" s="146">
        <v>5</v>
      </c>
      <c r="E414" s="4" t="str">
        <f>VLOOKUP(C414,Master!$B$6:$N$1000,9,FALSE)</f>
        <v>gr</v>
      </c>
      <c r="F414" s="144">
        <f>VLOOKUP(C414,Master!$B$6:$N$1000,10,FALSE)</f>
        <v>74.285714285714292</v>
      </c>
      <c r="G414" s="144">
        <f t="shared" si="75"/>
        <v>371.42857142857144</v>
      </c>
      <c r="H414" s="145"/>
      <c r="I414" s="145"/>
      <c r="J414" s="4"/>
      <c r="K414" s="4"/>
    </row>
    <row r="415" spans="1:11" ht="13">
      <c r="A415" s="4"/>
      <c r="B415" s="4"/>
      <c r="C415" s="4"/>
      <c r="D415" s="4"/>
      <c r="E415" s="4"/>
      <c r="F415" s="4"/>
      <c r="G415" s="4"/>
      <c r="H415" s="4"/>
      <c r="I415" s="4"/>
      <c r="J415" s="4"/>
      <c r="K415" s="4"/>
    </row>
    <row r="416" spans="1:11" ht="13">
      <c r="A416" s="188" t="str">
        <f>VLOOKUP(B416,Master!$V$7:$W$1000,2,FALSE)</f>
        <v>B005</v>
      </c>
      <c r="B416" s="135" t="s">
        <v>906</v>
      </c>
      <c r="C416" s="136"/>
      <c r="D416" s="136"/>
      <c r="E416" s="136"/>
      <c r="F416" s="136"/>
      <c r="G416" s="138">
        <f>SUM(G417:G420)</f>
        <v>9261.4592177164232</v>
      </c>
      <c r="H416" s="139">
        <v>0.1</v>
      </c>
      <c r="I416" s="138">
        <f>G416+(G416*H416)</f>
        <v>10187.605139488065</v>
      </c>
      <c r="J416" s="137" t="b">
        <v>0</v>
      </c>
      <c r="K416" s="186" t="b">
        <v>1</v>
      </c>
    </row>
    <row r="417" spans="1:11" ht="13">
      <c r="A417" s="141"/>
      <c r="B417" s="4"/>
      <c r="C417" s="4" t="s">
        <v>2023</v>
      </c>
      <c r="D417" s="146">
        <v>20</v>
      </c>
      <c r="E417" s="4" t="str">
        <f>VLOOKUP(C417,Master!$B$6:$N$1000,9,FALSE)</f>
        <v>ml</v>
      </c>
      <c r="F417" s="144">
        <f>VLOOKUP(C417,Master!$B$6:$N$1000,10,FALSE)</f>
        <v>140.6</v>
      </c>
      <c r="G417" s="144">
        <f t="shared" ref="G417:G420" si="76">D417*F417</f>
        <v>2812</v>
      </c>
      <c r="H417" s="145"/>
      <c r="I417" s="145"/>
      <c r="J417" s="4"/>
      <c r="K417" s="4"/>
    </row>
    <row r="418" spans="1:11" ht="13">
      <c r="A418" s="4"/>
      <c r="B418" s="4"/>
      <c r="C418" s="4" t="s">
        <v>390</v>
      </c>
      <c r="D418" s="146">
        <v>30</v>
      </c>
      <c r="E418" s="4" t="str">
        <f>VLOOKUP(C418,Master!$B$6:$N$1000,9,FALSE)</f>
        <v>ml</v>
      </c>
      <c r="F418" s="144">
        <f>VLOOKUP(C418,Master!$B$6:$N$1000,10,FALSE)</f>
        <v>41.000862812769633</v>
      </c>
      <c r="G418" s="144">
        <f t="shared" si="76"/>
        <v>1230.0258843830891</v>
      </c>
      <c r="H418" s="4"/>
      <c r="I418" s="4"/>
      <c r="J418" s="4"/>
      <c r="K418" s="4"/>
    </row>
    <row r="419" spans="1:11" ht="13">
      <c r="A419" s="4"/>
      <c r="B419" s="4"/>
      <c r="C419" s="4" t="s">
        <v>2030</v>
      </c>
      <c r="D419" s="146">
        <v>18</v>
      </c>
      <c r="E419" s="4" t="str">
        <f>VLOOKUP(C419,Master!$B$6:$N$1000,9,FALSE)</f>
        <v>gr</v>
      </c>
      <c r="F419" s="144">
        <f>VLOOKUP(C419,Master!$B$6:$N$1000,10,FALSE)</f>
        <v>195</v>
      </c>
      <c r="G419" s="144">
        <f t="shared" si="76"/>
        <v>3510</v>
      </c>
      <c r="H419" s="4"/>
      <c r="I419" s="4"/>
      <c r="J419" s="4"/>
      <c r="K419" s="4"/>
    </row>
    <row r="420" spans="1:11" ht="13">
      <c r="A420" s="4"/>
      <c r="B420" s="4"/>
      <c r="C420" s="4" t="s">
        <v>1981</v>
      </c>
      <c r="D420" s="146">
        <v>100</v>
      </c>
      <c r="E420" s="4" t="str">
        <f>VLOOKUP(C420,Master!$B$6:$N$1000,9,FALSE)</f>
        <v>ml</v>
      </c>
      <c r="F420" s="144">
        <f>VLOOKUP(C420,Master!$B$6:$N$1000,10,FALSE)</f>
        <v>17.094333333333335</v>
      </c>
      <c r="G420" s="144">
        <f t="shared" si="76"/>
        <v>1709.4333333333334</v>
      </c>
      <c r="H420" s="4"/>
      <c r="I420" s="4"/>
      <c r="J420" s="4"/>
      <c r="K420" s="4"/>
    </row>
    <row r="421" spans="1:11" ht="13">
      <c r="A421" s="4"/>
      <c r="B421" s="4"/>
      <c r="C421" s="4"/>
      <c r="D421" s="4"/>
      <c r="E421" s="4"/>
      <c r="F421" s="4"/>
      <c r="G421" s="4"/>
      <c r="H421" s="4"/>
      <c r="I421" s="4"/>
      <c r="J421" s="4"/>
      <c r="K421" s="4"/>
    </row>
    <row r="422" spans="1:11" ht="13">
      <c r="A422" s="188" t="str">
        <f>VLOOKUP(B422,Master!$V$7:$W$1000,2,FALSE)</f>
        <v>B006</v>
      </c>
      <c r="B422" s="135" t="s">
        <v>909</v>
      </c>
      <c r="C422" s="136"/>
      <c r="D422" s="136"/>
      <c r="E422" s="136"/>
      <c r="F422" s="136"/>
      <c r="G422" s="138">
        <f>SUM(G423:G426)</f>
        <v>8187.9789473684214</v>
      </c>
      <c r="H422" s="139">
        <v>0.1</v>
      </c>
      <c r="I422" s="138">
        <f>G422+(G422*H422)</f>
        <v>9006.7768421052642</v>
      </c>
      <c r="J422" s="137" t="b">
        <v>0</v>
      </c>
      <c r="K422" s="186" t="b">
        <v>1</v>
      </c>
    </row>
    <row r="423" spans="1:11" ht="13">
      <c r="A423" s="141"/>
      <c r="B423" s="4"/>
      <c r="C423" s="4" t="s">
        <v>2023</v>
      </c>
      <c r="D423" s="146">
        <v>20</v>
      </c>
      <c r="E423" s="4" t="str">
        <f>VLOOKUP(C423,Master!$B$6:$N$1000,9,FALSE)</f>
        <v>ml</v>
      </c>
      <c r="F423" s="144">
        <f>VLOOKUP(C423,Master!$B$6:$N$1000,10,FALSE)</f>
        <v>140.6</v>
      </c>
      <c r="G423" s="144">
        <f t="shared" ref="G423:G426" si="77">D423*F423</f>
        <v>2812</v>
      </c>
      <c r="H423" s="145"/>
      <c r="I423" s="145"/>
      <c r="J423" s="4"/>
      <c r="K423" s="4"/>
    </row>
    <row r="424" spans="1:11" ht="13">
      <c r="A424" s="4"/>
      <c r="B424" s="4"/>
      <c r="C424" s="4" t="s">
        <v>2030</v>
      </c>
      <c r="D424" s="146">
        <v>18</v>
      </c>
      <c r="E424" s="4" t="str">
        <f>VLOOKUP(C424,Master!$B$6:$N$1000,9,FALSE)</f>
        <v>gr</v>
      </c>
      <c r="F424" s="144">
        <f>VLOOKUP(C424,Master!$B$6:$N$1000,10,FALSE)</f>
        <v>195</v>
      </c>
      <c r="G424" s="144">
        <f t="shared" si="77"/>
        <v>3510</v>
      </c>
      <c r="H424" s="4"/>
      <c r="I424" s="4"/>
      <c r="J424" s="4"/>
      <c r="K424" s="4"/>
    </row>
    <row r="425" spans="1:11" ht="13">
      <c r="A425" s="4"/>
      <c r="B425" s="4"/>
      <c r="C425" s="4" t="s">
        <v>2052</v>
      </c>
      <c r="D425" s="146">
        <v>36</v>
      </c>
      <c r="E425" s="4" t="str">
        <f>VLOOKUP(C425,Master!$B$6:$N$1000,9,FALSE)</f>
        <v>ml</v>
      </c>
      <c r="F425" s="144">
        <f>VLOOKUP(C425,Master!$B$6:$N$1000,10,FALSE)</f>
        <v>0.66315789473684206</v>
      </c>
      <c r="G425" s="144">
        <f t="shared" si="77"/>
        <v>23.873684210526314</v>
      </c>
      <c r="H425" s="4"/>
      <c r="I425" s="4"/>
      <c r="J425" s="4"/>
      <c r="K425" s="4"/>
    </row>
    <row r="426" spans="1:11" ht="13">
      <c r="A426" s="4"/>
      <c r="B426" s="4"/>
      <c r="C426" s="4" t="s">
        <v>1987</v>
      </c>
      <c r="D426" s="146">
        <v>100</v>
      </c>
      <c r="E426" s="4" t="str">
        <f>VLOOKUP(C426,Master!$B$6:$N$1000,9,FALSE)</f>
        <v>ml</v>
      </c>
      <c r="F426" s="144">
        <f>VLOOKUP(C426,Master!$B$6:$N$1000,10,FALSE)</f>
        <v>18.421052631578949</v>
      </c>
      <c r="G426" s="144">
        <f t="shared" si="77"/>
        <v>1842.1052631578948</v>
      </c>
      <c r="H426" s="4"/>
      <c r="I426" s="4"/>
      <c r="J426" s="4"/>
      <c r="K426" s="4"/>
    </row>
    <row r="427" spans="1:11" ht="13">
      <c r="A427" s="188" t="str">
        <f>VLOOKUP(B427,Master!$V$7:$W$1000,2,FALSE)</f>
        <v>B007</v>
      </c>
      <c r="B427" s="135" t="s">
        <v>912</v>
      </c>
      <c r="C427" s="136"/>
      <c r="D427" s="136"/>
      <c r="E427" s="136"/>
      <c r="F427" s="136"/>
      <c r="G427" s="138">
        <f>SUM(G428:G432)</f>
        <v>12292.100000000002</v>
      </c>
      <c r="H427" s="139">
        <v>0.1</v>
      </c>
      <c r="I427" s="138">
        <f>G427+(G427*H427)</f>
        <v>13521.310000000003</v>
      </c>
      <c r="J427" s="137" t="b">
        <v>0</v>
      </c>
      <c r="K427" s="4"/>
    </row>
    <row r="428" spans="1:11" ht="13">
      <c r="A428" s="141"/>
      <c r="B428" s="4"/>
      <c r="C428" s="4" t="s">
        <v>1213</v>
      </c>
      <c r="D428" s="146">
        <v>20</v>
      </c>
      <c r="E428" s="4" t="str">
        <f>VLOOKUP(C428,Master!$B$6:$N$1000,9,FALSE)</f>
        <v>gr</v>
      </c>
      <c r="F428" s="144">
        <f>VLOOKUP(C428,Master!$B$6:$N$1000,10,FALSE)</f>
        <v>220</v>
      </c>
      <c r="G428" s="144">
        <f t="shared" ref="G428:G432" si="78">D428*F428</f>
        <v>4400</v>
      </c>
      <c r="H428" s="145"/>
      <c r="I428" s="145"/>
      <c r="J428" s="4"/>
      <c r="K428" s="4"/>
    </row>
    <row r="429" spans="1:11" ht="13">
      <c r="A429" s="4"/>
      <c r="B429" s="4"/>
      <c r="C429" s="4" t="s">
        <v>2000</v>
      </c>
      <c r="D429" s="146">
        <v>10</v>
      </c>
      <c r="E429" s="4" t="str">
        <f>VLOOKUP(C429,Master!$B$6:$N$1000,9,FALSE)</f>
        <v>ml</v>
      </c>
      <c r="F429" s="144">
        <f>VLOOKUP(C429,Master!$B$6:$N$1000,10,FALSE)</f>
        <v>126.66666666666667</v>
      </c>
      <c r="G429" s="144">
        <f t="shared" si="78"/>
        <v>1266.6666666666667</v>
      </c>
      <c r="H429" s="4"/>
      <c r="I429" s="4"/>
      <c r="J429" s="4"/>
      <c r="K429" s="4"/>
    </row>
    <row r="430" spans="1:11" ht="13">
      <c r="A430" s="4"/>
      <c r="B430" s="4"/>
      <c r="C430" s="4" t="s">
        <v>2024</v>
      </c>
      <c r="D430" s="146">
        <v>10</v>
      </c>
      <c r="E430" s="4" t="str">
        <f>VLOOKUP(C430,Master!$B$6:$N$1000,9,FALSE)</f>
        <v>ml</v>
      </c>
      <c r="F430" s="144">
        <f>VLOOKUP(C430,Master!$B$6:$N$1000,10,FALSE)</f>
        <v>140.6</v>
      </c>
      <c r="G430" s="144">
        <f t="shared" si="78"/>
        <v>1406</v>
      </c>
      <c r="H430" s="4"/>
      <c r="I430" s="4"/>
      <c r="J430" s="4"/>
      <c r="K430" s="4"/>
    </row>
    <row r="431" spans="1:11" ht="13">
      <c r="A431" s="4"/>
      <c r="B431" s="4"/>
      <c r="C431" s="4" t="s">
        <v>2030</v>
      </c>
      <c r="D431" s="146">
        <v>18</v>
      </c>
      <c r="E431" s="4" t="str">
        <f>VLOOKUP(C431,Master!$B$6:$N$1000,9,FALSE)</f>
        <v>gr</v>
      </c>
      <c r="F431" s="144">
        <f>VLOOKUP(C431,Master!$B$6:$N$1000,10,FALSE)</f>
        <v>195</v>
      </c>
      <c r="G431" s="144">
        <f t="shared" si="78"/>
        <v>3510</v>
      </c>
      <c r="H431" s="4"/>
      <c r="I431" s="4"/>
      <c r="J431" s="4"/>
      <c r="K431" s="4"/>
    </row>
    <row r="432" spans="1:11" ht="13">
      <c r="A432" s="4"/>
      <c r="B432" s="4"/>
      <c r="C432" s="4" t="s">
        <v>1981</v>
      </c>
      <c r="D432" s="146">
        <v>100</v>
      </c>
      <c r="E432" s="4" t="str">
        <f>VLOOKUP(C432,Master!$B$6:$N$1000,9,FALSE)</f>
        <v>ml</v>
      </c>
      <c r="F432" s="144">
        <f>VLOOKUP(C432,Master!$B$6:$N$1000,10,FALSE)</f>
        <v>17.094333333333335</v>
      </c>
      <c r="G432" s="144">
        <f t="shared" si="78"/>
        <v>1709.4333333333334</v>
      </c>
      <c r="H432" s="4"/>
      <c r="I432" s="4"/>
      <c r="J432" s="4"/>
      <c r="K432" s="4"/>
    </row>
    <row r="433" spans="1:11" ht="13">
      <c r="A433" s="4"/>
      <c r="B433" s="4"/>
      <c r="C433" s="4"/>
      <c r="D433" s="4"/>
      <c r="E433" s="4"/>
      <c r="F433" s="4"/>
      <c r="G433" s="4"/>
      <c r="H433" s="4"/>
      <c r="I433" s="4"/>
      <c r="J433" s="4"/>
      <c r="K433" s="4"/>
    </row>
    <row r="434" spans="1:11" ht="13">
      <c r="A434" s="188" t="str">
        <f>VLOOKUP(B434,Master!$V$7:$W$1000,2,FALSE)</f>
        <v>B008</v>
      </c>
      <c r="B434" s="135" t="s">
        <v>915</v>
      </c>
      <c r="C434" s="136"/>
      <c r="D434" s="136"/>
      <c r="E434" s="136"/>
      <c r="F434" s="136"/>
      <c r="G434" s="138">
        <f>SUM(G435:G437)</f>
        <v>9177.3491228070179</v>
      </c>
      <c r="H434" s="139">
        <v>0.1</v>
      </c>
      <c r="I434" s="138">
        <f>G434+(G434*H434)</f>
        <v>10095.084035087719</v>
      </c>
      <c r="J434" s="137" t="b">
        <v>0</v>
      </c>
      <c r="K434" s="4"/>
    </row>
    <row r="435" spans="1:11" ht="13">
      <c r="A435" s="141"/>
      <c r="B435" s="4"/>
      <c r="C435" s="4" t="s">
        <v>2025</v>
      </c>
      <c r="D435" s="146">
        <v>20</v>
      </c>
      <c r="E435" s="4" t="str">
        <f>VLOOKUP(C435,Master!$B$6:$N$1000,9,FALSE)</f>
        <v>gr</v>
      </c>
      <c r="F435" s="144">
        <f>VLOOKUP(C435,Master!$B$6:$N$1000,10,FALSE)</f>
        <v>177.6</v>
      </c>
      <c r="G435" s="144">
        <f t="shared" ref="G435:G437" si="79">D435*F435</f>
        <v>3552</v>
      </c>
      <c r="H435" s="145"/>
      <c r="I435" s="145"/>
      <c r="J435" s="4"/>
      <c r="K435" s="4"/>
    </row>
    <row r="436" spans="1:11" ht="13">
      <c r="A436" s="4"/>
      <c r="B436" s="4"/>
      <c r="C436" s="4" t="s">
        <v>365</v>
      </c>
      <c r="D436" s="146">
        <v>1</v>
      </c>
      <c r="E436" s="4" t="str">
        <f>VLOOKUP(C436,Master!$B$6:$N$1000,9,FALSE)</f>
        <v>porsi</v>
      </c>
      <c r="F436" s="144">
        <f>VLOOKUP(C436,Master!$B$6:$N$1000,10,FALSE)</f>
        <v>3915.9157894736845</v>
      </c>
      <c r="G436" s="144">
        <f t="shared" si="79"/>
        <v>3915.9157894736845</v>
      </c>
      <c r="H436" s="4"/>
      <c r="I436" s="4"/>
      <c r="J436" s="4"/>
      <c r="K436" s="4"/>
    </row>
    <row r="437" spans="1:11" ht="13">
      <c r="A437" s="4"/>
      <c r="B437" s="4"/>
      <c r="C437" s="4" t="s">
        <v>1981</v>
      </c>
      <c r="D437" s="146">
        <v>100</v>
      </c>
      <c r="E437" s="4" t="str">
        <f>VLOOKUP(C437,Master!$B$6:$N$1000,9,FALSE)</f>
        <v>ml</v>
      </c>
      <c r="F437" s="144">
        <f>VLOOKUP(C437,Master!$B$6:$N$1000,10,FALSE)</f>
        <v>17.094333333333335</v>
      </c>
      <c r="G437" s="144">
        <f t="shared" si="79"/>
        <v>1709.4333333333334</v>
      </c>
      <c r="H437" s="4"/>
      <c r="I437" s="4"/>
      <c r="J437" s="4"/>
      <c r="K437" s="4"/>
    </row>
    <row r="438" spans="1:11" ht="13">
      <c r="A438" s="4"/>
      <c r="B438" s="4"/>
      <c r="C438" s="4"/>
      <c r="D438" s="4"/>
      <c r="E438" s="4"/>
      <c r="F438" s="4"/>
      <c r="G438" s="4"/>
      <c r="H438" s="4"/>
      <c r="I438" s="4"/>
      <c r="J438" s="4"/>
      <c r="K438" s="4"/>
    </row>
    <row r="439" spans="1:11" ht="13">
      <c r="A439" s="188" t="str">
        <f>VLOOKUP(B439,Master!$V$7:$W$1000,2,FALSE)</f>
        <v>B009</v>
      </c>
      <c r="B439" s="135" t="s">
        <v>918</v>
      </c>
      <c r="C439" s="136"/>
      <c r="D439" s="136"/>
      <c r="E439" s="136"/>
      <c r="F439" s="136"/>
      <c r="G439" s="138">
        <f>SUM(G440:G442)</f>
        <v>5790.3157894736842</v>
      </c>
      <c r="H439" s="139">
        <v>0.1</v>
      </c>
      <c r="I439" s="138">
        <f>G439+(G439*H439)</f>
        <v>6369.347368421053</v>
      </c>
      <c r="J439" s="137" t="b">
        <v>0</v>
      </c>
      <c r="K439" s="4"/>
    </row>
    <row r="440" spans="1:11" ht="13">
      <c r="A440" s="141"/>
      <c r="B440" s="4"/>
      <c r="C440" s="4" t="s">
        <v>2005</v>
      </c>
      <c r="D440" s="146">
        <v>20</v>
      </c>
      <c r="E440" s="4" t="str">
        <f>VLOOKUP(C440,Master!$B$6:$N$1000,9,FALSE)</f>
        <v>gr</v>
      </c>
      <c r="F440" s="144">
        <f>VLOOKUP(C440,Master!$B$6:$N$1000,10,FALSE)</f>
        <v>97.5</v>
      </c>
      <c r="G440" s="144">
        <f t="shared" ref="G440:G442" si="80">D440*F440</f>
        <v>1950</v>
      </c>
      <c r="H440" s="145"/>
      <c r="I440" s="145"/>
      <c r="J440" s="4"/>
      <c r="K440" s="4"/>
    </row>
    <row r="441" spans="1:11" ht="13">
      <c r="A441" s="4"/>
      <c r="B441" s="4"/>
      <c r="C441" s="4" t="s">
        <v>2026</v>
      </c>
      <c r="D441" s="146">
        <v>20</v>
      </c>
      <c r="E441" s="4" t="str">
        <f>VLOOKUP(C441,Master!$B$6:$N$1000,9,FALSE)</f>
        <v>gr</v>
      </c>
      <c r="F441" s="144">
        <f>VLOOKUP(C441,Master!$B$6:$N$1000,10,FALSE)</f>
        <v>188.7</v>
      </c>
      <c r="G441" s="144">
        <f t="shared" si="80"/>
        <v>3774</v>
      </c>
      <c r="H441" s="4"/>
      <c r="I441" s="4"/>
      <c r="J441" s="4"/>
      <c r="K441" s="4"/>
    </row>
    <row r="442" spans="1:11" ht="13">
      <c r="A442" s="4"/>
      <c r="B442" s="4"/>
      <c r="C442" s="4" t="s">
        <v>2052</v>
      </c>
      <c r="D442" s="146">
        <v>100</v>
      </c>
      <c r="E442" s="4" t="str">
        <f>VLOOKUP(C442,Master!$B$6:$N$1000,9,FALSE)</f>
        <v>ml</v>
      </c>
      <c r="F442" s="144">
        <f>VLOOKUP(C442,Master!$B$6:$N$1000,10,FALSE)</f>
        <v>0.66315789473684206</v>
      </c>
      <c r="G442" s="144">
        <f t="shared" si="80"/>
        <v>66.315789473684205</v>
      </c>
      <c r="H442" s="4"/>
      <c r="I442" s="4"/>
      <c r="J442" s="4"/>
      <c r="K442" s="4"/>
    </row>
    <row r="443" spans="1:11" ht="13">
      <c r="A443" s="4"/>
      <c r="B443" s="4"/>
      <c r="C443" s="4"/>
      <c r="D443" s="4"/>
      <c r="E443" s="4"/>
      <c r="F443" s="4"/>
      <c r="G443" s="4"/>
      <c r="H443" s="4"/>
      <c r="I443" s="4"/>
      <c r="J443" s="4"/>
      <c r="K443" s="4"/>
    </row>
    <row r="444" spans="1:11" ht="13">
      <c r="A444" s="188" t="str">
        <f>VLOOKUP(B444,Master!$V$7:$W$1000,2,FALSE)</f>
        <v>B010</v>
      </c>
      <c r="B444" s="135" t="s">
        <v>921</v>
      </c>
      <c r="C444" s="136"/>
      <c r="D444" s="136"/>
      <c r="E444" s="136"/>
      <c r="F444" s="136"/>
      <c r="G444" s="138" t="e">
        <f>SUM(G445:G447)</f>
        <v>#N/A</v>
      </c>
      <c r="H444" s="139">
        <v>0.1</v>
      </c>
      <c r="I444" s="138" t="e">
        <f>G444+(G444*H444)</f>
        <v>#N/A</v>
      </c>
      <c r="J444" s="137" t="b">
        <v>0</v>
      </c>
      <c r="K444" s="4"/>
    </row>
    <row r="445" spans="1:11" ht="13">
      <c r="A445" s="141"/>
      <c r="B445" s="4"/>
      <c r="C445" s="4" t="s">
        <v>1264</v>
      </c>
      <c r="D445" s="146">
        <v>20</v>
      </c>
      <c r="E445" s="4" t="e">
        <f>VLOOKUP(C445,Master!$B$6:$N$1000,9,FALSE)</f>
        <v>#N/A</v>
      </c>
      <c r="F445" s="144" t="e">
        <f>VLOOKUP(C445,Master!$B$6:$N$1000,10,FALSE)</f>
        <v>#N/A</v>
      </c>
      <c r="G445" s="144" t="e">
        <f t="shared" ref="G445:G447" si="81">D445*F445</f>
        <v>#N/A</v>
      </c>
      <c r="H445" s="145"/>
      <c r="I445" s="145"/>
      <c r="J445" s="4"/>
      <c r="K445" s="4"/>
    </row>
    <row r="446" spans="1:11" ht="13">
      <c r="A446" s="4"/>
      <c r="B446" s="4"/>
      <c r="C446" s="4" t="s">
        <v>1263</v>
      </c>
      <c r="D446" s="146">
        <v>20</v>
      </c>
      <c r="E446" s="4" t="e">
        <f>VLOOKUP(C446,Master!$B$6:$N$1000,9,FALSE)</f>
        <v>#N/A</v>
      </c>
      <c r="F446" s="144" t="e">
        <f>VLOOKUP(C446,Master!$B$6:$N$1000,10,FALSE)</f>
        <v>#N/A</v>
      </c>
      <c r="G446" s="144" t="e">
        <f t="shared" si="81"/>
        <v>#N/A</v>
      </c>
      <c r="H446" s="4"/>
      <c r="I446" s="4"/>
      <c r="J446" s="4"/>
      <c r="K446" s="4"/>
    </row>
    <row r="447" spans="1:11" ht="13">
      <c r="A447" s="4"/>
      <c r="B447" s="4"/>
      <c r="C447" s="4" t="s">
        <v>2052</v>
      </c>
      <c r="D447" s="146">
        <v>100</v>
      </c>
      <c r="E447" s="4" t="str">
        <f>VLOOKUP(C447,Master!$B$6:$N$1000,9,FALSE)</f>
        <v>ml</v>
      </c>
      <c r="F447" s="144">
        <f>VLOOKUP(C447,Master!$B$6:$N$1000,10,FALSE)</f>
        <v>0.66315789473684206</v>
      </c>
      <c r="G447" s="144">
        <f t="shared" si="81"/>
        <v>66.315789473684205</v>
      </c>
      <c r="H447" s="4"/>
      <c r="I447" s="4"/>
      <c r="J447" s="4"/>
      <c r="K447" s="4"/>
    </row>
    <row r="448" spans="1:11" ht="13">
      <c r="A448" s="4"/>
      <c r="B448" s="4"/>
      <c r="C448" s="4"/>
      <c r="D448" s="4"/>
      <c r="E448" s="4"/>
      <c r="F448" s="4"/>
      <c r="G448" s="4"/>
      <c r="H448" s="4"/>
      <c r="I448" s="4"/>
      <c r="J448" s="4"/>
      <c r="K448" s="4"/>
    </row>
    <row r="449" spans="1:11" ht="13">
      <c r="A449" s="188" t="str">
        <f>VLOOKUP(B449,Master!$V$7:$W$1000,2,FALSE)</f>
        <v>B010</v>
      </c>
      <c r="B449" s="135" t="s">
        <v>924</v>
      </c>
      <c r="C449" s="136"/>
      <c r="D449" s="136"/>
      <c r="E449" s="136"/>
      <c r="F449" s="136"/>
      <c r="G449" s="138">
        <f>SUM(G450:G452)</f>
        <v>6004.8157894736842</v>
      </c>
      <c r="H449" s="139">
        <v>0.1</v>
      </c>
      <c r="I449" s="138">
        <f>G449+(G449*H449)</f>
        <v>6605.2973684210529</v>
      </c>
      <c r="J449" s="137" t="b">
        <v>0</v>
      </c>
      <c r="K449" s="4"/>
    </row>
    <row r="450" spans="1:11" ht="13">
      <c r="A450" s="141"/>
      <c r="B450" s="4"/>
      <c r="C450" s="4" t="s">
        <v>2001</v>
      </c>
      <c r="D450" s="146">
        <v>20</v>
      </c>
      <c r="E450" s="4" t="str">
        <f>VLOOKUP(C450,Master!$B$6:$N$1000,9,FALSE)</f>
        <v>gr</v>
      </c>
      <c r="F450" s="144">
        <f>VLOOKUP(C450,Master!$B$6:$N$1000,10,FALSE)</f>
        <v>108.22499999999999</v>
      </c>
      <c r="G450" s="144">
        <f t="shared" ref="G450:G452" si="82">D450*F450</f>
        <v>2164.5</v>
      </c>
      <c r="H450" s="145"/>
      <c r="I450" s="145"/>
      <c r="J450" s="4"/>
      <c r="K450" s="4"/>
    </row>
    <row r="451" spans="1:11" ht="13">
      <c r="A451" s="4"/>
      <c r="B451" s="4"/>
      <c r="C451" s="4" t="s">
        <v>2026</v>
      </c>
      <c r="D451" s="146">
        <v>20</v>
      </c>
      <c r="E451" s="4" t="str">
        <f>VLOOKUP(C451,Master!$B$6:$N$1000,9,FALSE)</f>
        <v>gr</v>
      </c>
      <c r="F451" s="144">
        <f>VLOOKUP(C451,Master!$B$6:$N$1000,10,FALSE)</f>
        <v>188.7</v>
      </c>
      <c r="G451" s="144">
        <f t="shared" si="82"/>
        <v>3774</v>
      </c>
      <c r="H451" s="4"/>
      <c r="I451" s="4"/>
      <c r="J451" s="4"/>
      <c r="K451" s="4"/>
    </row>
    <row r="452" spans="1:11" ht="13">
      <c r="A452" s="4"/>
      <c r="B452" s="4"/>
      <c r="C452" s="4" t="s">
        <v>2052</v>
      </c>
      <c r="D452" s="146">
        <v>100</v>
      </c>
      <c r="E452" s="4" t="str">
        <f>VLOOKUP(C452,Master!$B$6:$N$1000,9,FALSE)</f>
        <v>ml</v>
      </c>
      <c r="F452" s="144">
        <f>VLOOKUP(C452,Master!$B$6:$N$1000,10,FALSE)</f>
        <v>0.66315789473684206</v>
      </c>
      <c r="G452" s="144">
        <f t="shared" si="82"/>
        <v>66.315789473684205</v>
      </c>
      <c r="H452" s="4"/>
      <c r="I452" s="4"/>
      <c r="J452" s="4"/>
      <c r="K452" s="4"/>
    </row>
    <row r="453" spans="1:11" ht="13">
      <c r="A453" s="4"/>
      <c r="B453" s="4"/>
      <c r="C453" s="4"/>
      <c r="D453" s="4"/>
      <c r="E453" s="4"/>
      <c r="F453" s="4"/>
      <c r="G453" s="4"/>
      <c r="H453" s="4"/>
      <c r="I453" s="4"/>
      <c r="J453" s="4"/>
      <c r="K453" s="4"/>
    </row>
    <row r="454" spans="1:11" ht="13">
      <c r="A454" s="188" t="str">
        <f>VLOOKUP(B454,Master!$V$7:$W$1000,2,FALSE)</f>
        <v>B011</v>
      </c>
      <c r="B454" s="135" t="s">
        <v>927</v>
      </c>
      <c r="C454" s="136"/>
      <c r="D454" s="136"/>
      <c r="E454" s="136"/>
      <c r="F454" s="136"/>
      <c r="G454" s="138">
        <f>SUM(G455:G458)</f>
        <v>10632.491979949875</v>
      </c>
      <c r="H454" s="139">
        <v>0.1</v>
      </c>
      <c r="I454" s="138">
        <f>G454+(G454*H454)</f>
        <v>11695.741177944863</v>
      </c>
      <c r="J454" s="137" t="b">
        <v>0</v>
      </c>
      <c r="K454" s="4"/>
    </row>
    <row r="455" spans="1:11" ht="13">
      <c r="A455" s="141"/>
      <c r="B455" s="4"/>
      <c r="C455" s="4" t="s">
        <v>2002</v>
      </c>
      <c r="D455" s="146">
        <v>20</v>
      </c>
      <c r="E455" s="4" t="str">
        <f>VLOOKUP(C455,Master!$B$6:$N$1000,9,FALSE)</f>
        <v>gr</v>
      </c>
      <c r="F455" s="144">
        <f>VLOOKUP(C455,Master!$B$6:$N$1000,10,FALSE)</f>
        <v>150</v>
      </c>
      <c r="G455" s="144">
        <f t="shared" ref="G455:G458" si="83">D455*F455</f>
        <v>3000</v>
      </c>
      <c r="H455" s="145"/>
      <c r="I455" s="145"/>
      <c r="J455" s="4"/>
      <c r="K455" s="4"/>
    </row>
    <row r="456" spans="1:11" ht="13">
      <c r="A456" s="4"/>
      <c r="B456" s="4"/>
      <c r="C456" s="4" t="s">
        <v>2010</v>
      </c>
      <c r="D456" s="146">
        <v>10</v>
      </c>
      <c r="E456" s="4" t="str">
        <f>VLOOKUP(C456,Master!$B$6:$N$1000,9,FALSE)</f>
        <v>ml</v>
      </c>
      <c r="F456" s="144">
        <f>VLOOKUP(C456,Master!$B$6:$N$1000,10,FALSE)</f>
        <v>200.71428571428572</v>
      </c>
      <c r="G456" s="144">
        <f t="shared" si="83"/>
        <v>2007.1428571428573</v>
      </c>
      <c r="H456" s="4"/>
      <c r="I456" s="4"/>
      <c r="J456" s="4"/>
      <c r="K456" s="4"/>
    </row>
    <row r="457" spans="1:11" ht="13">
      <c r="A457" s="4"/>
      <c r="B457" s="4"/>
      <c r="C457" s="4" t="s">
        <v>365</v>
      </c>
      <c r="D457" s="146">
        <v>1</v>
      </c>
      <c r="E457" s="4" t="str">
        <f>VLOOKUP(C457,Master!$B$6:$N$1000,9,FALSE)</f>
        <v>porsi</v>
      </c>
      <c r="F457" s="144">
        <f>VLOOKUP(C457,Master!$B$6:$N$1000,10,FALSE)</f>
        <v>3915.9157894736845</v>
      </c>
      <c r="G457" s="144">
        <f t="shared" si="83"/>
        <v>3915.9157894736845</v>
      </c>
      <c r="H457" s="4"/>
      <c r="I457" s="4"/>
      <c r="J457" s="4"/>
      <c r="K457" s="4"/>
    </row>
    <row r="458" spans="1:11" ht="13">
      <c r="A458" s="4"/>
      <c r="B458" s="4"/>
      <c r="C458" s="4" t="s">
        <v>1981</v>
      </c>
      <c r="D458" s="146">
        <v>100</v>
      </c>
      <c r="E458" s="4" t="str">
        <f>VLOOKUP(C458,Master!$B$6:$N$1000,9,FALSE)</f>
        <v>ml</v>
      </c>
      <c r="F458" s="144">
        <f>VLOOKUP(C458,Master!$B$6:$N$1000,10,FALSE)</f>
        <v>17.094333333333335</v>
      </c>
      <c r="G458" s="144">
        <f t="shared" si="83"/>
        <v>1709.4333333333334</v>
      </c>
      <c r="H458" s="4"/>
      <c r="I458" s="4"/>
      <c r="J458" s="4"/>
      <c r="K458" s="4"/>
    </row>
    <row r="459" spans="1:11" ht="13">
      <c r="A459" s="4"/>
      <c r="B459" s="4"/>
      <c r="C459" s="4"/>
      <c r="D459" s="4"/>
      <c r="E459" s="4"/>
      <c r="F459" s="4"/>
      <c r="G459" s="4"/>
      <c r="H459" s="4"/>
      <c r="I459" s="4"/>
      <c r="J459" s="4"/>
      <c r="K459" s="4"/>
    </row>
    <row r="460" spans="1:11" ht="13">
      <c r="A460" s="188" t="str">
        <f>VLOOKUP(B460,Master!$V$7:$W$1000,2,FALSE)</f>
        <v>B012</v>
      </c>
      <c r="B460" s="135" t="s">
        <v>930</v>
      </c>
      <c r="C460" s="136"/>
      <c r="D460" s="136"/>
      <c r="E460" s="136"/>
      <c r="F460" s="136"/>
      <c r="G460" s="138">
        <f>SUM(G461:G463)</f>
        <v>3862.7218045112786</v>
      </c>
      <c r="H460" s="139">
        <v>0.1</v>
      </c>
      <c r="I460" s="138">
        <f>G460+(G460*H460)</f>
        <v>4248.9939849624061</v>
      </c>
      <c r="J460" s="137" t="b">
        <v>0</v>
      </c>
      <c r="K460" s="4"/>
    </row>
    <row r="461" spans="1:11" ht="13">
      <c r="A461" s="141"/>
      <c r="B461" s="4"/>
      <c r="C461" s="4" t="s">
        <v>2027</v>
      </c>
      <c r="D461" s="146">
        <v>20</v>
      </c>
      <c r="E461" s="4" t="str">
        <f>VLOOKUP(C461,Master!$B$6:$N$1000,9,FALSE)</f>
        <v>gr</v>
      </c>
      <c r="F461" s="144">
        <f>VLOOKUP(C461,Master!$B$6:$N$1000,10,FALSE)</f>
        <v>88.8</v>
      </c>
      <c r="G461" s="144">
        <f t="shared" ref="G461:G463" si="84">D461*F461</f>
        <v>1776</v>
      </c>
      <c r="H461" s="145"/>
      <c r="I461" s="145"/>
      <c r="J461" s="4"/>
      <c r="K461" s="4"/>
    </row>
    <row r="462" spans="1:11" ht="13">
      <c r="A462" s="4"/>
      <c r="B462" s="4"/>
      <c r="C462" s="4" t="s">
        <v>1997</v>
      </c>
      <c r="D462" s="146">
        <v>10</v>
      </c>
      <c r="E462" s="4" t="str">
        <f>VLOOKUP(C462,Master!$B$6:$N$1000,9,FALSE)</f>
        <v>ml</v>
      </c>
      <c r="F462" s="144">
        <f>VLOOKUP(C462,Master!$B$6:$N$1000,10,FALSE)</f>
        <v>200.71428571428572</v>
      </c>
      <c r="G462" s="144">
        <f t="shared" si="84"/>
        <v>2007.1428571428573</v>
      </c>
      <c r="H462" s="4"/>
      <c r="I462" s="4"/>
      <c r="J462" s="4"/>
      <c r="K462" s="4"/>
    </row>
    <row r="463" spans="1:11" ht="13">
      <c r="A463" s="4"/>
      <c r="B463" s="4"/>
      <c r="C463" s="4" t="s">
        <v>2052</v>
      </c>
      <c r="D463" s="146">
        <v>120</v>
      </c>
      <c r="E463" s="4" t="str">
        <f>VLOOKUP(C463,Master!$B$6:$N$1000,9,FALSE)</f>
        <v>ml</v>
      </c>
      <c r="F463" s="144">
        <f>VLOOKUP(C463,Master!$B$6:$N$1000,10,FALSE)</f>
        <v>0.66315789473684206</v>
      </c>
      <c r="G463" s="144">
        <f t="shared" si="84"/>
        <v>79.578947368421041</v>
      </c>
      <c r="H463" s="4"/>
      <c r="I463" s="4"/>
      <c r="J463" s="4"/>
      <c r="K463" s="4"/>
    </row>
    <row r="464" spans="1:11" ht="13">
      <c r="A464" s="4"/>
      <c r="B464" s="4"/>
      <c r="C464" s="4"/>
      <c r="D464" s="4"/>
      <c r="E464" s="4"/>
      <c r="F464" s="4"/>
      <c r="G464" s="4"/>
      <c r="H464" s="4"/>
      <c r="I464" s="4"/>
      <c r="J464" s="4"/>
      <c r="K464" s="4"/>
    </row>
    <row r="465" spans="1:11" ht="13">
      <c r="A465" s="188" t="str">
        <f>VLOOKUP(B465,Master!$V$7:$W$1000,2,FALSE)</f>
        <v>B013</v>
      </c>
      <c r="B465" s="135" t="s">
        <v>933</v>
      </c>
      <c r="C465" s="136"/>
      <c r="D465" s="136"/>
      <c r="E465" s="136"/>
      <c r="F465" s="136"/>
      <c r="G465" s="138">
        <f>SUM(G466:G467)</f>
        <v>6679.5789473684208</v>
      </c>
      <c r="H465" s="139">
        <v>0.1</v>
      </c>
      <c r="I465" s="138">
        <f>G465+(G465*H465)</f>
        <v>7347.5368421052626</v>
      </c>
      <c r="J465" s="137" t="b">
        <v>0</v>
      </c>
      <c r="K465" s="4"/>
    </row>
    <row r="466" spans="1:11" ht="13">
      <c r="A466" s="141"/>
      <c r="B466" s="4"/>
      <c r="C466" s="4" t="s">
        <v>1180</v>
      </c>
      <c r="D466" s="146">
        <v>30</v>
      </c>
      <c r="E466" s="4" t="str">
        <f>VLOOKUP(C466,Master!$B$6:$N$1000,9,FALSE)</f>
        <v>gr</v>
      </c>
      <c r="F466" s="144">
        <f>VLOOKUP(C466,Master!$B$6:$N$1000,10,FALSE)</f>
        <v>220</v>
      </c>
      <c r="G466" s="144">
        <f t="shared" ref="G466:G467" si="85">D466*F466</f>
        <v>6600</v>
      </c>
      <c r="H466" s="145"/>
      <c r="I466" s="145"/>
      <c r="J466" s="4"/>
      <c r="K466" s="4"/>
    </row>
    <row r="467" spans="1:11" ht="13">
      <c r="A467" s="4"/>
      <c r="B467" s="4"/>
      <c r="C467" s="4" t="s">
        <v>2052</v>
      </c>
      <c r="D467" s="146">
        <v>120</v>
      </c>
      <c r="E467" s="4" t="str">
        <f>VLOOKUP(C467,Master!$B$6:$N$1000,9,FALSE)</f>
        <v>ml</v>
      </c>
      <c r="F467" s="144">
        <f>VLOOKUP(C467,Master!$B$6:$N$1000,10,FALSE)</f>
        <v>0.66315789473684206</v>
      </c>
      <c r="G467" s="144">
        <f t="shared" si="85"/>
        <v>79.578947368421041</v>
      </c>
      <c r="H467" s="4"/>
      <c r="I467" s="4"/>
      <c r="J467" s="4"/>
      <c r="K467" s="4"/>
    </row>
    <row r="468" spans="1:11" ht="13">
      <c r="A468" s="4"/>
      <c r="B468" s="4"/>
      <c r="C468" s="4"/>
      <c r="D468" s="4"/>
      <c r="E468" s="4"/>
      <c r="F468" s="4"/>
      <c r="G468" s="4"/>
      <c r="H468" s="4"/>
      <c r="I468" s="4"/>
      <c r="J468" s="4"/>
      <c r="K468" s="4"/>
    </row>
    <row r="469" spans="1:11" ht="13">
      <c r="A469" s="188" t="str">
        <f>VLOOKUP(B469,Master!$V$7:$W$1000,2,FALSE)</f>
        <v>B037</v>
      </c>
      <c r="B469" s="135" t="s">
        <v>1004</v>
      </c>
      <c r="C469" s="136"/>
      <c r="D469" s="136"/>
      <c r="E469" s="136"/>
      <c r="F469" s="136"/>
      <c r="G469" s="138">
        <f>SUM(G470:G471)</f>
        <v>5579.5789473684208</v>
      </c>
      <c r="H469" s="139">
        <v>0.1</v>
      </c>
      <c r="I469" s="138">
        <f>G469+(G469*H469)</f>
        <v>6137.5368421052626</v>
      </c>
      <c r="J469" s="137" t="b">
        <v>0</v>
      </c>
      <c r="K469" s="4"/>
    </row>
    <row r="470" spans="1:11" ht="13">
      <c r="A470" s="141"/>
      <c r="B470" s="4"/>
      <c r="C470" s="4" t="s">
        <v>1180</v>
      </c>
      <c r="D470" s="146">
        <v>25</v>
      </c>
      <c r="E470" s="4" t="str">
        <f>VLOOKUP(C470,Master!$B$6:$N$1000,9,FALSE)</f>
        <v>gr</v>
      </c>
      <c r="F470" s="144">
        <f>VLOOKUP(C470,Master!$B$6:$N$1000,10,FALSE)</f>
        <v>220</v>
      </c>
      <c r="G470" s="144">
        <f t="shared" ref="G470:G471" si="86">D470*F470</f>
        <v>5500</v>
      </c>
      <c r="H470" s="145"/>
      <c r="I470" s="145"/>
      <c r="J470" s="4"/>
      <c r="K470" s="4"/>
    </row>
    <row r="471" spans="1:11" ht="13">
      <c r="A471" s="4"/>
      <c r="B471" s="4"/>
      <c r="C471" s="4" t="s">
        <v>2052</v>
      </c>
      <c r="D471" s="146">
        <v>120</v>
      </c>
      <c r="E471" s="4" t="str">
        <f>VLOOKUP(C471,Master!$B$6:$N$1000,9,FALSE)</f>
        <v>ml</v>
      </c>
      <c r="F471" s="144">
        <f>VLOOKUP(C471,Master!$B$6:$N$1000,10,FALSE)</f>
        <v>0.66315789473684206</v>
      </c>
      <c r="G471" s="144">
        <f t="shared" si="86"/>
        <v>79.578947368421041</v>
      </c>
      <c r="H471" s="4"/>
      <c r="I471" s="4"/>
      <c r="J471" s="4"/>
      <c r="K471" s="4"/>
    </row>
    <row r="472" spans="1:11" ht="13">
      <c r="A472" s="4"/>
      <c r="B472" s="4"/>
      <c r="C472" s="4"/>
      <c r="D472" s="4"/>
      <c r="E472" s="4"/>
      <c r="F472" s="4"/>
      <c r="G472" s="4"/>
      <c r="H472" s="4"/>
      <c r="I472" s="4"/>
      <c r="J472" s="4"/>
      <c r="K472" s="4"/>
    </row>
    <row r="473" spans="1:11" ht="13">
      <c r="A473" s="188" t="str">
        <f>VLOOKUP(B473,Master!$V$7:$W$1000,2,FALSE)</f>
        <v>B031</v>
      </c>
      <c r="B473" s="135" t="s">
        <v>2073</v>
      </c>
      <c r="C473" s="136"/>
      <c r="D473" s="136"/>
      <c r="E473" s="136"/>
      <c r="F473" s="136"/>
      <c r="G473" s="138">
        <f>SUM(G474:G478)</f>
        <v>8618.52701754386</v>
      </c>
      <c r="H473" s="139">
        <v>0.1</v>
      </c>
      <c r="I473" s="138">
        <f>G473+(G473*H473)</f>
        <v>9480.3797192982456</v>
      </c>
      <c r="J473" s="137" t="b">
        <v>0</v>
      </c>
      <c r="K473" s="4"/>
    </row>
    <row r="474" spans="1:11" ht="13">
      <c r="A474" s="141"/>
      <c r="B474" s="4"/>
      <c r="C474" s="4" t="s">
        <v>2030</v>
      </c>
      <c r="D474" s="146">
        <v>18</v>
      </c>
      <c r="E474" s="4" t="str">
        <f>VLOOKUP(C474,Master!$B$6:$N$1000,9,FALSE)</f>
        <v>gr</v>
      </c>
      <c r="F474" s="158">
        <f>VLOOKUP(C474,Master!$B$6:$N$1000,10,FALSE)</f>
        <v>195</v>
      </c>
      <c r="G474" s="144">
        <f t="shared" ref="G474:G478" si="87">D474*F474</f>
        <v>3510</v>
      </c>
      <c r="H474" s="145"/>
      <c r="I474" s="145"/>
      <c r="J474" s="4"/>
      <c r="K474" s="4"/>
    </row>
    <row r="475" spans="1:11" ht="13">
      <c r="A475" s="4"/>
      <c r="B475" s="4"/>
      <c r="C475" s="4" t="s">
        <v>2052</v>
      </c>
      <c r="D475" s="146">
        <v>36</v>
      </c>
      <c r="E475" s="4" t="str">
        <f>VLOOKUP(C475,Master!$B$6:$N$1000,9,FALSE)</f>
        <v>ml</v>
      </c>
      <c r="F475" s="158">
        <f>VLOOKUP(C475,Master!$B$6:$N$1000,10,FALSE)</f>
        <v>0.66315789473684206</v>
      </c>
      <c r="G475" s="144">
        <f t="shared" si="87"/>
        <v>23.873684210526314</v>
      </c>
      <c r="H475" s="4"/>
      <c r="I475" s="4"/>
      <c r="J475" s="4"/>
      <c r="K475" s="4"/>
    </row>
    <row r="476" spans="1:11" ht="13">
      <c r="A476" s="4"/>
      <c r="B476" s="4"/>
      <c r="C476" s="4" t="s">
        <v>1981</v>
      </c>
      <c r="D476" s="146">
        <v>120</v>
      </c>
      <c r="E476" s="4" t="str">
        <f>VLOOKUP(C476,Master!$B$6:$N$1000,9,FALSE)</f>
        <v>ml</v>
      </c>
      <c r="F476" s="158">
        <f>VLOOKUP(C476,Master!$B$6:$N$1000,10,FALSE)</f>
        <v>17.094333333333335</v>
      </c>
      <c r="G476" s="144">
        <f t="shared" si="87"/>
        <v>2051.3200000000002</v>
      </c>
      <c r="H476" s="4"/>
      <c r="I476" s="4"/>
      <c r="J476" s="4"/>
      <c r="K476" s="4"/>
    </row>
    <row r="477" spans="1:11" ht="13">
      <c r="A477" s="4"/>
      <c r="B477" s="4"/>
      <c r="C477" s="4" t="s">
        <v>1276</v>
      </c>
      <c r="D477" s="146">
        <v>20</v>
      </c>
      <c r="E477" s="4" t="str">
        <f>VLOOKUP(C477,Master!$B$6:$N$1000,9,FALSE)</f>
        <v>ml</v>
      </c>
      <c r="F477" s="158">
        <f>VLOOKUP(C477,Master!$B$6:$N$1000,10,FALSE)</f>
        <v>126.66666666666667</v>
      </c>
      <c r="G477" s="144">
        <f t="shared" si="87"/>
        <v>2533.3333333333335</v>
      </c>
      <c r="H477" s="4"/>
      <c r="I477" s="4"/>
      <c r="J477" s="4"/>
      <c r="K477" s="4"/>
    </row>
    <row r="478" spans="1:11" ht="13">
      <c r="A478" s="4"/>
      <c r="B478" s="4"/>
      <c r="C478" s="90" t="s">
        <v>839</v>
      </c>
      <c r="D478" s="149">
        <v>1</v>
      </c>
      <c r="E478" s="4" t="str">
        <f>VLOOKUP(C478,Master!$B$6:$N$1000,9,FALSE)</f>
        <v>pcs</v>
      </c>
      <c r="F478" s="158">
        <f>VLOOKUP(C478,Master!$B$6:$N$1000,10,FALSE)</f>
        <v>500</v>
      </c>
      <c r="G478" s="150">
        <f t="shared" si="87"/>
        <v>500</v>
      </c>
      <c r="H478" s="4"/>
      <c r="I478" s="4"/>
      <c r="J478" s="4"/>
      <c r="K478" s="4"/>
    </row>
    <row r="479" spans="1:11" ht="13">
      <c r="A479" s="4"/>
      <c r="B479" s="4"/>
      <c r="C479" s="4"/>
      <c r="D479" s="4"/>
      <c r="E479" s="4"/>
      <c r="F479" s="4"/>
      <c r="G479" s="4"/>
      <c r="H479" s="4"/>
      <c r="I479" s="4"/>
      <c r="J479" s="4"/>
      <c r="K479" s="4"/>
    </row>
    <row r="480" spans="1:11" ht="13">
      <c r="A480" s="188" t="str">
        <f>VLOOKUP(B480,Master!$V$7:$W$1000,2,FALSE)</f>
        <v>B031</v>
      </c>
      <c r="B480" s="135" t="s">
        <v>2074</v>
      </c>
      <c r="C480" s="136"/>
      <c r="D480" s="136"/>
      <c r="E480" s="136"/>
      <c r="F480" s="136"/>
      <c r="G480" s="138">
        <f>SUM(G481:G485)</f>
        <v>8697.031578947368</v>
      </c>
      <c r="H480" s="139">
        <v>0.1</v>
      </c>
      <c r="I480" s="138">
        <f>G480+(G480*H480)</f>
        <v>9566.7347368421051</v>
      </c>
      <c r="J480" s="137" t="b">
        <v>0</v>
      </c>
      <c r="K480" s="4"/>
    </row>
    <row r="481" spans="1:11" ht="13">
      <c r="A481" s="4"/>
      <c r="B481" s="4"/>
      <c r="C481" s="4" t="s">
        <v>2030</v>
      </c>
      <c r="D481" s="146">
        <v>18</v>
      </c>
      <c r="E481" s="4" t="str">
        <f>VLOOKUP(C481,Master!$B$6:$N$1000,9,FALSE)</f>
        <v>gr</v>
      </c>
      <c r="F481" s="158">
        <f>VLOOKUP(C481,Master!$B$6:$N$1000,10,FALSE)</f>
        <v>195</v>
      </c>
      <c r="G481" s="144">
        <f t="shared" ref="G481:G485" si="88">D481*F481</f>
        <v>3510</v>
      </c>
      <c r="H481" s="4"/>
      <c r="I481" s="4"/>
      <c r="J481" s="4"/>
      <c r="K481" s="4"/>
    </row>
    <row r="482" spans="1:11" ht="13">
      <c r="A482" s="4"/>
      <c r="B482" s="4"/>
      <c r="C482" s="4" t="s">
        <v>2052</v>
      </c>
      <c r="D482" s="146">
        <v>36</v>
      </c>
      <c r="E482" s="4" t="str">
        <f>VLOOKUP(C482,Master!$B$6:$N$1000,9,FALSE)</f>
        <v>ml</v>
      </c>
      <c r="F482" s="158">
        <f>VLOOKUP(C482,Master!$B$6:$N$1000,10,FALSE)</f>
        <v>0.66315789473684206</v>
      </c>
      <c r="G482" s="144">
        <f t="shared" si="88"/>
        <v>23.873684210526314</v>
      </c>
      <c r="H482" s="4"/>
      <c r="I482" s="4"/>
      <c r="J482" s="4"/>
      <c r="K482" s="4"/>
    </row>
    <row r="483" spans="1:11" ht="13">
      <c r="A483" s="4"/>
      <c r="B483" s="4"/>
      <c r="C483" s="4" t="s">
        <v>1987</v>
      </c>
      <c r="D483" s="146">
        <v>150</v>
      </c>
      <c r="E483" s="4" t="str">
        <f>VLOOKUP(C483,Master!$B$6:$N$1000,9,FALSE)</f>
        <v>ml</v>
      </c>
      <c r="F483" s="158">
        <f>VLOOKUP(C483,Master!$B$6:$N$1000,10,FALSE)</f>
        <v>18.421052631578949</v>
      </c>
      <c r="G483" s="144">
        <f t="shared" si="88"/>
        <v>2763.1578947368421</v>
      </c>
      <c r="H483" s="4"/>
      <c r="I483" s="4"/>
      <c r="J483" s="4"/>
      <c r="K483" s="4"/>
    </row>
    <row r="484" spans="1:11" ht="13">
      <c r="A484" s="4"/>
      <c r="B484" s="4"/>
      <c r="C484" s="4" t="s">
        <v>1276</v>
      </c>
      <c r="D484" s="146">
        <v>15</v>
      </c>
      <c r="E484" s="4" t="str">
        <f>VLOOKUP(C484,Master!$B$6:$N$1000,9,FALSE)</f>
        <v>ml</v>
      </c>
      <c r="F484" s="158">
        <f>VLOOKUP(C484,Master!$B$6:$N$1000,10,FALSE)</f>
        <v>126.66666666666667</v>
      </c>
      <c r="G484" s="144">
        <f t="shared" si="88"/>
        <v>1900</v>
      </c>
      <c r="H484" s="4"/>
      <c r="I484" s="4"/>
      <c r="J484" s="4"/>
      <c r="K484" s="4"/>
    </row>
    <row r="485" spans="1:11" ht="13">
      <c r="A485" s="4"/>
      <c r="B485" s="4"/>
      <c r="C485" s="90" t="s">
        <v>839</v>
      </c>
      <c r="D485" s="149">
        <v>1</v>
      </c>
      <c r="E485" s="4" t="str">
        <f>VLOOKUP(C485,Master!$B$6:$N$1000,9,FALSE)</f>
        <v>pcs</v>
      </c>
      <c r="F485" s="158">
        <f>VLOOKUP(C485,Master!$B$6:$N$1000,10,FALSE)</f>
        <v>500</v>
      </c>
      <c r="G485" s="150">
        <f t="shared" si="88"/>
        <v>500</v>
      </c>
      <c r="H485" s="4"/>
      <c r="I485" s="4"/>
      <c r="J485" s="4"/>
      <c r="K485" s="4"/>
    </row>
    <row r="486" spans="1:11" ht="13">
      <c r="A486" s="4"/>
      <c r="B486" s="4"/>
      <c r="C486" s="4"/>
      <c r="D486" s="4"/>
      <c r="E486" s="4"/>
      <c r="F486" s="4"/>
      <c r="G486" s="4"/>
      <c r="H486" s="4"/>
      <c r="I486" s="4"/>
      <c r="J486" s="4"/>
      <c r="K486" s="4"/>
    </row>
    <row r="487" spans="1:11" ht="13">
      <c r="A487" s="188" t="str">
        <f>VLOOKUP(B487,Master!$V$7:$W$1000,2,FALSE)</f>
        <v>B032</v>
      </c>
      <c r="B487" s="135" t="s">
        <v>991</v>
      </c>
      <c r="C487" s="136"/>
      <c r="D487" s="153"/>
      <c r="E487" s="153"/>
      <c r="F487" s="153"/>
      <c r="G487" s="138">
        <f>SUM(G488:G490)</f>
        <v>6566.8736842105263</v>
      </c>
      <c r="H487" s="139">
        <v>0.15</v>
      </c>
      <c r="I487" s="138">
        <f>G487+(G487*H487)</f>
        <v>7551.9047368421052</v>
      </c>
      <c r="J487" s="192" t="b">
        <v>1</v>
      </c>
      <c r="K487" s="4"/>
    </row>
    <row r="488" spans="1:11" ht="13">
      <c r="A488" s="141"/>
      <c r="B488" s="4"/>
      <c r="C488" s="4" t="s">
        <v>1180</v>
      </c>
      <c r="D488" s="146">
        <v>20</v>
      </c>
      <c r="E488" s="4" t="str">
        <f>VLOOKUP(C488,Master!$B$6:$N$1000,9,FALSE)</f>
        <v>gr</v>
      </c>
      <c r="F488" s="158">
        <f>VLOOKUP(C488,Master!$B$6:$N$1000,10,FALSE)</f>
        <v>220</v>
      </c>
      <c r="G488" s="144">
        <f t="shared" ref="G488:G490" si="89">D488*F488</f>
        <v>4400</v>
      </c>
      <c r="H488" s="145"/>
      <c r="I488" s="145"/>
      <c r="J488" s="132"/>
      <c r="K488" s="4"/>
    </row>
    <row r="489" spans="1:11" ht="13">
      <c r="A489" s="141"/>
      <c r="B489" s="4"/>
      <c r="C489" s="4" t="s">
        <v>2052</v>
      </c>
      <c r="D489" s="146">
        <v>36</v>
      </c>
      <c r="E489" s="4" t="str">
        <f>VLOOKUP(C489,Master!$B$6:$N$1000,9,FALSE)</f>
        <v>ml</v>
      </c>
      <c r="F489" s="158">
        <f>VLOOKUP(C489,Master!$B$6:$N$1000,10,FALSE)</f>
        <v>0.66315789473684206</v>
      </c>
      <c r="G489" s="144">
        <f t="shared" si="89"/>
        <v>23.873684210526314</v>
      </c>
      <c r="H489" s="145"/>
      <c r="I489" s="145"/>
      <c r="K489" s="4"/>
    </row>
    <row r="490" spans="1:11" ht="13">
      <c r="A490" s="148"/>
      <c r="B490" s="90"/>
      <c r="C490" s="90" t="s">
        <v>1986</v>
      </c>
      <c r="D490" s="149">
        <v>100</v>
      </c>
      <c r="E490" s="4" t="str">
        <f>VLOOKUP(C490,Master!$B$6:$N$1000,9,FALSE)</f>
        <v>gr</v>
      </c>
      <c r="F490" s="158">
        <f>VLOOKUP(C490,Master!$B$6:$N$1000,10,FALSE)</f>
        <v>21.43</v>
      </c>
      <c r="G490" s="150">
        <f t="shared" si="89"/>
        <v>2143</v>
      </c>
      <c r="H490" s="151"/>
      <c r="I490" s="151"/>
      <c r="K490" s="4"/>
    </row>
    <row r="491" spans="1:11" ht="13">
      <c r="A491" s="4"/>
      <c r="B491" s="4"/>
      <c r="C491" s="4"/>
      <c r="D491" s="4"/>
      <c r="E491" s="4"/>
      <c r="F491" s="4"/>
      <c r="G491" s="4"/>
      <c r="H491" s="4"/>
      <c r="I491" s="4"/>
      <c r="J491" s="4"/>
      <c r="K491" s="4"/>
    </row>
    <row r="492" spans="1:11" ht="13">
      <c r="A492" s="188" t="str">
        <f>VLOOKUP(B492,Master!$V$7:$W$1000,2,FALSE)</f>
        <v>B033</v>
      </c>
      <c r="B492" s="135" t="s">
        <v>994</v>
      </c>
      <c r="C492" s="136"/>
      <c r="D492" s="153"/>
      <c r="E492" s="153"/>
      <c r="F492" s="153"/>
      <c r="G492" s="138">
        <f>SUM(G493:G496)</f>
        <v>7437.2357894736851</v>
      </c>
      <c r="H492" s="139">
        <v>0.15</v>
      </c>
      <c r="I492" s="138">
        <f>G492+(G492*H492)</f>
        <v>8552.8211578947376</v>
      </c>
      <c r="J492" s="192" t="b">
        <v>1</v>
      </c>
      <c r="K492" s="4"/>
    </row>
    <row r="493" spans="1:11" ht="13">
      <c r="A493" s="141"/>
      <c r="B493" s="4"/>
      <c r="C493" s="4" t="s">
        <v>2029</v>
      </c>
      <c r="D493" s="146">
        <v>35</v>
      </c>
      <c r="E493" s="4" t="str">
        <f>VLOOKUP(C493,Master!$B$6:$N$1000,9,FALSE)</f>
        <v>gr</v>
      </c>
      <c r="F493" s="158">
        <f>VLOOKUP(C493,Master!$B$6:$N$1000,10,FALSE)</f>
        <v>42</v>
      </c>
      <c r="G493" s="144">
        <f t="shared" ref="G493:G495" si="90">D493*F493</f>
        <v>1470</v>
      </c>
      <c r="H493" s="145"/>
      <c r="I493" s="145"/>
      <c r="K493" s="4"/>
    </row>
    <row r="494" spans="1:11" ht="13">
      <c r="A494" s="4"/>
      <c r="B494" s="4"/>
      <c r="C494" s="4" t="s">
        <v>1981</v>
      </c>
      <c r="D494" s="146">
        <v>120</v>
      </c>
      <c r="E494" s="4" t="str">
        <f>VLOOKUP(C494,Master!$B$6:$N$1000,9,FALSE)</f>
        <v>ml</v>
      </c>
      <c r="F494" s="158">
        <f>VLOOKUP(C494,Master!$B$6:$N$1000,10,FALSE)</f>
        <v>17.094333333333335</v>
      </c>
      <c r="G494" s="144">
        <f t="shared" si="90"/>
        <v>2051.3200000000002</v>
      </c>
      <c r="H494" s="4"/>
      <c r="I494" s="4"/>
      <c r="J494" s="4"/>
      <c r="K494" s="4"/>
    </row>
    <row r="495" spans="1:11" ht="13">
      <c r="A495" s="4"/>
      <c r="B495" s="4"/>
      <c r="C495" s="4" t="s">
        <v>365</v>
      </c>
      <c r="D495" s="146">
        <v>1</v>
      </c>
      <c r="E495" s="4" t="str">
        <f>VLOOKUP(C495,Master!$B$6:$N$1000,9,FALSE)</f>
        <v>porsi</v>
      </c>
      <c r="F495" s="158">
        <f>VLOOKUP(C495,Master!$B$6:$N$1000,10,FALSE)</f>
        <v>3915.9157894736845</v>
      </c>
      <c r="G495" s="144">
        <f t="shared" si="90"/>
        <v>3915.9157894736845</v>
      </c>
      <c r="H495" s="4"/>
      <c r="I495" s="4"/>
      <c r="J495" s="4"/>
      <c r="K495" s="4"/>
    </row>
    <row r="496" spans="1:11" ht="13">
      <c r="A496" s="4"/>
      <c r="B496" s="4"/>
      <c r="C496" s="4"/>
      <c r="D496" s="4"/>
      <c r="E496" s="4"/>
      <c r="F496" s="4"/>
      <c r="G496" s="4"/>
      <c r="H496" s="4"/>
      <c r="I496" s="4"/>
      <c r="J496" s="4"/>
      <c r="K496" s="4"/>
    </row>
    <row r="497" spans="1:11" ht="13">
      <c r="A497" s="4"/>
      <c r="B497" s="4"/>
      <c r="C497" s="4"/>
      <c r="D497" s="4"/>
      <c r="E497" s="4"/>
      <c r="F497" s="4"/>
      <c r="G497" s="4"/>
      <c r="H497" s="4"/>
      <c r="I497" s="4"/>
      <c r="J497" s="4"/>
      <c r="K497" s="4"/>
    </row>
    <row r="498" spans="1:11" ht="13">
      <c r="A498" s="188" t="str">
        <f>VLOOKUP(B498,Master!$V$7:$W$1000,2,FALSE)</f>
        <v>B034</v>
      </c>
      <c r="B498" s="135" t="s">
        <v>997</v>
      </c>
      <c r="C498" s="136"/>
      <c r="D498" s="153"/>
      <c r="E498" s="153"/>
      <c r="F498" s="153"/>
      <c r="G498" s="138">
        <f>SUM(G499:G501)</f>
        <v>6015.9157894736845</v>
      </c>
      <c r="H498" s="139">
        <v>0.15</v>
      </c>
      <c r="I498" s="138">
        <f>G498+(G498*H498)</f>
        <v>6918.3031578947375</v>
      </c>
      <c r="J498" s="192" t="b">
        <v>1</v>
      </c>
      <c r="K498" s="4"/>
    </row>
    <row r="499" spans="1:11" ht="13">
      <c r="A499" s="141"/>
      <c r="B499" s="4"/>
      <c r="C499" s="4" t="s">
        <v>2029</v>
      </c>
      <c r="D499" s="146">
        <v>15</v>
      </c>
      <c r="E499" s="4" t="str">
        <f>VLOOKUP(C499,Master!$B$6:$N$1000,9,FALSE)</f>
        <v>gr</v>
      </c>
      <c r="F499" s="158">
        <f>VLOOKUP(C499,Master!$B$6:$N$1000,10,FALSE)</f>
        <v>42</v>
      </c>
      <c r="G499" s="144">
        <f t="shared" ref="G499:G501" si="91">D499*F499</f>
        <v>630</v>
      </c>
      <c r="H499" s="145"/>
      <c r="I499" s="145"/>
      <c r="J499" s="132"/>
      <c r="K499" s="4"/>
    </row>
    <row r="500" spans="1:11" ht="13">
      <c r="A500" s="4"/>
      <c r="B500" s="4"/>
      <c r="C500" s="4" t="s">
        <v>2029</v>
      </c>
      <c r="D500" s="146">
        <v>35</v>
      </c>
      <c r="E500" s="4" t="str">
        <f>VLOOKUP(C500,Master!$B$6:$N$1000,9,FALSE)</f>
        <v>gr</v>
      </c>
      <c r="F500" s="158">
        <f>VLOOKUP(C500,Master!$B$6:$N$1000,10,FALSE)</f>
        <v>42</v>
      </c>
      <c r="G500" s="144">
        <f t="shared" si="91"/>
        <v>1470</v>
      </c>
      <c r="H500" s="4"/>
      <c r="I500" s="4"/>
      <c r="J500" s="4"/>
      <c r="K500" s="4"/>
    </row>
    <row r="501" spans="1:11" ht="13">
      <c r="A501" s="4"/>
      <c r="B501" s="4"/>
      <c r="C501" s="4" t="s">
        <v>365</v>
      </c>
      <c r="D501" s="146">
        <v>1</v>
      </c>
      <c r="E501" s="4" t="str">
        <f>VLOOKUP(C501,Master!$B$6:$N$1000,9,FALSE)</f>
        <v>porsi</v>
      </c>
      <c r="F501" s="158">
        <f>VLOOKUP(C501,Master!$B$6:$N$1000,10,FALSE)</f>
        <v>3915.9157894736845</v>
      </c>
      <c r="G501" s="144">
        <f t="shared" si="91"/>
        <v>3915.9157894736845</v>
      </c>
      <c r="H501" s="4"/>
      <c r="I501" s="4"/>
      <c r="J501" s="4"/>
      <c r="K501" s="4"/>
    </row>
    <row r="502" spans="1:11" ht="13">
      <c r="A502" s="4"/>
      <c r="B502" s="4"/>
      <c r="C502" s="4"/>
      <c r="D502" s="4"/>
      <c r="E502" s="4"/>
      <c r="F502" s="4"/>
      <c r="G502" s="4"/>
      <c r="H502" s="4"/>
      <c r="I502" s="4"/>
      <c r="J502" s="4"/>
      <c r="K502" s="4"/>
    </row>
    <row r="503" spans="1:11" ht="13">
      <c r="A503" s="188" t="str">
        <f>VLOOKUP(B503,Master!$V$7:$W$1000,2,FALSE)</f>
        <v>B005</v>
      </c>
      <c r="B503" s="135" t="s">
        <v>906</v>
      </c>
      <c r="C503" s="136"/>
      <c r="D503" s="136"/>
      <c r="E503" s="136"/>
      <c r="F503" s="136"/>
      <c r="G503" s="138">
        <f>SUM(G504:G508)</f>
        <v>8897.193684210526</v>
      </c>
      <c r="H503" s="139">
        <v>0.1</v>
      </c>
      <c r="I503" s="138">
        <f>G503+(G503*H503)</f>
        <v>9786.9130526315785</v>
      </c>
      <c r="J503" s="137" t="b">
        <v>0</v>
      </c>
      <c r="K503" s="4"/>
    </row>
    <row r="504" spans="1:11" ht="13">
      <c r="A504" s="141"/>
      <c r="B504" s="4"/>
      <c r="C504" s="4" t="s">
        <v>2030</v>
      </c>
      <c r="D504" s="146">
        <v>18</v>
      </c>
      <c r="E504" s="4" t="str">
        <f>VLOOKUP(C504,Master!$B$6:$N$1000,9,FALSE)</f>
        <v>gr</v>
      </c>
      <c r="F504" s="158">
        <f>VLOOKUP(C504,Master!$B$6:$N$1000,10,FALSE)</f>
        <v>195</v>
      </c>
      <c r="G504" s="144">
        <f t="shared" ref="G504:G508" si="92">D504*F504</f>
        <v>3510</v>
      </c>
      <c r="H504" s="145"/>
      <c r="I504" s="145"/>
      <c r="J504" s="4"/>
      <c r="K504" s="4"/>
    </row>
    <row r="505" spans="1:11" ht="13">
      <c r="A505" s="4"/>
      <c r="B505" s="4"/>
      <c r="C505" s="4" t="s">
        <v>2052</v>
      </c>
      <c r="D505" s="146">
        <v>36</v>
      </c>
      <c r="E505" s="4" t="str">
        <f>VLOOKUP(C505,Master!$B$6:$N$1000,9,FALSE)</f>
        <v>ml</v>
      </c>
      <c r="F505" s="158">
        <f>VLOOKUP(C505,Master!$B$6:$N$1000,10,FALSE)</f>
        <v>0.66315789473684206</v>
      </c>
      <c r="G505" s="144">
        <f t="shared" si="92"/>
        <v>23.873684210526314</v>
      </c>
      <c r="H505" s="4"/>
      <c r="I505" s="4"/>
      <c r="J505" s="4"/>
      <c r="K505" s="4"/>
    </row>
    <row r="506" spans="1:11" ht="13">
      <c r="A506" s="4"/>
      <c r="B506" s="4"/>
      <c r="C506" s="4" t="s">
        <v>1981</v>
      </c>
      <c r="D506" s="146">
        <v>120</v>
      </c>
      <c r="E506" s="4" t="str">
        <f>VLOOKUP(C506,Master!$B$6:$N$1000,9,FALSE)</f>
        <v>ml</v>
      </c>
      <c r="F506" s="158">
        <f>VLOOKUP(C506,Master!$B$6:$N$1000,10,FALSE)</f>
        <v>17.094333333333335</v>
      </c>
      <c r="G506" s="144">
        <f t="shared" si="92"/>
        <v>2051.3200000000002</v>
      </c>
      <c r="H506" s="4"/>
      <c r="I506" s="4"/>
      <c r="J506" s="4"/>
      <c r="K506" s="4"/>
    </row>
    <row r="507" spans="1:11" ht="13">
      <c r="A507" s="4"/>
      <c r="B507" s="4"/>
      <c r="C507" s="4" t="s">
        <v>2023</v>
      </c>
      <c r="D507" s="146">
        <v>20</v>
      </c>
      <c r="E507" s="4" t="str">
        <f>VLOOKUP(C507,Master!$B$6:$N$1000,9,FALSE)</f>
        <v>ml</v>
      </c>
      <c r="F507" s="158">
        <f>VLOOKUP(C507,Master!$B$6:$N$1000,10,FALSE)</f>
        <v>140.6</v>
      </c>
      <c r="G507" s="144">
        <f t="shared" si="92"/>
        <v>2812</v>
      </c>
      <c r="H507" s="4"/>
      <c r="I507" s="4"/>
      <c r="J507" s="4"/>
      <c r="K507" s="4"/>
    </row>
    <row r="508" spans="1:11" ht="13">
      <c r="A508" s="4"/>
      <c r="B508" s="4"/>
      <c r="C508" s="90" t="s">
        <v>839</v>
      </c>
      <c r="D508" s="149">
        <v>1</v>
      </c>
      <c r="E508" s="4" t="str">
        <f>VLOOKUP(C508,Master!$B$6:$N$1000,9,FALSE)</f>
        <v>pcs</v>
      </c>
      <c r="F508" s="158">
        <f>VLOOKUP(C508,Master!$B$6:$N$1000,10,FALSE)</f>
        <v>500</v>
      </c>
      <c r="G508" s="150">
        <f t="shared" si="92"/>
        <v>500</v>
      </c>
      <c r="H508" s="4"/>
      <c r="I508" s="4"/>
      <c r="J508" s="4"/>
      <c r="K508" s="4"/>
    </row>
    <row r="509" spans="1:11" ht="13">
      <c r="A509" s="4"/>
      <c r="B509" s="4"/>
      <c r="C509" s="4"/>
      <c r="D509" s="4"/>
      <c r="E509" s="4"/>
      <c r="F509" s="4"/>
      <c r="G509" s="4"/>
      <c r="H509" s="4"/>
      <c r="I509" s="4"/>
      <c r="J509" s="4"/>
      <c r="K509" s="4"/>
    </row>
    <row r="510" spans="1:11" ht="13">
      <c r="A510" s="188" t="str">
        <f>VLOOKUP(B510,Master!$V$7:$W$1000,2,FALSE)</f>
        <v>B006</v>
      </c>
      <c r="B510" s="135" t="s">
        <v>909</v>
      </c>
      <c r="C510" s="136"/>
      <c r="D510" s="136"/>
      <c r="E510" s="136"/>
      <c r="F510" s="136"/>
      <c r="G510" s="138">
        <f>SUM(G511:G515)</f>
        <v>8906.031578947368</v>
      </c>
      <c r="H510" s="139">
        <v>0.1</v>
      </c>
      <c r="I510" s="138">
        <f>G510+(G510*H510)</f>
        <v>9796.6347368421048</v>
      </c>
      <c r="J510" s="137" t="b">
        <v>0</v>
      </c>
      <c r="K510" s="4"/>
    </row>
    <row r="511" spans="1:11" ht="13">
      <c r="A511" s="4"/>
      <c r="B511" s="4"/>
      <c r="C511" s="4" t="s">
        <v>2030</v>
      </c>
      <c r="D511" s="146">
        <v>18</v>
      </c>
      <c r="E511" s="4" t="str">
        <f>VLOOKUP(C511,Master!$B$6:$N$1000,9,FALSE)</f>
        <v>gr</v>
      </c>
      <c r="F511" s="158">
        <f>VLOOKUP(C511,Master!$B$6:$N$1000,10,FALSE)</f>
        <v>195</v>
      </c>
      <c r="G511" s="144">
        <f t="shared" ref="G511:G515" si="93">D511*F511</f>
        <v>3510</v>
      </c>
      <c r="H511" s="4"/>
      <c r="I511" s="4"/>
      <c r="J511" s="4"/>
      <c r="K511" s="4"/>
    </row>
    <row r="512" spans="1:11" ht="13">
      <c r="A512" s="4"/>
      <c r="B512" s="4"/>
      <c r="C512" s="4" t="s">
        <v>2052</v>
      </c>
      <c r="D512" s="146">
        <v>36</v>
      </c>
      <c r="E512" s="4" t="str">
        <f>VLOOKUP(C512,Master!$B$6:$N$1000,9,FALSE)</f>
        <v>ml</v>
      </c>
      <c r="F512" s="158">
        <f>VLOOKUP(C512,Master!$B$6:$N$1000,10,FALSE)</f>
        <v>0.66315789473684206</v>
      </c>
      <c r="G512" s="144">
        <f t="shared" si="93"/>
        <v>23.873684210526314</v>
      </c>
      <c r="H512" s="4"/>
      <c r="I512" s="4"/>
      <c r="J512" s="4"/>
      <c r="K512" s="4"/>
    </row>
    <row r="513" spans="1:11" ht="13">
      <c r="A513" s="4"/>
      <c r="B513" s="4"/>
      <c r="C513" s="4" t="s">
        <v>1987</v>
      </c>
      <c r="D513" s="146">
        <v>150</v>
      </c>
      <c r="E513" s="4" t="str">
        <f>VLOOKUP(C513,Master!$B$6:$N$1000,9,FALSE)</f>
        <v>ml</v>
      </c>
      <c r="F513" s="158">
        <f>VLOOKUP(C513,Master!$B$6:$N$1000,10,FALSE)</f>
        <v>18.421052631578949</v>
      </c>
      <c r="G513" s="144">
        <f t="shared" si="93"/>
        <v>2763.1578947368421</v>
      </c>
      <c r="H513" s="4"/>
      <c r="I513" s="4"/>
      <c r="J513" s="4"/>
      <c r="K513" s="4"/>
    </row>
    <row r="514" spans="1:11" ht="13">
      <c r="A514" s="4"/>
      <c r="B514" s="4"/>
      <c r="C514" s="4" t="s">
        <v>2023</v>
      </c>
      <c r="D514" s="146">
        <v>15</v>
      </c>
      <c r="E514" s="4" t="str">
        <f>VLOOKUP(C514,Master!$B$6:$N$1000,9,FALSE)</f>
        <v>ml</v>
      </c>
      <c r="F514" s="158">
        <f>VLOOKUP(C514,Master!$B$6:$N$1000,10,FALSE)</f>
        <v>140.6</v>
      </c>
      <c r="G514" s="144">
        <f t="shared" si="93"/>
        <v>2109</v>
      </c>
      <c r="H514" s="4"/>
      <c r="I514" s="4"/>
      <c r="J514" s="4"/>
      <c r="K514" s="4"/>
    </row>
    <row r="515" spans="1:11" ht="13">
      <c r="A515" s="4"/>
      <c r="B515" s="4"/>
      <c r="C515" s="90" t="s">
        <v>839</v>
      </c>
      <c r="D515" s="149">
        <v>1</v>
      </c>
      <c r="E515" s="4" t="str">
        <f>VLOOKUP(C515,Master!$B$6:$N$1000,9,FALSE)</f>
        <v>pcs</v>
      </c>
      <c r="F515" s="158">
        <f>VLOOKUP(C515,Master!$B$6:$N$1000,10,FALSE)</f>
        <v>500</v>
      </c>
      <c r="G515" s="150">
        <f t="shared" si="93"/>
        <v>500</v>
      </c>
      <c r="H515" s="4"/>
      <c r="I515" s="4"/>
      <c r="J515" s="4"/>
      <c r="K515" s="4"/>
    </row>
    <row r="516" spans="1:11" ht="13">
      <c r="A516" s="4"/>
      <c r="B516" s="4"/>
      <c r="C516" s="4"/>
      <c r="D516" s="4"/>
      <c r="E516" s="4"/>
      <c r="F516" s="4"/>
      <c r="G516" s="4"/>
      <c r="H516" s="4"/>
      <c r="I516" s="4"/>
      <c r="J516" s="4"/>
      <c r="K516" s="4"/>
    </row>
    <row r="517" spans="1:11" ht="13">
      <c r="A517" s="188" t="str">
        <f>VLOOKUP(B517,Master!$V$7:$W$1000,2,FALSE)</f>
        <v>New</v>
      </c>
      <c r="B517" s="135" t="s">
        <v>1025</v>
      </c>
      <c r="C517" s="136"/>
      <c r="D517" s="136"/>
      <c r="E517" s="136"/>
      <c r="F517" s="136"/>
      <c r="G517" s="138">
        <f>SUM(G518:G523)</f>
        <v>8362.6299415204667</v>
      </c>
      <c r="H517" s="139">
        <v>0.1</v>
      </c>
      <c r="I517" s="138">
        <f>G517+(G517*H517)</f>
        <v>9198.892935672513</v>
      </c>
      <c r="J517" s="137" t="b">
        <v>0</v>
      </c>
      <c r="K517" s="4"/>
    </row>
    <row r="518" spans="1:11" ht="13">
      <c r="A518" s="141"/>
      <c r="B518" s="4"/>
      <c r="C518" s="4" t="s">
        <v>406</v>
      </c>
      <c r="D518" s="146">
        <v>1</v>
      </c>
      <c r="E518" s="4" t="str">
        <f>VLOOKUP(C518,Master!$B$6:$N$1000,9,FALSE)</f>
        <v>ml</v>
      </c>
      <c r="F518" s="144">
        <f>VLOOKUP(C518,Master!$B$6:$N$1000,10,FALSE)</f>
        <v>4472.9473684210525</v>
      </c>
      <c r="G518" s="144">
        <f t="shared" ref="G518:G523" si="94">D518*F518</f>
        <v>4472.9473684210525</v>
      </c>
      <c r="H518" s="145"/>
      <c r="I518" s="145"/>
      <c r="J518" s="4"/>
      <c r="K518" s="4"/>
    </row>
    <row r="519" spans="1:11" ht="13">
      <c r="A519" s="4"/>
      <c r="B519" s="4"/>
      <c r="C519" s="4" t="s">
        <v>378</v>
      </c>
      <c r="D519" s="146">
        <v>10</v>
      </c>
      <c r="E519" s="4" t="str">
        <f>VLOOKUP(C519,Master!$B$6:$N$1000,9,FALSE)</f>
        <v>ml</v>
      </c>
      <c r="F519" s="144">
        <f>VLOOKUP(C519,Master!$B$6:$N$1000,10,FALSE)</f>
        <v>15.983578947368422</v>
      </c>
      <c r="G519" s="144">
        <f t="shared" si="94"/>
        <v>159.8357894736842</v>
      </c>
      <c r="H519" s="4"/>
      <c r="I519" s="4"/>
      <c r="J519" s="4"/>
      <c r="K519" s="4"/>
    </row>
    <row r="520" spans="1:11" ht="13">
      <c r="A520" s="4"/>
      <c r="B520" s="4"/>
      <c r="C520" s="4" t="s">
        <v>2024</v>
      </c>
      <c r="D520" s="146">
        <v>20</v>
      </c>
      <c r="E520" s="4" t="str">
        <f>VLOOKUP(C520,Master!$B$6:$N$1000,9,FALSE)</f>
        <v>ml</v>
      </c>
      <c r="F520" s="144">
        <f>VLOOKUP(C520,Master!$B$6:$N$1000,10,FALSE)</f>
        <v>140.6</v>
      </c>
      <c r="G520" s="144">
        <f t="shared" si="94"/>
        <v>2812</v>
      </c>
      <c r="H520" s="4"/>
      <c r="I520" s="4"/>
      <c r="J520" s="4"/>
      <c r="K520" s="4"/>
    </row>
    <row r="521" spans="1:11" ht="13">
      <c r="A521" s="4"/>
      <c r="B521" s="4"/>
      <c r="C521" s="4" t="s">
        <v>398</v>
      </c>
      <c r="D521" s="146">
        <v>10</v>
      </c>
      <c r="E521" s="4" t="str">
        <f>VLOOKUP(C521,Master!$B$6:$N$1000,9,FALSE)</f>
        <v>ml</v>
      </c>
      <c r="F521" s="144">
        <f>VLOOKUP(C521,Master!$B$6:$N$1000,10,FALSE)</f>
        <v>39.132046783625732</v>
      </c>
      <c r="G521" s="144">
        <f t="shared" si="94"/>
        <v>391.32046783625731</v>
      </c>
      <c r="H521" s="4"/>
      <c r="I521" s="4"/>
      <c r="J521" s="4"/>
      <c r="K521" s="4"/>
    </row>
    <row r="522" spans="1:11" ht="13">
      <c r="A522" s="4"/>
      <c r="B522" s="4"/>
      <c r="C522" s="4" t="s">
        <v>2052</v>
      </c>
      <c r="D522" s="146">
        <v>40</v>
      </c>
      <c r="E522" s="4" t="str">
        <f>VLOOKUP(C522,Master!$B$6:$N$1000,9,FALSE)</f>
        <v>ml</v>
      </c>
      <c r="F522" s="144">
        <f>VLOOKUP(C522,Master!$B$6:$N$1000,10,FALSE)</f>
        <v>0.66315789473684206</v>
      </c>
      <c r="G522" s="144">
        <f t="shared" si="94"/>
        <v>26.526315789473681</v>
      </c>
      <c r="H522" s="4"/>
      <c r="I522" s="4"/>
      <c r="J522" s="4"/>
      <c r="K522" s="4"/>
    </row>
    <row r="523" spans="1:11" ht="13">
      <c r="A523" s="4"/>
      <c r="B523" s="4"/>
      <c r="C523" s="4" t="s">
        <v>839</v>
      </c>
      <c r="D523" s="146">
        <v>1</v>
      </c>
      <c r="E523" s="4" t="str">
        <f>VLOOKUP(C523,Master!$B$6:$N$1000,9,FALSE)</f>
        <v>pcs</v>
      </c>
      <c r="F523" s="144">
        <f>VLOOKUP(C523,Master!$B$6:$N$1000,10,FALSE)</f>
        <v>500</v>
      </c>
      <c r="G523" s="144">
        <f t="shared" si="94"/>
        <v>500</v>
      </c>
      <c r="H523" s="4"/>
      <c r="I523" s="4"/>
      <c r="J523" s="4"/>
      <c r="K523" s="4"/>
    </row>
    <row r="524" spans="1:11" ht="13">
      <c r="A524" s="4"/>
      <c r="B524" s="4"/>
      <c r="C524" s="4"/>
      <c r="D524" s="4"/>
      <c r="E524" s="4"/>
      <c r="F524" s="4"/>
      <c r="G524" s="4"/>
      <c r="H524" s="4"/>
      <c r="I524" s="4"/>
      <c r="J524" s="4"/>
      <c r="K524" s="4"/>
    </row>
    <row r="525" spans="1:11" ht="13">
      <c r="A525" s="188" t="str">
        <f>VLOOKUP(B525,Master!$V$7:$W$1000,2,FALSE)</f>
        <v>New</v>
      </c>
      <c r="B525" s="135" t="s">
        <v>1032</v>
      </c>
      <c r="C525" s="136"/>
      <c r="D525" s="136"/>
      <c r="E525" s="136"/>
      <c r="F525" s="136"/>
      <c r="G525" s="138">
        <f>SUM(G526:G531)</f>
        <v>6824.684444444445</v>
      </c>
      <c r="H525" s="139">
        <v>0.15</v>
      </c>
      <c r="I525" s="138">
        <f>G525+(G525*H525)</f>
        <v>7848.3871111111121</v>
      </c>
      <c r="J525" s="137" t="b">
        <v>0</v>
      </c>
      <c r="K525" s="4"/>
    </row>
    <row r="526" spans="1:11" ht="13">
      <c r="A526" s="141"/>
      <c r="B526" s="4"/>
      <c r="C526" s="4" t="s">
        <v>365</v>
      </c>
      <c r="D526" s="146">
        <v>1</v>
      </c>
      <c r="E526" s="4" t="str">
        <f>VLOOKUP(C526,Master!$B$6:$N$1000,9,FALSE)</f>
        <v>porsi</v>
      </c>
      <c r="F526" s="144">
        <f>VLOOKUP(C526,Master!$B$6:$N$1000,10,FALSE)</f>
        <v>3915.9157894736845</v>
      </c>
      <c r="G526" s="144">
        <f t="shared" ref="G526:G531" si="95">D526*F526</f>
        <v>3915.9157894736845</v>
      </c>
      <c r="H526" s="145"/>
      <c r="I526" s="145"/>
      <c r="J526" s="4"/>
      <c r="K526" s="4"/>
    </row>
    <row r="527" spans="1:11" ht="13">
      <c r="A527" s="4"/>
      <c r="B527" s="4"/>
      <c r="C527" s="4" t="s">
        <v>2004</v>
      </c>
      <c r="D527" s="146">
        <v>10</v>
      </c>
      <c r="E527" s="4" t="str">
        <f>VLOOKUP(C527,Master!$B$6:$N$1000,9,FALSE)</f>
        <v>ml</v>
      </c>
      <c r="F527" s="144">
        <f>VLOOKUP(C527,Master!$B$6:$N$1000,10,FALSE)</f>
        <v>126.66666666666667</v>
      </c>
      <c r="G527" s="144">
        <f t="shared" si="95"/>
        <v>1266.6666666666667</v>
      </c>
      <c r="H527" s="4"/>
      <c r="I527" s="4"/>
      <c r="J527" s="4"/>
      <c r="K527" s="4"/>
    </row>
    <row r="528" spans="1:11" ht="13">
      <c r="A528" s="4"/>
      <c r="B528" s="4"/>
      <c r="C528" s="4" t="s">
        <v>398</v>
      </c>
      <c r="D528" s="146">
        <v>20</v>
      </c>
      <c r="E528" s="4" t="str">
        <f>VLOOKUP(C528,Master!$B$6:$N$1000,9,FALSE)</f>
        <v>ml</v>
      </c>
      <c r="F528" s="144">
        <f>VLOOKUP(C528,Master!$B$6:$N$1000,10,FALSE)</f>
        <v>39.132046783625732</v>
      </c>
      <c r="G528" s="144">
        <f t="shared" si="95"/>
        <v>782.64093567251462</v>
      </c>
      <c r="H528" s="4"/>
      <c r="I528" s="4"/>
      <c r="J528" s="4"/>
      <c r="K528" s="4"/>
    </row>
    <row r="529" spans="1:11" ht="13">
      <c r="A529" s="4"/>
      <c r="B529" s="4"/>
      <c r="C529" s="4" t="s">
        <v>2052</v>
      </c>
      <c r="D529" s="146">
        <v>60</v>
      </c>
      <c r="E529" s="4" t="str">
        <f>VLOOKUP(C529,Master!$B$6:$N$1000,9,FALSE)</f>
        <v>ml</v>
      </c>
      <c r="F529" s="144">
        <f>VLOOKUP(C529,Master!$B$6:$N$1000,10,FALSE)</f>
        <v>0.66315789473684206</v>
      </c>
      <c r="G529" s="144">
        <f t="shared" si="95"/>
        <v>39.78947368421052</v>
      </c>
      <c r="H529" s="4"/>
      <c r="I529" s="4"/>
      <c r="J529" s="4"/>
      <c r="K529" s="4"/>
    </row>
    <row r="530" spans="1:11" ht="13">
      <c r="A530" s="4"/>
      <c r="B530" s="4"/>
      <c r="C530" s="4" t="s">
        <v>378</v>
      </c>
      <c r="D530" s="146">
        <v>20</v>
      </c>
      <c r="E530" s="4" t="str">
        <f>VLOOKUP(C530,Master!$B$6:$N$1000,9,FALSE)</f>
        <v>ml</v>
      </c>
      <c r="F530" s="144">
        <f>VLOOKUP(C530,Master!$B$6:$N$1000,10,FALSE)</f>
        <v>15.983578947368422</v>
      </c>
      <c r="G530" s="144">
        <f t="shared" si="95"/>
        <v>319.6715789473684</v>
      </c>
      <c r="H530" s="4"/>
      <c r="I530" s="4"/>
      <c r="J530" s="4"/>
      <c r="K530" s="4"/>
    </row>
    <row r="531" spans="1:11" ht="13">
      <c r="A531" s="4"/>
      <c r="B531" s="4"/>
      <c r="C531" s="4" t="s">
        <v>839</v>
      </c>
      <c r="D531" s="146">
        <v>1</v>
      </c>
      <c r="E531" s="4" t="str">
        <f>VLOOKUP(C531,Master!$B$6:$N$1000,9,FALSE)</f>
        <v>pcs</v>
      </c>
      <c r="F531" s="144">
        <f>VLOOKUP(C531,Master!$B$6:$N$1000,10,FALSE)</f>
        <v>500</v>
      </c>
      <c r="G531" s="144">
        <f t="shared" si="95"/>
        <v>500</v>
      </c>
      <c r="H531" s="4"/>
      <c r="I531" s="4"/>
      <c r="J531" s="4"/>
      <c r="K531" s="4"/>
    </row>
    <row r="532" spans="1:11" ht="13">
      <c r="A532" s="4"/>
      <c r="B532" s="4"/>
      <c r="C532" s="4"/>
      <c r="D532" s="4"/>
      <c r="E532" s="4"/>
      <c r="F532" s="4"/>
      <c r="G532" s="4"/>
      <c r="H532" s="4"/>
      <c r="I532" s="4"/>
      <c r="J532" s="4"/>
      <c r="K532" s="4"/>
    </row>
    <row r="533" spans="1:11" ht="13">
      <c r="A533" s="188" t="str">
        <f>VLOOKUP(B533,Master!$V$7:$W$1000,2,FALSE)</f>
        <v>New</v>
      </c>
      <c r="B533" s="135" t="s">
        <v>1029</v>
      </c>
      <c r="C533" s="136"/>
      <c r="D533" s="136"/>
      <c r="E533" s="136"/>
      <c r="F533" s="136"/>
      <c r="G533" s="138">
        <f>SUM(G534:G539)</f>
        <v>3915.9157894736845</v>
      </c>
      <c r="H533" s="139">
        <v>0.15</v>
      </c>
      <c r="I533" s="138">
        <f>G533+(G533*H533)</f>
        <v>4503.3031578947375</v>
      </c>
      <c r="J533" s="137" t="b">
        <v>0</v>
      </c>
      <c r="K533" s="4"/>
    </row>
    <row r="534" spans="1:11" ht="13">
      <c r="A534" s="141"/>
      <c r="B534" s="4"/>
      <c r="C534" s="4" t="s">
        <v>365</v>
      </c>
      <c r="D534" s="146">
        <v>1</v>
      </c>
      <c r="E534" s="4" t="str">
        <f>VLOOKUP(C534,Master!$B$6:$N$1000,9,FALSE)</f>
        <v>porsi</v>
      </c>
      <c r="F534" s="144">
        <f>VLOOKUP(C534,Master!$B$6:$N$1000,10,FALSE)</f>
        <v>3915.9157894736845</v>
      </c>
      <c r="G534" s="144">
        <f>D534*F534</f>
        <v>3915.9157894736845</v>
      </c>
      <c r="H534" s="145"/>
      <c r="I534" s="145"/>
      <c r="J534" s="4"/>
      <c r="K534" s="4"/>
    </row>
    <row r="535" spans="1:11" ht="13">
      <c r="A535" s="4"/>
      <c r="B535" s="4"/>
      <c r="C535" s="4"/>
      <c r="D535" s="4"/>
      <c r="E535" s="4"/>
      <c r="F535" s="4"/>
      <c r="G535" s="4"/>
      <c r="H535" s="4"/>
      <c r="I535" s="4"/>
      <c r="J535" s="4"/>
      <c r="K535" s="4"/>
    </row>
    <row r="536" spans="1:11" ht="13">
      <c r="A536" s="4"/>
      <c r="B536" s="4"/>
      <c r="C536" s="4"/>
      <c r="D536" s="4"/>
      <c r="E536" s="4"/>
      <c r="F536" s="4"/>
      <c r="G536" s="4"/>
      <c r="H536" s="4"/>
      <c r="I536" s="4"/>
      <c r="J536" s="4"/>
      <c r="K536" s="4"/>
    </row>
    <row r="537" spans="1:11" ht="13">
      <c r="A537" s="4"/>
      <c r="B537" s="4"/>
      <c r="C537" s="4"/>
      <c r="D537" s="4"/>
      <c r="E537" s="4"/>
      <c r="F537" s="4"/>
      <c r="G537" s="4"/>
      <c r="H537" s="4"/>
      <c r="I537" s="4"/>
      <c r="J537" s="4"/>
      <c r="K537" s="4"/>
    </row>
    <row r="538" spans="1:11" ht="13">
      <c r="A538" s="4"/>
      <c r="B538" s="4"/>
      <c r="C538" s="4"/>
      <c r="D538" s="4"/>
      <c r="E538" s="4"/>
      <c r="F538" s="4"/>
      <c r="G538" s="4"/>
      <c r="H538" s="4"/>
      <c r="I538" s="4"/>
      <c r="J538" s="4"/>
      <c r="K538" s="4"/>
    </row>
    <row r="539" spans="1:11" ht="13">
      <c r="A539" s="4"/>
      <c r="B539" s="4"/>
      <c r="C539" s="4"/>
      <c r="D539" s="4"/>
      <c r="E539" s="4"/>
      <c r="F539" s="4"/>
      <c r="G539" s="4"/>
      <c r="H539" s="4"/>
      <c r="I539" s="4"/>
      <c r="J539" s="4"/>
      <c r="K539" s="4"/>
    </row>
    <row r="540" spans="1:11" ht="13">
      <c r="A540" s="4"/>
      <c r="B540" s="4"/>
      <c r="C540" s="4"/>
      <c r="D540" s="4"/>
      <c r="E540" s="4"/>
      <c r="F540" s="4"/>
      <c r="G540" s="4"/>
      <c r="H540" s="4"/>
      <c r="I540" s="4"/>
      <c r="J540" s="4"/>
      <c r="K540" s="4"/>
    </row>
    <row r="541" spans="1:11" ht="13">
      <c r="A541" s="4"/>
      <c r="B541" s="4"/>
      <c r="C541" s="4"/>
      <c r="D541" s="4"/>
      <c r="E541" s="4"/>
      <c r="F541" s="4"/>
      <c r="G541" s="4"/>
      <c r="H541" s="4"/>
      <c r="I541" s="4"/>
      <c r="J541" s="4"/>
      <c r="K541" s="4"/>
    </row>
    <row r="542" spans="1:11" ht="13">
      <c r="A542" s="4"/>
      <c r="B542" s="4"/>
      <c r="C542" s="4"/>
      <c r="D542" s="4"/>
      <c r="E542" s="4"/>
      <c r="F542" s="4"/>
      <c r="G542" s="4"/>
      <c r="H542" s="4"/>
      <c r="I542" s="4"/>
      <c r="J542" s="4"/>
      <c r="K542" s="4"/>
    </row>
    <row r="543" spans="1:11" ht="13">
      <c r="A543" s="4"/>
      <c r="B543" s="4"/>
      <c r="C543" s="4"/>
      <c r="D543" s="4"/>
      <c r="E543" s="4"/>
      <c r="F543" s="4"/>
      <c r="G543" s="4"/>
      <c r="H543" s="4"/>
      <c r="I543" s="4"/>
      <c r="J543" s="4"/>
      <c r="K543" s="4"/>
    </row>
    <row r="544" spans="1:11" ht="13">
      <c r="A544" s="4"/>
      <c r="B544" s="4"/>
      <c r="C544" s="4"/>
      <c r="D544" s="4"/>
      <c r="E544" s="4"/>
      <c r="F544" s="4"/>
      <c r="G544" s="4"/>
      <c r="H544" s="4"/>
      <c r="I544" s="4"/>
      <c r="J544" s="4"/>
      <c r="K544" s="4"/>
    </row>
    <row r="545" spans="1:11" ht="13">
      <c r="A545" s="4"/>
      <c r="B545" s="4"/>
      <c r="C545" s="4"/>
      <c r="D545" s="4"/>
      <c r="E545" s="4"/>
      <c r="F545" s="4"/>
      <c r="G545" s="4"/>
      <c r="H545" s="4"/>
      <c r="I545" s="4"/>
      <c r="J545" s="4"/>
      <c r="K545" s="4"/>
    </row>
    <row r="546" spans="1:11" ht="13">
      <c r="A546" s="4"/>
      <c r="B546" s="4"/>
      <c r="C546" s="4"/>
      <c r="D546" s="4"/>
      <c r="E546" s="4"/>
      <c r="F546" s="4"/>
      <c r="G546" s="4"/>
      <c r="H546" s="4"/>
      <c r="I546" s="4"/>
      <c r="J546" s="4"/>
      <c r="K546" s="4"/>
    </row>
    <row r="547" spans="1:11" ht="13">
      <c r="A547" s="4"/>
      <c r="B547" s="4"/>
      <c r="C547" s="4"/>
      <c r="D547" s="4"/>
      <c r="E547" s="4"/>
      <c r="F547" s="4"/>
      <c r="G547" s="4"/>
      <c r="H547" s="4"/>
      <c r="I547" s="4"/>
      <c r="J547" s="4"/>
      <c r="K547" s="4"/>
    </row>
    <row r="548" spans="1:11" ht="13">
      <c r="A548" s="4"/>
      <c r="B548" s="4"/>
      <c r="C548" s="4"/>
      <c r="D548" s="4"/>
      <c r="E548" s="4"/>
      <c r="F548" s="4"/>
      <c r="G548" s="4"/>
      <c r="H548" s="4"/>
      <c r="I548" s="4"/>
      <c r="J548" s="4"/>
      <c r="K548" s="4"/>
    </row>
    <row r="549" spans="1:11" ht="13">
      <c r="A549" s="4"/>
      <c r="B549" s="4"/>
      <c r="C549" s="4"/>
      <c r="D549" s="4"/>
      <c r="E549" s="4"/>
      <c r="F549" s="4"/>
      <c r="G549" s="4"/>
      <c r="H549" s="4"/>
      <c r="I549" s="4"/>
      <c r="J549" s="4"/>
      <c r="K549" s="4"/>
    </row>
    <row r="550" spans="1:11" ht="13">
      <c r="A550" s="4"/>
      <c r="B550" s="4"/>
      <c r="C550" s="4"/>
      <c r="D550" s="4"/>
      <c r="E550" s="4"/>
      <c r="F550" s="4"/>
      <c r="G550" s="4"/>
      <c r="H550" s="4"/>
      <c r="I550" s="4"/>
      <c r="J550" s="4"/>
      <c r="K550" s="4"/>
    </row>
    <row r="551" spans="1:11" ht="13">
      <c r="A551" s="4"/>
      <c r="B551" s="4"/>
      <c r="C551" s="4"/>
      <c r="D551" s="4"/>
      <c r="E551" s="4"/>
      <c r="F551" s="4"/>
      <c r="G551" s="4"/>
      <c r="H551" s="4"/>
      <c r="I551" s="4"/>
      <c r="J551" s="4"/>
      <c r="K551" s="4"/>
    </row>
    <row r="552" spans="1:11" ht="13">
      <c r="A552" s="4"/>
      <c r="B552" s="4"/>
      <c r="C552" s="4"/>
      <c r="D552" s="4"/>
      <c r="E552" s="4"/>
      <c r="F552" s="4"/>
      <c r="G552" s="4"/>
      <c r="H552" s="4"/>
      <c r="I552" s="4"/>
      <c r="J552" s="4"/>
      <c r="K552" s="4"/>
    </row>
    <row r="553" spans="1:11" ht="13">
      <c r="A553" s="4"/>
      <c r="B553" s="4"/>
      <c r="C553" s="4"/>
      <c r="D553" s="4"/>
      <c r="E553" s="4"/>
      <c r="F553" s="4"/>
      <c r="G553" s="4"/>
      <c r="H553" s="4"/>
      <c r="I553" s="4"/>
      <c r="J553" s="4"/>
      <c r="K553" s="4"/>
    </row>
    <row r="554" spans="1:11" ht="13">
      <c r="A554" s="4"/>
      <c r="B554" s="4"/>
      <c r="C554" s="4"/>
      <c r="D554" s="4"/>
      <c r="E554" s="4"/>
      <c r="F554" s="4"/>
      <c r="G554" s="4"/>
      <c r="H554" s="4"/>
      <c r="I554" s="4"/>
      <c r="J554" s="4"/>
      <c r="K554" s="4"/>
    </row>
    <row r="555" spans="1:11" ht="13">
      <c r="A555" s="4"/>
      <c r="B555" s="4"/>
      <c r="C555" s="4"/>
      <c r="D555" s="4"/>
      <c r="E555" s="4"/>
      <c r="F555" s="4"/>
      <c r="G555" s="4"/>
      <c r="H555" s="4"/>
      <c r="I555" s="4"/>
      <c r="J555" s="4"/>
      <c r="K555" s="4"/>
    </row>
    <row r="556" spans="1:11" ht="13">
      <c r="A556" s="4"/>
      <c r="B556" s="4"/>
      <c r="C556" s="4"/>
      <c r="D556" s="4"/>
      <c r="E556" s="4"/>
      <c r="F556" s="4"/>
      <c r="G556" s="4"/>
      <c r="H556" s="4"/>
      <c r="I556" s="4"/>
      <c r="J556" s="4"/>
      <c r="K556" s="4"/>
    </row>
    <row r="557" spans="1:11" ht="13">
      <c r="A557" s="4"/>
      <c r="B557" s="4"/>
      <c r="C557" s="4"/>
      <c r="D557" s="4"/>
      <c r="E557" s="4"/>
      <c r="F557" s="4"/>
      <c r="G557" s="4"/>
      <c r="H557" s="4"/>
      <c r="I557" s="4"/>
      <c r="J557" s="4"/>
      <c r="K557" s="4"/>
    </row>
    <row r="558" spans="1:11" ht="13">
      <c r="A558" s="4"/>
      <c r="B558" s="4"/>
      <c r="C558" s="4"/>
      <c r="D558" s="4"/>
      <c r="E558" s="4"/>
      <c r="F558" s="4"/>
      <c r="G558" s="4"/>
      <c r="H558" s="4"/>
      <c r="I558" s="4"/>
      <c r="J558" s="4"/>
      <c r="K558" s="4"/>
    </row>
    <row r="559" spans="1:11" ht="13">
      <c r="A559" s="4"/>
      <c r="B559" s="4"/>
      <c r="C559" s="4"/>
      <c r="D559" s="4"/>
      <c r="E559" s="4"/>
      <c r="F559" s="4"/>
      <c r="G559" s="4"/>
      <c r="H559" s="4"/>
      <c r="I559" s="4"/>
      <c r="J559" s="4"/>
      <c r="K559" s="4"/>
    </row>
    <row r="560" spans="1:11" ht="13">
      <c r="A560" s="4"/>
      <c r="B560" s="4"/>
      <c r="C560" s="4"/>
      <c r="D560" s="4"/>
      <c r="E560" s="4"/>
      <c r="F560" s="4"/>
      <c r="G560" s="4"/>
      <c r="H560" s="4"/>
      <c r="I560" s="4"/>
      <c r="J560" s="4"/>
      <c r="K560" s="4"/>
    </row>
    <row r="561" spans="1:11" ht="13">
      <c r="A561" s="4"/>
      <c r="B561" s="4"/>
      <c r="C561" s="4"/>
      <c r="D561" s="4"/>
      <c r="E561" s="4"/>
      <c r="F561" s="4"/>
      <c r="G561" s="4"/>
      <c r="H561" s="4"/>
      <c r="I561" s="4"/>
      <c r="J561" s="4"/>
      <c r="K561" s="4"/>
    </row>
    <row r="562" spans="1:11" ht="13">
      <c r="A562" s="4"/>
      <c r="B562" s="4"/>
      <c r="C562" s="4"/>
      <c r="D562" s="4"/>
      <c r="E562" s="4"/>
      <c r="F562" s="4"/>
      <c r="G562" s="4"/>
      <c r="H562" s="4"/>
      <c r="I562" s="4"/>
      <c r="J562" s="4"/>
      <c r="K562" s="4"/>
    </row>
    <row r="563" spans="1:11" ht="13">
      <c r="A563" s="4"/>
      <c r="B563" s="4"/>
      <c r="C563" s="4"/>
      <c r="D563" s="4"/>
      <c r="E563" s="4"/>
      <c r="F563" s="4"/>
      <c r="G563" s="4"/>
      <c r="H563" s="4"/>
      <c r="I563" s="4"/>
      <c r="J563" s="4"/>
      <c r="K563" s="4"/>
    </row>
    <row r="564" spans="1:11" ht="13">
      <c r="A564" s="4"/>
      <c r="B564" s="4"/>
      <c r="C564" s="4"/>
      <c r="D564" s="4"/>
      <c r="E564" s="4"/>
      <c r="F564" s="4"/>
      <c r="G564" s="4"/>
      <c r="H564" s="4"/>
      <c r="I564" s="4"/>
      <c r="J564" s="4"/>
      <c r="K564" s="4"/>
    </row>
    <row r="565" spans="1:11" ht="13">
      <c r="A565" s="4"/>
      <c r="B565" s="4"/>
      <c r="C565" s="4"/>
      <c r="D565" s="4"/>
      <c r="E565" s="4"/>
      <c r="F565" s="4"/>
      <c r="G565" s="4"/>
      <c r="H565" s="4"/>
      <c r="I565" s="4"/>
      <c r="J565" s="4"/>
      <c r="K565" s="4"/>
    </row>
    <row r="566" spans="1:11" ht="13">
      <c r="A566" s="4"/>
      <c r="B566" s="4"/>
      <c r="C566" s="4"/>
      <c r="D566" s="4"/>
      <c r="E566" s="4"/>
      <c r="F566" s="4"/>
      <c r="G566" s="4"/>
      <c r="H566" s="4"/>
      <c r="I566" s="4"/>
      <c r="J566" s="4"/>
      <c r="K566" s="4"/>
    </row>
    <row r="567" spans="1:11" ht="13">
      <c r="A567" s="4"/>
      <c r="B567" s="4"/>
      <c r="C567" s="4"/>
      <c r="D567" s="4"/>
      <c r="E567" s="4"/>
      <c r="F567" s="4"/>
      <c r="G567" s="4"/>
      <c r="H567" s="4"/>
      <c r="I567" s="4"/>
      <c r="J567" s="4"/>
      <c r="K567" s="4"/>
    </row>
    <row r="568" spans="1:11" ht="13">
      <c r="A568" s="4"/>
      <c r="B568" s="4"/>
      <c r="C568" s="4"/>
      <c r="D568" s="4"/>
      <c r="E568" s="4"/>
      <c r="F568" s="4"/>
      <c r="G568" s="4"/>
      <c r="H568" s="4"/>
      <c r="I568" s="4"/>
      <c r="J568" s="4"/>
      <c r="K568" s="4"/>
    </row>
    <row r="569" spans="1:11" ht="13">
      <c r="A569" s="4"/>
      <c r="B569" s="4"/>
      <c r="C569" s="4"/>
      <c r="D569" s="4"/>
      <c r="E569" s="4"/>
      <c r="F569" s="4"/>
      <c r="G569" s="4"/>
      <c r="H569" s="4"/>
      <c r="I569" s="4"/>
      <c r="J569" s="4"/>
      <c r="K569" s="4"/>
    </row>
    <row r="570" spans="1:11" ht="13">
      <c r="A570" s="4"/>
      <c r="B570" s="4"/>
      <c r="C570" s="4"/>
      <c r="D570" s="4"/>
      <c r="E570" s="4"/>
      <c r="F570" s="4"/>
      <c r="G570" s="4"/>
      <c r="H570" s="4"/>
      <c r="I570" s="4"/>
      <c r="J570" s="4"/>
      <c r="K570" s="4"/>
    </row>
    <row r="571" spans="1:11" ht="13">
      <c r="A571" s="4"/>
      <c r="B571" s="4"/>
      <c r="C571" s="4"/>
      <c r="D571" s="4"/>
      <c r="E571" s="4"/>
      <c r="F571" s="4"/>
      <c r="G571" s="4"/>
      <c r="H571" s="4"/>
      <c r="I571" s="4"/>
      <c r="J571" s="4"/>
      <c r="K571" s="4"/>
    </row>
    <row r="572" spans="1:11" ht="13">
      <c r="A572" s="4"/>
      <c r="B572" s="4"/>
      <c r="C572" s="4"/>
      <c r="D572" s="4"/>
      <c r="E572" s="4"/>
      <c r="F572" s="4"/>
      <c r="G572" s="4"/>
      <c r="H572" s="4"/>
      <c r="I572" s="4"/>
      <c r="J572" s="4"/>
      <c r="K572" s="4"/>
    </row>
    <row r="573" spans="1:11" ht="13">
      <c r="A573" s="4"/>
      <c r="B573" s="4"/>
      <c r="C573" s="4"/>
      <c r="D573" s="4"/>
      <c r="E573" s="4"/>
      <c r="F573" s="4"/>
      <c r="G573" s="4"/>
      <c r="H573" s="4"/>
      <c r="I573" s="4"/>
      <c r="J573" s="4"/>
      <c r="K573" s="4"/>
    </row>
    <row r="574" spans="1:11" ht="13">
      <c r="A574" s="4"/>
      <c r="B574" s="4"/>
      <c r="C574" s="4"/>
      <c r="D574" s="4"/>
      <c r="E574" s="4"/>
      <c r="F574" s="4"/>
      <c r="G574" s="4"/>
      <c r="H574" s="4"/>
      <c r="I574" s="4"/>
      <c r="J574" s="4"/>
      <c r="K574" s="4"/>
    </row>
    <row r="575" spans="1:11" ht="13">
      <c r="A575" s="4"/>
      <c r="B575" s="4"/>
      <c r="C575" s="4"/>
      <c r="D575" s="4"/>
      <c r="E575" s="4"/>
      <c r="F575" s="4"/>
      <c r="G575" s="4"/>
      <c r="H575" s="4"/>
      <c r="I575" s="4"/>
      <c r="J575" s="4"/>
      <c r="K575" s="4"/>
    </row>
    <row r="576" spans="1:11" ht="13">
      <c r="A576" s="4"/>
      <c r="B576" s="4"/>
      <c r="C576" s="4"/>
      <c r="D576" s="4"/>
      <c r="E576" s="4"/>
      <c r="F576" s="4"/>
      <c r="G576" s="4"/>
      <c r="H576" s="4"/>
      <c r="I576" s="4"/>
      <c r="J576" s="4"/>
      <c r="K576" s="4"/>
    </row>
    <row r="577" spans="1:11" ht="13">
      <c r="A577" s="4"/>
      <c r="B577" s="4"/>
      <c r="C577" s="4"/>
      <c r="D577" s="4"/>
      <c r="E577" s="4"/>
      <c r="F577" s="4"/>
      <c r="G577" s="4"/>
      <c r="H577" s="4"/>
      <c r="I577" s="4"/>
      <c r="J577" s="4"/>
      <c r="K577" s="4"/>
    </row>
    <row r="578" spans="1:11" ht="13">
      <c r="A578" s="4"/>
      <c r="B578" s="4"/>
      <c r="C578" s="4"/>
      <c r="D578" s="4"/>
      <c r="E578" s="4"/>
      <c r="F578" s="4"/>
      <c r="G578" s="4"/>
      <c r="H578" s="4"/>
      <c r="I578" s="4"/>
      <c r="J578" s="4"/>
      <c r="K578" s="4"/>
    </row>
    <row r="579" spans="1:11" ht="13">
      <c r="A579" s="4"/>
      <c r="B579" s="4"/>
      <c r="C579" s="4"/>
      <c r="D579" s="4"/>
      <c r="E579" s="4"/>
      <c r="F579" s="4"/>
      <c r="G579" s="4"/>
      <c r="H579" s="4"/>
      <c r="I579" s="4"/>
      <c r="J579" s="4"/>
      <c r="K579" s="4"/>
    </row>
    <row r="580" spans="1:11" ht="13">
      <c r="A580" s="4"/>
      <c r="B580" s="4"/>
      <c r="C580" s="4"/>
      <c r="D580" s="4"/>
      <c r="E580" s="4"/>
      <c r="F580" s="4"/>
      <c r="G580" s="4"/>
      <c r="H580" s="4"/>
      <c r="I580" s="4"/>
      <c r="J580" s="4"/>
      <c r="K580" s="4"/>
    </row>
    <row r="581" spans="1:11" ht="13">
      <c r="A581" s="4"/>
      <c r="B581" s="4"/>
      <c r="C581" s="4"/>
      <c r="D581" s="4"/>
      <c r="E581" s="4"/>
      <c r="F581" s="4"/>
      <c r="G581" s="4"/>
      <c r="H581" s="4"/>
      <c r="I581" s="4"/>
      <c r="J581" s="4"/>
      <c r="K581" s="4"/>
    </row>
    <row r="582" spans="1:11" ht="13">
      <c r="A582" s="4"/>
      <c r="B582" s="4"/>
      <c r="C582" s="4"/>
      <c r="D582" s="4"/>
      <c r="E582" s="4"/>
      <c r="F582" s="4"/>
      <c r="G582" s="4"/>
      <c r="H582" s="4"/>
      <c r="I582" s="4"/>
      <c r="J582" s="4"/>
      <c r="K582" s="4"/>
    </row>
    <row r="583" spans="1:11" ht="13">
      <c r="A583" s="4"/>
      <c r="B583" s="4"/>
      <c r="C583" s="4"/>
      <c r="D583" s="4"/>
      <c r="E583" s="4"/>
      <c r="F583" s="4"/>
      <c r="G583" s="4"/>
      <c r="H583" s="4"/>
      <c r="I583" s="4"/>
      <c r="J583" s="4"/>
      <c r="K583" s="4"/>
    </row>
    <row r="584" spans="1:11" ht="13">
      <c r="A584" s="4"/>
      <c r="B584" s="4"/>
      <c r="C584" s="4"/>
      <c r="D584" s="4"/>
      <c r="E584" s="4"/>
      <c r="F584" s="4"/>
      <c r="G584" s="4"/>
      <c r="H584" s="4"/>
      <c r="I584" s="4"/>
      <c r="J584" s="4"/>
      <c r="K584" s="4"/>
    </row>
    <row r="585" spans="1:11" ht="13">
      <c r="A585" s="4"/>
      <c r="B585" s="4"/>
      <c r="C585" s="4"/>
      <c r="D585" s="4"/>
      <c r="E585" s="4"/>
      <c r="F585" s="4"/>
      <c r="G585" s="4"/>
      <c r="H585" s="4"/>
      <c r="I585" s="4"/>
      <c r="J585" s="4"/>
      <c r="K585" s="4"/>
    </row>
    <row r="586" spans="1:11" ht="13">
      <c r="A586" s="4"/>
      <c r="B586" s="4"/>
      <c r="C586" s="4"/>
      <c r="D586" s="4"/>
      <c r="E586" s="4"/>
      <c r="F586" s="4"/>
      <c r="G586" s="4"/>
      <c r="H586" s="4"/>
      <c r="I586" s="4"/>
      <c r="J586" s="4"/>
      <c r="K586" s="4"/>
    </row>
    <row r="587" spans="1:11" ht="13">
      <c r="A587" s="4"/>
      <c r="B587" s="4"/>
      <c r="C587" s="4"/>
      <c r="D587" s="4"/>
      <c r="E587" s="4"/>
      <c r="F587" s="4"/>
      <c r="G587" s="4"/>
      <c r="H587" s="4"/>
      <c r="I587" s="4"/>
      <c r="J587" s="4"/>
      <c r="K587" s="4"/>
    </row>
    <row r="588" spans="1:11" ht="13">
      <c r="A588" s="4"/>
      <c r="B588" s="4"/>
      <c r="C588" s="4"/>
      <c r="D588" s="4"/>
      <c r="E588" s="4"/>
      <c r="F588" s="4"/>
      <c r="G588" s="4"/>
      <c r="H588" s="4"/>
      <c r="I588" s="4"/>
      <c r="J588" s="4"/>
      <c r="K588" s="4"/>
    </row>
    <row r="589" spans="1:11" ht="13">
      <c r="A589" s="4"/>
      <c r="B589" s="4"/>
      <c r="C589" s="4"/>
      <c r="D589" s="4"/>
      <c r="E589" s="4"/>
      <c r="F589" s="4"/>
      <c r="G589" s="4"/>
      <c r="H589" s="4"/>
      <c r="I589" s="4"/>
      <c r="J589" s="4"/>
      <c r="K589" s="4"/>
    </row>
    <row r="590" spans="1:11" ht="13">
      <c r="A590" s="4"/>
      <c r="B590" s="4"/>
      <c r="C590" s="4"/>
      <c r="D590" s="4"/>
      <c r="E590" s="4"/>
      <c r="F590" s="4"/>
      <c r="G590" s="4"/>
      <c r="H590" s="4"/>
      <c r="I590" s="4"/>
      <c r="J590" s="4"/>
      <c r="K590" s="4"/>
    </row>
    <row r="591" spans="1:11" ht="13">
      <c r="A591" s="4"/>
      <c r="B591" s="4"/>
      <c r="C591" s="4"/>
      <c r="D591" s="4"/>
      <c r="E591" s="4"/>
      <c r="F591" s="4"/>
      <c r="G591" s="4"/>
      <c r="H591" s="4"/>
      <c r="I591" s="4"/>
      <c r="J591" s="4"/>
      <c r="K591" s="4"/>
    </row>
    <row r="592" spans="1:11" ht="13">
      <c r="A592" s="4"/>
      <c r="B592" s="4"/>
      <c r="C592" s="4"/>
      <c r="D592" s="4"/>
      <c r="E592" s="4"/>
      <c r="F592" s="4"/>
      <c r="G592" s="4"/>
      <c r="H592" s="4"/>
      <c r="I592" s="4"/>
      <c r="J592" s="4"/>
      <c r="K592" s="4"/>
    </row>
    <row r="593" spans="1:11" ht="13">
      <c r="A593" s="4"/>
      <c r="B593" s="4"/>
      <c r="C593" s="4"/>
      <c r="D593" s="4"/>
      <c r="E593" s="4"/>
      <c r="F593" s="4"/>
      <c r="G593" s="4"/>
      <c r="H593" s="4"/>
      <c r="I593" s="4"/>
      <c r="J593" s="4"/>
      <c r="K593" s="4"/>
    </row>
    <row r="594" spans="1:11" ht="13">
      <c r="A594" s="4"/>
      <c r="B594" s="4"/>
      <c r="C594" s="4"/>
      <c r="D594" s="4"/>
      <c r="E594" s="4"/>
      <c r="F594" s="4"/>
      <c r="G594" s="4"/>
      <c r="H594" s="4"/>
      <c r="I594" s="4"/>
      <c r="J594" s="4"/>
      <c r="K594" s="4"/>
    </row>
    <row r="595" spans="1:11" ht="13">
      <c r="A595" s="4"/>
      <c r="B595" s="4"/>
      <c r="C595" s="4"/>
      <c r="D595" s="4"/>
      <c r="E595" s="4"/>
      <c r="F595" s="4"/>
      <c r="G595" s="4"/>
      <c r="H595" s="4"/>
      <c r="I595" s="4"/>
      <c r="J595" s="4"/>
      <c r="K595" s="4"/>
    </row>
    <row r="596" spans="1:11" ht="13">
      <c r="A596" s="4"/>
      <c r="B596" s="4"/>
      <c r="C596" s="4"/>
      <c r="D596" s="4"/>
      <c r="E596" s="4"/>
      <c r="F596" s="4"/>
      <c r="G596" s="4"/>
      <c r="H596" s="4"/>
      <c r="I596" s="4"/>
      <c r="J596" s="4"/>
      <c r="K596" s="4"/>
    </row>
    <row r="597" spans="1:11" ht="13">
      <c r="A597" s="4"/>
      <c r="B597" s="4"/>
      <c r="C597" s="4"/>
      <c r="D597" s="4"/>
      <c r="E597" s="4"/>
      <c r="F597" s="4"/>
      <c r="G597" s="4"/>
      <c r="H597" s="4"/>
      <c r="I597" s="4"/>
      <c r="J597" s="4"/>
      <c r="K597" s="4"/>
    </row>
    <row r="598" spans="1:11" ht="13">
      <c r="A598" s="4"/>
      <c r="B598" s="4"/>
      <c r="C598" s="4"/>
      <c r="D598" s="4"/>
      <c r="E598" s="4"/>
      <c r="F598" s="4"/>
      <c r="G598" s="4"/>
      <c r="H598" s="4"/>
      <c r="I598" s="4"/>
      <c r="J598" s="4"/>
      <c r="K598" s="4"/>
    </row>
    <row r="599" spans="1:11" ht="13">
      <c r="A599" s="4"/>
      <c r="B599" s="4"/>
      <c r="C599" s="4"/>
      <c r="D599" s="4"/>
      <c r="E599" s="4"/>
      <c r="F599" s="4"/>
      <c r="G599" s="4"/>
      <c r="H599" s="4"/>
      <c r="I599" s="4"/>
      <c r="J599" s="4"/>
      <c r="K599" s="4"/>
    </row>
    <row r="600" spans="1:11" ht="13">
      <c r="A600" s="4"/>
      <c r="B600" s="4"/>
      <c r="C600" s="4"/>
      <c r="D600" s="4"/>
      <c r="E600" s="4"/>
      <c r="F600" s="4"/>
      <c r="G600" s="4"/>
      <c r="H600" s="4"/>
      <c r="I600" s="4"/>
      <c r="J600" s="4"/>
      <c r="K600" s="4"/>
    </row>
    <row r="601" spans="1:11" ht="13">
      <c r="A601" s="4"/>
      <c r="B601" s="4"/>
      <c r="C601" s="4"/>
      <c r="D601" s="4"/>
      <c r="E601" s="4"/>
      <c r="F601" s="4"/>
      <c r="G601" s="4"/>
      <c r="H601" s="4"/>
      <c r="I601" s="4"/>
      <c r="J601" s="4"/>
      <c r="K601" s="4"/>
    </row>
    <row r="602" spans="1:11" ht="13">
      <c r="A602" s="4"/>
      <c r="B602" s="4"/>
      <c r="C602" s="4"/>
      <c r="D602" s="4"/>
      <c r="E602" s="4"/>
      <c r="F602" s="4"/>
      <c r="G602" s="4"/>
      <c r="H602" s="4"/>
      <c r="I602" s="4"/>
      <c r="J602" s="4"/>
      <c r="K602" s="4"/>
    </row>
    <row r="603" spans="1:11" ht="13">
      <c r="A603" s="4"/>
      <c r="B603" s="4"/>
      <c r="C603" s="4"/>
      <c r="D603" s="4"/>
      <c r="E603" s="4"/>
      <c r="F603" s="4"/>
      <c r="G603" s="4"/>
      <c r="H603" s="4"/>
      <c r="I603" s="4"/>
      <c r="J603" s="4"/>
      <c r="K603" s="4"/>
    </row>
    <row r="604" spans="1:11" ht="13">
      <c r="A604" s="4"/>
      <c r="B604" s="4"/>
      <c r="C604" s="4"/>
      <c r="D604" s="4"/>
      <c r="E604" s="4"/>
      <c r="F604" s="4"/>
      <c r="G604" s="4"/>
      <c r="H604" s="4"/>
      <c r="I604" s="4"/>
      <c r="J604" s="4"/>
      <c r="K604" s="4"/>
    </row>
    <row r="605" spans="1:11" ht="13">
      <c r="A605" s="4"/>
      <c r="B605" s="4"/>
      <c r="C605" s="4"/>
      <c r="D605" s="4"/>
      <c r="E605" s="4"/>
      <c r="F605" s="4"/>
      <c r="G605" s="4"/>
      <c r="H605" s="4"/>
      <c r="I605" s="4"/>
      <c r="J605" s="4"/>
      <c r="K605" s="4"/>
    </row>
    <row r="606" spans="1:11" ht="13">
      <c r="A606" s="4"/>
      <c r="B606" s="4"/>
      <c r="C606" s="4"/>
      <c r="D606" s="4"/>
      <c r="E606" s="4"/>
      <c r="F606" s="4"/>
      <c r="G606" s="4"/>
      <c r="H606" s="4"/>
      <c r="I606" s="4"/>
      <c r="J606" s="4"/>
      <c r="K606" s="4"/>
    </row>
    <row r="607" spans="1:11" ht="13">
      <c r="A607" s="4"/>
      <c r="B607" s="4"/>
      <c r="C607" s="4"/>
      <c r="D607" s="4"/>
      <c r="E607" s="4"/>
      <c r="F607" s="4"/>
      <c r="G607" s="4"/>
      <c r="H607" s="4"/>
      <c r="I607" s="4"/>
      <c r="J607" s="4"/>
      <c r="K607" s="4"/>
    </row>
    <row r="608" spans="1:11" ht="13">
      <c r="A608" s="4"/>
      <c r="B608" s="4"/>
      <c r="C608" s="4"/>
      <c r="D608" s="4"/>
      <c r="E608" s="4"/>
      <c r="F608" s="4"/>
      <c r="G608" s="4"/>
      <c r="H608" s="4"/>
      <c r="I608" s="4"/>
      <c r="J608" s="4"/>
      <c r="K608" s="4"/>
    </row>
    <row r="609" spans="1:11" ht="13">
      <c r="A609" s="4"/>
      <c r="B609" s="4"/>
      <c r="C609" s="4"/>
      <c r="D609" s="4"/>
      <c r="E609" s="4"/>
      <c r="F609" s="4"/>
      <c r="G609" s="4"/>
      <c r="H609" s="4"/>
      <c r="I609" s="4"/>
      <c r="J609" s="4"/>
      <c r="K609" s="4"/>
    </row>
    <row r="610" spans="1:11" ht="13">
      <c r="A610" s="4"/>
      <c r="B610" s="4"/>
      <c r="C610" s="4"/>
      <c r="D610" s="4"/>
      <c r="E610" s="4"/>
      <c r="F610" s="4"/>
      <c r="G610" s="4"/>
      <c r="H610" s="4"/>
      <c r="I610" s="4"/>
      <c r="J610" s="4"/>
      <c r="K610" s="4"/>
    </row>
    <row r="611" spans="1:11" ht="13">
      <c r="A611" s="4"/>
      <c r="B611" s="4"/>
      <c r="C611" s="4"/>
      <c r="D611" s="4"/>
      <c r="E611" s="4"/>
      <c r="F611" s="4"/>
      <c r="G611" s="4"/>
      <c r="H611" s="4"/>
      <c r="I611" s="4"/>
      <c r="J611" s="4"/>
      <c r="K611" s="4"/>
    </row>
    <row r="612" spans="1:11" ht="13">
      <c r="A612" s="4"/>
      <c r="B612" s="4"/>
      <c r="C612" s="4"/>
      <c r="D612" s="4"/>
      <c r="E612" s="4"/>
      <c r="F612" s="4"/>
      <c r="G612" s="4"/>
      <c r="H612" s="4"/>
      <c r="I612" s="4"/>
      <c r="J612" s="4"/>
      <c r="K612" s="4"/>
    </row>
    <row r="613" spans="1:11" ht="13">
      <c r="A613" s="4"/>
      <c r="B613" s="4"/>
      <c r="C613" s="4"/>
      <c r="D613" s="4"/>
      <c r="E613" s="4"/>
      <c r="F613" s="4"/>
      <c r="G613" s="4"/>
      <c r="H613" s="4"/>
      <c r="I613" s="4"/>
      <c r="J613" s="4"/>
      <c r="K613" s="4"/>
    </row>
    <row r="614" spans="1:11" ht="13">
      <c r="A614" s="4"/>
      <c r="B614" s="4"/>
      <c r="C614" s="4"/>
      <c r="D614" s="4"/>
      <c r="E614" s="4"/>
      <c r="F614" s="4"/>
      <c r="G614" s="4"/>
      <c r="H614" s="4"/>
      <c r="I614" s="4"/>
      <c r="J614" s="4"/>
      <c r="K614" s="4"/>
    </row>
    <row r="615" spans="1:11" ht="13">
      <c r="A615" s="4"/>
      <c r="B615" s="4"/>
      <c r="C615" s="4"/>
      <c r="D615" s="4"/>
      <c r="E615" s="4"/>
      <c r="F615" s="4"/>
      <c r="G615" s="4"/>
      <c r="H615" s="4"/>
      <c r="I615" s="4"/>
      <c r="J615" s="4"/>
      <c r="K615" s="4"/>
    </row>
    <row r="616" spans="1:11" ht="13">
      <c r="A616" s="4"/>
      <c r="B616" s="4"/>
      <c r="C616" s="4"/>
      <c r="D616" s="4"/>
      <c r="E616" s="4"/>
      <c r="F616" s="4"/>
      <c r="G616" s="4"/>
      <c r="H616" s="4"/>
      <c r="I616" s="4"/>
      <c r="J616" s="4"/>
      <c r="K616" s="4"/>
    </row>
    <row r="617" spans="1:11" ht="13">
      <c r="A617" s="4"/>
      <c r="B617" s="4"/>
      <c r="C617" s="4"/>
      <c r="D617" s="4"/>
      <c r="E617" s="4"/>
      <c r="F617" s="4"/>
      <c r="G617" s="4"/>
      <c r="H617" s="4"/>
      <c r="I617" s="4"/>
      <c r="J617" s="4"/>
      <c r="K617" s="4"/>
    </row>
    <row r="618" spans="1:11" ht="13">
      <c r="A618" s="4"/>
      <c r="B618" s="4"/>
      <c r="C618" s="4"/>
      <c r="D618" s="4"/>
      <c r="E618" s="4"/>
      <c r="F618" s="4"/>
      <c r="G618" s="4"/>
      <c r="H618" s="4"/>
      <c r="I618" s="4"/>
      <c r="J618" s="4"/>
      <c r="K618" s="4"/>
    </row>
    <row r="619" spans="1:11" ht="13">
      <c r="A619" s="4"/>
      <c r="B619" s="4"/>
      <c r="C619" s="4"/>
      <c r="D619" s="4"/>
      <c r="E619" s="4"/>
      <c r="F619" s="4"/>
      <c r="G619" s="4"/>
      <c r="H619" s="4"/>
      <c r="I619" s="4"/>
      <c r="J619" s="4"/>
      <c r="K619" s="4"/>
    </row>
    <row r="620" spans="1:11" ht="13">
      <c r="A620" s="4"/>
      <c r="B620" s="4"/>
      <c r="C620" s="4"/>
      <c r="D620" s="4"/>
      <c r="E620" s="4"/>
      <c r="F620" s="4"/>
      <c r="G620" s="4"/>
      <c r="H620" s="4"/>
      <c r="I620" s="4"/>
      <c r="J620" s="4"/>
      <c r="K620" s="4"/>
    </row>
    <row r="621" spans="1:11" ht="13">
      <c r="A621" s="4"/>
      <c r="B621" s="4"/>
      <c r="C621" s="4"/>
      <c r="D621" s="4"/>
      <c r="E621" s="4"/>
      <c r="F621" s="4"/>
      <c r="G621" s="4"/>
      <c r="H621" s="4"/>
      <c r="I621" s="4"/>
      <c r="J621" s="4"/>
      <c r="K621" s="4"/>
    </row>
    <row r="622" spans="1:11" ht="13">
      <c r="A622" s="4"/>
      <c r="B622" s="4"/>
      <c r="C622" s="4"/>
      <c r="D622" s="4"/>
      <c r="E622" s="4"/>
      <c r="F622" s="4"/>
      <c r="G622" s="4"/>
      <c r="H622" s="4"/>
      <c r="I622" s="4"/>
      <c r="J622" s="4"/>
      <c r="K622" s="4"/>
    </row>
    <row r="623" spans="1:11" ht="13">
      <c r="A623" s="4"/>
      <c r="B623" s="4"/>
      <c r="C623" s="4"/>
      <c r="D623" s="4"/>
      <c r="E623" s="4"/>
      <c r="F623" s="4"/>
      <c r="G623" s="4"/>
      <c r="H623" s="4"/>
      <c r="I623" s="4"/>
      <c r="J623" s="4"/>
      <c r="K623" s="4"/>
    </row>
    <row r="624" spans="1:11" ht="13">
      <c r="A624" s="4"/>
      <c r="B624" s="4"/>
      <c r="C624" s="4"/>
      <c r="D624" s="4"/>
      <c r="E624" s="4"/>
      <c r="F624" s="4"/>
      <c r="G624" s="4"/>
      <c r="H624" s="4"/>
      <c r="I624" s="4"/>
      <c r="J624" s="4"/>
      <c r="K624" s="4"/>
    </row>
    <row r="625" spans="1:11" ht="13">
      <c r="A625" s="4"/>
      <c r="B625" s="4"/>
      <c r="C625" s="4"/>
      <c r="D625" s="4"/>
      <c r="E625" s="4"/>
      <c r="F625" s="4"/>
      <c r="G625" s="4"/>
      <c r="H625" s="4"/>
      <c r="I625" s="4"/>
      <c r="J625" s="4"/>
      <c r="K625" s="4"/>
    </row>
    <row r="626" spans="1:11" ht="13">
      <c r="A626" s="4"/>
      <c r="B626" s="4"/>
      <c r="C626" s="4"/>
      <c r="D626" s="4"/>
      <c r="E626" s="4"/>
      <c r="F626" s="4"/>
      <c r="G626" s="4"/>
      <c r="H626" s="4"/>
      <c r="I626" s="4"/>
      <c r="J626" s="4"/>
      <c r="K626" s="4"/>
    </row>
    <row r="627" spans="1:11" ht="13">
      <c r="A627" s="4"/>
      <c r="B627" s="4"/>
      <c r="C627" s="4"/>
      <c r="D627" s="4"/>
      <c r="E627" s="4"/>
      <c r="F627" s="4"/>
      <c r="G627" s="4"/>
      <c r="H627" s="4"/>
      <c r="I627" s="4"/>
      <c r="J627" s="4"/>
      <c r="K627" s="4"/>
    </row>
    <row r="628" spans="1:11" ht="13">
      <c r="A628" s="4"/>
      <c r="B628" s="4"/>
      <c r="C628" s="4"/>
      <c r="D628" s="4"/>
      <c r="E628" s="4"/>
      <c r="F628" s="4"/>
      <c r="G628" s="4"/>
      <c r="H628" s="4"/>
      <c r="I628" s="4"/>
      <c r="J628" s="4"/>
      <c r="K628" s="4"/>
    </row>
    <row r="629" spans="1:11" ht="13">
      <c r="A629" s="4"/>
      <c r="B629" s="4"/>
      <c r="C629" s="4"/>
      <c r="D629" s="4"/>
      <c r="E629" s="4"/>
      <c r="F629" s="4"/>
      <c r="G629" s="4"/>
      <c r="H629" s="4"/>
      <c r="I629" s="4"/>
      <c r="J629" s="4"/>
      <c r="K629" s="4"/>
    </row>
    <row r="630" spans="1:11" ht="13">
      <c r="A630" s="4"/>
      <c r="B630" s="4"/>
      <c r="C630" s="4"/>
      <c r="D630" s="4"/>
      <c r="E630" s="4"/>
      <c r="F630" s="4"/>
      <c r="G630" s="4"/>
      <c r="H630" s="4"/>
      <c r="I630" s="4"/>
      <c r="J630" s="4"/>
      <c r="K630" s="4"/>
    </row>
    <row r="631" spans="1:11" ht="13">
      <c r="A631" s="4"/>
      <c r="B631" s="4"/>
      <c r="C631" s="4"/>
      <c r="D631" s="4"/>
      <c r="E631" s="4"/>
      <c r="F631" s="4"/>
      <c r="G631" s="4"/>
      <c r="H631" s="4"/>
      <c r="I631" s="4"/>
      <c r="J631" s="4"/>
      <c r="K631" s="4"/>
    </row>
    <row r="632" spans="1:11" ht="13">
      <c r="A632" s="4"/>
      <c r="B632" s="4"/>
      <c r="C632" s="4"/>
      <c r="D632" s="4"/>
      <c r="E632" s="4"/>
      <c r="F632" s="4"/>
      <c r="G632" s="4"/>
      <c r="H632" s="4"/>
      <c r="I632" s="4"/>
      <c r="J632" s="4"/>
      <c r="K632" s="4"/>
    </row>
    <row r="633" spans="1:11" ht="13">
      <c r="A633" s="4"/>
      <c r="B633" s="4"/>
      <c r="C633" s="4"/>
      <c r="D633" s="4"/>
      <c r="E633" s="4"/>
      <c r="F633" s="4"/>
      <c r="G633" s="4"/>
      <c r="H633" s="4"/>
      <c r="I633" s="4"/>
      <c r="J633" s="4"/>
      <c r="K633" s="4"/>
    </row>
    <row r="634" spans="1:11" ht="13">
      <c r="A634" s="4"/>
      <c r="B634" s="4"/>
      <c r="C634" s="4"/>
      <c r="D634" s="4"/>
      <c r="E634" s="4"/>
      <c r="F634" s="4"/>
      <c r="G634" s="4"/>
      <c r="H634" s="4"/>
      <c r="I634" s="4"/>
      <c r="J634" s="4"/>
      <c r="K634" s="4"/>
    </row>
    <row r="635" spans="1:11" ht="13">
      <c r="A635" s="4"/>
      <c r="B635" s="4"/>
      <c r="C635" s="4"/>
      <c r="D635" s="4"/>
      <c r="E635" s="4"/>
      <c r="F635" s="4"/>
      <c r="G635" s="4"/>
      <c r="H635" s="4"/>
      <c r="I635" s="4"/>
      <c r="J635" s="4"/>
      <c r="K635" s="4"/>
    </row>
    <row r="636" spans="1:11" ht="13">
      <c r="A636" s="4"/>
      <c r="B636" s="4"/>
      <c r="C636" s="4"/>
      <c r="D636" s="4"/>
      <c r="E636" s="4"/>
      <c r="F636" s="4"/>
      <c r="G636" s="4"/>
      <c r="H636" s="4"/>
      <c r="I636" s="4"/>
      <c r="J636" s="4"/>
      <c r="K636" s="4"/>
    </row>
    <row r="637" spans="1:11" ht="13">
      <c r="A637" s="4"/>
      <c r="B637" s="4"/>
      <c r="C637" s="4"/>
      <c r="D637" s="4"/>
      <c r="E637" s="4"/>
      <c r="F637" s="4"/>
      <c r="G637" s="4"/>
      <c r="H637" s="4"/>
      <c r="I637" s="4"/>
      <c r="J637" s="4"/>
      <c r="K637" s="4"/>
    </row>
    <row r="638" spans="1:11" ht="13">
      <c r="A638" s="4"/>
      <c r="B638" s="4"/>
      <c r="C638" s="4"/>
      <c r="D638" s="4"/>
      <c r="E638" s="4"/>
      <c r="F638" s="4"/>
      <c r="G638" s="4"/>
      <c r="H638" s="4"/>
      <c r="I638" s="4"/>
      <c r="J638" s="4"/>
      <c r="K638" s="4"/>
    </row>
    <row r="639" spans="1:11" ht="13">
      <c r="A639" s="4"/>
      <c r="B639" s="4"/>
      <c r="C639" s="4"/>
      <c r="D639" s="4"/>
      <c r="E639" s="4"/>
      <c r="F639" s="4"/>
      <c r="G639" s="4"/>
      <c r="H639" s="4"/>
      <c r="I639" s="4"/>
      <c r="J639" s="4"/>
      <c r="K639" s="4"/>
    </row>
    <row r="640" spans="1:11" ht="13">
      <c r="A640" s="4"/>
      <c r="B640" s="4"/>
      <c r="C640" s="4"/>
      <c r="D640" s="4"/>
      <c r="E640" s="4"/>
      <c r="F640" s="4"/>
      <c r="G640" s="4"/>
      <c r="H640" s="4"/>
      <c r="I640" s="4"/>
      <c r="J640" s="4"/>
      <c r="K640" s="4"/>
    </row>
    <row r="641" spans="1:11" ht="13">
      <c r="A641" s="4"/>
      <c r="B641" s="4"/>
      <c r="C641" s="4"/>
      <c r="D641" s="4"/>
      <c r="E641" s="4"/>
      <c r="F641" s="4"/>
      <c r="G641" s="4"/>
      <c r="H641" s="4"/>
      <c r="I641" s="4"/>
      <c r="J641" s="4"/>
      <c r="K641" s="4"/>
    </row>
    <row r="642" spans="1:11" ht="13">
      <c r="A642" s="4"/>
      <c r="B642" s="4"/>
      <c r="C642" s="4"/>
      <c r="D642" s="4"/>
      <c r="E642" s="4"/>
      <c r="F642" s="4"/>
      <c r="G642" s="4"/>
      <c r="H642" s="4"/>
      <c r="I642" s="4"/>
      <c r="J642" s="4"/>
      <c r="K642" s="4"/>
    </row>
    <row r="643" spans="1:11" ht="13">
      <c r="A643" s="4"/>
      <c r="B643" s="4"/>
      <c r="C643" s="4"/>
      <c r="D643" s="4"/>
      <c r="E643" s="4"/>
      <c r="F643" s="4"/>
      <c r="G643" s="4"/>
      <c r="H643" s="4"/>
      <c r="I643" s="4"/>
      <c r="J643" s="4"/>
      <c r="K643" s="4"/>
    </row>
    <row r="644" spans="1:11" ht="13">
      <c r="A644" s="4"/>
      <c r="B644" s="4"/>
      <c r="C644" s="4"/>
      <c r="D644" s="4"/>
      <c r="E644" s="4"/>
      <c r="F644" s="4"/>
      <c r="G644" s="4"/>
      <c r="H644" s="4"/>
      <c r="I644" s="4"/>
      <c r="J644" s="4"/>
      <c r="K644" s="4"/>
    </row>
    <row r="645" spans="1:11" ht="13">
      <c r="A645" s="4"/>
      <c r="B645" s="4"/>
      <c r="C645" s="4"/>
      <c r="D645" s="4"/>
      <c r="E645" s="4"/>
      <c r="F645" s="4"/>
      <c r="G645" s="4"/>
      <c r="H645" s="4"/>
      <c r="I645" s="4"/>
      <c r="J645" s="4"/>
      <c r="K645" s="4"/>
    </row>
    <row r="646" spans="1:11" ht="13">
      <c r="A646" s="4"/>
      <c r="B646" s="4"/>
      <c r="C646" s="4"/>
      <c r="D646" s="4"/>
      <c r="E646" s="4"/>
      <c r="F646" s="4"/>
      <c r="G646" s="4"/>
      <c r="H646" s="4"/>
      <c r="I646" s="4"/>
      <c r="J646" s="4"/>
      <c r="K646" s="4"/>
    </row>
    <row r="647" spans="1:11" ht="13">
      <c r="A647" s="4"/>
      <c r="B647" s="4"/>
      <c r="C647" s="4"/>
      <c r="D647" s="4"/>
      <c r="E647" s="4"/>
      <c r="F647" s="4"/>
      <c r="G647" s="4"/>
      <c r="H647" s="4"/>
      <c r="I647" s="4"/>
      <c r="J647" s="4"/>
      <c r="K647" s="4"/>
    </row>
    <row r="648" spans="1:11" ht="13">
      <c r="A648" s="4"/>
      <c r="B648" s="4"/>
      <c r="C648" s="4"/>
      <c r="D648" s="4"/>
      <c r="E648" s="4"/>
      <c r="F648" s="4"/>
      <c r="G648" s="4"/>
      <c r="H648" s="4"/>
      <c r="I648" s="4"/>
      <c r="J648" s="4"/>
      <c r="K648" s="4"/>
    </row>
    <row r="649" spans="1:11" ht="13">
      <c r="A649" s="4"/>
      <c r="B649" s="4"/>
      <c r="C649" s="4"/>
      <c r="D649" s="4"/>
      <c r="E649" s="4"/>
      <c r="F649" s="4"/>
      <c r="G649" s="4"/>
      <c r="H649" s="4"/>
      <c r="I649" s="4"/>
      <c r="J649" s="4"/>
      <c r="K649" s="4"/>
    </row>
    <row r="650" spans="1:11" ht="13">
      <c r="A650" s="4"/>
      <c r="B650" s="4"/>
      <c r="C650" s="4"/>
      <c r="D650" s="4"/>
      <c r="E650" s="4"/>
      <c r="F650" s="4"/>
      <c r="G650" s="4"/>
      <c r="H650" s="4"/>
      <c r="I650" s="4"/>
      <c r="J650" s="4"/>
      <c r="K650" s="4"/>
    </row>
    <row r="651" spans="1:11" ht="13">
      <c r="A651" s="4"/>
      <c r="B651" s="4"/>
      <c r="C651" s="4"/>
      <c r="D651" s="4"/>
      <c r="E651" s="4"/>
      <c r="F651" s="4"/>
      <c r="G651" s="4"/>
      <c r="H651" s="4"/>
      <c r="I651" s="4"/>
      <c r="J651" s="4"/>
      <c r="K651" s="4"/>
    </row>
    <row r="652" spans="1:11" ht="13">
      <c r="A652" s="4"/>
      <c r="B652" s="4"/>
      <c r="C652" s="4"/>
      <c r="D652" s="4"/>
      <c r="E652" s="4"/>
      <c r="F652" s="4"/>
      <c r="G652" s="4"/>
      <c r="H652" s="4"/>
      <c r="I652" s="4"/>
      <c r="J652" s="4"/>
      <c r="K652" s="4"/>
    </row>
    <row r="653" spans="1:11" ht="13">
      <c r="A653" s="4"/>
      <c r="B653" s="4"/>
      <c r="C653" s="4"/>
      <c r="D653" s="4"/>
      <c r="E653" s="4"/>
      <c r="F653" s="4"/>
      <c r="G653" s="4"/>
      <c r="H653" s="4"/>
      <c r="I653" s="4"/>
      <c r="J653" s="4"/>
      <c r="K653" s="4"/>
    </row>
    <row r="654" spans="1:11" ht="13">
      <c r="A654" s="4"/>
      <c r="B654" s="4"/>
      <c r="C654" s="4"/>
      <c r="D654" s="4"/>
      <c r="E654" s="4"/>
      <c r="F654" s="4"/>
      <c r="G654" s="4"/>
      <c r="H654" s="4"/>
      <c r="I654" s="4"/>
      <c r="J654" s="4"/>
      <c r="K654" s="4"/>
    </row>
    <row r="655" spans="1:11" ht="13">
      <c r="A655" s="4"/>
      <c r="B655" s="4"/>
      <c r="C655" s="4"/>
      <c r="D655" s="4"/>
      <c r="E655" s="4"/>
      <c r="F655" s="4"/>
      <c r="G655" s="4"/>
      <c r="H655" s="4"/>
      <c r="I655" s="4"/>
      <c r="J655" s="4"/>
      <c r="K655" s="4"/>
    </row>
    <row r="656" spans="1:11" ht="13">
      <c r="A656" s="4"/>
      <c r="B656" s="4"/>
      <c r="C656" s="4"/>
      <c r="D656" s="4"/>
      <c r="E656" s="4"/>
      <c r="F656" s="4"/>
      <c r="G656" s="4"/>
      <c r="H656" s="4"/>
      <c r="I656" s="4"/>
      <c r="J656" s="4"/>
      <c r="K656" s="4"/>
    </row>
    <row r="657" spans="1:11" ht="13">
      <c r="A657" s="4"/>
      <c r="B657" s="4"/>
      <c r="C657" s="4"/>
      <c r="D657" s="4"/>
      <c r="E657" s="4"/>
      <c r="F657" s="4"/>
      <c r="G657" s="4"/>
      <c r="H657" s="4"/>
      <c r="I657" s="4"/>
      <c r="J657" s="4"/>
      <c r="K657" s="4"/>
    </row>
    <row r="658" spans="1:11" ht="13">
      <c r="A658" s="4"/>
      <c r="B658" s="4"/>
      <c r="C658" s="4"/>
      <c r="D658" s="4"/>
      <c r="E658" s="4"/>
      <c r="F658" s="4"/>
      <c r="G658" s="4"/>
      <c r="H658" s="4"/>
      <c r="I658" s="4"/>
      <c r="J658" s="4"/>
      <c r="K658" s="4"/>
    </row>
    <row r="659" spans="1:11" ht="13">
      <c r="A659" s="4"/>
      <c r="B659" s="4"/>
      <c r="C659" s="4"/>
      <c r="D659" s="4"/>
      <c r="E659" s="4"/>
      <c r="F659" s="4"/>
      <c r="G659" s="4"/>
      <c r="H659" s="4"/>
      <c r="I659" s="4"/>
      <c r="J659" s="4"/>
      <c r="K659" s="4"/>
    </row>
    <row r="660" spans="1:11" ht="13">
      <c r="A660" s="4"/>
      <c r="B660" s="4"/>
      <c r="C660" s="4"/>
      <c r="D660" s="4"/>
      <c r="E660" s="4"/>
      <c r="F660" s="4"/>
      <c r="G660" s="4"/>
      <c r="H660" s="4"/>
      <c r="I660" s="4"/>
      <c r="J660" s="4"/>
      <c r="K660" s="4"/>
    </row>
    <row r="661" spans="1:11" ht="13">
      <c r="A661" s="4"/>
      <c r="B661" s="4"/>
      <c r="C661" s="4"/>
      <c r="D661" s="4"/>
      <c r="E661" s="4"/>
      <c r="F661" s="4"/>
      <c r="G661" s="4"/>
      <c r="H661" s="4"/>
      <c r="I661" s="4"/>
      <c r="J661" s="4"/>
      <c r="K661" s="4"/>
    </row>
    <row r="662" spans="1:11" ht="13">
      <c r="A662" s="4"/>
      <c r="B662" s="4"/>
      <c r="C662" s="4"/>
      <c r="D662" s="4"/>
      <c r="E662" s="4"/>
      <c r="F662" s="4"/>
      <c r="G662" s="4"/>
      <c r="H662" s="4"/>
      <c r="I662" s="4"/>
      <c r="J662" s="4"/>
      <c r="K662" s="4"/>
    </row>
    <row r="663" spans="1:11" ht="13">
      <c r="A663" s="4"/>
      <c r="B663" s="4"/>
      <c r="C663" s="4"/>
      <c r="D663" s="4"/>
      <c r="E663" s="4"/>
      <c r="F663" s="4"/>
      <c r="G663" s="4"/>
      <c r="H663" s="4"/>
      <c r="I663" s="4"/>
      <c r="J663" s="4"/>
      <c r="K663" s="4"/>
    </row>
    <row r="664" spans="1:11" ht="13">
      <c r="A664" s="4"/>
      <c r="B664" s="4"/>
      <c r="C664" s="4"/>
      <c r="D664" s="4"/>
      <c r="E664" s="4"/>
      <c r="F664" s="4"/>
      <c r="G664" s="4"/>
      <c r="H664" s="4"/>
      <c r="I664" s="4"/>
      <c r="J664" s="4"/>
      <c r="K664" s="4"/>
    </row>
    <row r="665" spans="1:11" ht="13">
      <c r="A665" s="4"/>
      <c r="B665" s="4"/>
      <c r="C665" s="4"/>
      <c r="D665" s="4"/>
      <c r="E665" s="4"/>
      <c r="F665" s="4"/>
      <c r="G665" s="4"/>
      <c r="H665" s="4"/>
      <c r="I665" s="4"/>
      <c r="J665" s="4"/>
      <c r="K665" s="4"/>
    </row>
    <row r="666" spans="1:11" ht="13">
      <c r="A666" s="4"/>
      <c r="B666" s="4"/>
      <c r="C666" s="4"/>
      <c r="D666" s="4"/>
      <c r="E666" s="4"/>
      <c r="F666" s="4"/>
      <c r="G666" s="4"/>
      <c r="H666" s="4"/>
      <c r="I666" s="4"/>
      <c r="J666" s="4"/>
      <c r="K666" s="4"/>
    </row>
    <row r="667" spans="1:11" ht="13">
      <c r="A667" s="4"/>
      <c r="B667" s="4"/>
      <c r="C667" s="4"/>
      <c r="D667" s="4"/>
      <c r="E667" s="4"/>
      <c r="F667" s="4"/>
      <c r="G667" s="4"/>
      <c r="H667" s="4"/>
      <c r="I667" s="4"/>
      <c r="J667" s="4"/>
      <c r="K667" s="4"/>
    </row>
    <row r="668" spans="1:11" ht="13">
      <c r="A668" s="4"/>
      <c r="B668" s="4"/>
      <c r="C668" s="4"/>
      <c r="D668" s="4"/>
      <c r="E668" s="4"/>
      <c r="F668" s="4"/>
      <c r="G668" s="4"/>
      <c r="H668" s="4"/>
      <c r="I668" s="4"/>
      <c r="J668" s="4"/>
      <c r="K668" s="4"/>
    </row>
    <row r="669" spans="1:11" ht="13">
      <c r="A669" s="4"/>
      <c r="B669" s="4"/>
      <c r="C669" s="4"/>
      <c r="D669" s="4"/>
      <c r="E669" s="4"/>
      <c r="F669" s="4"/>
      <c r="G669" s="4"/>
      <c r="H669" s="4"/>
      <c r="I669" s="4"/>
      <c r="J669" s="4"/>
      <c r="K669" s="4"/>
    </row>
    <row r="670" spans="1:11" ht="13">
      <c r="A670" s="4"/>
      <c r="B670" s="4"/>
      <c r="C670" s="4"/>
      <c r="D670" s="4"/>
      <c r="E670" s="4"/>
      <c r="F670" s="4"/>
      <c r="G670" s="4"/>
      <c r="H670" s="4"/>
      <c r="I670" s="4"/>
      <c r="J670" s="4"/>
      <c r="K670" s="4"/>
    </row>
    <row r="671" spans="1:11" ht="13">
      <c r="A671" s="4"/>
      <c r="B671" s="4"/>
      <c r="C671" s="4"/>
      <c r="D671" s="4"/>
      <c r="E671" s="4"/>
      <c r="F671" s="4"/>
      <c r="G671" s="4"/>
      <c r="H671" s="4"/>
      <c r="I671" s="4"/>
      <c r="J671" s="4"/>
      <c r="K671" s="4"/>
    </row>
    <row r="672" spans="1:11" ht="13">
      <c r="A672" s="4"/>
      <c r="B672" s="4"/>
      <c r="C672" s="4"/>
      <c r="D672" s="4"/>
      <c r="E672" s="4"/>
      <c r="F672" s="4"/>
      <c r="G672" s="4"/>
      <c r="H672" s="4"/>
      <c r="I672" s="4"/>
      <c r="J672" s="4"/>
      <c r="K672" s="4"/>
    </row>
    <row r="673" spans="1:11" ht="13">
      <c r="A673" s="4"/>
      <c r="B673" s="4"/>
      <c r="C673" s="4"/>
      <c r="D673" s="4"/>
      <c r="E673" s="4"/>
      <c r="F673" s="4"/>
      <c r="G673" s="4"/>
      <c r="H673" s="4"/>
      <c r="I673" s="4"/>
      <c r="J673" s="4"/>
      <c r="K673" s="4"/>
    </row>
    <row r="674" spans="1:11" ht="13">
      <c r="A674" s="4"/>
      <c r="B674" s="4"/>
      <c r="C674" s="4"/>
      <c r="D674" s="4"/>
      <c r="E674" s="4"/>
      <c r="F674" s="4"/>
      <c r="G674" s="4"/>
      <c r="H674" s="4"/>
      <c r="I674" s="4"/>
      <c r="J674" s="4"/>
      <c r="K674" s="4"/>
    </row>
    <row r="675" spans="1:11" ht="13">
      <c r="A675" s="4"/>
      <c r="B675" s="4"/>
      <c r="C675" s="4"/>
      <c r="D675" s="4"/>
      <c r="E675" s="4"/>
      <c r="F675" s="4"/>
      <c r="G675" s="4"/>
      <c r="H675" s="4"/>
      <c r="I675" s="4"/>
      <c r="J675" s="4"/>
      <c r="K675" s="4"/>
    </row>
    <row r="676" spans="1:11" ht="13">
      <c r="A676" s="4"/>
      <c r="B676" s="4"/>
      <c r="C676" s="4"/>
      <c r="D676" s="4"/>
      <c r="E676" s="4"/>
      <c r="F676" s="4"/>
      <c r="G676" s="4"/>
      <c r="H676" s="4"/>
      <c r="I676" s="4"/>
      <c r="J676" s="4"/>
      <c r="K676" s="4"/>
    </row>
    <row r="677" spans="1:11" ht="13">
      <c r="A677" s="4"/>
      <c r="B677" s="4"/>
      <c r="C677" s="4"/>
      <c r="D677" s="4"/>
      <c r="E677" s="4"/>
      <c r="F677" s="4"/>
      <c r="G677" s="4"/>
      <c r="H677" s="4"/>
      <c r="I677" s="4"/>
      <c r="J677" s="4"/>
      <c r="K677" s="4"/>
    </row>
    <row r="678" spans="1:11" ht="13">
      <c r="A678" s="4"/>
      <c r="B678" s="4"/>
      <c r="C678" s="4"/>
      <c r="D678" s="4"/>
      <c r="E678" s="4"/>
      <c r="F678" s="4"/>
      <c r="G678" s="4"/>
      <c r="H678" s="4"/>
      <c r="I678" s="4"/>
      <c r="J678" s="4"/>
      <c r="K678" s="4"/>
    </row>
    <row r="679" spans="1:11" ht="13">
      <c r="A679" s="4"/>
      <c r="B679" s="4"/>
      <c r="C679" s="4"/>
      <c r="D679" s="4"/>
      <c r="E679" s="4"/>
      <c r="F679" s="4"/>
      <c r="G679" s="4"/>
      <c r="H679" s="4"/>
      <c r="I679" s="4"/>
      <c r="J679" s="4"/>
      <c r="K679" s="4"/>
    </row>
    <row r="680" spans="1:11" ht="13">
      <c r="A680" s="4"/>
      <c r="B680" s="4"/>
      <c r="C680" s="4"/>
      <c r="D680" s="4"/>
      <c r="E680" s="4"/>
      <c r="F680" s="4"/>
      <c r="G680" s="4"/>
      <c r="H680" s="4"/>
      <c r="I680" s="4"/>
      <c r="J680" s="4"/>
      <c r="K680" s="4"/>
    </row>
    <row r="681" spans="1:11" ht="13">
      <c r="A681" s="4"/>
      <c r="B681" s="4"/>
      <c r="C681" s="4"/>
      <c r="D681" s="4"/>
      <c r="E681" s="4"/>
      <c r="F681" s="4"/>
      <c r="G681" s="4"/>
      <c r="H681" s="4"/>
      <c r="I681" s="4"/>
      <c r="J681" s="4"/>
      <c r="K681" s="4"/>
    </row>
    <row r="682" spans="1:11" ht="13">
      <c r="A682" s="4"/>
      <c r="B682" s="4"/>
      <c r="C682" s="4"/>
      <c r="D682" s="4"/>
      <c r="E682" s="4"/>
      <c r="F682" s="4"/>
      <c r="G682" s="4"/>
      <c r="H682" s="4"/>
      <c r="I682" s="4"/>
      <c r="J682" s="4"/>
      <c r="K682" s="4"/>
    </row>
    <row r="683" spans="1:11" ht="13">
      <c r="A683" s="4"/>
      <c r="B683" s="4"/>
      <c r="C683" s="4"/>
      <c r="D683" s="4"/>
      <c r="E683" s="4"/>
      <c r="F683" s="4"/>
      <c r="G683" s="4"/>
      <c r="H683" s="4"/>
      <c r="I683" s="4"/>
      <c r="J683" s="4"/>
      <c r="K683" s="4"/>
    </row>
    <row r="684" spans="1:11" ht="13">
      <c r="A684" s="4"/>
      <c r="B684" s="4"/>
      <c r="C684" s="4"/>
      <c r="D684" s="4"/>
      <c r="E684" s="4"/>
      <c r="F684" s="4"/>
      <c r="G684" s="4"/>
      <c r="H684" s="4"/>
      <c r="I684" s="4"/>
      <c r="J684" s="4"/>
      <c r="K684" s="4"/>
    </row>
    <row r="685" spans="1:11" ht="13">
      <c r="A685" s="4"/>
      <c r="B685" s="4"/>
      <c r="C685" s="4"/>
      <c r="D685" s="4"/>
      <c r="E685" s="4"/>
      <c r="F685" s="4"/>
      <c r="G685" s="4"/>
      <c r="H685" s="4"/>
      <c r="I685" s="4"/>
      <c r="J685" s="4"/>
      <c r="K685" s="4"/>
    </row>
    <row r="686" spans="1:11" ht="13">
      <c r="A686" s="4"/>
      <c r="B686" s="4"/>
      <c r="C686" s="4"/>
      <c r="D686" s="4"/>
      <c r="E686" s="4"/>
      <c r="F686" s="4"/>
      <c r="G686" s="4"/>
      <c r="H686" s="4"/>
      <c r="I686" s="4"/>
      <c r="J686" s="4"/>
      <c r="K686" s="4"/>
    </row>
    <row r="687" spans="1:11" ht="13">
      <c r="A687" s="4"/>
      <c r="B687" s="4"/>
      <c r="C687" s="4"/>
      <c r="D687" s="4"/>
      <c r="E687" s="4"/>
      <c r="F687" s="4"/>
      <c r="G687" s="4"/>
      <c r="H687" s="4"/>
      <c r="I687" s="4"/>
      <c r="J687" s="4"/>
      <c r="K687" s="4"/>
    </row>
    <row r="688" spans="1:11" ht="13">
      <c r="A688" s="4"/>
      <c r="B688" s="4"/>
      <c r="C688" s="4"/>
      <c r="D688" s="4"/>
      <c r="E688" s="4"/>
      <c r="F688" s="4"/>
      <c r="G688" s="4"/>
      <c r="H688" s="4"/>
      <c r="I688" s="4"/>
      <c r="J688" s="4"/>
      <c r="K688" s="4"/>
    </row>
    <row r="689" spans="1:11" ht="13">
      <c r="A689" s="4"/>
      <c r="B689" s="4"/>
      <c r="C689" s="4"/>
      <c r="D689" s="4"/>
      <c r="E689" s="4"/>
      <c r="F689" s="4"/>
      <c r="G689" s="4"/>
      <c r="H689" s="4"/>
      <c r="I689" s="4"/>
      <c r="J689" s="4"/>
      <c r="K689" s="4"/>
    </row>
    <row r="690" spans="1:11" ht="13">
      <c r="A690" s="4"/>
      <c r="B690" s="4"/>
      <c r="C690" s="4"/>
      <c r="D690" s="4"/>
      <c r="E690" s="4"/>
      <c r="F690" s="4"/>
      <c r="G690" s="4"/>
      <c r="H690" s="4"/>
      <c r="I690" s="4"/>
      <c r="J690" s="4"/>
      <c r="K690" s="4"/>
    </row>
    <row r="691" spans="1:11" ht="13">
      <c r="A691" s="4"/>
      <c r="B691" s="4"/>
      <c r="C691" s="4"/>
      <c r="D691" s="4"/>
      <c r="E691" s="4"/>
      <c r="F691" s="4"/>
      <c r="G691" s="4"/>
      <c r="H691" s="4"/>
      <c r="I691" s="4"/>
      <c r="J691" s="4"/>
      <c r="K691" s="4"/>
    </row>
    <row r="692" spans="1:11" ht="13">
      <c r="A692" s="4"/>
      <c r="B692" s="4"/>
      <c r="C692" s="4"/>
      <c r="D692" s="4"/>
      <c r="E692" s="4"/>
      <c r="F692" s="4"/>
      <c r="G692" s="4"/>
      <c r="H692" s="4"/>
      <c r="I692" s="4"/>
      <c r="J692" s="4"/>
      <c r="K692" s="4"/>
    </row>
    <row r="693" spans="1:11" ht="13">
      <c r="A693" s="4"/>
      <c r="B693" s="4"/>
      <c r="C693" s="4"/>
      <c r="D693" s="4"/>
      <c r="E693" s="4"/>
      <c r="F693" s="4"/>
      <c r="G693" s="4"/>
      <c r="H693" s="4"/>
      <c r="I693" s="4"/>
      <c r="J693" s="4"/>
      <c r="K693" s="4"/>
    </row>
    <row r="694" spans="1:11" ht="13">
      <c r="A694" s="4"/>
      <c r="B694" s="4"/>
      <c r="C694" s="4"/>
      <c r="D694" s="4"/>
      <c r="E694" s="4"/>
      <c r="F694" s="4"/>
      <c r="G694" s="4"/>
      <c r="H694" s="4"/>
      <c r="I694" s="4"/>
      <c r="J694" s="4"/>
      <c r="K694" s="4"/>
    </row>
    <row r="695" spans="1:11" ht="13">
      <c r="A695" s="4"/>
      <c r="B695" s="4"/>
      <c r="C695" s="4"/>
      <c r="D695" s="4"/>
      <c r="E695" s="4"/>
      <c r="F695" s="4"/>
      <c r="G695" s="4"/>
      <c r="H695" s="4"/>
      <c r="I695" s="4"/>
      <c r="J695" s="4"/>
      <c r="K695" s="4"/>
    </row>
    <row r="696" spans="1:11" ht="13">
      <c r="A696" s="4"/>
      <c r="B696" s="4"/>
      <c r="C696" s="4"/>
      <c r="D696" s="4"/>
      <c r="E696" s="4"/>
      <c r="F696" s="4"/>
      <c r="G696" s="4"/>
      <c r="H696" s="4"/>
      <c r="I696" s="4"/>
      <c r="J696" s="4"/>
      <c r="K696" s="4"/>
    </row>
    <row r="697" spans="1:11" ht="13">
      <c r="A697" s="4"/>
      <c r="B697" s="4"/>
      <c r="C697" s="4"/>
      <c r="D697" s="4"/>
      <c r="E697" s="4"/>
      <c r="F697" s="4"/>
      <c r="G697" s="4"/>
      <c r="H697" s="4"/>
      <c r="I697" s="4"/>
      <c r="J697" s="4"/>
      <c r="K697" s="4"/>
    </row>
    <row r="698" spans="1:11" ht="13">
      <c r="A698" s="4"/>
      <c r="B698" s="4"/>
      <c r="C698" s="4"/>
      <c r="D698" s="4"/>
      <c r="E698" s="4"/>
      <c r="F698" s="4"/>
      <c r="G698" s="4"/>
      <c r="H698" s="4"/>
      <c r="I698" s="4"/>
      <c r="J698" s="4"/>
      <c r="K698" s="4"/>
    </row>
    <row r="699" spans="1:11" ht="13">
      <c r="A699" s="4"/>
      <c r="B699" s="4"/>
      <c r="C699" s="4"/>
      <c r="D699" s="4"/>
      <c r="E699" s="4"/>
      <c r="F699" s="4"/>
      <c r="G699" s="4"/>
      <c r="H699" s="4"/>
      <c r="I699" s="4"/>
      <c r="J699" s="4"/>
      <c r="K699" s="4"/>
    </row>
    <row r="700" spans="1:11" ht="13">
      <c r="A700" s="4"/>
      <c r="B700" s="4"/>
      <c r="C700" s="4"/>
      <c r="D700" s="4"/>
      <c r="E700" s="4"/>
      <c r="F700" s="4"/>
      <c r="G700" s="4"/>
      <c r="H700" s="4"/>
      <c r="I700" s="4"/>
      <c r="J700" s="4"/>
      <c r="K700" s="4"/>
    </row>
    <row r="701" spans="1:11" ht="13">
      <c r="A701" s="4"/>
      <c r="B701" s="4"/>
      <c r="C701" s="4"/>
      <c r="D701" s="4"/>
      <c r="E701" s="4"/>
      <c r="F701" s="4"/>
      <c r="G701" s="4"/>
      <c r="H701" s="4"/>
      <c r="I701" s="4"/>
      <c r="J701" s="4"/>
      <c r="K701" s="4"/>
    </row>
    <row r="702" spans="1:11" ht="13">
      <c r="A702" s="4"/>
      <c r="B702" s="4"/>
      <c r="C702" s="4"/>
      <c r="D702" s="4"/>
      <c r="E702" s="4"/>
      <c r="F702" s="4"/>
      <c r="G702" s="4"/>
      <c r="H702" s="4"/>
      <c r="I702" s="4"/>
      <c r="J702" s="4"/>
      <c r="K702" s="4"/>
    </row>
    <row r="703" spans="1:11" ht="13">
      <c r="A703" s="4"/>
      <c r="B703" s="4"/>
      <c r="C703" s="4"/>
      <c r="D703" s="4"/>
      <c r="E703" s="4"/>
      <c r="F703" s="4"/>
      <c r="G703" s="4"/>
      <c r="H703" s="4"/>
      <c r="I703" s="4"/>
      <c r="J703" s="4"/>
      <c r="K703" s="4"/>
    </row>
    <row r="704" spans="1:11" ht="13">
      <c r="A704" s="4"/>
      <c r="B704" s="4"/>
      <c r="C704" s="4"/>
      <c r="D704" s="4"/>
      <c r="E704" s="4"/>
      <c r="F704" s="4"/>
      <c r="G704" s="4"/>
      <c r="H704" s="4"/>
      <c r="I704" s="4"/>
      <c r="J704" s="4"/>
      <c r="K704" s="4"/>
    </row>
    <row r="705" spans="1:11" ht="13">
      <c r="A705" s="4"/>
      <c r="B705" s="4"/>
      <c r="C705" s="4"/>
      <c r="D705" s="4"/>
      <c r="E705" s="4"/>
      <c r="F705" s="4"/>
      <c r="G705" s="4"/>
      <c r="H705" s="4"/>
      <c r="I705" s="4"/>
      <c r="J705" s="4"/>
      <c r="K705" s="4"/>
    </row>
    <row r="706" spans="1:11" ht="13">
      <c r="A706" s="4"/>
      <c r="B706" s="4"/>
      <c r="C706" s="4"/>
      <c r="D706" s="4"/>
      <c r="E706" s="4"/>
      <c r="F706" s="4"/>
      <c r="G706" s="4"/>
      <c r="H706" s="4"/>
      <c r="I706" s="4"/>
      <c r="J706" s="4"/>
      <c r="K706" s="4"/>
    </row>
    <row r="707" spans="1:11" ht="13">
      <c r="A707" s="4"/>
      <c r="B707" s="4"/>
      <c r="C707" s="4"/>
      <c r="D707" s="4"/>
      <c r="E707" s="4"/>
      <c r="F707" s="4"/>
      <c r="G707" s="4"/>
      <c r="H707" s="4"/>
      <c r="I707" s="4"/>
      <c r="J707" s="4"/>
      <c r="K707" s="4"/>
    </row>
    <row r="708" spans="1:11" ht="13">
      <c r="A708" s="4"/>
      <c r="B708" s="4"/>
      <c r="C708" s="4"/>
      <c r="D708" s="4"/>
      <c r="E708" s="4"/>
      <c r="F708" s="4"/>
      <c r="G708" s="4"/>
      <c r="H708" s="4"/>
      <c r="I708" s="4"/>
      <c r="J708" s="4"/>
      <c r="K708" s="4"/>
    </row>
    <row r="709" spans="1:11" ht="13">
      <c r="A709" s="4"/>
      <c r="B709" s="4"/>
      <c r="C709" s="4"/>
      <c r="D709" s="4"/>
      <c r="E709" s="4"/>
      <c r="F709" s="4"/>
      <c r="G709" s="4"/>
      <c r="H709" s="4"/>
      <c r="I709" s="4"/>
      <c r="J709" s="4"/>
      <c r="K709" s="4"/>
    </row>
    <row r="710" spans="1:11" ht="13">
      <c r="A710" s="4"/>
      <c r="B710" s="4"/>
      <c r="C710" s="4"/>
      <c r="D710" s="4"/>
      <c r="E710" s="4"/>
      <c r="F710" s="4"/>
      <c r="G710" s="4"/>
      <c r="H710" s="4"/>
      <c r="I710" s="4"/>
      <c r="J710" s="4"/>
      <c r="K710" s="4"/>
    </row>
    <row r="711" spans="1:11" ht="13">
      <c r="A711" s="4"/>
      <c r="B711" s="4"/>
      <c r="C711" s="4"/>
      <c r="D711" s="4"/>
      <c r="E711" s="4"/>
      <c r="F711" s="4"/>
      <c r="G711" s="4"/>
      <c r="H711" s="4"/>
      <c r="I711" s="4"/>
      <c r="J711" s="4"/>
      <c r="K711" s="4"/>
    </row>
    <row r="712" spans="1:11" ht="13">
      <c r="A712" s="4"/>
      <c r="B712" s="4"/>
      <c r="C712" s="4"/>
      <c r="D712" s="4"/>
      <c r="E712" s="4"/>
      <c r="F712" s="4"/>
      <c r="G712" s="4"/>
      <c r="H712" s="4"/>
      <c r="I712" s="4"/>
      <c r="J712" s="4"/>
      <c r="K712" s="4"/>
    </row>
    <row r="713" spans="1:11" ht="13">
      <c r="A713" s="4"/>
      <c r="B713" s="4"/>
      <c r="C713" s="4"/>
      <c r="D713" s="4"/>
      <c r="E713" s="4"/>
      <c r="F713" s="4"/>
      <c r="G713" s="4"/>
      <c r="H713" s="4"/>
      <c r="I713" s="4"/>
      <c r="J713" s="4"/>
      <c r="K713" s="4"/>
    </row>
    <row r="714" spans="1:11" ht="13">
      <c r="A714" s="4"/>
      <c r="B714" s="4"/>
      <c r="C714" s="4"/>
      <c r="D714" s="4"/>
      <c r="E714" s="4"/>
      <c r="F714" s="4"/>
      <c r="G714" s="4"/>
      <c r="H714" s="4"/>
      <c r="I714" s="4"/>
      <c r="J714" s="4"/>
      <c r="K714" s="4"/>
    </row>
    <row r="715" spans="1:11" ht="13">
      <c r="A715" s="4"/>
      <c r="B715" s="4"/>
      <c r="C715" s="4"/>
      <c r="D715" s="4"/>
      <c r="E715" s="4"/>
      <c r="F715" s="4"/>
      <c r="G715" s="4"/>
      <c r="H715" s="4"/>
      <c r="I715" s="4"/>
      <c r="J715" s="4"/>
      <c r="K715" s="4"/>
    </row>
    <row r="716" spans="1:11" ht="13">
      <c r="A716" s="4"/>
      <c r="B716" s="4"/>
      <c r="C716" s="4"/>
      <c r="D716" s="4"/>
      <c r="E716" s="4"/>
      <c r="F716" s="4"/>
      <c r="G716" s="4"/>
      <c r="H716" s="4"/>
      <c r="I716" s="4"/>
      <c r="J716" s="4"/>
      <c r="K716" s="4"/>
    </row>
    <row r="717" spans="1:11" ht="13">
      <c r="A717" s="4"/>
      <c r="B717" s="4"/>
      <c r="C717" s="4"/>
      <c r="D717" s="4"/>
      <c r="E717" s="4"/>
      <c r="F717" s="4"/>
      <c r="G717" s="4"/>
      <c r="H717" s="4"/>
      <c r="I717" s="4"/>
      <c r="J717" s="4"/>
      <c r="K717" s="4"/>
    </row>
    <row r="718" spans="1:11" ht="13">
      <c r="A718" s="4"/>
      <c r="B718" s="4"/>
      <c r="C718" s="4"/>
      <c r="D718" s="4"/>
      <c r="E718" s="4"/>
      <c r="F718" s="4"/>
      <c r="G718" s="4"/>
      <c r="H718" s="4"/>
      <c r="I718" s="4"/>
      <c r="J718" s="4"/>
      <c r="K718" s="4"/>
    </row>
    <row r="719" spans="1:11" ht="13">
      <c r="A719" s="4"/>
      <c r="B719" s="4"/>
      <c r="C719" s="4"/>
      <c r="D719" s="4"/>
      <c r="E719" s="4"/>
      <c r="F719" s="4"/>
      <c r="G719" s="4"/>
      <c r="H719" s="4"/>
      <c r="I719" s="4"/>
      <c r="J719" s="4"/>
      <c r="K719" s="4"/>
    </row>
    <row r="720" spans="1:11" ht="13">
      <c r="A720" s="4"/>
      <c r="B720" s="4"/>
      <c r="C720" s="4"/>
      <c r="D720" s="4"/>
      <c r="E720" s="4"/>
      <c r="F720" s="4"/>
      <c r="G720" s="4"/>
      <c r="H720" s="4"/>
      <c r="I720" s="4"/>
      <c r="J720" s="4"/>
      <c r="K720" s="4"/>
    </row>
    <row r="721" spans="1:11" ht="13">
      <c r="A721" s="4"/>
      <c r="B721" s="4"/>
      <c r="C721" s="4"/>
      <c r="D721" s="4"/>
      <c r="E721" s="4"/>
      <c r="F721" s="4"/>
      <c r="G721" s="4"/>
      <c r="H721" s="4"/>
      <c r="I721" s="4"/>
      <c r="J721" s="4"/>
      <c r="K721" s="4"/>
    </row>
    <row r="722" spans="1:11" ht="13">
      <c r="A722" s="4"/>
      <c r="B722" s="4"/>
      <c r="C722" s="4"/>
      <c r="D722" s="4"/>
      <c r="E722" s="4"/>
      <c r="F722" s="4"/>
      <c r="G722" s="4"/>
      <c r="H722" s="4"/>
      <c r="I722" s="4"/>
      <c r="J722" s="4"/>
      <c r="K722" s="4"/>
    </row>
    <row r="723" spans="1:11" ht="13">
      <c r="A723" s="4"/>
      <c r="B723" s="4"/>
      <c r="C723" s="4"/>
      <c r="D723" s="4"/>
      <c r="E723" s="4"/>
      <c r="F723" s="4"/>
      <c r="G723" s="4"/>
      <c r="H723" s="4"/>
      <c r="I723" s="4"/>
      <c r="J723" s="4"/>
      <c r="K723" s="4"/>
    </row>
    <row r="724" spans="1:11" ht="13">
      <c r="A724" s="4"/>
      <c r="B724" s="4"/>
      <c r="C724" s="4"/>
      <c r="D724" s="4"/>
      <c r="E724" s="4"/>
      <c r="F724" s="4"/>
      <c r="G724" s="4"/>
      <c r="H724" s="4"/>
      <c r="I724" s="4"/>
      <c r="J724" s="4"/>
      <c r="K724" s="4"/>
    </row>
    <row r="725" spans="1:11" ht="13">
      <c r="A725" s="4"/>
      <c r="B725" s="4"/>
      <c r="C725" s="4"/>
      <c r="D725" s="4"/>
      <c r="E725" s="4"/>
      <c r="F725" s="4"/>
      <c r="G725" s="4"/>
      <c r="H725" s="4"/>
      <c r="I725" s="4"/>
      <c r="J725" s="4"/>
      <c r="K725" s="4"/>
    </row>
    <row r="726" spans="1:11" ht="13">
      <c r="A726" s="4"/>
      <c r="B726" s="4"/>
      <c r="C726" s="4"/>
      <c r="D726" s="4"/>
      <c r="E726" s="4"/>
      <c r="F726" s="4"/>
      <c r="G726" s="4"/>
      <c r="H726" s="4"/>
      <c r="I726" s="4"/>
      <c r="J726" s="4"/>
      <c r="K726" s="4"/>
    </row>
    <row r="727" spans="1:11" ht="13">
      <c r="A727" s="4"/>
      <c r="B727" s="4"/>
      <c r="C727" s="4"/>
      <c r="D727" s="4"/>
      <c r="E727" s="4"/>
      <c r="F727" s="4"/>
      <c r="G727" s="4"/>
      <c r="H727" s="4"/>
      <c r="I727" s="4"/>
      <c r="J727" s="4"/>
      <c r="K727" s="4"/>
    </row>
    <row r="728" spans="1:11" ht="13">
      <c r="A728" s="4"/>
      <c r="B728" s="4"/>
      <c r="C728" s="4"/>
      <c r="D728" s="4"/>
      <c r="E728" s="4"/>
      <c r="F728" s="4"/>
      <c r="G728" s="4"/>
      <c r="H728" s="4"/>
      <c r="I728" s="4"/>
      <c r="J728" s="4"/>
      <c r="K728" s="4"/>
    </row>
    <row r="729" spans="1:11" ht="13">
      <c r="A729" s="4"/>
      <c r="B729" s="4"/>
      <c r="C729" s="4"/>
      <c r="D729" s="4"/>
      <c r="E729" s="4"/>
      <c r="F729" s="4"/>
      <c r="G729" s="4"/>
      <c r="H729" s="4"/>
      <c r="I729" s="4"/>
      <c r="J729" s="4"/>
      <c r="K729" s="4"/>
    </row>
    <row r="730" spans="1:11" ht="13">
      <c r="A730" s="4"/>
      <c r="B730" s="4"/>
      <c r="C730" s="4"/>
      <c r="D730" s="4"/>
      <c r="E730" s="4"/>
      <c r="F730" s="4"/>
      <c r="G730" s="4"/>
      <c r="H730" s="4"/>
      <c r="I730" s="4"/>
      <c r="J730" s="4"/>
      <c r="K730" s="4"/>
    </row>
    <row r="731" spans="1:11" ht="13">
      <c r="A731" s="4"/>
      <c r="B731" s="4"/>
      <c r="C731" s="4"/>
      <c r="D731" s="4"/>
      <c r="E731" s="4"/>
      <c r="F731" s="4"/>
      <c r="G731" s="4"/>
      <c r="H731" s="4"/>
      <c r="I731" s="4"/>
      <c r="J731" s="4"/>
      <c r="K731" s="4"/>
    </row>
    <row r="732" spans="1:11" ht="13">
      <c r="A732" s="4"/>
      <c r="B732" s="4"/>
      <c r="C732" s="4"/>
      <c r="D732" s="4"/>
      <c r="E732" s="4"/>
      <c r="F732" s="4"/>
      <c r="G732" s="4"/>
      <c r="H732" s="4"/>
      <c r="I732" s="4"/>
      <c r="J732" s="4"/>
      <c r="K732" s="4"/>
    </row>
    <row r="733" spans="1:11" ht="13">
      <c r="A733" s="4"/>
      <c r="B733" s="4"/>
      <c r="C733" s="4"/>
      <c r="D733" s="4"/>
      <c r="E733" s="4"/>
      <c r="F733" s="4"/>
      <c r="G733" s="4"/>
      <c r="H733" s="4"/>
      <c r="I733" s="4"/>
      <c r="J733" s="4"/>
      <c r="K733" s="4"/>
    </row>
    <row r="734" spans="1:11" ht="13">
      <c r="A734" s="4"/>
      <c r="B734" s="4"/>
      <c r="C734" s="4"/>
      <c r="D734" s="4"/>
      <c r="E734" s="4"/>
      <c r="F734" s="4"/>
      <c r="G734" s="4"/>
      <c r="H734" s="4"/>
      <c r="I734" s="4"/>
      <c r="J734" s="4"/>
      <c r="K734" s="4"/>
    </row>
    <row r="735" spans="1:11" ht="13">
      <c r="A735" s="4"/>
      <c r="B735" s="4"/>
      <c r="C735" s="4"/>
      <c r="D735" s="4"/>
      <c r="E735" s="4"/>
      <c r="F735" s="4"/>
      <c r="G735" s="4"/>
      <c r="H735" s="4"/>
      <c r="I735" s="4"/>
      <c r="J735" s="4"/>
      <c r="K735" s="4"/>
    </row>
    <row r="736" spans="1:11" ht="13">
      <c r="A736" s="4"/>
      <c r="B736" s="4"/>
      <c r="C736" s="4"/>
      <c r="D736" s="4"/>
      <c r="E736" s="4"/>
      <c r="F736" s="4"/>
      <c r="G736" s="4"/>
      <c r="H736" s="4"/>
      <c r="I736" s="4"/>
      <c r="J736" s="4"/>
      <c r="K736" s="4"/>
    </row>
    <row r="737" spans="1:11" ht="13">
      <c r="A737" s="4"/>
      <c r="B737" s="4"/>
      <c r="C737" s="4"/>
      <c r="D737" s="4"/>
      <c r="E737" s="4"/>
      <c r="F737" s="4"/>
      <c r="G737" s="4"/>
      <c r="H737" s="4"/>
      <c r="I737" s="4"/>
      <c r="J737" s="4"/>
      <c r="K737" s="4"/>
    </row>
    <row r="738" spans="1:11" ht="13">
      <c r="A738" s="4"/>
      <c r="B738" s="4"/>
      <c r="C738" s="4"/>
      <c r="D738" s="4"/>
      <c r="E738" s="4"/>
      <c r="F738" s="4"/>
      <c r="G738" s="4"/>
      <c r="H738" s="4"/>
      <c r="I738" s="4"/>
      <c r="J738" s="4"/>
      <c r="K738" s="4"/>
    </row>
    <row r="739" spans="1:11" ht="13">
      <c r="A739" s="4"/>
      <c r="B739" s="4"/>
      <c r="C739" s="4"/>
      <c r="D739" s="4"/>
      <c r="E739" s="4"/>
      <c r="F739" s="4"/>
      <c r="G739" s="4"/>
      <c r="H739" s="4"/>
      <c r="I739" s="4"/>
      <c r="J739" s="4"/>
      <c r="K739" s="4"/>
    </row>
    <row r="740" spans="1:11" ht="13">
      <c r="A740" s="4"/>
      <c r="B740" s="4"/>
      <c r="C740" s="4"/>
      <c r="D740" s="4"/>
      <c r="E740" s="4"/>
      <c r="F740" s="4"/>
      <c r="G740" s="4"/>
      <c r="H740" s="4"/>
      <c r="I740" s="4"/>
      <c r="J740" s="4"/>
      <c r="K740" s="4"/>
    </row>
    <row r="741" spans="1:11" ht="13">
      <c r="A741" s="4"/>
      <c r="B741" s="4"/>
      <c r="C741" s="4"/>
      <c r="D741" s="4"/>
      <c r="E741" s="4"/>
      <c r="F741" s="4"/>
      <c r="G741" s="4"/>
      <c r="H741" s="4"/>
      <c r="I741" s="4"/>
      <c r="J741" s="4"/>
      <c r="K741" s="4"/>
    </row>
    <row r="742" spans="1:11" ht="13">
      <c r="A742" s="4"/>
      <c r="B742" s="4"/>
      <c r="C742" s="4"/>
      <c r="D742" s="4"/>
      <c r="E742" s="4"/>
      <c r="F742" s="4"/>
      <c r="G742" s="4"/>
      <c r="H742" s="4"/>
      <c r="I742" s="4"/>
      <c r="J742" s="4"/>
      <c r="K742" s="4"/>
    </row>
    <row r="743" spans="1:11" ht="13">
      <c r="A743" s="4"/>
      <c r="B743" s="4"/>
      <c r="C743" s="4"/>
      <c r="D743" s="4"/>
      <c r="E743" s="4"/>
      <c r="F743" s="4"/>
      <c r="G743" s="4"/>
      <c r="H743" s="4"/>
      <c r="I743" s="4"/>
      <c r="J743" s="4"/>
      <c r="K743" s="4"/>
    </row>
    <row r="744" spans="1:11" ht="13">
      <c r="A744" s="4"/>
      <c r="B744" s="4"/>
      <c r="C744" s="4"/>
      <c r="D744" s="4"/>
      <c r="E744" s="4"/>
      <c r="F744" s="4"/>
      <c r="G744" s="4"/>
      <c r="H744" s="4"/>
      <c r="I744" s="4"/>
      <c r="J744" s="4"/>
      <c r="K744" s="4"/>
    </row>
    <row r="745" spans="1:11" ht="13">
      <c r="A745" s="4"/>
      <c r="B745" s="4"/>
      <c r="C745" s="4"/>
      <c r="D745" s="4"/>
      <c r="E745" s="4"/>
      <c r="F745" s="4"/>
      <c r="G745" s="4"/>
      <c r="H745" s="4"/>
      <c r="I745" s="4"/>
      <c r="J745" s="4"/>
      <c r="K745" s="4"/>
    </row>
    <row r="746" spans="1:11" ht="13">
      <c r="A746" s="4"/>
      <c r="B746" s="4"/>
      <c r="C746" s="4"/>
      <c r="D746" s="4"/>
      <c r="E746" s="4"/>
      <c r="F746" s="4"/>
      <c r="G746" s="4"/>
      <c r="H746" s="4"/>
      <c r="I746" s="4"/>
      <c r="J746" s="4"/>
      <c r="K746" s="4"/>
    </row>
    <row r="747" spans="1:11" ht="13">
      <c r="A747" s="4"/>
      <c r="B747" s="4"/>
      <c r="C747" s="4"/>
      <c r="D747" s="4"/>
      <c r="E747" s="4"/>
      <c r="F747" s="4"/>
      <c r="G747" s="4"/>
      <c r="H747" s="4"/>
      <c r="I747" s="4"/>
      <c r="J747" s="4"/>
      <c r="K747" s="4"/>
    </row>
    <row r="748" spans="1:11" ht="13">
      <c r="A748" s="4"/>
      <c r="B748" s="4"/>
      <c r="C748" s="4"/>
      <c r="D748" s="4"/>
      <c r="E748" s="4"/>
      <c r="F748" s="4"/>
      <c r="G748" s="4"/>
      <c r="H748" s="4"/>
      <c r="I748" s="4"/>
      <c r="J748" s="4"/>
      <c r="K748" s="4"/>
    </row>
    <row r="749" spans="1:11" ht="13">
      <c r="A749" s="4"/>
      <c r="B749" s="4"/>
      <c r="C749" s="4"/>
      <c r="D749" s="4"/>
      <c r="E749" s="4"/>
      <c r="F749" s="4"/>
      <c r="G749" s="4"/>
      <c r="H749" s="4"/>
      <c r="I749" s="4"/>
      <c r="J749" s="4"/>
      <c r="K749" s="4"/>
    </row>
    <row r="750" spans="1:11" ht="13">
      <c r="A750" s="4"/>
      <c r="B750" s="4"/>
      <c r="C750" s="4"/>
      <c r="D750" s="4"/>
      <c r="E750" s="4"/>
      <c r="F750" s="4"/>
      <c r="G750" s="4"/>
      <c r="H750" s="4"/>
      <c r="I750" s="4"/>
      <c r="J750" s="4"/>
      <c r="K750" s="4"/>
    </row>
    <row r="751" spans="1:11" ht="13">
      <c r="A751" s="4"/>
      <c r="B751" s="4"/>
      <c r="C751" s="4"/>
      <c r="D751" s="4"/>
      <c r="E751" s="4"/>
      <c r="F751" s="4"/>
      <c r="G751" s="4"/>
      <c r="H751" s="4"/>
      <c r="I751" s="4"/>
      <c r="J751" s="4"/>
      <c r="K751" s="4"/>
    </row>
    <row r="752" spans="1:11" ht="13">
      <c r="A752" s="4"/>
      <c r="B752" s="4"/>
      <c r="C752" s="4"/>
      <c r="D752" s="4"/>
      <c r="E752" s="4"/>
      <c r="F752" s="4"/>
      <c r="G752" s="4"/>
      <c r="H752" s="4"/>
      <c r="I752" s="4"/>
      <c r="J752" s="4"/>
      <c r="K752" s="4"/>
    </row>
    <row r="753" spans="1:11" ht="13">
      <c r="A753" s="4"/>
      <c r="B753" s="4"/>
      <c r="C753" s="4"/>
      <c r="D753" s="4"/>
      <c r="E753" s="4"/>
      <c r="F753" s="4"/>
      <c r="G753" s="4"/>
      <c r="H753" s="4"/>
      <c r="I753" s="4"/>
      <c r="J753" s="4"/>
      <c r="K753" s="4"/>
    </row>
    <row r="754" spans="1:11" ht="13">
      <c r="A754" s="4"/>
      <c r="B754" s="4"/>
      <c r="C754" s="4"/>
      <c r="D754" s="4"/>
      <c r="E754" s="4"/>
      <c r="F754" s="4"/>
      <c r="G754" s="4"/>
      <c r="H754" s="4"/>
      <c r="I754" s="4"/>
      <c r="J754" s="4"/>
      <c r="K754" s="4"/>
    </row>
    <row r="755" spans="1:11" ht="13">
      <c r="A755" s="4"/>
      <c r="B755" s="4"/>
      <c r="C755" s="4"/>
      <c r="D755" s="4"/>
      <c r="E755" s="4"/>
      <c r="F755" s="4"/>
      <c r="G755" s="4"/>
      <c r="H755" s="4"/>
      <c r="I755" s="4"/>
      <c r="J755" s="4"/>
      <c r="K755" s="4"/>
    </row>
    <row r="756" spans="1:11" ht="13">
      <c r="A756" s="4"/>
      <c r="B756" s="4"/>
      <c r="C756" s="4"/>
      <c r="D756" s="4"/>
      <c r="E756" s="4"/>
      <c r="F756" s="4"/>
      <c r="G756" s="4"/>
      <c r="H756" s="4"/>
      <c r="I756" s="4"/>
      <c r="J756" s="4"/>
      <c r="K756" s="4"/>
    </row>
    <row r="757" spans="1:11" ht="13">
      <c r="A757" s="4"/>
      <c r="B757" s="4"/>
      <c r="C757" s="4"/>
      <c r="D757" s="4"/>
      <c r="E757" s="4"/>
      <c r="F757" s="4"/>
      <c r="G757" s="4"/>
      <c r="H757" s="4"/>
      <c r="I757" s="4"/>
      <c r="J757" s="4"/>
      <c r="K757" s="4"/>
    </row>
    <row r="758" spans="1:11" ht="13">
      <c r="A758" s="4"/>
      <c r="B758" s="4"/>
      <c r="C758" s="4"/>
      <c r="D758" s="4"/>
      <c r="E758" s="4"/>
      <c r="F758" s="4"/>
      <c r="G758" s="4"/>
      <c r="H758" s="4"/>
      <c r="I758" s="4"/>
      <c r="J758" s="4"/>
      <c r="K758" s="4"/>
    </row>
    <row r="759" spans="1:11" ht="13">
      <c r="A759" s="4"/>
      <c r="B759" s="4"/>
      <c r="C759" s="4"/>
      <c r="D759" s="4"/>
      <c r="E759" s="4"/>
      <c r="F759" s="4"/>
      <c r="G759" s="4"/>
      <c r="H759" s="4"/>
      <c r="I759" s="4"/>
      <c r="J759" s="4"/>
      <c r="K759" s="4"/>
    </row>
    <row r="760" spans="1:11" ht="13">
      <c r="A760" s="4"/>
      <c r="B760" s="4"/>
      <c r="C760" s="4"/>
      <c r="D760" s="4"/>
      <c r="E760" s="4"/>
      <c r="F760" s="4"/>
      <c r="G760" s="4"/>
      <c r="H760" s="4"/>
      <c r="I760" s="4"/>
      <c r="J760" s="4"/>
      <c r="K760" s="4"/>
    </row>
    <row r="761" spans="1:11" ht="13">
      <c r="A761" s="4"/>
      <c r="B761" s="4"/>
      <c r="C761" s="4"/>
      <c r="D761" s="4"/>
      <c r="E761" s="4"/>
      <c r="F761" s="4"/>
      <c r="G761" s="4"/>
      <c r="H761" s="4"/>
      <c r="I761" s="4"/>
      <c r="J761" s="4"/>
      <c r="K761" s="4"/>
    </row>
    <row r="762" spans="1:11" ht="13">
      <c r="A762" s="4"/>
      <c r="B762" s="4"/>
      <c r="C762" s="4"/>
      <c r="D762" s="4"/>
      <c r="E762" s="4"/>
      <c r="F762" s="4"/>
      <c r="G762" s="4"/>
      <c r="H762" s="4"/>
      <c r="I762" s="4"/>
      <c r="J762" s="4"/>
      <c r="K762" s="4"/>
    </row>
    <row r="763" spans="1:11" ht="13">
      <c r="A763" s="4"/>
      <c r="B763" s="4"/>
      <c r="C763" s="4"/>
      <c r="D763" s="4"/>
      <c r="E763" s="4"/>
      <c r="F763" s="4"/>
      <c r="G763" s="4"/>
      <c r="H763" s="4"/>
      <c r="I763" s="4"/>
      <c r="J763" s="4"/>
      <c r="K763" s="4"/>
    </row>
    <row r="764" spans="1:11" ht="13">
      <c r="A764" s="4"/>
      <c r="B764" s="4"/>
      <c r="C764" s="4"/>
      <c r="D764" s="4"/>
      <c r="E764" s="4"/>
      <c r="F764" s="4"/>
      <c r="G764" s="4"/>
      <c r="H764" s="4"/>
      <c r="I764" s="4"/>
      <c r="J764" s="4"/>
      <c r="K764" s="4"/>
    </row>
    <row r="765" spans="1:11" ht="13">
      <c r="A765" s="4"/>
      <c r="B765" s="4"/>
      <c r="C765" s="4"/>
      <c r="D765" s="4"/>
      <c r="E765" s="4"/>
      <c r="F765" s="4"/>
      <c r="G765" s="4"/>
      <c r="H765" s="4"/>
      <c r="I765" s="4"/>
      <c r="J765" s="4"/>
      <c r="K765" s="4"/>
    </row>
    <row r="766" spans="1:11" ht="13">
      <c r="A766" s="4"/>
      <c r="B766" s="4"/>
      <c r="C766" s="4"/>
      <c r="D766" s="4"/>
      <c r="E766" s="4"/>
      <c r="F766" s="4"/>
      <c r="G766" s="4"/>
      <c r="H766" s="4"/>
      <c r="I766" s="4"/>
      <c r="J766" s="4"/>
      <c r="K766" s="4"/>
    </row>
    <row r="767" spans="1:11" ht="13">
      <c r="A767" s="4"/>
      <c r="B767" s="4"/>
      <c r="C767" s="4"/>
      <c r="D767" s="4"/>
      <c r="E767" s="4"/>
      <c r="F767" s="4"/>
      <c r="G767" s="4"/>
      <c r="H767" s="4"/>
      <c r="I767" s="4"/>
      <c r="J767" s="4"/>
      <c r="K767" s="4"/>
    </row>
    <row r="768" spans="1:11" ht="13">
      <c r="A768" s="4"/>
      <c r="B768" s="4"/>
      <c r="C768" s="4"/>
      <c r="D768" s="4"/>
      <c r="E768" s="4"/>
      <c r="F768" s="4"/>
      <c r="G768" s="4"/>
      <c r="H768" s="4"/>
      <c r="I768" s="4"/>
      <c r="J768" s="4"/>
      <c r="K768" s="4"/>
    </row>
    <row r="769" spans="1:11" ht="13">
      <c r="A769" s="4"/>
      <c r="B769" s="4"/>
      <c r="C769" s="4"/>
      <c r="D769" s="4"/>
      <c r="E769" s="4"/>
      <c r="F769" s="4"/>
      <c r="G769" s="4"/>
      <c r="H769" s="4"/>
      <c r="I769" s="4"/>
      <c r="J769" s="4"/>
      <c r="K769" s="4"/>
    </row>
    <row r="770" spans="1:11" ht="13">
      <c r="A770" s="4"/>
      <c r="B770" s="4"/>
      <c r="C770" s="4"/>
      <c r="D770" s="4"/>
      <c r="E770" s="4"/>
      <c r="F770" s="4"/>
      <c r="G770" s="4"/>
      <c r="H770" s="4"/>
      <c r="I770" s="4"/>
      <c r="J770" s="4"/>
      <c r="K770" s="4"/>
    </row>
    <row r="771" spans="1:11" ht="13">
      <c r="A771" s="4"/>
      <c r="B771" s="4"/>
      <c r="C771" s="4"/>
      <c r="D771" s="4"/>
      <c r="E771" s="4"/>
      <c r="F771" s="4"/>
      <c r="G771" s="4"/>
      <c r="H771" s="4"/>
      <c r="I771" s="4"/>
      <c r="J771" s="4"/>
      <c r="K771" s="4"/>
    </row>
    <row r="772" spans="1:11" ht="13">
      <c r="A772" s="4"/>
      <c r="B772" s="4"/>
      <c r="C772" s="4"/>
      <c r="D772" s="4"/>
      <c r="E772" s="4"/>
      <c r="F772" s="4"/>
      <c r="G772" s="4"/>
      <c r="H772" s="4"/>
      <c r="I772" s="4"/>
      <c r="J772" s="4"/>
      <c r="K772" s="4"/>
    </row>
    <row r="773" spans="1:11" ht="13">
      <c r="A773" s="4"/>
      <c r="B773" s="4"/>
      <c r="C773" s="4"/>
      <c r="D773" s="4"/>
      <c r="E773" s="4"/>
      <c r="F773" s="4"/>
      <c r="G773" s="4"/>
      <c r="H773" s="4"/>
      <c r="I773" s="4"/>
      <c r="J773" s="4"/>
      <c r="K773" s="4"/>
    </row>
    <row r="774" spans="1:11" ht="13">
      <c r="A774" s="4"/>
      <c r="B774" s="4"/>
      <c r="C774" s="4"/>
      <c r="D774" s="4"/>
      <c r="E774" s="4"/>
      <c r="F774" s="4"/>
      <c r="G774" s="4"/>
      <c r="H774" s="4"/>
      <c r="I774" s="4"/>
      <c r="J774" s="4"/>
      <c r="K774" s="4"/>
    </row>
    <row r="775" spans="1:11" ht="13">
      <c r="A775" s="4"/>
      <c r="B775" s="4"/>
      <c r="C775" s="4"/>
      <c r="D775" s="4"/>
      <c r="E775" s="4"/>
      <c r="F775" s="4"/>
      <c r="G775" s="4"/>
      <c r="H775" s="4"/>
      <c r="I775" s="4"/>
      <c r="J775" s="4"/>
      <c r="K775" s="4"/>
    </row>
    <row r="776" spans="1:11" ht="13">
      <c r="A776" s="4"/>
      <c r="B776" s="4"/>
      <c r="C776" s="4"/>
      <c r="D776" s="4"/>
      <c r="E776" s="4"/>
      <c r="F776" s="4"/>
      <c r="G776" s="4"/>
      <c r="H776" s="4"/>
      <c r="I776" s="4"/>
      <c r="J776" s="4"/>
      <c r="K776" s="4"/>
    </row>
    <row r="777" spans="1:11" ht="13">
      <c r="A777" s="4"/>
      <c r="B777" s="4"/>
      <c r="C777" s="4"/>
      <c r="D777" s="4"/>
      <c r="E777" s="4"/>
      <c r="F777" s="4"/>
      <c r="G777" s="4"/>
      <c r="H777" s="4"/>
      <c r="I777" s="4"/>
      <c r="J777" s="4"/>
      <c r="K777" s="4"/>
    </row>
    <row r="778" spans="1:11" ht="13">
      <c r="A778" s="4"/>
      <c r="B778" s="4"/>
      <c r="C778" s="4"/>
      <c r="D778" s="4"/>
      <c r="E778" s="4"/>
      <c r="F778" s="4"/>
      <c r="G778" s="4"/>
      <c r="H778" s="4"/>
      <c r="I778" s="4"/>
      <c r="J778" s="4"/>
      <c r="K778" s="4"/>
    </row>
    <row r="779" spans="1:11" ht="13">
      <c r="A779" s="4"/>
      <c r="B779" s="4"/>
      <c r="C779" s="4"/>
      <c r="D779" s="4"/>
      <c r="E779" s="4"/>
      <c r="F779" s="4"/>
      <c r="G779" s="4"/>
      <c r="H779" s="4"/>
      <c r="I779" s="4"/>
      <c r="J779" s="4"/>
      <c r="K779" s="4"/>
    </row>
    <row r="780" spans="1:11" ht="13">
      <c r="A780" s="4"/>
      <c r="B780" s="4"/>
      <c r="C780" s="4"/>
      <c r="D780" s="4"/>
      <c r="E780" s="4"/>
      <c r="F780" s="4"/>
      <c r="G780" s="4"/>
      <c r="H780" s="4"/>
      <c r="I780" s="4"/>
      <c r="J780" s="4"/>
      <c r="K780" s="4"/>
    </row>
    <row r="781" spans="1:11" ht="13">
      <c r="A781" s="4"/>
      <c r="B781" s="4"/>
      <c r="C781" s="4"/>
      <c r="D781" s="4"/>
      <c r="E781" s="4"/>
      <c r="F781" s="4"/>
      <c r="G781" s="4"/>
      <c r="H781" s="4"/>
      <c r="I781" s="4"/>
      <c r="J781" s="4"/>
      <c r="K781" s="4"/>
    </row>
    <row r="782" spans="1:11" ht="13">
      <c r="A782" s="4"/>
      <c r="B782" s="4"/>
      <c r="C782" s="4"/>
      <c r="D782" s="4"/>
      <c r="E782" s="4"/>
      <c r="F782" s="4"/>
      <c r="G782" s="4"/>
      <c r="H782" s="4"/>
      <c r="I782" s="4"/>
      <c r="J782" s="4"/>
      <c r="K782" s="4"/>
    </row>
    <row r="783" spans="1:11" ht="13">
      <c r="A783" s="4"/>
      <c r="B783" s="4"/>
      <c r="C783" s="4"/>
      <c r="D783" s="4"/>
      <c r="E783" s="4"/>
      <c r="F783" s="4"/>
      <c r="G783" s="4"/>
      <c r="H783" s="4"/>
      <c r="I783" s="4"/>
      <c r="J783" s="4"/>
      <c r="K783" s="4"/>
    </row>
    <row r="784" spans="1:11" ht="13">
      <c r="A784" s="4"/>
      <c r="B784" s="4"/>
      <c r="C784" s="4"/>
      <c r="D784" s="4"/>
      <c r="E784" s="4"/>
      <c r="F784" s="4"/>
      <c r="G784" s="4"/>
      <c r="H784" s="4"/>
      <c r="I784" s="4"/>
      <c r="J784" s="4"/>
      <c r="K784" s="4"/>
    </row>
    <row r="785" spans="1:11" ht="13">
      <c r="A785" s="4"/>
      <c r="B785" s="4"/>
      <c r="C785" s="4"/>
      <c r="D785" s="4"/>
      <c r="E785" s="4"/>
      <c r="F785" s="4"/>
      <c r="G785" s="4"/>
      <c r="H785" s="4"/>
      <c r="I785" s="4"/>
      <c r="J785" s="4"/>
      <c r="K785" s="4"/>
    </row>
    <row r="786" spans="1:11" ht="13">
      <c r="A786" s="4"/>
      <c r="B786" s="4"/>
      <c r="C786" s="4"/>
      <c r="D786" s="4"/>
      <c r="E786" s="4"/>
      <c r="F786" s="4"/>
      <c r="G786" s="4"/>
      <c r="H786" s="4"/>
      <c r="I786" s="4"/>
      <c r="J786" s="4"/>
      <c r="K786" s="4"/>
    </row>
    <row r="787" spans="1:11" ht="13">
      <c r="A787" s="4"/>
      <c r="B787" s="4"/>
      <c r="C787" s="4"/>
      <c r="D787" s="4"/>
      <c r="E787" s="4"/>
      <c r="F787" s="4"/>
      <c r="G787" s="4"/>
      <c r="H787" s="4"/>
      <c r="I787" s="4"/>
      <c r="J787" s="4"/>
      <c r="K787" s="4"/>
    </row>
    <row r="788" spans="1:11" ht="13">
      <c r="A788" s="4"/>
      <c r="B788" s="4"/>
      <c r="C788" s="4"/>
      <c r="D788" s="4"/>
      <c r="E788" s="4"/>
      <c r="F788" s="4"/>
      <c r="G788" s="4"/>
      <c r="H788" s="4"/>
      <c r="I788" s="4"/>
      <c r="J788" s="4"/>
      <c r="K788" s="4"/>
    </row>
    <row r="789" spans="1:11" ht="13">
      <c r="A789" s="4"/>
      <c r="B789" s="4"/>
      <c r="C789" s="4"/>
      <c r="D789" s="4"/>
      <c r="E789" s="4"/>
      <c r="F789" s="4"/>
      <c r="G789" s="4"/>
      <c r="H789" s="4"/>
      <c r="I789" s="4"/>
      <c r="J789" s="4"/>
      <c r="K789" s="4"/>
    </row>
    <row r="790" spans="1:11" ht="13">
      <c r="A790" s="4"/>
      <c r="B790" s="4"/>
      <c r="C790" s="4"/>
      <c r="D790" s="4"/>
      <c r="E790" s="4"/>
      <c r="F790" s="4"/>
      <c r="G790" s="4"/>
      <c r="H790" s="4"/>
      <c r="I790" s="4"/>
      <c r="J790" s="4"/>
      <c r="K790" s="4"/>
    </row>
    <row r="791" spans="1:11" ht="13">
      <c r="A791" s="4"/>
      <c r="B791" s="4"/>
      <c r="C791" s="4"/>
      <c r="D791" s="4"/>
      <c r="E791" s="4"/>
      <c r="F791" s="4"/>
      <c r="G791" s="4"/>
      <c r="H791" s="4"/>
      <c r="I791" s="4"/>
      <c r="J791" s="4"/>
      <c r="K791" s="4"/>
    </row>
    <row r="792" spans="1:11" ht="13">
      <c r="A792" s="4"/>
      <c r="B792" s="4"/>
      <c r="C792" s="4"/>
      <c r="D792" s="4"/>
      <c r="E792" s="4"/>
      <c r="F792" s="4"/>
      <c r="G792" s="4"/>
      <c r="H792" s="4"/>
      <c r="I792" s="4"/>
      <c r="J792" s="4"/>
      <c r="K792" s="4"/>
    </row>
    <row r="793" spans="1:11" ht="13">
      <c r="A793" s="4"/>
      <c r="B793" s="4"/>
      <c r="C793" s="4"/>
      <c r="D793" s="4"/>
      <c r="E793" s="4"/>
      <c r="F793" s="4"/>
      <c r="G793" s="4"/>
      <c r="H793" s="4"/>
      <c r="I793" s="4"/>
      <c r="J793" s="4"/>
      <c r="K793" s="4"/>
    </row>
    <row r="794" spans="1:11" ht="13">
      <c r="A794" s="4"/>
      <c r="B794" s="4"/>
      <c r="C794" s="4"/>
      <c r="D794" s="4"/>
      <c r="E794" s="4"/>
      <c r="F794" s="4"/>
      <c r="G794" s="4"/>
      <c r="H794" s="4"/>
      <c r="I794" s="4"/>
      <c r="J794" s="4"/>
      <c r="K794" s="4"/>
    </row>
    <row r="795" spans="1:11" ht="13">
      <c r="A795" s="4"/>
      <c r="B795" s="4"/>
      <c r="C795" s="4"/>
      <c r="D795" s="4"/>
      <c r="E795" s="4"/>
      <c r="F795" s="4"/>
      <c r="G795" s="4"/>
      <c r="H795" s="4"/>
      <c r="I795" s="4"/>
      <c r="J795" s="4"/>
      <c r="K795" s="4"/>
    </row>
    <row r="796" spans="1:11" ht="13">
      <c r="A796" s="4"/>
      <c r="B796" s="4"/>
      <c r="C796" s="4"/>
      <c r="D796" s="4"/>
      <c r="E796" s="4"/>
      <c r="F796" s="4"/>
      <c r="G796" s="4"/>
      <c r="H796" s="4"/>
      <c r="I796" s="4"/>
      <c r="J796" s="4"/>
      <c r="K796" s="4"/>
    </row>
    <row r="797" spans="1:11" ht="13">
      <c r="A797" s="4"/>
      <c r="B797" s="4"/>
      <c r="C797" s="4"/>
      <c r="D797" s="4"/>
      <c r="E797" s="4"/>
      <c r="F797" s="4"/>
      <c r="G797" s="4"/>
      <c r="H797" s="4"/>
      <c r="I797" s="4"/>
      <c r="J797" s="4"/>
      <c r="K797" s="4"/>
    </row>
    <row r="798" spans="1:11" ht="13">
      <c r="A798" s="4"/>
      <c r="B798" s="4"/>
      <c r="C798" s="4"/>
      <c r="D798" s="4"/>
      <c r="E798" s="4"/>
      <c r="F798" s="4"/>
      <c r="G798" s="4"/>
      <c r="H798" s="4"/>
      <c r="I798" s="4"/>
      <c r="J798" s="4"/>
      <c r="K798" s="4"/>
    </row>
    <row r="799" spans="1:11" ht="13">
      <c r="A799" s="4"/>
      <c r="B799" s="4"/>
      <c r="C799" s="4"/>
      <c r="D799" s="4"/>
      <c r="E799" s="4"/>
      <c r="F799" s="4"/>
      <c r="G799" s="4"/>
      <c r="H799" s="4"/>
      <c r="I799" s="4"/>
      <c r="J799" s="4"/>
      <c r="K799" s="4"/>
    </row>
    <row r="800" spans="1:11" ht="13">
      <c r="A800" s="4"/>
      <c r="B800" s="4"/>
      <c r="C800" s="4"/>
      <c r="D800" s="4"/>
      <c r="E800" s="4"/>
      <c r="F800" s="4"/>
      <c r="G800" s="4"/>
      <c r="H800" s="4"/>
      <c r="I800" s="4"/>
      <c r="J800" s="4"/>
      <c r="K800" s="4"/>
    </row>
    <row r="801" spans="1:11" ht="13">
      <c r="A801" s="4"/>
      <c r="B801" s="4"/>
      <c r="C801" s="4"/>
      <c r="D801" s="4"/>
      <c r="E801" s="4"/>
      <c r="F801" s="4"/>
      <c r="G801" s="4"/>
      <c r="H801" s="4"/>
      <c r="I801" s="4"/>
      <c r="J801" s="4"/>
      <c r="K801" s="4"/>
    </row>
    <row r="802" spans="1:11" ht="13">
      <c r="A802" s="4"/>
      <c r="B802" s="4"/>
      <c r="C802" s="4"/>
      <c r="D802" s="4"/>
      <c r="E802" s="4"/>
      <c r="F802" s="4"/>
      <c r="G802" s="4"/>
      <c r="H802" s="4"/>
      <c r="I802" s="4"/>
      <c r="J802" s="4"/>
      <c r="K802" s="4"/>
    </row>
    <row r="803" spans="1:11" ht="13">
      <c r="A803" s="4"/>
      <c r="B803" s="4"/>
      <c r="C803" s="4"/>
      <c r="D803" s="4"/>
      <c r="E803" s="4"/>
      <c r="F803" s="4"/>
      <c r="G803" s="4"/>
      <c r="H803" s="4"/>
      <c r="I803" s="4"/>
      <c r="J803" s="4"/>
      <c r="K803" s="4"/>
    </row>
    <row r="804" spans="1:11" ht="13">
      <c r="A804" s="4"/>
      <c r="B804" s="4"/>
      <c r="C804" s="4"/>
      <c r="D804" s="4"/>
      <c r="E804" s="4"/>
      <c r="F804" s="4"/>
      <c r="G804" s="4"/>
      <c r="H804" s="4"/>
      <c r="I804" s="4"/>
      <c r="J804" s="4"/>
      <c r="K804" s="4"/>
    </row>
    <row r="805" spans="1:11" ht="13">
      <c r="A805" s="4"/>
      <c r="B805" s="4"/>
      <c r="C805" s="4"/>
      <c r="D805" s="4"/>
      <c r="E805" s="4"/>
      <c r="F805" s="4"/>
      <c r="G805" s="4"/>
      <c r="H805" s="4"/>
      <c r="I805" s="4"/>
      <c r="J805" s="4"/>
      <c r="K805" s="4"/>
    </row>
    <row r="806" spans="1:11" ht="13">
      <c r="A806" s="4"/>
      <c r="B806" s="4"/>
      <c r="C806" s="4"/>
      <c r="D806" s="4"/>
      <c r="E806" s="4"/>
      <c r="F806" s="4"/>
      <c r="G806" s="4"/>
      <c r="H806" s="4"/>
      <c r="I806" s="4"/>
      <c r="J806" s="4"/>
      <c r="K806" s="4"/>
    </row>
    <row r="807" spans="1:11" ht="13">
      <c r="A807" s="4"/>
      <c r="B807" s="4"/>
      <c r="C807" s="4"/>
      <c r="D807" s="4"/>
      <c r="E807" s="4"/>
      <c r="F807" s="4"/>
      <c r="G807" s="4"/>
      <c r="H807" s="4"/>
      <c r="I807" s="4"/>
      <c r="J807" s="4"/>
      <c r="K807" s="4"/>
    </row>
    <row r="808" spans="1:11" ht="13">
      <c r="A808" s="4"/>
      <c r="B808" s="4"/>
      <c r="C808" s="4"/>
      <c r="D808" s="4"/>
      <c r="E808" s="4"/>
      <c r="F808" s="4"/>
      <c r="G808" s="4"/>
      <c r="H808" s="4"/>
      <c r="I808" s="4"/>
      <c r="J808" s="4"/>
      <c r="K808" s="4"/>
    </row>
    <row r="809" spans="1:11" ht="13">
      <c r="A809" s="4"/>
      <c r="B809" s="4"/>
      <c r="C809" s="4"/>
      <c r="D809" s="4"/>
      <c r="E809" s="4"/>
      <c r="F809" s="4"/>
      <c r="G809" s="4"/>
      <c r="H809" s="4"/>
      <c r="I809" s="4"/>
      <c r="J809" s="4"/>
      <c r="K809" s="4"/>
    </row>
    <row r="810" spans="1:11" ht="13">
      <c r="A810" s="4"/>
      <c r="B810" s="4"/>
      <c r="C810" s="4"/>
      <c r="D810" s="4"/>
      <c r="E810" s="4"/>
      <c r="F810" s="4"/>
      <c r="G810" s="4"/>
      <c r="H810" s="4"/>
      <c r="I810" s="4"/>
      <c r="J810" s="4"/>
      <c r="K810" s="4"/>
    </row>
    <row r="811" spans="1:11" ht="13">
      <c r="A811" s="4"/>
      <c r="B811" s="4"/>
      <c r="C811" s="4"/>
      <c r="D811" s="4"/>
      <c r="E811" s="4"/>
      <c r="F811" s="4"/>
      <c r="G811" s="4"/>
      <c r="H811" s="4"/>
      <c r="I811" s="4"/>
      <c r="J811" s="4"/>
      <c r="K811" s="4"/>
    </row>
    <row r="812" spans="1:11" ht="13">
      <c r="A812" s="4"/>
      <c r="B812" s="4"/>
      <c r="C812" s="4"/>
      <c r="D812" s="4"/>
      <c r="E812" s="4"/>
      <c r="F812" s="4"/>
      <c r="G812" s="4"/>
      <c r="H812" s="4"/>
      <c r="I812" s="4"/>
      <c r="J812" s="4"/>
      <c r="K812" s="4"/>
    </row>
    <row r="813" spans="1:11" ht="13">
      <c r="A813" s="4"/>
      <c r="B813" s="4"/>
      <c r="C813" s="4"/>
      <c r="D813" s="4"/>
      <c r="E813" s="4"/>
      <c r="F813" s="4"/>
      <c r="G813" s="4"/>
      <c r="H813" s="4"/>
      <c r="I813" s="4"/>
      <c r="J813" s="4"/>
      <c r="K813" s="4"/>
    </row>
    <row r="814" spans="1:11" ht="13">
      <c r="A814" s="4"/>
      <c r="B814" s="4"/>
      <c r="C814" s="4"/>
      <c r="D814" s="4"/>
      <c r="E814" s="4"/>
      <c r="F814" s="4"/>
      <c r="G814" s="4"/>
      <c r="H814" s="4"/>
      <c r="I814" s="4"/>
      <c r="J814" s="4"/>
      <c r="K814" s="4"/>
    </row>
    <row r="815" spans="1:11" ht="13">
      <c r="A815" s="4"/>
      <c r="B815" s="4"/>
      <c r="C815" s="4"/>
      <c r="D815" s="4"/>
      <c r="E815" s="4"/>
      <c r="F815" s="4"/>
      <c r="G815" s="4"/>
      <c r="H815" s="4"/>
      <c r="I815" s="4"/>
      <c r="J815" s="4"/>
      <c r="K815" s="4"/>
    </row>
    <row r="816" spans="1:11" ht="13">
      <c r="A816" s="4"/>
      <c r="B816" s="4"/>
      <c r="C816" s="4"/>
      <c r="D816" s="4"/>
      <c r="E816" s="4"/>
      <c r="F816" s="4"/>
      <c r="G816" s="4"/>
      <c r="H816" s="4"/>
      <c r="I816" s="4"/>
      <c r="J816" s="4"/>
      <c r="K816" s="4"/>
    </row>
    <row r="817" spans="1:11" ht="13">
      <c r="A817" s="4"/>
      <c r="B817" s="4"/>
      <c r="C817" s="4"/>
      <c r="D817" s="4"/>
      <c r="E817" s="4"/>
      <c r="F817" s="4"/>
      <c r="G817" s="4"/>
      <c r="H817" s="4"/>
      <c r="I817" s="4"/>
      <c r="J817" s="4"/>
      <c r="K817" s="4"/>
    </row>
    <row r="818" spans="1:11" ht="13">
      <c r="A818" s="4"/>
      <c r="B818" s="4"/>
      <c r="C818" s="4"/>
      <c r="D818" s="4"/>
      <c r="E818" s="4"/>
      <c r="F818" s="4"/>
      <c r="G818" s="4"/>
      <c r="H818" s="4"/>
      <c r="I818" s="4"/>
      <c r="J818" s="4"/>
      <c r="K818" s="4"/>
    </row>
    <row r="819" spans="1:11" ht="13">
      <c r="A819" s="4"/>
      <c r="B819" s="4"/>
      <c r="C819" s="4"/>
      <c r="D819" s="4"/>
      <c r="E819" s="4"/>
      <c r="F819" s="4"/>
      <c r="G819" s="4"/>
      <c r="H819" s="4"/>
      <c r="I819" s="4"/>
      <c r="J819" s="4"/>
      <c r="K819" s="4"/>
    </row>
    <row r="820" spans="1:11" ht="13">
      <c r="A820" s="4"/>
      <c r="B820" s="4"/>
      <c r="C820" s="4"/>
      <c r="D820" s="4"/>
      <c r="E820" s="4"/>
      <c r="F820" s="4"/>
      <c r="G820" s="4"/>
      <c r="H820" s="4"/>
      <c r="I820" s="4"/>
      <c r="J820" s="4"/>
      <c r="K820" s="4"/>
    </row>
    <row r="821" spans="1:11" ht="13">
      <c r="A821" s="4"/>
      <c r="B821" s="4"/>
      <c r="C821" s="4"/>
      <c r="D821" s="4"/>
      <c r="E821" s="4"/>
      <c r="F821" s="4"/>
      <c r="G821" s="4"/>
      <c r="H821" s="4"/>
      <c r="I821" s="4"/>
      <c r="J821" s="4"/>
      <c r="K821" s="4"/>
    </row>
    <row r="822" spans="1:11" ht="13">
      <c r="A822" s="4"/>
      <c r="B822" s="4"/>
      <c r="C822" s="4"/>
      <c r="D822" s="4"/>
      <c r="E822" s="4"/>
      <c r="F822" s="4"/>
      <c r="G822" s="4"/>
      <c r="H822" s="4"/>
      <c r="I822" s="4"/>
      <c r="J822" s="4"/>
      <c r="K822" s="4"/>
    </row>
    <row r="823" spans="1:11" ht="13">
      <c r="A823" s="4"/>
      <c r="B823" s="4"/>
      <c r="C823" s="4"/>
      <c r="D823" s="4"/>
      <c r="E823" s="4"/>
      <c r="F823" s="4"/>
      <c r="G823" s="4"/>
      <c r="H823" s="4"/>
      <c r="I823" s="4"/>
      <c r="J823" s="4"/>
      <c r="K823" s="4"/>
    </row>
    <row r="824" spans="1:11" ht="13">
      <c r="A824" s="4"/>
      <c r="B824" s="4"/>
      <c r="C824" s="4"/>
      <c r="D824" s="4"/>
      <c r="E824" s="4"/>
      <c r="F824" s="4"/>
      <c r="G824" s="4"/>
      <c r="H824" s="4"/>
      <c r="I824" s="4"/>
      <c r="J824" s="4"/>
      <c r="K824" s="4"/>
    </row>
    <row r="825" spans="1:11" ht="13">
      <c r="A825" s="4"/>
      <c r="B825" s="4"/>
      <c r="C825" s="4"/>
      <c r="D825" s="4"/>
      <c r="E825" s="4"/>
      <c r="F825" s="4"/>
      <c r="G825" s="4"/>
      <c r="H825" s="4"/>
      <c r="I825" s="4"/>
      <c r="J825" s="4"/>
      <c r="K825" s="4"/>
    </row>
    <row r="826" spans="1:11" ht="13">
      <c r="A826" s="4"/>
      <c r="B826" s="4"/>
      <c r="C826" s="4"/>
      <c r="D826" s="4"/>
      <c r="E826" s="4"/>
      <c r="F826" s="4"/>
      <c r="G826" s="4"/>
      <c r="H826" s="4"/>
      <c r="I826" s="4"/>
      <c r="J826" s="4"/>
      <c r="K826" s="4"/>
    </row>
    <row r="827" spans="1:11" ht="13">
      <c r="A827" s="4"/>
      <c r="B827" s="4"/>
      <c r="C827" s="4"/>
      <c r="D827" s="4"/>
      <c r="E827" s="4"/>
      <c r="F827" s="4"/>
      <c r="G827" s="4"/>
      <c r="H827" s="4"/>
      <c r="I827" s="4"/>
      <c r="J827" s="4"/>
      <c r="K827" s="4"/>
    </row>
    <row r="828" spans="1:11" ht="13">
      <c r="A828" s="4"/>
      <c r="B828" s="4"/>
      <c r="C828" s="4"/>
      <c r="D828" s="4"/>
      <c r="E828" s="4"/>
      <c r="F828" s="4"/>
      <c r="G828" s="4"/>
      <c r="H828" s="4"/>
      <c r="I828" s="4"/>
      <c r="J828" s="4"/>
      <c r="K828" s="4"/>
    </row>
    <row r="829" spans="1:11" ht="13">
      <c r="A829" s="4"/>
      <c r="B829" s="4"/>
      <c r="C829" s="4"/>
      <c r="D829" s="4"/>
      <c r="E829" s="4"/>
      <c r="F829" s="4"/>
      <c r="G829" s="4"/>
      <c r="H829" s="4"/>
      <c r="I829" s="4"/>
      <c r="J829" s="4"/>
      <c r="K829" s="4"/>
    </row>
    <row r="830" spans="1:11" ht="13">
      <c r="A830" s="4"/>
      <c r="B830" s="4"/>
      <c r="C830" s="4"/>
      <c r="D830" s="4"/>
      <c r="E830" s="4"/>
      <c r="F830" s="4"/>
      <c r="G830" s="4"/>
      <c r="H830" s="4"/>
      <c r="I830" s="4"/>
      <c r="J830" s="4"/>
      <c r="K830" s="4"/>
    </row>
    <row r="831" spans="1:11" ht="13">
      <c r="A831" s="4"/>
      <c r="B831" s="4"/>
      <c r="C831" s="4"/>
      <c r="D831" s="4"/>
      <c r="E831" s="4"/>
      <c r="F831" s="4"/>
      <c r="G831" s="4"/>
      <c r="H831" s="4"/>
      <c r="I831" s="4"/>
      <c r="J831" s="4"/>
      <c r="K831" s="4"/>
    </row>
    <row r="832" spans="1:11" ht="13">
      <c r="A832" s="4"/>
      <c r="B832" s="4"/>
      <c r="C832" s="4"/>
      <c r="D832" s="4"/>
      <c r="E832" s="4"/>
      <c r="F832" s="4"/>
      <c r="G832" s="4"/>
      <c r="H832" s="4"/>
      <c r="I832" s="4"/>
      <c r="J832" s="4"/>
      <c r="K832" s="4"/>
    </row>
    <row r="833" spans="1:11" ht="13">
      <c r="A833" s="4"/>
      <c r="B833" s="4"/>
      <c r="C833" s="4"/>
      <c r="D833" s="4"/>
      <c r="E833" s="4"/>
      <c r="F833" s="4"/>
      <c r="G833" s="4"/>
      <c r="H833" s="4"/>
      <c r="I833" s="4"/>
      <c r="J833" s="4"/>
      <c r="K833" s="4"/>
    </row>
    <row r="834" spans="1:11" ht="13">
      <c r="A834" s="4"/>
      <c r="B834" s="4"/>
      <c r="C834" s="4"/>
      <c r="D834" s="4"/>
      <c r="E834" s="4"/>
      <c r="F834" s="4"/>
      <c r="G834" s="4"/>
      <c r="H834" s="4"/>
      <c r="I834" s="4"/>
      <c r="J834" s="4"/>
      <c r="K834" s="4"/>
    </row>
    <row r="835" spans="1:11" ht="13">
      <c r="A835" s="4"/>
      <c r="B835" s="4"/>
      <c r="C835" s="4"/>
      <c r="D835" s="4"/>
      <c r="E835" s="4"/>
      <c r="F835" s="4"/>
      <c r="G835" s="4"/>
      <c r="H835" s="4"/>
      <c r="I835" s="4"/>
      <c r="J835" s="4"/>
      <c r="K835" s="4"/>
    </row>
    <row r="836" spans="1:11" ht="13">
      <c r="A836" s="4"/>
      <c r="B836" s="4"/>
      <c r="C836" s="4"/>
      <c r="D836" s="4"/>
      <c r="E836" s="4"/>
      <c r="F836" s="4"/>
      <c r="G836" s="4"/>
      <c r="H836" s="4"/>
      <c r="I836" s="4"/>
      <c r="J836" s="4"/>
      <c r="K836" s="4"/>
    </row>
    <row r="837" spans="1:11" ht="13">
      <c r="A837" s="4"/>
      <c r="B837" s="4"/>
      <c r="C837" s="4"/>
      <c r="D837" s="4"/>
      <c r="E837" s="4"/>
      <c r="F837" s="4"/>
      <c r="G837" s="4"/>
      <c r="H837" s="4"/>
      <c r="I837" s="4"/>
      <c r="J837" s="4"/>
      <c r="K837" s="4"/>
    </row>
    <row r="838" spans="1:11" ht="13">
      <c r="A838" s="4"/>
      <c r="B838" s="4"/>
      <c r="C838" s="4"/>
      <c r="D838" s="4"/>
      <c r="E838" s="4"/>
      <c r="F838" s="4"/>
      <c r="G838" s="4"/>
      <c r="H838" s="4"/>
      <c r="I838" s="4"/>
      <c r="J838" s="4"/>
      <c r="K838" s="4"/>
    </row>
    <row r="839" spans="1:11" ht="13">
      <c r="A839" s="4"/>
      <c r="B839" s="4"/>
      <c r="C839" s="4"/>
      <c r="D839" s="4"/>
      <c r="E839" s="4"/>
      <c r="F839" s="4"/>
      <c r="G839" s="4"/>
      <c r="H839" s="4"/>
      <c r="I839" s="4"/>
      <c r="J839" s="4"/>
      <c r="K839" s="4"/>
    </row>
    <row r="840" spans="1:11" ht="13">
      <c r="A840" s="4"/>
      <c r="B840" s="4"/>
      <c r="C840" s="4"/>
      <c r="D840" s="4"/>
      <c r="E840" s="4"/>
      <c r="F840" s="4"/>
      <c r="G840" s="4"/>
      <c r="H840" s="4"/>
      <c r="I840" s="4"/>
      <c r="J840" s="4"/>
      <c r="K840" s="4"/>
    </row>
    <row r="841" spans="1:11" ht="13">
      <c r="A841" s="4"/>
      <c r="B841" s="4"/>
      <c r="C841" s="4"/>
      <c r="D841" s="4"/>
      <c r="E841" s="4"/>
      <c r="F841" s="4"/>
      <c r="G841" s="4"/>
      <c r="H841" s="4"/>
      <c r="I841" s="4"/>
      <c r="J841" s="4"/>
      <c r="K841" s="4"/>
    </row>
    <row r="842" spans="1:11" ht="13">
      <c r="A842" s="4"/>
      <c r="B842" s="4"/>
      <c r="C842" s="4"/>
      <c r="D842" s="4"/>
      <c r="E842" s="4"/>
      <c r="F842" s="4"/>
      <c r="G842" s="4"/>
      <c r="H842" s="4"/>
      <c r="I842" s="4"/>
      <c r="J842" s="4"/>
      <c r="K842" s="4"/>
    </row>
    <row r="843" spans="1:11" ht="13">
      <c r="A843" s="4"/>
      <c r="B843" s="4"/>
      <c r="C843" s="4"/>
      <c r="D843" s="4"/>
      <c r="E843" s="4"/>
      <c r="F843" s="4"/>
      <c r="G843" s="4"/>
      <c r="H843" s="4"/>
      <c r="I843" s="4"/>
      <c r="J843" s="4"/>
      <c r="K843" s="4"/>
    </row>
    <row r="844" spans="1:11" ht="13">
      <c r="A844" s="4"/>
      <c r="B844" s="4"/>
      <c r="C844" s="4"/>
      <c r="D844" s="4"/>
      <c r="E844" s="4"/>
      <c r="F844" s="4"/>
      <c r="G844" s="4"/>
      <c r="H844" s="4"/>
      <c r="I844" s="4"/>
      <c r="J844" s="4"/>
      <c r="K844" s="4"/>
    </row>
    <row r="845" spans="1:11" ht="13">
      <c r="A845" s="4"/>
      <c r="B845" s="4"/>
      <c r="C845" s="4"/>
      <c r="D845" s="4"/>
      <c r="E845" s="4"/>
      <c r="F845" s="4"/>
      <c r="G845" s="4"/>
      <c r="H845" s="4"/>
      <c r="I845" s="4"/>
      <c r="J845" s="4"/>
      <c r="K845" s="4"/>
    </row>
    <row r="846" spans="1:11" ht="13">
      <c r="A846" s="4"/>
      <c r="B846" s="4"/>
      <c r="C846" s="4"/>
      <c r="D846" s="4"/>
      <c r="E846" s="4"/>
      <c r="F846" s="4"/>
      <c r="G846" s="4"/>
      <c r="H846" s="4"/>
      <c r="I846" s="4"/>
      <c r="J846" s="4"/>
      <c r="K846" s="4"/>
    </row>
    <row r="847" spans="1:11" ht="13">
      <c r="A847" s="4"/>
      <c r="B847" s="4"/>
      <c r="C847" s="4"/>
      <c r="D847" s="4"/>
      <c r="E847" s="4"/>
      <c r="F847" s="4"/>
      <c r="G847" s="4"/>
      <c r="H847" s="4"/>
      <c r="I847" s="4"/>
      <c r="J847" s="4"/>
      <c r="K847" s="4"/>
    </row>
    <row r="848" spans="1:11" ht="13">
      <c r="A848" s="4"/>
      <c r="B848" s="4"/>
      <c r="C848" s="4"/>
      <c r="D848" s="4"/>
      <c r="E848" s="4"/>
      <c r="F848" s="4"/>
      <c r="G848" s="4"/>
      <c r="H848" s="4"/>
      <c r="I848" s="4"/>
      <c r="J848" s="4"/>
      <c r="K848" s="4"/>
    </row>
    <row r="849" spans="1:11" ht="13">
      <c r="A849" s="4"/>
      <c r="B849" s="4"/>
      <c r="C849" s="4"/>
      <c r="D849" s="4"/>
      <c r="E849" s="4"/>
      <c r="F849" s="4"/>
      <c r="G849" s="4"/>
      <c r="H849" s="4"/>
      <c r="I849" s="4"/>
      <c r="J849" s="4"/>
      <c r="K849" s="4"/>
    </row>
    <row r="850" spans="1:11" ht="13">
      <c r="A850" s="4"/>
      <c r="B850" s="4"/>
      <c r="C850" s="4"/>
      <c r="D850" s="4"/>
      <c r="E850" s="4"/>
      <c r="F850" s="4"/>
      <c r="G850" s="4"/>
      <c r="H850" s="4"/>
      <c r="I850" s="4"/>
      <c r="J850" s="4"/>
      <c r="K850" s="4"/>
    </row>
    <row r="851" spans="1:11" ht="13">
      <c r="A851" s="4"/>
      <c r="B851" s="4"/>
      <c r="C851" s="4"/>
      <c r="D851" s="4"/>
      <c r="E851" s="4"/>
      <c r="F851" s="4"/>
      <c r="G851" s="4"/>
      <c r="H851" s="4"/>
      <c r="I851" s="4"/>
      <c r="J851" s="4"/>
      <c r="K851" s="4"/>
    </row>
    <row r="852" spans="1:11" ht="13">
      <c r="A852" s="4"/>
      <c r="B852" s="4"/>
      <c r="C852" s="4"/>
      <c r="D852" s="4"/>
      <c r="E852" s="4"/>
      <c r="F852" s="4"/>
      <c r="G852" s="4"/>
      <c r="H852" s="4"/>
      <c r="I852" s="4"/>
      <c r="J852" s="4"/>
      <c r="K852" s="4"/>
    </row>
    <row r="853" spans="1:11" ht="13">
      <c r="A853" s="4"/>
      <c r="B853" s="4"/>
      <c r="C853" s="4"/>
      <c r="D853" s="4"/>
      <c r="E853" s="4"/>
      <c r="F853" s="4"/>
      <c r="G853" s="4"/>
      <c r="H853" s="4"/>
      <c r="I853" s="4"/>
      <c r="J853" s="4"/>
      <c r="K853" s="4"/>
    </row>
    <row r="854" spans="1:11" ht="13">
      <c r="A854" s="4"/>
      <c r="B854" s="4"/>
      <c r="C854" s="4"/>
      <c r="D854" s="4"/>
      <c r="E854" s="4"/>
      <c r="F854" s="4"/>
      <c r="G854" s="4"/>
      <c r="H854" s="4"/>
      <c r="I854" s="4"/>
      <c r="J854" s="4"/>
      <c r="K854" s="4"/>
    </row>
    <row r="855" spans="1:11" ht="13">
      <c r="A855" s="4"/>
      <c r="B855" s="4"/>
      <c r="C855" s="4"/>
      <c r="D855" s="4"/>
      <c r="E855" s="4"/>
      <c r="F855" s="4"/>
      <c r="G855" s="4"/>
      <c r="H855" s="4"/>
      <c r="I855" s="4"/>
      <c r="J855" s="4"/>
      <c r="K855" s="4"/>
    </row>
    <row r="856" spans="1:11" ht="13">
      <c r="A856" s="4"/>
      <c r="B856" s="4"/>
      <c r="C856" s="4"/>
      <c r="D856" s="4"/>
      <c r="E856" s="4"/>
      <c r="F856" s="4"/>
      <c r="G856" s="4"/>
      <c r="H856" s="4"/>
      <c r="I856" s="4"/>
      <c r="J856" s="4"/>
      <c r="K856" s="4"/>
    </row>
    <row r="857" spans="1:11" ht="13">
      <c r="A857" s="4"/>
      <c r="B857" s="4"/>
      <c r="C857" s="4"/>
      <c r="D857" s="4"/>
      <c r="E857" s="4"/>
      <c r="F857" s="4"/>
      <c r="G857" s="4"/>
      <c r="H857" s="4"/>
      <c r="I857" s="4"/>
      <c r="J857" s="4"/>
      <c r="K857" s="4"/>
    </row>
    <row r="858" spans="1:11" ht="13">
      <c r="A858" s="4"/>
      <c r="B858" s="4"/>
      <c r="C858" s="4"/>
      <c r="D858" s="4"/>
      <c r="E858" s="4"/>
      <c r="F858" s="4"/>
      <c r="G858" s="4"/>
      <c r="H858" s="4"/>
      <c r="I858" s="4"/>
      <c r="J858" s="4"/>
      <c r="K858" s="4"/>
    </row>
    <row r="859" spans="1:11" ht="13">
      <c r="A859" s="4"/>
      <c r="B859" s="4"/>
      <c r="C859" s="4"/>
      <c r="D859" s="4"/>
      <c r="E859" s="4"/>
      <c r="F859" s="4"/>
      <c r="G859" s="4"/>
      <c r="H859" s="4"/>
      <c r="I859" s="4"/>
      <c r="J859" s="4"/>
      <c r="K859" s="4"/>
    </row>
    <row r="860" spans="1:11" ht="13">
      <c r="A860" s="4"/>
      <c r="B860" s="4"/>
      <c r="C860" s="4"/>
      <c r="D860" s="4"/>
      <c r="E860" s="4"/>
      <c r="F860" s="4"/>
      <c r="G860" s="4"/>
      <c r="H860" s="4"/>
      <c r="I860" s="4"/>
      <c r="J860" s="4"/>
      <c r="K860" s="4"/>
    </row>
    <row r="861" spans="1:11" ht="13">
      <c r="A861" s="4"/>
      <c r="B861" s="4"/>
      <c r="C861" s="4"/>
      <c r="D861" s="4"/>
      <c r="E861" s="4"/>
      <c r="F861" s="4"/>
      <c r="G861" s="4"/>
      <c r="H861" s="4"/>
      <c r="I861" s="4"/>
      <c r="J861" s="4"/>
      <c r="K861" s="4"/>
    </row>
    <row r="862" spans="1:11" ht="13">
      <c r="A862" s="4"/>
      <c r="B862" s="4"/>
      <c r="C862" s="4"/>
      <c r="D862" s="4"/>
      <c r="E862" s="4"/>
      <c r="F862" s="4"/>
      <c r="G862" s="4"/>
      <c r="H862" s="4"/>
      <c r="I862" s="4"/>
      <c r="J862" s="4"/>
      <c r="K862" s="4"/>
    </row>
    <row r="863" spans="1:11" ht="13">
      <c r="A863" s="4"/>
      <c r="B863" s="4"/>
      <c r="C863" s="4"/>
      <c r="D863" s="4"/>
      <c r="E863" s="4"/>
      <c r="F863" s="4"/>
      <c r="G863" s="4"/>
      <c r="H863" s="4"/>
      <c r="I863" s="4"/>
      <c r="J863" s="4"/>
      <c r="K863" s="4"/>
    </row>
    <row r="864" spans="1:11" ht="13">
      <c r="A864" s="4"/>
      <c r="B864" s="4"/>
      <c r="C864" s="4"/>
      <c r="D864" s="4"/>
      <c r="E864" s="4"/>
      <c r="F864" s="4"/>
      <c r="G864" s="4"/>
      <c r="H864" s="4"/>
      <c r="I864" s="4"/>
      <c r="J864" s="4"/>
      <c r="K864" s="4"/>
    </row>
    <row r="865" spans="1:11" ht="13">
      <c r="A865" s="4"/>
      <c r="B865" s="4"/>
      <c r="C865" s="4"/>
      <c r="D865" s="4"/>
      <c r="E865" s="4"/>
      <c r="F865" s="4"/>
      <c r="G865" s="4"/>
      <c r="H865" s="4"/>
      <c r="I865" s="4"/>
      <c r="J865" s="4"/>
      <c r="K865" s="4"/>
    </row>
    <row r="866" spans="1:11" ht="13">
      <c r="A866" s="4"/>
      <c r="B866" s="4"/>
      <c r="C866" s="4"/>
      <c r="D866" s="4"/>
      <c r="E866" s="4"/>
      <c r="F866" s="4"/>
      <c r="G866" s="4"/>
      <c r="H866" s="4"/>
      <c r="I866" s="4"/>
      <c r="J866" s="4"/>
      <c r="K866" s="4"/>
    </row>
    <row r="867" spans="1:11" ht="13">
      <c r="A867" s="4"/>
      <c r="B867" s="4"/>
      <c r="C867" s="4"/>
      <c r="D867" s="4"/>
      <c r="E867" s="4"/>
      <c r="F867" s="4"/>
      <c r="G867" s="4"/>
      <c r="H867" s="4"/>
      <c r="I867" s="4"/>
      <c r="J867" s="4"/>
      <c r="K867" s="4"/>
    </row>
    <row r="868" spans="1:11" ht="13">
      <c r="A868" s="4"/>
      <c r="B868" s="4"/>
      <c r="C868" s="4"/>
      <c r="D868" s="4"/>
      <c r="E868" s="4"/>
      <c r="F868" s="4"/>
      <c r="G868" s="4"/>
      <c r="H868" s="4"/>
      <c r="I868" s="4"/>
      <c r="J868" s="4"/>
      <c r="K868" s="4"/>
    </row>
    <row r="869" spans="1:11" ht="13">
      <c r="A869" s="4"/>
      <c r="B869" s="4"/>
      <c r="C869" s="4"/>
      <c r="D869" s="4"/>
      <c r="E869" s="4"/>
      <c r="F869" s="4"/>
      <c r="G869" s="4"/>
      <c r="H869" s="4"/>
      <c r="I869" s="4"/>
      <c r="J869" s="4"/>
      <c r="K869" s="4"/>
    </row>
    <row r="870" spans="1:11" ht="13">
      <c r="A870" s="4"/>
      <c r="B870" s="4"/>
      <c r="C870" s="4"/>
      <c r="D870" s="4"/>
      <c r="E870" s="4"/>
      <c r="F870" s="4"/>
      <c r="G870" s="4"/>
      <c r="H870" s="4"/>
      <c r="I870" s="4"/>
      <c r="J870" s="4"/>
      <c r="K870" s="4"/>
    </row>
    <row r="871" spans="1:11" ht="13">
      <c r="A871" s="4"/>
      <c r="B871" s="4"/>
      <c r="C871" s="4"/>
      <c r="D871" s="4"/>
      <c r="E871" s="4"/>
      <c r="F871" s="4"/>
      <c r="G871" s="4"/>
      <c r="H871" s="4"/>
      <c r="I871" s="4"/>
      <c r="J871" s="4"/>
      <c r="K871" s="4"/>
    </row>
    <row r="872" spans="1:11" ht="13">
      <c r="A872" s="4"/>
      <c r="B872" s="4"/>
      <c r="C872" s="4"/>
      <c r="D872" s="4"/>
      <c r="E872" s="4"/>
      <c r="F872" s="4"/>
      <c r="G872" s="4"/>
      <c r="H872" s="4"/>
      <c r="I872" s="4"/>
      <c r="J872" s="4"/>
      <c r="K872" s="4"/>
    </row>
    <row r="873" spans="1:11" ht="13">
      <c r="A873" s="4"/>
      <c r="B873" s="4"/>
      <c r="C873" s="4"/>
      <c r="D873" s="4"/>
      <c r="E873" s="4"/>
      <c r="F873" s="4"/>
      <c r="G873" s="4"/>
      <c r="H873" s="4"/>
      <c r="I873" s="4"/>
      <c r="J873" s="4"/>
      <c r="K873" s="4"/>
    </row>
    <row r="874" spans="1:11" ht="13">
      <c r="A874" s="4"/>
      <c r="B874" s="4"/>
      <c r="C874" s="4"/>
      <c r="D874" s="4"/>
      <c r="E874" s="4"/>
      <c r="F874" s="4"/>
      <c r="G874" s="4"/>
      <c r="H874" s="4"/>
      <c r="I874" s="4"/>
      <c r="J874" s="4"/>
      <c r="K874" s="4"/>
    </row>
    <row r="875" spans="1:11" ht="13">
      <c r="A875" s="4"/>
      <c r="B875" s="4"/>
      <c r="C875" s="4"/>
      <c r="D875" s="4"/>
      <c r="E875" s="4"/>
      <c r="F875" s="4"/>
      <c r="G875" s="4"/>
      <c r="H875" s="4"/>
      <c r="I875" s="4"/>
      <c r="J875" s="4"/>
      <c r="K875" s="4"/>
    </row>
    <row r="876" spans="1:11" ht="13">
      <c r="A876" s="4"/>
      <c r="B876" s="4"/>
      <c r="C876" s="4"/>
      <c r="D876" s="4"/>
      <c r="E876" s="4"/>
      <c r="F876" s="4"/>
      <c r="G876" s="4"/>
      <c r="H876" s="4"/>
      <c r="I876" s="4"/>
      <c r="J876" s="4"/>
      <c r="K876" s="4"/>
    </row>
    <row r="877" spans="1:11" ht="13">
      <c r="A877" s="4"/>
      <c r="B877" s="4"/>
      <c r="C877" s="4"/>
      <c r="D877" s="4"/>
      <c r="E877" s="4"/>
      <c r="F877" s="4"/>
      <c r="G877" s="4"/>
      <c r="H877" s="4"/>
      <c r="I877" s="4"/>
      <c r="J877" s="4"/>
      <c r="K877" s="4"/>
    </row>
    <row r="878" spans="1:11" ht="13">
      <c r="A878" s="4"/>
      <c r="B878" s="4"/>
      <c r="C878" s="4"/>
      <c r="D878" s="4"/>
      <c r="E878" s="4"/>
      <c r="F878" s="4"/>
      <c r="G878" s="4"/>
      <c r="H878" s="4"/>
      <c r="I878" s="4"/>
      <c r="J878" s="4"/>
      <c r="K878" s="4"/>
    </row>
    <row r="879" spans="1:11" ht="13">
      <c r="A879" s="4"/>
      <c r="B879" s="4"/>
      <c r="C879" s="4"/>
      <c r="D879" s="4"/>
      <c r="E879" s="4"/>
      <c r="F879" s="4"/>
      <c r="G879" s="4"/>
      <c r="H879" s="4"/>
      <c r="I879" s="4"/>
      <c r="J879" s="4"/>
      <c r="K879" s="4"/>
    </row>
    <row r="880" spans="1:11" ht="13">
      <c r="A880" s="4"/>
      <c r="B880" s="4"/>
      <c r="C880" s="4"/>
      <c r="D880" s="4"/>
      <c r="E880" s="4"/>
      <c r="F880" s="4"/>
      <c r="G880" s="4"/>
      <c r="H880" s="4"/>
      <c r="I880" s="4"/>
      <c r="J880" s="4"/>
      <c r="K880" s="4"/>
    </row>
    <row r="881" spans="1:11" ht="13">
      <c r="A881" s="4"/>
      <c r="B881" s="4"/>
      <c r="C881" s="4"/>
      <c r="D881" s="4"/>
      <c r="E881" s="4"/>
      <c r="F881" s="4"/>
      <c r="G881" s="4"/>
      <c r="H881" s="4"/>
      <c r="I881" s="4"/>
      <c r="J881" s="4"/>
      <c r="K881" s="4"/>
    </row>
    <row r="882" spans="1:11" ht="13">
      <c r="A882" s="4"/>
      <c r="B882" s="4"/>
      <c r="C882" s="4"/>
      <c r="D882" s="4"/>
      <c r="E882" s="4"/>
      <c r="F882" s="4"/>
      <c r="G882" s="4"/>
      <c r="H882" s="4"/>
      <c r="I882" s="4"/>
      <c r="J882" s="4"/>
      <c r="K882" s="4"/>
    </row>
    <row r="883" spans="1:11" ht="13">
      <c r="A883" s="4"/>
      <c r="B883" s="4"/>
      <c r="C883" s="4"/>
      <c r="D883" s="4"/>
      <c r="E883" s="4"/>
      <c r="F883" s="4"/>
      <c r="G883" s="4"/>
      <c r="H883" s="4"/>
      <c r="I883" s="4"/>
      <c r="J883" s="4"/>
      <c r="K883" s="4"/>
    </row>
    <row r="884" spans="1:11" ht="13">
      <c r="A884" s="4"/>
      <c r="B884" s="4"/>
      <c r="C884" s="4"/>
      <c r="D884" s="4"/>
      <c r="E884" s="4"/>
      <c r="F884" s="4"/>
      <c r="G884" s="4"/>
      <c r="H884" s="4"/>
      <c r="I884" s="4"/>
      <c r="J884" s="4"/>
      <c r="K884" s="4"/>
    </row>
    <row r="885" spans="1:11" ht="13">
      <c r="A885" s="4"/>
      <c r="B885" s="4"/>
      <c r="C885" s="4"/>
      <c r="D885" s="4"/>
      <c r="E885" s="4"/>
      <c r="F885" s="4"/>
      <c r="G885" s="4"/>
      <c r="H885" s="4"/>
      <c r="I885" s="4"/>
      <c r="J885" s="4"/>
      <c r="K885" s="4"/>
    </row>
    <row r="886" spans="1:11" ht="13">
      <c r="A886" s="4"/>
      <c r="B886" s="4"/>
      <c r="C886" s="4"/>
      <c r="D886" s="4"/>
      <c r="E886" s="4"/>
      <c r="F886" s="4"/>
      <c r="G886" s="4"/>
      <c r="H886" s="4"/>
      <c r="I886" s="4"/>
      <c r="J886" s="4"/>
      <c r="K886" s="4"/>
    </row>
    <row r="887" spans="1:11" ht="13">
      <c r="A887" s="4"/>
      <c r="B887" s="4"/>
      <c r="C887" s="4"/>
      <c r="D887" s="4"/>
      <c r="E887" s="4"/>
      <c r="F887" s="4"/>
      <c r="G887" s="4"/>
      <c r="H887" s="4"/>
      <c r="I887" s="4"/>
      <c r="J887" s="4"/>
      <c r="K887" s="4"/>
    </row>
    <row r="888" spans="1:11" ht="13">
      <c r="A888" s="4"/>
      <c r="B888" s="4"/>
      <c r="C888" s="4"/>
      <c r="D888" s="4"/>
      <c r="E888" s="4"/>
      <c r="F888" s="4"/>
      <c r="G888" s="4"/>
      <c r="H888" s="4"/>
      <c r="I888" s="4"/>
      <c r="J888" s="4"/>
      <c r="K888" s="4"/>
    </row>
    <row r="889" spans="1:11" ht="13">
      <c r="A889" s="4"/>
      <c r="B889" s="4"/>
      <c r="C889" s="4"/>
      <c r="D889" s="4"/>
      <c r="E889" s="4"/>
      <c r="F889" s="4"/>
      <c r="G889" s="4"/>
      <c r="H889" s="4"/>
      <c r="I889" s="4"/>
      <c r="J889" s="4"/>
      <c r="K889" s="4"/>
    </row>
    <row r="890" spans="1:11" ht="13">
      <c r="A890" s="4"/>
      <c r="B890" s="4"/>
      <c r="C890" s="4"/>
      <c r="D890" s="4"/>
      <c r="E890" s="4"/>
      <c r="F890" s="4"/>
      <c r="G890" s="4"/>
      <c r="H890" s="4"/>
      <c r="I890" s="4"/>
      <c r="J890" s="4"/>
      <c r="K890" s="4"/>
    </row>
    <row r="891" spans="1:11" ht="13">
      <c r="A891" s="4"/>
      <c r="B891" s="4"/>
      <c r="C891" s="4"/>
      <c r="D891" s="4"/>
      <c r="E891" s="4"/>
      <c r="F891" s="4"/>
      <c r="G891" s="4"/>
      <c r="H891" s="4"/>
      <c r="I891" s="4"/>
      <c r="J891" s="4"/>
      <c r="K891" s="4"/>
    </row>
    <row r="892" spans="1:11" ht="13">
      <c r="A892" s="4"/>
      <c r="B892" s="4"/>
      <c r="C892" s="4"/>
      <c r="D892" s="4"/>
      <c r="E892" s="4"/>
      <c r="F892" s="4"/>
      <c r="G892" s="4"/>
      <c r="H892" s="4"/>
      <c r="I892" s="4"/>
      <c r="J892" s="4"/>
      <c r="K892" s="4"/>
    </row>
    <row r="893" spans="1:11" ht="13">
      <c r="A893" s="4"/>
      <c r="B893" s="4"/>
      <c r="C893" s="4"/>
      <c r="D893" s="4"/>
      <c r="E893" s="4"/>
      <c r="F893" s="4"/>
      <c r="G893" s="4"/>
      <c r="H893" s="4"/>
      <c r="I893" s="4"/>
      <c r="J893" s="4"/>
      <c r="K893" s="4"/>
    </row>
    <row r="894" spans="1:11" ht="13">
      <c r="A894" s="4"/>
      <c r="B894" s="4"/>
      <c r="C894" s="4"/>
      <c r="D894" s="4"/>
      <c r="E894" s="4"/>
      <c r="F894" s="4"/>
      <c r="G894" s="4"/>
      <c r="H894" s="4"/>
      <c r="I894" s="4"/>
      <c r="J894" s="4"/>
      <c r="K894" s="4"/>
    </row>
    <row r="895" spans="1:11" ht="13">
      <c r="A895" s="4"/>
      <c r="B895" s="4"/>
      <c r="C895" s="4"/>
      <c r="D895" s="4"/>
      <c r="E895" s="4"/>
      <c r="F895" s="4"/>
      <c r="G895" s="4"/>
      <c r="H895" s="4"/>
      <c r="I895" s="4"/>
      <c r="J895" s="4"/>
      <c r="K895" s="4"/>
    </row>
    <row r="896" spans="1:11" ht="13">
      <c r="A896" s="4"/>
      <c r="B896" s="4"/>
      <c r="C896" s="4"/>
      <c r="D896" s="4"/>
      <c r="E896" s="4"/>
      <c r="F896" s="4"/>
      <c r="G896" s="4"/>
      <c r="H896" s="4"/>
      <c r="I896" s="4"/>
      <c r="J896" s="4"/>
      <c r="K896" s="4"/>
    </row>
    <row r="897" spans="1:11" ht="13">
      <c r="A897" s="4"/>
      <c r="B897" s="4"/>
      <c r="C897" s="4"/>
      <c r="D897" s="4"/>
      <c r="E897" s="4"/>
      <c r="F897" s="4"/>
      <c r="G897" s="4"/>
      <c r="H897" s="4"/>
      <c r="I897" s="4"/>
      <c r="J897" s="4"/>
      <c r="K897" s="4"/>
    </row>
    <row r="898" spans="1:11" ht="13">
      <c r="A898" s="4"/>
      <c r="B898" s="4"/>
      <c r="C898" s="4"/>
      <c r="D898" s="4"/>
      <c r="E898" s="4"/>
      <c r="F898" s="4"/>
      <c r="G898" s="4"/>
      <c r="H898" s="4"/>
      <c r="I898" s="4"/>
      <c r="J898" s="4"/>
      <c r="K898" s="4"/>
    </row>
    <row r="899" spans="1:11" ht="13">
      <c r="A899" s="4"/>
      <c r="B899" s="4"/>
      <c r="C899" s="4"/>
      <c r="D899" s="4"/>
      <c r="E899" s="4"/>
      <c r="F899" s="4"/>
      <c r="G899" s="4"/>
      <c r="H899" s="4"/>
      <c r="I899" s="4"/>
      <c r="J899" s="4"/>
      <c r="K899" s="4"/>
    </row>
    <row r="900" spans="1:11" ht="13">
      <c r="A900" s="4"/>
      <c r="B900" s="4"/>
      <c r="C900" s="4"/>
      <c r="D900" s="4"/>
      <c r="E900" s="4"/>
      <c r="F900" s="4"/>
      <c r="G900" s="4"/>
      <c r="H900" s="4"/>
      <c r="I900" s="4"/>
      <c r="J900" s="4"/>
      <c r="K900" s="4"/>
    </row>
    <row r="901" spans="1:11" ht="13">
      <c r="A901" s="4"/>
      <c r="B901" s="4"/>
      <c r="C901" s="4"/>
      <c r="D901" s="4"/>
      <c r="E901" s="4"/>
      <c r="F901" s="4"/>
      <c r="G901" s="4"/>
      <c r="H901" s="4"/>
      <c r="I901" s="4"/>
      <c r="J901" s="4"/>
      <c r="K901" s="4"/>
    </row>
    <row r="902" spans="1:11" ht="13">
      <c r="A902" s="4"/>
      <c r="B902" s="4"/>
      <c r="C902" s="4"/>
      <c r="D902" s="4"/>
      <c r="E902" s="4"/>
      <c r="F902" s="4"/>
      <c r="G902" s="4"/>
      <c r="H902" s="4"/>
      <c r="I902" s="4"/>
      <c r="J902" s="4"/>
      <c r="K902" s="4"/>
    </row>
    <row r="903" spans="1:11" ht="13">
      <c r="A903" s="4"/>
      <c r="B903" s="4"/>
      <c r="C903" s="4"/>
      <c r="D903" s="4"/>
      <c r="E903" s="4"/>
      <c r="F903" s="4"/>
      <c r="G903" s="4"/>
      <c r="H903" s="4"/>
      <c r="I903" s="4"/>
      <c r="J903" s="4"/>
      <c r="K903" s="4"/>
    </row>
    <row r="904" spans="1:11" ht="13">
      <c r="A904" s="4"/>
      <c r="B904" s="4"/>
      <c r="C904" s="4"/>
      <c r="D904" s="4"/>
      <c r="E904" s="4"/>
      <c r="F904" s="4"/>
      <c r="G904" s="4"/>
      <c r="H904" s="4"/>
      <c r="I904" s="4"/>
      <c r="J904" s="4"/>
      <c r="K904" s="4"/>
    </row>
    <row r="905" spans="1:11" ht="13">
      <c r="A905" s="4"/>
      <c r="B905" s="4"/>
      <c r="C905" s="4"/>
      <c r="D905" s="4"/>
      <c r="E905" s="4"/>
      <c r="F905" s="4"/>
      <c r="G905" s="4"/>
      <c r="H905" s="4"/>
      <c r="I905" s="4"/>
      <c r="J905" s="4"/>
      <c r="K905" s="4"/>
    </row>
    <row r="906" spans="1:11" ht="13">
      <c r="A906" s="4"/>
      <c r="B906" s="4"/>
      <c r="C906" s="4"/>
      <c r="D906" s="4"/>
      <c r="E906" s="4"/>
      <c r="F906" s="4"/>
      <c r="G906" s="4"/>
      <c r="H906" s="4"/>
      <c r="I906" s="4"/>
      <c r="J906" s="4"/>
      <c r="K906" s="4"/>
    </row>
    <row r="907" spans="1:11" ht="13">
      <c r="A907" s="4"/>
      <c r="B907" s="4"/>
      <c r="C907" s="4"/>
      <c r="D907" s="4"/>
      <c r="E907" s="4"/>
      <c r="F907" s="4"/>
      <c r="G907" s="4"/>
      <c r="H907" s="4"/>
      <c r="I907" s="4"/>
      <c r="J907" s="4"/>
      <c r="K907" s="4"/>
    </row>
    <row r="908" spans="1:11" ht="13">
      <c r="A908" s="4"/>
      <c r="B908" s="4"/>
      <c r="C908" s="4"/>
      <c r="D908" s="4"/>
      <c r="E908" s="4"/>
      <c r="F908" s="4"/>
      <c r="G908" s="4"/>
      <c r="H908" s="4"/>
      <c r="I908" s="4"/>
      <c r="J908" s="4"/>
      <c r="K908" s="4"/>
    </row>
    <row r="909" spans="1:11" ht="13">
      <c r="A909" s="4"/>
      <c r="B909" s="4"/>
      <c r="C909" s="4"/>
      <c r="D909" s="4"/>
      <c r="E909" s="4"/>
      <c r="F909" s="4"/>
      <c r="G909" s="4"/>
      <c r="H909" s="4"/>
      <c r="I909" s="4"/>
      <c r="J909" s="4"/>
      <c r="K909" s="4"/>
    </row>
    <row r="910" spans="1:11" ht="13">
      <c r="A910" s="4"/>
      <c r="B910" s="4"/>
      <c r="C910" s="4"/>
      <c r="D910" s="4"/>
      <c r="E910" s="4"/>
      <c r="F910" s="4"/>
      <c r="G910" s="4"/>
      <c r="H910" s="4"/>
      <c r="I910" s="4"/>
      <c r="J910" s="4"/>
      <c r="K910" s="4"/>
    </row>
    <row r="911" spans="1:11" ht="13">
      <c r="A911" s="4"/>
      <c r="B911" s="4"/>
      <c r="C911" s="4"/>
      <c r="D911" s="4"/>
      <c r="E911" s="4"/>
      <c r="F911" s="4"/>
      <c r="G911" s="4"/>
      <c r="H911" s="4"/>
      <c r="I911" s="4"/>
      <c r="J911" s="4"/>
      <c r="K911" s="4"/>
    </row>
    <row r="912" spans="1:11" ht="13">
      <c r="A912" s="4"/>
      <c r="B912" s="4"/>
      <c r="C912" s="4"/>
      <c r="D912" s="4"/>
      <c r="E912" s="4"/>
      <c r="F912" s="4"/>
      <c r="G912" s="4"/>
      <c r="H912" s="4"/>
      <c r="I912" s="4"/>
      <c r="J912" s="4"/>
      <c r="K912" s="4"/>
    </row>
    <row r="913" spans="1:11" ht="13">
      <c r="A913" s="4"/>
      <c r="B913" s="4"/>
      <c r="C913" s="4"/>
      <c r="D913" s="4"/>
      <c r="E913" s="4"/>
      <c r="F913" s="4"/>
      <c r="G913" s="4"/>
      <c r="H913" s="4"/>
      <c r="I913" s="4"/>
      <c r="J913" s="4"/>
      <c r="K913" s="4"/>
    </row>
    <row r="914" spans="1:11" ht="13">
      <c r="A914" s="4"/>
      <c r="B914" s="4"/>
      <c r="C914" s="4"/>
      <c r="D914" s="4"/>
      <c r="E914" s="4"/>
      <c r="F914" s="4"/>
      <c r="G914" s="4"/>
      <c r="H914" s="4"/>
      <c r="I914" s="4"/>
      <c r="J914" s="4"/>
      <c r="K914" s="4"/>
    </row>
    <row r="915" spans="1:11" ht="13">
      <c r="A915" s="4"/>
      <c r="B915" s="4"/>
      <c r="C915" s="4"/>
      <c r="D915" s="4"/>
      <c r="E915" s="4"/>
      <c r="F915" s="4"/>
      <c r="G915" s="4"/>
      <c r="H915" s="4"/>
      <c r="I915" s="4"/>
      <c r="J915" s="4"/>
      <c r="K915" s="4"/>
    </row>
    <row r="916" spans="1:11" ht="13">
      <c r="A916" s="4"/>
      <c r="B916" s="4"/>
      <c r="C916" s="4"/>
      <c r="D916" s="4"/>
      <c r="E916" s="4"/>
      <c r="F916" s="4"/>
      <c r="G916" s="4"/>
      <c r="H916" s="4"/>
      <c r="I916" s="4"/>
      <c r="J916" s="4"/>
      <c r="K916" s="4"/>
    </row>
    <row r="917" spans="1:11" ht="13">
      <c r="A917" s="4"/>
      <c r="B917" s="4"/>
      <c r="C917" s="4"/>
      <c r="D917" s="4"/>
      <c r="E917" s="4"/>
      <c r="F917" s="4"/>
      <c r="G917" s="4"/>
      <c r="H917" s="4"/>
      <c r="I917" s="4"/>
      <c r="J917" s="4"/>
      <c r="K917" s="4"/>
    </row>
    <row r="918" spans="1:11" ht="13">
      <c r="A918" s="4"/>
      <c r="B918" s="4"/>
      <c r="C918" s="4"/>
      <c r="D918" s="4"/>
      <c r="E918" s="4"/>
      <c r="F918" s="4"/>
      <c r="G918" s="4"/>
      <c r="H918" s="4"/>
      <c r="I918" s="4"/>
      <c r="J918" s="4"/>
      <c r="K918" s="4"/>
    </row>
    <row r="919" spans="1:11" ht="13">
      <c r="A919" s="4"/>
      <c r="B919" s="4"/>
      <c r="C919" s="4"/>
      <c r="D919" s="4"/>
      <c r="E919" s="4"/>
      <c r="F919" s="4"/>
      <c r="G919" s="4"/>
      <c r="H919" s="4"/>
      <c r="I919" s="4"/>
      <c r="J919" s="4"/>
      <c r="K919" s="4"/>
    </row>
    <row r="920" spans="1:11" ht="13">
      <c r="A920" s="4"/>
      <c r="B920" s="4"/>
      <c r="C920" s="4"/>
      <c r="D920" s="4"/>
      <c r="E920" s="4"/>
      <c r="F920" s="4"/>
      <c r="G920" s="4"/>
      <c r="H920" s="4"/>
      <c r="I920" s="4"/>
      <c r="J920" s="4"/>
      <c r="K920" s="4"/>
    </row>
    <row r="921" spans="1:11" ht="13">
      <c r="A921" s="4"/>
      <c r="B921" s="4"/>
      <c r="C921" s="4"/>
      <c r="D921" s="4"/>
      <c r="E921" s="4"/>
      <c r="F921" s="4"/>
      <c r="G921" s="4"/>
      <c r="H921" s="4"/>
      <c r="I921" s="4"/>
      <c r="J921" s="4"/>
      <c r="K921" s="4"/>
    </row>
    <row r="922" spans="1:11" ht="13">
      <c r="A922" s="4"/>
      <c r="B922" s="4"/>
      <c r="C922" s="4"/>
      <c r="D922" s="4"/>
      <c r="E922" s="4"/>
      <c r="F922" s="4"/>
      <c r="G922" s="4"/>
      <c r="H922" s="4"/>
      <c r="I922" s="4"/>
      <c r="J922" s="4"/>
      <c r="K922" s="4"/>
    </row>
    <row r="923" spans="1:11" ht="13">
      <c r="A923" s="4"/>
      <c r="B923" s="4"/>
      <c r="C923" s="4"/>
      <c r="D923" s="4"/>
      <c r="E923" s="4"/>
      <c r="F923" s="4"/>
      <c r="G923" s="4"/>
      <c r="H923" s="4"/>
      <c r="I923" s="4"/>
      <c r="J923" s="4"/>
      <c r="K923" s="4"/>
    </row>
    <row r="924" spans="1:11" ht="13">
      <c r="A924" s="4"/>
      <c r="B924" s="4"/>
      <c r="C924" s="4"/>
      <c r="D924" s="4"/>
      <c r="E924" s="4"/>
      <c r="F924" s="4"/>
      <c r="G924" s="4"/>
      <c r="H924" s="4"/>
      <c r="I924" s="4"/>
      <c r="J924" s="4"/>
      <c r="K924" s="4"/>
    </row>
    <row r="925" spans="1:11" ht="13">
      <c r="A925" s="4"/>
      <c r="B925" s="4"/>
      <c r="C925" s="4"/>
      <c r="D925" s="4"/>
      <c r="E925" s="4"/>
      <c r="F925" s="4"/>
      <c r="G925" s="4"/>
      <c r="H925" s="4"/>
      <c r="I925" s="4"/>
      <c r="J925" s="4"/>
      <c r="K925" s="4"/>
    </row>
    <row r="926" spans="1:11" ht="13">
      <c r="A926" s="4"/>
      <c r="B926" s="4"/>
      <c r="C926" s="4"/>
      <c r="D926" s="4"/>
      <c r="E926" s="4"/>
      <c r="F926" s="4"/>
      <c r="G926" s="4"/>
      <c r="H926" s="4"/>
      <c r="I926" s="4"/>
      <c r="J926" s="4"/>
      <c r="K926" s="4"/>
    </row>
    <row r="927" spans="1:11" ht="13">
      <c r="A927" s="4"/>
      <c r="B927" s="4"/>
      <c r="C927" s="4"/>
      <c r="D927" s="4"/>
      <c r="E927" s="4"/>
      <c r="F927" s="4"/>
      <c r="G927" s="4"/>
      <c r="H927" s="4"/>
      <c r="I927" s="4"/>
      <c r="J927" s="4"/>
      <c r="K927" s="4"/>
    </row>
    <row r="928" spans="1:11" ht="13">
      <c r="A928" s="4"/>
      <c r="B928" s="4"/>
      <c r="C928" s="4"/>
      <c r="D928" s="4"/>
      <c r="E928" s="4"/>
      <c r="F928" s="4"/>
      <c r="G928" s="4"/>
      <c r="H928" s="4"/>
      <c r="I928" s="4"/>
      <c r="J928" s="4"/>
      <c r="K928" s="4"/>
    </row>
    <row r="929" spans="1:11" ht="13">
      <c r="A929" s="4"/>
      <c r="B929" s="4"/>
      <c r="C929" s="4"/>
      <c r="D929" s="4"/>
      <c r="E929" s="4"/>
      <c r="F929" s="4"/>
      <c r="G929" s="4"/>
      <c r="H929" s="4"/>
      <c r="I929" s="4"/>
      <c r="J929" s="4"/>
      <c r="K929" s="4"/>
    </row>
    <row r="930" spans="1:11" ht="13">
      <c r="A930" s="4"/>
      <c r="B930" s="4"/>
      <c r="C930" s="4"/>
      <c r="D930" s="4"/>
      <c r="E930" s="4"/>
      <c r="F930" s="4"/>
      <c r="G930" s="4"/>
      <c r="H930" s="4"/>
      <c r="I930" s="4"/>
      <c r="J930" s="4"/>
      <c r="K930" s="4"/>
    </row>
    <row r="931" spans="1:11" ht="13">
      <c r="A931" s="4"/>
      <c r="B931" s="4"/>
      <c r="C931" s="4"/>
      <c r="D931" s="4"/>
      <c r="E931" s="4"/>
      <c r="F931" s="4"/>
      <c r="G931" s="4"/>
      <c r="H931" s="4"/>
      <c r="I931" s="4"/>
      <c r="J931" s="4"/>
      <c r="K931" s="4"/>
    </row>
    <row r="932" spans="1:11" ht="13">
      <c r="A932" s="4"/>
      <c r="B932" s="4"/>
      <c r="C932" s="4"/>
      <c r="D932" s="4"/>
      <c r="E932" s="4"/>
      <c r="F932" s="4"/>
      <c r="G932" s="4"/>
      <c r="H932" s="4"/>
      <c r="I932" s="4"/>
      <c r="J932" s="4"/>
      <c r="K932" s="4"/>
    </row>
    <row r="933" spans="1:11" ht="13">
      <c r="A933" s="4"/>
      <c r="B933" s="4"/>
      <c r="C933" s="4"/>
      <c r="D933" s="4"/>
      <c r="E933" s="4"/>
      <c r="F933" s="4"/>
      <c r="G933" s="4"/>
      <c r="H933" s="4"/>
      <c r="I933" s="4"/>
      <c r="J933" s="4"/>
      <c r="K933" s="4"/>
    </row>
    <row r="934" spans="1:11" ht="13">
      <c r="A934" s="4"/>
      <c r="B934" s="4"/>
      <c r="C934" s="4"/>
      <c r="D934" s="4"/>
      <c r="E934" s="4"/>
      <c r="F934" s="4"/>
      <c r="G934" s="4"/>
      <c r="H934" s="4"/>
      <c r="I934" s="4"/>
      <c r="J934" s="4"/>
      <c r="K934" s="4"/>
    </row>
    <row r="935" spans="1:11" ht="13">
      <c r="A935" s="4"/>
      <c r="B935" s="4"/>
      <c r="C935" s="4"/>
      <c r="D935" s="4"/>
      <c r="E935" s="4"/>
      <c r="F935" s="4"/>
      <c r="G935" s="4"/>
      <c r="H935" s="4"/>
      <c r="I935" s="4"/>
      <c r="J935" s="4"/>
      <c r="K935" s="4"/>
    </row>
    <row r="936" spans="1:11" ht="13">
      <c r="A936" s="4"/>
      <c r="B936" s="4"/>
      <c r="C936" s="4"/>
      <c r="D936" s="4"/>
      <c r="E936" s="4"/>
      <c r="F936" s="4"/>
      <c r="G936" s="4"/>
      <c r="H936" s="4"/>
      <c r="I936" s="4"/>
      <c r="J936" s="4"/>
      <c r="K936" s="4"/>
    </row>
    <row r="937" spans="1:11" ht="13">
      <c r="A937" s="4"/>
      <c r="B937" s="4"/>
      <c r="C937" s="4"/>
      <c r="D937" s="4"/>
      <c r="E937" s="4"/>
      <c r="F937" s="4"/>
      <c r="G937" s="4"/>
      <c r="H937" s="4"/>
      <c r="I937" s="4"/>
      <c r="J937" s="4"/>
      <c r="K937" s="4"/>
    </row>
    <row r="938" spans="1:11" ht="13">
      <c r="A938" s="4"/>
      <c r="B938" s="4"/>
      <c r="C938" s="4"/>
      <c r="D938" s="4"/>
      <c r="E938" s="4"/>
      <c r="F938" s="4"/>
      <c r="G938" s="4"/>
      <c r="H938" s="4"/>
      <c r="I938" s="4"/>
      <c r="J938" s="4"/>
      <c r="K938" s="4"/>
    </row>
    <row r="939" spans="1:11" ht="13">
      <c r="A939" s="4"/>
      <c r="B939" s="4"/>
      <c r="C939" s="4"/>
      <c r="D939" s="4"/>
      <c r="E939" s="4"/>
      <c r="F939" s="4"/>
      <c r="G939" s="4"/>
      <c r="H939" s="4"/>
      <c r="I939" s="4"/>
      <c r="J939" s="4"/>
      <c r="K939" s="4"/>
    </row>
    <row r="940" spans="1:11" ht="13">
      <c r="A940" s="4"/>
      <c r="B940" s="4"/>
      <c r="C940" s="4"/>
      <c r="D940" s="4"/>
      <c r="E940" s="4"/>
      <c r="F940" s="4"/>
      <c r="G940" s="4"/>
      <c r="H940" s="4"/>
      <c r="I940" s="4"/>
      <c r="J940" s="4"/>
      <c r="K940" s="4"/>
    </row>
    <row r="941" spans="1:11" ht="13">
      <c r="A941" s="4"/>
      <c r="B941" s="4"/>
      <c r="C941" s="4"/>
      <c r="D941" s="4"/>
      <c r="E941" s="4"/>
      <c r="F941" s="4"/>
      <c r="G941" s="4"/>
      <c r="H941" s="4"/>
      <c r="I941" s="4"/>
      <c r="J941" s="4"/>
      <c r="K941" s="4"/>
    </row>
    <row r="942" spans="1:11" ht="13">
      <c r="A942" s="4"/>
      <c r="B942" s="4"/>
      <c r="C942" s="4"/>
      <c r="D942" s="4"/>
      <c r="E942" s="4"/>
      <c r="F942" s="4"/>
      <c r="G942" s="4"/>
      <c r="H942" s="4"/>
      <c r="I942" s="4"/>
      <c r="J942" s="4"/>
      <c r="K942" s="4"/>
    </row>
    <row r="943" spans="1:11" ht="13">
      <c r="A943" s="4"/>
      <c r="B943" s="4"/>
      <c r="C943" s="4"/>
      <c r="D943" s="4"/>
      <c r="E943" s="4"/>
      <c r="F943" s="4"/>
      <c r="G943" s="4"/>
      <c r="H943" s="4"/>
      <c r="I943" s="4"/>
      <c r="J943" s="4"/>
      <c r="K943" s="4"/>
    </row>
    <row r="944" spans="1:11" ht="13">
      <c r="A944" s="4"/>
      <c r="B944" s="4"/>
      <c r="C944" s="4"/>
      <c r="D944" s="4"/>
      <c r="E944" s="4"/>
      <c r="F944" s="4"/>
      <c r="G944" s="4"/>
      <c r="H944" s="4"/>
      <c r="I944" s="4"/>
      <c r="J944" s="4"/>
      <c r="K944" s="4"/>
    </row>
    <row r="945" spans="1:11" ht="13">
      <c r="A945" s="4"/>
      <c r="B945" s="4"/>
      <c r="C945" s="4"/>
      <c r="D945" s="4"/>
      <c r="E945" s="4"/>
      <c r="F945" s="4"/>
      <c r="G945" s="4"/>
      <c r="H945" s="4"/>
      <c r="I945" s="4"/>
      <c r="J945" s="4"/>
      <c r="K945" s="4"/>
    </row>
    <row r="946" spans="1:11" ht="13">
      <c r="A946" s="4"/>
      <c r="B946" s="4"/>
      <c r="C946" s="4"/>
      <c r="D946" s="4"/>
      <c r="E946" s="4"/>
      <c r="F946" s="4"/>
      <c r="G946" s="4"/>
      <c r="H946" s="4"/>
      <c r="I946" s="4"/>
      <c r="J946" s="4"/>
      <c r="K946" s="4"/>
    </row>
    <row r="947" spans="1:11" ht="13">
      <c r="A947" s="4"/>
      <c r="B947" s="4"/>
      <c r="C947" s="4"/>
      <c r="D947" s="4"/>
      <c r="E947" s="4"/>
      <c r="F947" s="4"/>
      <c r="G947" s="4"/>
      <c r="H947" s="4"/>
      <c r="I947" s="4"/>
      <c r="J947" s="4"/>
      <c r="K947" s="4"/>
    </row>
    <row r="948" spans="1:11" ht="13">
      <c r="A948" s="4"/>
      <c r="B948" s="4"/>
      <c r="C948" s="4"/>
      <c r="D948" s="4"/>
      <c r="E948" s="4"/>
      <c r="F948" s="4"/>
      <c r="G948" s="4"/>
      <c r="H948" s="4"/>
      <c r="I948" s="4"/>
      <c r="J948" s="4"/>
      <c r="K948" s="4"/>
    </row>
    <row r="949" spans="1:11" ht="13">
      <c r="A949" s="4"/>
      <c r="B949" s="4"/>
      <c r="C949" s="4"/>
      <c r="D949" s="4"/>
      <c r="E949" s="4"/>
      <c r="F949" s="4"/>
      <c r="G949" s="4"/>
      <c r="H949" s="4"/>
      <c r="I949" s="4"/>
      <c r="J949" s="4"/>
      <c r="K949" s="4"/>
    </row>
    <row r="950" spans="1:11" ht="13">
      <c r="A950" s="4"/>
      <c r="B950" s="4"/>
      <c r="C950" s="4"/>
      <c r="D950" s="4"/>
      <c r="E950" s="4"/>
      <c r="F950" s="4"/>
      <c r="G950" s="4"/>
      <c r="H950" s="4"/>
      <c r="I950" s="4"/>
      <c r="J950" s="4"/>
      <c r="K950" s="4"/>
    </row>
    <row r="951" spans="1:11" ht="13">
      <c r="A951" s="4"/>
      <c r="B951" s="4"/>
      <c r="C951" s="4"/>
      <c r="D951" s="4"/>
      <c r="E951" s="4"/>
      <c r="F951" s="4"/>
      <c r="G951" s="4"/>
      <c r="H951" s="4"/>
      <c r="I951" s="4"/>
      <c r="J951" s="4"/>
      <c r="K951" s="4"/>
    </row>
    <row r="952" spans="1:11" ht="13">
      <c r="A952" s="4"/>
      <c r="B952" s="4"/>
      <c r="C952" s="4"/>
      <c r="D952" s="4"/>
      <c r="E952" s="4"/>
      <c r="F952" s="4"/>
      <c r="G952" s="4"/>
      <c r="H952" s="4"/>
      <c r="I952" s="4"/>
      <c r="J952" s="4"/>
      <c r="K952" s="4"/>
    </row>
    <row r="953" spans="1:11" ht="13">
      <c r="A953" s="4"/>
      <c r="B953" s="4"/>
      <c r="C953" s="4"/>
      <c r="D953" s="4"/>
      <c r="E953" s="4"/>
      <c r="F953" s="4"/>
      <c r="G953" s="4"/>
      <c r="H953" s="4"/>
      <c r="I953" s="4"/>
      <c r="J953" s="4"/>
      <c r="K953" s="4"/>
    </row>
    <row r="954" spans="1:11" ht="13">
      <c r="A954" s="4"/>
      <c r="B954" s="4"/>
      <c r="C954" s="4"/>
      <c r="D954" s="4"/>
      <c r="E954" s="4"/>
      <c r="F954" s="4"/>
      <c r="G954" s="4"/>
      <c r="H954" s="4"/>
      <c r="I954" s="4"/>
      <c r="J954" s="4"/>
      <c r="K954" s="4"/>
    </row>
    <row r="955" spans="1:11" ht="13">
      <c r="A955" s="4"/>
      <c r="B955" s="4"/>
      <c r="C955" s="4"/>
      <c r="D955" s="4"/>
      <c r="E955" s="4"/>
      <c r="F955" s="4"/>
      <c r="G955" s="4"/>
      <c r="H955" s="4"/>
      <c r="I955" s="4"/>
      <c r="J955" s="4"/>
      <c r="K955" s="4"/>
    </row>
    <row r="956" spans="1:11" ht="13">
      <c r="A956" s="4"/>
      <c r="B956" s="4"/>
      <c r="C956" s="4"/>
      <c r="D956" s="4"/>
      <c r="E956" s="4"/>
      <c r="F956" s="4"/>
      <c r="G956" s="4"/>
      <c r="H956" s="4"/>
      <c r="I956" s="4"/>
      <c r="J956" s="4"/>
      <c r="K956" s="4"/>
    </row>
    <row r="957" spans="1:11" ht="13">
      <c r="A957" s="4"/>
      <c r="B957" s="4"/>
      <c r="C957" s="4"/>
      <c r="D957" s="4"/>
      <c r="E957" s="4"/>
      <c r="F957" s="4"/>
      <c r="G957" s="4"/>
      <c r="H957" s="4"/>
      <c r="I957" s="4"/>
      <c r="J957" s="4"/>
      <c r="K957" s="4"/>
    </row>
    <row r="958" spans="1:11" ht="13">
      <c r="A958" s="4"/>
      <c r="B958" s="4"/>
      <c r="C958" s="4"/>
      <c r="D958" s="4"/>
      <c r="E958" s="4"/>
      <c r="F958" s="4"/>
      <c r="G958" s="4"/>
      <c r="H958" s="4"/>
      <c r="I958" s="4"/>
      <c r="J958" s="4"/>
      <c r="K958" s="4"/>
    </row>
    <row r="959" spans="1:11" ht="13">
      <c r="A959" s="4"/>
      <c r="B959" s="4"/>
      <c r="C959" s="4"/>
      <c r="D959" s="4"/>
      <c r="E959" s="4"/>
      <c r="F959" s="4"/>
      <c r="G959" s="4"/>
      <c r="H959" s="4"/>
      <c r="I959" s="4"/>
      <c r="J959" s="4"/>
      <c r="K959" s="4"/>
    </row>
    <row r="960" spans="1:11" ht="13">
      <c r="A960" s="4"/>
      <c r="B960" s="4"/>
      <c r="C960" s="4"/>
      <c r="D960" s="4"/>
      <c r="E960" s="4"/>
      <c r="F960" s="4"/>
      <c r="G960" s="4"/>
      <c r="H960" s="4"/>
      <c r="I960" s="4"/>
      <c r="J960" s="4"/>
      <c r="K960" s="4"/>
    </row>
    <row r="961" spans="1:11" ht="13">
      <c r="A961" s="4"/>
      <c r="B961" s="4"/>
      <c r="C961" s="4"/>
      <c r="D961" s="4"/>
      <c r="E961" s="4"/>
      <c r="F961" s="4"/>
      <c r="G961" s="4"/>
      <c r="H961" s="4"/>
      <c r="I961" s="4"/>
      <c r="J961" s="4"/>
      <c r="K961" s="4"/>
    </row>
    <row r="962" spans="1:11" ht="13">
      <c r="A962" s="4"/>
      <c r="B962" s="4"/>
      <c r="C962" s="4"/>
      <c r="D962" s="4"/>
      <c r="E962" s="4"/>
      <c r="F962" s="4"/>
      <c r="G962" s="4"/>
      <c r="H962" s="4"/>
      <c r="I962" s="4"/>
      <c r="J962" s="4"/>
      <c r="K962" s="4"/>
    </row>
    <row r="963" spans="1:11" ht="13">
      <c r="A963" s="4"/>
      <c r="B963" s="4"/>
      <c r="C963" s="4"/>
      <c r="D963" s="4"/>
      <c r="E963" s="4"/>
      <c r="F963" s="4"/>
      <c r="G963" s="4"/>
      <c r="H963" s="4"/>
      <c r="I963" s="4"/>
      <c r="J963" s="4"/>
      <c r="K963" s="4"/>
    </row>
    <row r="964" spans="1:11" ht="13">
      <c r="A964" s="4"/>
      <c r="B964" s="4"/>
      <c r="C964" s="4"/>
      <c r="D964" s="4"/>
      <c r="E964" s="4"/>
      <c r="F964" s="4"/>
      <c r="G964" s="4"/>
      <c r="H964" s="4"/>
      <c r="I964" s="4"/>
      <c r="J964" s="4"/>
      <c r="K964" s="4"/>
    </row>
    <row r="965" spans="1:11" ht="13">
      <c r="A965" s="4"/>
      <c r="B965" s="4"/>
      <c r="C965" s="4"/>
      <c r="D965" s="4"/>
      <c r="E965" s="4"/>
      <c r="F965" s="4"/>
      <c r="G965" s="4"/>
      <c r="H965" s="4"/>
      <c r="I965" s="4"/>
      <c r="J965" s="4"/>
      <c r="K965" s="4"/>
    </row>
    <row r="966" spans="1:11" ht="13">
      <c r="A966" s="4"/>
      <c r="B966" s="4"/>
      <c r="C966" s="4"/>
      <c r="D966" s="4"/>
      <c r="E966" s="4"/>
      <c r="F966" s="4"/>
      <c r="G966" s="4"/>
      <c r="H966" s="4"/>
      <c r="I966" s="4"/>
      <c r="J966" s="4"/>
      <c r="K966" s="4"/>
    </row>
    <row r="967" spans="1:11" ht="13">
      <c r="A967" s="4"/>
      <c r="B967" s="4"/>
      <c r="C967" s="4"/>
      <c r="D967" s="4"/>
      <c r="E967" s="4"/>
      <c r="F967" s="4"/>
      <c r="G967" s="4"/>
      <c r="H967" s="4"/>
      <c r="I967" s="4"/>
      <c r="J967" s="4"/>
      <c r="K967" s="4"/>
    </row>
    <row r="968" spans="1:11" ht="13">
      <c r="A968" s="4"/>
      <c r="B968" s="4"/>
      <c r="C968" s="4"/>
      <c r="D968" s="4"/>
      <c r="E968" s="4"/>
      <c r="F968" s="4"/>
      <c r="G968" s="4"/>
      <c r="H968" s="4"/>
      <c r="I968" s="4"/>
      <c r="J968" s="4"/>
      <c r="K968" s="4"/>
    </row>
    <row r="969" spans="1:11" ht="13">
      <c r="A969" s="4"/>
      <c r="B969" s="4"/>
      <c r="C969" s="4"/>
      <c r="D969" s="4"/>
      <c r="E969" s="4"/>
      <c r="F969" s="4"/>
      <c r="G969" s="4"/>
      <c r="H969" s="4"/>
      <c r="I969" s="4"/>
      <c r="J969" s="4"/>
      <c r="K969" s="4"/>
    </row>
    <row r="970" spans="1:11" ht="13">
      <c r="A970" s="4"/>
      <c r="B970" s="4"/>
      <c r="C970" s="4"/>
      <c r="D970" s="4"/>
      <c r="E970" s="4"/>
      <c r="F970" s="4"/>
      <c r="G970" s="4"/>
      <c r="H970" s="4"/>
      <c r="I970" s="4"/>
      <c r="J970" s="4"/>
      <c r="K970" s="4"/>
    </row>
    <row r="971" spans="1:11" ht="13">
      <c r="A971" s="4"/>
      <c r="B971" s="4"/>
      <c r="C971" s="4"/>
      <c r="D971" s="4"/>
      <c r="E971" s="4"/>
      <c r="F971" s="4"/>
      <c r="G971" s="4"/>
      <c r="H971" s="4"/>
      <c r="I971" s="4"/>
      <c r="J971" s="4"/>
      <c r="K971" s="4"/>
    </row>
    <row r="972" spans="1:11" ht="13">
      <c r="A972" s="4"/>
      <c r="B972" s="4"/>
      <c r="C972" s="4"/>
      <c r="D972" s="4"/>
      <c r="E972" s="4"/>
      <c r="F972" s="4"/>
      <c r="G972" s="4"/>
      <c r="H972" s="4"/>
      <c r="I972" s="4"/>
      <c r="J972" s="4"/>
      <c r="K972" s="4"/>
    </row>
    <row r="973" spans="1:11" ht="13">
      <c r="A973" s="4"/>
      <c r="B973" s="4"/>
      <c r="C973" s="4"/>
      <c r="D973" s="4"/>
      <c r="E973" s="4"/>
      <c r="F973" s="4"/>
      <c r="G973" s="4"/>
      <c r="H973" s="4"/>
      <c r="I973" s="4"/>
      <c r="J973" s="4"/>
      <c r="K973" s="4"/>
    </row>
    <row r="974" spans="1:11" ht="13">
      <c r="A974" s="4"/>
      <c r="B974" s="4"/>
      <c r="C974" s="4"/>
      <c r="D974" s="4"/>
      <c r="E974" s="4"/>
      <c r="F974" s="4"/>
      <c r="G974" s="4"/>
      <c r="H974" s="4"/>
      <c r="I974" s="4"/>
      <c r="J974" s="4"/>
      <c r="K974" s="4"/>
    </row>
    <row r="975" spans="1:11" ht="13">
      <c r="A975" s="4"/>
      <c r="B975" s="4"/>
      <c r="C975" s="4"/>
      <c r="D975" s="4"/>
      <c r="E975" s="4"/>
      <c r="F975" s="4"/>
      <c r="G975" s="4"/>
      <c r="H975" s="4"/>
      <c r="I975" s="4"/>
      <c r="J975" s="4"/>
      <c r="K975" s="4"/>
    </row>
    <row r="976" spans="1:11" ht="13">
      <c r="A976" s="4"/>
      <c r="B976" s="4"/>
      <c r="C976" s="4"/>
      <c r="D976" s="4"/>
      <c r="E976" s="4"/>
      <c r="F976" s="4"/>
      <c r="G976" s="4"/>
      <c r="H976" s="4"/>
      <c r="I976" s="4"/>
      <c r="J976" s="4"/>
      <c r="K976" s="4"/>
    </row>
    <row r="977" spans="1:11" ht="13">
      <c r="A977" s="4"/>
      <c r="B977" s="4"/>
      <c r="C977" s="4"/>
      <c r="D977" s="4"/>
      <c r="E977" s="4"/>
      <c r="F977" s="4"/>
      <c r="G977" s="4"/>
      <c r="H977" s="4"/>
      <c r="I977" s="4"/>
      <c r="J977" s="4"/>
      <c r="K977" s="4"/>
    </row>
    <row r="978" spans="1:11" ht="13">
      <c r="A978" s="4"/>
      <c r="B978" s="4"/>
      <c r="C978" s="4"/>
      <c r="D978" s="4"/>
      <c r="E978" s="4"/>
      <c r="F978" s="4"/>
      <c r="G978" s="4"/>
      <c r="H978" s="4"/>
      <c r="I978" s="4"/>
      <c r="J978" s="4"/>
      <c r="K978" s="4"/>
    </row>
    <row r="979" spans="1:11" ht="13">
      <c r="A979" s="4"/>
      <c r="B979" s="4"/>
      <c r="C979" s="4"/>
      <c r="D979" s="4"/>
      <c r="E979" s="4"/>
      <c r="F979" s="4"/>
      <c r="G979" s="4"/>
      <c r="H979" s="4"/>
      <c r="I979" s="4"/>
      <c r="J979" s="4"/>
      <c r="K979" s="4"/>
    </row>
    <row r="980" spans="1:11" ht="13">
      <c r="A980" s="4"/>
      <c r="B980" s="4"/>
      <c r="C980" s="4"/>
      <c r="D980" s="4"/>
      <c r="E980" s="4"/>
      <c r="F980" s="4"/>
      <c r="G980" s="4"/>
      <c r="H980" s="4"/>
      <c r="I980" s="4"/>
      <c r="J980" s="4"/>
      <c r="K980" s="4"/>
    </row>
    <row r="981" spans="1:11" ht="13">
      <c r="A981" s="4"/>
      <c r="B981" s="4"/>
      <c r="C981" s="4"/>
      <c r="D981" s="4"/>
      <c r="E981" s="4"/>
      <c r="F981" s="4"/>
      <c r="G981" s="4"/>
      <c r="H981" s="4"/>
      <c r="I981" s="4"/>
      <c r="J981" s="4"/>
      <c r="K981" s="4"/>
    </row>
    <row r="982" spans="1:11" ht="13">
      <c r="A982" s="4"/>
      <c r="B982" s="4"/>
      <c r="C982" s="4"/>
      <c r="D982" s="4"/>
      <c r="E982" s="4"/>
      <c r="F982" s="4"/>
      <c r="G982" s="4"/>
      <c r="H982" s="4"/>
      <c r="I982" s="4"/>
      <c r="J982" s="4"/>
      <c r="K982" s="4"/>
    </row>
    <row r="983" spans="1:11" ht="13">
      <c r="A983" s="4"/>
      <c r="B983" s="4"/>
      <c r="C983" s="4"/>
      <c r="D983" s="4"/>
      <c r="E983" s="4"/>
      <c r="F983" s="4"/>
      <c r="G983" s="4"/>
      <c r="H983" s="4"/>
      <c r="I983" s="4"/>
      <c r="J983" s="4"/>
      <c r="K983" s="4"/>
    </row>
    <row r="984" spans="1:11" ht="13">
      <c r="A984" s="4"/>
      <c r="B984" s="4"/>
      <c r="C984" s="4"/>
      <c r="D984" s="4"/>
      <c r="E984" s="4"/>
      <c r="F984" s="4"/>
      <c r="G984" s="4"/>
      <c r="H984" s="4"/>
      <c r="I984" s="4"/>
      <c r="J984" s="4"/>
      <c r="K984" s="4"/>
    </row>
    <row r="985" spans="1:11" ht="13">
      <c r="A985" s="4"/>
      <c r="B985" s="4"/>
      <c r="C985" s="4"/>
      <c r="D985" s="4"/>
      <c r="E985" s="4"/>
      <c r="F985" s="4"/>
      <c r="G985" s="4"/>
      <c r="H985" s="4"/>
      <c r="I985" s="4"/>
      <c r="J985" s="4"/>
      <c r="K985" s="4"/>
    </row>
    <row r="986" spans="1:11" ht="13">
      <c r="A986" s="4"/>
      <c r="B986" s="4"/>
      <c r="C986" s="4"/>
      <c r="D986" s="4"/>
      <c r="E986" s="4"/>
      <c r="F986" s="4"/>
      <c r="G986" s="4"/>
      <c r="H986" s="4"/>
      <c r="I986" s="4"/>
      <c r="J986" s="4"/>
      <c r="K986" s="4"/>
    </row>
    <row r="987" spans="1:11" ht="13">
      <c r="A987" s="4"/>
      <c r="B987" s="4"/>
      <c r="C987" s="4"/>
      <c r="D987" s="4"/>
      <c r="E987" s="4"/>
      <c r="F987" s="4"/>
      <c r="G987" s="4"/>
      <c r="H987" s="4"/>
      <c r="I987" s="4"/>
      <c r="J987" s="4"/>
      <c r="K987" s="4"/>
    </row>
    <row r="988" spans="1:11" ht="13">
      <c r="A988" s="4"/>
      <c r="B988" s="4"/>
      <c r="C988" s="4"/>
      <c r="D988" s="4"/>
      <c r="E988" s="4"/>
      <c r="F988" s="4"/>
      <c r="G988" s="4"/>
      <c r="H988" s="4"/>
      <c r="I988" s="4"/>
      <c r="J988" s="4"/>
      <c r="K988" s="4"/>
    </row>
    <row r="989" spans="1:11" ht="13">
      <c r="A989" s="4"/>
      <c r="B989" s="4"/>
      <c r="C989" s="4"/>
      <c r="D989" s="4"/>
      <c r="E989" s="4"/>
      <c r="F989" s="4"/>
      <c r="G989" s="4"/>
      <c r="H989" s="4"/>
      <c r="I989" s="4"/>
      <c r="J989" s="4"/>
      <c r="K989" s="4"/>
    </row>
    <row r="990" spans="1:11" ht="13">
      <c r="A990" s="4"/>
      <c r="B990" s="4"/>
      <c r="C990" s="4"/>
      <c r="D990" s="4"/>
      <c r="E990" s="4"/>
      <c r="F990" s="4"/>
      <c r="G990" s="4"/>
      <c r="H990" s="4"/>
      <c r="I990" s="4"/>
      <c r="J990" s="4"/>
      <c r="K990" s="4"/>
    </row>
    <row r="991" spans="1:11" ht="13">
      <c r="A991" s="4"/>
      <c r="B991" s="4"/>
      <c r="C991" s="4"/>
      <c r="D991" s="4"/>
      <c r="E991" s="4"/>
      <c r="F991" s="4"/>
      <c r="G991" s="4"/>
      <c r="H991" s="4"/>
      <c r="I991" s="4"/>
      <c r="J991" s="4"/>
      <c r="K991" s="4"/>
    </row>
    <row r="992" spans="1:11" ht="13">
      <c r="A992" s="4"/>
      <c r="B992" s="4"/>
      <c r="C992" s="4"/>
      <c r="D992" s="4"/>
      <c r="E992" s="4"/>
      <c r="F992" s="4"/>
      <c r="G992" s="4"/>
      <c r="H992" s="4"/>
      <c r="I992" s="4"/>
      <c r="J992" s="4"/>
      <c r="K992" s="4"/>
    </row>
    <row r="993" spans="1:11" ht="13">
      <c r="A993" s="4"/>
      <c r="B993" s="4"/>
      <c r="C993" s="4"/>
      <c r="D993" s="4"/>
      <c r="E993" s="4"/>
      <c r="F993" s="4"/>
      <c r="G993" s="4"/>
      <c r="H993" s="4"/>
      <c r="I993" s="4"/>
      <c r="J993" s="4"/>
      <c r="K993" s="4"/>
    </row>
    <row r="994" spans="1:11" ht="13">
      <c r="A994" s="4"/>
      <c r="B994" s="4"/>
      <c r="C994" s="4"/>
      <c r="D994" s="4"/>
      <c r="E994" s="4"/>
      <c r="F994" s="4"/>
      <c r="G994" s="4"/>
      <c r="H994" s="4"/>
      <c r="I994" s="4"/>
      <c r="J994" s="4"/>
      <c r="K994" s="4"/>
    </row>
    <row r="995" spans="1:11" ht="13">
      <c r="A995" s="4"/>
      <c r="B995" s="4"/>
      <c r="C995" s="4"/>
      <c r="D995" s="4"/>
      <c r="E995" s="4"/>
      <c r="F995" s="4"/>
      <c r="G995" s="4"/>
      <c r="H995" s="4"/>
      <c r="I995" s="4"/>
      <c r="J995" s="4"/>
      <c r="K995" s="4"/>
    </row>
    <row r="996" spans="1:11" ht="13">
      <c r="A996" s="4"/>
      <c r="B996" s="4"/>
      <c r="C996" s="4"/>
      <c r="D996" s="4"/>
      <c r="E996" s="4"/>
      <c r="F996" s="4"/>
      <c r="G996" s="4"/>
      <c r="H996" s="4"/>
      <c r="I996" s="4"/>
      <c r="J996" s="4"/>
      <c r="K996" s="4"/>
    </row>
    <row r="997" spans="1:11" ht="13">
      <c r="A997" s="4"/>
      <c r="B997" s="4"/>
      <c r="C997" s="4"/>
      <c r="D997" s="4"/>
      <c r="E997" s="4"/>
      <c r="F997" s="4"/>
      <c r="G997" s="4"/>
      <c r="H997" s="4"/>
      <c r="I997" s="4"/>
      <c r="J997" s="4"/>
      <c r="K997" s="4"/>
    </row>
    <row r="998" spans="1:11" ht="13">
      <c r="A998" s="4"/>
      <c r="B998" s="4"/>
      <c r="C998" s="4"/>
      <c r="D998" s="4"/>
      <c r="E998" s="4"/>
      <c r="F998" s="4"/>
      <c r="G998" s="4"/>
      <c r="H998" s="4"/>
      <c r="I998" s="4"/>
      <c r="J998" s="4"/>
      <c r="K998" s="4"/>
    </row>
    <row r="999" spans="1:11" ht="13">
      <c r="A999" s="4"/>
      <c r="B999" s="4"/>
      <c r="C999" s="4"/>
      <c r="D999" s="4"/>
      <c r="E999" s="4"/>
      <c r="F999" s="4"/>
      <c r="G999" s="4"/>
      <c r="H999" s="4"/>
      <c r="I999" s="4"/>
      <c r="J999" s="4"/>
      <c r="K999" s="4"/>
    </row>
    <row r="1000" spans="1:11" ht="13">
      <c r="A1000" s="4"/>
      <c r="B1000" s="4"/>
      <c r="C1000" s="4"/>
      <c r="D1000" s="4"/>
      <c r="E1000" s="4"/>
      <c r="F1000" s="4"/>
      <c r="G1000" s="4"/>
      <c r="H1000" s="4"/>
      <c r="I1000" s="4"/>
      <c r="J1000" s="4"/>
      <c r="K1000" s="4"/>
    </row>
    <row r="1001" spans="1:11" ht="13">
      <c r="A1001" s="4"/>
      <c r="B1001" s="4"/>
      <c r="C1001" s="4"/>
      <c r="D1001" s="4"/>
      <c r="E1001" s="4"/>
      <c r="F1001" s="4"/>
      <c r="G1001" s="4"/>
      <c r="H1001" s="4"/>
      <c r="I1001" s="4"/>
      <c r="J1001" s="4"/>
      <c r="K1001" s="4"/>
    </row>
    <row r="1002" spans="1:11" ht="13">
      <c r="A1002" s="4"/>
      <c r="B1002" s="4"/>
      <c r="C1002" s="4"/>
      <c r="D1002" s="4"/>
      <c r="E1002" s="4"/>
      <c r="F1002" s="4"/>
      <c r="G1002" s="4"/>
      <c r="H1002" s="4"/>
      <c r="I1002" s="4"/>
      <c r="J1002" s="4"/>
      <c r="K1002" s="4"/>
    </row>
    <row r="1003" spans="1:11" ht="13">
      <c r="A1003" s="4"/>
      <c r="B1003" s="4"/>
      <c r="C1003" s="4"/>
      <c r="D1003" s="4"/>
      <c r="E1003" s="4"/>
      <c r="F1003" s="4"/>
      <c r="G1003" s="4"/>
      <c r="H1003" s="4"/>
      <c r="I1003" s="4"/>
      <c r="J1003" s="4"/>
      <c r="K1003" s="4"/>
    </row>
    <row r="1004" spans="1:11" ht="13">
      <c r="A1004" s="4"/>
      <c r="B1004" s="4"/>
      <c r="C1004" s="4"/>
      <c r="D1004" s="4"/>
      <c r="E1004" s="4"/>
      <c r="F1004" s="4"/>
      <c r="G1004" s="4"/>
      <c r="H1004" s="4"/>
      <c r="I1004" s="4"/>
      <c r="J1004" s="4"/>
      <c r="K1004" s="4"/>
    </row>
    <row r="1005" spans="1:11" ht="13">
      <c r="A1005" s="4"/>
      <c r="B1005" s="4"/>
      <c r="C1005" s="4"/>
      <c r="D1005" s="4"/>
      <c r="E1005" s="4"/>
      <c r="F1005" s="4"/>
      <c r="G1005" s="4"/>
      <c r="H1005" s="4"/>
      <c r="I1005" s="4"/>
      <c r="J1005" s="4"/>
      <c r="K1005" s="4"/>
    </row>
    <row r="1006" spans="1:11" ht="13">
      <c r="A1006" s="4"/>
      <c r="B1006" s="4"/>
      <c r="C1006" s="4"/>
      <c r="D1006" s="4"/>
      <c r="E1006" s="4"/>
      <c r="F1006" s="4"/>
      <c r="G1006" s="4"/>
      <c r="H1006" s="4"/>
      <c r="I1006" s="4"/>
      <c r="J1006" s="4"/>
      <c r="K1006" s="4"/>
    </row>
    <row r="1007" spans="1:11" ht="13">
      <c r="A1007" s="4"/>
      <c r="B1007" s="4"/>
      <c r="C1007" s="4"/>
      <c r="D1007" s="4"/>
      <c r="E1007" s="4"/>
      <c r="F1007" s="4"/>
      <c r="G1007" s="4"/>
      <c r="H1007" s="4"/>
      <c r="I1007" s="4"/>
      <c r="J1007" s="4"/>
      <c r="K1007" s="4"/>
    </row>
    <row r="1008" spans="1:11" ht="13">
      <c r="A1008" s="4"/>
      <c r="B1008" s="4"/>
      <c r="C1008" s="4"/>
      <c r="D1008" s="4"/>
      <c r="E1008" s="4"/>
      <c r="F1008" s="4"/>
      <c r="G1008" s="4"/>
      <c r="H1008" s="4"/>
      <c r="I1008" s="4"/>
      <c r="J1008" s="4"/>
      <c r="K1008" s="4"/>
    </row>
    <row r="1009" spans="1:11" ht="13">
      <c r="A1009" s="4"/>
      <c r="B1009" s="4"/>
      <c r="C1009" s="4"/>
      <c r="D1009" s="4"/>
      <c r="E1009" s="4"/>
      <c r="F1009" s="4"/>
      <c r="G1009" s="4"/>
      <c r="H1009" s="4"/>
      <c r="I1009" s="4"/>
      <c r="J1009" s="4"/>
      <c r="K1009" s="4"/>
    </row>
    <row r="1010" spans="1:11" ht="13">
      <c r="A1010" s="4"/>
      <c r="B1010" s="4"/>
      <c r="C1010" s="4"/>
      <c r="D1010" s="4"/>
      <c r="E1010" s="4"/>
      <c r="F1010" s="4"/>
      <c r="G1010" s="4"/>
      <c r="H1010" s="4"/>
      <c r="I1010" s="4"/>
      <c r="J1010" s="4"/>
      <c r="K1010" s="4"/>
    </row>
    <row r="1011" spans="1:11" ht="13">
      <c r="A1011" s="4"/>
      <c r="B1011" s="4"/>
      <c r="C1011" s="4"/>
      <c r="D1011" s="4"/>
      <c r="E1011" s="4"/>
      <c r="F1011" s="4"/>
      <c r="G1011" s="4"/>
      <c r="H1011" s="4"/>
      <c r="I1011" s="4"/>
      <c r="J1011" s="4"/>
      <c r="K1011" s="4"/>
    </row>
    <row r="1012" spans="1:11" ht="13">
      <c r="A1012" s="4"/>
      <c r="B1012" s="4"/>
      <c r="C1012" s="4"/>
      <c r="D1012" s="4"/>
      <c r="E1012" s="4"/>
      <c r="F1012" s="4"/>
      <c r="G1012" s="4"/>
      <c r="H1012" s="4"/>
      <c r="I1012" s="4"/>
      <c r="J1012" s="4"/>
      <c r="K1012" s="4"/>
    </row>
    <row r="1013" spans="1:11" ht="13">
      <c r="A1013" s="4"/>
      <c r="B1013" s="4"/>
      <c r="C1013" s="4"/>
      <c r="D1013" s="4"/>
      <c r="E1013" s="4"/>
      <c r="F1013" s="4"/>
      <c r="G1013" s="4"/>
      <c r="H1013" s="4"/>
      <c r="I1013" s="4"/>
      <c r="J1013" s="4"/>
      <c r="K1013" s="4"/>
    </row>
    <row r="1014" spans="1:11" ht="13">
      <c r="A1014" s="4"/>
      <c r="B1014" s="4"/>
      <c r="C1014" s="4"/>
      <c r="D1014" s="4"/>
      <c r="E1014" s="4"/>
      <c r="F1014" s="4"/>
      <c r="G1014" s="4"/>
      <c r="H1014" s="4"/>
      <c r="I1014" s="4"/>
      <c r="J1014" s="4"/>
      <c r="K1014" s="4"/>
    </row>
    <row r="1015" spans="1:11" ht="13">
      <c r="A1015" s="4"/>
      <c r="B1015" s="4"/>
      <c r="C1015" s="4"/>
      <c r="D1015" s="4"/>
      <c r="E1015" s="4"/>
      <c r="F1015" s="4"/>
      <c r="G1015" s="4"/>
      <c r="H1015" s="4"/>
      <c r="I1015" s="4"/>
      <c r="J1015" s="4"/>
      <c r="K1015" s="4"/>
    </row>
    <row r="1016" spans="1:11" ht="13">
      <c r="A1016" s="4"/>
      <c r="B1016" s="4"/>
      <c r="C1016" s="4"/>
      <c r="D1016" s="4"/>
      <c r="E1016" s="4"/>
      <c r="F1016" s="4"/>
      <c r="G1016" s="4"/>
      <c r="H1016" s="4"/>
      <c r="I1016" s="4"/>
      <c r="J1016" s="4"/>
      <c r="K1016" s="4"/>
    </row>
    <row r="1017" spans="1:11" ht="13">
      <c r="A1017" s="4"/>
      <c r="B1017" s="4"/>
      <c r="C1017" s="4"/>
      <c r="D1017" s="4"/>
      <c r="E1017" s="4"/>
      <c r="F1017" s="4"/>
      <c r="G1017" s="4"/>
      <c r="H1017" s="4"/>
      <c r="I1017" s="4"/>
      <c r="J1017" s="4"/>
      <c r="K1017" s="4"/>
    </row>
    <row r="1018" spans="1:11" ht="13">
      <c r="A1018" s="4"/>
      <c r="B1018" s="4"/>
      <c r="C1018" s="4"/>
      <c r="D1018" s="4"/>
      <c r="E1018" s="4"/>
      <c r="F1018" s="4"/>
      <c r="G1018" s="4"/>
      <c r="H1018" s="4"/>
      <c r="I1018" s="4"/>
      <c r="J1018" s="4"/>
      <c r="K1018" s="4"/>
    </row>
    <row r="1019" spans="1:11" ht="13">
      <c r="A1019" s="4"/>
      <c r="B1019" s="4"/>
      <c r="C1019" s="4"/>
      <c r="D1019" s="4"/>
      <c r="E1019" s="4"/>
      <c r="F1019" s="4"/>
      <c r="G1019" s="4"/>
      <c r="H1019" s="4"/>
      <c r="I1019" s="4"/>
      <c r="J1019" s="4"/>
      <c r="K1019" s="4"/>
    </row>
    <row r="1020" spans="1:11" ht="13">
      <c r="A1020" s="4"/>
      <c r="B1020" s="4"/>
      <c r="C1020" s="4"/>
      <c r="D1020" s="4"/>
      <c r="E1020" s="4"/>
      <c r="F1020" s="4"/>
      <c r="G1020" s="4"/>
      <c r="H1020" s="4"/>
      <c r="I1020" s="4"/>
      <c r="J1020" s="4"/>
      <c r="K1020" s="4"/>
    </row>
    <row r="1021" spans="1:11" ht="13">
      <c r="A1021" s="4"/>
      <c r="B1021" s="4"/>
      <c r="C1021" s="4"/>
      <c r="D1021" s="4"/>
      <c r="E1021" s="4"/>
      <c r="F1021" s="4"/>
      <c r="G1021" s="4"/>
      <c r="H1021" s="4"/>
      <c r="I1021" s="4"/>
      <c r="J1021" s="4"/>
      <c r="K1021" s="4"/>
    </row>
    <row r="1022" spans="1:11" ht="13">
      <c r="A1022" s="4"/>
      <c r="B1022" s="4"/>
      <c r="C1022" s="4"/>
      <c r="D1022" s="4"/>
      <c r="E1022" s="4"/>
      <c r="F1022" s="4"/>
      <c r="G1022" s="4"/>
      <c r="H1022" s="4"/>
      <c r="I1022" s="4"/>
      <c r="J1022" s="4"/>
      <c r="K1022" s="4"/>
    </row>
    <row r="1023" spans="1:11" ht="13">
      <c r="A1023" s="4"/>
      <c r="B1023" s="4"/>
      <c r="C1023" s="4"/>
      <c r="D1023" s="4"/>
      <c r="E1023" s="4"/>
      <c r="F1023" s="4"/>
      <c r="G1023" s="4"/>
      <c r="H1023" s="4"/>
      <c r="I1023" s="4"/>
      <c r="J1023" s="4"/>
      <c r="K1023" s="4"/>
    </row>
    <row r="1024" spans="1:11" ht="13">
      <c r="A1024" s="4"/>
      <c r="B1024" s="4"/>
      <c r="C1024" s="4"/>
      <c r="D1024" s="4"/>
      <c r="E1024" s="4"/>
      <c r="F1024" s="4"/>
      <c r="G1024" s="4"/>
      <c r="H1024" s="4"/>
      <c r="I1024" s="4"/>
      <c r="J1024" s="4"/>
      <c r="K1024" s="4"/>
    </row>
    <row r="1025" spans="1:11" ht="13">
      <c r="A1025" s="4"/>
      <c r="B1025" s="4"/>
      <c r="C1025" s="4"/>
      <c r="D1025" s="4"/>
      <c r="E1025" s="4"/>
      <c r="F1025" s="4"/>
      <c r="G1025" s="4"/>
      <c r="H1025" s="4"/>
      <c r="I1025" s="4"/>
      <c r="J1025" s="4"/>
      <c r="K1025" s="4"/>
    </row>
    <row r="1026" spans="1:11" ht="13">
      <c r="A1026" s="4"/>
      <c r="B1026" s="4"/>
      <c r="C1026" s="4"/>
      <c r="D1026" s="4"/>
      <c r="E1026" s="4"/>
      <c r="F1026" s="4"/>
      <c r="G1026" s="4"/>
      <c r="H1026" s="4"/>
      <c r="I1026" s="4"/>
      <c r="J1026" s="4"/>
      <c r="K1026" s="4"/>
    </row>
    <row r="1027" spans="1:11" ht="13">
      <c r="A1027" s="4"/>
      <c r="B1027" s="4"/>
      <c r="C1027" s="4"/>
      <c r="D1027" s="4"/>
      <c r="E1027" s="4"/>
      <c r="F1027" s="4"/>
      <c r="G1027" s="4"/>
      <c r="H1027" s="4"/>
      <c r="I1027" s="4"/>
      <c r="J1027" s="4"/>
      <c r="K1027" s="4"/>
    </row>
    <row r="1028" spans="1:11" ht="13">
      <c r="A1028" s="4"/>
      <c r="B1028" s="4"/>
      <c r="C1028" s="4"/>
      <c r="D1028" s="4"/>
      <c r="E1028" s="4"/>
      <c r="F1028" s="4"/>
      <c r="G1028" s="4"/>
      <c r="H1028" s="4"/>
      <c r="I1028" s="4"/>
      <c r="J1028" s="4"/>
      <c r="K1028" s="4"/>
    </row>
    <row r="1029" spans="1:11" ht="13">
      <c r="A1029" s="4"/>
      <c r="B1029" s="4"/>
      <c r="C1029" s="4"/>
      <c r="D1029" s="4"/>
      <c r="E1029" s="4"/>
      <c r="F1029" s="4"/>
      <c r="G1029" s="4"/>
      <c r="H1029" s="4"/>
      <c r="I1029" s="4"/>
      <c r="J1029" s="4"/>
      <c r="K1029" s="4"/>
    </row>
    <row r="1030" spans="1:11" ht="13">
      <c r="A1030" s="4"/>
      <c r="B1030" s="4"/>
      <c r="C1030" s="4"/>
      <c r="D1030" s="4"/>
      <c r="E1030" s="4"/>
      <c r="F1030" s="4"/>
      <c r="G1030" s="4"/>
      <c r="H1030" s="4"/>
      <c r="I1030" s="4"/>
      <c r="J1030" s="4"/>
      <c r="K1030" s="4"/>
    </row>
    <row r="1031" spans="1:11" ht="13">
      <c r="A1031" s="4"/>
      <c r="B1031" s="4"/>
      <c r="C1031" s="4"/>
      <c r="D1031" s="4"/>
      <c r="E1031" s="4"/>
      <c r="F1031" s="4"/>
      <c r="G1031" s="4"/>
      <c r="H1031" s="4"/>
      <c r="I1031" s="4"/>
      <c r="J1031" s="4"/>
      <c r="K1031" s="4"/>
    </row>
    <row r="1032" spans="1:11" ht="13">
      <c r="A1032" s="4"/>
      <c r="B1032" s="4"/>
      <c r="C1032" s="4"/>
      <c r="D1032" s="4"/>
      <c r="E1032" s="4"/>
      <c r="F1032" s="4"/>
      <c r="G1032" s="4"/>
      <c r="H1032" s="4"/>
      <c r="I1032" s="4"/>
      <c r="J1032" s="4"/>
      <c r="K1032" s="4"/>
    </row>
    <row r="1033" spans="1:11" ht="13">
      <c r="A1033" s="4"/>
      <c r="B1033" s="4"/>
      <c r="C1033" s="4"/>
      <c r="D1033" s="4"/>
      <c r="E1033" s="4"/>
      <c r="F1033" s="4"/>
      <c r="G1033" s="4"/>
      <c r="H1033" s="4"/>
      <c r="I1033" s="4"/>
      <c r="J1033" s="4"/>
      <c r="K1033" s="4"/>
    </row>
    <row r="1034" spans="1:11" ht="13">
      <c r="A1034" s="4"/>
      <c r="B1034" s="4"/>
      <c r="C1034" s="4"/>
      <c r="D1034" s="4"/>
      <c r="E1034" s="4"/>
      <c r="F1034" s="4"/>
      <c r="G1034" s="4"/>
      <c r="H1034" s="4"/>
      <c r="I1034" s="4"/>
      <c r="J1034" s="4"/>
      <c r="K1034" s="4"/>
    </row>
    <row r="1035" spans="1:11" ht="13">
      <c r="A1035" s="4"/>
      <c r="B1035" s="4"/>
      <c r="C1035" s="4"/>
      <c r="D1035" s="4"/>
      <c r="E1035" s="4"/>
      <c r="F1035" s="4"/>
      <c r="G1035" s="4"/>
      <c r="H1035" s="4"/>
      <c r="I1035" s="4"/>
      <c r="J1035" s="4"/>
      <c r="K1035" s="4"/>
    </row>
    <row r="1036" spans="1:11" ht="13">
      <c r="A1036" s="4"/>
      <c r="B1036" s="4"/>
      <c r="C1036" s="4"/>
      <c r="D1036" s="4"/>
      <c r="E1036" s="4"/>
      <c r="F1036" s="4"/>
      <c r="G1036" s="4"/>
      <c r="H1036" s="4"/>
      <c r="I1036" s="4"/>
      <c r="J1036" s="4"/>
      <c r="K1036" s="4"/>
    </row>
    <row r="1037" spans="1:11" ht="13">
      <c r="A1037" s="4"/>
      <c r="B1037" s="4"/>
      <c r="C1037" s="4"/>
      <c r="D1037" s="4"/>
      <c r="E1037" s="4"/>
      <c r="F1037" s="4"/>
      <c r="G1037" s="4"/>
      <c r="H1037" s="4"/>
      <c r="I1037" s="4"/>
      <c r="J1037" s="4"/>
      <c r="K1037" s="4"/>
    </row>
    <row r="1038" spans="1:11" ht="13">
      <c r="A1038" s="4"/>
      <c r="B1038" s="4"/>
      <c r="C1038" s="4"/>
      <c r="D1038" s="4"/>
      <c r="E1038" s="4"/>
      <c r="F1038" s="4"/>
      <c r="G1038" s="4"/>
      <c r="H1038" s="4"/>
      <c r="I1038" s="4"/>
      <c r="J1038" s="4"/>
      <c r="K1038" s="4"/>
    </row>
    <row r="1039" spans="1:11" ht="13">
      <c r="A1039" s="4"/>
      <c r="B1039" s="4"/>
      <c r="C1039" s="4"/>
      <c r="D1039" s="4"/>
      <c r="E1039" s="4"/>
      <c r="F1039" s="4"/>
      <c r="G1039" s="4"/>
      <c r="H1039" s="4"/>
      <c r="I1039" s="4"/>
      <c r="J1039" s="4"/>
      <c r="K1039" s="4"/>
    </row>
    <row r="1040" spans="1:11" ht="13">
      <c r="A1040" s="4"/>
      <c r="B1040" s="4"/>
      <c r="C1040" s="4"/>
      <c r="D1040" s="4"/>
      <c r="E1040" s="4"/>
      <c r="F1040" s="4"/>
      <c r="G1040" s="4"/>
      <c r="H1040" s="4"/>
      <c r="I1040" s="4"/>
      <c r="J1040" s="4"/>
      <c r="K1040" s="4"/>
    </row>
    <row r="1041" spans="1:11" ht="13">
      <c r="A1041" s="4"/>
      <c r="B1041" s="4"/>
      <c r="C1041" s="4"/>
      <c r="D1041" s="4"/>
      <c r="E1041" s="4"/>
      <c r="F1041" s="4"/>
      <c r="G1041" s="4"/>
      <c r="H1041" s="4"/>
      <c r="I1041" s="4"/>
      <c r="J1041" s="4"/>
      <c r="K1041" s="4"/>
    </row>
    <row r="1042" spans="1:11" ht="13">
      <c r="A1042" s="4"/>
      <c r="B1042" s="4"/>
      <c r="C1042" s="4"/>
      <c r="D1042" s="4"/>
      <c r="E1042" s="4"/>
      <c r="F1042" s="4"/>
      <c r="G1042" s="4"/>
      <c r="H1042" s="4"/>
      <c r="I1042" s="4"/>
      <c r="J1042" s="4"/>
      <c r="K1042" s="4"/>
    </row>
    <row r="1043" spans="1:11" ht="13">
      <c r="A1043" s="4"/>
      <c r="B1043" s="4"/>
      <c r="C1043" s="4"/>
      <c r="D1043" s="4"/>
      <c r="E1043" s="4"/>
      <c r="F1043" s="4"/>
      <c r="G1043" s="4"/>
      <c r="H1043" s="4"/>
      <c r="I1043" s="4"/>
      <c r="J1043" s="4"/>
      <c r="K1043" s="4"/>
    </row>
    <row r="1044" spans="1:11" ht="13">
      <c r="A1044" s="4"/>
      <c r="B1044" s="4"/>
      <c r="C1044" s="4"/>
      <c r="D1044" s="4"/>
      <c r="E1044" s="4"/>
      <c r="F1044" s="4"/>
      <c r="G1044" s="4"/>
      <c r="H1044" s="4"/>
      <c r="I1044" s="4"/>
      <c r="J1044" s="4"/>
      <c r="K1044" s="4"/>
    </row>
    <row r="1045" spans="1:11" ht="13">
      <c r="A1045" s="4"/>
      <c r="B1045" s="4"/>
      <c r="C1045" s="4"/>
      <c r="D1045" s="4"/>
      <c r="E1045" s="4"/>
      <c r="F1045" s="4"/>
      <c r="G1045" s="4"/>
      <c r="H1045" s="4"/>
      <c r="I1045" s="4"/>
      <c r="J1045" s="4"/>
      <c r="K1045" s="4"/>
    </row>
    <row r="1046" spans="1:11" ht="13">
      <c r="A1046" s="4"/>
      <c r="B1046" s="4"/>
      <c r="C1046" s="4"/>
      <c r="D1046" s="4"/>
      <c r="E1046" s="4"/>
      <c r="F1046" s="4"/>
      <c r="G1046" s="4"/>
      <c r="H1046" s="4"/>
      <c r="I1046" s="4"/>
      <c r="J1046" s="4"/>
      <c r="K1046" s="4"/>
    </row>
    <row r="1047" spans="1:11" ht="13">
      <c r="A1047" s="4"/>
      <c r="B1047" s="4"/>
      <c r="C1047" s="4"/>
      <c r="D1047" s="4"/>
      <c r="E1047" s="4"/>
      <c r="F1047" s="4"/>
      <c r="G1047" s="4"/>
      <c r="H1047" s="4"/>
      <c r="I1047" s="4"/>
      <c r="J1047" s="4"/>
      <c r="K1047" s="4"/>
    </row>
    <row r="1048" spans="1:11" ht="13">
      <c r="A1048" s="4"/>
      <c r="B1048" s="4"/>
      <c r="C1048" s="4"/>
      <c r="D1048" s="4"/>
      <c r="E1048" s="4"/>
      <c r="F1048" s="4"/>
      <c r="G1048" s="4"/>
      <c r="H1048" s="4"/>
      <c r="I1048" s="4"/>
      <c r="J1048" s="4"/>
      <c r="K1048" s="4"/>
    </row>
    <row r="1049" spans="1:11" ht="13">
      <c r="A1049" s="4"/>
      <c r="B1049" s="4"/>
      <c r="C1049" s="4"/>
      <c r="D1049" s="4"/>
      <c r="E1049" s="4"/>
      <c r="F1049" s="4"/>
      <c r="G1049" s="4"/>
      <c r="H1049" s="4"/>
      <c r="I1049" s="4"/>
      <c r="J1049" s="4"/>
      <c r="K1049" s="4"/>
    </row>
    <row r="1050" spans="1:11" ht="13">
      <c r="A1050" s="4"/>
      <c r="B1050" s="4"/>
      <c r="C1050" s="4"/>
      <c r="D1050" s="4"/>
      <c r="E1050" s="4"/>
      <c r="F1050" s="4"/>
      <c r="G1050" s="4"/>
      <c r="H1050" s="4"/>
      <c r="I1050" s="4"/>
      <c r="J1050" s="4"/>
      <c r="K1050" s="4"/>
    </row>
    <row r="1051" spans="1:11" ht="13">
      <c r="A1051" s="4"/>
      <c r="B1051" s="4"/>
      <c r="C1051" s="4"/>
      <c r="D1051" s="4"/>
      <c r="E1051" s="4"/>
      <c r="F1051" s="4"/>
      <c r="G1051" s="4"/>
      <c r="H1051" s="4"/>
      <c r="I1051" s="4"/>
      <c r="J1051" s="4"/>
      <c r="K1051" s="4"/>
    </row>
    <row r="1052" spans="1:11" ht="13">
      <c r="A1052" s="4"/>
      <c r="B1052" s="4"/>
      <c r="C1052" s="4"/>
      <c r="D1052" s="4"/>
      <c r="E1052" s="4"/>
      <c r="F1052" s="4"/>
      <c r="G1052" s="4"/>
      <c r="H1052" s="4"/>
      <c r="I1052" s="4"/>
      <c r="J1052" s="4"/>
      <c r="K1052" s="4"/>
    </row>
    <row r="1053" spans="1:11" ht="13">
      <c r="A1053" s="4"/>
      <c r="B1053" s="4"/>
      <c r="C1053" s="4"/>
      <c r="D1053" s="4"/>
      <c r="E1053" s="4"/>
      <c r="F1053" s="4"/>
      <c r="G1053" s="4"/>
      <c r="H1053" s="4"/>
      <c r="I1053" s="4"/>
      <c r="J1053" s="4"/>
      <c r="K1053" s="4"/>
    </row>
    <row r="1054" spans="1:11" ht="13">
      <c r="A1054" s="4"/>
      <c r="B1054" s="4"/>
      <c r="C1054" s="4"/>
      <c r="D1054" s="4"/>
      <c r="E1054" s="4"/>
      <c r="F1054" s="4"/>
      <c r="G1054" s="4"/>
      <c r="H1054" s="4"/>
      <c r="I1054" s="4"/>
      <c r="J1054" s="4"/>
      <c r="K1054" s="4"/>
    </row>
    <row r="1055" spans="1:11" ht="13">
      <c r="A1055" s="4"/>
      <c r="B1055" s="4"/>
      <c r="C1055" s="4"/>
      <c r="D1055" s="4"/>
      <c r="E1055" s="4"/>
      <c r="F1055" s="4"/>
      <c r="G1055" s="4"/>
      <c r="H1055" s="4"/>
      <c r="I1055" s="4"/>
      <c r="J1055" s="4"/>
      <c r="K1055" s="4"/>
    </row>
    <row r="1056" spans="1:11" ht="13">
      <c r="A1056" s="4"/>
      <c r="B1056" s="4"/>
      <c r="C1056" s="4"/>
      <c r="D1056" s="4"/>
      <c r="E1056" s="4"/>
      <c r="F1056" s="4"/>
      <c r="G1056" s="4"/>
      <c r="H1056" s="4"/>
      <c r="I1056" s="4"/>
      <c r="J1056" s="4"/>
      <c r="K1056" s="4"/>
    </row>
    <row r="1057" spans="1:11" ht="13">
      <c r="A1057" s="4"/>
      <c r="B1057" s="4"/>
      <c r="C1057" s="4"/>
      <c r="D1057" s="4"/>
      <c r="E1057" s="4"/>
      <c r="F1057" s="4"/>
      <c r="G1057" s="4"/>
      <c r="H1057" s="4"/>
      <c r="I1057" s="4"/>
      <c r="J1057" s="4"/>
      <c r="K1057" s="4"/>
    </row>
    <row r="1058" spans="1:11" ht="13">
      <c r="A1058" s="4"/>
      <c r="B1058" s="4"/>
      <c r="C1058" s="4"/>
      <c r="D1058" s="4"/>
      <c r="E1058" s="4"/>
      <c r="F1058" s="4"/>
      <c r="G1058" s="4"/>
      <c r="H1058" s="4"/>
      <c r="I1058" s="4"/>
      <c r="J1058" s="4"/>
      <c r="K1058" s="4"/>
    </row>
    <row r="1059" spans="1:11" ht="13">
      <c r="A1059" s="4"/>
      <c r="B1059" s="4"/>
      <c r="C1059" s="4"/>
      <c r="D1059" s="4"/>
      <c r="E1059" s="4"/>
      <c r="F1059" s="4"/>
      <c r="G1059" s="4"/>
      <c r="H1059" s="4"/>
      <c r="I1059" s="4"/>
      <c r="J1059" s="4"/>
      <c r="K1059" s="4"/>
    </row>
    <row r="1060" spans="1:11" ht="13">
      <c r="A1060" s="4"/>
      <c r="B1060" s="4"/>
      <c r="C1060" s="4"/>
      <c r="D1060" s="4"/>
      <c r="E1060" s="4"/>
      <c r="F1060" s="4"/>
      <c r="G1060" s="4"/>
      <c r="H1060" s="4"/>
      <c r="I1060" s="4"/>
      <c r="J1060" s="4"/>
      <c r="K1060" s="4"/>
    </row>
    <row r="1061" spans="1:11" ht="13">
      <c r="A1061" s="4"/>
      <c r="B1061" s="4"/>
      <c r="C1061" s="4"/>
      <c r="D1061" s="4"/>
      <c r="E1061" s="4"/>
      <c r="F1061" s="4"/>
      <c r="G1061" s="4"/>
      <c r="H1061" s="4"/>
      <c r="I1061" s="4"/>
      <c r="J1061" s="4"/>
      <c r="K1061" s="4"/>
    </row>
    <row r="1062" spans="1:11" ht="13">
      <c r="A1062" s="4"/>
      <c r="B1062" s="4"/>
      <c r="C1062" s="4"/>
      <c r="D1062" s="4"/>
      <c r="E1062" s="4"/>
      <c r="F1062" s="4"/>
      <c r="G1062" s="4"/>
      <c r="H1062" s="4"/>
      <c r="I1062" s="4"/>
      <c r="J1062" s="4"/>
      <c r="K1062" s="4"/>
    </row>
    <row r="1063" spans="1:11" ht="13">
      <c r="A1063" s="4"/>
      <c r="B1063" s="4"/>
      <c r="C1063" s="4"/>
      <c r="D1063" s="4"/>
      <c r="E1063" s="4"/>
      <c r="F1063" s="4"/>
      <c r="G1063" s="4"/>
      <c r="H1063" s="4"/>
      <c r="I1063" s="4"/>
      <c r="J1063" s="4"/>
      <c r="K1063" s="4"/>
    </row>
    <row r="1064" spans="1:11" ht="13">
      <c r="A1064" s="4"/>
      <c r="B1064" s="4"/>
      <c r="C1064" s="4"/>
      <c r="D1064" s="4"/>
      <c r="E1064" s="4"/>
      <c r="F1064" s="4"/>
      <c r="G1064" s="4"/>
      <c r="H1064" s="4"/>
      <c r="I1064" s="4"/>
      <c r="J1064" s="4"/>
      <c r="K1064" s="4"/>
    </row>
    <row r="1065" spans="1:11" ht="13">
      <c r="A1065" s="4"/>
      <c r="B1065" s="4"/>
      <c r="C1065" s="4"/>
      <c r="D1065" s="4"/>
      <c r="E1065" s="4"/>
      <c r="F1065" s="4"/>
      <c r="G1065" s="4"/>
      <c r="H1065" s="4"/>
      <c r="I1065" s="4"/>
      <c r="J1065" s="4"/>
      <c r="K1065" s="4"/>
    </row>
    <row r="1066" spans="1:11" ht="13">
      <c r="A1066" s="4"/>
      <c r="B1066" s="4"/>
      <c r="C1066" s="4"/>
      <c r="D1066" s="4"/>
      <c r="E1066" s="4"/>
      <c r="F1066" s="4"/>
      <c r="G1066" s="4"/>
      <c r="H1066" s="4"/>
      <c r="I1066" s="4"/>
      <c r="J1066" s="4"/>
      <c r="K1066" s="4"/>
    </row>
    <row r="1067" spans="1:11" ht="13">
      <c r="A1067" s="4"/>
      <c r="B1067" s="4"/>
      <c r="C1067" s="4"/>
      <c r="D1067" s="4"/>
      <c r="E1067" s="4"/>
      <c r="F1067" s="4"/>
      <c r="G1067" s="4"/>
      <c r="H1067" s="4"/>
      <c r="I1067" s="4"/>
      <c r="J1067" s="4"/>
      <c r="K1067" s="4"/>
    </row>
    <row r="1068" spans="1:11" ht="13">
      <c r="A1068" s="4"/>
      <c r="B1068" s="4"/>
      <c r="C1068" s="4"/>
      <c r="D1068" s="4"/>
      <c r="E1068" s="4"/>
      <c r="F1068" s="4"/>
      <c r="G1068" s="4"/>
      <c r="H1068" s="4"/>
      <c r="I1068" s="4"/>
      <c r="J1068" s="4"/>
      <c r="K1068" s="4"/>
    </row>
    <row r="1069" spans="1:11" ht="13">
      <c r="A1069" s="4"/>
      <c r="B1069" s="4"/>
      <c r="C1069" s="4"/>
      <c r="D1069" s="4"/>
      <c r="E1069" s="4"/>
      <c r="F1069" s="4"/>
      <c r="G1069" s="4"/>
      <c r="H1069" s="4"/>
      <c r="I1069" s="4"/>
      <c r="J1069" s="4"/>
      <c r="K1069" s="4"/>
    </row>
    <row r="1070" spans="1:11" ht="13">
      <c r="A1070" s="4"/>
      <c r="B1070" s="4"/>
      <c r="C1070" s="4"/>
      <c r="D1070" s="4"/>
      <c r="E1070" s="4"/>
      <c r="F1070" s="4"/>
      <c r="G1070" s="4"/>
      <c r="H1070" s="4"/>
      <c r="I1070" s="4"/>
      <c r="J1070" s="4"/>
      <c r="K1070" s="4"/>
    </row>
    <row r="1071" spans="1:11" ht="13">
      <c r="A1071" s="4"/>
      <c r="B1071" s="4"/>
      <c r="C1071" s="4"/>
      <c r="D1071" s="4"/>
      <c r="E1071" s="4"/>
      <c r="F1071" s="4"/>
      <c r="G1071" s="4"/>
      <c r="H1071" s="4"/>
      <c r="I1071" s="4"/>
      <c r="J1071" s="4"/>
      <c r="K1071" s="4"/>
    </row>
    <row r="1072" spans="1:11" ht="13">
      <c r="A1072" s="4"/>
      <c r="B1072" s="4"/>
      <c r="C1072" s="4"/>
      <c r="D1072" s="4"/>
      <c r="E1072" s="4"/>
      <c r="F1072" s="4"/>
      <c r="G1072" s="4"/>
      <c r="H1072" s="4"/>
      <c r="I1072" s="4"/>
      <c r="J1072" s="4"/>
      <c r="K1072" s="4"/>
    </row>
    <row r="1073" spans="1:11" ht="13">
      <c r="A1073" s="4"/>
      <c r="B1073" s="4"/>
      <c r="C1073" s="4"/>
      <c r="D1073" s="4"/>
      <c r="E1073" s="4"/>
      <c r="F1073" s="4"/>
      <c r="G1073" s="4"/>
      <c r="H1073" s="4"/>
      <c r="I1073" s="4"/>
      <c r="J1073" s="4"/>
      <c r="K1073" s="4"/>
    </row>
    <row r="1074" spans="1:11" ht="13">
      <c r="A1074" s="4"/>
      <c r="B1074" s="4"/>
      <c r="C1074" s="4"/>
      <c r="D1074" s="4"/>
      <c r="E1074" s="4"/>
      <c r="F1074" s="4"/>
      <c r="G1074" s="4"/>
      <c r="H1074" s="4"/>
      <c r="I1074" s="4"/>
      <c r="J1074" s="4"/>
      <c r="K1074" s="4"/>
    </row>
    <row r="1075" spans="1:11" ht="13">
      <c r="A1075" s="4"/>
      <c r="B1075" s="4"/>
      <c r="C1075" s="4"/>
      <c r="D1075" s="4"/>
      <c r="E1075" s="4"/>
      <c r="F1075" s="4"/>
      <c r="G1075" s="4"/>
      <c r="H1075" s="4"/>
      <c r="I1075" s="4"/>
      <c r="J1075" s="4"/>
      <c r="K1075" s="4"/>
    </row>
    <row r="1076" spans="1:11" ht="13">
      <c r="A1076" s="4"/>
      <c r="B1076" s="4"/>
      <c r="C1076" s="4"/>
      <c r="D1076" s="4"/>
      <c r="E1076" s="4"/>
      <c r="F1076" s="4"/>
      <c r="G1076" s="4"/>
      <c r="H1076" s="4"/>
      <c r="I1076" s="4"/>
      <c r="J1076" s="4"/>
      <c r="K1076" s="4"/>
    </row>
    <row r="1077" spans="1:11" ht="13">
      <c r="A1077" s="4"/>
      <c r="B1077" s="4"/>
      <c r="C1077" s="4"/>
      <c r="D1077" s="4"/>
      <c r="E1077" s="4"/>
      <c r="F1077" s="4"/>
      <c r="G1077" s="4"/>
      <c r="H1077" s="4"/>
      <c r="I1077" s="4"/>
      <c r="J1077" s="4"/>
      <c r="K1077" s="4"/>
    </row>
    <row r="1078" spans="1:11" ht="13">
      <c r="A1078" s="4"/>
      <c r="B1078" s="4"/>
      <c r="C1078" s="4"/>
      <c r="D1078" s="4"/>
      <c r="E1078" s="4"/>
      <c r="F1078" s="4"/>
      <c r="G1078" s="4"/>
      <c r="H1078" s="4"/>
      <c r="I1078" s="4"/>
      <c r="J1078" s="4"/>
      <c r="K1078" s="4"/>
    </row>
    <row r="1079" spans="1:11" ht="13">
      <c r="A1079" s="4"/>
      <c r="B1079" s="4"/>
      <c r="C1079" s="4"/>
      <c r="D1079" s="4"/>
      <c r="E1079" s="4"/>
      <c r="F1079" s="4"/>
      <c r="G1079" s="4"/>
      <c r="H1079" s="4"/>
      <c r="I1079" s="4"/>
      <c r="J1079" s="4"/>
      <c r="K1079" s="4"/>
    </row>
    <row r="1080" spans="1:11" ht="13">
      <c r="A1080" s="4"/>
      <c r="B1080" s="4"/>
      <c r="C1080" s="4"/>
      <c r="D1080" s="4"/>
      <c r="E1080" s="4"/>
      <c r="F1080" s="4"/>
      <c r="G1080" s="4"/>
      <c r="H1080" s="4"/>
      <c r="I1080" s="4"/>
      <c r="J1080" s="4"/>
      <c r="K1080" s="4"/>
    </row>
    <row r="1081" spans="1:11" ht="13">
      <c r="A1081" s="4"/>
      <c r="B1081" s="4"/>
      <c r="C1081" s="4"/>
      <c r="D1081" s="4"/>
      <c r="E1081" s="4"/>
      <c r="F1081" s="4"/>
      <c r="G1081" s="4"/>
      <c r="H1081" s="4"/>
      <c r="I1081" s="4"/>
      <c r="J1081" s="4"/>
      <c r="K1081" s="4"/>
    </row>
    <row r="1082" spans="1:11" ht="13">
      <c r="A1082" s="4"/>
      <c r="B1082" s="4"/>
      <c r="C1082" s="4"/>
      <c r="D1082" s="4"/>
      <c r="E1082" s="4"/>
      <c r="F1082" s="4"/>
      <c r="G1082" s="4"/>
      <c r="H1082" s="4"/>
      <c r="I1082" s="4"/>
      <c r="J1082" s="4"/>
      <c r="K1082" s="4"/>
    </row>
    <row r="1083" spans="1:11" ht="13">
      <c r="A1083" s="4"/>
      <c r="B1083" s="4"/>
      <c r="C1083" s="4"/>
      <c r="D1083" s="4"/>
      <c r="E1083" s="4"/>
      <c r="F1083" s="4"/>
      <c r="G1083" s="4"/>
      <c r="H1083" s="4"/>
      <c r="I1083" s="4"/>
      <c r="J1083" s="4"/>
      <c r="K1083" s="4"/>
    </row>
    <row r="1084" spans="1:11" ht="13">
      <c r="A1084" s="4"/>
      <c r="B1084" s="4"/>
      <c r="C1084" s="4"/>
      <c r="D1084" s="4"/>
      <c r="E1084" s="4"/>
      <c r="F1084" s="4"/>
      <c r="G1084" s="4"/>
      <c r="H1084" s="4"/>
      <c r="I1084" s="4"/>
      <c r="J1084" s="4"/>
      <c r="K1084" s="4"/>
    </row>
    <row r="1085" spans="1:11" ht="13">
      <c r="A1085" s="4"/>
      <c r="B1085" s="4"/>
      <c r="C1085" s="4"/>
      <c r="D1085" s="4"/>
      <c r="E1085" s="4"/>
      <c r="F1085" s="4"/>
      <c r="G1085" s="4"/>
      <c r="H1085" s="4"/>
      <c r="I1085" s="4"/>
      <c r="J1085" s="4"/>
      <c r="K1085" s="4"/>
    </row>
    <row r="1086" spans="1:11" ht="13">
      <c r="A1086" s="4"/>
      <c r="B1086" s="4"/>
      <c r="C1086" s="4"/>
      <c r="D1086" s="4"/>
      <c r="E1086" s="4"/>
      <c r="F1086" s="4"/>
      <c r="G1086" s="4"/>
      <c r="H1086" s="4"/>
      <c r="I1086" s="4"/>
      <c r="J1086" s="4"/>
      <c r="K1086" s="4"/>
    </row>
    <row r="1087" spans="1:11" ht="13">
      <c r="A1087" s="4"/>
      <c r="B1087" s="4"/>
      <c r="C1087" s="4"/>
      <c r="D1087" s="4"/>
      <c r="E1087" s="4"/>
      <c r="F1087" s="4"/>
      <c r="G1087" s="4"/>
      <c r="H1087" s="4"/>
      <c r="I1087" s="4"/>
      <c r="J1087" s="4"/>
      <c r="K1087" s="4"/>
    </row>
    <row r="1088" spans="1:11" ht="13">
      <c r="A1088" s="4"/>
      <c r="B1088" s="4"/>
      <c r="C1088" s="4"/>
      <c r="D1088" s="4"/>
      <c r="E1088" s="4"/>
      <c r="F1088" s="4"/>
      <c r="G1088" s="4"/>
      <c r="H1088" s="4"/>
      <c r="I1088" s="4"/>
      <c r="J1088" s="4"/>
      <c r="K1088" s="4"/>
    </row>
    <row r="1089" spans="1:11" ht="13">
      <c r="A1089" s="4"/>
      <c r="B1089" s="4"/>
      <c r="C1089" s="4"/>
      <c r="D1089" s="4"/>
      <c r="E1089" s="4"/>
      <c r="F1089" s="4"/>
      <c r="G1089" s="4"/>
      <c r="H1089" s="4"/>
      <c r="I1089" s="4"/>
      <c r="J1089" s="4"/>
      <c r="K1089" s="4"/>
    </row>
    <row r="1090" spans="1:11" ht="13">
      <c r="A1090" s="4"/>
      <c r="B1090" s="4"/>
      <c r="C1090" s="4"/>
      <c r="D1090" s="4"/>
      <c r="E1090" s="4"/>
      <c r="F1090" s="4"/>
      <c r="G1090" s="4"/>
      <c r="H1090" s="4"/>
      <c r="I1090" s="4"/>
      <c r="J1090" s="4"/>
      <c r="K1090" s="4"/>
    </row>
    <row r="1091" spans="1:11" ht="13">
      <c r="A1091" s="4"/>
      <c r="B1091" s="4"/>
      <c r="C1091" s="4"/>
      <c r="D1091" s="4"/>
      <c r="E1091" s="4"/>
      <c r="F1091" s="4"/>
      <c r="G1091" s="4"/>
      <c r="H1091" s="4"/>
      <c r="I1091" s="4"/>
      <c r="J1091" s="4"/>
      <c r="K1091" s="4"/>
    </row>
    <row r="1092" spans="1:11" ht="13">
      <c r="A1092" s="4"/>
      <c r="B1092" s="4"/>
      <c r="C1092" s="4"/>
      <c r="D1092" s="4"/>
      <c r="E1092" s="4"/>
      <c r="F1092" s="4"/>
      <c r="G1092" s="4"/>
      <c r="H1092" s="4"/>
      <c r="I1092" s="4"/>
      <c r="J1092" s="4"/>
      <c r="K1092" s="4"/>
    </row>
    <row r="1093" spans="1:11" ht="13">
      <c r="A1093" s="4"/>
      <c r="B1093" s="4"/>
      <c r="C1093" s="4"/>
      <c r="D1093" s="4"/>
      <c r="E1093" s="4"/>
      <c r="F1093" s="4"/>
      <c r="G1093" s="4"/>
      <c r="H1093" s="4"/>
      <c r="I1093" s="4"/>
      <c r="J1093" s="4"/>
      <c r="K1093" s="4"/>
    </row>
    <row r="1094" spans="1:11" ht="13">
      <c r="A1094" s="4"/>
      <c r="B1094" s="4"/>
      <c r="C1094" s="4"/>
      <c r="D1094" s="4"/>
      <c r="E1094" s="4"/>
      <c r="F1094" s="4"/>
      <c r="G1094" s="4"/>
      <c r="H1094" s="4"/>
      <c r="I1094" s="4"/>
      <c r="J1094" s="4"/>
      <c r="K1094" s="4"/>
    </row>
    <row r="1095" spans="1:11" ht="13">
      <c r="A1095" s="4"/>
      <c r="B1095" s="4"/>
      <c r="C1095" s="4"/>
      <c r="D1095" s="4"/>
      <c r="E1095" s="4"/>
      <c r="F1095" s="4"/>
      <c r="G1095" s="4"/>
      <c r="H1095" s="4"/>
      <c r="I1095" s="4"/>
      <c r="J1095" s="4"/>
      <c r="K1095" s="4"/>
    </row>
    <row r="1096" spans="1:11" ht="13">
      <c r="A1096" s="4"/>
      <c r="B1096" s="4"/>
      <c r="C1096" s="4"/>
      <c r="D1096" s="4"/>
      <c r="E1096" s="4"/>
      <c r="F1096" s="4"/>
      <c r="G1096" s="4"/>
      <c r="H1096" s="4"/>
      <c r="I1096" s="4"/>
      <c r="J1096" s="4"/>
      <c r="K1096" s="4"/>
    </row>
    <row r="1097" spans="1:11" ht="13">
      <c r="A1097" s="4"/>
      <c r="B1097" s="4"/>
      <c r="C1097" s="4"/>
      <c r="D1097" s="4"/>
      <c r="E1097" s="4"/>
      <c r="F1097" s="4"/>
      <c r="G1097" s="4"/>
      <c r="H1097" s="4"/>
      <c r="I1097" s="4"/>
      <c r="J1097" s="4"/>
      <c r="K1097" s="4"/>
    </row>
    <row r="1098" spans="1:11" ht="13">
      <c r="A1098" s="4"/>
      <c r="B1098" s="4"/>
      <c r="C1098" s="4"/>
      <c r="D1098" s="4"/>
      <c r="E1098" s="4"/>
      <c r="F1098" s="4"/>
      <c r="G1098" s="4"/>
      <c r="H1098" s="4"/>
      <c r="I1098" s="4"/>
      <c r="J1098" s="4"/>
      <c r="K1098" s="4"/>
    </row>
    <row r="1099" spans="1:11" ht="13">
      <c r="A1099" s="4"/>
      <c r="B1099" s="4"/>
      <c r="C1099" s="4"/>
      <c r="D1099" s="4"/>
      <c r="E1099" s="4"/>
      <c r="F1099" s="4"/>
      <c r="G1099" s="4"/>
      <c r="H1099" s="4"/>
      <c r="I1099" s="4"/>
      <c r="J1099" s="4"/>
      <c r="K1099" s="4"/>
    </row>
    <row r="1100" spans="1:11" ht="13">
      <c r="A1100" s="4"/>
      <c r="B1100" s="4"/>
      <c r="C1100" s="4"/>
      <c r="D1100" s="4"/>
      <c r="E1100" s="4"/>
      <c r="F1100" s="4"/>
      <c r="G1100" s="4"/>
      <c r="H1100" s="4"/>
      <c r="I1100" s="4"/>
      <c r="J1100" s="4"/>
      <c r="K1100" s="4"/>
    </row>
    <row r="1101" spans="1:11" ht="13">
      <c r="A1101" s="4"/>
      <c r="B1101" s="4"/>
      <c r="C1101" s="4"/>
      <c r="D1101" s="4"/>
      <c r="E1101" s="4"/>
      <c r="F1101" s="4"/>
      <c r="G1101" s="4"/>
      <c r="H1101" s="4"/>
      <c r="I1101" s="4"/>
      <c r="J1101" s="4"/>
      <c r="K1101" s="4"/>
    </row>
    <row r="1102" spans="1:11" ht="13">
      <c r="A1102" s="4"/>
      <c r="B1102" s="4"/>
      <c r="C1102" s="4"/>
      <c r="D1102" s="4"/>
      <c r="E1102" s="4"/>
      <c r="F1102" s="4"/>
      <c r="G1102" s="4"/>
      <c r="H1102" s="4"/>
      <c r="I1102" s="4"/>
      <c r="J1102" s="4"/>
      <c r="K1102" s="4"/>
    </row>
    <row r="1103" spans="1:11" ht="13">
      <c r="A1103" s="4"/>
      <c r="B1103" s="4"/>
      <c r="C1103" s="4"/>
      <c r="D1103" s="4"/>
      <c r="E1103" s="4"/>
      <c r="F1103" s="4"/>
      <c r="G1103" s="4"/>
      <c r="H1103" s="4"/>
      <c r="I1103" s="4"/>
      <c r="J1103" s="4"/>
      <c r="K1103" s="4"/>
    </row>
    <row r="1104" spans="1:11" ht="13">
      <c r="A1104" s="4"/>
      <c r="B1104" s="4"/>
      <c r="C1104" s="4"/>
      <c r="D1104" s="4"/>
      <c r="E1104" s="4"/>
      <c r="F1104" s="4"/>
      <c r="G1104" s="4"/>
      <c r="H1104" s="4"/>
      <c r="I1104" s="4"/>
      <c r="J1104" s="4"/>
      <c r="K1104" s="4"/>
    </row>
    <row r="1105" spans="1:11" ht="13">
      <c r="A1105" s="4"/>
      <c r="B1105" s="4"/>
      <c r="C1105" s="4"/>
      <c r="D1105" s="4"/>
      <c r="E1105" s="4"/>
      <c r="F1105" s="4"/>
      <c r="G1105" s="4"/>
      <c r="H1105" s="4"/>
      <c r="I1105" s="4"/>
      <c r="J1105" s="4"/>
      <c r="K1105" s="4"/>
    </row>
    <row r="1106" spans="1:11" ht="13">
      <c r="A1106" s="4"/>
      <c r="B1106" s="4"/>
      <c r="C1106" s="4"/>
      <c r="D1106" s="4"/>
      <c r="E1106" s="4"/>
      <c r="F1106" s="4"/>
      <c r="G1106" s="4"/>
      <c r="H1106" s="4"/>
      <c r="I1106" s="4"/>
      <c r="J1106" s="4"/>
      <c r="K1106" s="4"/>
    </row>
    <row r="1107" spans="1:11" ht="13">
      <c r="A1107" s="4"/>
      <c r="B1107" s="4"/>
      <c r="C1107" s="4"/>
      <c r="D1107" s="4"/>
      <c r="E1107" s="4"/>
      <c r="F1107" s="4"/>
      <c r="G1107" s="4"/>
      <c r="H1107" s="4"/>
      <c r="I1107" s="4"/>
      <c r="J1107" s="4"/>
      <c r="K1107" s="4"/>
    </row>
    <row r="1108" spans="1:11" ht="13">
      <c r="A1108" s="4"/>
      <c r="B1108" s="4"/>
      <c r="C1108" s="4"/>
      <c r="D1108" s="4"/>
      <c r="E1108" s="4"/>
      <c r="F1108" s="4"/>
      <c r="G1108" s="4"/>
      <c r="H1108" s="4"/>
      <c r="I1108" s="4"/>
      <c r="J1108" s="4"/>
      <c r="K1108" s="4"/>
    </row>
    <row r="1109" spans="1:11" ht="13">
      <c r="A1109" s="4"/>
      <c r="B1109" s="4"/>
      <c r="C1109" s="4"/>
      <c r="D1109" s="4"/>
      <c r="E1109" s="4"/>
      <c r="F1109" s="4"/>
      <c r="G1109" s="4"/>
      <c r="H1109" s="4"/>
      <c r="I1109" s="4"/>
      <c r="J1109" s="4"/>
      <c r="K1109" s="4"/>
    </row>
    <row r="1110" spans="1:11" ht="13">
      <c r="A1110" s="4"/>
      <c r="B1110" s="4"/>
      <c r="C1110" s="4"/>
      <c r="D1110" s="4"/>
      <c r="E1110" s="4"/>
      <c r="F1110" s="4"/>
      <c r="G1110" s="4"/>
      <c r="H1110" s="4"/>
      <c r="I1110" s="4"/>
      <c r="J1110" s="4"/>
      <c r="K1110" s="4"/>
    </row>
    <row r="1111" spans="1:11" ht="13">
      <c r="A1111" s="4"/>
      <c r="B1111" s="4"/>
      <c r="C1111" s="4"/>
      <c r="D1111" s="4"/>
      <c r="E1111" s="4"/>
      <c r="F1111" s="4"/>
      <c r="G1111" s="4"/>
      <c r="H1111" s="4"/>
      <c r="I1111" s="4"/>
      <c r="J1111" s="4"/>
      <c r="K1111" s="4"/>
    </row>
    <row r="1112" spans="1:11" ht="13">
      <c r="A1112" s="4"/>
      <c r="B1112" s="4"/>
      <c r="C1112" s="4"/>
      <c r="D1112" s="4"/>
      <c r="E1112" s="4"/>
      <c r="F1112" s="4"/>
      <c r="G1112" s="4"/>
      <c r="H1112" s="4"/>
      <c r="I1112" s="4"/>
      <c r="J1112" s="4"/>
      <c r="K1112" s="4"/>
    </row>
    <row r="1113" spans="1:11" ht="13">
      <c r="A1113" s="4"/>
      <c r="B1113" s="4"/>
      <c r="C1113" s="4"/>
      <c r="D1113" s="4"/>
      <c r="E1113" s="4"/>
      <c r="F1113" s="4"/>
      <c r="G1113" s="4"/>
      <c r="H1113" s="4"/>
      <c r="I1113" s="4"/>
      <c r="J1113" s="4"/>
      <c r="K1113" s="4"/>
    </row>
    <row r="1114" spans="1:11" ht="13">
      <c r="A1114" s="4"/>
      <c r="B1114" s="4"/>
      <c r="C1114" s="4"/>
      <c r="D1114" s="4"/>
      <c r="E1114" s="4"/>
      <c r="F1114" s="4"/>
      <c r="G1114" s="4"/>
      <c r="H1114" s="4"/>
      <c r="I1114" s="4"/>
      <c r="J1114" s="4"/>
      <c r="K1114" s="4"/>
    </row>
    <row r="1115" spans="1:11" ht="13">
      <c r="A1115" s="4"/>
      <c r="B1115" s="4"/>
      <c r="C1115" s="4"/>
      <c r="D1115" s="4"/>
      <c r="E1115" s="4"/>
      <c r="F1115" s="4"/>
      <c r="G1115" s="4"/>
      <c r="H1115" s="4"/>
      <c r="I1115" s="4"/>
      <c r="J1115" s="4"/>
      <c r="K1115" s="4"/>
    </row>
    <row r="1116" spans="1:11" ht="13">
      <c r="A1116" s="4"/>
      <c r="B1116" s="4"/>
      <c r="C1116" s="4"/>
      <c r="D1116" s="4"/>
      <c r="E1116" s="4"/>
      <c r="F1116" s="4"/>
      <c r="G1116" s="4"/>
      <c r="H1116" s="4"/>
      <c r="I1116" s="4"/>
      <c r="J1116" s="4"/>
      <c r="K1116" s="4"/>
    </row>
    <row r="1117" spans="1:11" ht="13">
      <c r="A1117" s="4"/>
      <c r="B1117" s="4"/>
      <c r="C1117" s="4"/>
      <c r="D1117" s="4"/>
      <c r="E1117" s="4"/>
      <c r="F1117" s="4"/>
      <c r="G1117" s="4"/>
      <c r="H1117" s="4"/>
      <c r="I1117" s="4"/>
      <c r="J1117" s="4"/>
      <c r="K1117" s="4"/>
    </row>
    <row r="1118" spans="1:11" ht="13">
      <c r="A1118" s="4"/>
      <c r="B1118" s="4"/>
      <c r="C1118" s="4"/>
      <c r="D1118" s="4"/>
      <c r="E1118" s="4"/>
      <c r="F1118" s="4"/>
      <c r="G1118" s="4"/>
      <c r="H1118" s="4"/>
      <c r="I1118" s="4"/>
      <c r="J1118" s="4"/>
      <c r="K1118" s="4"/>
    </row>
    <row r="1119" spans="1:11" ht="13">
      <c r="A1119" s="4"/>
      <c r="B1119" s="4"/>
      <c r="C1119" s="4"/>
      <c r="D1119" s="4"/>
      <c r="E1119" s="4"/>
      <c r="F1119" s="4"/>
      <c r="G1119" s="4"/>
      <c r="H1119" s="4"/>
      <c r="I1119" s="4"/>
      <c r="J1119" s="4"/>
      <c r="K1119" s="4"/>
    </row>
    <row r="1120" spans="1:11" ht="13">
      <c r="A1120" s="4"/>
      <c r="B1120" s="4"/>
      <c r="C1120" s="4"/>
      <c r="D1120" s="4"/>
      <c r="E1120" s="4"/>
      <c r="F1120" s="4"/>
      <c r="G1120" s="4"/>
      <c r="H1120" s="4"/>
      <c r="I1120" s="4"/>
      <c r="J1120" s="4"/>
      <c r="K1120" s="4"/>
    </row>
    <row r="1121" spans="1:11" ht="13">
      <c r="A1121" s="4"/>
      <c r="B1121" s="4"/>
      <c r="C1121" s="4"/>
      <c r="D1121" s="4"/>
      <c r="E1121" s="4"/>
      <c r="F1121" s="4"/>
      <c r="G1121" s="4"/>
      <c r="H1121" s="4"/>
      <c r="I1121" s="4"/>
      <c r="J1121" s="4"/>
      <c r="K1121" s="4"/>
    </row>
    <row r="1122" spans="1:11" ht="13">
      <c r="A1122" s="4"/>
      <c r="B1122" s="4"/>
      <c r="C1122" s="4"/>
      <c r="D1122" s="4"/>
      <c r="E1122" s="4"/>
      <c r="F1122" s="4"/>
      <c r="G1122" s="4"/>
      <c r="H1122" s="4"/>
      <c r="I1122" s="4"/>
      <c r="J1122" s="4"/>
      <c r="K1122" s="4"/>
    </row>
    <row r="1123" spans="1:11" ht="13">
      <c r="A1123" s="4"/>
      <c r="B1123" s="4"/>
      <c r="C1123" s="4"/>
      <c r="D1123" s="4"/>
      <c r="E1123" s="4"/>
      <c r="F1123" s="4"/>
      <c r="G1123" s="4"/>
      <c r="H1123" s="4"/>
      <c r="I1123" s="4"/>
      <c r="J1123" s="4"/>
      <c r="K1123" s="4"/>
    </row>
    <row r="1124" spans="1:11" ht="13">
      <c r="A1124" s="4"/>
      <c r="B1124" s="4"/>
      <c r="C1124" s="4"/>
      <c r="D1124" s="4"/>
      <c r="E1124" s="4"/>
      <c r="F1124" s="4"/>
      <c r="G1124" s="4"/>
      <c r="H1124" s="4"/>
      <c r="I1124" s="4"/>
      <c r="J1124" s="4"/>
      <c r="K1124" s="4"/>
    </row>
    <row r="1125" spans="1:11" ht="13">
      <c r="A1125" s="4"/>
      <c r="B1125" s="4"/>
      <c r="C1125" s="4"/>
      <c r="D1125" s="4"/>
      <c r="E1125" s="4"/>
      <c r="F1125" s="4"/>
      <c r="G1125" s="4"/>
      <c r="H1125" s="4"/>
      <c r="I1125" s="4"/>
      <c r="J1125" s="4"/>
      <c r="K1125" s="4"/>
    </row>
    <row r="1126" spans="1:11" ht="13">
      <c r="A1126" s="4"/>
      <c r="B1126" s="4"/>
      <c r="C1126" s="4"/>
      <c r="D1126" s="4"/>
      <c r="E1126" s="4"/>
      <c r="F1126" s="4"/>
      <c r="G1126" s="4"/>
      <c r="H1126" s="4"/>
      <c r="I1126" s="4"/>
      <c r="J1126" s="4"/>
      <c r="K1126" s="4"/>
    </row>
    <row r="1127" spans="1:11" ht="13">
      <c r="A1127" s="4"/>
      <c r="B1127" s="4"/>
      <c r="C1127" s="4"/>
      <c r="D1127" s="4"/>
      <c r="E1127" s="4"/>
      <c r="F1127" s="4"/>
      <c r="G1127" s="4"/>
      <c r="H1127" s="4"/>
      <c r="I1127" s="4"/>
      <c r="J1127" s="4"/>
      <c r="K1127" s="4"/>
    </row>
    <row r="1128" spans="1:11" ht="13">
      <c r="A1128" s="4"/>
      <c r="B1128" s="4"/>
      <c r="C1128" s="4"/>
      <c r="D1128" s="4"/>
      <c r="E1128" s="4"/>
      <c r="F1128" s="4"/>
      <c r="G1128" s="4"/>
      <c r="H1128" s="4"/>
      <c r="I1128" s="4"/>
      <c r="J1128" s="4"/>
      <c r="K1128" s="4"/>
    </row>
    <row r="1129" spans="1:11" ht="13">
      <c r="A1129" s="4"/>
      <c r="B1129" s="4"/>
      <c r="C1129" s="4"/>
      <c r="D1129" s="4"/>
      <c r="E1129" s="4"/>
      <c r="F1129" s="4"/>
      <c r="G1129" s="4"/>
      <c r="H1129" s="4"/>
      <c r="I1129" s="4"/>
      <c r="J1129" s="4"/>
      <c r="K1129" s="4"/>
    </row>
    <row r="1130" spans="1:11" ht="13">
      <c r="A1130" s="4"/>
      <c r="B1130" s="4"/>
      <c r="C1130" s="4"/>
      <c r="D1130" s="4"/>
      <c r="E1130" s="4"/>
      <c r="F1130" s="4"/>
      <c r="G1130" s="4"/>
      <c r="H1130" s="4"/>
      <c r="I1130" s="4"/>
      <c r="J1130" s="4"/>
      <c r="K1130" s="4"/>
    </row>
    <row r="1131" spans="1:11" ht="13">
      <c r="A1131" s="4"/>
      <c r="B1131" s="4"/>
      <c r="C1131" s="4"/>
      <c r="D1131" s="4"/>
      <c r="E1131" s="4"/>
      <c r="F1131" s="4"/>
      <c r="G1131" s="4"/>
      <c r="H1131" s="4"/>
      <c r="I1131" s="4"/>
      <c r="J1131" s="4"/>
      <c r="K1131" s="4"/>
    </row>
    <row r="1132" spans="1:11" ht="13">
      <c r="A1132" s="4"/>
      <c r="B1132" s="4"/>
      <c r="C1132" s="4"/>
      <c r="D1132" s="4"/>
      <c r="E1132" s="4"/>
      <c r="F1132" s="4"/>
      <c r="G1132" s="4"/>
      <c r="H1132" s="4"/>
      <c r="I1132" s="4"/>
      <c r="J1132" s="4"/>
      <c r="K1132" s="4"/>
    </row>
    <row r="1133" spans="1:11" ht="13">
      <c r="A1133" s="4"/>
      <c r="B1133" s="4"/>
      <c r="C1133" s="4"/>
      <c r="D1133" s="4"/>
      <c r="E1133" s="4"/>
      <c r="F1133" s="4"/>
      <c r="G1133" s="4"/>
      <c r="H1133" s="4"/>
      <c r="I1133" s="4"/>
      <c r="J1133" s="4"/>
      <c r="K1133" s="4"/>
    </row>
    <row r="1134" spans="1:11" ht="13">
      <c r="A1134" s="4"/>
      <c r="B1134" s="4"/>
      <c r="C1134" s="4"/>
      <c r="D1134" s="4"/>
      <c r="E1134" s="4"/>
      <c r="F1134" s="4"/>
      <c r="G1134" s="4"/>
      <c r="H1134" s="4"/>
      <c r="I1134" s="4"/>
      <c r="J1134" s="4"/>
      <c r="K1134" s="4"/>
    </row>
    <row r="1135" spans="1:11" ht="13">
      <c r="A1135" s="4"/>
      <c r="B1135" s="4"/>
      <c r="C1135" s="4"/>
      <c r="D1135" s="4"/>
      <c r="E1135" s="4"/>
      <c r="F1135" s="4"/>
      <c r="G1135" s="4"/>
      <c r="H1135" s="4"/>
      <c r="I1135" s="4"/>
      <c r="J1135" s="4"/>
      <c r="K1135" s="4"/>
    </row>
    <row r="1136" spans="1:11" ht="13">
      <c r="A1136" s="4"/>
      <c r="B1136" s="4"/>
      <c r="C1136" s="4"/>
      <c r="D1136" s="4"/>
      <c r="E1136" s="4"/>
      <c r="F1136" s="4"/>
      <c r="G1136" s="4"/>
      <c r="H1136" s="4"/>
      <c r="I1136" s="4"/>
      <c r="J1136" s="4"/>
      <c r="K1136" s="4"/>
    </row>
    <row r="1137" spans="1:11" ht="13">
      <c r="A1137" s="4"/>
      <c r="B1137" s="4"/>
      <c r="C1137" s="4"/>
      <c r="D1137" s="4"/>
      <c r="E1137" s="4"/>
      <c r="F1137" s="4"/>
      <c r="G1137" s="4"/>
      <c r="H1137" s="4"/>
      <c r="I1137" s="4"/>
      <c r="J1137" s="4"/>
      <c r="K1137" s="4"/>
    </row>
    <row r="1138" spans="1:11" ht="13">
      <c r="A1138" s="4"/>
      <c r="B1138" s="4"/>
      <c r="C1138" s="4"/>
      <c r="D1138" s="4"/>
      <c r="E1138" s="4"/>
      <c r="F1138" s="4"/>
      <c r="G1138" s="4"/>
      <c r="H1138" s="4"/>
      <c r="I1138" s="4"/>
      <c r="J1138" s="4"/>
      <c r="K1138" s="4"/>
    </row>
    <row r="1139" spans="1:11" ht="13">
      <c r="A1139" s="4"/>
      <c r="B1139" s="4"/>
      <c r="C1139" s="4"/>
      <c r="D1139" s="4"/>
      <c r="E1139" s="4"/>
      <c r="F1139" s="4"/>
      <c r="G1139" s="4"/>
      <c r="H1139" s="4"/>
      <c r="I1139" s="4"/>
      <c r="J1139" s="4"/>
      <c r="K1139" s="4"/>
    </row>
    <row r="1140" spans="1:11" ht="13">
      <c r="A1140" s="4"/>
      <c r="B1140" s="4"/>
      <c r="C1140" s="4"/>
      <c r="D1140" s="4"/>
      <c r="E1140" s="4"/>
      <c r="F1140" s="4"/>
      <c r="G1140" s="4"/>
      <c r="H1140" s="4"/>
      <c r="I1140" s="4"/>
      <c r="J1140" s="4"/>
      <c r="K1140" s="4"/>
    </row>
    <row r="1141" spans="1:11" ht="13">
      <c r="A1141" s="4"/>
      <c r="B1141" s="4"/>
      <c r="C1141" s="4"/>
      <c r="D1141" s="4"/>
      <c r="E1141" s="4"/>
      <c r="F1141" s="4"/>
      <c r="G1141" s="4"/>
      <c r="H1141" s="4"/>
      <c r="I1141" s="4"/>
      <c r="J1141" s="4"/>
      <c r="K1141" s="4"/>
    </row>
    <row r="1142" spans="1:11" ht="13">
      <c r="A1142" s="4"/>
      <c r="B1142" s="4"/>
      <c r="C1142" s="4"/>
      <c r="D1142" s="4"/>
      <c r="E1142" s="4"/>
      <c r="F1142" s="4"/>
      <c r="G1142" s="4"/>
      <c r="H1142" s="4"/>
      <c r="I1142" s="4"/>
      <c r="J1142" s="4"/>
      <c r="K1142" s="4"/>
    </row>
    <row r="1143" spans="1:11" ht="13">
      <c r="A1143" s="4"/>
      <c r="B1143" s="4"/>
      <c r="C1143" s="4"/>
      <c r="D1143" s="4"/>
      <c r="E1143" s="4"/>
      <c r="F1143" s="4"/>
      <c r="G1143" s="4"/>
      <c r="H1143" s="4"/>
      <c r="I1143" s="4"/>
      <c r="J1143" s="4"/>
      <c r="K1143" s="4"/>
    </row>
    <row r="1144" spans="1:11" ht="13">
      <c r="A1144" s="4"/>
      <c r="B1144" s="4"/>
      <c r="C1144" s="4"/>
      <c r="D1144" s="4"/>
      <c r="E1144" s="4"/>
      <c r="F1144" s="4"/>
      <c r="G1144" s="4"/>
      <c r="H1144" s="4"/>
      <c r="I1144" s="4"/>
      <c r="J1144" s="4"/>
      <c r="K1144" s="4"/>
    </row>
    <row r="1145" spans="1:11" ht="13">
      <c r="A1145" s="4"/>
      <c r="B1145" s="4"/>
      <c r="C1145" s="4"/>
      <c r="D1145" s="4"/>
      <c r="E1145" s="4"/>
      <c r="F1145" s="4"/>
      <c r="G1145" s="4"/>
      <c r="H1145" s="4"/>
      <c r="I1145" s="4"/>
      <c r="J1145" s="4"/>
      <c r="K1145" s="4"/>
    </row>
    <row r="1146" spans="1:11" ht="13">
      <c r="A1146" s="4"/>
      <c r="B1146" s="4"/>
      <c r="C1146" s="4"/>
      <c r="D1146" s="4"/>
      <c r="E1146" s="4"/>
      <c r="F1146" s="4"/>
      <c r="G1146" s="4"/>
      <c r="H1146" s="4"/>
      <c r="I1146" s="4"/>
      <c r="J1146" s="4"/>
      <c r="K1146" s="4"/>
    </row>
    <row r="1147" spans="1:11" ht="13">
      <c r="A1147" s="4"/>
      <c r="B1147" s="4"/>
      <c r="C1147" s="4"/>
      <c r="D1147" s="4"/>
      <c r="E1147" s="4"/>
      <c r="F1147" s="4"/>
      <c r="G1147" s="4"/>
      <c r="H1147" s="4"/>
      <c r="I1147" s="4"/>
      <c r="J1147" s="4"/>
      <c r="K1147" s="4"/>
    </row>
    <row r="1148" spans="1:11" ht="13">
      <c r="A1148" s="4"/>
      <c r="B1148" s="4"/>
      <c r="C1148" s="4"/>
      <c r="D1148" s="4"/>
      <c r="E1148" s="4"/>
      <c r="F1148" s="4"/>
      <c r="G1148" s="4"/>
      <c r="H1148" s="4"/>
      <c r="I1148" s="4"/>
      <c r="J1148" s="4"/>
      <c r="K1148" s="4"/>
    </row>
    <row r="1149" spans="1:11" ht="13">
      <c r="A1149" s="4"/>
      <c r="B1149" s="4"/>
      <c r="C1149" s="4"/>
      <c r="D1149" s="4"/>
      <c r="E1149" s="4"/>
      <c r="F1149" s="4"/>
      <c r="G1149" s="4"/>
      <c r="H1149" s="4"/>
      <c r="I1149" s="4"/>
      <c r="J1149" s="4"/>
      <c r="K1149" s="4"/>
    </row>
    <row r="1150" spans="1:11" ht="13">
      <c r="A1150" s="4"/>
      <c r="B1150" s="4"/>
      <c r="C1150" s="4"/>
      <c r="D1150" s="4"/>
      <c r="E1150" s="4"/>
      <c r="F1150" s="4"/>
      <c r="G1150" s="4"/>
      <c r="H1150" s="4"/>
      <c r="I1150" s="4"/>
      <c r="J1150" s="4"/>
      <c r="K1150" s="4"/>
    </row>
    <row r="1151" spans="1:11" ht="13">
      <c r="A1151" s="4"/>
      <c r="B1151" s="4"/>
      <c r="C1151" s="4"/>
      <c r="D1151" s="4"/>
      <c r="E1151" s="4"/>
      <c r="F1151" s="4"/>
      <c r="G1151" s="4"/>
      <c r="H1151" s="4"/>
      <c r="I1151" s="4"/>
      <c r="J1151" s="4"/>
      <c r="K1151" s="4"/>
    </row>
    <row r="1152" spans="1:11" ht="13">
      <c r="A1152" s="4"/>
      <c r="B1152" s="4"/>
      <c r="C1152" s="4"/>
      <c r="D1152" s="4"/>
      <c r="E1152" s="4"/>
      <c r="F1152" s="4"/>
      <c r="G1152" s="4"/>
      <c r="H1152" s="4"/>
      <c r="I1152" s="4"/>
      <c r="J1152" s="4"/>
      <c r="K1152" s="4"/>
    </row>
    <row r="1153" spans="1:11" ht="13">
      <c r="A1153" s="4"/>
      <c r="B1153" s="4"/>
      <c r="C1153" s="4"/>
      <c r="D1153" s="4"/>
      <c r="E1153" s="4"/>
      <c r="F1153" s="4"/>
      <c r="G1153" s="4"/>
      <c r="H1153" s="4"/>
      <c r="I1153" s="4"/>
      <c r="J1153" s="4"/>
      <c r="K1153" s="4"/>
    </row>
    <row r="1154" spans="1:11" ht="13">
      <c r="A1154" s="4"/>
      <c r="B1154" s="4"/>
      <c r="C1154" s="4"/>
      <c r="D1154" s="4"/>
      <c r="E1154" s="4"/>
      <c r="F1154" s="4"/>
      <c r="G1154" s="4"/>
      <c r="H1154" s="4"/>
      <c r="I1154" s="4"/>
      <c r="J1154" s="4"/>
      <c r="K1154" s="4"/>
    </row>
    <row r="1155" spans="1:11" ht="13">
      <c r="A1155" s="4"/>
      <c r="B1155" s="4"/>
      <c r="C1155" s="4"/>
      <c r="D1155" s="4"/>
      <c r="E1155" s="4"/>
      <c r="F1155" s="4"/>
      <c r="G1155" s="4"/>
      <c r="H1155" s="4"/>
      <c r="I1155" s="4"/>
      <c r="J1155" s="4"/>
      <c r="K1155" s="4"/>
    </row>
    <row r="1156" spans="1:11" ht="13">
      <c r="A1156" s="4"/>
      <c r="B1156" s="4"/>
      <c r="C1156" s="4"/>
      <c r="D1156" s="4"/>
      <c r="E1156" s="4"/>
      <c r="F1156" s="4"/>
      <c r="G1156" s="4"/>
      <c r="H1156" s="4"/>
      <c r="I1156" s="4"/>
      <c r="J1156" s="4"/>
      <c r="K1156" s="4"/>
    </row>
    <row r="1157" spans="1:11" ht="13">
      <c r="A1157" s="4"/>
      <c r="B1157" s="4"/>
      <c r="C1157" s="4"/>
      <c r="D1157" s="4"/>
      <c r="E1157" s="4"/>
      <c r="F1157" s="4"/>
      <c r="G1157" s="4"/>
      <c r="H1157" s="4"/>
      <c r="I1157" s="4"/>
      <c r="J1157" s="4"/>
      <c r="K1157" s="4"/>
    </row>
    <row r="1158" spans="1:11" ht="13">
      <c r="A1158" s="4"/>
      <c r="B1158" s="4"/>
      <c r="C1158" s="4"/>
      <c r="D1158" s="4"/>
      <c r="E1158" s="4"/>
      <c r="F1158" s="4"/>
      <c r="G1158" s="4"/>
      <c r="H1158" s="4"/>
      <c r="I1158" s="4"/>
      <c r="J1158" s="4"/>
      <c r="K1158" s="4"/>
    </row>
    <row r="1159" spans="1:11" ht="13">
      <c r="A1159" s="4"/>
      <c r="B1159" s="4"/>
      <c r="C1159" s="4"/>
      <c r="D1159" s="4"/>
      <c r="E1159" s="4"/>
      <c r="F1159" s="4"/>
      <c r="G1159" s="4"/>
      <c r="H1159" s="4"/>
      <c r="I1159" s="4"/>
      <c r="J1159" s="4"/>
      <c r="K1159" s="4"/>
    </row>
    <row r="1160" spans="1:11" ht="13">
      <c r="A1160" s="4"/>
      <c r="B1160" s="4"/>
      <c r="C1160" s="4"/>
      <c r="D1160" s="4"/>
      <c r="E1160" s="4"/>
      <c r="F1160" s="4"/>
      <c r="G1160" s="4"/>
      <c r="H1160" s="4"/>
      <c r="I1160" s="4"/>
      <c r="J1160" s="4"/>
      <c r="K1160" s="4"/>
    </row>
    <row r="1161" spans="1:11" ht="13">
      <c r="A1161" s="4"/>
      <c r="B1161" s="4"/>
      <c r="C1161" s="4"/>
      <c r="D1161" s="4"/>
      <c r="E1161" s="4"/>
      <c r="F1161" s="4"/>
      <c r="G1161" s="4"/>
      <c r="H1161" s="4"/>
      <c r="I1161" s="4"/>
      <c r="J1161" s="4"/>
      <c r="K1161" s="4"/>
    </row>
    <row r="1162" spans="1:11" ht="13">
      <c r="A1162" s="4"/>
      <c r="B1162" s="4"/>
      <c r="C1162" s="4"/>
      <c r="D1162" s="4"/>
      <c r="E1162" s="4"/>
      <c r="F1162" s="4"/>
      <c r="G1162" s="4"/>
      <c r="H1162" s="4"/>
      <c r="I1162" s="4"/>
      <c r="J1162" s="4"/>
      <c r="K1162" s="4"/>
    </row>
    <row r="1163" spans="1:11" ht="13">
      <c r="A1163" s="4"/>
      <c r="B1163" s="4"/>
      <c r="C1163" s="4"/>
      <c r="D1163" s="4"/>
      <c r="E1163" s="4"/>
      <c r="F1163" s="4"/>
      <c r="G1163" s="4"/>
      <c r="H1163" s="4"/>
      <c r="I1163" s="4"/>
      <c r="J1163" s="4"/>
      <c r="K1163" s="4"/>
    </row>
    <row r="1164" spans="1:11" ht="13">
      <c r="A1164" s="4"/>
      <c r="B1164" s="4"/>
      <c r="C1164" s="4"/>
      <c r="D1164" s="4"/>
      <c r="E1164" s="4"/>
      <c r="F1164" s="4"/>
      <c r="G1164" s="4"/>
      <c r="H1164" s="4"/>
      <c r="I1164" s="4"/>
      <c r="J1164" s="4"/>
      <c r="K1164" s="4"/>
    </row>
    <row r="1165" spans="1:11" ht="13">
      <c r="A1165" s="4"/>
      <c r="B1165" s="4"/>
      <c r="C1165" s="4"/>
      <c r="D1165" s="4"/>
      <c r="E1165" s="4"/>
      <c r="F1165" s="4"/>
      <c r="G1165" s="4"/>
      <c r="H1165" s="4"/>
      <c r="I1165" s="4"/>
      <c r="J1165" s="4"/>
      <c r="K1165" s="4"/>
    </row>
    <row r="1166" spans="1:11" ht="13">
      <c r="A1166" s="4"/>
      <c r="B1166" s="4"/>
      <c r="C1166" s="4"/>
      <c r="D1166" s="4"/>
      <c r="E1166" s="4"/>
      <c r="F1166" s="4"/>
      <c r="G1166" s="4"/>
      <c r="H1166" s="4"/>
      <c r="I1166" s="4"/>
      <c r="J1166" s="4"/>
      <c r="K1166" s="4"/>
    </row>
    <row r="1167" spans="1:11" ht="13">
      <c r="A1167" s="4"/>
      <c r="B1167" s="4"/>
      <c r="C1167" s="4"/>
      <c r="D1167" s="4"/>
      <c r="E1167" s="4"/>
      <c r="F1167" s="4"/>
      <c r="G1167" s="4"/>
      <c r="H1167" s="4"/>
      <c r="I1167" s="4"/>
      <c r="J1167" s="4"/>
      <c r="K1167" s="4"/>
    </row>
    <row r="1168" spans="1:11" ht="13">
      <c r="A1168" s="4"/>
      <c r="B1168" s="4"/>
      <c r="C1168" s="4"/>
      <c r="D1168" s="4"/>
      <c r="E1168" s="4"/>
      <c r="F1168" s="4"/>
      <c r="G1168" s="4"/>
      <c r="H1168" s="4"/>
      <c r="I1168" s="4"/>
      <c r="J1168" s="4"/>
      <c r="K1168" s="4"/>
    </row>
    <row r="1169" spans="1:11" ht="13">
      <c r="A1169" s="4"/>
      <c r="B1169" s="4"/>
      <c r="C1169" s="4"/>
      <c r="D1169" s="4"/>
      <c r="E1169" s="4"/>
      <c r="F1169" s="4"/>
      <c r="G1169" s="4"/>
      <c r="H1169" s="4"/>
      <c r="I1169" s="4"/>
      <c r="J1169" s="4"/>
      <c r="K1169" s="4"/>
    </row>
    <row r="1170" spans="1:11" ht="13">
      <c r="A1170" s="4"/>
      <c r="B1170" s="4"/>
      <c r="C1170" s="4"/>
      <c r="D1170" s="4"/>
      <c r="E1170" s="4"/>
      <c r="F1170" s="4"/>
      <c r="G1170" s="4"/>
      <c r="H1170" s="4"/>
      <c r="I1170" s="4"/>
      <c r="J1170" s="4"/>
      <c r="K1170" s="4"/>
    </row>
    <row r="1171" spans="1:11" ht="13">
      <c r="A1171" s="4"/>
      <c r="B1171" s="4"/>
      <c r="C1171" s="4"/>
      <c r="D1171" s="4"/>
      <c r="E1171" s="4"/>
      <c r="F1171" s="4"/>
      <c r="G1171" s="4"/>
      <c r="H1171" s="4"/>
      <c r="I1171" s="4"/>
      <c r="J1171" s="4"/>
      <c r="K1171" s="4"/>
    </row>
    <row r="1172" spans="1:11" ht="13">
      <c r="A1172" s="4"/>
      <c r="B1172" s="4"/>
      <c r="C1172" s="4"/>
      <c r="D1172" s="4"/>
      <c r="E1172" s="4"/>
      <c r="F1172" s="4"/>
      <c r="G1172" s="4"/>
      <c r="H1172" s="4"/>
      <c r="I1172" s="4"/>
      <c r="J1172" s="4"/>
      <c r="K1172" s="4"/>
    </row>
    <row r="1173" spans="1:11" ht="13">
      <c r="A1173" s="4"/>
      <c r="B1173" s="4"/>
      <c r="C1173" s="4"/>
      <c r="D1173" s="4"/>
      <c r="E1173" s="4"/>
      <c r="F1173" s="4"/>
      <c r="G1173" s="4"/>
      <c r="H1173" s="4"/>
      <c r="I1173" s="4"/>
      <c r="J1173" s="4"/>
      <c r="K1173" s="4"/>
    </row>
    <row r="1174" spans="1:11" ht="13">
      <c r="A1174" s="4"/>
      <c r="B1174" s="4"/>
      <c r="C1174" s="4"/>
      <c r="D1174" s="4"/>
      <c r="E1174" s="4"/>
      <c r="F1174" s="4"/>
      <c r="G1174" s="4"/>
      <c r="H1174" s="4"/>
      <c r="I1174" s="4"/>
      <c r="J1174" s="4"/>
      <c r="K1174" s="4"/>
    </row>
    <row r="1175" spans="1:11" ht="13">
      <c r="A1175" s="4"/>
      <c r="B1175" s="4"/>
      <c r="C1175" s="4"/>
      <c r="D1175" s="4"/>
      <c r="E1175" s="4"/>
      <c r="F1175" s="4"/>
      <c r="G1175" s="4"/>
      <c r="H1175" s="4"/>
      <c r="I1175" s="4"/>
      <c r="J1175" s="4"/>
      <c r="K1175" s="4"/>
    </row>
    <row r="1176" spans="1:11" ht="13">
      <c r="A1176" s="4"/>
      <c r="B1176" s="4"/>
      <c r="C1176" s="4"/>
      <c r="D1176" s="4"/>
      <c r="E1176" s="4"/>
      <c r="F1176" s="4"/>
      <c r="G1176" s="4"/>
      <c r="H1176" s="4"/>
      <c r="I1176" s="4"/>
      <c r="J1176" s="4"/>
      <c r="K1176" s="4"/>
    </row>
    <row r="1177" spans="1:11" ht="13">
      <c r="A1177" s="4"/>
      <c r="B1177" s="4"/>
      <c r="C1177" s="4"/>
      <c r="D1177" s="4"/>
      <c r="E1177" s="4"/>
      <c r="F1177" s="4"/>
      <c r="G1177" s="4"/>
      <c r="H1177" s="4"/>
      <c r="I1177" s="4"/>
      <c r="J1177" s="4"/>
      <c r="K1177" s="4"/>
    </row>
    <row r="1178" spans="1:11" ht="13">
      <c r="A1178" s="4"/>
      <c r="B1178" s="4"/>
      <c r="C1178" s="4"/>
      <c r="D1178" s="4"/>
      <c r="E1178" s="4"/>
      <c r="F1178" s="4"/>
      <c r="G1178" s="4"/>
      <c r="H1178" s="4"/>
      <c r="I1178" s="4"/>
      <c r="J1178" s="4"/>
      <c r="K1178" s="4"/>
    </row>
    <row r="1179" spans="1:11" ht="13">
      <c r="A1179" s="4"/>
      <c r="B1179" s="4"/>
      <c r="C1179" s="4"/>
      <c r="D1179" s="4"/>
      <c r="E1179" s="4"/>
      <c r="F1179" s="4"/>
      <c r="G1179" s="4"/>
      <c r="H1179" s="4"/>
      <c r="I1179" s="4"/>
      <c r="J1179" s="4"/>
      <c r="K1179" s="4"/>
    </row>
    <row r="1180" spans="1:11" ht="13">
      <c r="A1180" s="4"/>
      <c r="B1180" s="4"/>
      <c r="C1180" s="4"/>
      <c r="D1180" s="4"/>
      <c r="E1180" s="4"/>
      <c r="F1180" s="4"/>
      <c r="G1180" s="4"/>
      <c r="H1180" s="4"/>
      <c r="I1180" s="4"/>
      <c r="J1180" s="4"/>
      <c r="K1180" s="4"/>
    </row>
    <row r="1181" spans="1:11" ht="13">
      <c r="A1181" s="4"/>
      <c r="B1181" s="4"/>
      <c r="C1181" s="4"/>
      <c r="D1181" s="4"/>
      <c r="E1181" s="4"/>
      <c r="F1181" s="4"/>
      <c r="G1181" s="4"/>
      <c r="H1181" s="4"/>
      <c r="I1181" s="4"/>
      <c r="J1181" s="4"/>
      <c r="K1181" s="4"/>
    </row>
    <row r="1182" spans="1:11" ht="13">
      <c r="A1182" s="4"/>
      <c r="B1182" s="4"/>
      <c r="C1182" s="4"/>
      <c r="D1182" s="4"/>
      <c r="E1182" s="4"/>
      <c r="F1182" s="4"/>
      <c r="G1182" s="4"/>
      <c r="H1182" s="4"/>
      <c r="I1182" s="4"/>
      <c r="J1182" s="4"/>
      <c r="K1182" s="4"/>
    </row>
    <row r="1183" spans="1:11" ht="13">
      <c r="A1183" s="4"/>
      <c r="B1183" s="4"/>
      <c r="C1183" s="4"/>
      <c r="D1183" s="4"/>
      <c r="E1183" s="4"/>
      <c r="F1183" s="4"/>
      <c r="G1183" s="4"/>
      <c r="H1183" s="4"/>
      <c r="I1183" s="4"/>
      <c r="J1183" s="4"/>
      <c r="K1183" s="4"/>
    </row>
    <row r="1184" spans="1:11" ht="13">
      <c r="A1184" s="4"/>
      <c r="B1184" s="4"/>
      <c r="C1184" s="4"/>
      <c r="D1184" s="4"/>
      <c r="E1184" s="4"/>
      <c r="F1184" s="4"/>
      <c r="G1184" s="4"/>
      <c r="H1184" s="4"/>
      <c r="I1184" s="4"/>
      <c r="J1184" s="4"/>
      <c r="K1184" s="4"/>
    </row>
    <row r="1185" spans="1:11" ht="13">
      <c r="A1185" s="4"/>
      <c r="B1185" s="4"/>
      <c r="C1185" s="4"/>
      <c r="D1185" s="4"/>
      <c r="E1185" s="4"/>
      <c r="F1185" s="4"/>
      <c r="G1185" s="4"/>
      <c r="H1185" s="4"/>
      <c r="I1185" s="4"/>
      <c r="J1185" s="4"/>
      <c r="K1185" s="4"/>
    </row>
    <row r="1186" spans="1:11" ht="13">
      <c r="A1186" s="4"/>
      <c r="B1186" s="4"/>
      <c r="C1186" s="4"/>
      <c r="D1186" s="4"/>
      <c r="E1186" s="4"/>
      <c r="F1186" s="4"/>
      <c r="G1186" s="4"/>
      <c r="H1186" s="4"/>
      <c r="I1186" s="4"/>
      <c r="J1186" s="4"/>
      <c r="K1186" s="4"/>
    </row>
    <row r="1187" spans="1:11" ht="13">
      <c r="A1187" s="4"/>
      <c r="B1187" s="4"/>
      <c r="C1187" s="4"/>
      <c r="D1187" s="4"/>
      <c r="E1187" s="4"/>
      <c r="F1187" s="4"/>
      <c r="G1187" s="4"/>
      <c r="H1187" s="4"/>
      <c r="I1187" s="4"/>
      <c r="J1187" s="4"/>
      <c r="K1187" s="4"/>
    </row>
    <row r="1188" spans="1:11" ht="13">
      <c r="A1188" s="4"/>
      <c r="B1188" s="4"/>
      <c r="C1188" s="4"/>
      <c r="D1188" s="4"/>
      <c r="E1188" s="4"/>
      <c r="F1188" s="4"/>
      <c r="G1188" s="4"/>
      <c r="H1188" s="4"/>
      <c r="I1188" s="4"/>
      <c r="J1188" s="4"/>
      <c r="K1188" s="4"/>
    </row>
    <row r="1189" spans="1:11" ht="13">
      <c r="A1189" s="4"/>
      <c r="B1189" s="4"/>
      <c r="C1189" s="4"/>
      <c r="D1189" s="4"/>
      <c r="E1189" s="4"/>
      <c r="F1189" s="4"/>
      <c r="G1189" s="4"/>
      <c r="H1189" s="4"/>
      <c r="I1189" s="4"/>
      <c r="J1189" s="4"/>
      <c r="K1189" s="4"/>
    </row>
    <row r="1190" spans="1:11" ht="13">
      <c r="A1190" s="4"/>
      <c r="B1190" s="4"/>
      <c r="C1190" s="4"/>
      <c r="D1190" s="4"/>
      <c r="E1190" s="4"/>
      <c r="F1190" s="4"/>
      <c r="G1190" s="4"/>
      <c r="H1190" s="4"/>
      <c r="I1190" s="4"/>
      <c r="J1190" s="4"/>
      <c r="K1190" s="4"/>
    </row>
    <row r="1191" spans="1:11" ht="13">
      <c r="A1191" s="4"/>
      <c r="B1191" s="4"/>
      <c r="C1191" s="4"/>
      <c r="D1191" s="4"/>
      <c r="E1191" s="4"/>
      <c r="F1191" s="4"/>
      <c r="G1191" s="4"/>
      <c r="H1191" s="4"/>
      <c r="I1191" s="4"/>
      <c r="J1191" s="4"/>
      <c r="K1191" s="4"/>
    </row>
    <row r="1192" spans="1:11" ht="13">
      <c r="A1192" s="4"/>
      <c r="B1192" s="4"/>
      <c r="C1192" s="4"/>
      <c r="D1192" s="4"/>
      <c r="E1192" s="4"/>
      <c r="F1192" s="4"/>
      <c r="G1192" s="4"/>
      <c r="H1192" s="4"/>
      <c r="I1192" s="4"/>
      <c r="J1192" s="4"/>
      <c r="K1192" s="4"/>
    </row>
    <row r="1193" spans="1:11" ht="13">
      <c r="A1193" s="4"/>
      <c r="B1193" s="4"/>
      <c r="C1193" s="4"/>
      <c r="D1193" s="4"/>
      <c r="E1193" s="4"/>
      <c r="F1193" s="4"/>
      <c r="G1193" s="4"/>
      <c r="H1193" s="4"/>
      <c r="I1193" s="4"/>
      <c r="J1193" s="4"/>
      <c r="K1193" s="4"/>
    </row>
    <row r="1194" spans="1:11" ht="13">
      <c r="A1194" s="4"/>
      <c r="B1194" s="4"/>
      <c r="C1194" s="4"/>
      <c r="D1194" s="4"/>
      <c r="E1194" s="4"/>
      <c r="F1194" s="4"/>
      <c r="G1194" s="4"/>
      <c r="H1194" s="4"/>
      <c r="I1194" s="4"/>
      <c r="J1194" s="4"/>
      <c r="K1194" s="4"/>
    </row>
    <row r="1195" spans="1:11" ht="13">
      <c r="A1195" s="4"/>
      <c r="B1195" s="4"/>
      <c r="C1195" s="4"/>
      <c r="D1195" s="4"/>
      <c r="E1195" s="4"/>
      <c r="F1195" s="4"/>
      <c r="G1195" s="4"/>
      <c r="H1195" s="4"/>
      <c r="I1195" s="4"/>
      <c r="J1195" s="4"/>
      <c r="K1195" s="4"/>
    </row>
    <row r="1196" spans="1:11" ht="13">
      <c r="A1196" s="4"/>
      <c r="B1196" s="4"/>
      <c r="C1196" s="4"/>
      <c r="D1196" s="4"/>
      <c r="E1196" s="4"/>
      <c r="F1196" s="4"/>
      <c r="G1196" s="4"/>
      <c r="H1196" s="4"/>
      <c r="I1196" s="4"/>
      <c r="J1196" s="4"/>
      <c r="K1196" s="4"/>
    </row>
    <row r="1197" spans="1:11" ht="13">
      <c r="A1197" s="4"/>
      <c r="B1197" s="4"/>
      <c r="C1197" s="4"/>
      <c r="D1197" s="4"/>
      <c r="E1197" s="4"/>
      <c r="F1197" s="4"/>
      <c r="G1197" s="4"/>
      <c r="H1197" s="4"/>
      <c r="I1197" s="4"/>
      <c r="J1197" s="4"/>
      <c r="K1197" s="4"/>
    </row>
    <row r="1198" spans="1:11" ht="13">
      <c r="A1198" s="4"/>
      <c r="B1198" s="4"/>
      <c r="C1198" s="4"/>
      <c r="D1198" s="4"/>
      <c r="E1198" s="4"/>
      <c r="F1198" s="4"/>
      <c r="G1198" s="4"/>
      <c r="H1198" s="4"/>
      <c r="I1198" s="4"/>
      <c r="J1198" s="4"/>
      <c r="K1198" s="4"/>
    </row>
    <row r="1199" spans="1:11" ht="13">
      <c r="A1199" s="4"/>
      <c r="B1199" s="4"/>
      <c r="C1199" s="4"/>
      <c r="D1199" s="4"/>
      <c r="E1199" s="4"/>
      <c r="F1199" s="4"/>
      <c r="G1199" s="4"/>
      <c r="H1199" s="4"/>
      <c r="I1199" s="4"/>
      <c r="J1199" s="4"/>
      <c r="K1199" s="4"/>
    </row>
    <row r="1200" spans="1:11" ht="13">
      <c r="A1200" s="4"/>
      <c r="B1200" s="4"/>
      <c r="C1200" s="4"/>
      <c r="D1200" s="4"/>
      <c r="E1200" s="4"/>
      <c r="F1200" s="4"/>
      <c r="G1200" s="4"/>
      <c r="H1200" s="4"/>
      <c r="I1200" s="4"/>
      <c r="J1200" s="4"/>
      <c r="K1200" s="4"/>
    </row>
    <row r="1201" spans="1:11" ht="13">
      <c r="A1201" s="4"/>
      <c r="B1201" s="4"/>
      <c r="C1201" s="4"/>
      <c r="D1201" s="4"/>
      <c r="E1201" s="4"/>
      <c r="F1201" s="4"/>
      <c r="G1201" s="4"/>
      <c r="H1201" s="4"/>
      <c r="I1201" s="4"/>
      <c r="J1201" s="4"/>
      <c r="K1201" s="4"/>
    </row>
    <row r="1202" spans="1:11" ht="13">
      <c r="A1202" s="4"/>
      <c r="B1202" s="4"/>
      <c r="C1202" s="4"/>
      <c r="D1202" s="4"/>
      <c r="E1202" s="4"/>
      <c r="F1202" s="4"/>
      <c r="G1202" s="4"/>
      <c r="H1202" s="4"/>
      <c r="I1202" s="4"/>
      <c r="J1202" s="4"/>
      <c r="K1202" s="4"/>
    </row>
    <row r="1203" spans="1:11" ht="13">
      <c r="A1203" s="4"/>
      <c r="B1203" s="4"/>
      <c r="C1203" s="4"/>
      <c r="D1203" s="4"/>
      <c r="E1203" s="4"/>
      <c r="F1203" s="4"/>
      <c r="G1203" s="4"/>
      <c r="H1203" s="4"/>
      <c r="I1203" s="4"/>
      <c r="J1203" s="4"/>
      <c r="K1203" s="4"/>
    </row>
    <row r="1204" spans="1:11" ht="13">
      <c r="A1204" s="4"/>
      <c r="B1204" s="4"/>
      <c r="C1204" s="4"/>
      <c r="D1204" s="4"/>
      <c r="E1204" s="4"/>
      <c r="F1204" s="4"/>
      <c r="G1204" s="4"/>
      <c r="H1204" s="4"/>
      <c r="I1204" s="4"/>
      <c r="J1204" s="4"/>
      <c r="K1204" s="4"/>
    </row>
    <row r="1205" spans="1:11" ht="13">
      <c r="A1205" s="4"/>
      <c r="B1205" s="4"/>
      <c r="C1205" s="4"/>
      <c r="D1205" s="4"/>
      <c r="E1205" s="4"/>
      <c r="F1205" s="4"/>
      <c r="G1205" s="4"/>
      <c r="H1205" s="4"/>
      <c r="I1205" s="4"/>
      <c r="J1205" s="4"/>
      <c r="K1205" s="4"/>
    </row>
    <row r="1206" spans="1:11" ht="13">
      <c r="A1206" s="4"/>
      <c r="B1206" s="4"/>
      <c r="C1206" s="4"/>
      <c r="D1206" s="4"/>
      <c r="E1206" s="4"/>
      <c r="F1206" s="4"/>
      <c r="G1206" s="4"/>
      <c r="H1206" s="4"/>
      <c r="I1206" s="4"/>
      <c r="J1206" s="4"/>
      <c r="K1206" s="4"/>
    </row>
    <row r="1207" spans="1:11" ht="13">
      <c r="A1207" s="4"/>
      <c r="B1207" s="4"/>
      <c r="C1207" s="4"/>
      <c r="D1207" s="4"/>
      <c r="E1207" s="4"/>
      <c r="F1207" s="4"/>
      <c r="G1207" s="4"/>
      <c r="H1207" s="4"/>
      <c r="I1207" s="4"/>
      <c r="J1207" s="4"/>
      <c r="K1207" s="4"/>
    </row>
    <row r="1208" spans="1:11" ht="13">
      <c r="A1208" s="4"/>
      <c r="B1208" s="4"/>
      <c r="C1208" s="4"/>
      <c r="D1208" s="4"/>
      <c r="E1208" s="4"/>
      <c r="F1208" s="4"/>
      <c r="G1208" s="4"/>
      <c r="H1208" s="4"/>
      <c r="I1208" s="4"/>
      <c r="J1208" s="4"/>
      <c r="K1208" s="4"/>
    </row>
    <row r="1209" spans="1:11" ht="13">
      <c r="A1209" s="4"/>
      <c r="B1209" s="4"/>
      <c r="C1209" s="4"/>
      <c r="D1209" s="4"/>
      <c r="E1209" s="4"/>
      <c r="F1209" s="4"/>
      <c r="G1209" s="4"/>
      <c r="H1209" s="4"/>
      <c r="I1209" s="4"/>
      <c r="J1209" s="4"/>
      <c r="K1209" s="4"/>
    </row>
    <row r="1210" spans="1:11" ht="13">
      <c r="A1210" s="4"/>
      <c r="B1210" s="4"/>
      <c r="C1210" s="4"/>
      <c r="D1210" s="4"/>
      <c r="E1210" s="4"/>
      <c r="F1210" s="4"/>
      <c r="G1210" s="4"/>
      <c r="H1210" s="4"/>
      <c r="I1210" s="4"/>
      <c r="J1210" s="4"/>
      <c r="K1210" s="4"/>
    </row>
    <row r="1211" spans="1:11" ht="13">
      <c r="A1211" s="4"/>
      <c r="B1211" s="4"/>
      <c r="C1211" s="4"/>
      <c r="D1211" s="4"/>
      <c r="E1211" s="4"/>
      <c r="F1211" s="4"/>
      <c r="G1211" s="4"/>
      <c r="H1211" s="4"/>
      <c r="I1211" s="4"/>
      <c r="J1211" s="4"/>
      <c r="K1211" s="4"/>
    </row>
    <row r="1212" spans="1:11" ht="13">
      <c r="A1212" s="4"/>
      <c r="B1212" s="4"/>
      <c r="C1212" s="4"/>
      <c r="D1212" s="4"/>
      <c r="E1212" s="4"/>
      <c r="F1212" s="4"/>
      <c r="G1212" s="4"/>
      <c r="H1212" s="4"/>
      <c r="I1212" s="4"/>
      <c r="J1212" s="4"/>
      <c r="K1212" s="4"/>
    </row>
    <row r="1213" spans="1:11" ht="13">
      <c r="A1213" s="4"/>
      <c r="B1213" s="4"/>
      <c r="C1213" s="4"/>
      <c r="D1213" s="4"/>
      <c r="E1213" s="4"/>
      <c r="F1213" s="4"/>
      <c r="G1213" s="4"/>
      <c r="H1213" s="4"/>
      <c r="I1213" s="4"/>
      <c r="J1213" s="4"/>
      <c r="K1213" s="4"/>
    </row>
    <row r="1214" spans="1:11" ht="13">
      <c r="A1214" s="4"/>
      <c r="B1214" s="4"/>
      <c r="C1214" s="4"/>
      <c r="D1214" s="4"/>
      <c r="E1214" s="4"/>
      <c r="F1214" s="4"/>
      <c r="G1214" s="4"/>
      <c r="H1214" s="4"/>
      <c r="I1214" s="4"/>
      <c r="J1214" s="4"/>
      <c r="K1214" s="4"/>
    </row>
    <row r="1215" spans="1:11" ht="13">
      <c r="A1215" s="4"/>
      <c r="B1215" s="4"/>
      <c r="C1215" s="4"/>
      <c r="D1215" s="4"/>
      <c r="E1215" s="4"/>
      <c r="F1215" s="4"/>
      <c r="G1215" s="4"/>
      <c r="H1215" s="4"/>
      <c r="I1215" s="4"/>
      <c r="J1215" s="4"/>
      <c r="K1215" s="4"/>
    </row>
    <row r="1216" spans="1:11" ht="13">
      <c r="A1216" s="4"/>
      <c r="B1216" s="4"/>
      <c r="C1216" s="4"/>
      <c r="D1216" s="4"/>
      <c r="E1216" s="4"/>
      <c r="F1216" s="4"/>
      <c r="G1216" s="4"/>
      <c r="H1216" s="4"/>
      <c r="I1216" s="4"/>
      <c r="J1216" s="4"/>
      <c r="K1216" s="4"/>
    </row>
    <row r="1217" spans="1:11" ht="13">
      <c r="A1217" s="4"/>
      <c r="B1217" s="4"/>
      <c r="C1217" s="4"/>
      <c r="D1217" s="4"/>
      <c r="E1217" s="4"/>
      <c r="F1217" s="4"/>
      <c r="G1217" s="4"/>
      <c r="H1217" s="4"/>
      <c r="I1217" s="4"/>
      <c r="J1217" s="4"/>
      <c r="K1217" s="4"/>
    </row>
    <row r="1218" spans="1:11" ht="13">
      <c r="A1218" s="4"/>
      <c r="B1218" s="4"/>
      <c r="C1218" s="4"/>
      <c r="D1218" s="4"/>
      <c r="E1218" s="4"/>
      <c r="F1218" s="4"/>
      <c r="G1218" s="4"/>
      <c r="H1218" s="4"/>
      <c r="I1218" s="4"/>
      <c r="J1218" s="4"/>
      <c r="K1218" s="4"/>
    </row>
    <row r="1219" spans="1:11" ht="13">
      <c r="A1219" s="4"/>
      <c r="B1219" s="4"/>
      <c r="C1219" s="4"/>
      <c r="D1219" s="4"/>
      <c r="E1219" s="4"/>
      <c r="F1219" s="4"/>
      <c r="G1219" s="4"/>
      <c r="H1219" s="4"/>
      <c r="I1219" s="4"/>
      <c r="J1219" s="4"/>
      <c r="K1219" s="4"/>
    </row>
    <row r="1220" spans="1:11" ht="13">
      <c r="A1220" s="4"/>
      <c r="B1220" s="4"/>
      <c r="C1220" s="4"/>
      <c r="D1220" s="4"/>
      <c r="E1220" s="4"/>
      <c r="F1220" s="4"/>
      <c r="G1220" s="4"/>
      <c r="H1220" s="4"/>
      <c r="I1220" s="4"/>
      <c r="J1220" s="4"/>
      <c r="K1220" s="4"/>
    </row>
    <row r="1221" spans="1:11" ht="13">
      <c r="A1221" s="4"/>
      <c r="B1221" s="4"/>
      <c r="C1221" s="4"/>
      <c r="D1221" s="4"/>
      <c r="E1221" s="4"/>
      <c r="F1221" s="4"/>
      <c r="G1221" s="4"/>
      <c r="H1221" s="4"/>
      <c r="I1221" s="4"/>
      <c r="J1221" s="4"/>
      <c r="K1221" s="4"/>
    </row>
    <row r="1222" spans="1:11" ht="13">
      <c r="A1222" s="4"/>
      <c r="B1222" s="4"/>
      <c r="C1222" s="4"/>
      <c r="D1222" s="4"/>
      <c r="E1222" s="4"/>
      <c r="F1222" s="4"/>
      <c r="G1222" s="4"/>
      <c r="H1222" s="4"/>
      <c r="I1222" s="4"/>
      <c r="J1222" s="4"/>
      <c r="K1222" s="4"/>
    </row>
    <row r="1223" spans="1:11" ht="13">
      <c r="A1223" s="4"/>
      <c r="B1223" s="4"/>
      <c r="C1223" s="4"/>
      <c r="D1223" s="4"/>
      <c r="E1223" s="4"/>
      <c r="F1223" s="4"/>
      <c r="G1223" s="4"/>
      <c r="H1223" s="4"/>
      <c r="I1223" s="4"/>
      <c r="J1223" s="4"/>
      <c r="K1223" s="4"/>
    </row>
    <row r="1224" spans="1:11" ht="13">
      <c r="A1224" s="4"/>
      <c r="B1224" s="4"/>
      <c r="C1224" s="4"/>
      <c r="D1224" s="4"/>
      <c r="E1224" s="4"/>
      <c r="F1224" s="4"/>
      <c r="G1224" s="4"/>
      <c r="H1224" s="4"/>
      <c r="I1224" s="4"/>
      <c r="J1224" s="4"/>
      <c r="K1224" s="4"/>
    </row>
    <row r="1225" spans="1:11" ht="13">
      <c r="A1225" s="4"/>
      <c r="B1225" s="4"/>
      <c r="C1225" s="4"/>
      <c r="D1225" s="4"/>
      <c r="E1225" s="4"/>
      <c r="F1225" s="4"/>
      <c r="G1225" s="4"/>
      <c r="H1225" s="4"/>
      <c r="I1225" s="4"/>
      <c r="J1225" s="4"/>
      <c r="K1225" s="4"/>
    </row>
    <row r="1226" spans="1:11" ht="13">
      <c r="A1226" s="4"/>
      <c r="B1226" s="4"/>
      <c r="C1226" s="4"/>
      <c r="D1226" s="4"/>
      <c r="E1226" s="4"/>
      <c r="F1226" s="4"/>
      <c r="G1226" s="4"/>
      <c r="H1226" s="4"/>
      <c r="I1226" s="4"/>
      <c r="J1226" s="4"/>
      <c r="K1226" s="4"/>
    </row>
    <row r="1227" spans="1:11" ht="13">
      <c r="A1227" s="4"/>
      <c r="B1227" s="4"/>
      <c r="C1227" s="4"/>
      <c r="D1227" s="4"/>
      <c r="E1227" s="4"/>
      <c r="F1227" s="4"/>
      <c r="G1227" s="4"/>
      <c r="H1227" s="4"/>
      <c r="I1227" s="4"/>
      <c r="J1227" s="4"/>
      <c r="K1227" s="4"/>
    </row>
    <row r="1228" spans="1:11" ht="13">
      <c r="A1228" s="4"/>
      <c r="B1228" s="4"/>
      <c r="C1228" s="4"/>
      <c r="D1228" s="4"/>
      <c r="E1228" s="4"/>
      <c r="F1228" s="4"/>
      <c r="G1228" s="4"/>
      <c r="H1228" s="4"/>
      <c r="I1228" s="4"/>
      <c r="J1228" s="4"/>
      <c r="K1228" s="4"/>
    </row>
    <row r="1229" spans="1:11" ht="13">
      <c r="A1229" s="4"/>
      <c r="B1229" s="4"/>
      <c r="C1229" s="4"/>
      <c r="D1229" s="4"/>
      <c r="E1229" s="4"/>
      <c r="F1229" s="4"/>
      <c r="G1229" s="4"/>
      <c r="H1229" s="4"/>
      <c r="I1229" s="4"/>
      <c r="J1229" s="4"/>
      <c r="K1229" s="4"/>
    </row>
    <row r="1230" spans="1:11" ht="13">
      <c r="A1230" s="4"/>
      <c r="B1230" s="4"/>
      <c r="C1230" s="4"/>
      <c r="D1230" s="4"/>
      <c r="E1230" s="4"/>
      <c r="F1230" s="4"/>
      <c r="G1230" s="4"/>
      <c r="H1230" s="4"/>
      <c r="I1230" s="4"/>
      <c r="J1230" s="4"/>
      <c r="K1230" s="4"/>
    </row>
    <row r="1231" spans="1:11" ht="13">
      <c r="A1231" s="4"/>
      <c r="B1231" s="4"/>
      <c r="C1231" s="4"/>
      <c r="D1231" s="4"/>
      <c r="E1231" s="4"/>
      <c r="F1231" s="4"/>
      <c r="G1231" s="4"/>
      <c r="H1231" s="4"/>
      <c r="I1231" s="4"/>
      <c r="J1231" s="4"/>
      <c r="K1231" s="4"/>
    </row>
    <row r="1232" spans="1:11" ht="13">
      <c r="A1232" s="4"/>
      <c r="B1232" s="4"/>
      <c r="C1232" s="4"/>
      <c r="D1232" s="4"/>
      <c r="E1232" s="4"/>
      <c r="F1232" s="4"/>
      <c r="G1232" s="4"/>
      <c r="H1232" s="4"/>
      <c r="I1232" s="4"/>
      <c r="J1232" s="4"/>
      <c r="K1232" s="4"/>
    </row>
    <row r="1233" spans="1:11" ht="13">
      <c r="A1233" s="4"/>
      <c r="B1233" s="4"/>
      <c r="C1233" s="4"/>
      <c r="D1233" s="4"/>
      <c r="E1233" s="4"/>
      <c r="F1233" s="4"/>
      <c r="G1233" s="4"/>
      <c r="H1233" s="4"/>
      <c r="I1233" s="4"/>
      <c r="J1233" s="4"/>
      <c r="K1233" s="4"/>
    </row>
    <row r="1234" spans="1:11" ht="13">
      <c r="A1234" s="4"/>
      <c r="B1234" s="4"/>
      <c r="C1234" s="4"/>
      <c r="D1234" s="4"/>
      <c r="E1234" s="4"/>
      <c r="F1234" s="4"/>
      <c r="G1234" s="4"/>
      <c r="H1234" s="4"/>
      <c r="I1234" s="4"/>
      <c r="J1234" s="4"/>
      <c r="K1234" s="4"/>
    </row>
    <row r="1235" spans="1:11" ht="13">
      <c r="A1235" s="4"/>
      <c r="B1235" s="4"/>
      <c r="C1235" s="4"/>
      <c r="D1235" s="4"/>
      <c r="E1235" s="4"/>
      <c r="F1235" s="4"/>
      <c r="G1235" s="4"/>
      <c r="H1235" s="4"/>
      <c r="I1235" s="4"/>
      <c r="J1235" s="4"/>
      <c r="K1235" s="4"/>
    </row>
    <row r="1236" spans="1:11" ht="13">
      <c r="A1236" s="4"/>
      <c r="B1236" s="4"/>
      <c r="C1236" s="4"/>
      <c r="D1236" s="4"/>
      <c r="E1236" s="4"/>
      <c r="F1236" s="4"/>
      <c r="G1236" s="4"/>
      <c r="H1236" s="4"/>
      <c r="I1236" s="4"/>
      <c r="J1236" s="4"/>
      <c r="K1236" s="4"/>
    </row>
    <row r="1237" spans="1:11" ht="13">
      <c r="A1237" s="4"/>
      <c r="B1237" s="4"/>
      <c r="C1237" s="4"/>
      <c r="D1237" s="4"/>
      <c r="E1237" s="4"/>
      <c r="F1237" s="4"/>
      <c r="G1237" s="4"/>
      <c r="H1237" s="4"/>
      <c r="I1237" s="4"/>
      <c r="J1237" s="4"/>
      <c r="K1237" s="4"/>
    </row>
    <row r="1238" spans="1:11" ht="13">
      <c r="A1238" s="4"/>
      <c r="B1238" s="4"/>
      <c r="C1238" s="4"/>
      <c r="D1238" s="4"/>
      <c r="E1238" s="4"/>
      <c r="F1238" s="4"/>
      <c r="G1238" s="4"/>
      <c r="H1238" s="4"/>
      <c r="I1238" s="4"/>
      <c r="J1238" s="4"/>
      <c r="K1238" s="4"/>
    </row>
    <row r="1239" spans="1:11" ht="13">
      <c r="A1239" s="4"/>
      <c r="B1239" s="4"/>
      <c r="C1239" s="4"/>
      <c r="D1239" s="4"/>
      <c r="E1239" s="4"/>
      <c r="F1239" s="4"/>
      <c r="G1239" s="4"/>
      <c r="H1239" s="4"/>
      <c r="I1239" s="4"/>
      <c r="J1239" s="4"/>
      <c r="K1239" s="4"/>
    </row>
    <row r="1240" spans="1:11" ht="13">
      <c r="A1240" s="4"/>
      <c r="B1240" s="4"/>
      <c r="C1240" s="4"/>
      <c r="D1240" s="4"/>
      <c r="E1240" s="4"/>
      <c r="F1240" s="4"/>
      <c r="G1240" s="4"/>
      <c r="H1240" s="4"/>
      <c r="I1240" s="4"/>
      <c r="J1240" s="4"/>
      <c r="K1240" s="4"/>
    </row>
    <row r="1241" spans="1:11" ht="13">
      <c r="A1241" s="4"/>
      <c r="B1241" s="4"/>
      <c r="C1241" s="4"/>
      <c r="D1241" s="4"/>
      <c r="E1241" s="4"/>
      <c r="F1241" s="4"/>
      <c r="G1241" s="4"/>
      <c r="H1241" s="4"/>
      <c r="I1241" s="4"/>
      <c r="J1241" s="4"/>
      <c r="K1241" s="4"/>
    </row>
    <row r="1242" spans="1:11" ht="13">
      <c r="A1242" s="4"/>
      <c r="B1242" s="4"/>
      <c r="C1242" s="4"/>
      <c r="D1242" s="4"/>
      <c r="E1242" s="4"/>
      <c r="F1242" s="4"/>
      <c r="G1242" s="4"/>
      <c r="H1242" s="4"/>
      <c r="I1242" s="4"/>
      <c r="J1242" s="4"/>
      <c r="K1242" s="4"/>
    </row>
    <row r="1243" spans="1:11" ht="13">
      <c r="A1243" s="4"/>
      <c r="B1243" s="4"/>
      <c r="C1243" s="4"/>
      <c r="D1243" s="4"/>
      <c r="E1243" s="4"/>
      <c r="F1243" s="4"/>
      <c r="G1243" s="4"/>
      <c r="H1243" s="4"/>
      <c r="I1243" s="4"/>
      <c r="J1243" s="4"/>
      <c r="K1243" s="4"/>
    </row>
    <row r="1244" spans="1:11" ht="13">
      <c r="A1244" s="4"/>
      <c r="B1244" s="4"/>
      <c r="C1244" s="4"/>
      <c r="D1244" s="4"/>
      <c r="E1244" s="4"/>
      <c r="F1244" s="4"/>
      <c r="G1244" s="4"/>
      <c r="H1244" s="4"/>
      <c r="I1244" s="4"/>
      <c r="J1244" s="4"/>
      <c r="K1244" s="4"/>
    </row>
    <row r="1245" spans="1:11" ht="13">
      <c r="A1245" s="4"/>
      <c r="B1245" s="4"/>
      <c r="C1245" s="4"/>
      <c r="D1245" s="4"/>
      <c r="E1245" s="4"/>
      <c r="F1245" s="4"/>
      <c r="G1245" s="4"/>
      <c r="H1245" s="4"/>
      <c r="I1245" s="4"/>
      <c r="J1245" s="4"/>
      <c r="K1245" s="4"/>
    </row>
    <row r="1246" spans="1:11" ht="13">
      <c r="A1246" s="4"/>
      <c r="B1246" s="4"/>
      <c r="C1246" s="4"/>
      <c r="D1246" s="4"/>
      <c r="E1246" s="4"/>
      <c r="F1246" s="4"/>
      <c r="G1246" s="4"/>
      <c r="H1246" s="4"/>
      <c r="I1246" s="4"/>
      <c r="J1246" s="4"/>
      <c r="K1246" s="4"/>
    </row>
    <row r="1247" spans="1:11" ht="13">
      <c r="A1247" s="4"/>
      <c r="B1247" s="4"/>
      <c r="C1247" s="4"/>
      <c r="D1247" s="4"/>
      <c r="E1247" s="4"/>
      <c r="F1247" s="4"/>
      <c r="G1247" s="4"/>
      <c r="H1247" s="4"/>
      <c r="I1247" s="4"/>
      <c r="J1247" s="4"/>
      <c r="K1247" s="4"/>
    </row>
    <row r="1248" spans="1:11" ht="13">
      <c r="A1248" s="4"/>
      <c r="B1248" s="4"/>
      <c r="C1248" s="4"/>
      <c r="D1248" s="4"/>
      <c r="E1248" s="4"/>
      <c r="F1248" s="4"/>
      <c r="G1248" s="4"/>
      <c r="H1248" s="4"/>
      <c r="I1248" s="4"/>
      <c r="J1248" s="4"/>
      <c r="K1248" s="4"/>
    </row>
    <row r="1249" spans="1:11" ht="13">
      <c r="A1249" s="4"/>
      <c r="B1249" s="4"/>
      <c r="C1249" s="4"/>
      <c r="D1249" s="4"/>
      <c r="E1249" s="4"/>
      <c r="F1249" s="4"/>
      <c r="G1249" s="4"/>
      <c r="H1249" s="4"/>
      <c r="I1249" s="4"/>
      <c r="J1249" s="4"/>
      <c r="K1249" s="4"/>
    </row>
    <row r="1250" spans="1:11" ht="13">
      <c r="A1250" s="4"/>
      <c r="B1250" s="4"/>
      <c r="C1250" s="4"/>
      <c r="D1250" s="4"/>
      <c r="E1250" s="4"/>
      <c r="F1250" s="4"/>
      <c r="G1250" s="4"/>
      <c r="H1250" s="4"/>
      <c r="I1250" s="4"/>
      <c r="J1250" s="4"/>
      <c r="K1250" s="4"/>
    </row>
    <row r="1251" spans="1:11" ht="13">
      <c r="A1251" s="4"/>
      <c r="B1251" s="4"/>
      <c r="C1251" s="4"/>
      <c r="D1251" s="4"/>
      <c r="E1251" s="4"/>
      <c r="F1251" s="4"/>
      <c r="G1251" s="4"/>
      <c r="H1251" s="4"/>
      <c r="I1251" s="4"/>
      <c r="J1251" s="4"/>
      <c r="K1251" s="4"/>
    </row>
    <row r="1252" spans="1:11" ht="13">
      <c r="A1252" s="4"/>
      <c r="B1252" s="4"/>
      <c r="C1252" s="4"/>
      <c r="D1252" s="4"/>
      <c r="E1252" s="4"/>
      <c r="F1252" s="4"/>
      <c r="G1252" s="4"/>
      <c r="H1252" s="4"/>
      <c r="I1252" s="4"/>
      <c r="J1252" s="4"/>
      <c r="K1252" s="4"/>
    </row>
    <row r="1253" spans="1:11" ht="13">
      <c r="A1253" s="4"/>
      <c r="B1253" s="4"/>
      <c r="C1253" s="4"/>
      <c r="D1253" s="4"/>
      <c r="E1253" s="4"/>
      <c r="F1253" s="4"/>
      <c r="G1253" s="4"/>
      <c r="H1253" s="4"/>
      <c r="I1253" s="4"/>
      <c r="J1253" s="4"/>
      <c r="K1253" s="4"/>
    </row>
    <row r="1254" spans="1:11" ht="13">
      <c r="A1254" s="4"/>
      <c r="B1254" s="4"/>
      <c r="C1254" s="4"/>
      <c r="D1254" s="4"/>
      <c r="E1254" s="4"/>
      <c r="F1254" s="4"/>
      <c r="G1254" s="4"/>
      <c r="H1254" s="4"/>
      <c r="I1254" s="4"/>
      <c r="J1254" s="4"/>
      <c r="K1254" s="4"/>
    </row>
    <row r="1255" spans="1:11" ht="13">
      <c r="A1255" s="4"/>
      <c r="B1255" s="4"/>
      <c r="C1255" s="4"/>
      <c r="D1255" s="4"/>
      <c r="E1255" s="4"/>
      <c r="F1255" s="4"/>
      <c r="G1255" s="4"/>
      <c r="H1255" s="4"/>
      <c r="I1255" s="4"/>
      <c r="J1255" s="4"/>
      <c r="K1255" s="4"/>
    </row>
    <row r="1256" spans="1:11" ht="13">
      <c r="A1256" s="4"/>
      <c r="B1256" s="4"/>
      <c r="C1256" s="4"/>
      <c r="D1256" s="4"/>
      <c r="E1256" s="4"/>
      <c r="F1256" s="4"/>
      <c r="G1256" s="4"/>
      <c r="H1256" s="4"/>
      <c r="I1256" s="4"/>
      <c r="J1256" s="4"/>
      <c r="K1256" s="4"/>
    </row>
    <row r="1257" spans="1:11" ht="13">
      <c r="A1257" s="4"/>
      <c r="B1257" s="4"/>
      <c r="C1257" s="4"/>
      <c r="D1257" s="4"/>
      <c r="E1257" s="4"/>
      <c r="F1257" s="4"/>
      <c r="G1257" s="4"/>
      <c r="H1257" s="4"/>
      <c r="I1257" s="4"/>
      <c r="J1257" s="4"/>
      <c r="K1257" s="4"/>
    </row>
    <row r="1258" spans="1:11" ht="13">
      <c r="A1258" s="4"/>
      <c r="B1258" s="4"/>
      <c r="C1258" s="4"/>
      <c r="D1258" s="4"/>
      <c r="E1258" s="4"/>
      <c r="F1258" s="4"/>
      <c r="G1258" s="4"/>
      <c r="H1258" s="4"/>
      <c r="I1258" s="4"/>
      <c r="J1258" s="4"/>
      <c r="K1258" s="4"/>
    </row>
    <row r="1259" spans="1:11" ht="13">
      <c r="A1259" s="4"/>
      <c r="B1259" s="4"/>
      <c r="C1259" s="4"/>
      <c r="D1259" s="4"/>
      <c r="E1259" s="4"/>
      <c r="F1259" s="4"/>
      <c r="G1259" s="4"/>
      <c r="H1259" s="4"/>
      <c r="I1259" s="4"/>
      <c r="J1259" s="4"/>
      <c r="K1259" s="4"/>
    </row>
    <row r="1260" spans="1:11" ht="13">
      <c r="A1260" s="4"/>
      <c r="B1260" s="4"/>
      <c r="C1260" s="4"/>
      <c r="D1260" s="4"/>
      <c r="E1260" s="4"/>
      <c r="F1260" s="4"/>
      <c r="G1260" s="4"/>
      <c r="H1260" s="4"/>
      <c r="I1260" s="4"/>
      <c r="J1260" s="4"/>
      <c r="K1260" s="4"/>
    </row>
    <row r="1261" spans="1:11" ht="13">
      <c r="A1261" s="4"/>
      <c r="B1261" s="4"/>
      <c r="C1261" s="4"/>
      <c r="D1261" s="4"/>
      <c r="E1261" s="4"/>
      <c r="F1261" s="4"/>
      <c r="G1261" s="4"/>
      <c r="H1261" s="4"/>
      <c r="I1261" s="4"/>
      <c r="J1261" s="4"/>
      <c r="K1261" s="4"/>
    </row>
    <row r="1262" spans="1:11" ht="13">
      <c r="A1262" s="4"/>
      <c r="B1262" s="4"/>
      <c r="C1262" s="4"/>
      <c r="D1262" s="4"/>
      <c r="E1262" s="4"/>
      <c r="F1262" s="4"/>
      <c r="G1262" s="4"/>
      <c r="H1262" s="4"/>
      <c r="I1262" s="4"/>
      <c r="J1262" s="4"/>
      <c r="K1262" s="4"/>
    </row>
    <row r="1263" spans="1:11" ht="13">
      <c r="A1263" s="4"/>
      <c r="B1263" s="4"/>
      <c r="C1263" s="4"/>
      <c r="D1263" s="4"/>
      <c r="E1263" s="4"/>
      <c r="F1263" s="4"/>
      <c r="G1263" s="4"/>
      <c r="H1263" s="4"/>
      <c r="I1263" s="4"/>
      <c r="J1263" s="4"/>
      <c r="K1263" s="4"/>
    </row>
    <row r="1264" spans="1:11" ht="13">
      <c r="A1264" s="4"/>
      <c r="B1264" s="4"/>
      <c r="C1264" s="4"/>
      <c r="D1264" s="4"/>
      <c r="E1264" s="4"/>
      <c r="F1264" s="4"/>
      <c r="G1264" s="4"/>
      <c r="H1264" s="4"/>
      <c r="I1264" s="4"/>
      <c r="J1264" s="4"/>
      <c r="K1264" s="4"/>
    </row>
    <row r="1265" spans="1:11" ht="13">
      <c r="A1265" s="4"/>
      <c r="B1265" s="4"/>
      <c r="C1265" s="4"/>
      <c r="D1265" s="4"/>
      <c r="E1265" s="4"/>
      <c r="F1265" s="4"/>
      <c r="G1265" s="4"/>
      <c r="H1265" s="4"/>
      <c r="I1265" s="4"/>
      <c r="J1265" s="4"/>
      <c r="K1265" s="4"/>
    </row>
    <row r="1266" spans="1:11" ht="13">
      <c r="A1266" s="4"/>
      <c r="B1266" s="4"/>
      <c r="C1266" s="4"/>
      <c r="D1266" s="4"/>
      <c r="E1266" s="4"/>
      <c r="F1266" s="4"/>
      <c r="G1266" s="4"/>
      <c r="H1266" s="4"/>
      <c r="I1266" s="4"/>
      <c r="J1266" s="4"/>
      <c r="K1266" s="4"/>
    </row>
    <row r="1267" spans="1:11" ht="13">
      <c r="A1267" s="4"/>
      <c r="B1267" s="4"/>
      <c r="C1267" s="4"/>
      <c r="D1267" s="4"/>
      <c r="E1267" s="4"/>
      <c r="F1267" s="4"/>
      <c r="G1267" s="4"/>
      <c r="H1267" s="4"/>
      <c r="I1267" s="4"/>
      <c r="J1267" s="4"/>
      <c r="K1267" s="4"/>
    </row>
    <row r="1268" spans="1:11" ht="13">
      <c r="A1268" s="4"/>
      <c r="B1268" s="4"/>
      <c r="C1268" s="4"/>
      <c r="D1268" s="4"/>
      <c r="E1268" s="4"/>
      <c r="F1268" s="4"/>
      <c r="G1268" s="4"/>
      <c r="H1268" s="4"/>
      <c r="I1268" s="4"/>
      <c r="J1268" s="4"/>
      <c r="K1268" s="4"/>
    </row>
    <row r="1269" spans="1:11" ht="13">
      <c r="A1269" s="4"/>
      <c r="B1269" s="4"/>
      <c r="C1269" s="4"/>
      <c r="D1269" s="4"/>
      <c r="E1269" s="4"/>
      <c r="F1269" s="4"/>
      <c r="G1269" s="4"/>
      <c r="H1269" s="4"/>
      <c r="I1269" s="4"/>
      <c r="J1269" s="4"/>
      <c r="K1269" s="4"/>
    </row>
    <row r="1270" spans="1:11" ht="13">
      <c r="A1270" s="4"/>
      <c r="B1270" s="4"/>
      <c r="C1270" s="4"/>
      <c r="D1270" s="4"/>
      <c r="E1270" s="4"/>
      <c r="F1270" s="4"/>
      <c r="G1270" s="4"/>
      <c r="H1270" s="4"/>
      <c r="I1270" s="4"/>
      <c r="J1270" s="4"/>
      <c r="K1270" s="4"/>
    </row>
    <row r="1271" spans="1:11" ht="13">
      <c r="A1271" s="4"/>
      <c r="B1271" s="4"/>
      <c r="C1271" s="4"/>
      <c r="D1271" s="4"/>
      <c r="E1271" s="4"/>
      <c r="F1271" s="4"/>
      <c r="G1271" s="4"/>
      <c r="H1271" s="4"/>
      <c r="I1271" s="4"/>
      <c r="J1271" s="4"/>
      <c r="K1271" s="4"/>
    </row>
    <row r="1272" spans="1:11" ht="13">
      <c r="A1272" s="4"/>
      <c r="B1272" s="4"/>
      <c r="C1272" s="4"/>
      <c r="D1272" s="4"/>
      <c r="E1272" s="4"/>
      <c r="F1272" s="4"/>
      <c r="G1272" s="4"/>
      <c r="H1272" s="4"/>
      <c r="I1272" s="4"/>
      <c r="J1272" s="4"/>
      <c r="K1272" s="4"/>
    </row>
    <row r="1273" spans="1:11" ht="13">
      <c r="A1273" s="4"/>
      <c r="B1273" s="4"/>
      <c r="C1273" s="4"/>
      <c r="D1273" s="4"/>
      <c r="E1273" s="4"/>
      <c r="F1273" s="4"/>
      <c r="G1273" s="4"/>
      <c r="H1273" s="4"/>
      <c r="I1273" s="4"/>
      <c r="J1273" s="4"/>
      <c r="K1273" s="4"/>
    </row>
    <row r="1274" spans="1:11" ht="13">
      <c r="A1274" s="4"/>
      <c r="B1274" s="4"/>
      <c r="C1274" s="4"/>
      <c r="D1274" s="4"/>
      <c r="E1274" s="4"/>
      <c r="F1274" s="4"/>
      <c r="G1274" s="4"/>
      <c r="H1274" s="4"/>
      <c r="I1274" s="4"/>
      <c r="J1274" s="4"/>
      <c r="K1274" s="4"/>
    </row>
    <row r="1275" spans="1:11" ht="13">
      <c r="A1275" s="4"/>
      <c r="B1275" s="4"/>
      <c r="C1275" s="4"/>
      <c r="D1275" s="4"/>
      <c r="E1275" s="4"/>
      <c r="F1275" s="4"/>
      <c r="G1275" s="4"/>
      <c r="H1275" s="4"/>
      <c r="I1275" s="4"/>
      <c r="J1275" s="4"/>
      <c r="K1275" s="4"/>
    </row>
    <row r="1276" spans="1:11" ht="13">
      <c r="A1276" s="4"/>
      <c r="B1276" s="4"/>
      <c r="C1276" s="4"/>
      <c r="D1276" s="4"/>
      <c r="E1276" s="4"/>
      <c r="F1276" s="4"/>
      <c r="G1276" s="4"/>
      <c r="H1276" s="4"/>
      <c r="I1276" s="4"/>
      <c r="J1276" s="4"/>
      <c r="K1276" s="4"/>
    </row>
    <row r="1277" spans="1:11" ht="13">
      <c r="A1277" s="4"/>
      <c r="B1277" s="4"/>
      <c r="C1277" s="4"/>
      <c r="D1277" s="4"/>
      <c r="E1277" s="4"/>
      <c r="F1277" s="4"/>
      <c r="G1277" s="4"/>
      <c r="H1277" s="4"/>
      <c r="I1277" s="4"/>
      <c r="J1277" s="4"/>
      <c r="K1277" s="4"/>
    </row>
    <row r="1278" spans="1:11" ht="13">
      <c r="A1278" s="4"/>
      <c r="B1278" s="4"/>
      <c r="C1278" s="4"/>
      <c r="D1278" s="4"/>
      <c r="E1278" s="4"/>
      <c r="F1278" s="4"/>
      <c r="G1278" s="4"/>
      <c r="H1278" s="4"/>
      <c r="I1278" s="4"/>
      <c r="J1278" s="4"/>
      <c r="K1278" s="4"/>
    </row>
    <row r="1279" spans="1:11" ht="13">
      <c r="A1279" s="4"/>
      <c r="B1279" s="4"/>
      <c r="C1279" s="4"/>
      <c r="D1279" s="4"/>
      <c r="E1279" s="4"/>
      <c r="F1279" s="4"/>
      <c r="G1279" s="4"/>
      <c r="H1279" s="4"/>
      <c r="I1279" s="4"/>
      <c r="J1279" s="4"/>
      <c r="K1279" s="4"/>
    </row>
    <row r="1280" spans="1:11" ht="13">
      <c r="A1280" s="4"/>
      <c r="B1280" s="4"/>
      <c r="C1280" s="4"/>
      <c r="D1280" s="4"/>
      <c r="E1280" s="4"/>
      <c r="F1280" s="4"/>
      <c r="G1280" s="4"/>
      <c r="H1280" s="4"/>
      <c r="I1280" s="4"/>
      <c r="J1280" s="4"/>
      <c r="K1280" s="4"/>
    </row>
    <row r="1281" spans="1:11" ht="13">
      <c r="A1281" s="4"/>
      <c r="B1281" s="4"/>
      <c r="C1281" s="4"/>
      <c r="D1281" s="4"/>
      <c r="E1281" s="4"/>
      <c r="F1281" s="4"/>
      <c r="G1281" s="4"/>
      <c r="H1281" s="4"/>
      <c r="I1281" s="4"/>
      <c r="J1281" s="4"/>
      <c r="K1281" s="4"/>
    </row>
    <row r="1282" spans="1:11" ht="13">
      <c r="A1282" s="4"/>
      <c r="B1282" s="4"/>
      <c r="C1282" s="4"/>
      <c r="D1282" s="4"/>
      <c r="E1282" s="4"/>
      <c r="F1282" s="4"/>
      <c r="G1282" s="4"/>
      <c r="H1282" s="4"/>
      <c r="I1282" s="4"/>
      <c r="J1282" s="4"/>
      <c r="K1282" s="4"/>
    </row>
    <row r="1283" spans="1:11" ht="13">
      <c r="A1283" s="4"/>
      <c r="B1283" s="4"/>
      <c r="C1283" s="4"/>
      <c r="D1283" s="4"/>
      <c r="E1283" s="4"/>
      <c r="F1283" s="4"/>
      <c r="G1283" s="4"/>
      <c r="H1283" s="4"/>
      <c r="I1283" s="4"/>
      <c r="J1283" s="4"/>
      <c r="K1283" s="4"/>
    </row>
    <row r="1284" spans="1:11" ht="13">
      <c r="A1284" s="4"/>
      <c r="B1284" s="4"/>
      <c r="C1284" s="4"/>
      <c r="D1284" s="4"/>
      <c r="E1284" s="4"/>
      <c r="F1284" s="4"/>
      <c r="G1284" s="4"/>
      <c r="H1284" s="4"/>
      <c r="I1284" s="4"/>
      <c r="J1284" s="4"/>
      <c r="K1284" s="4"/>
    </row>
    <row r="1285" spans="1:11" ht="13">
      <c r="A1285" s="4"/>
      <c r="B1285" s="4"/>
      <c r="C1285" s="4"/>
      <c r="D1285" s="4"/>
      <c r="E1285" s="4"/>
      <c r="F1285" s="4"/>
      <c r="G1285" s="4"/>
      <c r="H1285" s="4"/>
      <c r="I1285" s="4"/>
      <c r="J1285" s="4"/>
      <c r="K1285" s="4"/>
    </row>
    <row r="1286" spans="1:11" ht="13">
      <c r="A1286" s="4"/>
      <c r="B1286" s="4"/>
      <c r="C1286" s="4"/>
      <c r="D1286" s="4"/>
      <c r="E1286" s="4"/>
      <c r="F1286" s="4"/>
      <c r="G1286" s="4"/>
      <c r="H1286" s="4"/>
      <c r="I1286" s="4"/>
      <c r="J1286" s="4"/>
      <c r="K1286" s="4"/>
    </row>
    <row r="1287" spans="1:11" ht="13">
      <c r="A1287" s="4"/>
      <c r="B1287" s="4"/>
      <c r="C1287" s="4"/>
      <c r="D1287" s="4"/>
      <c r="E1287" s="4"/>
      <c r="F1287" s="4"/>
      <c r="G1287" s="4"/>
      <c r="H1287" s="4"/>
      <c r="I1287" s="4"/>
      <c r="J1287" s="4"/>
      <c r="K1287" s="4"/>
    </row>
    <row r="1288" spans="1:11" ht="13">
      <c r="A1288" s="4"/>
      <c r="B1288" s="4"/>
      <c r="C1288" s="4"/>
      <c r="D1288" s="4"/>
      <c r="E1288" s="4"/>
      <c r="F1288" s="4"/>
      <c r="G1288" s="4"/>
      <c r="H1288" s="4"/>
      <c r="I1288" s="4"/>
      <c r="J1288" s="4"/>
      <c r="K1288" s="4"/>
    </row>
    <row r="1289" spans="1:11" ht="13">
      <c r="A1289" s="4"/>
      <c r="B1289" s="4"/>
      <c r="C1289" s="4"/>
      <c r="D1289" s="4"/>
      <c r="E1289" s="4"/>
      <c r="F1289" s="4"/>
      <c r="G1289" s="4"/>
      <c r="H1289" s="4"/>
      <c r="I1289" s="4"/>
      <c r="J1289" s="4"/>
      <c r="K1289" s="4"/>
    </row>
    <row r="1290" spans="1:11" ht="13">
      <c r="A1290" s="4"/>
      <c r="B1290" s="4"/>
      <c r="C1290" s="4"/>
      <c r="D1290" s="4"/>
      <c r="E1290" s="4"/>
      <c r="F1290" s="4"/>
      <c r="G1290" s="4"/>
      <c r="H1290" s="4"/>
      <c r="I1290" s="4"/>
      <c r="J1290" s="4"/>
      <c r="K1290" s="4"/>
    </row>
    <row r="1291" spans="1:11" ht="13">
      <c r="A1291" s="4"/>
      <c r="B1291" s="4"/>
      <c r="C1291" s="4"/>
      <c r="D1291" s="4"/>
      <c r="E1291" s="4"/>
      <c r="F1291" s="4"/>
      <c r="G1291" s="4"/>
      <c r="H1291" s="4"/>
      <c r="I1291" s="4"/>
      <c r="J1291" s="4"/>
      <c r="K1291" s="4"/>
    </row>
    <row r="1292" spans="1:11" ht="13">
      <c r="A1292" s="4"/>
      <c r="B1292" s="4"/>
      <c r="C1292" s="4"/>
      <c r="D1292" s="4"/>
      <c r="E1292" s="4"/>
      <c r="F1292" s="4"/>
      <c r="G1292" s="4"/>
      <c r="H1292" s="4"/>
      <c r="I1292" s="4"/>
      <c r="J1292" s="4"/>
      <c r="K1292" s="4"/>
    </row>
    <row r="1293" spans="1:11" ht="13">
      <c r="A1293" s="4"/>
      <c r="B1293" s="4"/>
      <c r="C1293" s="4"/>
      <c r="D1293" s="4"/>
      <c r="E1293" s="4"/>
      <c r="F1293" s="4"/>
      <c r="G1293" s="4"/>
      <c r="H1293" s="4"/>
      <c r="I1293" s="4"/>
      <c r="J1293" s="4"/>
      <c r="K1293" s="4"/>
    </row>
    <row r="1294" spans="1:11" ht="13">
      <c r="A1294" s="4"/>
      <c r="B1294" s="4"/>
      <c r="C1294" s="4"/>
      <c r="D1294" s="4"/>
      <c r="E1294" s="4"/>
      <c r="F1294" s="4"/>
      <c r="G1294" s="4"/>
      <c r="H1294" s="4"/>
      <c r="I1294" s="4"/>
      <c r="J1294" s="4"/>
      <c r="K1294" s="4"/>
    </row>
    <row r="1295" spans="1:11" ht="13">
      <c r="A1295" s="4"/>
      <c r="B1295" s="4"/>
      <c r="C1295" s="4"/>
      <c r="D1295" s="4"/>
      <c r="E1295" s="4"/>
      <c r="F1295" s="4"/>
      <c r="G1295" s="4"/>
      <c r="H1295" s="4"/>
      <c r="I1295" s="4"/>
      <c r="J1295" s="4"/>
      <c r="K1295" s="4"/>
    </row>
    <row r="1296" spans="1:11" ht="13">
      <c r="A1296" s="4"/>
      <c r="B1296" s="4"/>
      <c r="C1296" s="4"/>
      <c r="D1296" s="4"/>
      <c r="E1296" s="4"/>
      <c r="F1296" s="4"/>
      <c r="G1296" s="4"/>
      <c r="H1296" s="4"/>
      <c r="I1296" s="4"/>
      <c r="J1296" s="4"/>
      <c r="K1296" s="4"/>
    </row>
    <row r="1297" spans="1:11" ht="13">
      <c r="A1297" s="4"/>
      <c r="B1297" s="4"/>
      <c r="C1297" s="4"/>
      <c r="D1297" s="4"/>
      <c r="E1297" s="4"/>
      <c r="F1297" s="4"/>
      <c r="G1297" s="4"/>
      <c r="H1297" s="4"/>
      <c r="I1297" s="4"/>
      <c r="J1297" s="4"/>
      <c r="K1297" s="4"/>
    </row>
    <row r="1298" spans="1:11" ht="13">
      <c r="A1298" s="4"/>
      <c r="B1298" s="4"/>
      <c r="C1298" s="4"/>
      <c r="D1298" s="4"/>
      <c r="E1298" s="4"/>
      <c r="F1298" s="4"/>
      <c r="G1298" s="4"/>
      <c r="H1298" s="4"/>
      <c r="I1298" s="4"/>
      <c r="J1298" s="4"/>
      <c r="K1298" s="4"/>
    </row>
    <row r="1299" spans="1:11" ht="13">
      <c r="A1299" s="4"/>
      <c r="B1299" s="4"/>
      <c r="C1299" s="4"/>
      <c r="D1299" s="4"/>
      <c r="E1299" s="4"/>
      <c r="F1299" s="4"/>
      <c r="G1299" s="4"/>
      <c r="H1299" s="4"/>
      <c r="I1299" s="4"/>
      <c r="J1299" s="4"/>
      <c r="K1299" s="4"/>
    </row>
    <row r="1300" spans="1:11" ht="13">
      <c r="A1300" s="4"/>
      <c r="B1300" s="4"/>
      <c r="C1300" s="4"/>
      <c r="D1300" s="4"/>
      <c r="E1300" s="4"/>
      <c r="F1300" s="4"/>
      <c r="G1300" s="4"/>
      <c r="H1300" s="4"/>
      <c r="I1300" s="4"/>
      <c r="J1300" s="4"/>
      <c r="K1300" s="4"/>
    </row>
    <row r="1301" spans="1:11" ht="13">
      <c r="A1301" s="4"/>
      <c r="B1301" s="4"/>
      <c r="C1301" s="4"/>
      <c r="D1301" s="4"/>
      <c r="E1301" s="4"/>
      <c r="F1301" s="4"/>
      <c r="G1301" s="4"/>
      <c r="H1301" s="4"/>
      <c r="I1301" s="4"/>
      <c r="J1301" s="4"/>
      <c r="K1301" s="4"/>
    </row>
    <row r="1302" spans="1:11" ht="13">
      <c r="A1302" s="4"/>
      <c r="B1302" s="4"/>
      <c r="C1302" s="4"/>
      <c r="D1302" s="4"/>
      <c r="E1302" s="4"/>
      <c r="F1302" s="4"/>
      <c r="G1302" s="4"/>
      <c r="H1302" s="4"/>
      <c r="I1302" s="4"/>
      <c r="J1302" s="4"/>
      <c r="K1302" s="4"/>
    </row>
    <row r="1303" spans="1:11" ht="13">
      <c r="A1303" s="4"/>
      <c r="B1303" s="4"/>
      <c r="C1303" s="4"/>
      <c r="D1303" s="4"/>
      <c r="E1303" s="4"/>
      <c r="F1303" s="4"/>
      <c r="G1303" s="4"/>
      <c r="H1303" s="4"/>
      <c r="I1303" s="4"/>
      <c r="J1303" s="4"/>
      <c r="K1303" s="4"/>
    </row>
    <row r="1304" spans="1:11" ht="13">
      <c r="A1304" s="4"/>
      <c r="B1304" s="4"/>
      <c r="C1304" s="4"/>
      <c r="D1304" s="4"/>
      <c r="E1304" s="4"/>
      <c r="F1304" s="4"/>
      <c r="G1304" s="4"/>
      <c r="H1304" s="4"/>
      <c r="I1304" s="4"/>
      <c r="J1304" s="4"/>
      <c r="K1304" s="4"/>
    </row>
    <row r="1305" spans="1:11" ht="13">
      <c r="A1305" s="4"/>
      <c r="B1305" s="4"/>
      <c r="C1305" s="4"/>
      <c r="D1305" s="4"/>
      <c r="E1305" s="4"/>
      <c r="F1305" s="4"/>
      <c r="G1305" s="4"/>
      <c r="H1305" s="4"/>
      <c r="I1305" s="4"/>
      <c r="J1305" s="4"/>
      <c r="K1305" s="4"/>
    </row>
    <row r="1306" spans="1:11" ht="13">
      <c r="A1306" s="4"/>
      <c r="B1306" s="4"/>
      <c r="C1306" s="4"/>
      <c r="D1306" s="4"/>
      <c r="E1306" s="4"/>
      <c r="F1306" s="4"/>
      <c r="G1306" s="4"/>
      <c r="H1306" s="4"/>
      <c r="I1306" s="4"/>
      <c r="J1306" s="4"/>
      <c r="K1306" s="4"/>
    </row>
    <row r="1307" spans="1:11" ht="13">
      <c r="A1307" s="4"/>
      <c r="B1307" s="4"/>
      <c r="C1307" s="4"/>
      <c r="D1307" s="4"/>
      <c r="E1307" s="4"/>
      <c r="F1307" s="4"/>
      <c r="G1307" s="4"/>
      <c r="H1307" s="4"/>
      <c r="I1307" s="4"/>
      <c r="J1307" s="4"/>
      <c r="K1307" s="4"/>
    </row>
    <row r="1308" spans="1:11" ht="13">
      <c r="A1308" s="4"/>
      <c r="B1308" s="4"/>
      <c r="C1308" s="4"/>
      <c r="D1308" s="4"/>
      <c r="E1308" s="4"/>
      <c r="F1308" s="4"/>
      <c r="G1308" s="4"/>
      <c r="H1308" s="4"/>
      <c r="I1308" s="4"/>
      <c r="J1308" s="4"/>
      <c r="K1308" s="4"/>
    </row>
    <row r="1309" spans="1:11" ht="13">
      <c r="A1309" s="4"/>
      <c r="B1309" s="4"/>
      <c r="C1309" s="4"/>
      <c r="D1309" s="4"/>
      <c r="E1309" s="4"/>
      <c r="F1309" s="4"/>
      <c r="G1309" s="4"/>
      <c r="H1309" s="4"/>
      <c r="I1309" s="4"/>
      <c r="J1309" s="4"/>
      <c r="K1309" s="4"/>
    </row>
    <row r="1310" spans="1:11" ht="13">
      <c r="A1310" s="4"/>
      <c r="B1310" s="4"/>
      <c r="C1310" s="4"/>
      <c r="D1310" s="4"/>
      <c r="E1310" s="4"/>
      <c r="F1310" s="4"/>
      <c r="G1310" s="4"/>
      <c r="H1310" s="4"/>
      <c r="I1310" s="4"/>
      <c r="J1310" s="4"/>
      <c r="K1310" s="4"/>
    </row>
    <row r="1311" spans="1:11" ht="13">
      <c r="A1311" s="4"/>
      <c r="B1311" s="4"/>
      <c r="C1311" s="4"/>
      <c r="D1311" s="4"/>
      <c r="E1311" s="4"/>
      <c r="F1311" s="4"/>
      <c r="G1311" s="4"/>
      <c r="H1311" s="4"/>
      <c r="I1311" s="4"/>
      <c r="J1311" s="4"/>
      <c r="K1311" s="4"/>
    </row>
    <row r="1312" spans="1:11" ht="13">
      <c r="A1312" s="4"/>
      <c r="B1312" s="4"/>
      <c r="C1312" s="4"/>
      <c r="D1312" s="4"/>
      <c r="E1312" s="4"/>
      <c r="F1312" s="4"/>
      <c r="G1312" s="4"/>
      <c r="H1312" s="4"/>
      <c r="I1312" s="4"/>
      <c r="J1312" s="4"/>
      <c r="K1312" s="4"/>
    </row>
    <row r="1313" spans="1:11" ht="13">
      <c r="A1313" s="4"/>
      <c r="B1313" s="4"/>
      <c r="C1313" s="4"/>
      <c r="D1313" s="4"/>
      <c r="E1313" s="4"/>
      <c r="F1313" s="4"/>
      <c r="G1313" s="4"/>
      <c r="H1313" s="4"/>
      <c r="I1313" s="4"/>
      <c r="J1313" s="4"/>
      <c r="K1313" s="4"/>
    </row>
    <row r="1314" spans="1:11" ht="13">
      <c r="A1314" s="4"/>
      <c r="B1314" s="4"/>
      <c r="C1314" s="4"/>
      <c r="D1314" s="4"/>
      <c r="E1314" s="4"/>
      <c r="F1314" s="4"/>
      <c r="G1314" s="4"/>
      <c r="H1314" s="4"/>
      <c r="I1314" s="4"/>
      <c r="J1314" s="4"/>
      <c r="K1314" s="4"/>
    </row>
    <row r="1315" spans="1:11" ht="13">
      <c r="A1315" s="4"/>
      <c r="B1315" s="4"/>
      <c r="C1315" s="4"/>
      <c r="D1315" s="4"/>
      <c r="E1315" s="4"/>
      <c r="F1315" s="4"/>
      <c r="G1315" s="4"/>
      <c r="H1315" s="4"/>
      <c r="I1315" s="4"/>
      <c r="J1315" s="4"/>
      <c r="K1315" s="4"/>
    </row>
    <row r="1316" spans="1:11" ht="13">
      <c r="A1316" s="4"/>
      <c r="B1316" s="4"/>
      <c r="C1316" s="4"/>
      <c r="D1316" s="4"/>
      <c r="E1316" s="4"/>
      <c r="F1316" s="4"/>
      <c r="G1316" s="4"/>
      <c r="H1316" s="4"/>
      <c r="I1316" s="4"/>
      <c r="J1316" s="4"/>
      <c r="K1316" s="4"/>
    </row>
    <row r="1317" spans="1:11" ht="13">
      <c r="A1317" s="4"/>
      <c r="B1317" s="4"/>
      <c r="C1317" s="4"/>
      <c r="D1317" s="4"/>
      <c r="E1317" s="4"/>
      <c r="F1317" s="4"/>
      <c r="G1317" s="4"/>
      <c r="H1317" s="4"/>
      <c r="I1317" s="4"/>
      <c r="J1317" s="4"/>
      <c r="K1317" s="4"/>
    </row>
    <row r="1318" spans="1:11" ht="13">
      <c r="A1318" s="4"/>
      <c r="B1318" s="4"/>
      <c r="C1318" s="4"/>
      <c r="D1318" s="4"/>
      <c r="E1318" s="4"/>
      <c r="F1318" s="4"/>
      <c r="G1318" s="4"/>
      <c r="H1318" s="4"/>
      <c r="I1318" s="4"/>
      <c r="J1318" s="4"/>
      <c r="K1318" s="4"/>
    </row>
    <row r="1319" spans="1:11" ht="13">
      <c r="A1319" s="4"/>
      <c r="B1319" s="4"/>
      <c r="C1319" s="4"/>
      <c r="D1319" s="4"/>
      <c r="E1319" s="4"/>
      <c r="F1319" s="4"/>
      <c r="G1319" s="4"/>
      <c r="H1319" s="4"/>
      <c r="I1319" s="4"/>
      <c r="J1319" s="4"/>
      <c r="K1319" s="4"/>
    </row>
    <row r="1320" spans="1:11" ht="13">
      <c r="A1320" s="4"/>
      <c r="B1320" s="4"/>
      <c r="C1320" s="4"/>
      <c r="D1320" s="4"/>
      <c r="E1320" s="4"/>
      <c r="F1320" s="4"/>
      <c r="G1320" s="4"/>
      <c r="H1320" s="4"/>
      <c r="I1320" s="4"/>
      <c r="J1320" s="4"/>
      <c r="K1320" s="4"/>
    </row>
    <row r="1321" spans="1:11" ht="13">
      <c r="A1321" s="4"/>
      <c r="B1321" s="4"/>
      <c r="C1321" s="4"/>
      <c r="D1321" s="4"/>
      <c r="E1321" s="4"/>
      <c r="F1321" s="4"/>
      <c r="G1321" s="4"/>
      <c r="H1321" s="4"/>
      <c r="I1321" s="4"/>
      <c r="J1321" s="4"/>
      <c r="K1321" s="4"/>
    </row>
    <row r="1322" spans="1:11" ht="13">
      <c r="A1322" s="4"/>
      <c r="B1322" s="4"/>
      <c r="C1322" s="4"/>
      <c r="D1322" s="4"/>
      <c r="E1322" s="4"/>
      <c r="F1322" s="4"/>
      <c r="G1322" s="4"/>
      <c r="H1322" s="4"/>
      <c r="I1322" s="4"/>
      <c r="J1322" s="4"/>
      <c r="K1322" s="4"/>
    </row>
    <row r="1323" spans="1:11" ht="13">
      <c r="A1323" s="4"/>
      <c r="B1323" s="4"/>
      <c r="C1323" s="4"/>
      <c r="D1323" s="4"/>
      <c r="E1323" s="4"/>
      <c r="F1323" s="4"/>
      <c r="G1323" s="4"/>
      <c r="H1323" s="4"/>
      <c r="I1323" s="4"/>
      <c r="J1323" s="4"/>
      <c r="K1323" s="4"/>
    </row>
    <row r="1324" spans="1:11" ht="13">
      <c r="A1324" s="4"/>
      <c r="B1324" s="4"/>
      <c r="C1324" s="4"/>
      <c r="D1324" s="4"/>
      <c r="E1324" s="4"/>
      <c r="F1324" s="4"/>
      <c r="G1324" s="4"/>
      <c r="H1324" s="4"/>
      <c r="I1324" s="4"/>
      <c r="J1324" s="4"/>
      <c r="K1324" s="4"/>
    </row>
    <row r="1325" spans="1:11" ht="13">
      <c r="A1325" s="4"/>
      <c r="B1325" s="4"/>
      <c r="C1325" s="4"/>
      <c r="D1325" s="4"/>
      <c r="E1325" s="4"/>
      <c r="F1325" s="4"/>
      <c r="G1325" s="4"/>
      <c r="H1325" s="4"/>
      <c r="I1325" s="4"/>
      <c r="J1325" s="4"/>
      <c r="K1325" s="4"/>
    </row>
    <row r="1326" spans="1:11" ht="13">
      <c r="A1326" s="4"/>
      <c r="B1326" s="4"/>
      <c r="C1326" s="4"/>
      <c r="D1326" s="4"/>
      <c r="E1326" s="4"/>
      <c r="F1326" s="4"/>
      <c r="G1326" s="4"/>
      <c r="H1326" s="4"/>
      <c r="I1326" s="4"/>
      <c r="J1326" s="4"/>
      <c r="K1326" s="4"/>
    </row>
    <row r="1327" spans="1:11" ht="13">
      <c r="A1327" s="4"/>
      <c r="B1327" s="4"/>
      <c r="C1327" s="4"/>
      <c r="D1327" s="4"/>
      <c r="E1327" s="4"/>
      <c r="F1327" s="4"/>
      <c r="G1327" s="4"/>
      <c r="H1327" s="4"/>
      <c r="I1327" s="4"/>
      <c r="J1327" s="4"/>
      <c r="K1327" s="4"/>
    </row>
    <row r="1328" spans="1:11" ht="13">
      <c r="A1328" s="4"/>
      <c r="B1328" s="4"/>
      <c r="C1328" s="4"/>
      <c r="D1328" s="4"/>
      <c r="E1328" s="4"/>
      <c r="F1328" s="4"/>
      <c r="G1328" s="4"/>
      <c r="H1328" s="4"/>
      <c r="I1328" s="4"/>
      <c r="J1328" s="4"/>
      <c r="K1328" s="4"/>
    </row>
    <row r="1329" spans="1:11" ht="13">
      <c r="A1329" s="4"/>
      <c r="B1329" s="4"/>
      <c r="C1329" s="4"/>
      <c r="D1329" s="4"/>
      <c r="E1329" s="4"/>
      <c r="F1329" s="4"/>
      <c r="G1329" s="4"/>
      <c r="H1329" s="4"/>
      <c r="I1329" s="4"/>
      <c r="J1329" s="4"/>
      <c r="K1329" s="4"/>
    </row>
    <row r="1330" spans="1:11" ht="13">
      <c r="A1330" s="4"/>
      <c r="B1330" s="4"/>
      <c r="C1330" s="4"/>
      <c r="D1330" s="4"/>
      <c r="E1330" s="4"/>
      <c r="F1330" s="4"/>
      <c r="G1330" s="4"/>
      <c r="H1330" s="4"/>
      <c r="I1330" s="4"/>
      <c r="J1330" s="4"/>
      <c r="K1330" s="4"/>
    </row>
    <row r="1331" spans="1:11" ht="13">
      <c r="A1331" s="4"/>
      <c r="B1331" s="4"/>
      <c r="C1331" s="4"/>
      <c r="D1331" s="4"/>
      <c r="E1331" s="4"/>
      <c r="F1331" s="4"/>
      <c r="G1331" s="4"/>
      <c r="H1331" s="4"/>
      <c r="I1331" s="4"/>
      <c r="J1331" s="4"/>
      <c r="K1331" s="4"/>
    </row>
    <row r="1332" spans="1:11" ht="13">
      <c r="A1332" s="4"/>
      <c r="B1332" s="4"/>
      <c r="C1332" s="4"/>
      <c r="D1332" s="4"/>
      <c r="E1332" s="4"/>
      <c r="F1332" s="4"/>
      <c r="G1332" s="4"/>
      <c r="H1332" s="4"/>
      <c r="I1332" s="4"/>
      <c r="J1332" s="4"/>
      <c r="K1332" s="4"/>
    </row>
    <row r="1333" spans="1:11" ht="13">
      <c r="A1333" s="4"/>
      <c r="B1333" s="4"/>
      <c r="C1333" s="4"/>
      <c r="D1333" s="4"/>
      <c r="E1333" s="4"/>
      <c r="F1333" s="4"/>
      <c r="G1333" s="4"/>
      <c r="H1333" s="4"/>
      <c r="I1333" s="4"/>
      <c r="J1333" s="4"/>
      <c r="K1333" s="4"/>
    </row>
    <row r="1334" spans="1:11" ht="13">
      <c r="A1334" s="4"/>
      <c r="B1334" s="4"/>
      <c r="C1334" s="4"/>
      <c r="D1334" s="4"/>
      <c r="E1334" s="4"/>
      <c r="F1334" s="4"/>
      <c r="G1334" s="4"/>
      <c r="H1334" s="4"/>
      <c r="I1334" s="4"/>
      <c r="J1334" s="4"/>
      <c r="K1334" s="4"/>
    </row>
    <row r="1335" spans="1:11" ht="13">
      <c r="A1335" s="4"/>
      <c r="B1335" s="4"/>
      <c r="C1335" s="4"/>
      <c r="D1335" s="4"/>
      <c r="E1335" s="4"/>
      <c r="F1335" s="4"/>
      <c r="G1335" s="4"/>
      <c r="H1335" s="4"/>
      <c r="I1335" s="4"/>
      <c r="J1335" s="4"/>
      <c r="K1335" s="4"/>
    </row>
    <row r="1336" spans="1:11" ht="13">
      <c r="A1336" s="4"/>
      <c r="B1336" s="4"/>
      <c r="C1336" s="4"/>
      <c r="D1336" s="4"/>
      <c r="E1336" s="4"/>
      <c r="F1336" s="4"/>
      <c r="G1336" s="4"/>
      <c r="H1336" s="4"/>
      <c r="I1336" s="4"/>
      <c r="J1336" s="4"/>
      <c r="K1336" s="4"/>
    </row>
    <row r="1337" spans="1:11" ht="13">
      <c r="A1337" s="4"/>
      <c r="B1337" s="4"/>
      <c r="C1337" s="4"/>
      <c r="D1337" s="4"/>
      <c r="E1337" s="4"/>
      <c r="F1337" s="4"/>
      <c r="G1337" s="4"/>
      <c r="H1337" s="4"/>
      <c r="I1337" s="4"/>
      <c r="J1337" s="4"/>
      <c r="K1337" s="4"/>
    </row>
    <row r="1338" spans="1:11" ht="13">
      <c r="A1338" s="4"/>
      <c r="B1338" s="4"/>
      <c r="C1338" s="4"/>
      <c r="D1338" s="4"/>
      <c r="E1338" s="4"/>
      <c r="F1338" s="4"/>
      <c r="G1338" s="4"/>
      <c r="H1338" s="4"/>
      <c r="I1338" s="4"/>
      <c r="J1338" s="4"/>
      <c r="K1338" s="4"/>
    </row>
    <row r="1339" spans="1:11" ht="13">
      <c r="A1339" s="4"/>
      <c r="B1339" s="4"/>
      <c r="C1339" s="4"/>
      <c r="D1339" s="4"/>
      <c r="E1339" s="4"/>
      <c r="F1339" s="4"/>
      <c r="G1339" s="4"/>
      <c r="H1339" s="4"/>
      <c r="I1339" s="4"/>
      <c r="J1339" s="4"/>
      <c r="K1339" s="4"/>
    </row>
    <row r="1340" spans="1:11" ht="13">
      <c r="A1340" s="4"/>
      <c r="B1340" s="4"/>
      <c r="C1340" s="4"/>
      <c r="D1340" s="4"/>
      <c r="E1340" s="4"/>
      <c r="F1340" s="4"/>
      <c r="G1340" s="4"/>
      <c r="H1340" s="4"/>
      <c r="I1340" s="4"/>
      <c r="J1340" s="4"/>
      <c r="K1340" s="4"/>
    </row>
    <row r="1341" spans="1:11" ht="13">
      <c r="A1341" s="4"/>
      <c r="B1341" s="4"/>
      <c r="C1341" s="4"/>
      <c r="D1341" s="4"/>
      <c r="E1341" s="4"/>
      <c r="F1341" s="4"/>
      <c r="G1341" s="4"/>
      <c r="H1341" s="4"/>
      <c r="I1341" s="4"/>
      <c r="J1341" s="4"/>
      <c r="K1341" s="4"/>
    </row>
    <row r="1342" spans="1:11" ht="13">
      <c r="A1342" s="4"/>
      <c r="B1342" s="4"/>
      <c r="C1342" s="4"/>
      <c r="D1342" s="4"/>
      <c r="E1342" s="4"/>
      <c r="F1342" s="4"/>
      <c r="G1342" s="4"/>
      <c r="H1342" s="4"/>
      <c r="I1342" s="4"/>
      <c r="J1342" s="4"/>
      <c r="K1342" s="4"/>
    </row>
    <row r="1343" spans="1:11" ht="13">
      <c r="A1343" s="4"/>
      <c r="B1343" s="4"/>
      <c r="C1343" s="4"/>
      <c r="D1343" s="4"/>
      <c r="E1343" s="4"/>
      <c r="F1343" s="4"/>
      <c r="G1343" s="4"/>
      <c r="H1343" s="4"/>
      <c r="I1343" s="4"/>
      <c r="J1343" s="4"/>
      <c r="K1343" s="4"/>
    </row>
    <row r="1344" spans="1:11" ht="13">
      <c r="A1344" s="4"/>
      <c r="B1344" s="4"/>
      <c r="C1344" s="4"/>
      <c r="D1344" s="4"/>
      <c r="E1344" s="4"/>
      <c r="F1344" s="4"/>
      <c r="G1344" s="4"/>
      <c r="H1344" s="4"/>
      <c r="I1344" s="4"/>
      <c r="J1344" s="4"/>
      <c r="K1344" s="4"/>
    </row>
    <row r="1345" spans="1:11" ht="13">
      <c r="A1345" s="4"/>
      <c r="B1345" s="4"/>
      <c r="C1345" s="4"/>
      <c r="D1345" s="4"/>
      <c r="E1345" s="4"/>
      <c r="F1345" s="4"/>
      <c r="G1345" s="4"/>
      <c r="H1345" s="4"/>
      <c r="I1345" s="4"/>
      <c r="J1345" s="4"/>
      <c r="K1345" s="4"/>
    </row>
    <row r="1346" spans="1:11" ht="13">
      <c r="A1346" s="4"/>
      <c r="B1346" s="4"/>
      <c r="C1346" s="4"/>
      <c r="D1346" s="4"/>
      <c r="E1346" s="4"/>
      <c r="F1346" s="4"/>
      <c r="G1346" s="4"/>
      <c r="H1346" s="4"/>
      <c r="I1346" s="4"/>
      <c r="J1346" s="4"/>
      <c r="K1346" s="4"/>
    </row>
    <row r="1347" spans="1:11" ht="13">
      <c r="A1347" s="4"/>
      <c r="B1347" s="4"/>
      <c r="C1347" s="4"/>
      <c r="D1347" s="4"/>
      <c r="E1347" s="4"/>
      <c r="F1347" s="4"/>
      <c r="G1347" s="4"/>
      <c r="H1347" s="4"/>
      <c r="I1347" s="4"/>
      <c r="J1347" s="4"/>
      <c r="K1347" s="4"/>
    </row>
    <row r="1348" spans="1:11" ht="13">
      <c r="A1348" s="4"/>
      <c r="B1348" s="4"/>
      <c r="C1348" s="4"/>
      <c r="D1348" s="4"/>
      <c r="E1348" s="4"/>
      <c r="F1348" s="4"/>
      <c r="G1348" s="4"/>
      <c r="H1348" s="4"/>
      <c r="I1348" s="4"/>
      <c r="J1348" s="4"/>
      <c r="K1348" s="4"/>
    </row>
    <row r="1349" spans="1:11" ht="13">
      <c r="A1349" s="4"/>
      <c r="B1349" s="4"/>
      <c r="C1349" s="4"/>
      <c r="D1349" s="4"/>
      <c r="E1349" s="4"/>
      <c r="F1349" s="4"/>
      <c r="G1349" s="4"/>
      <c r="H1349" s="4"/>
      <c r="I1349" s="4"/>
      <c r="J1349" s="4"/>
      <c r="K1349" s="4"/>
    </row>
    <row r="1350" spans="1:11" ht="13">
      <c r="A1350" s="4"/>
      <c r="B1350" s="4"/>
      <c r="C1350" s="4"/>
      <c r="D1350" s="4"/>
      <c r="E1350" s="4"/>
      <c r="F1350" s="4"/>
      <c r="G1350" s="4"/>
      <c r="H1350" s="4"/>
      <c r="I1350" s="4"/>
      <c r="J1350" s="4"/>
      <c r="K1350" s="4"/>
    </row>
    <row r="1351" spans="1:11" ht="13">
      <c r="A1351" s="4"/>
      <c r="B1351" s="4"/>
      <c r="C1351" s="4"/>
      <c r="D1351" s="4"/>
      <c r="E1351" s="4"/>
      <c r="F1351" s="4"/>
      <c r="G1351" s="4"/>
      <c r="H1351" s="4"/>
      <c r="I1351" s="4"/>
      <c r="J1351" s="4"/>
      <c r="K1351" s="4"/>
    </row>
    <row r="1352" spans="1:11" ht="13">
      <c r="A1352" s="4"/>
      <c r="B1352" s="4"/>
      <c r="C1352" s="4"/>
      <c r="D1352" s="4"/>
      <c r="E1352" s="4"/>
      <c r="F1352" s="4"/>
      <c r="G1352" s="4"/>
      <c r="H1352" s="4"/>
      <c r="I1352" s="4"/>
      <c r="J1352" s="4"/>
      <c r="K1352" s="4"/>
    </row>
    <row r="1353" spans="1:11" ht="13">
      <c r="A1353" s="4"/>
      <c r="B1353" s="4"/>
      <c r="C1353" s="4"/>
      <c r="D1353" s="4"/>
      <c r="E1353" s="4"/>
      <c r="F1353" s="4"/>
      <c r="G1353" s="4"/>
      <c r="H1353" s="4"/>
      <c r="I1353" s="4"/>
      <c r="J1353" s="4"/>
      <c r="K1353" s="4"/>
    </row>
    <row r="1354" spans="1:11" ht="13">
      <c r="A1354" s="4"/>
      <c r="B1354" s="4"/>
      <c r="C1354" s="4"/>
      <c r="D1354" s="4"/>
      <c r="E1354" s="4"/>
      <c r="F1354" s="4"/>
      <c r="G1354" s="4"/>
      <c r="H1354" s="4"/>
      <c r="I1354" s="4"/>
      <c r="J1354" s="4"/>
      <c r="K1354" s="4"/>
    </row>
    <row r="1355" spans="1:11" ht="13">
      <c r="A1355" s="4"/>
      <c r="B1355" s="4"/>
      <c r="C1355" s="4"/>
      <c r="D1355" s="4"/>
      <c r="E1355" s="4"/>
      <c r="F1355" s="4"/>
      <c r="G1355" s="4"/>
      <c r="H1355" s="4"/>
      <c r="I1355" s="4"/>
      <c r="J1355" s="4"/>
      <c r="K1355" s="4"/>
    </row>
    <row r="1356" spans="1:11" ht="13">
      <c r="A1356" s="4"/>
      <c r="B1356" s="4"/>
      <c r="C1356" s="4"/>
      <c r="D1356" s="4"/>
      <c r="E1356" s="4"/>
      <c r="F1356" s="4"/>
      <c r="G1356" s="4"/>
      <c r="H1356" s="4"/>
      <c r="I1356" s="4"/>
      <c r="J1356" s="4"/>
      <c r="K1356" s="4"/>
    </row>
    <row r="1357" spans="1:11" ht="13">
      <c r="A1357" s="4"/>
      <c r="B1357" s="4"/>
      <c r="C1357" s="4"/>
      <c r="D1357" s="4"/>
      <c r="E1357" s="4"/>
      <c r="F1357" s="4"/>
      <c r="G1357" s="4"/>
      <c r="H1357" s="4"/>
      <c r="I1357" s="4"/>
      <c r="J1357" s="4"/>
      <c r="K1357" s="4"/>
    </row>
    <row r="1358" spans="1:11" ht="13">
      <c r="A1358" s="4"/>
      <c r="B1358" s="4"/>
      <c r="C1358" s="4"/>
      <c r="D1358" s="4"/>
      <c r="E1358" s="4"/>
      <c r="F1358" s="4"/>
      <c r="G1358" s="4"/>
      <c r="H1358" s="4"/>
      <c r="I1358" s="4"/>
      <c r="J1358" s="4"/>
      <c r="K1358" s="4"/>
    </row>
    <row r="1359" spans="1:11" ht="13">
      <c r="A1359" s="4"/>
      <c r="B1359" s="4"/>
      <c r="C1359" s="4"/>
      <c r="D1359" s="4"/>
      <c r="E1359" s="4"/>
      <c r="F1359" s="4"/>
      <c r="G1359" s="4"/>
      <c r="H1359" s="4"/>
      <c r="I1359" s="4"/>
      <c r="J1359" s="4"/>
      <c r="K1359" s="4"/>
    </row>
    <row r="1360" spans="1:11" ht="13">
      <c r="A1360" s="4"/>
      <c r="B1360" s="4"/>
      <c r="C1360" s="4"/>
      <c r="D1360" s="4"/>
      <c r="E1360" s="4"/>
      <c r="F1360" s="4"/>
      <c r="G1360" s="4"/>
      <c r="H1360" s="4"/>
      <c r="I1360" s="4"/>
      <c r="J1360" s="4"/>
      <c r="K1360" s="4"/>
    </row>
    <row r="1361" spans="1:11" ht="13">
      <c r="A1361" s="4"/>
      <c r="B1361" s="4"/>
      <c r="C1361" s="4"/>
      <c r="D1361" s="4"/>
      <c r="E1361" s="4"/>
      <c r="F1361" s="4"/>
      <c r="G1361" s="4"/>
      <c r="H1361" s="4"/>
      <c r="I1361" s="4"/>
      <c r="J1361" s="4"/>
      <c r="K1361" s="4"/>
    </row>
    <row r="1362" spans="1:11" ht="13">
      <c r="A1362" s="4"/>
      <c r="B1362" s="4"/>
      <c r="C1362" s="4"/>
      <c r="D1362" s="4"/>
      <c r="E1362" s="4"/>
      <c r="F1362" s="4"/>
      <c r="G1362" s="4"/>
      <c r="H1362" s="4"/>
      <c r="I1362" s="4"/>
      <c r="J1362" s="4"/>
      <c r="K1362" s="4"/>
    </row>
    <row r="1363" spans="1:11" ht="13">
      <c r="A1363" s="4"/>
      <c r="B1363" s="4"/>
      <c r="C1363" s="4"/>
      <c r="D1363" s="4"/>
      <c r="E1363" s="4"/>
      <c r="F1363" s="4"/>
      <c r="G1363" s="4"/>
      <c r="H1363" s="4"/>
      <c r="I1363" s="4"/>
      <c r="J1363" s="4"/>
      <c r="K1363" s="4"/>
    </row>
    <row r="1364" spans="1:11" ht="13">
      <c r="A1364" s="4"/>
      <c r="B1364" s="4"/>
      <c r="C1364" s="4"/>
      <c r="D1364" s="4"/>
      <c r="E1364" s="4"/>
      <c r="F1364" s="4"/>
      <c r="G1364" s="4"/>
      <c r="H1364" s="4"/>
      <c r="I1364" s="4"/>
      <c r="J1364" s="4"/>
      <c r="K1364" s="4"/>
    </row>
    <row r="1365" spans="1:11" ht="13">
      <c r="A1365" s="4"/>
      <c r="B1365" s="4"/>
      <c r="C1365" s="4"/>
      <c r="D1365" s="4"/>
      <c r="E1365" s="4"/>
      <c r="F1365" s="4"/>
      <c r="G1365" s="4"/>
      <c r="H1365" s="4"/>
      <c r="I1365" s="4"/>
      <c r="J1365" s="4"/>
      <c r="K1365" s="4"/>
    </row>
    <row r="1366" spans="1:11" ht="13">
      <c r="A1366" s="4"/>
      <c r="B1366" s="4"/>
      <c r="C1366" s="4"/>
      <c r="D1366" s="4"/>
      <c r="E1366" s="4"/>
      <c r="F1366" s="4"/>
      <c r="G1366" s="4"/>
      <c r="H1366" s="4"/>
      <c r="I1366" s="4"/>
      <c r="J1366" s="4"/>
      <c r="K1366" s="4"/>
    </row>
    <row r="1367" spans="1:11" ht="13">
      <c r="A1367" s="4"/>
      <c r="B1367" s="4"/>
      <c r="C1367" s="4"/>
      <c r="D1367" s="4"/>
      <c r="E1367" s="4"/>
      <c r="F1367" s="4"/>
      <c r="G1367" s="4"/>
      <c r="H1367" s="4"/>
      <c r="I1367" s="4"/>
      <c r="J1367" s="4"/>
      <c r="K1367" s="4"/>
    </row>
    <row r="1368" spans="1:11" ht="13">
      <c r="A1368" s="4"/>
      <c r="B1368" s="4"/>
      <c r="C1368" s="4"/>
      <c r="D1368" s="4"/>
      <c r="E1368" s="4"/>
      <c r="F1368" s="4"/>
      <c r="G1368" s="4"/>
      <c r="H1368" s="4"/>
      <c r="I1368" s="4"/>
      <c r="J1368" s="4"/>
      <c r="K1368" s="4"/>
    </row>
    <row r="1369" spans="1:11" ht="13">
      <c r="A1369" s="4"/>
      <c r="B1369" s="4"/>
      <c r="C1369" s="4"/>
      <c r="D1369" s="4"/>
      <c r="E1369" s="4"/>
      <c r="F1369" s="4"/>
      <c r="G1369" s="4"/>
      <c r="H1369" s="4"/>
      <c r="I1369" s="4"/>
      <c r="J1369" s="4"/>
      <c r="K1369" s="4"/>
    </row>
    <row r="1370" spans="1:11" ht="13">
      <c r="A1370" s="4"/>
      <c r="B1370" s="4"/>
      <c r="C1370" s="4"/>
      <c r="D1370" s="4"/>
      <c r="E1370" s="4"/>
      <c r="F1370" s="4"/>
      <c r="G1370" s="4"/>
      <c r="H1370" s="4"/>
      <c r="I1370" s="4"/>
      <c r="J1370" s="4"/>
      <c r="K1370" s="4"/>
    </row>
    <row r="1371" spans="1:11" ht="13">
      <c r="A1371" s="4"/>
      <c r="B1371" s="4"/>
      <c r="C1371" s="4"/>
      <c r="D1371" s="4"/>
      <c r="E1371" s="4"/>
      <c r="F1371" s="4"/>
      <c r="G1371" s="4"/>
      <c r="H1371" s="4"/>
      <c r="I1371" s="4"/>
      <c r="J1371" s="4"/>
      <c r="K1371" s="4"/>
    </row>
    <row r="1372" spans="1:11" ht="13">
      <c r="A1372" s="4"/>
      <c r="B1372" s="4"/>
      <c r="C1372" s="4"/>
      <c r="D1372" s="4"/>
      <c r="E1372" s="4"/>
      <c r="F1372" s="4"/>
      <c r="G1372" s="4"/>
      <c r="H1372" s="4"/>
      <c r="I1372" s="4"/>
      <c r="J1372" s="4"/>
      <c r="K1372" s="4"/>
    </row>
    <row r="1373" spans="1:11" ht="13">
      <c r="A1373" s="4"/>
      <c r="B1373" s="4"/>
      <c r="C1373" s="4"/>
      <c r="D1373" s="4"/>
      <c r="E1373" s="4"/>
      <c r="F1373" s="4"/>
      <c r="G1373" s="4"/>
      <c r="H1373" s="4"/>
      <c r="I1373" s="4"/>
      <c r="J1373" s="4"/>
      <c r="K1373" s="4"/>
    </row>
    <row r="1374" spans="1:11" ht="13">
      <c r="A1374" s="4"/>
      <c r="B1374" s="4"/>
      <c r="C1374" s="4"/>
      <c r="D1374" s="4"/>
      <c r="E1374" s="4"/>
      <c r="F1374" s="4"/>
      <c r="G1374" s="4"/>
      <c r="H1374" s="4"/>
      <c r="I1374" s="4"/>
      <c r="J1374" s="4"/>
      <c r="K1374" s="4"/>
    </row>
    <row r="1375" spans="1:11" ht="13">
      <c r="A1375" s="4"/>
      <c r="B1375" s="4"/>
      <c r="C1375" s="4"/>
      <c r="D1375" s="4"/>
      <c r="E1375" s="4"/>
      <c r="F1375" s="4"/>
      <c r="G1375" s="4"/>
      <c r="H1375" s="4"/>
      <c r="I1375" s="4"/>
      <c r="J1375" s="4"/>
      <c r="K1375" s="4"/>
    </row>
    <row r="1376" spans="1:11" ht="13">
      <c r="A1376" s="4"/>
      <c r="B1376" s="4"/>
      <c r="C1376" s="4"/>
      <c r="D1376" s="4"/>
      <c r="E1376" s="4"/>
      <c r="F1376" s="4"/>
      <c r="G1376" s="4"/>
      <c r="H1376" s="4"/>
      <c r="I1376" s="4"/>
      <c r="J1376" s="4"/>
      <c r="K1376" s="4"/>
    </row>
    <row r="1377" spans="1:11" ht="13">
      <c r="A1377" s="4"/>
      <c r="B1377" s="4"/>
      <c r="C1377" s="4"/>
      <c r="D1377" s="4"/>
      <c r="E1377" s="4"/>
      <c r="F1377" s="4"/>
      <c r="G1377" s="4"/>
      <c r="H1377" s="4"/>
      <c r="I1377" s="4"/>
      <c r="J1377" s="4"/>
      <c r="K1377" s="4"/>
    </row>
    <row r="1378" spans="1:11" ht="13">
      <c r="A1378" s="4"/>
      <c r="B1378" s="4"/>
      <c r="C1378" s="4"/>
      <c r="D1378" s="4"/>
      <c r="E1378" s="4"/>
      <c r="F1378" s="4"/>
      <c r="G1378" s="4"/>
      <c r="H1378" s="4"/>
      <c r="I1378" s="4"/>
      <c r="J1378" s="4"/>
      <c r="K1378" s="4"/>
    </row>
    <row r="1379" spans="1:11" ht="13">
      <c r="A1379" s="4"/>
      <c r="B1379" s="4"/>
      <c r="C1379" s="4"/>
      <c r="D1379" s="4"/>
      <c r="E1379" s="4"/>
      <c r="F1379" s="4"/>
      <c r="G1379" s="4"/>
      <c r="H1379" s="4"/>
      <c r="I1379" s="4"/>
      <c r="J1379" s="4"/>
      <c r="K1379" s="4"/>
    </row>
    <row r="1380" spans="1:11" ht="13">
      <c r="A1380" s="4"/>
      <c r="B1380" s="4"/>
      <c r="C1380" s="4"/>
      <c r="D1380" s="4"/>
      <c r="E1380" s="4"/>
      <c r="F1380" s="4"/>
      <c r="G1380" s="4"/>
      <c r="H1380" s="4"/>
      <c r="I1380" s="4"/>
      <c r="J1380" s="4"/>
      <c r="K1380" s="4"/>
    </row>
    <row r="1381" spans="1:11" ht="13">
      <c r="A1381" s="4"/>
      <c r="B1381" s="4"/>
      <c r="C1381" s="4"/>
      <c r="D1381" s="4"/>
      <c r="E1381" s="4"/>
      <c r="F1381" s="4"/>
      <c r="G1381" s="4"/>
      <c r="H1381" s="4"/>
      <c r="I1381" s="4"/>
      <c r="J1381" s="4"/>
      <c r="K1381" s="4"/>
    </row>
    <row r="1382" spans="1:11" ht="13">
      <c r="A1382" s="4"/>
      <c r="B1382" s="4"/>
      <c r="C1382" s="4"/>
      <c r="D1382" s="4"/>
      <c r="E1382" s="4"/>
      <c r="F1382" s="4"/>
      <c r="G1382" s="4"/>
      <c r="H1382" s="4"/>
      <c r="I1382" s="4"/>
      <c r="J1382" s="4"/>
      <c r="K1382" s="4"/>
    </row>
    <row r="1383" spans="1:11" ht="13">
      <c r="A1383" s="4"/>
      <c r="B1383" s="4"/>
      <c r="C1383" s="4"/>
      <c r="D1383" s="4"/>
      <c r="E1383" s="4"/>
      <c r="F1383" s="4"/>
      <c r="G1383" s="4"/>
      <c r="H1383" s="4"/>
      <c r="I1383" s="4"/>
      <c r="J1383" s="4"/>
      <c r="K1383" s="4"/>
    </row>
    <row r="1384" spans="1:11" ht="13">
      <c r="A1384" s="4"/>
      <c r="B1384" s="4"/>
      <c r="C1384" s="4"/>
      <c r="D1384" s="4"/>
      <c r="E1384" s="4"/>
      <c r="F1384" s="4"/>
      <c r="G1384" s="4"/>
      <c r="H1384" s="4"/>
      <c r="I1384" s="4"/>
      <c r="J1384" s="4"/>
      <c r="K1384" s="4"/>
    </row>
    <row r="1385" spans="1:11" ht="13">
      <c r="A1385" s="4"/>
      <c r="B1385" s="4"/>
      <c r="C1385" s="4"/>
      <c r="D1385" s="4"/>
      <c r="E1385" s="4"/>
      <c r="F1385" s="4"/>
      <c r="G1385" s="4"/>
      <c r="H1385" s="4"/>
      <c r="I1385" s="4"/>
      <c r="J1385" s="4"/>
      <c r="K1385" s="4"/>
    </row>
    <row r="1386" spans="1:11" ht="13">
      <c r="A1386" s="4"/>
      <c r="B1386" s="4"/>
      <c r="C1386" s="4"/>
      <c r="D1386" s="4"/>
      <c r="E1386" s="4"/>
      <c r="F1386" s="4"/>
      <c r="G1386" s="4"/>
      <c r="H1386" s="4"/>
      <c r="I1386" s="4"/>
      <c r="J1386" s="4"/>
      <c r="K1386" s="4"/>
    </row>
    <row r="1387" spans="1:11" ht="13">
      <c r="A1387" s="4"/>
      <c r="B1387" s="4"/>
      <c r="C1387" s="4"/>
      <c r="D1387" s="4"/>
      <c r="E1387" s="4"/>
      <c r="F1387" s="4"/>
      <c r="G1387" s="4"/>
      <c r="H1387" s="4"/>
      <c r="I1387" s="4"/>
      <c r="J1387" s="4"/>
      <c r="K1387" s="4"/>
    </row>
    <row r="1388" spans="1:11" ht="13">
      <c r="A1388" s="4"/>
      <c r="B1388" s="4"/>
      <c r="C1388" s="4"/>
      <c r="D1388" s="4"/>
      <c r="E1388" s="4"/>
      <c r="F1388" s="4"/>
      <c r="G1388" s="4"/>
      <c r="H1388" s="4"/>
      <c r="I1388" s="4"/>
      <c r="J1388" s="4"/>
      <c r="K1388" s="4"/>
    </row>
    <row r="1389" spans="1:11" ht="13">
      <c r="A1389" s="4"/>
      <c r="B1389" s="4"/>
      <c r="C1389" s="4"/>
      <c r="D1389" s="4"/>
      <c r="E1389" s="4"/>
      <c r="F1389" s="4"/>
      <c r="G1389" s="4"/>
      <c r="H1389" s="4"/>
      <c r="I1389" s="4"/>
      <c r="J1389" s="4"/>
      <c r="K1389" s="4"/>
    </row>
    <row r="1390" spans="1:11" ht="13">
      <c r="A1390" s="4"/>
      <c r="B1390" s="4"/>
      <c r="C1390" s="4"/>
      <c r="D1390" s="4"/>
      <c r="E1390" s="4"/>
      <c r="F1390" s="4"/>
      <c r="G1390" s="4"/>
      <c r="H1390" s="4"/>
      <c r="I1390" s="4"/>
      <c r="J1390" s="4"/>
      <c r="K1390" s="4"/>
    </row>
    <row r="1391" spans="1:11" ht="13">
      <c r="A1391" s="4"/>
      <c r="B1391" s="4"/>
      <c r="C1391" s="4"/>
      <c r="D1391" s="4"/>
      <c r="E1391" s="4"/>
      <c r="F1391" s="4"/>
      <c r="G1391" s="4"/>
      <c r="H1391" s="4"/>
      <c r="I1391" s="4"/>
      <c r="J1391" s="4"/>
      <c r="K1391" s="4"/>
    </row>
    <row r="1392" spans="1:11" ht="13">
      <c r="A1392" s="4"/>
      <c r="B1392" s="4"/>
      <c r="C1392" s="4"/>
      <c r="D1392" s="4"/>
      <c r="E1392" s="4"/>
      <c r="F1392" s="4"/>
      <c r="G1392" s="4"/>
      <c r="H1392" s="4"/>
      <c r="I1392" s="4"/>
      <c r="J1392" s="4"/>
      <c r="K1392" s="4"/>
    </row>
    <row r="1393" spans="1:11" ht="13">
      <c r="A1393" s="4"/>
      <c r="B1393" s="4"/>
      <c r="C1393" s="4"/>
      <c r="D1393" s="4"/>
      <c r="E1393" s="4"/>
      <c r="F1393" s="4"/>
      <c r="G1393" s="4"/>
      <c r="H1393" s="4"/>
      <c r="I1393" s="4"/>
      <c r="J1393" s="4"/>
      <c r="K1393" s="4"/>
    </row>
    <row r="1394" spans="1:11" ht="13">
      <c r="A1394" s="4"/>
      <c r="B1394" s="4"/>
      <c r="C1394" s="4"/>
      <c r="D1394" s="4"/>
      <c r="E1394" s="4"/>
      <c r="F1394" s="4"/>
      <c r="G1394" s="4"/>
      <c r="H1394" s="4"/>
      <c r="I1394" s="4"/>
      <c r="J1394" s="4"/>
      <c r="K1394" s="4"/>
    </row>
    <row r="1395" spans="1:11" ht="13">
      <c r="A1395" s="4"/>
      <c r="B1395" s="4"/>
      <c r="C1395" s="4"/>
      <c r="D1395" s="4"/>
      <c r="E1395" s="4"/>
      <c r="F1395" s="4"/>
      <c r="G1395" s="4"/>
      <c r="H1395" s="4"/>
      <c r="I1395" s="4"/>
      <c r="J1395" s="4"/>
      <c r="K1395" s="4"/>
    </row>
    <row r="1396" spans="1:11" ht="13">
      <c r="A1396" s="4"/>
      <c r="B1396" s="4"/>
      <c r="C1396" s="4"/>
      <c r="D1396" s="4"/>
      <c r="E1396" s="4"/>
      <c r="F1396" s="4"/>
      <c r="G1396" s="4"/>
      <c r="H1396" s="4"/>
      <c r="I1396" s="4"/>
      <c r="J1396" s="4"/>
      <c r="K1396" s="4"/>
    </row>
    <row r="1397" spans="1:11" ht="13">
      <c r="A1397" s="4"/>
      <c r="B1397" s="4"/>
      <c r="C1397" s="4"/>
      <c r="D1397" s="4"/>
      <c r="E1397" s="4"/>
      <c r="F1397" s="4"/>
      <c r="G1397" s="4"/>
      <c r="H1397" s="4"/>
      <c r="I1397" s="4"/>
      <c r="J1397" s="4"/>
      <c r="K1397" s="4"/>
    </row>
    <row r="1398" spans="1:11" ht="13">
      <c r="A1398" s="4"/>
      <c r="B1398" s="4"/>
      <c r="C1398" s="4"/>
      <c r="D1398" s="4"/>
      <c r="E1398" s="4"/>
      <c r="F1398" s="4"/>
      <c r="G1398" s="4"/>
      <c r="H1398" s="4"/>
      <c r="I1398" s="4"/>
      <c r="J1398" s="4"/>
      <c r="K1398" s="4"/>
    </row>
    <row r="1399" spans="1:11" ht="13">
      <c r="A1399" s="4"/>
      <c r="B1399" s="4"/>
      <c r="C1399" s="4"/>
      <c r="D1399" s="4"/>
      <c r="E1399" s="4"/>
      <c r="F1399" s="4"/>
      <c r="G1399" s="4"/>
      <c r="H1399" s="4"/>
      <c r="I1399" s="4"/>
      <c r="J1399" s="4"/>
      <c r="K1399" s="4"/>
    </row>
    <row r="1400" spans="1:11" ht="13">
      <c r="A1400" s="4"/>
      <c r="B1400" s="4"/>
      <c r="C1400" s="4"/>
      <c r="D1400" s="4"/>
      <c r="E1400" s="4"/>
      <c r="F1400" s="4"/>
      <c r="G1400" s="4"/>
      <c r="H1400" s="4"/>
      <c r="I1400" s="4"/>
      <c r="J1400" s="4"/>
      <c r="K1400" s="4"/>
    </row>
    <row r="1401" spans="1:11" ht="13">
      <c r="A1401" s="4"/>
      <c r="B1401" s="4"/>
      <c r="C1401" s="4"/>
      <c r="D1401" s="4"/>
      <c r="E1401" s="4"/>
      <c r="F1401" s="4"/>
      <c r="G1401" s="4"/>
      <c r="H1401" s="4"/>
      <c r="I1401" s="4"/>
      <c r="J1401" s="4"/>
      <c r="K1401" s="4"/>
    </row>
    <row r="1402" spans="1:11" ht="13">
      <c r="A1402" s="4"/>
      <c r="B1402" s="4"/>
      <c r="C1402" s="4"/>
      <c r="D1402" s="4"/>
      <c r="E1402" s="4"/>
      <c r="F1402" s="4"/>
      <c r="G1402" s="4"/>
      <c r="H1402" s="4"/>
      <c r="I1402" s="4"/>
      <c r="J1402" s="4"/>
      <c r="K1402" s="4"/>
    </row>
    <row r="1403" spans="1:11" ht="13">
      <c r="A1403" s="4"/>
      <c r="B1403" s="4"/>
      <c r="C1403" s="4"/>
      <c r="D1403" s="4"/>
      <c r="E1403" s="4"/>
      <c r="F1403" s="4"/>
      <c r="G1403" s="4"/>
      <c r="H1403" s="4"/>
      <c r="I1403" s="4"/>
      <c r="J1403" s="4"/>
      <c r="K1403" s="4"/>
    </row>
    <row r="1404" spans="1:11" ht="13">
      <c r="A1404" s="4"/>
      <c r="B1404" s="4"/>
      <c r="C1404" s="4"/>
      <c r="D1404" s="4"/>
      <c r="E1404" s="4"/>
      <c r="F1404" s="4"/>
      <c r="G1404" s="4"/>
      <c r="H1404" s="4"/>
      <c r="I1404" s="4"/>
      <c r="J1404" s="4"/>
      <c r="K1404" s="4"/>
    </row>
    <row r="1405" spans="1:11" ht="13">
      <c r="A1405" s="4"/>
      <c r="B1405" s="4"/>
      <c r="C1405" s="4"/>
      <c r="D1405" s="4"/>
      <c r="E1405" s="4"/>
      <c r="F1405" s="4"/>
      <c r="G1405" s="4"/>
      <c r="H1405" s="4"/>
      <c r="I1405" s="4"/>
      <c r="J1405" s="4"/>
      <c r="K1405" s="4"/>
    </row>
    <row r="1406" spans="1:11" ht="13">
      <c r="A1406" s="4"/>
      <c r="B1406" s="4"/>
      <c r="C1406" s="4"/>
      <c r="D1406" s="4"/>
      <c r="E1406" s="4"/>
      <c r="F1406" s="4"/>
      <c r="G1406" s="4"/>
      <c r="H1406" s="4"/>
      <c r="I1406" s="4"/>
      <c r="J1406" s="4"/>
      <c r="K1406" s="4"/>
    </row>
    <row r="1407" spans="1:11" ht="13">
      <c r="A1407" s="4"/>
      <c r="B1407" s="4"/>
      <c r="C1407" s="4"/>
      <c r="D1407" s="4"/>
      <c r="E1407" s="4"/>
      <c r="F1407" s="4"/>
      <c r="G1407" s="4"/>
      <c r="H1407" s="4"/>
      <c r="I1407" s="4"/>
      <c r="J1407" s="4"/>
      <c r="K1407" s="4"/>
    </row>
    <row r="1408" spans="1:11" ht="13">
      <c r="A1408" s="4"/>
      <c r="B1408" s="4"/>
      <c r="C1408" s="4"/>
      <c r="D1408" s="4"/>
      <c r="E1408" s="4"/>
      <c r="F1408" s="4"/>
      <c r="G1408" s="4"/>
      <c r="H1408" s="4"/>
      <c r="I1408" s="4"/>
      <c r="J1408" s="4"/>
      <c r="K1408" s="4"/>
    </row>
    <row r="1409" spans="1:11" ht="13">
      <c r="A1409" s="4"/>
      <c r="B1409" s="4"/>
      <c r="C1409" s="4"/>
      <c r="D1409" s="4"/>
      <c r="E1409" s="4"/>
      <c r="F1409" s="4"/>
      <c r="G1409" s="4"/>
      <c r="H1409" s="4"/>
      <c r="I1409" s="4"/>
      <c r="J1409" s="4"/>
      <c r="K1409" s="4"/>
    </row>
    <row r="1410" spans="1:11" ht="13">
      <c r="A1410" s="4"/>
      <c r="B1410" s="4"/>
      <c r="C1410" s="4"/>
      <c r="D1410" s="4"/>
      <c r="E1410" s="4"/>
      <c r="F1410" s="4"/>
      <c r="G1410" s="4"/>
      <c r="H1410" s="4"/>
      <c r="I1410" s="4"/>
      <c r="J1410" s="4"/>
      <c r="K1410" s="4"/>
    </row>
    <row r="1411" spans="1:11" ht="13">
      <c r="A1411" s="4"/>
      <c r="B1411" s="4"/>
      <c r="C1411" s="4"/>
      <c r="D1411" s="4"/>
      <c r="E1411" s="4"/>
      <c r="F1411" s="4"/>
      <c r="G1411" s="4"/>
      <c r="H1411" s="4"/>
      <c r="I1411" s="4"/>
      <c r="J1411" s="4"/>
      <c r="K1411" s="4"/>
    </row>
    <row r="1412" spans="1:11" ht="13">
      <c r="A1412" s="4"/>
      <c r="B1412" s="4"/>
      <c r="C1412" s="4"/>
      <c r="D1412" s="4"/>
      <c r="E1412" s="4"/>
      <c r="F1412" s="4"/>
      <c r="G1412" s="4"/>
      <c r="H1412" s="4"/>
      <c r="I1412" s="4"/>
      <c r="J1412" s="4"/>
      <c r="K1412" s="4"/>
    </row>
    <row r="1413" spans="1:11" ht="13">
      <c r="A1413" s="4"/>
      <c r="B1413" s="4"/>
      <c r="C1413" s="4"/>
      <c r="D1413" s="4"/>
      <c r="E1413" s="4"/>
      <c r="F1413" s="4"/>
      <c r="G1413" s="4"/>
      <c r="H1413" s="4"/>
      <c r="I1413" s="4"/>
      <c r="J1413" s="4"/>
      <c r="K1413" s="4"/>
    </row>
    <row r="1414" spans="1:11" ht="13">
      <c r="A1414" s="4"/>
      <c r="B1414" s="4"/>
      <c r="C1414" s="4"/>
      <c r="D1414" s="4"/>
      <c r="E1414" s="4"/>
      <c r="F1414" s="4"/>
      <c r="G1414" s="4"/>
      <c r="H1414" s="4"/>
      <c r="I1414" s="4"/>
      <c r="J1414" s="4"/>
      <c r="K1414" s="4"/>
    </row>
    <row r="1415" spans="1:11" ht="13">
      <c r="A1415" s="4"/>
      <c r="B1415" s="4"/>
      <c r="C1415" s="4"/>
      <c r="D1415" s="4"/>
      <c r="E1415" s="4"/>
      <c r="F1415" s="4"/>
      <c r="G1415" s="4"/>
      <c r="H1415" s="4"/>
      <c r="I1415" s="4"/>
      <c r="J1415" s="4"/>
      <c r="K1415" s="4"/>
    </row>
    <row r="1416" spans="1:11" ht="13">
      <c r="A1416" s="4"/>
      <c r="B1416" s="4"/>
      <c r="C1416" s="4"/>
      <c r="D1416" s="4"/>
      <c r="E1416" s="4"/>
      <c r="F1416" s="4"/>
      <c r="G1416" s="4"/>
      <c r="H1416" s="4"/>
      <c r="I1416" s="4"/>
      <c r="J1416" s="4"/>
      <c r="K1416" s="4"/>
    </row>
    <row r="1417" spans="1:11" ht="13">
      <c r="A1417" s="4"/>
      <c r="B1417" s="4"/>
      <c r="C1417" s="4"/>
      <c r="D1417" s="4"/>
      <c r="E1417" s="4"/>
      <c r="F1417" s="4"/>
      <c r="G1417" s="4"/>
      <c r="H1417" s="4"/>
      <c r="I1417" s="4"/>
      <c r="J1417" s="4"/>
      <c r="K1417" s="4"/>
    </row>
    <row r="1418" spans="1:11" ht="13">
      <c r="A1418" s="4"/>
      <c r="B1418" s="4"/>
      <c r="C1418" s="4"/>
      <c r="D1418" s="4"/>
      <c r="E1418" s="4"/>
      <c r="F1418" s="4"/>
      <c r="G1418" s="4"/>
      <c r="H1418" s="4"/>
      <c r="I1418" s="4"/>
      <c r="J1418" s="4"/>
      <c r="K1418" s="4"/>
    </row>
    <row r="1419" spans="1:11" ht="13">
      <c r="A1419" s="4"/>
      <c r="B1419" s="4"/>
      <c r="C1419" s="4"/>
      <c r="D1419" s="4"/>
      <c r="E1419" s="4"/>
      <c r="F1419" s="4"/>
      <c r="G1419" s="4"/>
      <c r="H1419" s="4"/>
      <c r="I1419" s="4"/>
      <c r="J1419" s="4"/>
      <c r="K1419" s="4"/>
    </row>
    <row r="1420" spans="1:11" ht="13">
      <c r="A1420" s="4"/>
      <c r="B1420" s="4"/>
      <c r="C1420" s="4"/>
      <c r="D1420" s="4"/>
      <c r="E1420" s="4"/>
      <c r="F1420" s="4"/>
      <c r="G1420" s="4"/>
      <c r="H1420" s="4"/>
      <c r="I1420" s="4"/>
      <c r="J1420" s="4"/>
      <c r="K1420" s="4"/>
    </row>
    <row r="1421" spans="1:11" ht="13">
      <c r="A1421" s="4"/>
      <c r="B1421" s="4"/>
      <c r="C1421" s="4"/>
      <c r="D1421" s="4"/>
      <c r="E1421" s="4"/>
      <c r="F1421" s="4"/>
      <c r="G1421" s="4"/>
      <c r="H1421" s="4"/>
      <c r="I1421" s="4"/>
      <c r="J1421" s="4"/>
      <c r="K1421" s="4"/>
    </row>
    <row r="1422" spans="1:11" ht="13">
      <c r="A1422" s="4"/>
      <c r="B1422" s="4"/>
      <c r="C1422" s="4"/>
      <c r="D1422" s="4"/>
      <c r="E1422" s="4"/>
      <c r="F1422" s="4"/>
      <c r="G1422" s="4"/>
      <c r="H1422" s="4"/>
      <c r="I1422" s="4"/>
      <c r="J1422" s="4"/>
      <c r="K1422" s="4"/>
    </row>
    <row r="1423" spans="1:11" ht="13">
      <c r="A1423" s="4"/>
      <c r="B1423" s="4"/>
      <c r="C1423" s="4"/>
      <c r="D1423" s="4"/>
      <c r="E1423" s="4"/>
      <c r="F1423" s="4"/>
      <c r="G1423" s="4"/>
      <c r="H1423" s="4"/>
      <c r="I1423" s="4"/>
      <c r="J1423" s="4"/>
      <c r="K1423" s="4"/>
    </row>
    <row r="1424" spans="1:11" ht="13">
      <c r="A1424" s="4"/>
      <c r="B1424" s="4"/>
      <c r="C1424" s="4"/>
      <c r="D1424" s="4"/>
      <c r="E1424" s="4"/>
      <c r="F1424" s="4"/>
      <c r="G1424" s="4"/>
      <c r="H1424" s="4"/>
      <c r="I1424" s="4"/>
      <c r="J1424" s="4"/>
      <c r="K1424" s="4"/>
    </row>
    <row r="1425" spans="1:11" ht="13">
      <c r="A1425" s="4"/>
      <c r="B1425" s="4"/>
      <c r="C1425" s="4"/>
      <c r="D1425" s="4"/>
      <c r="E1425" s="4"/>
      <c r="F1425" s="4"/>
      <c r="G1425" s="4"/>
      <c r="H1425" s="4"/>
      <c r="I1425" s="4"/>
      <c r="J1425" s="4"/>
      <c r="K1425" s="4"/>
    </row>
    <row r="1426" spans="1:11" ht="13">
      <c r="A1426" s="4"/>
      <c r="B1426" s="4"/>
      <c r="C1426" s="4"/>
      <c r="D1426" s="4"/>
      <c r="E1426" s="4"/>
      <c r="F1426" s="4"/>
      <c r="G1426" s="4"/>
      <c r="H1426" s="4"/>
      <c r="I1426" s="4"/>
      <c r="J1426" s="4"/>
      <c r="K1426" s="4"/>
    </row>
    <row r="1427" spans="1:11" ht="13">
      <c r="A1427" s="4"/>
      <c r="B1427" s="4"/>
      <c r="C1427" s="4"/>
      <c r="D1427" s="4"/>
      <c r="E1427" s="4"/>
      <c r="F1427" s="4"/>
      <c r="G1427" s="4"/>
      <c r="H1427" s="4"/>
      <c r="I1427" s="4"/>
      <c r="J1427" s="4"/>
      <c r="K1427" s="4"/>
    </row>
    <row r="1428" spans="1:11" ht="13">
      <c r="A1428" s="4"/>
      <c r="B1428" s="4"/>
      <c r="C1428" s="4"/>
      <c r="D1428" s="4"/>
      <c r="E1428" s="4"/>
      <c r="F1428" s="4"/>
      <c r="G1428" s="4"/>
      <c r="H1428" s="4"/>
      <c r="I1428" s="4"/>
      <c r="J1428" s="4"/>
      <c r="K1428" s="4"/>
    </row>
    <row r="1429" spans="1:11" ht="13">
      <c r="A1429" s="4"/>
      <c r="B1429" s="4"/>
      <c r="C1429" s="4"/>
      <c r="D1429" s="4"/>
      <c r="E1429" s="4"/>
      <c r="F1429" s="4"/>
      <c r="G1429" s="4"/>
      <c r="H1429" s="4"/>
      <c r="I1429" s="4"/>
      <c r="J1429" s="4"/>
      <c r="K1429" s="4"/>
    </row>
    <row r="1430" spans="1:11" ht="13">
      <c r="A1430" s="4"/>
      <c r="B1430" s="4"/>
      <c r="C1430" s="4"/>
      <c r="D1430" s="4"/>
      <c r="E1430" s="4"/>
      <c r="F1430" s="4"/>
      <c r="G1430" s="4"/>
      <c r="H1430" s="4"/>
      <c r="I1430" s="4"/>
      <c r="J1430" s="4"/>
      <c r="K1430" s="4"/>
    </row>
    <row r="1431" spans="1:11" ht="13">
      <c r="A1431" s="4"/>
      <c r="B1431" s="4"/>
      <c r="C1431" s="4"/>
      <c r="D1431" s="4"/>
      <c r="E1431" s="4"/>
      <c r="F1431" s="4"/>
      <c r="G1431" s="4"/>
      <c r="H1431" s="4"/>
      <c r="I1431" s="4"/>
      <c r="J1431" s="4"/>
      <c r="K1431" s="4"/>
    </row>
    <row r="1432" spans="1:11" ht="13">
      <c r="A1432" s="4"/>
      <c r="B1432" s="4"/>
      <c r="C1432" s="4"/>
      <c r="D1432" s="4"/>
      <c r="E1432" s="4"/>
      <c r="F1432" s="4"/>
      <c r="G1432" s="4"/>
      <c r="H1432" s="4"/>
      <c r="I1432" s="4"/>
      <c r="J1432" s="4"/>
      <c r="K1432" s="4"/>
    </row>
    <row r="1433" spans="1:11" ht="13">
      <c r="A1433" s="4"/>
      <c r="B1433" s="4"/>
      <c r="C1433" s="4"/>
      <c r="D1433" s="4"/>
      <c r="E1433" s="4"/>
      <c r="F1433" s="4"/>
      <c r="G1433" s="4"/>
      <c r="H1433" s="4"/>
      <c r="I1433" s="4"/>
      <c r="J1433" s="4"/>
      <c r="K1433" s="4"/>
    </row>
    <row r="1434" spans="1:11" ht="13">
      <c r="A1434" s="4"/>
      <c r="B1434" s="4"/>
      <c r="C1434" s="4"/>
      <c r="D1434" s="4"/>
      <c r="E1434" s="4"/>
      <c r="F1434" s="4"/>
      <c r="G1434" s="4"/>
      <c r="H1434" s="4"/>
      <c r="I1434" s="4"/>
      <c r="J1434" s="4"/>
      <c r="K1434" s="4"/>
    </row>
    <row r="1435" spans="1:11" ht="13">
      <c r="A1435" s="4"/>
      <c r="B1435" s="4"/>
      <c r="C1435" s="4"/>
      <c r="D1435" s="4"/>
      <c r="E1435" s="4"/>
      <c r="F1435" s="4"/>
      <c r="G1435" s="4"/>
      <c r="H1435" s="4"/>
      <c r="I1435" s="4"/>
      <c r="J1435" s="4"/>
      <c r="K1435" s="4"/>
    </row>
    <row r="1436" spans="1:11" ht="13">
      <c r="A1436" s="4"/>
      <c r="B1436" s="4"/>
      <c r="C1436" s="4"/>
      <c r="D1436" s="4"/>
      <c r="E1436" s="4"/>
      <c r="F1436" s="4"/>
      <c r="G1436" s="4"/>
      <c r="H1436" s="4"/>
      <c r="I1436" s="4"/>
      <c r="J1436" s="4"/>
      <c r="K1436" s="4"/>
    </row>
    <row r="1437" spans="1:11" ht="13">
      <c r="A1437" s="4"/>
      <c r="B1437" s="4"/>
      <c r="C1437" s="4"/>
      <c r="D1437" s="4"/>
      <c r="E1437" s="4"/>
      <c r="F1437" s="4"/>
      <c r="G1437" s="4"/>
      <c r="H1437" s="4"/>
      <c r="I1437" s="4"/>
      <c r="J1437" s="4"/>
      <c r="K1437" s="4"/>
    </row>
    <row r="1438" spans="1:11" ht="13">
      <c r="A1438" s="4"/>
      <c r="B1438" s="4"/>
      <c r="C1438" s="4"/>
      <c r="D1438" s="4"/>
      <c r="E1438" s="4"/>
      <c r="F1438" s="4"/>
      <c r="G1438" s="4"/>
      <c r="H1438" s="4"/>
      <c r="I1438" s="4"/>
      <c r="J1438" s="4"/>
      <c r="K1438" s="4"/>
    </row>
    <row r="1439" spans="1:11" ht="13">
      <c r="A1439" s="4"/>
      <c r="B1439" s="4"/>
      <c r="C1439" s="4"/>
      <c r="D1439" s="4"/>
      <c r="E1439" s="4"/>
      <c r="F1439" s="4"/>
      <c r="G1439" s="4"/>
      <c r="H1439" s="4"/>
      <c r="I1439" s="4"/>
      <c r="J1439" s="4"/>
      <c r="K1439" s="4"/>
    </row>
    <row r="1440" spans="1:11" ht="13">
      <c r="A1440" s="4"/>
      <c r="B1440" s="4"/>
      <c r="C1440" s="4"/>
      <c r="D1440" s="4"/>
      <c r="E1440" s="4"/>
      <c r="F1440" s="4"/>
      <c r="G1440" s="4"/>
      <c r="H1440" s="4"/>
      <c r="I1440" s="4"/>
      <c r="J1440" s="4"/>
      <c r="K1440" s="4"/>
    </row>
    <row r="1441" spans="1:11" ht="13">
      <c r="A1441" s="4"/>
      <c r="B1441" s="4"/>
      <c r="C1441" s="4"/>
      <c r="D1441" s="4"/>
      <c r="E1441" s="4"/>
      <c r="F1441" s="4"/>
      <c r="G1441" s="4"/>
      <c r="H1441" s="4"/>
      <c r="I1441" s="4"/>
      <c r="J1441" s="4"/>
      <c r="K1441" s="4"/>
    </row>
    <row r="1442" spans="1:11" ht="13">
      <c r="A1442" s="4"/>
      <c r="B1442" s="4"/>
      <c r="C1442" s="4"/>
      <c r="D1442" s="4"/>
      <c r="E1442" s="4"/>
      <c r="F1442" s="4"/>
      <c r="G1442" s="4"/>
      <c r="H1442" s="4"/>
      <c r="I1442" s="4"/>
      <c r="J1442" s="4"/>
      <c r="K1442" s="4"/>
    </row>
    <row r="1443" spans="1:11" ht="13">
      <c r="A1443" s="4"/>
      <c r="B1443" s="4"/>
      <c r="C1443" s="4"/>
      <c r="D1443" s="4"/>
      <c r="E1443" s="4"/>
      <c r="F1443" s="4"/>
      <c r="G1443" s="4"/>
      <c r="H1443" s="4"/>
      <c r="I1443" s="4"/>
      <c r="J1443" s="4"/>
      <c r="K1443" s="4"/>
    </row>
    <row r="1444" spans="1:11" ht="13">
      <c r="A1444" s="4"/>
      <c r="B1444" s="4"/>
      <c r="C1444" s="4"/>
      <c r="D1444" s="4"/>
      <c r="E1444" s="4"/>
      <c r="F1444" s="4"/>
      <c r="G1444" s="4"/>
      <c r="H1444" s="4"/>
      <c r="I1444" s="4"/>
      <c r="J1444" s="4"/>
      <c r="K1444" s="4"/>
    </row>
    <row r="1445" spans="1:11" ht="13">
      <c r="A1445" s="4"/>
      <c r="B1445" s="4"/>
      <c r="C1445" s="4"/>
      <c r="D1445" s="4"/>
      <c r="E1445" s="4"/>
      <c r="F1445" s="4"/>
      <c r="G1445" s="4"/>
      <c r="H1445" s="4"/>
      <c r="I1445" s="4"/>
      <c r="J1445" s="4"/>
      <c r="K1445" s="4"/>
    </row>
    <row r="1446" spans="1:11" ht="13">
      <c r="A1446" s="4"/>
      <c r="B1446" s="4"/>
      <c r="C1446" s="4"/>
      <c r="D1446" s="4"/>
      <c r="E1446" s="4"/>
      <c r="F1446" s="4"/>
      <c r="G1446" s="4"/>
      <c r="H1446" s="4"/>
      <c r="I1446" s="4"/>
      <c r="J1446" s="4"/>
      <c r="K1446" s="4"/>
    </row>
    <row r="1447" spans="1:11" ht="13">
      <c r="A1447" s="4"/>
      <c r="B1447" s="4"/>
      <c r="C1447" s="4"/>
      <c r="D1447" s="4"/>
      <c r="E1447" s="4"/>
      <c r="F1447" s="4"/>
      <c r="G1447" s="4"/>
      <c r="H1447" s="4"/>
      <c r="I1447" s="4"/>
      <c r="J1447" s="4"/>
      <c r="K1447" s="4"/>
    </row>
    <row r="1448" spans="1:11" ht="13">
      <c r="A1448" s="4"/>
      <c r="B1448" s="4"/>
      <c r="C1448" s="4"/>
      <c r="D1448" s="4"/>
      <c r="E1448" s="4"/>
      <c r="F1448" s="4"/>
      <c r="G1448" s="4"/>
      <c r="H1448" s="4"/>
      <c r="I1448" s="4"/>
      <c r="J1448" s="4"/>
      <c r="K1448" s="4"/>
    </row>
    <row r="1449" spans="1:11" ht="13">
      <c r="A1449" s="4"/>
      <c r="B1449" s="4"/>
      <c r="C1449" s="4"/>
      <c r="D1449" s="4"/>
      <c r="E1449" s="4"/>
      <c r="F1449" s="4"/>
      <c r="G1449" s="4"/>
      <c r="H1449" s="4"/>
      <c r="I1449" s="4"/>
      <c r="J1449" s="4"/>
      <c r="K1449" s="4"/>
    </row>
    <row r="1450" spans="1:11" ht="13">
      <c r="A1450" s="4"/>
      <c r="B1450" s="4"/>
      <c r="C1450" s="4"/>
      <c r="D1450" s="4"/>
      <c r="E1450" s="4"/>
      <c r="F1450" s="4"/>
      <c r="G1450" s="4"/>
      <c r="H1450" s="4"/>
      <c r="I1450" s="4"/>
      <c r="J1450" s="4"/>
      <c r="K1450" s="4"/>
    </row>
    <row r="1451" spans="1:11" ht="13">
      <c r="A1451" s="4"/>
      <c r="B1451" s="4"/>
      <c r="C1451" s="4"/>
      <c r="D1451" s="4"/>
      <c r="E1451" s="4"/>
      <c r="F1451" s="4"/>
      <c r="G1451" s="4"/>
      <c r="H1451" s="4"/>
      <c r="I1451" s="4"/>
      <c r="J1451" s="4"/>
      <c r="K1451" s="4"/>
    </row>
    <row r="1452" spans="1:11" ht="13">
      <c r="A1452" s="4"/>
      <c r="B1452" s="4"/>
      <c r="C1452" s="4"/>
      <c r="D1452" s="4"/>
      <c r="E1452" s="4"/>
      <c r="F1452" s="4"/>
      <c r="G1452" s="4"/>
      <c r="H1452" s="4"/>
      <c r="I1452" s="4"/>
      <c r="J1452" s="4"/>
      <c r="K1452" s="4"/>
    </row>
    <row r="1453" spans="1:11" ht="13">
      <c r="A1453" s="4"/>
      <c r="B1453" s="4"/>
      <c r="C1453" s="4"/>
      <c r="D1453" s="4"/>
      <c r="E1453" s="4"/>
      <c r="F1453" s="4"/>
      <c r="G1453" s="4"/>
      <c r="H1453" s="4"/>
      <c r="I1453" s="4"/>
      <c r="J1453" s="4"/>
      <c r="K1453" s="4"/>
    </row>
    <row r="1454" spans="1:11" ht="13">
      <c r="A1454" s="4"/>
      <c r="B1454" s="4"/>
      <c r="C1454" s="4"/>
      <c r="D1454" s="4"/>
      <c r="E1454" s="4"/>
      <c r="F1454" s="4"/>
      <c r="G1454" s="4"/>
      <c r="H1454" s="4"/>
      <c r="I1454" s="4"/>
      <c r="J1454" s="4"/>
      <c r="K1454" s="4"/>
    </row>
    <row r="1455" spans="1:11" ht="13">
      <c r="A1455" s="4"/>
      <c r="B1455" s="4"/>
      <c r="C1455" s="4"/>
      <c r="D1455" s="4"/>
      <c r="E1455" s="4"/>
      <c r="F1455" s="4"/>
      <c r="G1455" s="4"/>
      <c r="H1455" s="4"/>
      <c r="I1455" s="4"/>
      <c r="J1455" s="4"/>
      <c r="K1455" s="4"/>
    </row>
    <row r="1456" spans="1:11" ht="13">
      <c r="A1456" s="4"/>
      <c r="B1456" s="4"/>
      <c r="C1456" s="4"/>
      <c r="D1456" s="4"/>
      <c r="E1456" s="4"/>
      <c r="F1456" s="4"/>
      <c r="G1456" s="4"/>
      <c r="H1456" s="4"/>
      <c r="I1456" s="4"/>
      <c r="J1456" s="4"/>
      <c r="K1456" s="4"/>
    </row>
    <row r="1457" spans="1:11" ht="13">
      <c r="A1457" s="4"/>
      <c r="B1457" s="4"/>
      <c r="C1457" s="4"/>
      <c r="D1457" s="4"/>
      <c r="E1457" s="4"/>
      <c r="F1457" s="4"/>
      <c r="G1457" s="4"/>
      <c r="H1457" s="4"/>
      <c r="I1457" s="4"/>
      <c r="J1457" s="4"/>
      <c r="K1457" s="4"/>
    </row>
    <row r="1458" spans="1:11" ht="13">
      <c r="A1458" s="4"/>
      <c r="B1458" s="4"/>
      <c r="C1458" s="4"/>
      <c r="D1458" s="4"/>
      <c r="E1458" s="4"/>
      <c r="F1458" s="4"/>
      <c r="G1458" s="4"/>
      <c r="H1458" s="4"/>
      <c r="I1458" s="4"/>
      <c r="J1458" s="4"/>
      <c r="K1458" s="4"/>
    </row>
    <row r="1459" spans="1:11" ht="13">
      <c r="A1459" s="4"/>
      <c r="B1459" s="4"/>
      <c r="C1459" s="4"/>
      <c r="D1459" s="4"/>
      <c r="E1459" s="4"/>
      <c r="F1459" s="4"/>
      <c r="G1459" s="4"/>
      <c r="H1459" s="4"/>
      <c r="I1459" s="4"/>
      <c r="J1459" s="4"/>
      <c r="K1459" s="4"/>
    </row>
    <row r="1460" spans="1:11" ht="13">
      <c r="A1460" s="4"/>
      <c r="B1460" s="4"/>
      <c r="C1460" s="4"/>
      <c r="D1460" s="4"/>
      <c r="E1460" s="4"/>
      <c r="F1460" s="4"/>
      <c r="G1460" s="4"/>
      <c r="H1460" s="4"/>
      <c r="I1460" s="4"/>
      <c r="J1460" s="4"/>
      <c r="K1460" s="4"/>
    </row>
    <row r="1461" spans="1:11" ht="13">
      <c r="A1461" s="4"/>
      <c r="B1461" s="4"/>
      <c r="C1461" s="4"/>
      <c r="D1461" s="4"/>
      <c r="E1461" s="4"/>
      <c r="F1461" s="4"/>
      <c r="G1461" s="4"/>
      <c r="H1461" s="4"/>
      <c r="I1461" s="4"/>
      <c r="J1461" s="4"/>
      <c r="K1461" s="4"/>
    </row>
    <row r="1462" spans="1:11" ht="13">
      <c r="A1462" s="4"/>
      <c r="B1462" s="4"/>
      <c r="C1462" s="4"/>
      <c r="D1462" s="4"/>
      <c r="E1462" s="4"/>
      <c r="F1462" s="4"/>
      <c r="G1462" s="4"/>
      <c r="H1462" s="4"/>
      <c r="I1462" s="4"/>
      <c r="J1462" s="4"/>
      <c r="K1462" s="4"/>
    </row>
    <row r="1463" spans="1:11" ht="13">
      <c r="A1463" s="4"/>
      <c r="B1463" s="4"/>
      <c r="C1463" s="4"/>
      <c r="D1463" s="4"/>
      <c r="E1463" s="4"/>
      <c r="F1463" s="4"/>
      <c r="G1463" s="4"/>
      <c r="H1463" s="4"/>
      <c r="I1463" s="4"/>
      <c r="J1463" s="4"/>
      <c r="K1463" s="4"/>
    </row>
    <row r="1464" spans="1:11" ht="13">
      <c r="A1464" s="4"/>
      <c r="B1464" s="4"/>
      <c r="C1464" s="4"/>
      <c r="D1464" s="4"/>
      <c r="E1464" s="4"/>
      <c r="F1464" s="4"/>
      <c r="G1464" s="4"/>
      <c r="H1464" s="4"/>
      <c r="I1464" s="4"/>
      <c r="J1464" s="4"/>
      <c r="K1464" s="4"/>
    </row>
    <row r="1465" spans="1:11" ht="13">
      <c r="A1465" s="4"/>
      <c r="B1465" s="4"/>
      <c r="C1465" s="4"/>
      <c r="D1465" s="4"/>
      <c r="E1465" s="4"/>
      <c r="F1465" s="4"/>
      <c r="G1465" s="4"/>
      <c r="H1465" s="4"/>
      <c r="I1465" s="4"/>
      <c r="J1465" s="4"/>
      <c r="K1465" s="4"/>
    </row>
    <row r="1466" spans="1:11" ht="13">
      <c r="A1466" s="4"/>
      <c r="B1466" s="4"/>
      <c r="C1466" s="4"/>
      <c r="D1466" s="4"/>
      <c r="E1466" s="4"/>
      <c r="F1466" s="4"/>
      <c r="G1466" s="4"/>
      <c r="H1466" s="4"/>
      <c r="I1466" s="4"/>
      <c r="J1466" s="4"/>
      <c r="K1466" s="4"/>
    </row>
    <row r="1467" spans="1:11" ht="13">
      <c r="A1467" s="4"/>
      <c r="B1467" s="4"/>
      <c r="C1467" s="4"/>
      <c r="D1467" s="4"/>
      <c r="E1467" s="4"/>
      <c r="F1467" s="4"/>
      <c r="G1467" s="4"/>
      <c r="H1467" s="4"/>
      <c r="I1467" s="4"/>
      <c r="J1467" s="4"/>
      <c r="K1467" s="4"/>
    </row>
    <row r="1468" spans="1:11" ht="13">
      <c r="A1468" s="4"/>
      <c r="B1468" s="4"/>
      <c r="C1468" s="4"/>
      <c r="D1468" s="4"/>
      <c r="E1468" s="4"/>
      <c r="F1468" s="4"/>
      <c r="G1468" s="4"/>
      <c r="H1468" s="4"/>
      <c r="I1468" s="4"/>
      <c r="J1468" s="4"/>
      <c r="K1468" s="4"/>
    </row>
    <row r="1469" spans="1:11" ht="13">
      <c r="A1469" s="4"/>
      <c r="B1469" s="4"/>
      <c r="C1469" s="4"/>
      <c r="D1469" s="4"/>
      <c r="E1469" s="4"/>
      <c r="F1469" s="4"/>
      <c r="G1469" s="4"/>
      <c r="H1469" s="4"/>
      <c r="I1469" s="4"/>
      <c r="J1469" s="4"/>
      <c r="K1469" s="4"/>
    </row>
    <row r="1470" spans="1:11" ht="13">
      <c r="A1470" s="4"/>
      <c r="B1470" s="4"/>
      <c r="C1470" s="4"/>
      <c r="D1470" s="4"/>
      <c r="E1470" s="4"/>
      <c r="F1470" s="4"/>
      <c r="G1470" s="4"/>
      <c r="H1470" s="4"/>
      <c r="I1470" s="4"/>
      <c r="J1470" s="4"/>
      <c r="K1470" s="4"/>
    </row>
    <row r="1471" spans="1:11" ht="13">
      <c r="A1471" s="4"/>
      <c r="B1471" s="4"/>
      <c r="C1471" s="4"/>
      <c r="D1471" s="4"/>
      <c r="E1471" s="4"/>
      <c r="F1471" s="4"/>
      <c r="G1471" s="4"/>
      <c r="H1471" s="4"/>
      <c r="I1471" s="4"/>
      <c r="J1471" s="4"/>
      <c r="K1471" s="4"/>
    </row>
    <row r="1472" spans="1:11" ht="13">
      <c r="A1472" s="4"/>
      <c r="B1472" s="4"/>
      <c r="C1472" s="4"/>
      <c r="D1472" s="4"/>
      <c r="E1472" s="4"/>
      <c r="F1472" s="4"/>
      <c r="G1472" s="4"/>
      <c r="H1472" s="4"/>
      <c r="I1472" s="4"/>
      <c r="J1472" s="4"/>
      <c r="K1472" s="4"/>
    </row>
    <row r="1473" spans="1:11" ht="13">
      <c r="A1473" s="4"/>
      <c r="B1473" s="4"/>
      <c r="C1473" s="4"/>
      <c r="D1473" s="4"/>
      <c r="E1473" s="4"/>
      <c r="F1473" s="4"/>
      <c r="G1473" s="4"/>
      <c r="H1473" s="4"/>
      <c r="I1473" s="4"/>
      <c r="J1473" s="4"/>
      <c r="K1473" s="4"/>
    </row>
    <row r="1474" spans="1:11" ht="13">
      <c r="A1474" s="4"/>
      <c r="B1474" s="4"/>
      <c r="C1474" s="4"/>
      <c r="D1474" s="4"/>
      <c r="E1474" s="4"/>
      <c r="F1474" s="4"/>
      <c r="G1474" s="4"/>
      <c r="H1474" s="4"/>
      <c r="I1474" s="4"/>
      <c r="J1474" s="4"/>
      <c r="K1474" s="4"/>
    </row>
    <row r="1475" spans="1:11" ht="13">
      <c r="A1475" s="4"/>
      <c r="B1475" s="4"/>
      <c r="C1475" s="4"/>
      <c r="D1475" s="4"/>
      <c r="E1475" s="4"/>
      <c r="F1475" s="4"/>
      <c r="G1475" s="4"/>
      <c r="H1475" s="4"/>
      <c r="I1475" s="4"/>
      <c r="J1475" s="4"/>
      <c r="K1475" s="4"/>
    </row>
    <row r="1476" spans="1:11" ht="13">
      <c r="A1476" s="4"/>
      <c r="B1476" s="4"/>
      <c r="C1476" s="4"/>
      <c r="D1476" s="4"/>
      <c r="E1476" s="4"/>
      <c r="F1476" s="4"/>
      <c r="G1476" s="4"/>
      <c r="H1476" s="4"/>
      <c r="I1476" s="4"/>
      <c r="J1476" s="4"/>
      <c r="K1476" s="4"/>
    </row>
    <row r="1477" spans="1:11" ht="13">
      <c r="A1477" s="4"/>
      <c r="B1477" s="4"/>
      <c r="C1477" s="4"/>
      <c r="D1477" s="4"/>
      <c r="E1477" s="4"/>
      <c r="F1477" s="4"/>
      <c r="G1477" s="4"/>
      <c r="H1477" s="4"/>
      <c r="I1477" s="4"/>
      <c r="J1477" s="4"/>
      <c r="K1477" s="4"/>
    </row>
    <row r="1478" spans="1:11" ht="13">
      <c r="A1478" s="4"/>
      <c r="B1478" s="4"/>
      <c r="C1478" s="4"/>
      <c r="D1478" s="4"/>
      <c r="E1478" s="4"/>
      <c r="F1478" s="4"/>
      <c r="G1478" s="4"/>
      <c r="H1478" s="4"/>
      <c r="I1478" s="4"/>
      <c r="J1478" s="4"/>
      <c r="K1478" s="4"/>
    </row>
    <row r="1479" spans="1:11" ht="13">
      <c r="A1479" s="4"/>
      <c r="B1479" s="4"/>
      <c r="C1479" s="4"/>
      <c r="D1479" s="4"/>
      <c r="E1479" s="4"/>
      <c r="F1479" s="4"/>
      <c r="G1479" s="4"/>
      <c r="H1479" s="4"/>
      <c r="I1479" s="4"/>
      <c r="J1479" s="4"/>
      <c r="K1479" s="4"/>
    </row>
    <row r="1480" spans="1:11" ht="13">
      <c r="A1480" s="4"/>
      <c r="B1480" s="4"/>
      <c r="C1480" s="4"/>
      <c r="D1480" s="4"/>
      <c r="E1480" s="4"/>
      <c r="F1480" s="4"/>
      <c r="G1480" s="4"/>
      <c r="H1480" s="4"/>
      <c r="I1480" s="4"/>
      <c r="J1480" s="4"/>
      <c r="K1480" s="4"/>
    </row>
    <row r="1481" spans="1:11" ht="13">
      <c r="A1481" s="4"/>
      <c r="B1481" s="4"/>
      <c r="C1481" s="4"/>
      <c r="D1481" s="4"/>
      <c r="E1481" s="4"/>
      <c r="F1481" s="4"/>
      <c r="G1481" s="4"/>
      <c r="H1481" s="4"/>
      <c r="I1481" s="4"/>
      <c r="J1481" s="4"/>
      <c r="K1481" s="4"/>
    </row>
    <row r="1482" spans="1:11" ht="13">
      <c r="A1482" s="4"/>
      <c r="B1482" s="4"/>
      <c r="C1482" s="4"/>
      <c r="D1482" s="4"/>
      <c r="E1482" s="4"/>
      <c r="F1482" s="4"/>
      <c r="G1482" s="4"/>
      <c r="H1482" s="4"/>
      <c r="I1482" s="4"/>
      <c r="J1482" s="4"/>
      <c r="K1482" s="4"/>
    </row>
    <row r="1483" spans="1:11" ht="13">
      <c r="A1483" s="4"/>
      <c r="B1483" s="4"/>
      <c r="C1483" s="4"/>
      <c r="D1483" s="4"/>
      <c r="E1483" s="4"/>
      <c r="F1483" s="4"/>
      <c r="G1483" s="4"/>
      <c r="H1483" s="4"/>
      <c r="I1483" s="4"/>
      <c r="J1483" s="4"/>
      <c r="K1483" s="4"/>
    </row>
    <row r="1484" spans="1:11" ht="13">
      <c r="A1484" s="4"/>
      <c r="B1484" s="4"/>
      <c r="C1484" s="4"/>
      <c r="D1484" s="4"/>
      <c r="E1484" s="4"/>
      <c r="F1484" s="4"/>
      <c r="G1484" s="4"/>
      <c r="H1484" s="4"/>
      <c r="I1484" s="4"/>
      <c r="J1484" s="4"/>
      <c r="K1484" s="4"/>
    </row>
    <row r="1485" spans="1:11" ht="13">
      <c r="A1485" s="4"/>
      <c r="B1485" s="4"/>
      <c r="C1485" s="4"/>
      <c r="D1485" s="4"/>
      <c r="E1485" s="4"/>
      <c r="F1485" s="4"/>
      <c r="G1485" s="4"/>
      <c r="H1485" s="4"/>
      <c r="I1485" s="4"/>
      <c r="J1485" s="4"/>
      <c r="K1485" s="4"/>
    </row>
    <row r="1486" spans="1:11" ht="13">
      <c r="A1486" s="4"/>
      <c r="B1486" s="4"/>
      <c r="C1486" s="4"/>
      <c r="D1486" s="4"/>
      <c r="E1486" s="4"/>
      <c r="F1486" s="4"/>
      <c r="G1486" s="4"/>
      <c r="H1486" s="4"/>
      <c r="I1486" s="4"/>
      <c r="J1486" s="4"/>
      <c r="K1486" s="4"/>
    </row>
    <row r="1487" spans="1:11" ht="13">
      <c r="A1487" s="4"/>
      <c r="B1487" s="4"/>
      <c r="C1487" s="4"/>
      <c r="D1487" s="4"/>
      <c r="E1487" s="4"/>
      <c r="F1487" s="4"/>
      <c r="G1487" s="4"/>
      <c r="H1487" s="4"/>
      <c r="I1487" s="4"/>
      <c r="J1487" s="4"/>
      <c r="K1487" s="4"/>
    </row>
    <row r="1488" spans="1:11" ht="13">
      <c r="A1488" s="4"/>
      <c r="B1488" s="4"/>
      <c r="C1488" s="4"/>
      <c r="D1488" s="4"/>
      <c r="E1488" s="4"/>
      <c r="F1488" s="4"/>
      <c r="G1488" s="4"/>
      <c r="H1488" s="4"/>
      <c r="I1488" s="4"/>
      <c r="J1488" s="4"/>
      <c r="K1488" s="4"/>
    </row>
    <row r="1489" spans="1:11" ht="13">
      <c r="A1489" s="4"/>
      <c r="B1489" s="4"/>
      <c r="C1489" s="4"/>
      <c r="D1489" s="4"/>
      <c r="E1489" s="4"/>
      <c r="F1489" s="4"/>
      <c r="G1489" s="4"/>
      <c r="H1489" s="4"/>
      <c r="I1489" s="4"/>
      <c r="J1489" s="4"/>
      <c r="K1489" s="4"/>
    </row>
    <row r="1490" spans="1:11" ht="13">
      <c r="A1490" s="4"/>
      <c r="B1490" s="4"/>
      <c r="C1490" s="4"/>
      <c r="D1490" s="4"/>
      <c r="E1490" s="4"/>
      <c r="F1490" s="4"/>
      <c r="G1490" s="4"/>
      <c r="H1490" s="4"/>
      <c r="I1490" s="4"/>
      <c r="J1490" s="4"/>
      <c r="K1490" s="4"/>
    </row>
    <row r="1491" spans="1:11" ht="13">
      <c r="A1491" s="4"/>
      <c r="B1491" s="4"/>
      <c r="C1491" s="4"/>
      <c r="D1491" s="4"/>
      <c r="E1491" s="4"/>
      <c r="F1491" s="4"/>
      <c r="G1491" s="4"/>
      <c r="H1491" s="4"/>
      <c r="I1491" s="4"/>
      <c r="J1491" s="4"/>
      <c r="K1491" s="4"/>
    </row>
    <row r="1492" spans="1:11" ht="13">
      <c r="A1492" s="4"/>
      <c r="B1492" s="4"/>
      <c r="C1492" s="4"/>
      <c r="D1492" s="4"/>
      <c r="E1492" s="4"/>
      <c r="F1492" s="4"/>
      <c r="G1492" s="4"/>
      <c r="H1492" s="4"/>
      <c r="I1492" s="4"/>
      <c r="J1492" s="4"/>
      <c r="K1492" s="4"/>
    </row>
    <row r="1493" spans="1:11" ht="13">
      <c r="A1493" s="4"/>
      <c r="B1493" s="4"/>
      <c r="C1493" s="4"/>
      <c r="D1493" s="4"/>
      <c r="E1493" s="4"/>
      <c r="F1493" s="4"/>
      <c r="G1493" s="4"/>
      <c r="H1493" s="4"/>
      <c r="I1493" s="4"/>
      <c r="J1493" s="4"/>
      <c r="K1493" s="4"/>
    </row>
    <row r="1494" spans="1:11" ht="13">
      <c r="A1494" s="4"/>
      <c r="B1494" s="4"/>
      <c r="C1494" s="4"/>
      <c r="D1494" s="4"/>
      <c r="E1494" s="4"/>
      <c r="F1494" s="4"/>
      <c r="G1494" s="4"/>
      <c r="H1494" s="4"/>
      <c r="I1494" s="4"/>
      <c r="J1494" s="4"/>
      <c r="K1494" s="4"/>
    </row>
    <row r="1495" spans="1:11" ht="13">
      <c r="A1495" s="4"/>
      <c r="B1495" s="4"/>
      <c r="C1495" s="4"/>
      <c r="D1495" s="4"/>
      <c r="E1495" s="4"/>
      <c r="F1495" s="4"/>
      <c r="G1495" s="4"/>
      <c r="H1495" s="4"/>
      <c r="I1495" s="4"/>
      <c r="J1495" s="4"/>
      <c r="K1495" s="4"/>
    </row>
    <row r="1496" spans="1:11" ht="13">
      <c r="A1496" s="4"/>
      <c r="B1496" s="4"/>
      <c r="C1496" s="4"/>
      <c r="D1496" s="4"/>
      <c r="E1496" s="4"/>
      <c r="F1496" s="4"/>
      <c r="G1496" s="4"/>
      <c r="H1496" s="4"/>
      <c r="I1496" s="4"/>
      <c r="J1496" s="4"/>
      <c r="K1496" s="4"/>
    </row>
    <row r="1497" spans="1:11" ht="13">
      <c r="A1497" s="4"/>
      <c r="B1497" s="4"/>
      <c r="C1497" s="4"/>
      <c r="D1497" s="4"/>
      <c r="E1497" s="4"/>
      <c r="F1497" s="4"/>
      <c r="G1497" s="4"/>
      <c r="H1497" s="4"/>
      <c r="I1497" s="4"/>
      <c r="J1497" s="4"/>
      <c r="K1497" s="4"/>
    </row>
    <row r="1498" spans="1:11" ht="13">
      <c r="A1498" s="4"/>
      <c r="B1498" s="4"/>
      <c r="C1498" s="4"/>
      <c r="D1498" s="4"/>
      <c r="E1498" s="4"/>
      <c r="F1498" s="4"/>
      <c r="G1498" s="4"/>
      <c r="H1498" s="4"/>
      <c r="I1498" s="4"/>
      <c r="J1498" s="4"/>
      <c r="K1498" s="4"/>
    </row>
    <row r="1499" spans="1:11" ht="13">
      <c r="A1499" s="4"/>
      <c r="B1499" s="4"/>
      <c r="C1499" s="4"/>
      <c r="D1499" s="4"/>
      <c r="E1499" s="4"/>
      <c r="F1499" s="4"/>
      <c r="G1499" s="4"/>
      <c r="H1499" s="4"/>
      <c r="I1499" s="4"/>
      <c r="J1499" s="4"/>
      <c r="K1499" s="4"/>
    </row>
    <row r="1500" spans="1:11" ht="13">
      <c r="A1500" s="4"/>
      <c r="B1500" s="4"/>
      <c r="C1500" s="4"/>
      <c r="D1500" s="4"/>
      <c r="E1500" s="4"/>
      <c r="F1500" s="4"/>
      <c r="G1500" s="4"/>
      <c r="H1500" s="4"/>
      <c r="I1500" s="4"/>
      <c r="J1500" s="4"/>
      <c r="K1500" s="4"/>
    </row>
    <row r="1501" spans="1:11" ht="13">
      <c r="A1501" s="4"/>
      <c r="B1501" s="4"/>
      <c r="C1501" s="4"/>
      <c r="D1501" s="4"/>
      <c r="E1501" s="4"/>
      <c r="F1501" s="4"/>
      <c r="G1501" s="4"/>
      <c r="H1501" s="4"/>
      <c r="I1501" s="4"/>
      <c r="J1501" s="4"/>
      <c r="K1501" s="4"/>
    </row>
    <row r="1502" spans="1:11" ht="13">
      <c r="A1502" s="4"/>
      <c r="B1502" s="4"/>
      <c r="C1502" s="4"/>
      <c r="D1502" s="4"/>
      <c r="E1502" s="4"/>
      <c r="F1502" s="4"/>
      <c r="G1502" s="4"/>
      <c r="H1502" s="4"/>
      <c r="I1502" s="4"/>
      <c r="J1502" s="4"/>
      <c r="K1502" s="4"/>
    </row>
    <row r="1503" spans="1:11" ht="13">
      <c r="A1503" s="4"/>
      <c r="B1503" s="4"/>
      <c r="C1503" s="4"/>
      <c r="D1503" s="4"/>
      <c r="E1503" s="4"/>
      <c r="F1503" s="4"/>
      <c r="G1503" s="4"/>
      <c r="H1503" s="4"/>
      <c r="I1503" s="4"/>
      <c r="J1503" s="4"/>
      <c r="K1503" s="4"/>
    </row>
    <row r="1504" spans="1:11" ht="13">
      <c r="A1504" s="4"/>
      <c r="B1504" s="4"/>
      <c r="C1504" s="4"/>
      <c r="D1504" s="4"/>
      <c r="E1504" s="4"/>
      <c r="F1504" s="4"/>
      <c r="G1504" s="4"/>
      <c r="H1504" s="4"/>
      <c r="I1504" s="4"/>
      <c r="J1504" s="4"/>
      <c r="K1504" s="4"/>
    </row>
    <row r="1505" spans="1:11" ht="13">
      <c r="A1505" s="4"/>
      <c r="B1505" s="4"/>
      <c r="C1505" s="4"/>
      <c r="D1505" s="4"/>
      <c r="E1505" s="4"/>
      <c r="F1505" s="4"/>
      <c r="G1505" s="4"/>
      <c r="H1505" s="4"/>
      <c r="I1505" s="4"/>
      <c r="J1505" s="4"/>
      <c r="K1505" s="4"/>
    </row>
    <row r="1506" spans="1:11" ht="13">
      <c r="A1506" s="4"/>
      <c r="B1506" s="4"/>
      <c r="C1506" s="4"/>
      <c r="D1506" s="4"/>
      <c r="E1506" s="4"/>
      <c r="F1506" s="4"/>
      <c r="G1506" s="4"/>
      <c r="H1506" s="4"/>
      <c r="I1506" s="4"/>
      <c r="J1506" s="4"/>
      <c r="K1506" s="4"/>
    </row>
    <row r="1507" spans="1:11" ht="13">
      <c r="A1507" s="4"/>
      <c r="B1507" s="4"/>
      <c r="C1507" s="4"/>
      <c r="D1507" s="4"/>
      <c r="E1507" s="4"/>
      <c r="F1507" s="4"/>
      <c r="G1507" s="4"/>
      <c r="H1507" s="4"/>
      <c r="I1507" s="4"/>
      <c r="J1507" s="4"/>
      <c r="K1507" s="4"/>
    </row>
    <row r="1508" spans="1:11" ht="13">
      <c r="A1508" s="4"/>
      <c r="B1508" s="4"/>
      <c r="C1508" s="4"/>
      <c r="D1508" s="4"/>
      <c r="E1508" s="4"/>
      <c r="F1508" s="4"/>
      <c r="G1508" s="4"/>
      <c r="H1508" s="4"/>
      <c r="I1508" s="4"/>
      <c r="J1508" s="4"/>
      <c r="K1508" s="4"/>
    </row>
    <row r="1509" spans="1:11" ht="13">
      <c r="A1509" s="4"/>
      <c r="B1509" s="4"/>
      <c r="C1509" s="4"/>
      <c r="D1509" s="4"/>
      <c r="E1509" s="4"/>
      <c r="F1509" s="4"/>
      <c r="G1509" s="4"/>
      <c r="H1509" s="4"/>
      <c r="I1509" s="4"/>
      <c r="J1509" s="4"/>
      <c r="K1509" s="4"/>
    </row>
    <row r="1510" spans="1:11" ht="13">
      <c r="A1510" s="4"/>
      <c r="B1510" s="4"/>
      <c r="C1510" s="4"/>
      <c r="D1510" s="4"/>
      <c r="E1510" s="4"/>
      <c r="F1510" s="4"/>
      <c r="G1510" s="4"/>
      <c r="H1510" s="4"/>
      <c r="I1510" s="4"/>
      <c r="J1510" s="4"/>
      <c r="K1510" s="4"/>
    </row>
    <row r="1511" spans="1:11" ht="13">
      <c r="A1511" s="4"/>
      <c r="B1511" s="4"/>
      <c r="C1511" s="4"/>
      <c r="D1511" s="4"/>
      <c r="E1511" s="4"/>
      <c r="F1511" s="4"/>
      <c r="G1511" s="4"/>
      <c r="H1511" s="4"/>
      <c r="I1511" s="4"/>
      <c r="J1511" s="4"/>
      <c r="K1511" s="4"/>
    </row>
    <row r="1512" spans="1:11" ht="13">
      <c r="A1512" s="4"/>
      <c r="B1512" s="4"/>
      <c r="C1512" s="4"/>
      <c r="D1512" s="4"/>
      <c r="E1512" s="4"/>
      <c r="F1512" s="4"/>
      <c r="G1512" s="4"/>
      <c r="H1512" s="4"/>
      <c r="I1512" s="4"/>
      <c r="J1512" s="4"/>
      <c r="K1512" s="4"/>
    </row>
    <row r="1513" spans="1:11" ht="13">
      <c r="A1513" s="4"/>
      <c r="B1513" s="4"/>
      <c r="C1513" s="4"/>
      <c r="D1513" s="4"/>
      <c r="E1513" s="4"/>
      <c r="F1513" s="4"/>
      <c r="G1513" s="4"/>
      <c r="H1513" s="4"/>
      <c r="I1513" s="4"/>
      <c r="J1513" s="4"/>
      <c r="K1513" s="4"/>
    </row>
    <row r="1514" spans="1:11" ht="13">
      <c r="A1514" s="4"/>
      <c r="B1514" s="4"/>
      <c r="C1514" s="4"/>
      <c r="D1514" s="4"/>
      <c r="E1514" s="4"/>
      <c r="F1514" s="4"/>
      <c r="G1514" s="4"/>
      <c r="H1514" s="4"/>
      <c r="I1514" s="4"/>
      <c r="J1514" s="4"/>
      <c r="K1514" s="4"/>
    </row>
    <row r="1515" spans="1:11" ht="13">
      <c r="A1515" s="4"/>
      <c r="B1515" s="4"/>
      <c r="C1515" s="4"/>
      <c r="D1515" s="4"/>
      <c r="E1515" s="4"/>
      <c r="F1515" s="4"/>
      <c r="G1515" s="4"/>
      <c r="H1515" s="4"/>
      <c r="I1515" s="4"/>
      <c r="J1515" s="4"/>
      <c r="K1515" s="4"/>
    </row>
    <row r="1516" spans="1:11" ht="13">
      <c r="A1516" s="4"/>
      <c r="B1516" s="4"/>
      <c r="C1516" s="4"/>
      <c r="D1516" s="4"/>
      <c r="E1516" s="4"/>
      <c r="F1516" s="4"/>
      <c r="G1516" s="4"/>
      <c r="H1516" s="4"/>
      <c r="I1516" s="4"/>
      <c r="J1516" s="4"/>
      <c r="K1516" s="4"/>
    </row>
    <row r="1517" spans="1:11" ht="13">
      <c r="A1517" s="4"/>
      <c r="B1517" s="4"/>
      <c r="C1517" s="4"/>
      <c r="D1517" s="4"/>
      <c r="E1517" s="4"/>
      <c r="F1517" s="4"/>
      <c r="G1517" s="4"/>
      <c r="H1517" s="4"/>
      <c r="I1517" s="4"/>
      <c r="J1517" s="4"/>
      <c r="K1517" s="4"/>
    </row>
    <row r="1518" spans="1:11" ht="13">
      <c r="A1518" s="4"/>
      <c r="B1518" s="4"/>
      <c r="C1518" s="4"/>
      <c r="D1518" s="4"/>
      <c r="E1518" s="4"/>
      <c r="F1518" s="4"/>
      <c r="G1518" s="4"/>
      <c r="H1518" s="4"/>
      <c r="I1518" s="4"/>
      <c r="J1518" s="4"/>
      <c r="K1518" s="4"/>
    </row>
    <row r="1519" spans="1:11" ht="13">
      <c r="A1519" s="4"/>
      <c r="B1519" s="4"/>
      <c r="C1519" s="4"/>
      <c r="D1519" s="4"/>
      <c r="E1519" s="4"/>
      <c r="F1519" s="4"/>
      <c r="G1519" s="4"/>
      <c r="H1519" s="4"/>
      <c r="I1519" s="4"/>
      <c r="J1519" s="4"/>
      <c r="K1519" s="4"/>
    </row>
    <row r="1520" spans="1:11" ht="13">
      <c r="A1520" s="4"/>
      <c r="B1520" s="4"/>
      <c r="C1520" s="4"/>
      <c r="D1520" s="4"/>
      <c r="E1520" s="4"/>
      <c r="F1520" s="4"/>
      <c r="G1520" s="4"/>
      <c r="H1520" s="4"/>
      <c r="I1520" s="4"/>
      <c r="J1520" s="4"/>
      <c r="K1520" s="4"/>
    </row>
    <row r="1521" spans="1:11" ht="13">
      <c r="A1521" s="4"/>
      <c r="B1521" s="4"/>
      <c r="C1521" s="4"/>
      <c r="D1521" s="4"/>
      <c r="E1521" s="4"/>
      <c r="F1521" s="4"/>
      <c r="G1521" s="4"/>
      <c r="H1521" s="4"/>
      <c r="I1521" s="4"/>
      <c r="J1521" s="4"/>
      <c r="K1521" s="4"/>
    </row>
    <row r="1522" spans="1:11" ht="13">
      <c r="A1522" s="4"/>
      <c r="B1522" s="4"/>
      <c r="C1522" s="4"/>
      <c r="D1522" s="4"/>
      <c r="E1522" s="4"/>
      <c r="F1522" s="4"/>
      <c r="G1522" s="4"/>
      <c r="H1522" s="4"/>
      <c r="I1522" s="4"/>
      <c r="J1522" s="4"/>
      <c r="K1522" s="4"/>
    </row>
    <row r="1523" spans="1:11" ht="13">
      <c r="A1523" s="4"/>
      <c r="B1523" s="4"/>
      <c r="C1523" s="4"/>
      <c r="D1523" s="4"/>
      <c r="E1523" s="4"/>
      <c r="F1523" s="4"/>
      <c r="G1523" s="4"/>
      <c r="H1523" s="4"/>
      <c r="I1523" s="4"/>
      <c r="J1523" s="4"/>
      <c r="K1523" s="4"/>
    </row>
    <row r="1524" spans="1:11" ht="13">
      <c r="A1524" s="4"/>
      <c r="B1524" s="4"/>
      <c r="C1524" s="4"/>
      <c r="D1524" s="4"/>
      <c r="E1524" s="4"/>
      <c r="F1524" s="4"/>
      <c r="G1524" s="4"/>
      <c r="H1524" s="4"/>
      <c r="I1524" s="4"/>
      <c r="J1524" s="4"/>
      <c r="K1524" s="4"/>
    </row>
    <row r="1525" spans="1:11" ht="13">
      <c r="A1525" s="4"/>
      <c r="B1525" s="4"/>
      <c r="C1525" s="4"/>
      <c r="D1525" s="4"/>
      <c r="E1525" s="4"/>
      <c r="F1525" s="4"/>
      <c r="G1525" s="4"/>
      <c r="H1525" s="4"/>
      <c r="I1525" s="4"/>
      <c r="J1525" s="4"/>
      <c r="K1525" s="4"/>
    </row>
    <row r="1526" spans="1:11" ht="13">
      <c r="A1526" s="4"/>
      <c r="B1526" s="4"/>
      <c r="C1526" s="4"/>
      <c r="D1526" s="4"/>
      <c r="E1526" s="4"/>
      <c r="F1526" s="4"/>
      <c r="G1526" s="4"/>
      <c r="H1526" s="4"/>
      <c r="I1526" s="4"/>
      <c r="J1526" s="4"/>
      <c r="K1526" s="4"/>
    </row>
    <row r="1527" spans="1:11" ht="13">
      <c r="A1527" s="4"/>
      <c r="B1527" s="4"/>
      <c r="C1527" s="4"/>
      <c r="D1527" s="4"/>
      <c r="E1527" s="4"/>
      <c r="F1527" s="4"/>
      <c r="G1527" s="4"/>
      <c r="H1527" s="4"/>
      <c r="I1527" s="4"/>
      <c r="J1527" s="4"/>
      <c r="K1527" s="4"/>
    </row>
    <row r="1528" spans="1:11" ht="13">
      <c r="A1528" s="4"/>
      <c r="B1528" s="4"/>
      <c r="C1528" s="4"/>
      <c r="D1528" s="4"/>
      <c r="E1528" s="4"/>
      <c r="F1528" s="4"/>
      <c r="G1528" s="4"/>
      <c r="H1528" s="4"/>
      <c r="I1528" s="4"/>
      <c r="J1528" s="4"/>
      <c r="K1528" s="4"/>
    </row>
    <row r="1529" spans="1:11" ht="13">
      <c r="A1529" s="4"/>
      <c r="B1529" s="4"/>
      <c r="C1529" s="4"/>
      <c r="D1529" s="4"/>
      <c r="E1529" s="4"/>
      <c r="F1529" s="4"/>
      <c r="G1529" s="4"/>
      <c r="H1529" s="4"/>
      <c r="I1529" s="4"/>
      <c r="J1529" s="4"/>
      <c r="K1529" s="4"/>
    </row>
    <row r="1530" spans="1:11" ht="13">
      <c r="A1530" s="4"/>
      <c r="B1530" s="4"/>
      <c r="C1530" s="4"/>
      <c r="D1530" s="4"/>
      <c r="E1530" s="4"/>
      <c r="F1530" s="4"/>
      <c r="G1530" s="4"/>
      <c r="H1530" s="4"/>
      <c r="I1530" s="4"/>
      <c r="J1530" s="4"/>
      <c r="K1530" s="4"/>
    </row>
    <row r="1531" spans="1:11" ht="13">
      <c r="A1531" s="4"/>
      <c r="B1531" s="4"/>
      <c r="C1531" s="4"/>
      <c r="D1531" s="4"/>
      <c r="E1531" s="4"/>
      <c r="F1531" s="4"/>
      <c r="G1531" s="4"/>
      <c r="H1531" s="4"/>
      <c r="I1531" s="4"/>
      <c r="J1531" s="4"/>
      <c r="K1531" s="4"/>
    </row>
    <row r="1532" spans="1:11" ht="13">
      <c r="A1532" s="4"/>
      <c r="B1532" s="4"/>
      <c r="C1532" s="4"/>
      <c r="D1532" s="4"/>
      <c r="E1532" s="4"/>
      <c r="F1532" s="4"/>
      <c r="G1532" s="4"/>
      <c r="H1532" s="4"/>
      <c r="I1532" s="4"/>
      <c r="J1532" s="4"/>
      <c r="K1532" s="4"/>
    </row>
    <row r="1533" spans="1:11" ht="13">
      <c r="A1533" s="4"/>
      <c r="B1533" s="4"/>
      <c r="C1533" s="4"/>
      <c r="D1533" s="4"/>
      <c r="E1533" s="4"/>
      <c r="F1533" s="4"/>
      <c r="G1533" s="4"/>
      <c r="H1533" s="4"/>
      <c r="I1533" s="4"/>
      <c r="J1533" s="4"/>
      <c r="K1533" s="4"/>
    </row>
    <row r="1534" spans="1:11" ht="13">
      <c r="A1534" s="4"/>
      <c r="B1534" s="4"/>
      <c r="C1534" s="4"/>
      <c r="D1534" s="4"/>
      <c r="E1534" s="4"/>
      <c r="F1534" s="4"/>
      <c r="G1534" s="4"/>
      <c r="H1534" s="4"/>
      <c r="I1534" s="4"/>
      <c r="J1534" s="4"/>
      <c r="K1534" s="4"/>
    </row>
    <row r="1535" spans="1:11" ht="13">
      <c r="A1535" s="4"/>
      <c r="B1535" s="4"/>
      <c r="C1535" s="4"/>
      <c r="D1535" s="4"/>
      <c r="E1535" s="4"/>
      <c r="F1535" s="4"/>
      <c r="G1535" s="4"/>
      <c r="H1535" s="4"/>
      <c r="I1535" s="4"/>
      <c r="J1535" s="4"/>
      <c r="K1535" s="4"/>
    </row>
    <row r="1536" spans="1:11" ht="13">
      <c r="A1536" s="4"/>
      <c r="B1536" s="4"/>
      <c r="C1536" s="4"/>
      <c r="D1536" s="4"/>
      <c r="E1536" s="4"/>
      <c r="F1536" s="4"/>
      <c r="G1536" s="4"/>
      <c r="H1536" s="4"/>
      <c r="I1536" s="4"/>
      <c r="J1536" s="4"/>
      <c r="K1536" s="4"/>
    </row>
    <row r="1537" spans="1:11" ht="13">
      <c r="A1537" s="4"/>
      <c r="B1537" s="4"/>
      <c r="C1537" s="4"/>
      <c r="D1537" s="4"/>
      <c r="E1537" s="4"/>
      <c r="F1537" s="4"/>
      <c r="G1537" s="4"/>
      <c r="H1537" s="4"/>
      <c r="I1537" s="4"/>
      <c r="J1537" s="4"/>
      <c r="K1537" s="4"/>
    </row>
    <row r="1538" spans="1:11" ht="13">
      <c r="A1538" s="4"/>
      <c r="B1538" s="4"/>
      <c r="C1538" s="4"/>
      <c r="D1538" s="4"/>
      <c r="E1538" s="4"/>
      <c r="F1538" s="4"/>
      <c r="G1538" s="4"/>
      <c r="H1538" s="4"/>
      <c r="I1538" s="4"/>
      <c r="J1538" s="4"/>
      <c r="K1538" s="4"/>
    </row>
    <row r="1539" spans="1:11" ht="13">
      <c r="A1539" s="4"/>
      <c r="B1539" s="4"/>
      <c r="C1539" s="4"/>
      <c r="D1539" s="4"/>
      <c r="E1539" s="4"/>
      <c r="F1539" s="4"/>
      <c r="G1539" s="4"/>
      <c r="H1539" s="4"/>
      <c r="I1539" s="4"/>
      <c r="J1539" s="4"/>
      <c r="K1539" s="4"/>
    </row>
    <row r="1540" spans="1:11" ht="13">
      <c r="A1540" s="4"/>
      <c r="B1540" s="4"/>
      <c r="C1540" s="4"/>
      <c r="D1540" s="4"/>
      <c r="E1540" s="4"/>
      <c r="F1540" s="4"/>
      <c r="G1540" s="4"/>
      <c r="H1540" s="4"/>
      <c r="I1540" s="4"/>
      <c r="J1540" s="4"/>
      <c r="K1540" s="4"/>
    </row>
    <row r="1541" spans="1:11" ht="13">
      <c r="A1541" s="4"/>
      <c r="B1541" s="4"/>
      <c r="C1541" s="4"/>
      <c r="D1541" s="4"/>
      <c r="E1541" s="4"/>
      <c r="F1541" s="4"/>
      <c r="G1541" s="4"/>
      <c r="H1541" s="4"/>
      <c r="I1541" s="4"/>
      <c r="J1541" s="4"/>
      <c r="K1541" s="4"/>
    </row>
    <row r="1542" spans="1:11" ht="13">
      <c r="A1542" s="4"/>
      <c r="B1542" s="4"/>
      <c r="C1542" s="4"/>
      <c r="D1542" s="4"/>
      <c r="E1542" s="4"/>
      <c r="F1542" s="4"/>
      <c r="G1542" s="4"/>
      <c r="H1542" s="4"/>
      <c r="I1542" s="4"/>
      <c r="J1542" s="4"/>
      <c r="K1542" s="4"/>
    </row>
    <row r="1543" spans="1:11" ht="13">
      <c r="A1543" s="4"/>
      <c r="B1543" s="4"/>
      <c r="C1543" s="4"/>
      <c r="D1543" s="4"/>
      <c r="E1543" s="4"/>
      <c r="F1543" s="4"/>
      <c r="G1543" s="4"/>
      <c r="H1543" s="4"/>
      <c r="I1543" s="4"/>
      <c r="J1543" s="4"/>
      <c r="K1543" s="4"/>
    </row>
    <row r="1544" spans="1:11" ht="13">
      <c r="A1544" s="4"/>
      <c r="B1544" s="4"/>
      <c r="C1544" s="4"/>
      <c r="D1544" s="4"/>
      <c r="E1544" s="4"/>
      <c r="F1544" s="4"/>
      <c r="G1544" s="4"/>
      <c r="H1544" s="4"/>
      <c r="I1544" s="4"/>
      <c r="J1544" s="4"/>
      <c r="K1544" s="4"/>
    </row>
    <row r="1545" spans="1:11" ht="13">
      <c r="A1545" s="4"/>
      <c r="B1545" s="4"/>
      <c r="C1545" s="4"/>
      <c r="D1545" s="4"/>
      <c r="E1545" s="4"/>
      <c r="F1545" s="4"/>
      <c r="G1545" s="4"/>
      <c r="H1545" s="4"/>
      <c r="I1545" s="4"/>
      <c r="J1545" s="4"/>
      <c r="K1545" s="4"/>
    </row>
    <row r="1546" spans="1:11" ht="13">
      <c r="A1546" s="4"/>
      <c r="B1546" s="4"/>
      <c r="C1546" s="4"/>
      <c r="D1546" s="4"/>
      <c r="E1546" s="4"/>
      <c r="F1546" s="4"/>
      <c r="G1546" s="4"/>
      <c r="H1546" s="4"/>
      <c r="I1546" s="4"/>
      <c r="J1546" s="4"/>
      <c r="K1546" s="4"/>
    </row>
    <row r="1547" spans="1:11" ht="13">
      <c r="A1547" s="4"/>
      <c r="B1547" s="4"/>
      <c r="C1547" s="4"/>
      <c r="D1547" s="4"/>
      <c r="E1547" s="4"/>
      <c r="F1547" s="4"/>
      <c r="G1547" s="4"/>
      <c r="H1547" s="4"/>
      <c r="I1547" s="4"/>
      <c r="J1547" s="4"/>
      <c r="K1547" s="4"/>
    </row>
    <row r="1548" spans="1:11" ht="13">
      <c r="A1548" s="4"/>
      <c r="B1548" s="4"/>
      <c r="C1548" s="4"/>
      <c r="D1548" s="4"/>
      <c r="E1548" s="4"/>
      <c r="F1548" s="4"/>
      <c r="G1548" s="4"/>
      <c r="H1548" s="4"/>
      <c r="I1548" s="4"/>
      <c r="J1548" s="4"/>
      <c r="K1548" s="4"/>
    </row>
    <row r="1549" spans="1:11" ht="13">
      <c r="A1549" s="4"/>
      <c r="B1549" s="4"/>
      <c r="C1549" s="4"/>
      <c r="D1549" s="4"/>
      <c r="E1549" s="4"/>
      <c r="F1549" s="4"/>
      <c r="G1549" s="4"/>
      <c r="H1549" s="4"/>
      <c r="I1549" s="4"/>
      <c r="J1549" s="4"/>
      <c r="K1549" s="4"/>
    </row>
    <row r="1550" spans="1:11" ht="13">
      <c r="A1550" s="4"/>
      <c r="B1550" s="4"/>
      <c r="C1550" s="4"/>
      <c r="D1550" s="4"/>
      <c r="E1550" s="4"/>
      <c r="F1550" s="4"/>
      <c r="G1550" s="4"/>
      <c r="H1550" s="4"/>
      <c r="I1550" s="4"/>
      <c r="J1550" s="4"/>
      <c r="K1550" s="4"/>
    </row>
    <row r="1551" spans="1:11" ht="13">
      <c r="A1551" s="4"/>
      <c r="B1551" s="4"/>
      <c r="C1551" s="4"/>
      <c r="D1551" s="4"/>
      <c r="E1551" s="4"/>
      <c r="F1551" s="4"/>
      <c r="G1551" s="4"/>
      <c r="H1551" s="4"/>
      <c r="I1551" s="4"/>
      <c r="J1551" s="4"/>
      <c r="K1551" s="4"/>
    </row>
    <row r="1552" spans="1:11" ht="13">
      <c r="A1552" s="4"/>
      <c r="B1552" s="4"/>
      <c r="C1552" s="4"/>
      <c r="D1552" s="4"/>
      <c r="E1552" s="4"/>
      <c r="F1552" s="4"/>
      <c r="G1552" s="4"/>
      <c r="H1552" s="4"/>
      <c r="I1552" s="4"/>
      <c r="J1552" s="4"/>
      <c r="K1552" s="4"/>
    </row>
    <row r="1553" spans="1:11" ht="13">
      <c r="A1553" s="4"/>
      <c r="B1553" s="4"/>
      <c r="C1553" s="4"/>
      <c r="D1553" s="4"/>
      <c r="E1553" s="4"/>
      <c r="F1553" s="4"/>
      <c r="G1553" s="4"/>
      <c r="H1553" s="4"/>
      <c r="I1553" s="4"/>
      <c r="J1553" s="4"/>
      <c r="K1553" s="4"/>
    </row>
    <row r="1554" spans="1:11" ht="13">
      <c r="A1554" s="4"/>
      <c r="B1554" s="4"/>
      <c r="C1554" s="4"/>
      <c r="D1554" s="4"/>
      <c r="E1554" s="4"/>
      <c r="F1554" s="4"/>
      <c r="G1554" s="4"/>
      <c r="H1554" s="4"/>
      <c r="I1554" s="4"/>
      <c r="J1554" s="4"/>
      <c r="K1554" s="4"/>
    </row>
    <row r="1555" spans="1:11" ht="13">
      <c r="A1555" s="4"/>
      <c r="B1555" s="4"/>
      <c r="C1555" s="4"/>
      <c r="D1555" s="4"/>
      <c r="E1555" s="4"/>
      <c r="F1555" s="4"/>
      <c r="G1555" s="4"/>
      <c r="H1555" s="4"/>
      <c r="I1555" s="4"/>
      <c r="J1555" s="4"/>
      <c r="K1555" s="4"/>
    </row>
    <row r="1556" spans="1:11" ht="13">
      <c r="A1556" s="4"/>
      <c r="B1556" s="4"/>
      <c r="C1556" s="4"/>
      <c r="D1556" s="4"/>
      <c r="E1556" s="4"/>
      <c r="F1556" s="4"/>
      <c r="G1556" s="4"/>
      <c r="H1556" s="4"/>
      <c r="I1556" s="4"/>
      <c r="J1556" s="4"/>
      <c r="K1556" s="4"/>
    </row>
    <row r="1557" spans="1:11" ht="13">
      <c r="A1557" s="4"/>
      <c r="B1557" s="4"/>
      <c r="C1557" s="4"/>
      <c r="D1557" s="4"/>
      <c r="E1557" s="4"/>
      <c r="F1557" s="4"/>
      <c r="G1557" s="4"/>
      <c r="H1557" s="4"/>
      <c r="I1557" s="4"/>
      <c r="J1557" s="4"/>
      <c r="K1557" s="4"/>
    </row>
    <row r="1558" spans="1:11" ht="13">
      <c r="A1558" s="4"/>
      <c r="B1558" s="4"/>
      <c r="C1558" s="4"/>
      <c r="D1558" s="4"/>
      <c r="E1558" s="4"/>
      <c r="F1558" s="4"/>
      <c r="G1558" s="4"/>
      <c r="H1558" s="4"/>
      <c r="I1558" s="4"/>
      <c r="J1558" s="4"/>
      <c r="K1558" s="4"/>
    </row>
    <row r="1559" spans="1:11" ht="13">
      <c r="A1559" s="4"/>
      <c r="B1559" s="4"/>
      <c r="C1559" s="4"/>
      <c r="D1559" s="4"/>
      <c r="E1559" s="4"/>
      <c r="F1559" s="4"/>
      <c r="G1559" s="4"/>
      <c r="H1559" s="4"/>
      <c r="I1559" s="4"/>
      <c r="J1559" s="4"/>
      <c r="K1559" s="4"/>
    </row>
    <row r="1560" spans="1:11" ht="13">
      <c r="A1560" s="4"/>
      <c r="B1560" s="4"/>
      <c r="C1560" s="4"/>
      <c r="D1560" s="4"/>
      <c r="E1560" s="4"/>
      <c r="F1560" s="4"/>
      <c r="G1560" s="4"/>
      <c r="H1560" s="4"/>
      <c r="I1560" s="4"/>
      <c r="J1560" s="4"/>
      <c r="K1560" s="4"/>
    </row>
    <row r="1561" spans="1:11" ht="13">
      <c r="A1561" s="4"/>
      <c r="B1561" s="4"/>
      <c r="C1561" s="4"/>
      <c r="D1561" s="4"/>
      <c r="E1561" s="4"/>
      <c r="F1561" s="4"/>
      <c r="G1561" s="4"/>
      <c r="H1561" s="4"/>
      <c r="I1561" s="4"/>
      <c r="J1561" s="4"/>
      <c r="K1561" s="4"/>
    </row>
    <row r="1562" spans="1:11" ht="13">
      <c r="A1562" s="4"/>
      <c r="B1562" s="4"/>
      <c r="C1562" s="4"/>
      <c r="D1562" s="4"/>
      <c r="E1562" s="4"/>
      <c r="F1562" s="4"/>
      <c r="G1562" s="4"/>
      <c r="H1562" s="4"/>
      <c r="I1562" s="4"/>
      <c r="J1562" s="4"/>
      <c r="K1562" s="4"/>
    </row>
    <row r="1563" spans="1:11" ht="13">
      <c r="A1563" s="4"/>
      <c r="B1563" s="4"/>
      <c r="C1563" s="4"/>
      <c r="D1563" s="4"/>
      <c r="E1563" s="4"/>
      <c r="F1563" s="4"/>
      <c r="G1563" s="4"/>
      <c r="H1563" s="4"/>
      <c r="I1563" s="4"/>
      <c r="J1563" s="4"/>
      <c r="K1563" s="4"/>
    </row>
    <row r="1564" spans="1:11" ht="13">
      <c r="A1564" s="4"/>
      <c r="B1564" s="4"/>
      <c r="C1564" s="4"/>
      <c r="D1564" s="4"/>
      <c r="E1564" s="4"/>
      <c r="F1564" s="4"/>
      <c r="G1564" s="4"/>
      <c r="H1564" s="4"/>
      <c r="I1564" s="4"/>
      <c r="J1564" s="4"/>
      <c r="K1564" s="4"/>
    </row>
    <row r="1565" spans="1:11" ht="13">
      <c r="A1565" s="4"/>
      <c r="B1565" s="4"/>
      <c r="C1565" s="4"/>
      <c r="D1565" s="4"/>
      <c r="E1565" s="4"/>
      <c r="F1565" s="4"/>
      <c r="G1565" s="4"/>
      <c r="H1565" s="4"/>
      <c r="I1565" s="4"/>
      <c r="J1565" s="4"/>
      <c r="K1565" s="4"/>
    </row>
    <row r="1566" spans="1:11" ht="13">
      <c r="A1566" s="4"/>
      <c r="B1566" s="4"/>
      <c r="C1566" s="4"/>
      <c r="D1566" s="4"/>
      <c r="E1566" s="4"/>
      <c r="F1566" s="4"/>
      <c r="G1566" s="4"/>
      <c r="H1566" s="4"/>
      <c r="I1566" s="4"/>
      <c r="J1566" s="4"/>
      <c r="K1566" s="4"/>
    </row>
    <row r="1567" spans="1:11" ht="13">
      <c r="A1567" s="4"/>
      <c r="B1567" s="4"/>
      <c r="C1567" s="4"/>
      <c r="D1567" s="4"/>
      <c r="E1567" s="4"/>
      <c r="F1567" s="4"/>
      <c r="G1567" s="4"/>
      <c r="H1567" s="4"/>
      <c r="I1567" s="4"/>
      <c r="J1567" s="4"/>
      <c r="K1567" s="4"/>
    </row>
    <row r="1568" spans="1:11" ht="13">
      <c r="A1568" s="4"/>
      <c r="B1568" s="4"/>
      <c r="C1568" s="4"/>
      <c r="D1568" s="4"/>
      <c r="E1568" s="4"/>
      <c r="F1568" s="4"/>
      <c r="G1568" s="4"/>
      <c r="H1568" s="4"/>
      <c r="I1568" s="4"/>
      <c r="J1568" s="4"/>
      <c r="K1568" s="4"/>
    </row>
    <row r="1569" spans="1:11" ht="13">
      <c r="A1569" s="4"/>
      <c r="B1569" s="4"/>
      <c r="C1569" s="4"/>
      <c r="D1569" s="4"/>
      <c r="E1569" s="4"/>
      <c r="F1569" s="4"/>
      <c r="G1569" s="4"/>
      <c r="H1569" s="4"/>
      <c r="I1569" s="4"/>
      <c r="J1569" s="4"/>
      <c r="K1569" s="4"/>
    </row>
    <row r="1570" spans="1:11" ht="13">
      <c r="A1570" s="4"/>
      <c r="B1570" s="4"/>
      <c r="C1570" s="4"/>
      <c r="D1570" s="4"/>
      <c r="E1570" s="4"/>
      <c r="F1570" s="4"/>
      <c r="G1570" s="4"/>
      <c r="H1570" s="4"/>
      <c r="I1570" s="4"/>
      <c r="J1570" s="4"/>
      <c r="K1570" s="4"/>
    </row>
    <row r="1571" spans="1:11" ht="13">
      <c r="A1571" s="4"/>
      <c r="B1571" s="4"/>
      <c r="C1571" s="4"/>
      <c r="D1571" s="4"/>
      <c r="E1571" s="4"/>
      <c r="F1571" s="4"/>
      <c r="G1571" s="4"/>
      <c r="H1571" s="4"/>
      <c r="I1571" s="4"/>
      <c r="J1571" s="4"/>
      <c r="K1571" s="4"/>
    </row>
    <row r="1572" spans="1:11" ht="13">
      <c r="A1572" s="4"/>
      <c r="B1572" s="4"/>
      <c r="C1572" s="4"/>
      <c r="D1572" s="4"/>
      <c r="E1572" s="4"/>
      <c r="F1572" s="4"/>
      <c r="G1572" s="4"/>
      <c r="H1572" s="4"/>
      <c r="I1572" s="4"/>
      <c r="J1572" s="4"/>
      <c r="K1572" s="4"/>
    </row>
    <row r="1573" spans="1:11" ht="13">
      <c r="A1573" s="4"/>
      <c r="B1573" s="4"/>
      <c r="C1573" s="4"/>
      <c r="D1573" s="4"/>
      <c r="E1573" s="4"/>
      <c r="F1573" s="4"/>
      <c r="G1573" s="4"/>
      <c r="H1573" s="4"/>
      <c r="I1573" s="4"/>
      <c r="J1573" s="4"/>
      <c r="K1573" s="4"/>
    </row>
    <row r="1574" spans="1:11" ht="13">
      <c r="A1574" s="4"/>
      <c r="B1574" s="4"/>
      <c r="C1574" s="4"/>
      <c r="D1574" s="4"/>
      <c r="E1574" s="4"/>
      <c r="F1574" s="4"/>
      <c r="G1574" s="4"/>
      <c r="H1574" s="4"/>
      <c r="I1574" s="4"/>
      <c r="J1574" s="4"/>
      <c r="K1574" s="4"/>
    </row>
    <row r="1575" spans="1:11" ht="13">
      <c r="A1575" s="4"/>
      <c r="B1575" s="4"/>
      <c r="C1575" s="4"/>
      <c r="D1575" s="4"/>
      <c r="E1575" s="4"/>
      <c r="F1575" s="4"/>
      <c r="G1575" s="4"/>
      <c r="H1575" s="4"/>
      <c r="I1575" s="4"/>
      <c r="J1575" s="4"/>
      <c r="K1575" s="4"/>
    </row>
    <row r="1576" spans="1:11" ht="13">
      <c r="A1576" s="4"/>
      <c r="B1576" s="4"/>
      <c r="C1576" s="4"/>
      <c r="D1576" s="4"/>
      <c r="E1576" s="4"/>
      <c r="F1576" s="4"/>
      <c r="G1576" s="4"/>
      <c r="H1576" s="4"/>
      <c r="I1576" s="4"/>
      <c r="J1576" s="4"/>
      <c r="K1576" s="4"/>
    </row>
    <row r="1577" spans="1:11" ht="13">
      <c r="A1577" s="4"/>
      <c r="B1577" s="4"/>
      <c r="C1577" s="4"/>
      <c r="D1577" s="4"/>
      <c r="E1577" s="4"/>
      <c r="F1577" s="4"/>
      <c r="G1577" s="4"/>
      <c r="H1577" s="4"/>
      <c r="I1577" s="4"/>
      <c r="J1577" s="4"/>
      <c r="K1577" s="4"/>
    </row>
    <row r="1578" spans="1:11" ht="13">
      <c r="A1578" s="4"/>
      <c r="B1578" s="4"/>
      <c r="C1578" s="4"/>
      <c r="D1578" s="4"/>
      <c r="E1578" s="4"/>
      <c r="F1578" s="4"/>
      <c r="G1578" s="4"/>
      <c r="H1578" s="4"/>
      <c r="I1578" s="4"/>
      <c r="J1578" s="4"/>
      <c r="K1578" s="4"/>
    </row>
    <row r="1579" spans="1:11" ht="13">
      <c r="A1579" s="4"/>
      <c r="B1579" s="4"/>
      <c r="C1579" s="4"/>
      <c r="D1579" s="4"/>
      <c r="E1579" s="4"/>
      <c r="F1579" s="4"/>
      <c r="G1579" s="4"/>
      <c r="H1579" s="4"/>
      <c r="I1579" s="4"/>
      <c r="J1579" s="4"/>
      <c r="K1579" s="4"/>
    </row>
    <row r="1580" spans="1:11" ht="13">
      <c r="A1580" s="4"/>
      <c r="B1580" s="4"/>
      <c r="C1580" s="4"/>
      <c r="D1580" s="4"/>
      <c r="E1580" s="4"/>
      <c r="F1580" s="4"/>
      <c r="G1580" s="4"/>
      <c r="H1580" s="4"/>
      <c r="I1580" s="4"/>
      <c r="J1580" s="4"/>
      <c r="K1580" s="4"/>
    </row>
    <row r="1581" spans="1:11" ht="13">
      <c r="A1581" s="4"/>
      <c r="B1581" s="4"/>
      <c r="C1581" s="4"/>
      <c r="D1581" s="4"/>
      <c r="E1581" s="4"/>
      <c r="F1581" s="4"/>
      <c r="G1581" s="4"/>
      <c r="H1581" s="4"/>
      <c r="I1581" s="4"/>
      <c r="J1581" s="4"/>
      <c r="K1581" s="4"/>
    </row>
    <row r="1582" spans="1:11" ht="13">
      <c r="A1582" s="4"/>
      <c r="B1582" s="4"/>
      <c r="C1582" s="4"/>
      <c r="D1582" s="4"/>
      <c r="E1582" s="4"/>
      <c r="F1582" s="4"/>
      <c r="G1582" s="4"/>
      <c r="H1582" s="4"/>
      <c r="I1582" s="4"/>
      <c r="J1582" s="4"/>
      <c r="K1582" s="4"/>
    </row>
    <row r="1583" spans="1:11" ht="13">
      <c r="A1583" s="4"/>
      <c r="B1583" s="4"/>
      <c r="C1583" s="4"/>
      <c r="D1583" s="4"/>
      <c r="E1583" s="4"/>
      <c r="F1583" s="4"/>
      <c r="G1583" s="4"/>
      <c r="H1583" s="4"/>
      <c r="I1583" s="4"/>
      <c r="J1583" s="4"/>
      <c r="K1583" s="4"/>
    </row>
    <row r="1584" spans="1:11" ht="13">
      <c r="A1584" s="4"/>
      <c r="B1584" s="4"/>
      <c r="C1584" s="4"/>
      <c r="D1584" s="4"/>
      <c r="E1584" s="4"/>
      <c r="F1584" s="4"/>
      <c r="G1584" s="4"/>
      <c r="H1584" s="4"/>
      <c r="I1584" s="4"/>
      <c r="J1584" s="4"/>
      <c r="K1584" s="4"/>
    </row>
    <row r="1585" spans="1:11" ht="13">
      <c r="A1585" s="4"/>
      <c r="B1585" s="4"/>
      <c r="C1585" s="4"/>
      <c r="D1585" s="4"/>
      <c r="E1585" s="4"/>
      <c r="F1585" s="4"/>
      <c r="G1585" s="4"/>
      <c r="H1585" s="4"/>
      <c r="I1585" s="4"/>
      <c r="J1585" s="4"/>
      <c r="K1585" s="4"/>
    </row>
    <row r="1586" spans="1:11" ht="13">
      <c r="A1586" s="4"/>
      <c r="B1586" s="4"/>
      <c r="C1586" s="4"/>
      <c r="D1586" s="4"/>
      <c r="E1586" s="4"/>
      <c r="F1586" s="4"/>
      <c r="G1586" s="4"/>
      <c r="H1586" s="4"/>
      <c r="I1586" s="4"/>
      <c r="J1586" s="4"/>
      <c r="K1586" s="4"/>
    </row>
    <row r="1587" spans="1:11" ht="13">
      <c r="A1587" s="4"/>
      <c r="B1587" s="4"/>
      <c r="C1587" s="4"/>
      <c r="D1587" s="4"/>
      <c r="E1587" s="4"/>
      <c r="F1587" s="4"/>
      <c r="G1587" s="4"/>
      <c r="H1587" s="4"/>
      <c r="I1587" s="4"/>
      <c r="J1587" s="4"/>
      <c r="K1587" s="4"/>
    </row>
    <row r="1588" spans="1:11" ht="13">
      <c r="A1588" s="4"/>
      <c r="B1588" s="4"/>
      <c r="C1588" s="4"/>
      <c r="D1588" s="4"/>
      <c r="E1588" s="4"/>
      <c r="F1588" s="4"/>
      <c r="G1588" s="4"/>
      <c r="H1588" s="4"/>
      <c r="I1588" s="4"/>
      <c r="J1588" s="4"/>
      <c r="K1588" s="4"/>
    </row>
    <row r="1589" spans="1:11" ht="13">
      <c r="A1589" s="4"/>
      <c r="B1589" s="4"/>
      <c r="C1589" s="4"/>
      <c r="D1589" s="4"/>
      <c r="E1589" s="4"/>
      <c r="F1589" s="4"/>
      <c r="G1589" s="4"/>
      <c r="H1589" s="4"/>
      <c r="I1589" s="4"/>
      <c r="J1589" s="4"/>
      <c r="K1589" s="4"/>
    </row>
    <row r="1590" spans="1:11" ht="13">
      <c r="A1590" s="4"/>
      <c r="B1590" s="4"/>
      <c r="C1590" s="4"/>
      <c r="D1590" s="4"/>
      <c r="E1590" s="4"/>
      <c r="F1590" s="4"/>
      <c r="G1590" s="4"/>
      <c r="H1590" s="4"/>
      <c r="I1590" s="4"/>
      <c r="J1590" s="4"/>
      <c r="K1590" s="4"/>
    </row>
    <row r="1591" spans="1:11" ht="13">
      <c r="A1591" s="4"/>
      <c r="B1591" s="4"/>
      <c r="C1591" s="4"/>
      <c r="D1591" s="4"/>
      <c r="E1591" s="4"/>
      <c r="F1591" s="4"/>
      <c r="G1591" s="4"/>
      <c r="H1591" s="4"/>
      <c r="I1591" s="4"/>
      <c r="J1591" s="4"/>
      <c r="K1591" s="4"/>
    </row>
    <row r="1592" spans="1:11" ht="13">
      <c r="A1592" s="4"/>
      <c r="B1592" s="4"/>
      <c r="C1592" s="4"/>
      <c r="D1592" s="4"/>
      <c r="E1592" s="4"/>
      <c r="F1592" s="4"/>
      <c r="G1592" s="4"/>
      <c r="H1592" s="4"/>
      <c r="I1592" s="4"/>
      <c r="J1592" s="4"/>
      <c r="K1592" s="4"/>
    </row>
    <row r="1593" spans="1:11" ht="13">
      <c r="A1593" s="4"/>
      <c r="B1593" s="4"/>
      <c r="C1593" s="4"/>
      <c r="D1593" s="4"/>
      <c r="E1593" s="4"/>
      <c r="F1593" s="4"/>
      <c r="G1593" s="4"/>
      <c r="H1593" s="4"/>
      <c r="I1593" s="4"/>
      <c r="J1593" s="4"/>
      <c r="K1593" s="4"/>
    </row>
    <row r="1594" spans="1:11" ht="13">
      <c r="A1594" s="4"/>
      <c r="B1594" s="4"/>
      <c r="C1594" s="4"/>
      <c r="D1594" s="4"/>
      <c r="E1594" s="4"/>
      <c r="F1594" s="4"/>
      <c r="G1594" s="4"/>
      <c r="H1594" s="4"/>
      <c r="I1594" s="4"/>
      <c r="J1594" s="4"/>
      <c r="K1594" s="4"/>
    </row>
    <row r="1595" spans="1:11" ht="13">
      <c r="A1595" s="4"/>
      <c r="B1595" s="4"/>
      <c r="C1595" s="4"/>
      <c r="D1595" s="4"/>
      <c r="E1595" s="4"/>
      <c r="F1595" s="4"/>
      <c r="G1595" s="4"/>
      <c r="H1595" s="4"/>
      <c r="I1595" s="4"/>
      <c r="J1595" s="4"/>
      <c r="K1595" s="4"/>
    </row>
    <row r="1596" spans="1:11" ht="13">
      <c r="A1596" s="4"/>
      <c r="B1596" s="4"/>
      <c r="C1596" s="4"/>
      <c r="D1596" s="4"/>
      <c r="E1596" s="4"/>
      <c r="F1596" s="4"/>
      <c r="G1596" s="4"/>
      <c r="H1596" s="4"/>
      <c r="I1596" s="4"/>
      <c r="J1596" s="4"/>
      <c r="K1596" s="4"/>
    </row>
    <row r="1597" spans="1:11" ht="13">
      <c r="A1597" s="4"/>
      <c r="B1597" s="4"/>
      <c r="C1597" s="4"/>
      <c r="D1597" s="4"/>
      <c r="E1597" s="4"/>
      <c r="F1597" s="4"/>
      <c r="G1597" s="4"/>
      <c r="H1597" s="4"/>
      <c r="I1597" s="4"/>
      <c r="J1597" s="4"/>
      <c r="K1597" s="4"/>
    </row>
    <row r="1598" spans="1:11" ht="13">
      <c r="A1598" s="4"/>
      <c r="B1598" s="4"/>
      <c r="C1598" s="4"/>
      <c r="D1598" s="4"/>
      <c r="E1598" s="4"/>
      <c r="F1598" s="4"/>
      <c r="G1598" s="4"/>
      <c r="H1598" s="4"/>
      <c r="I1598" s="4"/>
      <c r="J1598" s="4"/>
      <c r="K1598" s="4"/>
    </row>
    <row r="1599" spans="1:11" ht="13">
      <c r="A1599" s="4"/>
      <c r="B1599" s="4"/>
      <c r="C1599" s="4"/>
      <c r="D1599" s="4"/>
      <c r="E1599" s="4"/>
      <c r="F1599" s="4"/>
      <c r="G1599" s="4"/>
      <c r="H1599" s="4"/>
      <c r="I1599" s="4"/>
      <c r="J1599" s="4"/>
      <c r="K1599" s="4"/>
    </row>
    <row r="1600" spans="1:11" ht="13">
      <c r="A1600" s="4"/>
      <c r="B1600" s="4"/>
      <c r="C1600" s="4"/>
      <c r="D1600" s="4"/>
      <c r="E1600" s="4"/>
      <c r="F1600" s="4"/>
      <c r="G1600" s="4"/>
      <c r="H1600" s="4"/>
      <c r="I1600" s="4"/>
      <c r="J1600" s="4"/>
      <c r="K1600" s="4"/>
    </row>
    <row r="1601" spans="1:11" ht="13">
      <c r="A1601" s="4"/>
      <c r="B1601" s="4"/>
      <c r="C1601" s="4"/>
      <c r="D1601" s="4"/>
      <c r="E1601" s="4"/>
      <c r="F1601" s="4"/>
      <c r="G1601" s="4"/>
      <c r="H1601" s="4"/>
      <c r="I1601" s="4"/>
      <c r="J1601" s="4"/>
      <c r="K1601" s="4"/>
    </row>
    <row r="1602" spans="1:11" ht="13">
      <c r="A1602" s="4"/>
      <c r="B1602" s="4"/>
      <c r="C1602" s="4"/>
      <c r="D1602" s="4"/>
      <c r="E1602" s="4"/>
      <c r="F1602" s="4"/>
      <c r="G1602" s="4"/>
      <c r="H1602" s="4"/>
      <c r="I1602" s="4"/>
      <c r="J1602" s="4"/>
      <c r="K1602" s="4"/>
    </row>
    <row r="1603" spans="1:11" ht="13">
      <c r="A1603" s="4"/>
      <c r="B1603" s="4"/>
      <c r="C1603" s="4"/>
      <c r="D1603" s="4"/>
      <c r="E1603" s="4"/>
      <c r="F1603" s="4"/>
      <c r="G1603" s="4"/>
      <c r="H1603" s="4"/>
      <c r="I1603" s="4"/>
      <c r="J1603" s="4"/>
      <c r="K1603" s="4"/>
    </row>
    <row r="1604" spans="1:11" ht="13">
      <c r="A1604" s="4"/>
      <c r="B1604" s="4"/>
      <c r="C1604" s="4"/>
      <c r="D1604" s="4"/>
      <c r="E1604" s="4"/>
      <c r="F1604" s="4"/>
      <c r="G1604" s="4"/>
      <c r="H1604" s="4"/>
      <c r="I1604" s="4"/>
      <c r="J1604" s="4"/>
      <c r="K1604" s="4"/>
    </row>
    <row r="1605" spans="1:11" ht="13">
      <c r="A1605" s="4"/>
      <c r="B1605" s="4"/>
      <c r="C1605" s="4"/>
      <c r="D1605" s="4"/>
      <c r="E1605" s="4"/>
      <c r="F1605" s="4"/>
      <c r="G1605" s="4"/>
      <c r="H1605" s="4"/>
      <c r="I1605" s="4"/>
      <c r="J1605" s="4"/>
      <c r="K1605" s="4"/>
    </row>
    <row r="1606" spans="1:11" ht="13">
      <c r="A1606" s="4"/>
      <c r="B1606" s="4"/>
      <c r="C1606" s="4"/>
      <c r="D1606" s="4"/>
      <c r="E1606" s="4"/>
      <c r="F1606" s="4"/>
      <c r="G1606" s="4"/>
      <c r="H1606" s="4"/>
      <c r="I1606" s="4"/>
      <c r="J1606" s="4"/>
      <c r="K1606" s="4"/>
    </row>
    <row r="1607" spans="1:11" ht="13">
      <c r="A1607" s="4"/>
      <c r="B1607" s="4"/>
      <c r="C1607" s="4"/>
      <c r="D1607" s="4"/>
      <c r="E1607" s="4"/>
      <c r="F1607" s="4"/>
      <c r="G1607" s="4"/>
      <c r="H1607" s="4"/>
      <c r="I1607" s="4"/>
      <c r="J1607" s="4"/>
      <c r="K1607" s="4"/>
    </row>
    <row r="1608" spans="1:11" ht="13">
      <c r="A1608" s="4"/>
      <c r="B1608" s="4"/>
      <c r="C1608" s="4"/>
      <c r="D1608" s="4"/>
      <c r="E1608" s="4"/>
      <c r="F1608" s="4"/>
      <c r="G1608" s="4"/>
      <c r="H1608" s="4"/>
      <c r="I1608" s="4"/>
      <c r="J1608" s="4"/>
      <c r="K1608" s="4"/>
    </row>
    <row r="1609" spans="1:11" ht="13">
      <c r="A1609" s="4"/>
      <c r="B1609" s="4"/>
      <c r="C1609" s="4"/>
      <c r="D1609" s="4"/>
      <c r="E1609" s="4"/>
      <c r="F1609" s="4"/>
      <c r="G1609" s="4"/>
      <c r="H1609" s="4"/>
      <c r="I1609" s="4"/>
      <c r="J1609" s="4"/>
      <c r="K1609" s="4"/>
    </row>
    <row r="1610" spans="1:11" ht="13">
      <c r="A1610" s="4"/>
      <c r="B1610" s="4"/>
      <c r="C1610" s="4"/>
      <c r="D1610" s="4"/>
      <c r="E1610" s="4"/>
      <c r="F1610" s="4"/>
      <c r="G1610" s="4"/>
      <c r="H1610" s="4"/>
      <c r="I1610" s="4"/>
      <c r="J1610" s="4"/>
      <c r="K1610" s="4"/>
    </row>
    <row r="1611" spans="1:11" ht="13">
      <c r="A1611" s="4"/>
      <c r="B1611" s="4"/>
      <c r="C1611" s="4"/>
      <c r="D1611" s="4"/>
      <c r="E1611" s="4"/>
      <c r="F1611" s="4"/>
      <c r="G1611" s="4"/>
      <c r="H1611" s="4"/>
      <c r="I1611" s="4"/>
      <c r="J1611" s="4"/>
      <c r="K1611" s="4"/>
    </row>
    <row r="1612" spans="1:11" ht="13">
      <c r="A1612" s="4"/>
      <c r="B1612" s="4"/>
      <c r="C1612" s="4"/>
      <c r="D1612" s="4"/>
      <c r="E1612" s="4"/>
      <c r="F1612" s="4"/>
      <c r="G1612" s="4"/>
      <c r="H1612" s="4"/>
      <c r="I1612" s="4"/>
      <c r="J1612" s="4"/>
      <c r="K1612" s="4"/>
    </row>
    <row r="1613" spans="1:11" ht="13">
      <c r="A1613" s="4"/>
      <c r="B1613" s="4"/>
      <c r="C1613" s="4"/>
      <c r="D1613" s="4"/>
      <c r="E1613" s="4"/>
      <c r="F1613" s="4"/>
      <c r="G1613" s="4"/>
      <c r="H1613" s="4"/>
      <c r="I1613" s="4"/>
      <c r="J1613" s="4"/>
      <c r="K1613" s="4"/>
    </row>
    <row r="1614" spans="1:11" ht="13">
      <c r="A1614" s="4"/>
      <c r="B1614" s="4"/>
      <c r="C1614" s="4"/>
      <c r="D1614" s="4"/>
      <c r="E1614" s="4"/>
      <c r="F1614" s="4"/>
      <c r="G1614" s="4"/>
      <c r="H1614" s="4"/>
      <c r="I1614" s="4"/>
      <c r="J1614" s="4"/>
      <c r="K1614" s="4"/>
    </row>
    <row r="1615" spans="1:11" ht="13">
      <c r="A1615" s="4"/>
      <c r="B1615" s="4"/>
      <c r="C1615" s="4"/>
      <c r="D1615" s="4"/>
      <c r="E1615" s="4"/>
      <c r="F1615" s="4"/>
      <c r="G1615" s="4"/>
      <c r="H1615" s="4"/>
      <c r="I1615" s="4"/>
      <c r="J1615" s="4"/>
      <c r="K1615" s="4"/>
    </row>
    <row r="1616" spans="1:11" ht="13">
      <c r="A1616" s="4"/>
      <c r="B1616" s="4"/>
      <c r="C1616" s="4"/>
      <c r="D1616" s="4"/>
      <c r="E1616" s="4"/>
      <c r="F1616" s="4"/>
      <c r="G1616" s="4"/>
      <c r="H1616" s="4"/>
      <c r="I1616" s="4"/>
      <c r="J1616" s="4"/>
      <c r="K1616" s="4"/>
    </row>
    <row r="1617" spans="1:11" ht="13">
      <c r="A1617" s="4"/>
      <c r="B1617" s="4"/>
      <c r="C1617" s="4"/>
      <c r="D1617" s="4"/>
      <c r="E1617" s="4"/>
      <c r="F1617" s="4"/>
      <c r="G1617" s="4"/>
      <c r="H1617" s="4"/>
      <c r="I1617" s="4"/>
      <c r="J1617" s="4"/>
      <c r="K1617" s="4"/>
    </row>
    <row r="1618" spans="1:11" ht="13">
      <c r="A1618" s="4"/>
      <c r="B1618" s="4"/>
      <c r="C1618" s="4"/>
      <c r="D1618" s="4"/>
      <c r="E1618" s="4"/>
      <c r="F1618" s="4"/>
      <c r="G1618" s="4"/>
      <c r="H1618" s="4"/>
      <c r="I1618" s="4"/>
      <c r="J1618" s="4"/>
      <c r="K1618" s="4"/>
    </row>
    <row r="1619" spans="1:11" ht="13">
      <c r="A1619" s="4"/>
      <c r="B1619" s="4"/>
      <c r="C1619" s="4"/>
      <c r="D1619" s="4"/>
      <c r="E1619" s="4"/>
      <c r="F1619" s="4"/>
      <c r="G1619" s="4"/>
      <c r="H1619" s="4"/>
      <c r="I1619" s="4"/>
      <c r="J1619" s="4"/>
      <c r="K1619" s="4"/>
    </row>
    <row r="1620" spans="1:11" ht="13">
      <c r="A1620" s="4"/>
      <c r="B1620" s="4"/>
      <c r="C1620" s="4"/>
      <c r="D1620" s="4"/>
      <c r="E1620" s="4"/>
      <c r="F1620" s="4"/>
      <c r="G1620" s="4"/>
      <c r="H1620" s="4"/>
      <c r="I1620" s="4"/>
      <c r="J1620" s="4"/>
      <c r="K1620" s="4"/>
    </row>
    <row r="1621" spans="1:11" ht="13">
      <c r="A1621" s="4"/>
      <c r="B1621" s="4"/>
      <c r="C1621" s="4"/>
      <c r="D1621" s="4"/>
      <c r="E1621" s="4"/>
      <c r="F1621" s="4"/>
      <c r="G1621" s="4"/>
      <c r="H1621" s="4"/>
      <c r="I1621" s="4"/>
      <c r="J1621" s="4"/>
      <c r="K1621" s="4"/>
    </row>
    <row r="1622" spans="1:11" ht="13">
      <c r="A1622" s="4"/>
      <c r="B1622" s="4"/>
      <c r="C1622" s="4"/>
      <c r="D1622" s="4"/>
      <c r="E1622" s="4"/>
      <c r="F1622" s="4"/>
      <c r="G1622" s="4"/>
      <c r="H1622" s="4"/>
      <c r="I1622" s="4"/>
      <c r="J1622" s="4"/>
      <c r="K1622" s="4"/>
    </row>
    <row r="1623" spans="1:11" ht="13">
      <c r="A1623" s="4"/>
      <c r="B1623" s="4"/>
      <c r="C1623" s="4"/>
      <c r="D1623" s="4"/>
      <c r="E1623" s="4"/>
      <c r="F1623" s="4"/>
      <c r="G1623" s="4"/>
      <c r="H1623" s="4"/>
      <c r="I1623" s="4"/>
      <c r="J1623" s="4"/>
      <c r="K1623" s="4"/>
    </row>
    <row r="1624" spans="1:11" ht="13">
      <c r="A1624" s="4"/>
      <c r="B1624" s="4"/>
      <c r="C1624" s="4"/>
      <c r="D1624" s="4"/>
      <c r="E1624" s="4"/>
      <c r="F1624" s="4"/>
      <c r="G1624" s="4"/>
      <c r="H1624" s="4"/>
      <c r="I1624" s="4"/>
      <c r="J1624" s="4"/>
      <c r="K1624" s="4"/>
    </row>
    <row r="1625" spans="1:11" ht="13">
      <c r="A1625" s="4"/>
      <c r="B1625" s="4"/>
      <c r="C1625" s="4"/>
      <c r="D1625" s="4"/>
      <c r="E1625" s="4"/>
      <c r="F1625" s="4"/>
      <c r="G1625" s="4"/>
      <c r="H1625" s="4"/>
      <c r="I1625" s="4"/>
      <c r="J1625" s="4"/>
      <c r="K1625" s="4"/>
    </row>
    <row r="1626" spans="1:11" ht="13">
      <c r="A1626" s="4"/>
      <c r="B1626" s="4"/>
      <c r="C1626" s="4"/>
      <c r="D1626" s="4"/>
      <c r="E1626" s="4"/>
      <c r="F1626" s="4"/>
      <c r="G1626" s="4"/>
      <c r="H1626" s="4"/>
      <c r="I1626" s="4"/>
      <c r="J1626" s="4"/>
      <c r="K1626" s="4"/>
    </row>
    <row r="1627" spans="1:11" ht="13">
      <c r="A1627" s="4"/>
      <c r="B1627" s="4"/>
      <c r="C1627" s="4"/>
      <c r="D1627" s="4"/>
      <c r="E1627" s="4"/>
      <c r="F1627" s="4"/>
      <c r="G1627" s="4"/>
      <c r="H1627" s="4"/>
      <c r="I1627" s="4"/>
      <c r="J1627" s="4"/>
      <c r="K1627" s="4"/>
    </row>
    <row r="1628" spans="1:11" ht="13">
      <c r="A1628" s="4"/>
      <c r="B1628" s="4"/>
      <c r="C1628" s="4"/>
      <c r="D1628" s="4"/>
      <c r="E1628" s="4"/>
      <c r="F1628" s="4"/>
      <c r="G1628" s="4"/>
      <c r="H1628" s="4"/>
      <c r="I1628" s="4"/>
      <c r="J1628" s="4"/>
      <c r="K1628" s="4"/>
    </row>
    <row r="1629" spans="1:11" ht="13">
      <c r="A1629" s="4"/>
      <c r="B1629" s="4"/>
      <c r="C1629" s="4"/>
      <c r="D1629" s="4"/>
      <c r="E1629" s="4"/>
      <c r="F1629" s="4"/>
      <c r="G1629" s="4"/>
      <c r="H1629" s="4"/>
      <c r="I1629" s="4"/>
      <c r="J1629" s="4"/>
      <c r="K1629" s="4"/>
    </row>
    <row r="1630" spans="1:11" ht="13">
      <c r="A1630" s="4"/>
      <c r="B1630" s="4"/>
      <c r="C1630" s="4"/>
      <c r="D1630" s="4"/>
      <c r="E1630" s="4"/>
      <c r="F1630" s="4"/>
      <c r="G1630" s="4"/>
      <c r="H1630" s="4"/>
      <c r="I1630" s="4"/>
      <c r="J1630" s="4"/>
      <c r="K1630" s="4"/>
    </row>
    <row r="1631" spans="1:11" ht="13">
      <c r="A1631" s="4"/>
      <c r="B1631" s="4"/>
      <c r="C1631" s="4"/>
      <c r="D1631" s="4"/>
      <c r="E1631" s="4"/>
      <c r="F1631" s="4"/>
      <c r="G1631" s="4"/>
      <c r="H1631" s="4"/>
      <c r="I1631" s="4"/>
      <c r="J1631" s="4"/>
      <c r="K1631" s="4"/>
    </row>
    <row r="1632" spans="1:11" ht="13">
      <c r="A1632" s="4"/>
      <c r="B1632" s="4"/>
      <c r="C1632" s="4"/>
      <c r="D1632" s="4"/>
      <c r="E1632" s="4"/>
      <c r="F1632" s="4"/>
      <c r="G1632" s="4"/>
      <c r="H1632" s="4"/>
      <c r="I1632" s="4"/>
      <c r="J1632" s="4"/>
      <c r="K1632" s="4"/>
    </row>
    <row r="1633" spans="1:11" ht="13">
      <c r="A1633" s="4"/>
      <c r="B1633" s="4"/>
      <c r="C1633" s="4"/>
      <c r="D1633" s="4"/>
      <c r="E1633" s="4"/>
      <c r="F1633" s="4"/>
      <c r="G1633" s="4"/>
      <c r="H1633" s="4"/>
      <c r="I1633" s="4"/>
      <c r="J1633" s="4"/>
      <c r="K1633" s="4"/>
    </row>
    <row r="1634" spans="1:11" ht="13">
      <c r="A1634" s="4"/>
      <c r="B1634" s="4"/>
      <c r="C1634" s="4"/>
      <c r="D1634" s="4"/>
      <c r="E1634" s="4"/>
      <c r="F1634" s="4"/>
      <c r="G1634" s="4"/>
      <c r="H1634" s="4"/>
      <c r="I1634" s="4"/>
      <c r="J1634" s="4"/>
      <c r="K1634" s="4"/>
    </row>
    <row r="1635" spans="1:11" ht="13">
      <c r="A1635" s="4"/>
      <c r="B1635" s="4"/>
      <c r="C1635" s="4"/>
      <c r="D1635" s="4"/>
      <c r="E1635" s="4"/>
      <c r="F1635" s="4"/>
      <c r="G1635" s="4"/>
      <c r="H1635" s="4"/>
      <c r="I1635" s="4"/>
      <c r="J1635" s="4"/>
      <c r="K1635" s="4"/>
    </row>
    <row r="1636" spans="1:11" ht="13">
      <c r="A1636" s="4"/>
      <c r="B1636" s="4"/>
      <c r="C1636" s="4"/>
      <c r="D1636" s="4"/>
      <c r="E1636" s="4"/>
      <c r="F1636" s="4"/>
      <c r="G1636" s="4"/>
      <c r="H1636" s="4"/>
      <c r="I1636" s="4"/>
      <c r="J1636" s="4"/>
      <c r="K1636" s="4"/>
    </row>
    <row r="1637" spans="1:11" ht="13">
      <c r="A1637" s="4"/>
      <c r="B1637" s="4"/>
      <c r="C1637" s="4"/>
      <c r="D1637" s="4"/>
      <c r="E1637" s="4"/>
      <c r="F1637" s="4"/>
      <c r="G1637" s="4"/>
      <c r="H1637" s="4"/>
      <c r="I1637" s="4"/>
      <c r="J1637" s="4"/>
      <c r="K1637" s="4"/>
    </row>
    <row r="1638" spans="1:11" ht="13">
      <c r="A1638" s="4"/>
      <c r="B1638" s="4"/>
      <c r="C1638" s="4"/>
      <c r="D1638" s="4"/>
      <c r="E1638" s="4"/>
      <c r="F1638" s="4"/>
      <c r="G1638" s="4"/>
      <c r="H1638" s="4"/>
      <c r="I1638" s="4"/>
      <c r="J1638" s="4"/>
      <c r="K1638" s="4"/>
    </row>
    <row r="1639" spans="1:11" ht="13">
      <c r="A1639" s="4"/>
      <c r="B1639" s="4"/>
      <c r="C1639" s="4"/>
      <c r="D1639" s="4"/>
      <c r="E1639" s="4"/>
      <c r="F1639" s="4"/>
      <c r="G1639" s="4"/>
      <c r="H1639" s="4"/>
      <c r="I1639" s="4"/>
      <c r="J1639" s="4"/>
      <c r="K1639" s="4"/>
    </row>
    <row r="1640" spans="1:11" ht="13">
      <c r="A1640" s="4"/>
      <c r="B1640" s="4"/>
      <c r="C1640" s="4"/>
      <c r="D1640" s="4"/>
      <c r="E1640" s="4"/>
      <c r="F1640" s="4"/>
      <c r="G1640" s="4"/>
      <c r="H1640" s="4"/>
      <c r="I1640" s="4"/>
      <c r="J1640" s="4"/>
      <c r="K1640" s="4"/>
    </row>
    <row r="1641" spans="1:11" ht="13">
      <c r="A1641" s="4"/>
      <c r="B1641" s="4"/>
      <c r="C1641" s="4"/>
      <c r="D1641" s="4"/>
      <c r="E1641" s="4"/>
      <c r="F1641" s="4"/>
      <c r="G1641" s="4"/>
      <c r="H1641" s="4"/>
      <c r="I1641" s="4"/>
      <c r="J1641" s="4"/>
      <c r="K1641" s="4"/>
    </row>
    <row r="1642" spans="1:11" ht="13">
      <c r="A1642" s="4"/>
      <c r="B1642" s="4"/>
      <c r="C1642" s="4"/>
      <c r="D1642" s="4"/>
      <c r="E1642" s="4"/>
      <c r="F1642" s="4"/>
      <c r="G1642" s="4"/>
      <c r="H1642" s="4"/>
      <c r="I1642" s="4"/>
      <c r="J1642" s="4"/>
      <c r="K1642" s="4"/>
    </row>
    <row r="1643" spans="1:11" ht="13">
      <c r="A1643" s="4"/>
      <c r="B1643" s="4"/>
      <c r="C1643" s="4"/>
      <c r="D1643" s="4"/>
      <c r="E1643" s="4"/>
      <c r="F1643" s="4"/>
      <c r="G1643" s="4"/>
      <c r="H1643" s="4"/>
      <c r="I1643" s="4"/>
      <c r="J1643" s="4"/>
      <c r="K1643" s="4"/>
    </row>
    <row r="1644" spans="1:11" ht="13">
      <c r="A1644" s="4"/>
      <c r="B1644" s="4"/>
      <c r="C1644" s="4"/>
      <c r="D1644" s="4"/>
      <c r="E1644" s="4"/>
      <c r="F1644" s="4"/>
      <c r="G1644" s="4"/>
      <c r="H1644" s="4"/>
      <c r="I1644" s="4"/>
      <c r="J1644" s="4"/>
      <c r="K1644" s="4"/>
    </row>
    <row r="1645" spans="1:11" ht="13">
      <c r="A1645" s="4"/>
      <c r="B1645" s="4"/>
      <c r="C1645" s="4"/>
      <c r="D1645" s="4"/>
      <c r="E1645" s="4"/>
      <c r="F1645" s="4"/>
      <c r="G1645" s="4"/>
      <c r="H1645" s="4"/>
      <c r="I1645" s="4"/>
      <c r="J1645" s="4"/>
      <c r="K1645" s="4"/>
    </row>
    <row r="1646" spans="1:11" ht="13">
      <c r="A1646" s="4"/>
      <c r="B1646" s="4"/>
      <c r="C1646" s="4"/>
      <c r="D1646" s="4"/>
      <c r="E1646" s="4"/>
      <c r="F1646" s="4"/>
      <c r="G1646" s="4"/>
      <c r="H1646" s="4"/>
      <c r="I1646" s="4"/>
      <c r="J1646" s="4"/>
      <c r="K1646" s="4"/>
    </row>
    <row r="1647" spans="1:11" ht="13">
      <c r="A1647" s="4"/>
      <c r="B1647" s="4"/>
      <c r="C1647" s="4"/>
      <c r="D1647" s="4"/>
      <c r="E1647" s="4"/>
      <c r="F1647" s="4"/>
      <c r="G1647" s="4"/>
      <c r="H1647" s="4"/>
      <c r="I1647" s="4"/>
      <c r="J1647" s="4"/>
      <c r="K1647" s="4"/>
    </row>
    <row r="1648" spans="1:11" ht="13">
      <c r="A1648" s="4"/>
      <c r="B1648" s="4"/>
      <c r="C1648" s="4"/>
      <c r="D1648" s="4"/>
      <c r="E1648" s="4"/>
      <c r="F1648" s="4"/>
      <c r="G1648" s="4"/>
      <c r="H1648" s="4"/>
      <c r="I1648" s="4"/>
      <c r="J1648" s="4"/>
      <c r="K1648" s="4"/>
    </row>
    <row r="1649" spans="1:11" ht="13">
      <c r="A1649" s="4"/>
      <c r="B1649" s="4"/>
      <c r="C1649" s="4"/>
      <c r="D1649" s="4"/>
      <c r="E1649" s="4"/>
      <c r="F1649" s="4"/>
      <c r="G1649" s="4"/>
      <c r="H1649" s="4"/>
      <c r="I1649" s="4"/>
      <c r="J1649" s="4"/>
      <c r="K1649" s="4"/>
    </row>
    <row r="1650" spans="1:11" ht="13">
      <c r="A1650" s="4"/>
      <c r="B1650" s="4"/>
      <c r="C1650" s="4"/>
      <c r="D1650" s="4"/>
      <c r="E1650" s="4"/>
      <c r="F1650" s="4"/>
      <c r="G1650" s="4"/>
      <c r="H1650" s="4"/>
      <c r="I1650" s="4"/>
      <c r="J1650" s="4"/>
      <c r="K1650" s="4"/>
    </row>
    <row r="1651" spans="1:11" ht="13">
      <c r="A1651" s="4"/>
      <c r="B1651" s="4"/>
      <c r="C1651" s="4"/>
      <c r="D1651" s="4"/>
      <c r="E1651" s="4"/>
      <c r="F1651" s="4"/>
      <c r="G1651" s="4"/>
      <c r="H1651" s="4"/>
      <c r="I1651" s="4"/>
      <c r="J1651" s="4"/>
      <c r="K1651" s="4"/>
    </row>
    <row r="1652" spans="1:11" ht="13">
      <c r="A1652" s="4"/>
      <c r="B1652" s="4"/>
      <c r="C1652" s="4"/>
      <c r="D1652" s="4"/>
      <c r="E1652" s="4"/>
      <c r="F1652" s="4"/>
      <c r="G1652" s="4"/>
      <c r="H1652" s="4"/>
      <c r="I1652" s="4"/>
      <c r="J1652" s="4"/>
      <c r="K1652" s="4"/>
    </row>
    <row r="1653" spans="1:11" ht="13">
      <c r="A1653" s="4"/>
      <c r="B1653" s="4"/>
      <c r="C1653" s="4"/>
      <c r="D1653" s="4"/>
      <c r="E1653" s="4"/>
      <c r="F1653" s="4"/>
      <c r="G1653" s="4"/>
      <c r="H1653" s="4"/>
      <c r="I1653" s="4"/>
      <c r="J1653" s="4"/>
      <c r="K1653" s="4"/>
    </row>
    <row r="1654" spans="1:11" ht="13">
      <c r="A1654" s="4"/>
      <c r="B1654" s="4"/>
      <c r="C1654" s="4"/>
      <c r="D1654" s="4"/>
      <c r="E1654" s="4"/>
      <c r="F1654" s="4"/>
      <c r="G1654" s="4"/>
      <c r="H1654" s="4"/>
      <c r="I1654" s="4"/>
      <c r="J1654" s="4"/>
      <c r="K1654" s="4"/>
    </row>
    <row r="1655" spans="1:11" ht="13">
      <c r="A1655" s="4"/>
      <c r="B1655" s="4"/>
      <c r="C1655" s="4"/>
      <c r="D1655" s="4"/>
      <c r="E1655" s="4"/>
      <c r="F1655" s="4"/>
      <c r="G1655" s="4"/>
      <c r="H1655" s="4"/>
      <c r="I1655" s="4"/>
      <c r="J1655" s="4"/>
      <c r="K1655" s="4"/>
    </row>
    <row r="1656" spans="1:11" ht="13">
      <c r="A1656" s="4"/>
      <c r="B1656" s="4"/>
      <c r="C1656" s="4"/>
      <c r="D1656" s="4"/>
      <c r="E1656" s="4"/>
      <c r="F1656" s="4"/>
      <c r="G1656" s="4"/>
      <c r="H1656" s="4"/>
      <c r="I1656" s="4"/>
      <c r="J1656" s="4"/>
      <c r="K1656" s="4"/>
    </row>
    <row r="1657" spans="1:11" ht="13">
      <c r="A1657" s="4"/>
      <c r="B1657" s="4"/>
      <c r="C1657" s="4"/>
      <c r="D1657" s="4"/>
      <c r="E1657" s="4"/>
      <c r="F1657" s="4"/>
      <c r="G1657" s="4"/>
      <c r="H1657" s="4"/>
      <c r="I1657" s="4"/>
      <c r="J1657" s="4"/>
      <c r="K1657" s="4"/>
    </row>
    <row r="1658" spans="1:11" ht="13">
      <c r="A1658" s="4"/>
      <c r="B1658" s="4"/>
      <c r="C1658" s="4"/>
      <c r="D1658" s="4"/>
      <c r="E1658" s="4"/>
      <c r="F1658" s="4"/>
      <c r="G1658" s="4"/>
      <c r="H1658" s="4"/>
      <c r="I1658" s="4"/>
      <c r="J1658" s="4"/>
      <c r="K1658" s="4"/>
    </row>
    <row r="1659" spans="1:11" ht="13">
      <c r="A1659" s="4"/>
      <c r="B1659" s="4"/>
      <c r="C1659" s="4"/>
      <c r="D1659" s="4"/>
      <c r="E1659" s="4"/>
      <c r="F1659" s="4"/>
      <c r="G1659" s="4"/>
      <c r="H1659" s="4"/>
      <c r="I1659" s="4"/>
      <c r="J1659" s="4"/>
      <c r="K1659" s="4"/>
    </row>
    <row r="1660" spans="1:11" ht="13">
      <c r="A1660" s="4"/>
      <c r="B1660" s="4"/>
      <c r="C1660" s="4"/>
      <c r="D1660" s="4"/>
      <c r="E1660" s="4"/>
      <c r="F1660" s="4"/>
      <c r="G1660" s="4"/>
      <c r="H1660" s="4"/>
      <c r="I1660" s="4"/>
      <c r="J1660" s="4"/>
      <c r="K1660" s="4"/>
    </row>
    <row r="1661" spans="1:11" ht="13">
      <c r="A1661" s="4"/>
      <c r="B1661" s="4"/>
      <c r="C1661" s="4"/>
      <c r="D1661" s="4"/>
      <c r="E1661" s="4"/>
      <c r="F1661" s="4"/>
      <c r="G1661" s="4"/>
      <c r="H1661" s="4"/>
      <c r="I1661" s="4"/>
      <c r="J1661" s="4"/>
      <c r="K1661" s="4"/>
    </row>
    <row r="1662" spans="1:11" ht="13">
      <c r="A1662" s="4"/>
      <c r="B1662" s="4"/>
      <c r="C1662" s="4"/>
      <c r="D1662" s="4"/>
      <c r="E1662" s="4"/>
      <c r="F1662" s="4"/>
      <c r="G1662" s="4"/>
      <c r="H1662" s="4"/>
      <c r="I1662" s="4"/>
      <c r="J1662" s="4"/>
      <c r="K1662" s="4"/>
    </row>
    <row r="1663" spans="1:11" ht="13">
      <c r="A1663" s="4"/>
      <c r="B1663" s="4"/>
      <c r="C1663" s="4"/>
      <c r="D1663" s="4"/>
      <c r="E1663" s="4"/>
      <c r="F1663" s="4"/>
      <c r="G1663" s="4"/>
      <c r="H1663" s="4"/>
      <c r="I1663" s="4"/>
      <c r="J1663" s="4"/>
      <c r="K1663" s="4"/>
    </row>
    <row r="1664" spans="1:11" ht="13">
      <c r="A1664" s="4"/>
      <c r="B1664" s="4"/>
      <c r="C1664" s="4"/>
      <c r="D1664" s="4"/>
      <c r="E1664" s="4"/>
      <c r="F1664" s="4"/>
      <c r="G1664" s="4"/>
      <c r="H1664" s="4"/>
      <c r="I1664" s="4"/>
      <c r="J1664" s="4"/>
      <c r="K1664" s="4"/>
    </row>
    <row r="1665" spans="1:11" ht="13">
      <c r="A1665" s="4"/>
      <c r="B1665" s="4"/>
      <c r="C1665" s="4"/>
      <c r="D1665" s="4"/>
      <c r="E1665" s="4"/>
      <c r="F1665" s="4"/>
      <c r="G1665" s="4"/>
      <c r="H1665" s="4"/>
      <c r="I1665" s="4"/>
      <c r="J1665" s="4"/>
      <c r="K1665" s="4"/>
    </row>
    <row r="1666" spans="1:11" ht="13">
      <c r="A1666" s="4"/>
      <c r="B1666" s="4"/>
      <c r="C1666" s="4"/>
      <c r="D1666" s="4"/>
      <c r="E1666" s="4"/>
      <c r="F1666" s="4"/>
      <c r="G1666" s="4"/>
      <c r="H1666" s="4"/>
      <c r="I1666" s="4"/>
      <c r="J1666" s="4"/>
      <c r="K1666" s="4"/>
    </row>
    <row r="1667" spans="1:11" ht="13">
      <c r="A1667" s="4"/>
      <c r="B1667" s="4"/>
      <c r="C1667" s="4"/>
      <c r="D1667" s="4"/>
      <c r="E1667" s="4"/>
      <c r="F1667" s="4"/>
      <c r="G1667" s="4"/>
      <c r="H1667" s="4"/>
      <c r="I1667" s="4"/>
      <c r="J1667" s="4"/>
      <c r="K1667" s="4"/>
    </row>
    <row r="1668" spans="1:11" ht="13">
      <c r="A1668" s="4"/>
      <c r="B1668" s="4"/>
      <c r="C1668" s="4"/>
      <c r="D1668" s="4"/>
      <c r="E1668" s="4"/>
      <c r="F1668" s="4"/>
      <c r="G1668" s="4"/>
      <c r="H1668" s="4"/>
      <c r="I1668" s="4"/>
      <c r="J1668" s="4"/>
      <c r="K1668" s="4"/>
    </row>
    <row r="1669" spans="1:11" ht="13">
      <c r="A1669" s="4"/>
      <c r="B1669" s="4"/>
      <c r="C1669" s="4"/>
      <c r="D1669" s="4"/>
      <c r="E1669" s="4"/>
      <c r="F1669" s="4"/>
      <c r="G1669" s="4"/>
      <c r="H1669" s="4"/>
      <c r="I1669" s="4"/>
      <c r="J1669" s="4"/>
      <c r="K1669" s="4"/>
    </row>
    <row r="1670" spans="1:11" ht="13">
      <c r="A1670" s="4"/>
      <c r="B1670" s="4"/>
      <c r="C1670" s="4"/>
      <c r="D1670" s="4"/>
      <c r="E1670" s="4"/>
      <c r="F1670" s="4"/>
      <c r="G1670" s="4"/>
      <c r="H1670" s="4"/>
      <c r="I1670" s="4"/>
      <c r="J1670" s="4"/>
      <c r="K1670" s="4"/>
    </row>
    <row r="1671" spans="1:11" ht="13">
      <c r="A1671" s="4"/>
      <c r="B1671" s="4"/>
      <c r="C1671" s="4"/>
      <c r="D1671" s="4"/>
      <c r="E1671" s="4"/>
      <c r="F1671" s="4"/>
      <c r="G1671" s="4"/>
      <c r="H1671" s="4"/>
      <c r="I1671" s="4"/>
      <c r="J1671" s="4"/>
      <c r="K1671" s="4"/>
    </row>
    <row r="1672" spans="1:11" ht="13">
      <c r="A1672" s="4"/>
      <c r="B1672" s="4"/>
      <c r="C1672" s="4"/>
      <c r="D1672" s="4"/>
      <c r="E1672" s="4"/>
      <c r="F1672" s="4"/>
      <c r="G1672" s="4"/>
      <c r="H1672" s="4"/>
      <c r="I1672" s="4"/>
      <c r="J1672" s="4"/>
      <c r="K1672" s="4"/>
    </row>
    <row r="1673" spans="1:11" ht="13">
      <c r="A1673" s="4"/>
      <c r="B1673" s="4"/>
      <c r="C1673" s="4"/>
      <c r="D1673" s="4"/>
      <c r="E1673" s="4"/>
      <c r="F1673" s="4"/>
      <c r="G1673" s="4"/>
      <c r="H1673" s="4"/>
      <c r="I1673" s="4"/>
      <c r="J1673" s="4"/>
      <c r="K1673" s="4"/>
    </row>
    <row r="1674" spans="1:11" ht="13">
      <c r="A1674" s="4"/>
      <c r="B1674" s="4"/>
      <c r="C1674" s="4"/>
      <c r="D1674" s="4"/>
      <c r="E1674" s="4"/>
      <c r="F1674" s="4"/>
      <c r="G1674" s="4"/>
      <c r="H1674" s="4"/>
      <c r="I1674" s="4"/>
      <c r="J1674" s="4"/>
      <c r="K1674" s="4"/>
    </row>
    <row r="1675" spans="1:11" ht="13">
      <c r="A1675" s="4"/>
      <c r="B1675" s="4"/>
      <c r="C1675" s="4"/>
      <c r="D1675" s="4"/>
      <c r="E1675" s="4"/>
      <c r="F1675" s="4"/>
      <c r="G1675" s="4"/>
      <c r="H1675" s="4"/>
      <c r="I1675" s="4"/>
      <c r="J1675" s="4"/>
      <c r="K1675" s="4"/>
    </row>
    <row r="1676" spans="1:11" ht="13">
      <c r="A1676" s="4"/>
      <c r="B1676" s="4"/>
      <c r="C1676" s="4"/>
      <c r="D1676" s="4"/>
      <c r="E1676" s="4"/>
      <c r="F1676" s="4"/>
      <c r="G1676" s="4"/>
      <c r="H1676" s="4"/>
      <c r="I1676" s="4"/>
      <c r="J1676" s="4"/>
      <c r="K1676" s="4"/>
    </row>
    <row r="1677" spans="1:11" ht="13">
      <c r="A1677" s="4"/>
      <c r="B1677" s="4"/>
      <c r="C1677" s="4"/>
      <c r="D1677" s="4"/>
      <c r="E1677" s="4"/>
      <c r="F1677" s="4"/>
      <c r="G1677" s="4"/>
      <c r="H1677" s="4"/>
      <c r="I1677" s="4"/>
      <c r="J1677" s="4"/>
      <c r="K1677" s="4"/>
    </row>
    <row r="1678" spans="1:11" ht="13">
      <c r="A1678" s="4"/>
      <c r="B1678" s="4"/>
      <c r="C1678" s="4"/>
      <c r="D1678" s="4"/>
      <c r="E1678" s="4"/>
      <c r="F1678" s="4"/>
      <c r="G1678" s="4"/>
      <c r="H1678" s="4"/>
      <c r="I1678" s="4"/>
      <c r="J1678" s="4"/>
      <c r="K1678" s="4"/>
    </row>
    <row r="1679" spans="1:11" ht="13">
      <c r="A1679" s="4"/>
      <c r="B1679" s="4"/>
      <c r="C1679" s="4"/>
      <c r="D1679" s="4"/>
      <c r="E1679" s="4"/>
      <c r="F1679" s="4"/>
      <c r="G1679" s="4"/>
      <c r="H1679" s="4"/>
      <c r="I1679" s="4"/>
      <c r="J1679" s="4"/>
      <c r="K1679" s="4"/>
    </row>
    <row r="1680" spans="1:11" ht="13">
      <c r="A1680" s="4"/>
      <c r="B1680" s="4"/>
      <c r="C1680" s="4"/>
      <c r="D1680" s="4"/>
      <c r="E1680" s="4"/>
      <c r="F1680" s="4"/>
      <c r="G1680" s="4"/>
      <c r="H1680" s="4"/>
      <c r="I1680" s="4"/>
      <c r="J1680" s="4"/>
      <c r="K1680" s="4"/>
    </row>
    <row r="1681" spans="1:11" ht="13">
      <c r="A1681" s="4"/>
      <c r="B1681" s="4"/>
      <c r="C1681" s="4"/>
      <c r="D1681" s="4"/>
      <c r="E1681" s="4"/>
      <c r="F1681" s="4"/>
      <c r="G1681" s="4"/>
      <c r="H1681" s="4"/>
      <c r="I1681" s="4"/>
      <c r="J1681" s="4"/>
      <c r="K1681" s="4"/>
    </row>
    <row r="1682" spans="1:11" ht="13">
      <c r="A1682" s="4"/>
      <c r="B1682" s="4"/>
      <c r="C1682" s="4"/>
      <c r="D1682" s="4"/>
      <c r="E1682" s="4"/>
      <c r="F1682" s="4"/>
      <c r="G1682" s="4"/>
      <c r="H1682" s="4"/>
      <c r="I1682" s="4"/>
      <c r="J1682" s="4"/>
      <c r="K1682" s="4"/>
    </row>
    <row r="1683" spans="1:11" ht="13">
      <c r="A1683" s="4"/>
      <c r="B1683" s="4"/>
      <c r="C1683" s="4"/>
      <c r="D1683" s="4"/>
      <c r="E1683" s="4"/>
      <c r="F1683" s="4"/>
      <c r="G1683" s="4"/>
      <c r="H1683" s="4"/>
      <c r="I1683" s="4"/>
      <c r="J1683" s="4"/>
      <c r="K1683" s="4"/>
    </row>
    <row r="1684" spans="1:11" ht="13">
      <c r="A1684" s="4"/>
      <c r="B1684" s="4"/>
      <c r="C1684" s="4"/>
      <c r="D1684" s="4"/>
      <c r="E1684" s="4"/>
      <c r="F1684" s="4"/>
      <c r="G1684" s="4"/>
      <c r="H1684" s="4"/>
      <c r="I1684" s="4"/>
      <c r="J1684" s="4"/>
      <c r="K1684" s="4"/>
    </row>
    <row r="1685" spans="1:11" ht="13">
      <c r="A1685" s="4"/>
      <c r="B1685" s="4"/>
      <c r="C1685" s="4"/>
      <c r="D1685" s="4"/>
      <c r="E1685" s="4"/>
      <c r="F1685" s="4"/>
      <c r="G1685" s="4"/>
      <c r="H1685" s="4"/>
      <c r="I1685" s="4"/>
      <c r="J1685" s="4"/>
      <c r="K1685" s="4"/>
    </row>
    <row r="1686" spans="1:11" ht="13">
      <c r="A1686" s="4"/>
      <c r="B1686" s="4"/>
      <c r="C1686" s="4"/>
      <c r="D1686" s="4"/>
      <c r="E1686" s="4"/>
      <c r="F1686" s="4"/>
      <c r="G1686" s="4"/>
      <c r="H1686" s="4"/>
      <c r="I1686" s="4"/>
      <c r="J1686" s="4"/>
      <c r="K1686" s="4"/>
    </row>
    <row r="1687" spans="1:11" ht="13">
      <c r="A1687" s="4"/>
      <c r="B1687" s="4"/>
      <c r="C1687" s="4"/>
      <c r="D1687" s="4"/>
      <c r="E1687" s="4"/>
      <c r="F1687" s="4"/>
      <c r="G1687" s="4"/>
      <c r="H1687" s="4"/>
      <c r="I1687" s="4"/>
      <c r="J1687" s="4"/>
      <c r="K1687" s="4"/>
    </row>
    <row r="1688" spans="1:11" ht="13">
      <c r="A1688" s="4"/>
      <c r="B1688" s="4"/>
      <c r="C1688" s="4"/>
      <c r="D1688" s="4"/>
      <c r="E1688" s="4"/>
      <c r="F1688" s="4"/>
      <c r="G1688" s="4"/>
      <c r="H1688" s="4"/>
      <c r="I1688" s="4"/>
      <c r="J1688" s="4"/>
      <c r="K1688" s="4"/>
    </row>
    <row r="1689" spans="1:11" ht="13">
      <c r="A1689" s="4"/>
      <c r="B1689" s="4"/>
      <c r="C1689" s="4"/>
      <c r="D1689" s="4"/>
      <c r="E1689" s="4"/>
      <c r="F1689" s="4"/>
      <c r="G1689" s="4"/>
      <c r="H1689" s="4"/>
      <c r="I1689" s="4"/>
      <c r="J1689" s="4"/>
      <c r="K1689" s="4"/>
    </row>
    <row r="1690" spans="1:11" ht="13">
      <c r="A1690" s="4"/>
      <c r="B1690" s="4"/>
      <c r="C1690" s="4"/>
      <c r="D1690" s="4"/>
      <c r="E1690" s="4"/>
      <c r="F1690" s="4"/>
      <c r="G1690" s="4"/>
      <c r="H1690" s="4"/>
      <c r="I1690" s="4"/>
      <c r="J1690" s="4"/>
      <c r="K1690" s="4"/>
    </row>
    <row r="1691" spans="1:11" ht="13">
      <c r="A1691" s="4"/>
      <c r="B1691" s="4"/>
      <c r="C1691" s="4"/>
      <c r="D1691" s="4"/>
      <c r="E1691" s="4"/>
      <c r="F1691" s="4"/>
      <c r="G1691" s="4"/>
      <c r="H1691" s="4"/>
      <c r="I1691" s="4"/>
      <c r="J1691" s="4"/>
      <c r="K1691" s="4"/>
    </row>
    <row r="1692" spans="1:11" ht="13">
      <c r="A1692" s="4"/>
      <c r="B1692" s="4"/>
      <c r="C1692" s="4"/>
      <c r="D1692" s="4"/>
      <c r="E1692" s="4"/>
      <c r="F1692" s="4"/>
      <c r="G1692" s="4"/>
      <c r="H1692" s="4"/>
      <c r="I1692" s="4"/>
      <c r="J1692" s="4"/>
      <c r="K1692" s="4"/>
    </row>
    <row r="1693" spans="1:11" ht="13">
      <c r="A1693" s="4"/>
      <c r="B1693" s="4"/>
      <c r="C1693" s="4"/>
      <c r="D1693" s="4"/>
      <c r="E1693" s="4"/>
      <c r="F1693" s="4"/>
      <c r="G1693" s="4"/>
      <c r="H1693" s="4"/>
      <c r="I1693" s="4"/>
      <c r="J1693" s="4"/>
      <c r="K1693" s="4"/>
    </row>
    <row r="1694" spans="1:11" ht="13">
      <c r="A1694" s="4"/>
      <c r="B1694" s="4"/>
      <c r="C1694" s="4"/>
      <c r="D1694" s="4"/>
      <c r="E1694" s="4"/>
      <c r="F1694" s="4"/>
      <c r="G1694" s="4"/>
      <c r="H1694" s="4"/>
      <c r="I1694" s="4"/>
      <c r="J1694" s="4"/>
      <c r="K1694" s="4"/>
    </row>
    <row r="1695" spans="1:11" ht="13">
      <c r="A1695" s="4"/>
      <c r="B1695" s="4"/>
      <c r="C1695" s="4"/>
      <c r="D1695" s="4"/>
      <c r="E1695" s="4"/>
      <c r="F1695" s="4"/>
      <c r="G1695" s="4"/>
      <c r="H1695" s="4"/>
      <c r="I1695" s="4"/>
      <c r="J1695" s="4"/>
      <c r="K1695" s="4"/>
    </row>
    <row r="1696" spans="1:11" ht="13">
      <c r="A1696" s="4"/>
      <c r="B1696" s="4"/>
      <c r="C1696" s="4"/>
      <c r="D1696" s="4"/>
      <c r="E1696" s="4"/>
      <c r="F1696" s="4"/>
      <c r="G1696" s="4"/>
      <c r="H1696" s="4"/>
      <c r="I1696" s="4"/>
      <c r="J1696" s="4"/>
      <c r="K1696" s="4"/>
    </row>
    <row r="1697" spans="1:11" ht="13">
      <c r="A1697" s="4"/>
      <c r="B1697" s="4"/>
      <c r="C1697" s="4"/>
      <c r="D1697" s="4"/>
      <c r="E1697" s="4"/>
      <c r="F1697" s="4"/>
      <c r="G1697" s="4"/>
      <c r="H1697" s="4"/>
      <c r="I1697" s="4"/>
      <c r="J1697" s="4"/>
      <c r="K1697" s="4"/>
    </row>
    <row r="1698" spans="1:11" ht="13">
      <c r="A1698" s="4"/>
      <c r="B1698" s="4"/>
      <c r="C1698" s="4"/>
      <c r="D1698" s="4"/>
      <c r="E1698" s="4"/>
      <c r="F1698" s="4"/>
      <c r="G1698" s="4"/>
      <c r="H1698" s="4"/>
      <c r="I1698" s="4"/>
      <c r="J1698" s="4"/>
      <c r="K1698" s="4"/>
    </row>
    <row r="1699" spans="1:11" ht="13">
      <c r="A1699" s="4"/>
      <c r="B1699" s="4"/>
      <c r="C1699" s="4"/>
      <c r="D1699" s="4"/>
      <c r="E1699" s="4"/>
      <c r="F1699" s="4"/>
      <c r="G1699" s="4"/>
      <c r="H1699" s="4"/>
      <c r="I1699" s="4"/>
      <c r="J1699" s="4"/>
      <c r="K1699" s="4"/>
    </row>
    <row r="1700" spans="1:11" ht="13">
      <c r="A1700" s="4"/>
      <c r="B1700" s="4"/>
      <c r="C1700" s="4"/>
      <c r="D1700" s="4"/>
      <c r="E1700" s="4"/>
      <c r="F1700" s="4"/>
      <c r="G1700" s="4"/>
      <c r="H1700" s="4"/>
      <c r="I1700" s="4"/>
      <c r="J1700" s="4"/>
      <c r="K1700" s="4"/>
    </row>
    <row r="1701" spans="1:11" ht="13">
      <c r="A1701" s="4"/>
      <c r="B1701" s="4"/>
      <c r="C1701" s="4"/>
      <c r="D1701" s="4"/>
      <c r="E1701" s="4"/>
      <c r="F1701" s="4"/>
      <c r="G1701" s="4"/>
      <c r="H1701" s="4"/>
      <c r="I1701" s="4"/>
      <c r="J1701" s="4"/>
      <c r="K1701" s="4"/>
    </row>
    <row r="1702" spans="1:11" ht="13">
      <c r="A1702" s="4"/>
      <c r="B1702" s="4"/>
      <c r="C1702" s="4"/>
      <c r="D1702" s="4"/>
      <c r="E1702" s="4"/>
      <c r="F1702" s="4"/>
      <c r="G1702" s="4"/>
      <c r="H1702" s="4"/>
      <c r="I1702" s="4"/>
      <c r="J1702" s="4"/>
      <c r="K1702" s="4"/>
    </row>
    <row r="1703" spans="1:11" ht="13">
      <c r="A1703" s="4"/>
      <c r="B1703" s="4"/>
      <c r="C1703" s="4"/>
      <c r="D1703" s="4"/>
      <c r="E1703" s="4"/>
      <c r="F1703" s="4"/>
      <c r="G1703" s="4"/>
      <c r="H1703" s="4"/>
      <c r="I1703" s="4"/>
      <c r="J1703" s="4"/>
      <c r="K1703" s="4"/>
    </row>
    <row r="1704" spans="1:11" ht="13">
      <c r="A1704" s="4"/>
      <c r="B1704" s="4"/>
      <c r="C1704" s="4"/>
      <c r="D1704" s="4"/>
      <c r="E1704" s="4"/>
      <c r="F1704" s="4"/>
      <c r="G1704" s="4"/>
      <c r="H1704" s="4"/>
      <c r="I1704" s="4"/>
      <c r="J1704" s="4"/>
      <c r="K1704" s="4"/>
    </row>
    <row r="1705" spans="1:11" ht="13">
      <c r="A1705" s="4"/>
      <c r="B1705" s="4"/>
      <c r="C1705" s="4"/>
      <c r="D1705" s="4"/>
      <c r="E1705" s="4"/>
      <c r="F1705" s="4"/>
      <c r="G1705" s="4"/>
      <c r="H1705" s="4"/>
      <c r="I1705" s="4"/>
      <c r="J1705" s="4"/>
      <c r="K1705" s="4"/>
    </row>
    <row r="1706" spans="1:11" ht="13">
      <c r="A1706" s="4"/>
      <c r="B1706" s="4"/>
      <c r="C1706" s="4"/>
      <c r="D1706" s="4"/>
      <c r="E1706" s="4"/>
      <c r="F1706" s="4"/>
      <c r="G1706" s="4"/>
      <c r="H1706" s="4"/>
      <c r="I1706" s="4"/>
      <c r="J1706" s="4"/>
      <c r="K1706" s="4"/>
    </row>
    <row r="1707" spans="1:11" ht="13">
      <c r="A1707" s="4"/>
      <c r="B1707" s="4"/>
      <c r="C1707" s="4"/>
      <c r="D1707" s="4"/>
      <c r="E1707" s="4"/>
      <c r="F1707" s="4"/>
      <c r="G1707" s="4"/>
      <c r="H1707" s="4"/>
      <c r="I1707" s="4"/>
      <c r="J1707" s="4"/>
      <c r="K1707" s="4"/>
    </row>
    <row r="1708" spans="1:11" ht="13">
      <c r="A1708" s="4"/>
      <c r="B1708" s="4"/>
      <c r="C1708" s="4"/>
      <c r="D1708" s="4"/>
      <c r="E1708" s="4"/>
      <c r="F1708" s="4"/>
      <c r="G1708" s="4"/>
      <c r="H1708" s="4"/>
      <c r="I1708" s="4"/>
      <c r="J1708" s="4"/>
      <c r="K1708" s="4"/>
    </row>
    <row r="1709" spans="1:11" ht="13">
      <c r="A1709" s="4"/>
      <c r="B1709" s="4"/>
      <c r="C1709" s="4"/>
      <c r="D1709" s="4"/>
      <c r="E1709" s="4"/>
      <c r="F1709" s="4"/>
      <c r="G1709" s="4"/>
      <c r="H1709" s="4"/>
      <c r="I1709" s="4"/>
      <c r="J1709" s="4"/>
      <c r="K1709" s="4"/>
    </row>
    <row r="1710" spans="1:11" ht="13">
      <c r="A1710" s="4"/>
      <c r="B1710" s="4"/>
      <c r="C1710" s="4"/>
      <c r="D1710" s="4"/>
      <c r="E1710" s="4"/>
      <c r="F1710" s="4"/>
      <c r="G1710" s="4"/>
      <c r="H1710" s="4"/>
      <c r="I1710" s="4"/>
      <c r="J1710" s="4"/>
      <c r="K1710" s="4"/>
    </row>
    <row r="1711" spans="1:11" ht="13">
      <c r="A1711" s="4"/>
      <c r="B1711" s="4"/>
      <c r="C1711" s="4"/>
      <c r="D1711" s="4"/>
      <c r="E1711" s="4"/>
      <c r="F1711" s="4"/>
      <c r="G1711" s="4"/>
      <c r="H1711" s="4"/>
      <c r="I1711" s="4"/>
      <c r="J1711" s="4"/>
      <c r="K1711" s="4"/>
    </row>
    <row r="1712" spans="1:11" ht="13">
      <c r="A1712" s="4"/>
      <c r="B1712" s="4"/>
      <c r="C1712" s="4"/>
      <c r="D1712" s="4"/>
      <c r="E1712" s="4"/>
      <c r="F1712" s="4"/>
      <c r="G1712" s="4"/>
      <c r="H1712" s="4"/>
      <c r="I1712" s="4"/>
      <c r="J1712" s="4"/>
      <c r="K1712" s="4"/>
    </row>
    <row r="1713" spans="1:11" ht="13">
      <c r="A1713" s="4"/>
      <c r="B1713" s="4"/>
      <c r="C1713" s="4"/>
      <c r="D1713" s="4"/>
      <c r="E1713" s="4"/>
      <c r="F1713" s="4"/>
      <c r="G1713" s="4"/>
      <c r="H1713" s="4"/>
      <c r="I1713" s="4"/>
      <c r="J1713" s="4"/>
      <c r="K1713" s="4"/>
    </row>
    <row r="1714" spans="1:11" ht="13">
      <c r="A1714" s="4"/>
      <c r="B1714" s="4"/>
      <c r="C1714" s="4"/>
      <c r="D1714" s="4"/>
      <c r="E1714" s="4"/>
      <c r="F1714" s="4"/>
      <c r="G1714" s="4"/>
      <c r="H1714" s="4"/>
      <c r="I1714" s="4"/>
      <c r="J1714" s="4"/>
      <c r="K1714" s="4"/>
    </row>
    <row r="1715" spans="1:11" ht="13">
      <c r="A1715" s="4"/>
      <c r="B1715" s="4"/>
      <c r="C1715" s="4"/>
      <c r="D1715" s="4"/>
      <c r="E1715" s="4"/>
      <c r="F1715" s="4"/>
      <c r="G1715" s="4"/>
      <c r="H1715" s="4"/>
      <c r="I1715" s="4"/>
      <c r="J1715" s="4"/>
      <c r="K1715" s="4"/>
    </row>
    <row r="1716" spans="1:11" ht="13">
      <c r="A1716" s="4"/>
      <c r="B1716" s="4"/>
      <c r="C1716" s="4"/>
      <c r="D1716" s="4"/>
      <c r="E1716" s="4"/>
      <c r="F1716" s="4"/>
      <c r="G1716" s="4"/>
      <c r="H1716" s="4"/>
      <c r="I1716" s="4"/>
      <c r="J1716" s="4"/>
      <c r="K1716" s="4"/>
    </row>
    <row r="1717" spans="1:11" ht="13">
      <c r="A1717" s="4"/>
      <c r="B1717" s="4"/>
      <c r="C1717" s="4"/>
      <c r="D1717" s="4"/>
      <c r="E1717" s="4"/>
      <c r="F1717" s="4"/>
      <c r="G1717" s="4"/>
      <c r="H1717" s="4"/>
      <c r="I1717" s="4"/>
      <c r="J1717" s="4"/>
      <c r="K1717" s="4"/>
    </row>
    <row r="1718" spans="1:11" ht="13">
      <c r="A1718" s="4"/>
      <c r="B1718" s="4"/>
      <c r="C1718" s="4"/>
      <c r="D1718" s="4"/>
      <c r="E1718" s="4"/>
      <c r="F1718" s="4"/>
      <c r="G1718" s="4"/>
      <c r="H1718" s="4"/>
      <c r="I1718" s="4"/>
      <c r="J1718" s="4"/>
      <c r="K1718" s="4"/>
    </row>
    <row r="1719" spans="1:11" ht="13">
      <c r="A1719" s="4"/>
      <c r="B1719" s="4"/>
      <c r="C1719" s="4"/>
      <c r="D1719" s="4"/>
      <c r="E1719" s="4"/>
      <c r="F1719" s="4"/>
      <c r="G1719" s="4"/>
      <c r="H1719" s="4"/>
      <c r="I1719" s="4"/>
      <c r="J1719" s="4"/>
      <c r="K1719" s="4"/>
    </row>
    <row r="1720" spans="1:11" ht="13">
      <c r="A1720" s="4"/>
      <c r="B1720" s="4"/>
      <c r="C1720" s="4"/>
      <c r="D1720" s="4"/>
      <c r="E1720" s="4"/>
      <c r="F1720" s="4"/>
      <c r="G1720" s="4"/>
      <c r="H1720" s="4"/>
      <c r="I1720" s="4"/>
      <c r="J1720" s="4"/>
      <c r="K1720" s="4"/>
    </row>
    <row r="1721" spans="1:11" ht="13">
      <c r="A1721" s="4"/>
      <c r="B1721" s="4"/>
      <c r="C1721" s="4"/>
      <c r="D1721" s="4"/>
      <c r="E1721" s="4"/>
      <c r="F1721" s="4"/>
      <c r="G1721" s="4"/>
      <c r="H1721" s="4"/>
      <c r="I1721" s="4"/>
      <c r="J1721" s="4"/>
      <c r="K1721" s="4"/>
    </row>
    <row r="1722" spans="1:11" ht="13">
      <c r="A1722" s="4"/>
      <c r="B1722" s="4"/>
      <c r="C1722" s="4"/>
      <c r="D1722" s="4"/>
      <c r="E1722" s="4"/>
      <c r="F1722" s="4"/>
      <c r="G1722" s="4"/>
      <c r="H1722" s="4"/>
      <c r="I1722" s="4"/>
      <c r="J1722" s="4"/>
      <c r="K1722" s="4"/>
    </row>
    <row r="1723" spans="1:11" ht="13">
      <c r="A1723" s="4"/>
      <c r="B1723" s="4"/>
      <c r="C1723" s="4"/>
      <c r="D1723" s="4"/>
      <c r="E1723" s="4"/>
      <c r="F1723" s="4"/>
      <c r="G1723" s="4"/>
      <c r="H1723" s="4"/>
      <c r="I1723" s="4"/>
      <c r="J1723" s="4"/>
      <c r="K1723" s="4"/>
    </row>
    <row r="1724" spans="1:11" ht="13">
      <c r="A1724" s="4"/>
      <c r="B1724" s="4"/>
      <c r="C1724" s="4"/>
      <c r="D1724" s="4"/>
      <c r="E1724" s="4"/>
      <c r="F1724" s="4"/>
      <c r="G1724" s="4"/>
      <c r="H1724" s="4"/>
      <c r="I1724" s="4"/>
      <c r="J1724" s="4"/>
      <c r="K1724" s="4"/>
    </row>
    <row r="1725" spans="1:11" ht="13">
      <c r="A1725" s="4"/>
      <c r="B1725" s="4"/>
      <c r="C1725" s="4"/>
      <c r="D1725" s="4"/>
      <c r="E1725" s="4"/>
      <c r="F1725" s="4"/>
      <c r="G1725" s="4"/>
      <c r="H1725" s="4"/>
      <c r="I1725" s="4"/>
      <c r="J1725" s="4"/>
      <c r="K1725" s="4"/>
    </row>
    <row r="1726" spans="1:11" ht="13">
      <c r="A1726" s="4"/>
      <c r="B1726" s="4"/>
      <c r="C1726" s="4"/>
      <c r="D1726" s="4"/>
      <c r="E1726" s="4"/>
      <c r="F1726" s="4"/>
      <c r="G1726" s="4"/>
      <c r="H1726" s="4"/>
      <c r="I1726" s="4"/>
      <c r="J1726" s="4"/>
      <c r="K1726" s="4"/>
    </row>
    <row r="1727" spans="1:11" ht="13">
      <c r="A1727" s="4"/>
      <c r="B1727" s="4"/>
      <c r="C1727" s="4"/>
      <c r="D1727" s="4"/>
      <c r="E1727" s="4"/>
      <c r="F1727" s="4"/>
      <c r="G1727" s="4"/>
      <c r="H1727" s="4"/>
      <c r="I1727" s="4"/>
      <c r="J1727" s="4"/>
      <c r="K1727" s="4"/>
    </row>
    <row r="1728" spans="1:11" ht="13">
      <c r="A1728" s="4"/>
      <c r="B1728" s="4"/>
      <c r="C1728" s="4"/>
      <c r="D1728" s="4"/>
      <c r="E1728" s="4"/>
      <c r="F1728" s="4"/>
      <c r="G1728" s="4"/>
      <c r="H1728" s="4"/>
      <c r="I1728" s="4"/>
      <c r="J1728" s="4"/>
      <c r="K1728" s="4"/>
    </row>
    <row r="1729" spans="1:11" ht="13">
      <c r="A1729" s="4"/>
      <c r="B1729" s="4"/>
      <c r="C1729" s="4"/>
      <c r="D1729" s="4"/>
      <c r="E1729" s="4"/>
      <c r="F1729" s="4"/>
      <c r="G1729" s="4"/>
      <c r="H1729" s="4"/>
      <c r="I1729" s="4"/>
      <c r="J1729" s="4"/>
      <c r="K1729" s="4"/>
    </row>
    <row r="1730" spans="1:11" ht="13">
      <c r="A1730" s="4"/>
      <c r="B1730" s="4"/>
      <c r="C1730" s="4"/>
      <c r="D1730" s="4"/>
      <c r="E1730" s="4"/>
      <c r="F1730" s="4"/>
      <c r="G1730" s="4"/>
      <c r="H1730" s="4"/>
      <c r="I1730" s="4"/>
      <c r="J1730" s="4"/>
      <c r="K1730" s="4"/>
    </row>
    <row r="1731" spans="1:11" ht="13">
      <c r="A1731" s="4"/>
      <c r="B1731" s="4"/>
      <c r="C1731" s="4"/>
      <c r="D1731" s="4"/>
      <c r="E1731" s="4"/>
      <c r="F1731" s="4"/>
      <c r="G1731" s="4"/>
      <c r="H1731" s="4"/>
      <c r="I1731" s="4"/>
      <c r="J1731" s="4"/>
      <c r="K1731" s="4"/>
    </row>
    <row r="1732" spans="1:11" ht="13">
      <c r="A1732" s="4"/>
      <c r="B1732" s="4"/>
      <c r="C1732" s="4"/>
      <c r="D1732" s="4"/>
      <c r="E1732" s="4"/>
      <c r="F1732" s="4"/>
      <c r="G1732" s="4"/>
      <c r="H1732" s="4"/>
      <c r="I1732" s="4"/>
      <c r="J1732" s="4"/>
      <c r="K1732" s="4"/>
    </row>
    <row r="1733" spans="1:11" ht="13">
      <c r="A1733" s="4"/>
      <c r="B1733" s="4"/>
      <c r="C1733" s="4"/>
      <c r="D1733" s="4"/>
      <c r="E1733" s="4"/>
      <c r="F1733" s="4"/>
      <c r="G1733" s="4"/>
      <c r="H1733" s="4"/>
      <c r="I1733" s="4"/>
      <c r="J1733" s="4"/>
      <c r="K1733" s="4"/>
    </row>
    <row r="1734" spans="1:11" ht="13">
      <c r="A1734" s="4"/>
      <c r="B1734" s="4"/>
      <c r="C1734" s="4"/>
      <c r="D1734" s="4"/>
      <c r="E1734" s="4"/>
      <c r="F1734" s="4"/>
      <c r="G1734" s="4"/>
      <c r="H1734" s="4"/>
      <c r="I1734" s="4"/>
      <c r="J1734" s="4"/>
      <c r="K1734" s="4"/>
    </row>
    <row r="1735" spans="1:11" ht="13">
      <c r="A1735" s="4"/>
      <c r="B1735" s="4"/>
      <c r="C1735" s="4"/>
      <c r="D1735" s="4"/>
      <c r="E1735" s="4"/>
      <c r="F1735" s="4"/>
      <c r="G1735" s="4"/>
      <c r="H1735" s="4"/>
      <c r="I1735" s="4"/>
      <c r="J1735" s="4"/>
      <c r="K1735" s="4"/>
    </row>
    <row r="1736" spans="1:11" ht="13">
      <c r="A1736" s="4"/>
      <c r="B1736" s="4"/>
      <c r="C1736" s="4"/>
      <c r="D1736" s="4"/>
      <c r="E1736" s="4"/>
      <c r="F1736" s="4"/>
      <c r="G1736" s="4"/>
      <c r="H1736" s="4"/>
      <c r="I1736" s="4"/>
      <c r="J1736" s="4"/>
      <c r="K1736" s="4"/>
    </row>
    <row r="1737" spans="1:11" ht="13">
      <c r="A1737" s="4"/>
      <c r="B1737" s="4"/>
      <c r="C1737" s="4"/>
      <c r="D1737" s="4"/>
      <c r="E1737" s="4"/>
      <c r="F1737" s="4"/>
      <c r="G1737" s="4"/>
      <c r="H1737" s="4"/>
      <c r="I1737" s="4"/>
      <c r="J1737" s="4"/>
      <c r="K1737" s="4"/>
    </row>
    <row r="1738" spans="1:11" ht="13">
      <c r="A1738" s="4"/>
      <c r="B1738" s="4"/>
      <c r="C1738" s="4"/>
      <c r="D1738" s="4"/>
      <c r="E1738" s="4"/>
      <c r="F1738" s="4"/>
      <c r="G1738" s="4"/>
      <c r="H1738" s="4"/>
      <c r="I1738" s="4"/>
      <c r="J1738" s="4"/>
      <c r="K1738" s="4"/>
    </row>
    <row r="1739" spans="1:11" ht="13">
      <c r="A1739" s="4"/>
      <c r="B1739" s="4"/>
      <c r="C1739" s="4"/>
      <c r="D1739" s="4"/>
      <c r="E1739" s="4"/>
      <c r="F1739" s="4"/>
      <c r="G1739" s="4"/>
      <c r="H1739" s="4"/>
      <c r="I1739" s="4"/>
      <c r="J1739" s="4"/>
      <c r="K1739" s="4"/>
    </row>
    <row r="1740" spans="1:11" ht="13">
      <c r="A1740" s="4"/>
      <c r="B1740" s="4"/>
      <c r="C1740" s="4"/>
      <c r="D1740" s="4"/>
      <c r="E1740" s="4"/>
      <c r="F1740" s="4"/>
      <c r="G1740" s="4"/>
      <c r="H1740" s="4"/>
      <c r="I1740" s="4"/>
      <c r="J1740" s="4"/>
      <c r="K1740" s="4"/>
    </row>
    <row r="1741" spans="1:11" ht="13">
      <c r="A1741" s="4"/>
      <c r="B1741" s="4"/>
      <c r="C1741" s="4"/>
      <c r="D1741" s="4"/>
      <c r="E1741" s="4"/>
      <c r="F1741" s="4"/>
      <c r="G1741" s="4"/>
      <c r="H1741" s="4"/>
      <c r="I1741" s="4"/>
      <c r="J1741" s="4"/>
      <c r="K1741" s="4"/>
    </row>
    <row r="1742" spans="1:11" ht="13">
      <c r="A1742" s="4"/>
      <c r="B1742" s="4"/>
      <c r="C1742" s="4"/>
      <c r="D1742" s="4"/>
      <c r="E1742" s="4"/>
      <c r="F1742" s="4"/>
      <c r="G1742" s="4"/>
      <c r="H1742" s="4"/>
      <c r="I1742" s="4"/>
      <c r="J1742" s="4"/>
      <c r="K1742" s="4"/>
    </row>
    <row r="1743" spans="1:11" ht="13">
      <c r="A1743" s="4"/>
      <c r="B1743" s="4"/>
      <c r="C1743" s="4"/>
      <c r="D1743" s="4"/>
      <c r="E1743" s="4"/>
      <c r="F1743" s="4"/>
      <c r="G1743" s="4"/>
      <c r="H1743" s="4"/>
      <c r="I1743" s="4"/>
      <c r="J1743" s="4"/>
      <c r="K1743" s="4"/>
    </row>
    <row r="1744" spans="1:11" ht="13">
      <c r="A1744" s="4"/>
      <c r="B1744" s="4"/>
      <c r="C1744" s="4"/>
      <c r="D1744" s="4"/>
      <c r="E1744" s="4"/>
      <c r="F1744" s="4"/>
      <c r="G1744" s="4"/>
      <c r="H1744" s="4"/>
      <c r="I1744" s="4"/>
      <c r="J1744" s="4"/>
      <c r="K1744" s="4"/>
    </row>
    <row r="1745" spans="1:11" ht="13">
      <c r="A1745" s="4"/>
      <c r="B1745" s="4"/>
      <c r="C1745" s="4"/>
      <c r="D1745" s="4"/>
      <c r="E1745" s="4"/>
      <c r="F1745" s="4"/>
      <c r="G1745" s="4"/>
      <c r="H1745" s="4"/>
      <c r="I1745" s="4"/>
      <c r="J1745" s="4"/>
      <c r="K1745" s="4"/>
    </row>
    <row r="1746" spans="1:11" ht="13">
      <c r="A1746" s="4"/>
      <c r="B1746" s="4"/>
      <c r="C1746" s="4"/>
      <c r="D1746" s="4"/>
      <c r="E1746" s="4"/>
      <c r="F1746" s="4"/>
      <c r="G1746" s="4"/>
      <c r="H1746" s="4"/>
      <c r="I1746" s="4"/>
      <c r="J1746" s="4"/>
      <c r="K1746" s="4"/>
    </row>
    <row r="1747" spans="1:11" ht="13">
      <c r="A1747" s="4"/>
      <c r="B1747" s="4"/>
      <c r="C1747" s="4"/>
      <c r="D1747" s="4"/>
      <c r="E1747" s="4"/>
      <c r="F1747" s="4"/>
      <c r="G1747" s="4"/>
      <c r="H1747" s="4"/>
      <c r="I1747" s="4"/>
      <c r="J1747" s="4"/>
      <c r="K1747" s="4"/>
    </row>
    <row r="1748" spans="1:11" ht="13">
      <c r="A1748" s="4"/>
      <c r="B1748" s="4"/>
      <c r="C1748" s="4"/>
      <c r="D1748" s="4"/>
      <c r="E1748" s="4"/>
      <c r="F1748" s="4"/>
      <c r="G1748" s="4"/>
      <c r="H1748" s="4"/>
      <c r="I1748" s="4"/>
      <c r="J1748" s="4"/>
      <c r="K1748" s="4"/>
    </row>
    <row r="1749" spans="1:11" ht="13">
      <c r="A1749" s="4"/>
      <c r="B1749" s="4"/>
      <c r="C1749" s="4"/>
      <c r="D1749" s="4"/>
      <c r="E1749" s="4"/>
      <c r="F1749" s="4"/>
      <c r="G1749" s="4"/>
      <c r="H1749" s="4"/>
      <c r="I1749" s="4"/>
      <c r="J1749" s="4"/>
      <c r="K1749" s="4"/>
    </row>
    <row r="1750" spans="1:11" ht="13">
      <c r="A1750" s="4"/>
      <c r="B1750" s="4"/>
      <c r="C1750" s="4"/>
      <c r="D1750" s="4"/>
      <c r="E1750" s="4"/>
      <c r="F1750" s="4"/>
      <c r="G1750" s="4"/>
      <c r="H1750" s="4"/>
      <c r="I1750" s="4"/>
      <c r="J1750" s="4"/>
      <c r="K1750" s="4"/>
    </row>
    <row r="1751" spans="1:11" ht="13">
      <c r="A1751" s="4"/>
      <c r="B1751" s="4"/>
      <c r="C1751" s="4"/>
      <c r="D1751" s="4"/>
      <c r="E1751" s="4"/>
      <c r="F1751" s="4"/>
      <c r="G1751" s="4"/>
      <c r="H1751" s="4"/>
      <c r="I1751" s="4"/>
      <c r="J1751" s="4"/>
      <c r="K1751" s="4"/>
    </row>
    <row r="1752" spans="1:11" ht="13">
      <c r="A1752" s="4"/>
      <c r="B1752" s="4"/>
      <c r="C1752" s="4"/>
      <c r="D1752" s="4"/>
      <c r="E1752" s="4"/>
      <c r="F1752" s="4"/>
      <c r="G1752" s="4"/>
      <c r="H1752" s="4"/>
      <c r="I1752" s="4"/>
      <c r="J1752" s="4"/>
      <c r="K1752" s="4"/>
    </row>
    <row r="1753" spans="1:11" ht="13">
      <c r="A1753" s="4"/>
      <c r="B1753" s="4"/>
      <c r="C1753" s="4"/>
      <c r="D1753" s="4"/>
      <c r="E1753" s="4"/>
      <c r="F1753" s="4"/>
      <c r="G1753" s="4"/>
      <c r="H1753" s="4"/>
      <c r="I1753" s="4"/>
      <c r="J1753" s="4"/>
      <c r="K1753" s="4"/>
    </row>
    <row r="1754" spans="1:11" ht="13">
      <c r="A1754" s="4"/>
      <c r="B1754" s="4"/>
      <c r="C1754" s="4"/>
      <c r="D1754" s="4"/>
      <c r="E1754" s="4"/>
      <c r="F1754" s="4"/>
      <c r="G1754" s="4"/>
      <c r="H1754" s="4"/>
      <c r="I1754" s="4"/>
      <c r="J1754" s="4"/>
      <c r="K1754" s="4"/>
    </row>
    <row r="1755" spans="1:11" ht="13">
      <c r="A1755" s="4"/>
      <c r="B1755" s="4"/>
      <c r="C1755" s="4"/>
      <c r="D1755" s="4"/>
      <c r="E1755" s="4"/>
      <c r="F1755" s="4"/>
      <c r="G1755" s="4"/>
      <c r="H1755" s="4"/>
      <c r="I1755" s="4"/>
      <c r="J1755" s="4"/>
      <c r="K1755" s="4"/>
    </row>
    <row r="1756" spans="1:11" ht="13">
      <c r="A1756" s="4"/>
      <c r="B1756" s="4"/>
      <c r="C1756" s="4"/>
      <c r="D1756" s="4"/>
      <c r="E1756" s="4"/>
      <c r="F1756" s="4"/>
      <c r="G1756" s="4"/>
      <c r="H1756" s="4"/>
      <c r="I1756" s="4"/>
      <c r="J1756" s="4"/>
      <c r="K1756" s="4"/>
    </row>
    <row r="1757" spans="1:11" ht="13">
      <c r="A1757" s="4"/>
      <c r="B1757" s="4"/>
      <c r="C1757" s="4"/>
      <c r="D1757" s="4"/>
      <c r="E1757" s="4"/>
      <c r="F1757" s="4"/>
      <c r="G1757" s="4"/>
      <c r="H1757" s="4"/>
      <c r="I1757" s="4"/>
      <c r="J1757" s="4"/>
      <c r="K1757" s="4"/>
    </row>
    <row r="1758" spans="1:11" ht="13">
      <c r="A1758" s="4"/>
      <c r="B1758" s="4"/>
      <c r="C1758" s="4"/>
      <c r="D1758" s="4"/>
      <c r="E1758" s="4"/>
      <c r="F1758" s="4"/>
      <c r="G1758" s="4"/>
      <c r="H1758" s="4"/>
      <c r="I1758" s="4"/>
      <c r="J1758" s="4"/>
      <c r="K1758" s="4"/>
    </row>
    <row r="1759" spans="1:11" ht="13">
      <c r="A1759" s="4"/>
      <c r="B1759" s="4"/>
      <c r="C1759" s="4"/>
      <c r="D1759" s="4"/>
      <c r="E1759" s="4"/>
      <c r="F1759" s="4"/>
      <c r="G1759" s="4"/>
      <c r="H1759" s="4"/>
      <c r="I1759" s="4"/>
      <c r="J1759" s="4"/>
      <c r="K1759" s="4"/>
    </row>
    <row r="1760" spans="1:11" ht="13">
      <c r="A1760" s="4"/>
      <c r="B1760" s="4"/>
      <c r="C1760" s="4"/>
      <c r="D1760" s="4"/>
      <c r="E1760" s="4"/>
      <c r="F1760" s="4"/>
      <c r="G1760" s="4"/>
      <c r="H1760" s="4"/>
      <c r="I1760" s="4"/>
      <c r="J1760" s="4"/>
      <c r="K1760" s="4"/>
    </row>
    <row r="1761" spans="1:11" ht="13">
      <c r="A1761" s="4"/>
      <c r="B1761" s="4"/>
      <c r="C1761" s="4"/>
      <c r="D1761" s="4"/>
      <c r="E1761" s="4"/>
      <c r="F1761" s="4"/>
      <c r="G1761" s="4"/>
      <c r="H1761" s="4"/>
      <c r="I1761" s="4"/>
      <c r="J1761" s="4"/>
      <c r="K1761" s="4"/>
    </row>
    <row r="1762" spans="1:11" ht="13">
      <c r="A1762" s="4"/>
      <c r="B1762" s="4"/>
      <c r="C1762" s="4"/>
      <c r="D1762" s="4"/>
      <c r="E1762" s="4"/>
      <c r="F1762" s="4"/>
      <c r="G1762" s="4"/>
      <c r="H1762" s="4"/>
      <c r="I1762" s="4"/>
      <c r="J1762" s="4"/>
      <c r="K1762" s="4"/>
    </row>
    <row r="1763" spans="1:11" ht="13">
      <c r="A1763" s="4"/>
      <c r="B1763" s="4"/>
      <c r="C1763" s="4"/>
      <c r="D1763" s="4"/>
      <c r="E1763" s="4"/>
      <c r="F1763" s="4"/>
      <c r="G1763" s="4"/>
      <c r="H1763" s="4"/>
      <c r="I1763" s="4"/>
      <c r="J1763" s="4"/>
      <c r="K1763" s="4"/>
    </row>
    <row r="1764" spans="1:11" ht="13">
      <c r="A1764" s="4"/>
      <c r="B1764" s="4"/>
      <c r="C1764" s="4"/>
      <c r="D1764" s="4"/>
      <c r="E1764" s="4"/>
      <c r="F1764" s="4"/>
      <c r="G1764" s="4"/>
      <c r="H1764" s="4"/>
      <c r="I1764" s="4"/>
      <c r="J1764" s="4"/>
      <c r="K1764" s="4"/>
    </row>
    <row r="1765" spans="1:11" ht="13">
      <c r="A1765" s="4"/>
      <c r="B1765" s="4"/>
      <c r="C1765" s="4"/>
      <c r="D1765" s="4"/>
      <c r="E1765" s="4"/>
      <c r="F1765" s="4"/>
      <c r="G1765" s="4"/>
      <c r="H1765" s="4"/>
      <c r="I1765" s="4"/>
      <c r="J1765" s="4"/>
      <c r="K1765" s="4"/>
    </row>
    <row r="1766" spans="1:11" ht="13">
      <c r="A1766" s="4"/>
      <c r="B1766" s="4"/>
      <c r="C1766" s="4"/>
      <c r="D1766" s="4"/>
      <c r="E1766" s="4"/>
      <c r="F1766" s="4"/>
      <c r="G1766" s="4"/>
      <c r="H1766" s="4"/>
      <c r="I1766" s="4"/>
      <c r="J1766" s="4"/>
      <c r="K1766" s="4"/>
    </row>
    <row r="1767" spans="1:11" ht="13">
      <c r="A1767" s="4"/>
      <c r="B1767" s="4"/>
      <c r="C1767" s="4"/>
      <c r="D1767" s="4"/>
      <c r="E1767" s="4"/>
      <c r="F1767" s="4"/>
      <c r="G1767" s="4"/>
      <c r="H1767" s="4"/>
      <c r="I1767" s="4"/>
      <c r="J1767" s="4"/>
      <c r="K1767" s="4"/>
    </row>
    <row r="1768" spans="1:11" ht="13">
      <c r="A1768" s="4"/>
      <c r="B1768" s="4"/>
      <c r="C1768" s="4"/>
      <c r="D1768" s="4"/>
      <c r="E1768" s="4"/>
      <c r="F1768" s="4"/>
      <c r="G1768" s="4"/>
      <c r="H1768" s="4"/>
      <c r="I1768" s="4"/>
      <c r="J1768" s="4"/>
      <c r="K1768" s="4"/>
    </row>
    <row r="1769" spans="1:11" ht="13">
      <c r="A1769" s="4"/>
      <c r="B1769" s="4"/>
      <c r="C1769" s="4"/>
      <c r="D1769" s="4"/>
      <c r="E1769" s="4"/>
      <c r="F1769" s="4"/>
      <c r="G1769" s="4"/>
      <c r="H1769" s="4"/>
      <c r="I1769" s="4"/>
      <c r="J1769" s="4"/>
      <c r="K1769" s="4"/>
    </row>
    <row r="1770" spans="1:11" ht="13">
      <c r="A1770" s="4"/>
      <c r="B1770" s="4"/>
      <c r="C1770" s="4"/>
      <c r="D1770" s="4"/>
      <c r="E1770" s="4"/>
      <c r="F1770" s="4"/>
      <c r="G1770" s="4"/>
      <c r="H1770" s="4"/>
      <c r="I1770" s="4"/>
      <c r="J1770" s="4"/>
      <c r="K1770" s="4"/>
    </row>
    <row r="1771" spans="1:11" ht="13">
      <c r="A1771" s="4"/>
      <c r="B1771" s="4"/>
      <c r="C1771" s="4"/>
      <c r="D1771" s="4"/>
      <c r="E1771" s="4"/>
      <c r="F1771" s="4"/>
      <c r="G1771" s="4"/>
      <c r="H1771" s="4"/>
      <c r="I1771" s="4"/>
      <c r="J1771" s="4"/>
      <c r="K1771" s="4"/>
    </row>
    <row r="1772" spans="1:11" ht="13">
      <c r="A1772" s="4"/>
      <c r="B1772" s="4"/>
      <c r="C1772" s="4"/>
      <c r="D1772" s="4"/>
      <c r="E1772" s="4"/>
      <c r="F1772" s="4"/>
      <c r="G1772" s="4"/>
      <c r="H1772" s="4"/>
      <c r="I1772" s="4"/>
      <c r="J1772" s="4"/>
      <c r="K1772" s="4"/>
    </row>
    <row r="1773" spans="1:11" ht="13">
      <c r="A1773" s="4"/>
      <c r="B1773" s="4"/>
      <c r="C1773" s="4"/>
      <c r="D1773" s="4"/>
      <c r="E1773" s="4"/>
      <c r="F1773" s="4"/>
      <c r="G1773" s="4"/>
      <c r="H1773" s="4"/>
      <c r="I1773" s="4"/>
      <c r="J1773" s="4"/>
      <c r="K1773" s="4"/>
    </row>
    <row r="1774" spans="1:11" ht="13">
      <c r="A1774" s="4"/>
      <c r="B1774" s="4"/>
      <c r="C1774" s="4"/>
      <c r="D1774" s="4"/>
      <c r="E1774" s="4"/>
      <c r="F1774" s="4"/>
      <c r="G1774" s="4"/>
      <c r="H1774" s="4"/>
      <c r="I1774" s="4"/>
      <c r="J1774" s="4"/>
      <c r="K1774" s="4"/>
    </row>
    <row r="1775" spans="1:11" ht="13">
      <c r="A1775" s="4"/>
      <c r="B1775" s="4"/>
      <c r="C1775" s="4"/>
      <c r="D1775" s="4"/>
      <c r="E1775" s="4"/>
      <c r="F1775" s="4"/>
      <c r="G1775" s="4"/>
      <c r="H1775" s="4"/>
      <c r="I1775" s="4"/>
      <c r="J1775" s="4"/>
      <c r="K1775" s="4"/>
    </row>
    <row r="1776" spans="1:11" ht="13">
      <c r="A1776" s="4"/>
      <c r="B1776" s="4"/>
      <c r="C1776" s="4"/>
      <c r="D1776" s="4"/>
      <c r="E1776" s="4"/>
      <c r="F1776" s="4"/>
      <c r="G1776" s="4"/>
      <c r="H1776" s="4"/>
      <c r="I1776" s="4"/>
      <c r="J1776" s="4"/>
      <c r="K1776" s="4"/>
    </row>
    <row r="1777" spans="1:11" ht="13">
      <c r="A1777" s="4"/>
      <c r="B1777" s="4"/>
      <c r="C1777" s="4"/>
      <c r="D1777" s="4"/>
      <c r="E1777" s="4"/>
      <c r="F1777" s="4"/>
      <c r="G1777" s="4"/>
      <c r="H1777" s="4"/>
      <c r="I1777" s="4"/>
      <c r="J1777" s="4"/>
      <c r="K1777" s="4"/>
    </row>
    <row r="1778" spans="1:11" ht="13">
      <c r="A1778" s="4"/>
      <c r="B1778" s="4"/>
      <c r="C1778" s="4"/>
      <c r="D1778" s="4"/>
      <c r="E1778" s="4"/>
      <c r="F1778" s="4"/>
      <c r="G1778" s="4"/>
      <c r="H1778" s="4"/>
      <c r="I1778" s="4"/>
      <c r="J1778" s="4"/>
      <c r="K1778" s="4"/>
    </row>
    <row r="1779" spans="1:11" ht="13">
      <c r="A1779" s="4"/>
      <c r="B1779" s="4"/>
      <c r="C1779" s="4"/>
      <c r="D1779" s="4"/>
      <c r="E1779" s="4"/>
      <c r="F1779" s="4"/>
      <c r="G1779" s="4"/>
      <c r="H1779" s="4"/>
      <c r="I1779" s="4"/>
      <c r="J1779" s="4"/>
      <c r="K1779" s="4"/>
    </row>
    <row r="1780" spans="1:11" ht="13">
      <c r="A1780" s="4"/>
      <c r="B1780" s="4"/>
      <c r="C1780" s="4"/>
      <c r="D1780" s="4"/>
      <c r="E1780" s="4"/>
      <c r="F1780" s="4"/>
      <c r="G1780" s="4"/>
      <c r="H1780" s="4"/>
      <c r="I1780" s="4"/>
      <c r="J1780" s="4"/>
      <c r="K1780" s="4"/>
    </row>
    <row r="1781" spans="1:11" ht="13">
      <c r="A1781" s="4"/>
      <c r="B1781" s="4"/>
      <c r="C1781" s="4"/>
      <c r="D1781" s="4"/>
      <c r="E1781" s="4"/>
      <c r="F1781" s="4"/>
      <c r="G1781" s="4"/>
      <c r="H1781" s="4"/>
      <c r="I1781" s="4"/>
      <c r="J1781" s="4"/>
      <c r="K1781" s="4"/>
    </row>
    <row r="1782" spans="1:11" ht="13">
      <c r="A1782" s="4"/>
      <c r="B1782" s="4"/>
      <c r="C1782" s="4"/>
      <c r="D1782" s="4"/>
      <c r="E1782" s="4"/>
      <c r="F1782" s="4"/>
      <c r="G1782" s="4"/>
      <c r="H1782" s="4"/>
      <c r="I1782" s="4"/>
      <c r="J1782" s="4"/>
      <c r="K1782" s="4"/>
    </row>
    <row r="1783" spans="1:11" ht="13">
      <c r="A1783" s="4"/>
      <c r="B1783" s="4"/>
      <c r="C1783" s="4"/>
      <c r="D1783" s="4"/>
      <c r="E1783" s="4"/>
      <c r="F1783" s="4"/>
      <c r="G1783" s="4"/>
      <c r="H1783" s="4"/>
      <c r="I1783" s="4"/>
      <c r="J1783" s="4"/>
      <c r="K1783" s="4"/>
    </row>
    <row r="1784" spans="1:11" ht="13">
      <c r="A1784" s="4"/>
      <c r="B1784" s="4"/>
      <c r="C1784" s="4"/>
      <c r="D1784" s="4"/>
      <c r="E1784" s="4"/>
      <c r="F1784" s="4"/>
      <c r="G1784" s="4"/>
      <c r="H1784" s="4"/>
      <c r="I1784" s="4"/>
      <c r="J1784" s="4"/>
      <c r="K1784" s="4"/>
    </row>
    <row r="1785" spans="1:11" ht="13">
      <c r="A1785" s="4"/>
      <c r="B1785" s="4"/>
      <c r="C1785" s="4"/>
      <c r="D1785" s="4"/>
      <c r="E1785" s="4"/>
      <c r="F1785" s="4"/>
      <c r="G1785" s="4"/>
      <c r="H1785" s="4"/>
      <c r="I1785" s="4"/>
      <c r="J1785" s="4"/>
      <c r="K1785" s="4"/>
    </row>
    <row r="1786" spans="1:11" ht="13">
      <c r="A1786" s="4"/>
      <c r="B1786" s="4"/>
      <c r="C1786" s="4"/>
      <c r="D1786" s="4"/>
      <c r="E1786" s="4"/>
      <c r="F1786" s="4"/>
      <c r="G1786" s="4"/>
      <c r="H1786" s="4"/>
      <c r="I1786" s="4"/>
      <c r="J1786" s="4"/>
      <c r="K1786" s="4"/>
    </row>
    <row r="1787" spans="1:11" ht="13">
      <c r="A1787" s="4"/>
      <c r="B1787" s="4"/>
      <c r="C1787" s="4"/>
      <c r="D1787" s="4"/>
      <c r="E1787" s="4"/>
      <c r="F1787" s="4"/>
      <c r="G1787" s="4"/>
      <c r="H1787" s="4"/>
      <c r="I1787" s="4"/>
      <c r="J1787" s="4"/>
      <c r="K1787" s="4"/>
    </row>
    <row r="1788" spans="1:11" ht="13">
      <c r="A1788" s="4"/>
      <c r="B1788" s="4"/>
      <c r="C1788" s="4"/>
      <c r="D1788" s="4"/>
      <c r="E1788" s="4"/>
      <c r="F1788" s="4"/>
      <c r="G1788" s="4"/>
      <c r="H1788" s="4"/>
      <c r="I1788" s="4"/>
      <c r="J1788" s="4"/>
      <c r="K1788" s="4"/>
    </row>
    <row r="1789" spans="1:11" ht="13">
      <c r="A1789" s="4"/>
      <c r="B1789" s="4"/>
      <c r="C1789" s="4"/>
      <c r="D1789" s="4"/>
      <c r="E1789" s="4"/>
      <c r="F1789" s="4"/>
      <c r="G1789" s="4"/>
      <c r="H1789" s="4"/>
      <c r="I1789" s="4"/>
      <c r="J1789" s="4"/>
      <c r="K1789" s="4"/>
    </row>
    <row r="1790" spans="1:11" ht="13">
      <c r="A1790" s="4"/>
      <c r="B1790" s="4"/>
      <c r="C1790" s="4"/>
      <c r="D1790" s="4"/>
      <c r="E1790" s="4"/>
      <c r="F1790" s="4"/>
      <c r="G1790" s="4"/>
      <c r="H1790" s="4"/>
      <c r="I1790" s="4"/>
      <c r="J1790" s="4"/>
      <c r="K1790" s="4"/>
    </row>
    <row r="1791" spans="1:11" ht="13">
      <c r="A1791" s="4"/>
      <c r="B1791" s="4"/>
      <c r="C1791" s="4"/>
      <c r="D1791" s="4"/>
      <c r="E1791" s="4"/>
      <c r="F1791" s="4"/>
      <c r="G1791" s="4"/>
      <c r="H1791" s="4"/>
      <c r="I1791" s="4"/>
      <c r="J1791" s="4"/>
      <c r="K1791" s="4"/>
    </row>
    <row r="1792" spans="1:11" ht="13">
      <c r="A1792" s="4"/>
      <c r="B1792" s="4"/>
      <c r="C1792" s="4"/>
      <c r="D1792" s="4"/>
      <c r="E1792" s="4"/>
      <c r="F1792" s="4"/>
      <c r="G1792" s="4"/>
      <c r="H1792" s="4"/>
      <c r="I1792" s="4"/>
      <c r="J1792" s="4"/>
      <c r="K1792" s="4"/>
    </row>
    <row r="1793" spans="1:11" ht="13">
      <c r="A1793" s="4"/>
      <c r="B1793" s="4"/>
      <c r="C1793" s="4"/>
      <c r="D1793" s="4"/>
      <c r="E1793" s="4"/>
      <c r="F1793" s="4"/>
      <c r="G1793" s="4"/>
      <c r="H1793" s="4"/>
      <c r="I1793" s="4"/>
      <c r="J1793" s="4"/>
      <c r="K1793" s="4"/>
    </row>
    <row r="1794" spans="1:11" ht="13">
      <c r="A1794" s="4"/>
      <c r="B1794" s="4"/>
      <c r="C1794" s="4"/>
      <c r="D1794" s="4"/>
      <c r="E1794" s="4"/>
      <c r="F1794" s="4"/>
      <c r="G1794" s="4"/>
      <c r="H1794" s="4"/>
      <c r="I1794" s="4"/>
      <c r="J1794" s="4"/>
      <c r="K1794" s="4"/>
    </row>
    <row r="1795" spans="1:11" ht="13">
      <c r="A1795" s="4"/>
      <c r="B1795" s="4"/>
      <c r="C1795" s="4"/>
      <c r="D1795" s="4"/>
      <c r="E1795" s="4"/>
      <c r="F1795" s="4"/>
      <c r="G1795" s="4"/>
      <c r="H1795" s="4"/>
      <c r="I1795" s="4"/>
      <c r="J1795" s="4"/>
      <c r="K1795" s="4"/>
    </row>
    <row r="1796" spans="1:11" ht="13">
      <c r="A1796" s="4"/>
      <c r="B1796" s="4"/>
      <c r="C1796" s="4"/>
      <c r="D1796" s="4"/>
      <c r="E1796" s="4"/>
      <c r="F1796" s="4"/>
      <c r="G1796" s="4"/>
      <c r="H1796" s="4"/>
      <c r="I1796" s="4"/>
      <c r="J1796" s="4"/>
      <c r="K1796" s="4"/>
    </row>
    <row r="1797" spans="1:11" ht="13">
      <c r="A1797" s="4"/>
      <c r="B1797" s="4"/>
      <c r="C1797" s="4"/>
      <c r="D1797" s="4"/>
      <c r="E1797" s="4"/>
      <c r="F1797" s="4"/>
      <c r="G1797" s="4"/>
      <c r="H1797" s="4"/>
      <c r="I1797" s="4"/>
      <c r="J1797" s="4"/>
      <c r="K1797" s="4"/>
    </row>
    <row r="1798" spans="1:11" ht="13">
      <c r="A1798" s="4"/>
      <c r="B1798" s="4"/>
      <c r="C1798" s="4"/>
      <c r="D1798" s="4"/>
      <c r="E1798" s="4"/>
      <c r="F1798" s="4"/>
      <c r="G1798" s="4"/>
      <c r="H1798" s="4"/>
      <c r="I1798" s="4"/>
      <c r="J1798" s="4"/>
      <c r="K1798" s="4"/>
    </row>
    <row r="1799" spans="1:11" ht="13">
      <c r="A1799" s="4"/>
      <c r="B1799" s="4"/>
      <c r="C1799" s="4"/>
      <c r="D1799" s="4"/>
      <c r="E1799" s="4"/>
      <c r="F1799" s="4"/>
      <c r="G1799" s="4"/>
      <c r="H1799" s="4"/>
      <c r="I1799" s="4"/>
      <c r="J1799" s="4"/>
      <c r="K1799" s="4"/>
    </row>
    <row r="1800" spans="1:11" ht="13">
      <c r="A1800" s="4"/>
      <c r="B1800" s="4"/>
      <c r="C1800" s="4"/>
      <c r="D1800" s="4"/>
      <c r="E1800" s="4"/>
      <c r="F1800" s="4"/>
      <c r="G1800" s="4"/>
      <c r="H1800" s="4"/>
      <c r="I1800" s="4"/>
      <c r="J1800" s="4"/>
      <c r="K1800" s="4"/>
    </row>
    <row r="1801" spans="1:11" ht="13">
      <c r="A1801" s="4"/>
      <c r="B1801" s="4"/>
      <c r="C1801" s="4"/>
      <c r="D1801" s="4"/>
      <c r="E1801" s="4"/>
      <c r="F1801" s="4"/>
      <c r="G1801" s="4"/>
      <c r="H1801" s="4"/>
      <c r="I1801" s="4"/>
      <c r="J1801" s="4"/>
      <c r="K1801" s="4"/>
    </row>
    <row r="1802" spans="1:11" ht="13">
      <c r="A1802" s="4"/>
      <c r="B1802" s="4"/>
      <c r="C1802" s="4"/>
      <c r="D1802" s="4"/>
      <c r="E1802" s="4"/>
      <c r="F1802" s="4"/>
      <c r="G1802" s="4"/>
      <c r="H1802" s="4"/>
      <c r="I1802" s="4"/>
      <c r="J1802" s="4"/>
      <c r="K1802" s="4"/>
    </row>
    <row r="1803" spans="1:11" ht="13">
      <c r="A1803" s="4"/>
      <c r="B1803" s="4"/>
      <c r="C1803" s="4"/>
      <c r="D1803" s="4"/>
      <c r="E1803" s="4"/>
      <c r="F1803" s="4"/>
      <c r="G1803" s="4"/>
      <c r="H1803" s="4"/>
      <c r="I1803" s="4"/>
      <c r="J1803" s="4"/>
      <c r="K1803" s="4"/>
    </row>
    <row r="1804" spans="1:11" ht="13">
      <c r="A1804" s="4"/>
      <c r="B1804" s="4"/>
      <c r="C1804" s="4"/>
      <c r="D1804" s="4"/>
      <c r="E1804" s="4"/>
      <c r="F1804" s="4"/>
      <c r="G1804" s="4"/>
      <c r="H1804" s="4"/>
      <c r="I1804" s="4"/>
      <c r="J1804" s="4"/>
      <c r="K1804" s="4"/>
    </row>
    <row r="1805" spans="1:11" ht="13">
      <c r="A1805" s="4"/>
      <c r="B1805" s="4"/>
      <c r="C1805" s="4"/>
      <c r="D1805" s="4"/>
      <c r="E1805" s="4"/>
      <c r="F1805" s="4"/>
      <c r="G1805" s="4"/>
      <c r="H1805" s="4"/>
      <c r="I1805" s="4"/>
      <c r="J1805" s="4"/>
      <c r="K1805" s="4"/>
    </row>
    <row r="1806" spans="1:11" ht="13">
      <c r="A1806" s="4"/>
      <c r="B1806" s="4"/>
      <c r="C1806" s="4"/>
      <c r="D1806" s="4"/>
      <c r="E1806" s="4"/>
      <c r="F1806" s="4"/>
      <c r="G1806" s="4"/>
      <c r="H1806" s="4"/>
      <c r="I1806" s="4"/>
      <c r="J1806" s="4"/>
      <c r="K1806" s="4"/>
    </row>
    <row r="1807" spans="1:11" ht="13">
      <c r="A1807" s="4"/>
      <c r="B1807" s="4"/>
      <c r="C1807" s="4"/>
      <c r="D1807" s="4"/>
      <c r="E1807" s="4"/>
      <c r="F1807" s="4"/>
      <c r="G1807" s="4"/>
      <c r="H1807" s="4"/>
      <c r="I1807" s="4"/>
      <c r="J1807" s="4"/>
      <c r="K1807" s="4"/>
    </row>
    <row r="1808" spans="1:11" ht="13">
      <c r="A1808" s="4"/>
      <c r="B1808" s="4"/>
      <c r="C1808" s="4"/>
      <c r="D1808" s="4"/>
      <c r="E1808" s="4"/>
      <c r="F1808" s="4"/>
      <c r="G1808" s="4"/>
      <c r="H1808" s="4"/>
      <c r="I1808" s="4"/>
      <c r="J1808" s="4"/>
      <c r="K1808" s="4"/>
    </row>
    <row r="1809" spans="1:11" ht="13">
      <c r="A1809" s="4"/>
      <c r="B1809" s="4"/>
      <c r="C1809" s="4"/>
      <c r="D1809" s="4"/>
      <c r="E1809" s="4"/>
      <c r="F1809" s="4"/>
      <c r="G1809" s="4"/>
      <c r="H1809" s="4"/>
      <c r="I1809" s="4"/>
      <c r="J1809" s="4"/>
      <c r="K1809" s="4"/>
    </row>
    <row r="1810" spans="1:11" ht="13">
      <c r="A1810" s="4"/>
      <c r="B1810" s="4"/>
      <c r="C1810" s="4"/>
      <c r="D1810" s="4"/>
      <c r="E1810" s="4"/>
      <c r="F1810" s="4"/>
      <c r="G1810" s="4"/>
      <c r="H1810" s="4"/>
      <c r="I1810" s="4"/>
      <c r="J1810" s="4"/>
      <c r="K1810" s="4"/>
    </row>
    <row r="1811" spans="1:11" ht="13">
      <c r="A1811" s="4"/>
      <c r="B1811" s="4"/>
      <c r="C1811" s="4"/>
      <c r="D1811" s="4"/>
      <c r="E1811" s="4"/>
      <c r="F1811" s="4"/>
      <c r="G1811" s="4"/>
      <c r="H1811" s="4"/>
      <c r="I1811" s="4"/>
      <c r="J1811" s="4"/>
      <c r="K1811" s="4"/>
    </row>
    <row r="1812" spans="1:11" ht="13">
      <c r="A1812" s="4"/>
      <c r="B1812" s="4"/>
      <c r="C1812" s="4"/>
      <c r="D1812" s="4"/>
      <c r="E1812" s="4"/>
      <c r="F1812" s="4"/>
      <c r="G1812" s="4"/>
      <c r="H1812" s="4"/>
      <c r="I1812" s="4"/>
      <c r="J1812" s="4"/>
      <c r="K1812" s="4"/>
    </row>
    <row r="1813" spans="1:11" ht="13">
      <c r="A1813" s="4"/>
      <c r="B1813" s="4"/>
      <c r="C1813" s="4"/>
      <c r="D1813" s="4"/>
      <c r="E1813" s="4"/>
      <c r="F1813" s="4"/>
      <c r="G1813" s="4"/>
      <c r="H1813" s="4"/>
      <c r="I1813" s="4"/>
      <c r="J1813" s="4"/>
      <c r="K1813" s="4"/>
    </row>
    <row r="1814" spans="1:11" ht="13">
      <c r="A1814" s="4"/>
      <c r="B1814" s="4"/>
      <c r="C1814" s="4"/>
      <c r="D1814" s="4"/>
      <c r="E1814" s="4"/>
      <c r="F1814" s="4"/>
      <c r="G1814" s="4"/>
      <c r="H1814" s="4"/>
      <c r="I1814" s="4"/>
      <c r="J1814" s="4"/>
      <c r="K1814" s="4"/>
    </row>
    <row r="1815" spans="1:11" ht="13">
      <c r="A1815" s="4"/>
      <c r="B1815" s="4"/>
      <c r="C1815" s="4"/>
      <c r="D1815" s="4"/>
      <c r="E1815" s="4"/>
      <c r="F1815" s="4"/>
      <c r="G1815" s="4"/>
      <c r="H1815" s="4"/>
      <c r="I1815" s="4"/>
      <c r="J1815" s="4"/>
      <c r="K1815" s="4"/>
    </row>
    <row r="1816" spans="1:11" ht="13">
      <c r="A1816" s="4"/>
      <c r="B1816" s="4"/>
      <c r="C1816" s="4"/>
      <c r="D1816" s="4"/>
      <c r="E1816" s="4"/>
      <c r="F1816" s="4"/>
      <c r="G1816" s="4"/>
      <c r="H1816" s="4"/>
      <c r="I1816" s="4"/>
      <c r="J1816" s="4"/>
      <c r="K1816" s="4"/>
    </row>
    <row r="1817" spans="1:11" ht="13">
      <c r="A1817" s="4"/>
      <c r="B1817" s="4"/>
      <c r="C1817" s="4"/>
      <c r="D1817" s="4"/>
      <c r="E1817" s="4"/>
      <c r="F1817" s="4"/>
      <c r="G1817" s="4"/>
      <c r="H1817" s="4"/>
      <c r="I1817" s="4"/>
      <c r="J1817" s="4"/>
      <c r="K1817" s="4"/>
    </row>
    <row r="1818" spans="1:11" ht="13">
      <c r="A1818" s="4"/>
      <c r="B1818" s="4"/>
      <c r="C1818" s="4"/>
      <c r="D1818" s="4"/>
      <c r="E1818" s="4"/>
      <c r="F1818" s="4"/>
      <c r="G1818" s="4"/>
      <c r="H1818" s="4"/>
      <c r="I1818" s="4"/>
      <c r="J1818" s="4"/>
      <c r="K1818" s="4"/>
    </row>
    <row r="1819" spans="1:11" ht="13">
      <c r="A1819" s="4"/>
      <c r="B1819" s="4"/>
      <c r="C1819" s="4"/>
      <c r="D1819" s="4"/>
      <c r="E1819" s="4"/>
      <c r="F1819" s="4"/>
      <c r="G1819" s="4"/>
      <c r="H1819" s="4"/>
      <c r="I1819" s="4"/>
      <c r="J1819" s="4"/>
      <c r="K1819" s="4"/>
    </row>
    <row r="1820" spans="1:11" ht="13">
      <c r="A1820" s="4"/>
      <c r="B1820" s="4"/>
      <c r="C1820" s="4"/>
      <c r="D1820" s="4"/>
      <c r="E1820" s="4"/>
      <c r="F1820" s="4"/>
      <c r="G1820" s="4"/>
      <c r="H1820" s="4"/>
      <c r="I1820" s="4"/>
      <c r="J1820" s="4"/>
      <c r="K1820" s="4"/>
    </row>
    <row r="1821" spans="1:11" ht="13">
      <c r="A1821" s="4"/>
      <c r="B1821" s="4"/>
      <c r="C1821" s="4"/>
      <c r="D1821" s="4"/>
      <c r="E1821" s="4"/>
      <c r="F1821" s="4"/>
      <c r="G1821" s="4"/>
      <c r="H1821" s="4"/>
      <c r="I1821" s="4"/>
      <c r="J1821" s="4"/>
      <c r="K1821" s="4"/>
    </row>
    <row r="1822" spans="1:11" ht="13">
      <c r="A1822" s="4"/>
      <c r="B1822" s="4"/>
      <c r="C1822" s="4"/>
      <c r="D1822" s="4"/>
      <c r="E1822" s="4"/>
      <c r="F1822" s="4"/>
      <c r="G1822" s="4"/>
      <c r="H1822" s="4"/>
      <c r="I1822" s="4"/>
      <c r="J1822" s="4"/>
      <c r="K1822" s="4"/>
    </row>
    <row r="1823" spans="1:11" ht="13">
      <c r="A1823" s="4"/>
      <c r="B1823" s="4"/>
      <c r="C1823" s="4"/>
      <c r="D1823" s="4"/>
      <c r="E1823" s="4"/>
      <c r="F1823" s="4"/>
      <c r="G1823" s="4"/>
      <c r="H1823" s="4"/>
      <c r="I1823" s="4"/>
      <c r="J1823" s="4"/>
      <c r="K1823" s="4"/>
    </row>
    <row r="1824" spans="1:11" ht="13">
      <c r="A1824" s="4"/>
      <c r="B1824" s="4"/>
      <c r="C1824" s="4"/>
      <c r="D1824" s="4"/>
      <c r="E1824" s="4"/>
      <c r="F1824" s="4"/>
      <c r="G1824" s="4"/>
      <c r="H1824" s="4"/>
      <c r="I1824" s="4"/>
      <c r="J1824" s="4"/>
      <c r="K1824" s="4"/>
    </row>
    <row r="1825" spans="1:11" ht="13">
      <c r="A1825" s="4"/>
      <c r="B1825" s="4"/>
      <c r="C1825" s="4"/>
      <c r="D1825" s="4"/>
      <c r="E1825" s="4"/>
      <c r="F1825" s="4"/>
      <c r="G1825" s="4"/>
      <c r="H1825" s="4"/>
      <c r="I1825" s="4"/>
      <c r="J1825" s="4"/>
      <c r="K1825" s="4"/>
    </row>
    <row r="1826" spans="1:11" ht="13">
      <c r="A1826" s="4"/>
      <c r="B1826" s="4"/>
      <c r="C1826" s="4"/>
      <c r="D1826" s="4"/>
      <c r="E1826" s="4"/>
      <c r="F1826" s="4"/>
      <c r="G1826" s="4"/>
      <c r="H1826" s="4"/>
      <c r="I1826" s="4"/>
      <c r="J1826" s="4"/>
      <c r="K1826" s="4"/>
    </row>
    <row r="1827" spans="1:11" ht="13">
      <c r="A1827" s="4"/>
      <c r="B1827" s="4"/>
      <c r="C1827" s="4"/>
      <c r="D1827" s="4"/>
      <c r="E1827" s="4"/>
      <c r="F1827" s="4"/>
      <c r="G1827" s="4"/>
      <c r="H1827" s="4"/>
      <c r="I1827" s="4"/>
      <c r="J1827" s="4"/>
      <c r="K1827" s="4"/>
    </row>
    <row r="1828" spans="1:11" ht="13">
      <c r="A1828" s="4"/>
      <c r="B1828" s="4"/>
      <c r="C1828" s="4"/>
      <c r="D1828" s="4"/>
      <c r="E1828" s="4"/>
      <c r="F1828" s="4"/>
      <c r="G1828" s="4"/>
      <c r="H1828" s="4"/>
      <c r="I1828" s="4"/>
      <c r="J1828" s="4"/>
      <c r="K1828" s="4"/>
    </row>
    <row r="1829" spans="1:11" ht="13">
      <c r="A1829" s="4"/>
      <c r="B1829" s="4"/>
      <c r="C1829" s="4"/>
      <c r="D1829" s="4"/>
      <c r="E1829" s="4"/>
      <c r="F1829" s="4"/>
      <c r="G1829" s="4"/>
      <c r="H1829" s="4"/>
      <c r="I1829" s="4"/>
      <c r="J1829" s="4"/>
      <c r="K1829" s="4"/>
    </row>
    <row r="1830" spans="1:11" ht="13">
      <c r="A1830" s="4"/>
      <c r="B1830" s="4"/>
      <c r="C1830" s="4"/>
      <c r="D1830" s="4"/>
      <c r="E1830" s="4"/>
      <c r="F1830" s="4"/>
      <c r="G1830" s="4"/>
      <c r="H1830" s="4"/>
      <c r="I1830" s="4"/>
      <c r="J1830" s="4"/>
      <c r="K1830" s="4"/>
    </row>
    <row r="1831" spans="1:11" ht="13">
      <c r="A1831" s="4"/>
      <c r="B1831" s="4"/>
      <c r="C1831" s="4"/>
      <c r="D1831" s="4"/>
      <c r="E1831" s="4"/>
      <c r="F1831" s="4"/>
      <c r="G1831" s="4"/>
      <c r="H1831" s="4"/>
      <c r="I1831" s="4"/>
      <c r="J1831" s="4"/>
      <c r="K1831" s="4"/>
    </row>
    <row r="1832" spans="1:11" ht="13">
      <c r="A1832" s="4"/>
      <c r="B1832" s="4"/>
      <c r="C1832" s="4"/>
      <c r="D1832" s="4"/>
      <c r="E1832" s="4"/>
      <c r="F1832" s="4"/>
      <c r="G1832" s="4"/>
      <c r="H1832" s="4"/>
      <c r="I1832" s="4"/>
      <c r="J1832" s="4"/>
      <c r="K1832" s="4"/>
    </row>
    <row r="1833" spans="1:11" ht="13">
      <c r="A1833" s="4"/>
      <c r="B1833" s="4"/>
      <c r="C1833" s="4"/>
      <c r="D1833" s="4"/>
      <c r="E1833" s="4"/>
      <c r="F1833" s="4"/>
      <c r="G1833" s="4"/>
      <c r="H1833" s="4"/>
      <c r="I1833" s="4"/>
      <c r="J1833" s="4"/>
      <c r="K1833" s="4"/>
    </row>
    <row r="1834" spans="1:11" ht="13">
      <c r="A1834" s="4"/>
      <c r="B1834" s="4"/>
      <c r="C1834" s="4"/>
      <c r="D1834" s="4"/>
      <c r="E1834" s="4"/>
      <c r="F1834" s="4"/>
      <c r="G1834" s="4"/>
      <c r="H1834" s="4"/>
      <c r="I1834" s="4"/>
      <c r="J1834" s="4"/>
      <c r="K1834" s="4"/>
    </row>
    <row r="1835" spans="1:11" ht="13">
      <c r="A1835" s="4"/>
      <c r="B1835" s="4"/>
      <c r="C1835" s="4"/>
      <c r="D1835" s="4"/>
      <c r="E1835" s="4"/>
      <c r="F1835" s="4"/>
      <c r="G1835" s="4"/>
      <c r="H1835" s="4"/>
      <c r="I1835" s="4"/>
      <c r="J1835" s="4"/>
      <c r="K1835" s="4"/>
    </row>
    <row r="1836" spans="1:11" ht="13">
      <c r="A1836" s="4"/>
      <c r="B1836" s="4"/>
      <c r="C1836" s="4"/>
      <c r="D1836" s="4"/>
      <c r="E1836" s="4"/>
      <c r="F1836" s="4"/>
      <c r="G1836" s="4"/>
      <c r="H1836" s="4"/>
      <c r="I1836" s="4"/>
      <c r="J1836" s="4"/>
      <c r="K1836" s="4"/>
    </row>
    <row r="1837" spans="1:11" ht="13">
      <c r="A1837" s="4"/>
      <c r="B1837" s="4"/>
      <c r="C1837" s="4"/>
      <c r="D1837" s="4"/>
      <c r="E1837" s="4"/>
      <c r="F1837" s="4"/>
      <c r="G1837" s="4"/>
      <c r="H1837" s="4"/>
      <c r="I1837" s="4"/>
      <c r="J1837" s="4"/>
      <c r="K1837" s="4"/>
    </row>
    <row r="1838" spans="1:11" ht="13">
      <c r="A1838" s="4"/>
      <c r="B1838" s="4"/>
      <c r="C1838" s="4"/>
      <c r="D1838" s="4"/>
      <c r="E1838" s="4"/>
      <c r="F1838" s="4"/>
      <c r="G1838" s="4"/>
      <c r="H1838" s="4"/>
      <c r="I1838" s="4"/>
      <c r="J1838" s="4"/>
      <c r="K1838" s="4"/>
    </row>
    <row r="1839" spans="1:11" ht="13">
      <c r="A1839" s="4"/>
      <c r="B1839" s="4"/>
      <c r="C1839" s="4"/>
      <c r="D1839" s="4"/>
      <c r="E1839" s="4"/>
      <c r="F1839" s="4"/>
      <c r="G1839" s="4"/>
      <c r="H1839" s="4"/>
      <c r="I1839" s="4"/>
      <c r="J1839" s="4"/>
      <c r="K1839" s="4"/>
    </row>
    <row r="1840" spans="1:11" ht="13">
      <c r="A1840" s="4"/>
      <c r="B1840" s="4"/>
      <c r="C1840" s="4"/>
      <c r="D1840" s="4"/>
      <c r="E1840" s="4"/>
      <c r="F1840" s="4"/>
      <c r="G1840" s="4"/>
      <c r="H1840" s="4"/>
      <c r="I1840" s="4"/>
      <c r="J1840" s="4"/>
      <c r="K1840" s="4"/>
    </row>
    <row r="1841" spans="1:11" ht="13">
      <c r="A1841" s="4"/>
      <c r="B1841" s="4"/>
      <c r="C1841" s="4"/>
      <c r="D1841" s="4"/>
      <c r="E1841" s="4"/>
      <c r="F1841" s="4"/>
      <c r="G1841" s="4"/>
      <c r="H1841" s="4"/>
      <c r="I1841" s="4"/>
      <c r="J1841" s="4"/>
      <c r="K1841" s="4"/>
    </row>
    <row r="1842" spans="1:11" ht="13">
      <c r="A1842" s="4"/>
      <c r="B1842" s="4"/>
      <c r="C1842" s="4"/>
      <c r="D1842" s="4"/>
      <c r="E1842" s="4"/>
      <c r="F1842" s="4"/>
      <c r="G1842" s="4"/>
      <c r="H1842" s="4"/>
      <c r="I1842" s="4"/>
      <c r="J1842" s="4"/>
      <c r="K1842" s="4"/>
    </row>
    <row r="1843" spans="1:11" ht="13">
      <c r="A1843" s="4"/>
      <c r="B1843" s="4"/>
      <c r="C1843" s="4"/>
      <c r="D1843" s="4"/>
      <c r="E1843" s="4"/>
      <c r="F1843" s="4"/>
      <c r="G1843" s="4"/>
      <c r="H1843" s="4"/>
      <c r="I1843" s="4"/>
      <c r="J1843" s="4"/>
      <c r="K1843" s="4"/>
    </row>
    <row r="1844" spans="1:11" ht="13">
      <c r="A1844" s="4"/>
      <c r="B1844" s="4"/>
      <c r="C1844" s="4"/>
      <c r="D1844" s="4"/>
      <c r="E1844" s="4"/>
      <c r="F1844" s="4"/>
      <c r="G1844" s="4"/>
      <c r="H1844" s="4"/>
      <c r="I1844" s="4"/>
      <c r="J1844" s="4"/>
      <c r="K1844" s="4"/>
    </row>
    <row r="1845" spans="1:11" ht="13">
      <c r="A1845" s="4"/>
      <c r="B1845" s="4"/>
      <c r="C1845" s="4"/>
      <c r="D1845" s="4"/>
      <c r="E1845" s="4"/>
      <c r="F1845" s="4"/>
      <c r="G1845" s="4"/>
      <c r="H1845" s="4"/>
      <c r="I1845" s="4"/>
      <c r="J1845" s="4"/>
      <c r="K1845" s="4"/>
    </row>
    <row r="1846" spans="1:11" ht="13">
      <c r="A1846" s="4"/>
      <c r="B1846" s="4"/>
      <c r="C1846" s="4"/>
      <c r="D1846" s="4"/>
      <c r="E1846" s="4"/>
      <c r="F1846" s="4"/>
      <c r="G1846" s="4"/>
      <c r="H1846" s="4"/>
      <c r="I1846" s="4"/>
      <c r="J1846" s="4"/>
      <c r="K1846" s="4"/>
    </row>
    <row r="1847" spans="1:11" ht="13">
      <c r="A1847" s="4"/>
      <c r="B1847" s="4"/>
      <c r="C1847" s="4"/>
      <c r="D1847" s="4"/>
      <c r="E1847" s="4"/>
      <c r="F1847" s="4"/>
      <c r="G1847" s="4"/>
      <c r="H1847" s="4"/>
      <c r="I1847" s="4"/>
      <c r="J1847" s="4"/>
      <c r="K1847" s="4"/>
    </row>
    <row r="1848" spans="1:11" ht="13">
      <c r="A1848" s="4"/>
      <c r="B1848" s="4"/>
      <c r="C1848" s="4"/>
      <c r="D1848" s="4"/>
      <c r="E1848" s="4"/>
      <c r="F1848" s="4"/>
      <c r="G1848" s="4"/>
      <c r="H1848" s="4"/>
      <c r="I1848" s="4"/>
      <c r="J1848" s="4"/>
      <c r="K1848" s="4"/>
    </row>
    <row r="1849" spans="1:11" ht="13">
      <c r="A1849" s="4"/>
      <c r="B1849" s="4"/>
      <c r="C1849" s="4"/>
      <c r="D1849" s="4"/>
      <c r="E1849" s="4"/>
      <c r="F1849" s="4"/>
      <c r="G1849" s="4"/>
      <c r="H1849" s="4"/>
      <c r="I1849" s="4"/>
      <c r="J1849" s="4"/>
      <c r="K1849" s="4"/>
    </row>
    <row r="1850" spans="1:11" ht="13">
      <c r="A1850" s="4"/>
      <c r="B1850" s="4"/>
      <c r="C1850" s="4"/>
      <c r="D1850" s="4"/>
      <c r="E1850" s="4"/>
      <c r="F1850" s="4"/>
      <c r="G1850" s="4"/>
      <c r="H1850" s="4"/>
      <c r="I1850" s="4"/>
      <c r="J1850" s="4"/>
      <c r="K1850" s="4"/>
    </row>
    <row r="1851" spans="1:11" ht="13">
      <c r="A1851" s="4"/>
      <c r="B1851" s="4"/>
      <c r="C1851" s="4"/>
      <c r="D1851" s="4"/>
      <c r="E1851" s="4"/>
      <c r="F1851" s="4"/>
      <c r="G1851" s="4"/>
      <c r="H1851" s="4"/>
      <c r="I1851" s="4"/>
      <c r="J1851" s="4"/>
      <c r="K1851" s="4"/>
    </row>
    <row r="1852" spans="1:11" ht="13">
      <c r="A1852" s="4"/>
      <c r="B1852" s="4"/>
      <c r="C1852" s="4"/>
      <c r="D1852" s="4"/>
      <c r="E1852" s="4"/>
      <c r="F1852" s="4"/>
      <c r="G1852" s="4"/>
      <c r="H1852" s="4"/>
      <c r="I1852" s="4"/>
      <c r="J1852" s="4"/>
      <c r="K1852" s="4"/>
    </row>
    <row r="1853" spans="1:11" ht="13">
      <c r="A1853" s="4"/>
      <c r="B1853" s="4"/>
      <c r="C1853" s="4"/>
      <c r="D1853" s="4"/>
      <c r="E1853" s="4"/>
      <c r="F1853" s="4"/>
      <c r="G1853" s="4"/>
      <c r="H1853" s="4"/>
      <c r="I1853" s="4"/>
      <c r="J1853" s="4"/>
      <c r="K1853" s="4"/>
    </row>
    <row r="1854" spans="1:11" ht="13">
      <c r="A1854" s="4"/>
      <c r="B1854" s="4"/>
      <c r="C1854" s="4"/>
      <c r="D1854" s="4"/>
      <c r="E1854" s="4"/>
      <c r="F1854" s="4"/>
      <c r="G1854" s="4"/>
      <c r="H1854" s="4"/>
      <c r="I1854" s="4"/>
      <c r="J1854" s="4"/>
      <c r="K1854" s="4"/>
    </row>
    <row r="1855" spans="1:11" ht="13">
      <c r="A1855" s="4"/>
      <c r="B1855" s="4"/>
      <c r="C1855" s="4"/>
      <c r="D1855" s="4"/>
      <c r="E1855" s="4"/>
      <c r="F1855" s="4"/>
      <c r="G1855" s="4"/>
      <c r="H1855" s="4"/>
      <c r="I1855" s="4"/>
      <c r="J1855" s="4"/>
      <c r="K1855" s="4"/>
    </row>
    <row r="1856" spans="1:11" ht="13">
      <c r="A1856" s="4"/>
      <c r="B1856" s="4"/>
      <c r="C1856" s="4"/>
      <c r="D1856" s="4"/>
      <c r="E1856" s="4"/>
      <c r="F1856" s="4"/>
      <c r="G1856" s="4"/>
      <c r="H1856" s="4"/>
      <c r="I1856" s="4"/>
      <c r="J1856" s="4"/>
      <c r="K1856" s="4"/>
    </row>
    <row r="1857" spans="1:11" ht="13">
      <c r="A1857" s="4"/>
      <c r="B1857" s="4"/>
      <c r="C1857" s="4"/>
      <c r="D1857" s="4"/>
      <c r="E1857" s="4"/>
      <c r="F1857" s="4"/>
      <c r="G1857" s="4"/>
      <c r="H1857" s="4"/>
      <c r="I1857" s="4"/>
      <c r="J1857" s="4"/>
      <c r="K1857" s="4"/>
    </row>
    <row r="1858" spans="1:11" ht="13">
      <c r="A1858" s="4"/>
      <c r="B1858" s="4"/>
      <c r="C1858" s="4"/>
      <c r="D1858" s="4"/>
      <c r="E1858" s="4"/>
      <c r="F1858" s="4"/>
      <c r="G1858" s="4"/>
      <c r="H1858" s="4"/>
      <c r="I1858" s="4"/>
      <c r="J1858" s="4"/>
      <c r="K1858" s="4"/>
    </row>
    <row r="1859" spans="1:11" ht="13">
      <c r="A1859" s="4"/>
      <c r="B1859" s="4"/>
      <c r="C1859" s="4"/>
      <c r="D1859" s="4"/>
      <c r="E1859" s="4"/>
      <c r="F1859" s="4"/>
      <c r="G1859" s="4"/>
      <c r="H1859" s="4"/>
      <c r="I1859" s="4"/>
      <c r="J1859" s="4"/>
      <c r="K1859" s="4"/>
    </row>
    <row r="1860" spans="1:11" ht="13">
      <c r="A1860" s="4"/>
      <c r="B1860" s="4"/>
      <c r="C1860" s="4"/>
      <c r="D1860" s="4"/>
      <c r="E1860" s="4"/>
      <c r="F1860" s="4"/>
      <c r="G1860" s="4"/>
      <c r="H1860" s="4"/>
      <c r="I1860" s="4"/>
      <c r="J1860" s="4"/>
      <c r="K1860" s="4"/>
    </row>
    <row r="1861" spans="1:11" ht="13">
      <c r="A1861" s="4"/>
      <c r="B1861" s="4"/>
      <c r="C1861" s="4"/>
      <c r="D1861" s="4"/>
      <c r="E1861" s="4"/>
      <c r="F1861" s="4"/>
      <c r="G1861" s="4"/>
      <c r="H1861" s="4"/>
      <c r="I1861" s="4"/>
      <c r="J1861" s="4"/>
      <c r="K1861" s="4"/>
    </row>
    <row r="1862" spans="1:11" ht="13">
      <c r="A1862" s="4"/>
      <c r="B1862" s="4"/>
      <c r="C1862" s="4"/>
      <c r="D1862" s="4"/>
      <c r="E1862" s="4"/>
      <c r="F1862" s="4"/>
      <c r="G1862" s="4"/>
      <c r="H1862" s="4"/>
      <c r="I1862" s="4"/>
      <c r="J1862" s="4"/>
      <c r="K1862" s="4"/>
    </row>
    <row r="1863" spans="1:11" ht="13">
      <c r="A1863" s="4"/>
      <c r="B1863" s="4"/>
      <c r="C1863" s="4"/>
      <c r="D1863" s="4"/>
      <c r="E1863" s="4"/>
      <c r="F1863" s="4"/>
      <c r="G1863" s="4"/>
      <c r="H1863" s="4"/>
      <c r="I1863" s="4"/>
      <c r="J1863" s="4"/>
      <c r="K1863" s="4"/>
    </row>
    <row r="1864" spans="1:11" ht="13">
      <c r="A1864" s="4"/>
      <c r="B1864" s="4"/>
      <c r="C1864" s="4"/>
      <c r="D1864" s="4"/>
      <c r="E1864" s="4"/>
      <c r="F1864" s="4"/>
      <c r="G1864" s="4"/>
      <c r="H1864" s="4"/>
      <c r="I1864" s="4"/>
      <c r="J1864" s="4"/>
      <c r="K1864" s="4"/>
    </row>
    <row r="1865" spans="1:11" ht="13">
      <c r="A1865" s="4"/>
      <c r="B1865" s="4"/>
      <c r="C1865" s="4"/>
      <c r="D1865" s="4"/>
      <c r="E1865" s="4"/>
      <c r="F1865" s="4"/>
      <c r="G1865" s="4"/>
      <c r="H1865" s="4"/>
      <c r="I1865" s="4"/>
      <c r="J1865" s="4"/>
      <c r="K1865" s="4"/>
    </row>
    <row r="1866" spans="1:11" ht="13">
      <c r="A1866" s="4"/>
      <c r="B1866" s="4"/>
      <c r="C1866" s="4"/>
      <c r="D1866" s="4"/>
      <c r="E1866" s="4"/>
      <c r="F1866" s="4"/>
      <c r="G1866" s="4"/>
      <c r="H1866" s="4"/>
      <c r="I1866" s="4"/>
      <c r="J1866" s="4"/>
      <c r="K1866" s="4"/>
    </row>
    <row r="1867" spans="1:11" ht="13">
      <c r="A1867" s="4"/>
      <c r="B1867" s="4"/>
      <c r="C1867" s="4"/>
      <c r="D1867" s="4"/>
      <c r="E1867" s="4"/>
      <c r="F1867" s="4"/>
      <c r="G1867" s="4"/>
      <c r="H1867" s="4"/>
      <c r="I1867" s="4"/>
      <c r="J1867" s="4"/>
      <c r="K1867" s="4"/>
    </row>
    <row r="1868" spans="1:11" ht="13">
      <c r="A1868" s="4"/>
      <c r="B1868" s="4"/>
      <c r="C1868" s="4"/>
      <c r="D1868" s="4"/>
      <c r="E1868" s="4"/>
      <c r="F1868" s="4"/>
      <c r="G1868" s="4"/>
      <c r="H1868" s="4"/>
      <c r="I1868" s="4"/>
      <c r="J1868" s="4"/>
      <c r="K1868" s="4"/>
    </row>
    <row r="1869" spans="1:11" ht="13">
      <c r="A1869" s="4"/>
      <c r="B1869" s="4"/>
      <c r="C1869" s="4"/>
      <c r="D1869" s="4"/>
      <c r="E1869" s="4"/>
      <c r="F1869" s="4"/>
      <c r="G1869" s="4"/>
      <c r="H1869" s="4"/>
      <c r="I1869" s="4"/>
      <c r="J1869" s="4"/>
      <c r="K1869" s="4"/>
    </row>
    <row r="1870" spans="1:11" ht="13">
      <c r="A1870" s="4"/>
      <c r="B1870" s="4"/>
      <c r="C1870" s="4"/>
      <c r="D1870" s="4"/>
      <c r="E1870" s="4"/>
      <c r="F1870" s="4"/>
      <c r="G1870" s="4"/>
      <c r="H1870" s="4"/>
      <c r="I1870" s="4"/>
      <c r="J1870" s="4"/>
      <c r="K1870" s="4"/>
    </row>
    <row r="1871" spans="1:11" ht="13">
      <c r="A1871" s="4"/>
      <c r="B1871" s="4"/>
      <c r="C1871" s="4"/>
      <c r="D1871" s="4"/>
      <c r="E1871" s="4"/>
      <c r="F1871" s="4"/>
      <c r="G1871" s="4"/>
      <c r="H1871" s="4"/>
      <c r="I1871" s="4"/>
      <c r="J1871" s="4"/>
      <c r="K1871" s="4"/>
    </row>
    <row r="1872" spans="1:11" ht="13">
      <c r="A1872" s="4"/>
      <c r="B1872" s="4"/>
      <c r="C1872" s="4"/>
      <c r="D1872" s="4"/>
      <c r="E1872" s="4"/>
      <c r="F1872" s="4"/>
      <c r="G1872" s="4"/>
      <c r="H1872" s="4"/>
      <c r="I1872" s="4"/>
      <c r="J1872" s="4"/>
      <c r="K1872" s="4"/>
    </row>
    <row r="1873" spans="1:11" ht="13">
      <c r="A1873" s="4"/>
      <c r="B1873" s="4"/>
      <c r="C1873" s="4"/>
      <c r="D1873" s="4"/>
      <c r="E1873" s="4"/>
      <c r="F1873" s="4"/>
      <c r="G1873" s="4"/>
      <c r="H1873" s="4"/>
      <c r="I1873" s="4"/>
      <c r="J1873" s="4"/>
      <c r="K1873" s="4"/>
    </row>
    <row r="1874" spans="1:11" ht="13">
      <c r="A1874" s="4"/>
      <c r="B1874" s="4"/>
      <c r="C1874" s="4"/>
      <c r="D1874" s="4"/>
      <c r="E1874" s="4"/>
      <c r="F1874" s="4"/>
      <c r="G1874" s="4"/>
      <c r="H1874" s="4"/>
      <c r="I1874" s="4"/>
      <c r="J1874" s="4"/>
      <c r="K1874" s="4"/>
    </row>
    <row r="1875" spans="1:11" ht="13">
      <c r="A1875" s="4"/>
      <c r="B1875" s="4"/>
      <c r="C1875" s="4"/>
      <c r="D1875" s="4"/>
      <c r="E1875" s="4"/>
      <c r="F1875" s="4"/>
      <c r="G1875" s="4"/>
      <c r="H1875" s="4"/>
      <c r="I1875" s="4"/>
      <c r="J1875" s="4"/>
      <c r="K1875" s="4"/>
    </row>
    <row r="1876" spans="1:11" ht="13">
      <c r="A1876" s="4"/>
      <c r="B1876" s="4"/>
      <c r="C1876" s="4"/>
      <c r="D1876" s="4"/>
      <c r="E1876" s="4"/>
      <c r="F1876" s="4"/>
      <c r="G1876" s="4"/>
      <c r="H1876" s="4"/>
      <c r="I1876" s="4"/>
      <c r="J1876" s="4"/>
      <c r="K1876" s="4"/>
    </row>
    <row r="1877" spans="1:11" ht="13">
      <c r="A1877" s="4"/>
      <c r="B1877" s="4"/>
      <c r="C1877" s="4"/>
      <c r="D1877" s="4"/>
      <c r="E1877" s="4"/>
      <c r="F1877" s="4"/>
      <c r="G1877" s="4"/>
      <c r="H1877" s="4"/>
      <c r="I1877" s="4"/>
      <c r="J1877" s="4"/>
      <c r="K1877" s="4"/>
    </row>
    <row r="1878" spans="1:11" ht="13">
      <c r="A1878" s="4"/>
      <c r="B1878" s="4"/>
      <c r="C1878" s="4"/>
      <c r="D1878" s="4"/>
      <c r="E1878" s="4"/>
      <c r="F1878" s="4"/>
      <c r="G1878" s="4"/>
      <c r="H1878" s="4"/>
      <c r="I1878" s="4"/>
      <c r="J1878" s="4"/>
      <c r="K1878" s="4"/>
    </row>
    <row r="1879" spans="1:11" ht="13">
      <c r="A1879" s="4"/>
      <c r="B1879" s="4"/>
      <c r="C1879" s="4"/>
      <c r="D1879" s="4"/>
      <c r="E1879" s="4"/>
      <c r="F1879" s="4"/>
      <c r="G1879" s="4"/>
      <c r="H1879" s="4"/>
      <c r="I1879" s="4"/>
      <c r="J1879" s="4"/>
      <c r="K1879" s="4"/>
    </row>
    <row r="1880" spans="1:11" ht="13">
      <c r="A1880" s="4"/>
      <c r="B1880" s="4"/>
      <c r="C1880" s="4"/>
      <c r="D1880" s="4"/>
      <c r="E1880" s="4"/>
      <c r="F1880" s="4"/>
      <c r="G1880" s="4"/>
      <c r="H1880" s="4"/>
      <c r="I1880" s="4"/>
      <c r="J1880" s="4"/>
      <c r="K1880" s="4"/>
    </row>
    <row r="1881" spans="1:11" ht="13">
      <c r="A1881" s="4"/>
      <c r="B1881" s="4"/>
      <c r="C1881" s="4"/>
      <c r="D1881" s="4"/>
      <c r="E1881" s="4"/>
      <c r="F1881" s="4"/>
      <c r="G1881" s="4"/>
      <c r="H1881" s="4"/>
      <c r="I1881" s="4"/>
      <c r="J1881" s="4"/>
      <c r="K1881" s="4"/>
    </row>
    <row r="1882" spans="1:11" ht="13">
      <c r="A1882" s="4"/>
      <c r="B1882" s="4"/>
      <c r="C1882" s="4"/>
      <c r="D1882" s="4"/>
      <c r="E1882" s="4"/>
      <c r="F1882" s="4"/>
      <c r="G1882" s="4"/>
      <c r="H1882" s="4"/>
      <c r="I1882" s="4"/>
      <c r="J1882" s="4"/>
      <c r="K1882" s="4"/>
    </row>
    <row r="1883" spans="1:11" ht="13">
      <c r="A1883" s="4"/>
      <c r="B1883" s="4"/>
      <c r="C1883" s="4"/>
      <c r="D1883" s="4"/>
      <c r="E1883" s="4"/>
      <c r="F1883" s="4"/>
      <c r="G1883" s="4"/>
      <c r="H1883" s="4"/>
      <c r="I1883" s="4"/>
      <c r="J1883" s="4"/>
      <c r="K1883" s="4"/>
    </row>
    <row r="1884" spans="1:11" ht="13">
      <c r="A1884" s="4"/>
      <c r="B1884" s="4"/>
      <c r="C1884" s="4"/>
      <c r="D1884" s="4"/>
      <c r="E1884" s="4"/>
      <c r="F1884" s="4"/>
      <c r="G1884" s="4"/>
      <c r="H1884" s="4"/>
      <c r="I1884" s="4"/>
      <c r="J1884" s="4"/>
      <c r="K1884" s="4"/>
    </row>
    <row r="1885" spans="1:11" ht="13">
      <c r="A1885" s="4"/>
      <c r="B1885" s="4"/>
      <c r="C1885" s="4"/>
      <c r="D1885" s="4"/>
      <c r="E1885" s="4"/>
      <c r="F1885" s="4"/>
      <c r="G1885" s="4"/>
      <c r="H1885" s="4"/>
      <c r="I1885" s="4"/>
      <c r="J1885" s="4"/>
      <c r="K1885" s="4"/>
    </row>
    <row r="1886" spans="1:11" ht="13">
      <c r="A1886" s="4"/>
      <c r="B1886" s="4"/>
      <c r="C1886" s="4"/>
      <c r="D1886" s="4"/>
      <c r="E1886" s="4"/>
      <c r="F1886" s="4"/>
      <c r="G1886" s="4"/>
      <c r="H1886" s="4"/>
      <c r="I1886" s="4"/>
      <c r="J1886" s="4"/>
      <c r="K1886" s="4"/>
    </row>
    <row r="1887" spans="1:11" ht="13">
      <c r="A1887" s="4"/>
      <c r="B1887" s="4"/>
      <c r="C1887" s="4"/>
      <c r="D1887" s="4"/>
      <c r="E1887" s="4"/>
      <c r="F1887" s="4"/>
      <c r="G1887" s="4"/>
      <c r="H1887" s="4"/>
      <c r="I1887" s="4"/>
      <c r="J1887" s="4"/>
      <c r="K1887" s="4"/>
    </row>
    <row r="1888" spans="1:11" ht="13">
      <c r="A1888" s="4"/>
      <c r="B1888" s="4"/>
      <c r="C1888" s="4"/>
      <c r="D1888" s="4"/>
      <c r="E1888" s="4"/>
      <c r="F1888" s="4"/>
      <c r="G1888" s="4"/>
      <c r="H1888" s="4"/>
      <c r="I1888" s="4"/>
      <c r="J1888" s="4"/>
      <c r="K1888" s="4"/>
    </row>
    <row r="1889" spans="1:11" ht="13">
      <c r="A1889" s="4"/>
      <c r="B1889" s="4"/>
      <c r="C1889" s="4"/>
      <c r="D1889" s="4"/>
      <c r="E1889" s="4"/>
      <c r="F1889" s="4"/>
      <c r="G1889" s="4"/>
      <c r="H1889" s="4"/>
      <c r="I1889" s="4"/>
      <c r="J1889" s="4"/>
      <c r="K1889" s="4"/>
    </row>
    <row r="1890" spans="1:11" ht="13">
      <c r="A1890" s="4"/>
      <c r="B1890" s="4"/>
      <c r="C1890" s="4"/>
      <c r="D1890" s="4"/>
      <c r="E1890" s="4"/>
      <c r="F1890" s="4"/>
      <c r="G1890" s="4"/>
      <c r="H1890" s="4"/>
      <c r="I1890" s="4"/>
      <c r="J1890" s="4"/>
      <c r="K1890" s="4"/>
    </row>
    <row r="1891" spans="1:11" ht="13">
      <c r="A1891" s="4"/>
      <c r="B1891" s="4"/>
      <c r="C1891" s="4"/>
      <c r="D1891" s="4"/>
      <c r="E1891" s="4"/>
      <c r="F1891" s="4"/>
      <c r="G1891" s="4"/>
      <c r="H1891" s="4"/>
      <c r="I1891" s="4"/>
      <c r="J1891" s="4"/>
      <c r="K1891" s="4"/>
    </row>
    <row r="1892" spans="1:11" ht="13">
      <c r="A1892" s="4"/>
      <c r="B1892" s="4"/>
      <c r="C1892" s="4"/>
      <c r="D1892" s="4"/>
      <c r="E1892" s="4"/>
      <c r="F1892" s="4"/>
      <c r="G1892" s="4"/>
      <c r="H1892" s="4"/>
      <c r="I1892" s="4"/>
      <c r="J1892" s="4"/>
      <c r="K1892" s="4"/>
    </row>
    <row r="1893" spans="1:11" ht="13">
      <c r="A1893" s="4"/>
      <c r="B1893" s="4"/>
      <c r="C1893" s="4"/>
      <c r="D1893" s="4"/>
      <c r="E1893" s="4"/>
      <c r="F1893" s="4"/>
      <c r="G1893" s="4"/>
      <c r="H1893" s="4"/>
      <c r="I1893" s="4"/>
      <c r="J1893" s="4"/>
      <c r="K1893" s="4"/>
    </row>
    <row r="1894" spans="1:11" ht="13">
      <c r="A1894" s="4"/>
      <c r="B1894" s="4"/>
      <c r="C1894" s="4"/>
      <c r="D1894" s="4"/>
      <c r="E1894" s="4"/>
      <c r="F1894" s="4"/>
      <c r="G1894" s="4"/>
      <c r="H1894" s="4"/>
      <c r="I1894" s="4"/>
      <c r="J1894" s="4"/>
      <c r="K1894" s="4"/>
    </row>
    <row r="1895" spans="1:11" ht="13">
      <c r="A1895" s="4"/>
      <c r="B1895" s="4"/>
      <c r="C1895" s="4"/>
      <c r="D1895" s="4"/>
      <c r="E1895" s="4"/>
      <c r="F1895" s="4"/>
      <c r="G1895" s="4"/>
      <c r="H1895" s="4"/>
      <c r="I1895" s="4"/>
      <c r="J1895" s="4"/>
      <c r="K1895" s="4"/>
    </row>
    <row r="1896" spans="1:11" ht="13">
      <c r="A1896" s="4"/>
      <c r="B1896" s="4"/>
      <c r="C1896" s="4"/>
      <c r="D1896" s="4"/>
      <c r="E1896" s="4"/>
      <c r="F1896" s="4"/>
      <c r="G1896" s="4"/>
      <c r="H1896" s="4"/>
      <c r="I1896" s="4"/>
      <c r="J1896" s="4"/>
      <c r="K1896" s="4"/>
    </row>
    <row r="1897" spans="1:11" ht="13">
      <c r="A1897" s="4"/>
      <c r="B1897" s="4"/>
      <c r="C1897" s="4"/>
      <c r="D1897" s="4"/>
      <c r="E1897" s="4"/>
      <c r="F1897" s="4"/>
      <c r="G1897" s="4"/>
      <c r="H1897" s="4"/>
      <c r="I1897" s="4"/>
      <c r="J1897" s="4"/>
      <c r="K1897" s="4"/>
    </row>
    <row r="1898" spans="1:11" ht="13">
      <c r="A1898" s="4"/>
      <c r="B1898" s="4"/>
      <c r="C1898" s="4"/>
      <c r="D1898" s="4"/>
      <c r="E1898" s="4"/>
      <c r="F1898" s="4"/>
      <c r="G1898" s="4"/>
      <c r="H1898" s="4"/>
      <c r="I1898" s="4"/>
      <c r="J1898" s="4"/>
      <c r="K1898" s="4"/>
    </row>
    <row r="1899" spans="1:11" ht="13">
      <c r="A1899" s="4"/>
      <c r="B1899" s="4"/>
      <c r="C1899" s="4"/>
      <c r="D1899" s="4"/>
      <c r="E1899" s="4"/>
      <c r="F1899" s="4"/>
      <c r="G1899" s="4"/>
      <c r="H1899" s="4"/>
      <c r="I1899" s="4"/>
      <c r="J1899" s="4"/>
      <c r="K1899" s="4"/>
    </row>
    <row r="1900" spans="1:11" ht="13">
      <c r="A1900" s="4"/>
      <c r="B1900" s="4"/>
      <c r="C1900" s="4"/>
      <c r="D1900" s="4"/>
      <c r="E1900" s="4"/>
      <c r="F1900" s="4"/>
      <c r="G1900" s="4"/>
      <c r="H1900" s="4"/>
      <c r="I1900" s="4"/>
      <c r="J1900" s="4"/>
      <c r="K1900" s="4"/>
    </row>
    <row r="1901" spans="1:11" ht="13">
      <c r="A1901" s="4"/>
      <c r="B1901" s="4"/>
      <c r="C1901" s="4"/>
      <c r="D1901" s="4"/>
      <c r="E1901" s="4"/>
      <c r="F1901" s="4"/>
      <c r="G1901" s="4"/>
      <c r="H1901" s="4"/>
      <c r="I1901" s="4"/>
      <c r="J1901" s="4"/>
      <c r="K1901" s="4"/>
    </row>
    <row r="1902" spans="1:11" ht="13">
      <c r="A1902" s="4"/>
      <c r="B1902" s="4"/>
      <c r="C1902" s="4"/>
      <c r="D1902" s="4"/>
      <c r="E1902" s="4"/>
      <c r="F1902" s="4"/>
      <c r="G1902" s="4"/>
      <c r="H1902" s="4"/>
      <c r="I1902" s="4"/>
      <c r="J1902" s="4"/>
      <c r="K1902" s="4"/>
    </row>
    <row r="1903" spans="1:11" ht="13">
      <c r="A1903" s="4"/>
      <c r="B1903" s="4"/>
      <c r="C1903" s="4"/>
      <c r="D1903" s="4"/>
      <c r="E1903" s="4"/>
      <c r="F1903" s="4"/>
      <c r="G1903" s="4"/>
      <c r="H1903" s="4"/>
      <c r="I1903" s="4"/>
      <c r="J1903" s="4"/>
      <c r="K1903" s="4"/>
    </row>
    <row r="1904" spans="1:11" ht="13">
      <c r="A1904" s="4"/>
      <c r="B1904" s="4"/>
      <c r="C1904" s="4"/>
      <c r="D1904" s="4"/>
      <c r="E1904" s="4"/>
      <c r="F1904" s="4"/>
      <c r="G1904" s="4"/>
      <c r="H1904" s="4"/>
      <c r="I1904" s="4"/>
      <c r="J1904" s="4"/>
      <c r="K1904" s="4"/>
    </row>
    <row r="1905" spans="1:11" ht="13">
      <c r="A1905" s="4"/>
      <c r="B1905" s="4"/>
      <c r="C1905" s="4"/>
      <c r="D1905" s="4"/>
      <c r="E1905" s="4"/>
      <c r="F1905" s="4"/>
      <c r="G1905" s="4"/>
      <c r="H1905" s="4"/>
      <c r="I1905" s="4"/>
      <c r="J1905" s="4"/>
      <c r="K1905" s="4"/>
    </row>
    <row r="1906" spans="1:11" ht="13">
      <c r="A1906" s="4"/>
      <c r="B1906" s="4"/>
      <c r="C1906" s="4"/>
      <c r="D1906" s="4"/>
      <c r="E1906" s="4"/>
      <c r="F1906" s="4"/>
      <c r="G1906" s="4"/>
      <c r="H1906" s="4"/>
      <c r="I1906" s="4"/>
      <c r="J1906" s="4"/>
      <c r="K1906" s="4"/>
    </row>
    <row r="1907" spans="1:11" ht="13">
      <c r="A1907" s="4"/>
      <c r="B1907" s="4"/>
      <c r="C1907" s="4"/>
      <c r="D1907" s="4"/>
      <c r="E1907" s="4"/>
      <c r="F1907" s="4"/>
      <c r="G1907" s="4"/>
      <c r="H1907" s="4"/>
      <c r="I1907" s="4"/>
      <c r="J1907" s="4"/>
      <c r="K1907" s="4"/>
    </row>
    <row r="1908" spans="1:11" ht="13">
      <c r="A1908" s="4"/>
      <c r="B1908" s="4"/>
      <c r="C1908" s="4"/>
      <c r="D1908" s="4"/>
      <c r="E1908" s="4"/>
      <c r="F1908" s="4"/>
      <c r="G1908" s="4"/>
      <c r="H1908" s="4"/>
      <c r="I1908" s="4"/>
      <c r="J1908" s="4"/>
      <c r="K1908" s="4"/>
    </row>
    <row r="1909" spans="1:11" ht="13">
      <c r="A1909" s="4"/>
      <c r="B1909" s="4"/>
      <c r="C1909" s="4"/>
      <c r="D1909" s="4"/>
      <c r="E1909" s="4"/>
      <c r="F1909" s="4"/>
      <c r="G1909" s="4"/>
      <c r="H1909" s="4"/>
      <c r="I1909" s="4"/>
      <c r="J1909" s="4"/>
      <c r="K1909" s="4"/>
    </row>
    <row r="1910" spans="1:11" ht="13">
      <c r="A1910" s="4"/>
      <c r="B1910" s="4"/>
      <c r="C1910" s="4"/>
      <c r="D1910" s="4"/>
      <c r="E1910" s="4"/>
      <c r="F1910" s="4"/>
      <c r="G1910" s="4"/>
      <c r="H1910" s="4"/>
      <c r="I1910" s="4"/>
      <c r="J1910" s="4"/>
      <c r="K1910" s="4"/>
    </row>
    <row r="1911" spans="1:11" ht="13">
      <c r="A1911" s="4"/>
      <c r="B1911" s="4"/>
      <c r="C1911" s="4"/>
      <c r="D1911" s="4"/>
      <c r="E1911" s="4"/>
      <c r="F1911" s="4"/>
      <c r="G1911" s="4"/>
      <c r="H1911" s="4"/>
      <c r="I1911" s="4"/>
      <c r="J1911" s="4"/>
      <c r="K1911" s="4"/>
    </row>
    <row r="1912" spans="1:11" ht="13">
      <c r="A1912" s="4"/>
      <c r="B1912" s="4"/>
      <c r="C1912" s="4"/>
      <c r="D1912" s="4"/>
      <c r="E1912" s="4"/>
      <c r="F1912" s="4"/>
      <c r="G1912" s="4"/>
      <c r="H1912" s="4"/>
      <c r="I1912" s="4"/>
      <c r="J1912" s="4"/>
      <c r="K1912" s="4"/>
    </row>
    <row r="1913" spans="1:11" ht="13">
      <c r="A1913" s="4"/>
      <c r="B1913" s="4"/>
      <c r="C1913" s="4"/>
      <c r="D1913" s="4"/>
      <c r="E1913" s="4"/>
      <c r="F1913" s="4"/>
      <c r="G1913" s="4"/>
      <c r="H1913" s="4"/>
      <c r="I1913" s="4"/>
      <c r="J1913" s="4"/>
      <c r="K1913" s="4"/>
    </row>
    <row r="1914" spans="1:11" ht="13">
      <c r="A1914" s="4"/>
      <c r="B1914" s="4"/>
      <c r="C1914" s="4"/>
      <c r="D1914" s="4"/>
      <c r="E1914" s="4"/>
      <c r="F1914" s="4"/>
      <c r="G1914" s="4"/>
      <c r="H1914" s="4"/>
      <c r="I1914" s="4"/>
      <c r="J1914" s="4"/>
      <c r="K1914" s="4"/>
    </row>
    <row r="1915" spans="1:11" ht="13">
      <c r="A1915" s="4"/>
      <c r="B1915" s="4"/>
      <c r="C1915" s="4"/>
      <c r="D1915" s="4"/>
      <c r="E1915" s="4"/>
      <c r="F1915" s="4"/>
      <c r="G1915" s="4"/>
      <c r="H1915" s="4"/>
      <c r="I1915" s="4"/>
      <c r="J1915" s="4"/>
      <c r="K1915" s="4"/>
    </row>
    <row r="1916" spans="1:11" ht="13">
      <c r="A1916" s="4"/>
      <c r="B1916" s="4"/>
      <c r="C1916" s="4"/>
      <c r="D1916" s="4"/>
      <c r="E1916" s="4"/>
      <c r="F1916" s="4"/>
      <c r="G1916" s="4"/>
      <c r="H1916" s="4"/>
      <c r="I1916" s="4"/>
      <c r="J1916" s="4"/>
      <c r="K1916" s="4"/>
    </row>
    <row r="1917" spans="1:11" ht="13">
      <c r="A1917" s="4"/>
      <c r="B1917" s="4"/>
      <c r="C1917" s="4"/>
      <c r="D1917" s="4"/>
      <c r="E1917" s="4"/>
      <c r="F1917" s="4"/>
      <c r="G1917" s="4"/>
      <c r="H1917" s="4"/>
      <c r="I1917" s="4"/>
      <c r="J1917" s="4"/>
      <c r="K1917" s="4"/>
    </row>
    <row r="1918" spans="1:11" ht="13">
      <c r="A1918" s="4"/>
      <c r="B1918" s="4"/>
      <c r="C1918" s="4"/>
      <c r="D1918" s="4"/>
      <c r="E1918" s="4"/>
      <c r="F1918" s="4"/>
      <c r="G1918" s="4"/>
      <c r="H1918" s="4"/>
      <c r="I1918" s="4"/>
      <c r="J1918" s="4"/>
      <c r="K1918" s="4"/>
    </row>
    <row r="1919" spans="1:11" ht="13">
      <c r="A1919" s="4"/>
      <c r="B1919" s="4"/>
      <c r="C1919" s="4"/>
      <c r="D1919" s="4"/>
      <c r="E1919" s="4"/>
      <c r="F1919" s="4"/>
      <c r="G1919" s="4"/>
      <c r="H1919" s="4"/>
      <c r="I1919" s="4"/>
      <c r="J1919" s="4"/>
      <c r="K1919" s="4"/>
    </row>
    <row r="1920" spans="1:11" ht="13">
      <c r="A1920" s="4"/>
      <c r="B1920" s="4"/>
      <c r="C1920" s="4"/>
      <c r="D1920" s="4"/>
      <c r="E1920" s="4"/>
      <c r="F1920" s="4"/>
      <c r="G1920" s="4"/>
      <c r="H1920" s="4"/>
      <c r="I1920" s="4"/>
      <c r="J1920" s="4"/>
      <c r="K1920" s="4"/>
    </row>
    <row r="1921" spans="1:11" ht="13">
      <c r="A1921" s="4"/>
      <c r="B1921" s="4"/>
      <c r="C1921" s="4"/>
      <c r="D1921" s="4"/>
      <c r="E1921" s="4"/>
      <c r="F1921" s="4"/>
      <c r="G1921" s="4"/>
      <c r="H1921" s="4"/>
      <c r="I1921" s="4"/>
      <c r="J1921" s="4"/>
      <c r="K1921" s="4"/>
    </row>
    <row r="1922" spans="1:11" ht="13">
      <c r="A1922" s="4"/>
      <c r="B1922" s="4"/>
      <c r="C1922" s="4"/>
      <c r="D1922" s="4"/>
      <c r="E1922" s="4"/>
      <c r="F1922" s="4"/>
      <c r="G1922" s="4"/>
      <c r="H1922" s="4"/>
      <c r="I1922" s="4"/>
      <c r="J1922" s="4"/>
      <c r="K1922" s="4"/>
    </row>
    <row r="1923" spans="1:11" ht="13">
      <c r="A1923" s="4"/>
      <c r="B1923" s="4"/>
      <c r="C1923" s="4"/>
      <c r="D1923" s="4"/>
      <c r="E1923" s="4"/>
      <c r="F1923" s="4"/>
      <c r="G1923" s="4"/>
      <c r="H1923" s="4"/>
      <c r="I1923" s="4"/>
      <c r="J1923" s="4"/>
      <c r="K1923" s="4"/>
    </row>
    <row r="1924" spans="1:11" ht="13">
      <c r="A1924" s="4"/>
      <c r="B1924" s="4"/>
      <c r="C1924" s="4"/>
      <c r="D1924" s="4"/>
      <c r="E1924" s="4"/>
      <c r="F1924" s="4"/>
      <c r="G1924" s="4"/>
      <c r="H1924" s="4"/>
      <c r="I1924" s="4"/>
      <c r="J1924" s="4"/>
      <c r="K1924" s="4"/>
    </row>
    <row r="1925" spans="1:11" ht="13">
      <c r="A1925" s="4"/>
      <c r="B1925" s="4"/>
      <c r="C1925" s="4"/>
      <c r="D1925" s="4"/>
      <c r="E1925" s="4"/>
      <c r="F1925" s="4"/>
      <c r="G1925" s="4"/>
      <c r="H1925" s="4"/>
      <c r="I1925" s="4"/>
      <c r="J1925" s="4"/>
      <c r="K1925" s="4"/>
    </row>
    <row r="1926" spans="1:11" ht="13">
      <c r="A1926" s="4"/>
      <c r="B1926" s="4"/>
      <c r="C1926" s="4"/>
      <c r="D1926" s="4"/>
      <c r="E1926" s="4"/>
      <c r="F1926" s="4"/>
      <c r="G1926" s="4"/>
      <c r="H1926" s="4"/>
      <c r="I1926" s="4"/>
      <c r="J1926" s="4"/>
      <c r="K1926" s="4"/>
    </row>
    <row r="1927" spans="1:11" ht="13">
      <c r="A1927" s="4"/>
      <c r="B1927" s="4"/>
      <c r="C1927" s="4"/>
      <c r="D1927" s="4"/>
      <c r="E1927" s="4"/>
      <c r="F1927" s="4"/>
      <c r="G1927" s="4"/>
      <c r="H1927" s="4"/>
      <c r="I1927" s="4"/>
      <c r="J1927" s="4"/>
      <c r="K1927" s="4"/>
    </row>
    <row r="1928" spans="1:11" ht="13">
      <c r="A1928" s="4"/>
      <c r="B1928" s="4"/>
      <c r="C1928" s="4"/>
      <c r="D1928" s="4"/>
      <c r="E1928" s="4"/>
      <c r="F1928" s="4"/>
      <c r="G1928" s="4"/>
      <c r="H1928" s="4"/>
      <c r="I1928" s="4"/>
      <c r="J1928" s="4"/>
      <c r="K1928" s="4"/>
    </row>
    <row r="1929" spans="1:11" ht="13">
      <c r="A1929" s="4"/>
      <c r="B1929" s="4"/>
      <c r="C1929" s="4"/>
      <c r="D1929" s="4"/>
      <c r="E1929" s="4"/>
      <c r="F1929" s="4"/>
      <c r="G1929" s="4"/>
      <c r="H1929" s="4"/>
      <c r="I1929" s="4"/>
      <c r="J1929" s="4"/>
      <c r="K1929" s="4"/>
    </row>
    <row r="1930" spans="1:11" ht="13">
      <c r="A1930" s="4"/>
      <c r="B1930" s="4"/>
      <c r="C1930" s="4"/>
      <c r="D1930" s="4"/>
      <c r="E1930" s="4"/>
      <c r="F1930" s="4"/>
      <c r="G1930" s="4"/>
      <c r="H1930" s="4"/>
      <c r="I1930" s="4"/>
      <c r="J1930" s="4"/>
      <c r="K1930" s="4"/>
    </row>
    <row r="1931" spans="1:11" ht="13">
      <c r="A1931" s="4"/>
      <c r="B1931" s="4"/>
      <c r="C1931" s="4"/>
      <c r="D1931" s="4"/>
      <c r="E1931" s="4"/>
      <c r="F1931" s="4"/>
      <c r="G1931" s="4"/>
      <c r="H1931" s="4"/>
      <c r="I1931" s="4"/>
      <c r="J1931" s="4"/>
      <c r="K1931" s="4"/>
    </row>
    <row r="1932" spans="1:11" ht="13">
      <c r="A1932" s="4"/>
      <c r="B1932" s="4"/>
      <c r="C1932" s="4"/>
      <c r="D1932" s="4"/>
      <c r="E1932" s="4"/>
      <c r="F1932" s="4"/>
      <c r="G1932" s="4"/>
      <c r="H1932" s="4"/>
      <c r="I1932" s="4"/>
      <c r="J1932" s="4"/>
      <c r="K1932" s="4"/>
    </row>
    <row r="1933" spans="1:11" ht="13">
      <c r="A1933" s="4"/>
      <c r="B1933" s="4"/>
      <c r="C1933" s="4"/>
      <c r="D1933" s="4"/>
      <c r="E1933" s="4"/>
      <c r="F1933" s="4"/>
      <c r="G1933" s="4"/>
      <c r="H1933" s="4"/>
      <c r="I1933" s="4"/>
      <c r="J1933" s="4"/>
      <c r="K1933" s="4"/>
    </row>
    <row r="1934" spans="1:11" ht="13">
      <c r="A1934" s="4"/>
      <c r="B1934" s="4"/>
      <c r="C1934" s="4"/>
      <c r="D1934" s="4"/>
      <c r="E1934" s="4"/>
      <c r="F1934" s="4"/>
      <c r="G1934" s="4"/>
      <c r="H1934" s="4"/>
      <c r="I1934" s="4"/>
      <c r="J1934" s="4"/>
      <c r="K1934" s="4"/>
    </row>
    <row r="1935" spans="1:11" ht="13">
      <c r="A1935" s="4"/>
      <c r="B1935" s="4"/>
      <c r="C1935" s="4"/>
      <c r="D1935" s="4"/>
      <c r="E1935" s="4"/>
      <c r="F1935" s="4"/>
      <c r="G1935" s="4"/>
      <c r="H1935" s="4"/>
      <c r="I1935" s="4"/>
      <c r="J1935" s="4"/>
      <c r="K1935" s="4"/>
    </row>
    <row r="1936" spans="1:11" ht="13">
      <c r="A1936" s="4"/>
      <c r="B1936" s="4"/>
      <c r="C1936" s="4"/>
      <c r="D1936" s="4"/>
      <c r="E1936" s="4"/>
      <c r="F1936" s="4"/>
      <c r="G1936" s="4"/>
      <c r="H1936" s="4"/>
      <c r="I1936" s="4"/>
      <c r="J1936" s="4"/>
      <c r="K1936" s="4"/>
    </row>
    <row r="1937" spans="1:11" ht="13">
      <c r="A1937" s="4"/>
      <c r="B1937" s="4"/>
      <c r="C1937" s="4"/>
      <c r="D1937" s="4"/>
      <c r="E1937" s="4"/>
      <c r="F1937" s="4"/>
      <c r="G1937" s="4"/>
      <c r="H1937" s="4"/>
      <c r="I1937" s="4"/>
      <c r="J1937" s="4"/>
      <c r="K1937" s="4"/>
    </row>
    <row r="1938" spans="1:11" ht="13">
      <c r="A1938" s="4"/>
      <c r="B1938" s="4"/>
      <c r="C1938" s="4"/>
      <c r="D1938" s="4"/>
      <c r="E1938" s="4"/>
      <c r="F1938" s="4"/>
      <c r="G1938" s="4"/>
      <c r="H1938" s="4"/>
      <c r="I1938" s="4"/>
      <c r="J1938" s="4"/>
      <c r="K1938" s="4"/>
    </row>
    <row r="1939" spans="1:11" ht="13">
      <c r="A1939" s="4"/>
      <c r="B1939" s="4"/>
      <c r="C1939" s="4"/>
      <c r="D1939" s="4"/>
      <c r="E1939" s="4"/>
      <c r="F1939" s="4"/>
      <c r="G1939" s="4"/>
      <c r="H1939" s="4"/>
      <c r="I1939" s="4"/>
      <c r="J1939" s="4"/>
      <c r="K1939" s="4"/>
    </row>
    <row r="1940" spans="1:11" ht="13">
      <c r="A1940" s="4"/>
      <c r="B1940" s="4"/>
      <c r="C1940" s="4"/>
      <c r="D1940" s="4"/>
      <c r="E1940" s="4"/>
      <c r="F1940" s="4"/>
      <c r="G1940" s="4"/>
      <c r="H1940" s="4"/>
      <c r="I1940" s="4"/>
      <c r="J1940" s="4"/>
      <c r="K1940" s="4"/>
    </row>
    <row r="1941" spans="1:11" ht="13">
      <c r="A1941" s="4"/>
      <c r="B1941" s="4"/>
      <c r="C1941" s="4"/>
      <c r="D1941" s="4"/>
      <c r="E1941" s="4"/>
      <c r="F1941" s="4"/>
      <c r="G1941" s="4"/>
      <c r="H1941" s="4"/>
      <c r="I1941" s="4"/>
      <c r="J1941" s="4"/>
      <c r="K1941" s="4"/>
    </row>
    <row r="1942" spans="1:11" ht="13">
      <c r="A1942" s="4"/>
      <c r="B1942" s="4"/>
      <c r="C1942" s="4"/>
      <c r="D1942" s="4"/>
      <c r="E1942" s="4"/>
      <c r="F1942" s="4"/>
      <c r="G1942" s="4"/>
      <c r="H1942" s="4"/>
      <c r="I1942" s="4"/>
      <c r="J1942" s="4"/>
      <c r="K1942" s="4"/>
    </row>
    <row r="1943" spans="1:11" ht="13">
      <c r="A1943" s="4"/>
      <c r="B1943" s="4"/>
      <c r="C1943" s="4"/>
      <c r="D1943" s="4"/>
      <c r="E1943" s="4"/>
      <c r="F1943" s="4"/>
      <c r="G1943" s="4"/>
      <c r="H1943" s="4"/>
      <c r="I1943" s="4"/>
      <c r="J1943" s="4"/>
      <c r="K1943" s="4"/>
    </row>
    <row r="1944" spans="1:11" ht="13">
      <c r="A1944" s="4"/>
      <c r="B1944" s="4"/>
      <c r="C1944" s="4"/>
      <c r="D1944" s="4"/>
      <c r="E1944" s="4"/>
      <c r="F1944" s="4"/>
      <c r="G1944" s="4"/>
      <c r="H1944" s="4"/>
      <c r="I1944" s="4"/>
      <c r="J1944" s="4"/>
      <c r="K1944" s="4"/>
    </row>
    <row r="1945" spans="1:11" ht="13">
      <c r="A1945" s="4"/>
      <c r="B1945" s="4"/>
      <c r="C1945" s="4"/>
      <c r="D1945" s="4"/>
      <c r="E1945" s="4"/>
      <c r="F1945" s="4"/>
      <c r="G1945" s="4"/>
      <c r="H1945" s="4"/>
      <c r="I1945" s="4"/>
      <c r="J1945" s="4"/>
      <c r="K1945" s="4"/>
    </row>
    <row r="1946" spans="1:11" ht="13">
      <c r="A1946" s="4"/>
      <c r="B1946" s="4"/>
      <c r="C1946" s="4"/>
      <c r="D1946" s="4"/>
      <c r="E1946" s="4"/>
      <c r="F1946" s="4"/>
      <c r="G1946" s="4"/>
      <c r="H1946" s="4"/>
      <c r="I1946" s="4"/>
      <c r="J1946" s="4"/>
      <c r="K1946" s="4"/>
    </row>
    <row r="1947" spans="1:11" ht="13">
      <c r="A1947" s="4"/>
      <c r="B1947" s="4"/>
      <c r="C1947" s="4"/>
      <c r="D1947" s="4"/>
      <c r="E1947" s="4"/>
      <c r="F1947" s="4"/>
      <c r="G1947" s="4"/>
      <c r="H1947" s="4"/>
      <c r="I1947" s="4"/>
      <c r="J1947" s="4"/>
      <c r="K1947" s="4"/>
    </row>
    <row r="1948" spans="1:11" ht="13">
      <c r="A1948" s="4"/>
      <c r="B1948" s="4"/>
      <c r="C1948" s="4"/>
      <c r="D1948" s="4"/>
      <c r="E1948" s="4"/>
      <c r="F1948" s="4"/>
      <c r="G1948" s="4"/>
      <c r="H1948" s="4"/>
      <c r="I1948" s="4"/>
      <c r="J1948" s="4"/>
      <c r="K1948" s="4"/>
    </row>
    <row r="1949" spans="1:11" ht="13">
      <c r="A1949" s="4"/>
      <c r="B1949" s="4"/>
      <c r="C1949" s="4"/>
      <c r="D1949" s="4"/>
      <c r="E1949" s="4"/>
      <c r="F1949" s="4"/>
      <c r="G1949" s="4"/>
      <c r="H1949" s="4"/>
      <c r="I1949" s="4"/>
      <c r="J1949" s="4"/>
      <c r="K1949" s="4"/>
    </row>
    <row r="1950" spans="1:11" ht="13">
      <c r="A1950" s="4"/>
      <c r="B1950" s="4"/>
      <c r="C1950" s="4"/>
      <c r="D1950" s="4"/>
      <c r="E1950" s="4"/>
      <c r="F1950" s="4"/>
      <c r="G1950" s="4"/>
      <c r="H1950" s="4"/>
      <c r="I1950" s="4"/>
      <c r="J1950" s="4"/>
      <c r="K1950" s="4"/>
    </row>
    <row r="1951" spans="1:11" ht="13">
      <c r="A1951" s="4"/>
      <c r="B1951" s="4"/>
      <c r="C1951" s="4"/>
      <c r="D1951" s="4"/>
      <c r="E1951" s="4"/>
      <c r="F1951" s="4"/>
      <c r="G1951" s="4"/>
      <c r="H1951" s="4"/>
      <c r="I1951" s="4"/>
      <c r="J1951" s="4"/>
      <c r="K1951" s="4"/>
    </row>
    <row r="1952" spans="1:11" ht="13">
      <c r="A1952" s="4"/>
      <c r="B1952" s="4"/>
      <c r="C1952" s="4"/>
      <c r="D1952" s="4"/>
      <c r="E1952" s="4"/>
      <c r="F1952" s="4"/>
      <c r="G1952" s="4"/>
      <c r="H1952" s="4"/>
      <c r="I1952" s="4"/>
      <c r="J1952" s="4"/>
      <c r="K1952" s="4"/>
    </row>
    <row r="1953" spans="1:11" ht="13">
      <c r="A1953" s="4"/>
      <c r="B1953" s="4"/>
      <c r="C1953" s="4"/>
      <c r="D1953" s="4"/>
      <c r="E1953" s="4"/>
      <c r="F1953" s="4"/>
      <c r="G1953" s="4"/>
      <c r="H1953" s="4"/>
      <c r="I1953" s="4"/>
      <c r="J1953" s="4"/>
      <c r="K1953" s="4"/>
    </row>
    <row r="1954" spans="1:11" ht="13">
      <c r="A1954" s="4"/>
      <c r="B1954" s="4"/>
      <c r="C1954" s="4"/>
      <c r="D1954" s="4"/>
      <c r="E1954" s="4"/>
      <c r="F1954" s="4"/>
      <c r="G1954" s="4"/>
      <c r="H1954" s="4"/>
      <c r="I1954" s="4"/>
      <c r="J1954" s="4"/>
      <c r="K1954" s="4"/>
    </row>
    <row r="1955" spans="1:11" ht="13">
      <c r="A1955" s="4"/>
      <c r="B1955" s="4"/>
      <c r="C1955" s="4"/>
      <c r="D1955" s="4"/>
      <c r="E1955" s="4"/>
      <c r="F1955" s="4"/>
      <c r="G1955" s="4"/>
      <c r="H1955" s="4"/>
      <c r="I1955" s="4"/>
      <c r="J1955" s="4"/>
      <c r="K1955" s="4"/>
    </row>
    <row r="1956" spans="1:11" ht="13">
      <c r="A1956" s="4"/>
      <c r="B1956" s="4"/>
      <c r="C1956" s="4"/>
      <c r="D1956" s="4"/>
      <c r="E1956" s="4"/>
      <c r="F1956" s="4"/>
      <c r="G1956" s="4"/>
      <c r="H1956" s="4"/>
      <c r="I1956" s="4"/>
      <c r="J1956" s="4"/>
      <c r="K1956" s="4"/>
    </row>
    <row r="1957" spans="1:11" ht="13">
      <c r="A1957" s="4"/>
      <c r="B1957" s="4"/>
      <c r="C1957" s="4"/>
      <c r="D1957" s="4"/>
      <c r="E1957" s="4"/>
      <c r="F1957" s="4"/>
      <c r="G1957" s="4"/>
      <c r="H1957" s="4"/>
      <c r="I1957" s="4"/>
      <c r="J1957" s="4"/>
      <c r="K1957" s="4"/>
    </row>
    <row r="1958" spans="1:11" ht="13">
      <c r="A1958" s="4"/>
      <c r="B1958" s="4"/>
      <c r="C1958" s="4"/>
      <c r="D1958" s="4"/>
      <c r="E1958" s="4"/>
      <c r="F1958" s="4"/>
      <c r="G1958" s="4"/>
      <c r="H1958" s="4"/>
      <c r="I1958" s="4"/>
      <c r="J1958" s="4"/>
      <c r="K1958" s="4"/>
    </row>
    <row r="1959" spans="1:11" ht="13">
      <c r="A1959" s="4"/>
      <c r="B1959" s="4"/>
      <c r="C1959" s="4"/>
      <c r="D1959" s="4"/>
      <c r="E1959" s="4"/>
      <c r="F1959" s="4"/>
      <c r="G1959" s="4"/>
      <c r="H1959" s="4"/>
      <c r="I1959" s="4"/>
      <c r="J1959" s="4"/>
      <c r="K1959" s="4"/>
    </row>
    <row r="1960" spans="1:11" ht="13">
      <c r="A1960" s="4"/>
      <c r="B1960" s="4"/>
      <c r="C1960" s="4"/>
      <c r="D1960" s="4"/>
      <c r="E1960" s="4"/>
      <c r="F1960" s="4"/>
      <c r="G1960" s="4"/>
      <c r="H1960" s="4"/>
      <c r="I1960" s="4"/>
      <c r="J1960" s="4"/>
      <c r="K1960" s="4"/>
    </row>
    <row r="1961" spans="1:11" ht="13">
      <c r="A1961" s="4"/>
      <c r="B1961" s="4"/>
      <c r="C1961" s="4"/>
      <c r="D1961" s="4"/>
      <c r="E1961" s="4"/>
      <c r="F1961" s="4"/>
      <c r="G1961" s="4"/>
      <c r="H1961" s="4"/>
      <c r="I1961" s="4"/>
      <c r="J1961" s="4"/>
      <c r="K1961" s="4"/>
    </row>
    <row r="1962" spans="1:11" ht="13">
      <c r="A1962" s="4"/>
      <c r="B1962" s="4"/>
      <c r="C1962" s="4"/>
      <c r="D1962" s="4"/>
      <c r="E1962" s="4"/>
      <c r="F1962" s="4"/>
      <c r="G1962" s="4"/>
      <c r="H1962" s="4"/>
      <c r="I1962" s="4"/>
      <c r="J1962" s="4"/>
      <c r="K1962" s="4"/>
    </row>
    <row r="1963" spans="1:11" ht="13">
      <c r="A1963" s="4"/>
      <c r="B1963" s="4"/>
      <c r="C1963" s="4"/>
      <c r="D1963" s="4"/>
      <c r="E1963" s="4"/>
      <c r="F1963" s="4"/>
      <c r="G1963" s="4"/>
      <c r="H1963" s="4"/>
      <c r="I1963" s="4"/>
      <c r="J1963" s="4"/>
      <c r="K1963" s="4"/>
    </row>
    <row r="1964" spans="1:11" ht="13">
      <c r="A1964" s="4"/>
      <c r="B1964" s="4"/>
      <c r="C1964" s="4"/>
      <c r="D1964" s="4"/>
      <c r="E1964" s="4"/>
      <c r="F1964" s="4"/>
      <c r="G1964" s="4"/>
      <c r="H1964" s="4"/>
      <c r="I1964" s="4"/>
      <c r="J1964" s="4"/>
      <c r="K1964" s="4"/>
    </row>
    <row r="1965" spans="1:11" ht="13">
      <c r="A1965" s="4"/>
      <c r="B1965" s="4"/>
      <c r="C1965" s="4"/>
      <c r="D1965" s="4"/>
      <c r="E1965" s="4"/>
      <c r="F1965" s="4"/>
      <c r="G1965" s="4"/>
      <c r="H1965" s="4"/>
      <c r="I1965" s="4"/>
      <c r="J1965" s="4"/>
      <c r="K1965" s="4"/>
    </row>
    <row r="1966" spans="1:11" ht="13">
      <c r="A1966" s="4"/>
      <c r="B1966" s="4"/>
      <c r="C1966" s="4"/>
      <c r="D1966" s="4"/>
      <c r="E1966" s="4"/>
      <c r="F1966" s="4"/>
      <c r="G1966" s="4"/>
      <c r="H1966" s="4"/>
      <c r="I1966" s="4"/>
      <c r="J1966" s="4"/>
      <c r="K1966" s="4"/>
    </row>
    <row r="1967" spans="1:11" ht="13">
      <c r="A1967" s="4"/>
      <c r="B1967" s="4"/>
      <c r="C1967" s="4"/>
      <c r="D1967" s="4"/>
      <c r="E1967" s="4"/>
      <c r="F1967" s="4"/>
      <c r="G1967" s="4"/>
      <c r="H1967" s="4"/>
      <c r="I1967" s="4"/>
      <c r="J1967" s="4"/>
      <c r="K1967" s="4"/>
    </row>
    <row r="1968" spans="1:11" ht="13">
      <c r="A1968" s="4"/>
      <c r="B1968" s="4"/>
      <c r="C1968" s="4"/>
      <c r="D1968" s="4"/>
      <c r="E1968" s="4"/>
      <c r="F1968" s="4"/>
      <c r="G1968" s="4"/>
      <c r="H1968" s="4"/>
      <c r="I1968" s="4"/>
      <c r="J1968" s="4"/>
      <c r="K1968" s="4"/>
    </row>
    <row r="1969" spans="1:11" ht="13">
      <c r="A1969" s="4"/>
      <c r="B1969" s="4"/>
      <c r="C1969" s="4"/>
      <c r="D1969" s="4"/>
      <c r="E1969" s="4"/>
      <c r="F1969" s="4"/>
      <c r="G1969" s="4"/>
      <c r="H1969" s="4"/>
      <c r="I1969" s="4"/>
      <c r="J1969" s="4"/>
      <c r="K1969" s="4"/>
    </row>
    <row r="1970" spans="1:11" ht="13">
      <c r="A1970" s="4"/>
      <c r="B1970" s="4"/>
      <c r="C1970" s="4"/>
      <c r="D1970" s="4"/>
      <c r="E1970" s="4"/>
      <c r="F1970" s="4"/>
      <c r="G1970" s="4"/>
      <c r="H1970" s="4"/>
      <c r="I1970" s="4"/>
      <c r="J1970" s="4"/>
      <c r="K1970" s="4"/>
    </row>
    <row r="1971" spans="1:11" ht="13">
      <c r="A1971" s="4"/>
      <c r="B1971" s="4"/>
      <c r="C1971" s="4"/>
      <c r="D1971" s="4"/>
      <c r="E1971" s="4"/>
      <c r="F1971" s="4"/>
      <c r="G1971" s="4"/>
      <c r="H1971" s="4"/>
      <c r="I1971" s="4"/>
      <c r="J1971" s="4"/>
      <c r="K1971" s="4"/>
    </row>
    <row r="1972" spans="1:11" ht="13">
      <c r="A1972" s="4"/>
      <c r="B1972" s="4"/>
      <c r="C1972" s="4"/>
      <c r="D1972" s="4"/>
      <c r="E1972" s="4"/>
      <c r="F1972" s="4"/>
      <c r="G1972" s="4"/>
      <c r="H1972" s="4"/>
      <c r="I1972" s="4"/>
      <c r="J1972" s="4"/>
      <c r="K1972" s="4"/>
    </row>
    <row r="1973" spans="1:11" ht="13">
      <c r="A1973" s="4"/>
      <c r="B1973" s="4"/>
      <c r="C1973" s="4"/>
      <c r="D1973" s="4"/>
      <c r="E1973" s="4"/>
      <c r="F1973" s="4"/>
      <c r="G1973" s="4"/>
      <c r="H1973" s="4"/>
      <c r="I1973" s="4"/>
      <c r="J1973" s="4"/>
      <c r="K1973" s="4"/>
    </row>
    <row r="1974" spans="1:11" ht="13">
      <c r="A1974" s="4"/>
      <c r="B1974" s="4"/>
      <c r="C1974" s="4"/>
      <c r="D1974" s="4"/>
      <c r="E1974" s="4"/>
      <c r="F1974" s="4"/>
      <c r="G1974" s="4"/>
      <c r="H1974" s="4"/>
      <c r="I1974" s="4"/>
      <c r="J1974" s="4"/>
      <c r="K1974" s="4"/>
    </row>
    <row r="1975" spans="1:11" ht="13">
      <c r="A1975" s="4"/>
      <c r="B1975" s="4"/>
      <c r="C1975" s="4"/>
      <c r="D1975" s="4"/>
      <c r="E1975" s="4"/>
      <c r="F1975" s="4"/>
      <c r="G1975" s="4"/>
      <c r="H1975" s="4"/>
      <c r="I1975" s="4"/>
      <c r="J1975" s="4"/>
      <c r="K1975" s="4"/>
    </row>
    <row r="1976" spans="1:11" ht="13">
      <c r="A1976" s="4"/>
      <c r="B1976" s="4"/>
      <c r="C1976" s="4"/>
      <c r="D1976" s="4"/>
      <c r="E1976" s="4"/>
      <c r="F1976" s="4"/>
      <c r="G1976" s="4"/>
      <c r="H1976" s="4"/>
      <c r="I1976" s="4"/>
      <c r="J1976" s="4"/>
      <c r="K1976" s="4"/>
    </row>
    <row r="1977" spans="1:11" ht="13">
      <c r="A1977" s="4"/>
      <c r="B1977" s="4"/>
      <c r="C1977" s="4"/>
      <c r="D1977" s="4"/>
      <c r="E1977" s="4"/>
      <c r="F1977" s="4"/>
      <c r="G1977" s="4"/>
      <c r="H1977" s="4"/>
      <c r="I1977" s="4"/>
      <c r="J1977" s="4"/>
      <c r="K1977" s="4"/>
    </row>
    <row r="1978" spans="1:11" ht="13">
      <c r="A1978" s="4"/>
      <c r="B1978" s="4"/>
      <c r="C1978" s="4"/>
      <c r="D1978" s="4"/>
      <c r="E1978" s="4"/>
      <c r="F1978" s="4"/>
      <c r="G1978" s="4"/>
      <c r="H1978" s="4"/>
      <c r="I1978" s="4"/>
      <c r="J1978" s="4"/>
      <c r="K1978" s="4"/>
    </row>
    <row r="1979" spans="1:11" ht="13">
      <c r="A1979" s="4"/>
      <c r="B1979" s="4"/>
      <c r="C1979" s="4"/>
      <c r="D1979" s="4"/>
      <c r="E1979" s="4"/>
      <c r="F1979" s="4"/>
      <c r="G1979" s="4"/>
      <c r="H1979" s="4"/>
      <c r="I1979" s="4"/>
      <c r="J1979" s="4"/>
      <c r="K1979" s="4"/>
    </row>
    <row r="1980" spans="1:11" ht="13">
      <c r="A1980" s="4"/>
      <c r="B1980" s="4"/>
      <c r="C1980" s="4"/>
      <c r="D1980" s="4"/>
      <c r="E1980" s="4"/>
      <c r="F1980" s="4"/>
      <c r="G1980" s="4"/>
      <c r="H1980" s="4"/>
      <c r="I1980" s="4"/>
      <c r="J1980" s="4"/>
      <c r="K1980" s="4"/>
    </row>
    <row r="1981" spans="1:11" ht="13">
      <c r="A1981" s="4"/>
      <c r="B1981" s="4"/>
      <c r="C1981" s="4"/>
      <c r="D1981" s="4"/>
      <c r="E1981" s="4"/>
      <c r="F1981" s="4"/>
      <c r="G1981" s="4"/>
      <c r="H1981" s="4"/>
      <c r="I1981" s="4"/>
      <c r="J1981" s="4"/>
      <c r="K1981" s="4"/>
    </row>
    <row r="1982" spans="1:11" ht="13">
      <c r="A1982" s="4"/>
      <c r="B1982" s="4"/>
      <c r="C1982" s="4"/>
      <c r="D1982" s="4"/>
      <c r="E1982" s="4"/>
      <c r="F1982" s="4"/>
      <c r="G1982" s="4"/>
      <c r="H1982" s="4"/>
      <c r="I1982" s="4"/>
      <c r="J1982" s="4"/>
      <c r="K1982" s="4"/>
    </row>
  </sheetData>
  <mergeCells count="2">
    <mergeCell ref="A1:C1"/>
    <mergeCell ref="A2:C2"/>
  </mergeCells>
  <printOptions horizontalCentered="1" gridLines="1"/>
  <pageMargins left="0.7" right="0.7" top="0.75" bottom="0.75" header="0" footer="0"/>
  <pageSetup pageOrder="overThenDown" orientation="portrait"/>
  <rowBreaks count="7" manualBreakCount="7">
    <brk id="321" man="1"/>
    <brk id="211" man="1"/>
    <brk id="135" man="1"/>
    <brk id="185" man="1"/>
    <brk id="89" man="1"/>
    <brk id="234" man="1"/>
    <brk id="45" man="1"/>
  </rowBreaks>
  <colBreaks count="2" manualBreakCount="2">
    <brk man="1"/>
    <brk id="5" man="1"/>
  </colBreaks>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Master!$V$7:$V$1000</xm:f>
          </x14:formula1>
          <xm:sqref>B6 B11 B16 B21 B26 B30 B34 B40 B46 B52 B58 B64 B70 B74 B81 B88 B95 B97 B100:B101 B104 B106 B108 B111 B113:B114 B118 B121 B124 B129 B134 B139 B142 B144 B147 B149 B152 B154 B157 B161 B168 B170 B175 B182 B189 B193 B197 B201 B204 B208 B213 B218 B220 B223 B227 B231 B234 B238 B242 B246 B252:B253 B257:B259 B261:B262 B265:B266 B269:B270 B275:B276 B281:B282 B287:B288 B293:B294 B298:B299 B304:B305 B308:B309 B312:B313 B319:B320 B327:B328 B334:B335 B339:B340 B346:B347 B353:B354 B360:B362 B366:B367 B371:B372 B376:B377 B381:B382 B388:B389 B395:B396 B403 B410 B416 B422 B427 B434 B439 B444 B449 B454 B460 B465 B469 B473 B480 B487 B492 B498 B503 B510 B517 B525 B533</xm:sqref>
        </x14:dataValidation>
        <x14:dataValidation type="list" allowBlank="1" showErrorMessage="1" xr:uid="{00000000-0002-0000-0400-000001000000}">
          <x14:formula1>
            <xm:f>Master!$B$7:$B$1000</xm:f>
          </x14:formula1>
          <xm:sqref>C7:C10 C12:C15 C17:C20 C22:C25 C27:C29 C31:C33 C35:C39 C41:C45 C47:C51 C53:C57 C59:C63 C65:C69 C71:C160 C162:C167 C169:C174 C176:C181 C183:C188 C190:C192 C194:C196 C198:C200 C202:C203 C205:C207 C209:C212 C214:C217 C219 C221:C222 C224:C226 C228:C230 C232:C233 C235:C237 C239:C241 C243:C245 C247:C414 C416:C420 C422:C432 C434:C437 C439:C442 C444:C447 C449:C452 C454:C458 C460:C463 C465:C467 C469:C471 C473:C478 C480:C485 C488:C490 C493:C495 C499:C501 C503:C508 C510:C515 C517:C523 C525:C531 C533:C534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44"/>
  <sheetViews>
    <sheetView topLeftCell="A10" workbookViewId="0">
      <selection activeCell="C8" sqref="C8"/>
    </sheetView>
  </sheetViews>
  <sheetFormatPr baseColWidth="10" defaultColWidth="12.6640625" defaultRowHeight="15.75" customHeight="1"/>
  <cols>
    <col min="1" max="1" width="7.6640625" customWidth="1"/>
    <col min="2" max="2" width="22.1640625" customWidth="1"/>
    <col min="3" max="3" width="20.1640625" customWidth="1"/>
    <col min="13" max="26" width="12.6640625" hidden="1"/>
  </cols>
  <sheetData>
    <row r="1" spans="1:12" ht="18">
      <c r="A1" s="418" t="s">
        <v>1368</v>
      </c>
      <c r="B1" s="419"/>
      <c r="C1" s="419"/>
      <c r="D1" s="4"/>
      <c r="E1" s="4"/>
      <c r="F1" s="4"/>
      <c r="G1" s="4"/>
      <c r="H1" s="4"/>
      <c r="I1" s="4"/>
      <c r="J1" s="4"/>
      <c r="K1" s="4"/>
      <c r="L1" s="4"/>
    </row>
    <row r="2" spans="1:12" ht="18">
      <c r="A2" s="418" t="s">
        <v>2</v>
      </c>
      <c r="B2" s="419"/>
      <c r="C2" s="419"/>
      <c r="D2" s="4"/>
      <c r="E2" s="4"/>
      <c r="F2" s="4"/>
      <c r="G2" s="4"/>
      <c r="H2" s="4"/>
      <c r="I2" s="4"/>
      <c r="J2" s="4"/>
      <c r="K2" s="4"/>
      <c r="L2" s="4"/>
    </row>
    <row r="3" spans="1:12" ht="15.75" customHeight="1">
      <c r="A3" s="4"/>
      <c r="B3" s="4"/>
      <c r="C3" s="4"/>
      <c r="D3" s="4"/>
      <c r="E3" s="4"/>
      <c r="F3" s="4"/>
      <c r="G3" s="4"/>
      <c r="H3" s="4"/>
      <c r="I3" s="4"/>
      <c r="J3" s="4"/>
      <c r="K3" s="4"/>
      <c r="L3" s="4"/>
    </row>
    <row r="4" spans="1:12" ht="15.75" customHeight="1">
      <c r="A4" s="90"/>
      <c r="B4" s="90">
        <v>1</v>
      </c>
      <c r="C4" s="90">
        <v>2</v>
      </c>
      <c r="D4" s="90">
        <v>3</v>
      </c>
      <c r="E4" s="90">
        <v>4</v>
      </c>
      <c r="F4" s="90">
        <v>5</v>
      </c>
      <c r="G4" s="90">
        <v>6</v>
      </c>
      <c r="H4" s="90">
        <v>7</v>
      </c>
      <c r="I4" s="90">
        <v>8</v>
      </c>
      <c r="J4" s="90">
        <v>9</v>
      </c>
      <c r="K4" s="90">
        <v>10</v>
      </c>
      <c r="L4" s="90">
        <v>11</v>
      </c>
    </row>
    <row r="5" spans="1:12" ht="15.75" customHeight="1">
      <c r="A5" s="133" t="s">
        <v>3</v>
      </c>
      <c r="B5" s="92" t="s">
        <v>19</v>
      </c>
      <c r="C5" s="92" t="s">
        <v>1336</v>
      </c>
      <c r="D5" s="93" t="s">
        <v>1337</v>
      </c>
      <c r="E5" s="92" t="s">
        <v>1338</v>
      </c>
      <c r="F5" s="93" t="s">
        <v>1339</v>
      </c>
      <c r="G5" s="93" t="s">
        <v>1340</v>
      </c>
      <c r="H5" s="93" t="s">
        <v>1341</v>
      </c>
      <c r="I5" s="93" t="s">
        <v>1286</v>
      </c>
      <c r="J5" s="93" t="s">
        <v>1354</v>
      </c>
      <c r="K5" s="93" t="s">
        <v>1355</v>
      </c>
      <c r="L5" s="92" t="s">
        <v>1356</v>
      </c>
    </row>
    <row r="6" spans="1:12" ht="15.75" customHeight="1">
      <c r="A6" s="169">
        <v>1</v>
      </c>
      <c r="B6" s="152" t="s">
        <v>361</v>
      </c>
      <c r="C6" s="153"/>
      <c r="D6" s="170">
        <f>SUM(D7:D8)</f>
        <v>253</v>
      </c>
      <c r="E6" s="152" t="str">
        <f>VLOOKUP(B6,Master!B6:N243,9,FALSE)</f>
        <v>gr/pcs</v>
      </c>
      <c r="F6" s="153"/>
      <c r="G6" s="155">
        <f>SUM(G7:G8)</f>
        <v>5685.7894736842109</v>
      </c>
      <c r="H6" s="171">
        <v>0.1</v>
      </c>
      <c r="I6" s="155">
        <f>G6+(G6*H6)</f>
        <v>6254.3684210526317</v>
      </c>
      <c r="J6" s="170">
        <v>200</v>
      </c>
      <c r="K6" s="155">
        <f>I6/J6</f>
        <v>31.271842105263158</v>
      </c>
      <c r="L6" s="172">
        <f>D6/J6</f>
        <v>1.2649999999999999</v>
      </c>
    </row>
    <row r="7" spans="1:12" ht="15.75" customHeight="1">
      <c r="C7" s="4" t="s">
        <v>2041</v>
      </c>
      <c r="D7" s="132">
        <v>3</v>
      </c>
      <c r="E7" s="4" t="str">
        <f>VLOOKUP(C7,Master!$B$6:$N$243,9,FALSE)</f>
        <v>gr</v>
      </c>
      <c r="F7" s="144">
        <f>VLOOKUP(C7,Master!B6:N243,10,FALSE)</f>
        <v>1840</v>
      </c>
      <c r="G7" s="144">
        <f t="shared" ref="G7:G8" si="0">D7*F7</f>
        <v>5520</v>
      </c>
    </row>
    <row r="8" spans="1:12" ht="15.75" customHeight="1">
      <c r="C8" s="4" t="s">
        <v>2052</v>
      </c>
      <c r="D8" s="132">
        <v>250</v>
      </c>
      <c r="E8" s="4" t="str">
        <f>VLOOKUP(C8,Master!$B$6:$N$243,9,FALSE)</f>
        <v>ml</v>
      </c>
      <c r="F8" s="144">
        <f>VLOOKUP(C8,Master!B7:N244,10,FALSE)</f>
        <v>0.66315789473684206</v>
      </c>
      <c r="G8" s="144">
        <f t="shared" si="0"/>
        <v>165.78947368421052</v>
      </c>
    </row>
    <row r="9" spans="1:12" ht="15.75" customHeight="1">
      <c r="A9" s="169">
        <v>2</v>
      </c>
      <c r="B9" s="152" t="s">
        <v>371</v>
      </c>
      <c r="C9" s="153"/>
      <c r="D9" s="170">
        <f>SUM(D10:D11)</f>
        <v>255</v>
      </c>
      <c r="E9" s="152" t="str">
        <f>VLOOKUP(B9,Master!B9:N246,9,FALSE)</f>
        <v>gr/slice</v>
      </c>
      <c r="F9" s="153"/>
      <c r="G9" s="155">
        <f>SUM(G10:G11)</f>
        <v>3165.7894736842104</v>
      </c>
      <c r="H9" s="171">
        <v>0.1</v>
      </c>
      <c r="I9" s="155">
        <f>G9+(G9*H9)</f>
        <v>3482.3684210526317</v>
      </c>
      <c r="J9" s="170">
        <v>200</v>
      </c>
      <c r="K9" s="155">
        <f>I9/J9</f>
        <v>17.411842105263158</v>
      </c>
      <c r="L9" s="172">
        <f>D9/J9</f>
        <v>1.2749999999999999</v>
      </c>
    </row>
    <row r="10" spans="1:12" ht="15.75" customHeight="1">
      <c r="C10" s="4" t="s">
        <v>970</v>
      </c>
      <c r="D10" s="132">
        <v>5</v>
      </c>
      <c r="E10" s="4" t="str">
        <f>VLOOKUP(C10,Master!$B$6:$N$243,9,FALSE)</f>
        <v>gr</v>
      </c>
      <c r="F10" s="144">
        <f>VLOOKUP(C10,Master!B9:N246,10,FALSE)</f>
        <v>600</v>
      </c>
      <c r="G10" s="144">
        <f t="shared" ref="G10:G11" si="1">D10*F10</f>
        <v>3000</v>
      </c>
    </row>
    <row r="11" spans="1:12" ht="15.75" customHeight="1">
      <c r="C11" s="4" t="s">
        <v>2052</v>
      </c>
      <c r="D11" s="132">
        <v>250</v>
      </c>
      <c r="E11" s="4" t="str">
        <f>VLOOKUP(C11,Master!$B$6:$N$243,9,FALSE)</f>
        <v>ml</v>
      </c>
      <c r="F11" s="144">
        <f>VLOOKUP(C11,Master!B10:N247,10,FALSE)</f>
        <v>0.66315789473684206</v>
      </c>
      <c r="G11" s="144">
        <f t="shared" si="1"/>
        <v>165.78947368421052</v>
      </c>
    </row>
    <row r="12" spans="1:12" ht="15.75" customHeight="1">
      <c r="A12" s="169">
        <v>3</v>
      </c>
      <c r="B12" s="152" t="s">
        <v>382</v>
      </c>
      <c r="C12" s="153"/>
      <c r="D12" s="170">
        <f>SUM(D13:D14)</f>
        <v>1022</v>
      </c>
      <c r="E12" s="152" t="str">
        <f>VLOOKUP(B12,Master!B12:N249,9,FALSE)</f>
        <v>ml</v>
      </c>
      <c r="F12" s="153"/>
      <c r="G12" s="155">
        <f>SUM(G13:G14)</f>
        <v>2166.4912280701756</v>
      </c>
      <c r="H12" s="171">
        <v>0.1</v>
      </c>
      <c r="I12" s="155">
        <f>G12+(G12*H12)</f>
        <v>2383.1403508771932</v>
      </c>
      <c r="J12" s="170">
        <v>2000</v>
      </c>
      <c r="K12" s="155">
        <f>I12/J12</f>
        <v>1.1915701754385966</v>
      </c>
      <c r="L12" s="172">
        <f>D12/J12</f>
        <v>0.51100000000000001</v>
      </c>
    </row>
    <row r="13" spans="1:12" ht="15.75" customHeight="1">
      <c r="A13" s="4"/>
      <c r="B13" s="4"/>
      <c r="C13" s="4" t="s">
        <v>847</v>
      </c>
      <c r="D13" s="166">
        <v>22</v>
      </c>
      <c r="E13" s="4" t="str">
        <f>VLOOKUP(C13,Master!$B$6:$N$243,9,FALSE)</f>
        <v>gr</v>
      </c>
      <c r="F13" s="144">
        <f>VLOOKUP(C13,Master!B12:N249,10,FALSE)</f>
        <v>68.333333333333329</v>
      </c>
      <c r="G13" s="144">
        <f t="shared" ref="G13:G14" si="2">D13*F13</f>
        <v>1503.3333333333333</v>
      </c>
      <c r="H13" s="4"/>
      <c r="I13" s="4"/>
      <c r="J13" s="4"/>
      <c r="K13" s="4"/>
      <c r="L13" s="4"/>
    </row>
    <row r="14" spans="1:12" ht="15.75" customHeight="1">
      <c r="A14" s="4"/>
      <c r="B14" s="4"/>
      <c r="C14" s="4" t="s">
        <v>2052</v>
      </c>
      <c r="D14" s="166">
        <v>1000</v>
      </c>
      <c r="E14" s="4" t="str">
        <f>VLOOKUP(C14,Master!$B$6:$N$243,9,FALSE)</f>
        <v>ml</v>
      </c>
      <c r="F14" s="144">
        <f>VLOOKUP(C14,Master!B13:N250,10,FALSE)</f>
        <v>0.66315789473684206</v>
      </c>
      <c r="G14" s="144">
        <f t="shared" si="2"/>
        <v>663.15789473684208</v>
      </c>
      <c r="H14" s="4"/>
      <c r="I14" s="4"/>
      <c r="J14" s="4"/>
      <c r="K14" s="4"/>
      <c r="L14" s="4"/>
    </row>
    <row r="15" spans="1:12" ht="15.75" customHeight="1">
      <c r="A15" s="169">
        <v>4</v>
      </c>
      <c r="B15" s="152" t="s">
        <v>374</v>
      </c>
      <c r="C15" s="153"/>
      <c r="D15" s="170">
        <f>SUM(D16:D17)</f>
        <v>230</v>
      </c>
      <c r="E15" s="152" t="str">
        <f>VLOOKUP(B15,Master!B15:N252,9,FALSE)</f>
        <v>gr</v>
      </c>
      <c r="F15" s="153"/>
      <c r="G15" s="155">
        <f>SUM(G16:G17)</f>
        <v>4339.2631578947367</v>
      </c>
      <c r="H15" s="171">
        <v>0.1</v>
      </c>
      <c r="I15" s="155">
        <f>G15+(G15*H15)</f>
        <v>4773.1894736842105</v>
      </c>
      <c r="J15" s="170">
        <v>200</v>
      </c>
      <c r="K15" s="155">
        <f>I15/J15</f>
        <v>23.865947368421054</v>
      </c>
      <c r="L15" s="172">
        <f>D15/J15</f>
        <v>1.1499999999999999</v>
      </c>
    </row>
    <row r="16" spans="1:12" ht="15.75" customHeight="1">
      <c r="A16" s="4"/>
      <c r="B16" s="4"/>
      <c r="C16" s="4" t="s">
        <v>536</v>
      </c>
      <c r="D16" s="166">
        <v>20</v>
      </c>
      <c r="E16" s="4" t="str">
        <f>VLOOKUP(C16,Master!$B$6:$N$243,9,FALSE)</f>
        <v>gr</v>
      </c>
      <c r="F16" s="144">
        <f>VLOOKUP(C16,Master!B15:N252,10,FALSE)</f>
        <v>210</v>
      </c>
      <c r="G16" s="144">
        <f t="shared" ref="G16:G17" si="3">D16*F16</f>
        <v>4200</v>
      </c>
      <c r="H16" s="4"/>
      <c r="I16" s="4"/>
      <c r="J16" s="4"/>
      <c r="K16" s="4"/>
      <c r="L16" s="4"/>
    </row>
    <row r="17" spans="1:12" ht="15.75" customHeight="1">
      <c r="A17" s="4"/>
      <c r="B17" s="4"/>
      <c r="C17" s="4" t="s">
        <v>2052</v>
      </c>
      <c r="D17" s="166">
        <v>210</v>
      </c>
      <c r="E17" s="4" t="str">
        <f>VLOOKUP(C17,Master!$B$6:$N$243,9,FALSE)</f>
        <v>ml</v>
      </c>
      <c r="F17" s="144">
        <f>VLOOKUP(C17,Master!B16:N253,10,FALSE)</f>
        <v>0.66315789473684206</v>
      </c>
      <c r="G17" s="144">
        <f t="shared" si="3"/>
        <v>139.26315789473682</v>
      </c>
      <c r="H17" s="4"/>
      <c r="I17" s="4"/>
      <c r="J17" s="4"/>
      <c r="K17" s="4"/>
      <c r="L17" s="4"/>
    </row>
    <row r="18" spans="1:12" ht="15.75" customHeight="1">
      <c r="A18" s="169">
        <v>5</v>
      </c>
      <c r="B18" s="152" t="s">
        <v>390</v>
      </c>
      <c r="C18" s="153"/>
      <c r="D18" s="170">
        <f>SUM(D19:D20)</f>
        <v>1220</v>
      </c>
      <c r="E18" s="152" t="str">
        <f>VLOOKUP(B18,Master!B18:N255,9,FALSE)</f>
        <v>ml</v>
      </c>
      <c r="F18" s="153"/>
      <c r="G18" s="155">
        <f>SUM(G19:G20)</f>
        <v>45473.68421052632</v>
      </c>
      <c r="H18" s="171">
        <v>0.1</v>
      </c>
      <c r="I18" s="155">
        <f>G18+(G18*H18)</f>
        <v>50021.052631578954</v>
      </c>
      <c r="J18" s="170">
        <v>1220</v>
      </c>
      <c r="K18" s="155">
        <f>I18/J18</f>
        <v>41.000862812769633</v>
      </c>
      <c r="L18" s="172">
        <f>D18/J18</f>
        <v>1</v>
      </c>
    </row>
    <row r="19" spans="1:12" ht="15.75" customHeight="1">
      <c r="A19" s="4"/>
      <c r="B19" s="4"/>
      <c r="C19" s="4" t="s">
        <v>2049</v>
      </c>
      <c r="D19" s="166">
        <v>740</v>
      </c>
      <c r="E19" s="4" t="str">
        <f>VLOOKUP(C19,Master!$B$6:$N$243,9,FALSE)</f>
        <v>gr</v>
      </c>
      <c r="F19" s="144">
        <f>VLOOKUP(C19,Master!B18:N255,10,FALSE)</f>
        <v>32.432432432432435</v>
      </c>
      <c r="G19" s="144">
        <f t="shared" ref="G19:G20" si="4">D19*F19</f>
        <v>24000.000000000004</v>
      </c>
      <c r="H19" s="4"/>
      <c r="I19" s="4"/>
      <c r="J19" s="4"/>
      <c r="K19" s="4"/>
      <c r="L19" s="4"/>
    </row>
    <row r="20" spans="1:12" ht="15.75" customHeight="1">
      <c r="A20" s="4"/>
      <c r="B20" s="4"/>
      <c r="C20" s="4" t="s">
        <v>2054</v>
      </c>
      <c r="D20" s="166">
        <v>480</v>
      </c>
      <c r="E20" s="4" t="str">
        <f>VLOOKUP(C20,Master!$B$6:$N$243,9,FALSE)</f>
        <v>ml</v>
      </c>
      <c r="F20" s="144">
        <f>VLOOKUP(C20,Master!B19:N256,10,FALSE)</f>
        <v>44.736842105263158</v>
      </c>
      <c r="G20" s="144">
        <f t="shared" si="4"/>
        <v>21473.684210526317</v>
      </c>
      <c r="H20" s="4"/>
      <c r="I20" s="4"/>
      <c r="J20" s="4"/>
      <c r="K20" s="4"/>
      <c r="L20" s="4"/>
    </row>
    <row r="21" spans="1:12" ht="15.75" customHeight="1">
      <c r="A21" s="169">
        <v>6</v>
      </c>
      <c r="B21" s="152" t="s">
        <v>398</v>
      </c>
      <c r="C21" s="153"/>
      <c r="D21" s="170">
        <f>SUM(D22:D23)</f>
        <v>660</v>
      </c>
      <c r="E21" s="152" t="str">
        <f>VLOOKUP(B21,Master!B21:N258,9,FALSE)</f>
        <v>ml</v>
      </c>
      <c r="F21" s="153"/>
      <c r="G21" s="155">
        <f>SUM(G22:G23)</f>
        <v>35218.84210526316</v>
      </c>
      <c r="H21" s="171">
        <v>0.1</v>
      </c>
      <c r="I21" s="155">
        <f>G21+(G21*H21)</f>
        <v>38740.726315789478</v>
      </c>
      <c r="J21" s="170">
        <v>990</v>
      </c>
      <c r="K21" s="155">
        <f>I21/J21</f>
        <v>39.132046783625732</v>
      </c>
      <c r="L21" s="172">
        <f>D21/J21</f>
        <v>0.66666666666666663</v>
      </c>
    </row>
    <row r="22" spans="1:12" ht="15.75" customHeight="1">
      <c r="A22" s="4"/>
      <c r="B22" s="4"/>
      <c r="C22" s="4" t="s">
        <v>2047</v>
      </c>
      <c r="D22" s="166">
        <v>330</v>
      </c>
      <c r="E22" s="4" t="str">
        <f>VLOOKUP(C22,Master!$B$6:$N$243,9,FALSE)</f>
        <v>ml</v>
      </c>
      <c r="F22" s="144">
        <f>VLOOKUP(C22,Master!B21:N258,10,FALSE)</f>
        <v>106.06060606060606</v>
      </c>
      <c r="G22" s="144">
        <f t="shared" ref="G22:G23" si="5">D22*F22</f>
        <v>35000</v>
      </c>
      <c r="H22" s="4"/>
      <c r="I22" s="4"/>
      <c r="J22" s="4"/>
      <c r="K22" s="4"/>
      <c r="L22" s="4"/>
    </row>
    <row r="23" spans="1:12" ht="15.75" customHeight="1">
      <c r="A23" s="4"/>
      <c r="B23" s="4"/>
      <c r="C23" s="4" t="s">
        <v>2052</v>
      </c>
      <c r="D23" s="166">
        <v>330</v>
      </c>
      <c r="E23" s="4" t="str">
        <f>VLOOKUP(C23,Master!$B$6:$N$243,9,FALSE)</f>
        <v>ml</v>
      </c>
      <c r="F23" s="144">
        <f>VLOOKUP(C23,Master!B22:N259,10,FALSE)</f>
        <v>0.66315789473684206</v>
      </c>
      <c r="G23" s="144">
        <f t="shared" si="5"/>
        <v>218.84210526315789</v>
      </c>
      <c r="H23" s="4"/>
      <c r="I23" s="4"/>
      <c r="J23" s="4"/>
      <c r="K23" s="4"/>
      <c r="L23" s="4"/>
    </row>
    <row r="24" spans="1:12" ht="15.75" customHeight="1">
      <c r="A24" s="169">
        <v>7</v>
      </c>
      <c r="B24" s="152" t="s">
        <v>402</v>
      </c>
      <c r="C24" s="153"/>
      <c r="D24" s="170">
        <f>SUM(D25:D26)</f>
        <v>660</v>
      </c>
      <c r="E24" s="152" t="str">
        <f>VLOOKUP(B24,Master!B24:N261,9,FALSE)</f>
        <v>ml</v>
      </c>
      <c r="F24" s="153"/>
      <c r="G24" s="155">
        <f>SUM(G25:G26)</f>
        <v>35218.84210526316</v>
      </c>
      <c r="H24" s="171">
        <v>0.1</v>
      </c>
      <c r="I24" s="155">
        <f>G24+(G24*H24)</f>
        <v>38740.726315789478</v>
      </c>
      <c r="J24" s="170">
        <v>990</v>
      </c>
      <c r="K24" s="155">
        <f>I24/J24</f>
        <v>39.132046783625732</v>
      </c>
      <c r="L24" s="172">
        <f>D24/J24</f>
        <v>0.66666666666666663</v>
      </c>
    </row>
    <row r="25" spans="1:12" ht="15.75" customHeight="1">
      <c r="A25" s="4"/>
      <c r="B25" s="4"/>
      <c r="C25" s="4" t="s">
        <v>2048</v>
      </c>
      <c r="D25" s="166">
        <v>330</v>
      </c>
      <c r="E25" s="4" t="str">
        <f>VLOOKUP(C25,Master!$B$6:$N$243,9,FALSE)</f>
        <v>ml</v>
      </c>
      <c r="F25" s="144">
        <f>VLOOKUP(C25,Master!B24:N261,10,FALSE)</f>
        <v>106.06060606060606</v>
      </c>
      <c r="G25" s="144">
        <f t="shared" ref="G25:G26" si="6">D25*F25</f>
        <v>35000</v>
      </c>
      <c r="H25" s="4"/>
      <c r="I25" s="4"/>
      <c r="J25" s="4"/>
      <c r="K25" s="4"/>
      <c r="L25" s="4"/>
    </row>
    <row r="26" spans="1:12" ht="15.75" customHeight="1">
      <c r="A26" s="4"/>
      <c r="B26" s="4"/>
      <c r="C26" s="4" t="s">
        <v>2052</v>
      </c>
      <c r="D26" s="166">
        <v>330</v>
      </c>
      <c r="E26" s="4" t="str">
        <f>VLOOKUP(C26,Master!$B$6:$N$243,9,FALSE)</f>
        <v>ml</v>
      </c>
      <c r="F26" s="144">
        <f>VLOOKUP(C26,Master!B25:N262,10,FALSE)</f>
        <v>0.66315789473684206</v>
      </c>
      <c r="G26" s="144">
        <f t="shared" si="6"/>
        <v>218.84210526315789</v>
      </c>
      <c r="H26" s="4"/>
      <c r="I26" s="4"/>
      <c r="J26" s="4"/>
      <c r="K26" s="4"/>
      <c r="L26" s="4"/>
    </row>
    <row r="27" spans="1:12" ht="15.75" customHeight="1">
      <c r="A27" s="169">
        <v>8</v>
      </c>
      <c r="B27" s="152" t="s">
        <v>378</v>
      </c>
      <c r="C27" s="153"/>
      <c r="D27" s="170">
        <f>SUM(D28:D29)</f>
        <v>2000</v>
      </c>
      <c r="E27" s="152" t="str">
        <f>VLOOKUP(B27,Master!B27:N264,9,FALSE)</f>
        <v>ml</v>
      </c>
      <c r="F27" s="153"/>
      <c r="G27" s="155">
        <f>SUM(G28:G29)</f>
        <v>18163.157894736843</v>
      </c>
      <c r="H27" s="171">
        <v>0.1</v>
      </c>
      <c r="I27" s="155">
        <f>G27+(G27*H27)</f>
        <v>19979.473684210527</v>
      </c>
      <c r="J27" s="170">
        <v>1250</v>
      </c>
      <c r="K27" s="155">
        <f>I27/J27</f>
        <v>15.983578947368422</v>
      </c>
      <c r="L27" s="172">
        <f>D27/J27</f>
        <v>1.6</v>
      </c>
    </row>
    <row r="28" spans="1:12" ht="15.75" customHeight="1">
      <c r="A28" s="4"/>
      <c r="B28" s="4"/>
      <c r="C28" s="4" t="s">
        <v>2059</v>
      </c>
      <c r="D28" s="166">
        <v>1000</v>
      </c>
      <c r="E28" s="4" t="str">
        <f>VLOOKUP(C28,Master!$B$6:$N$243,9,FALSE)</f>
        <v>gr</v>
      </c>
      <c r="F28" s="144">
        <f>VLOOKUP(C28,Master!B27:N264,10,FALSE)</f>
        <v>17.5</v>
      </c>
      <c r="G28" s="144">
        <f t="shared" ref="G28:G29" si="7">D28*F28</f>
        <v>17500</v>
      </c>
      <c r="H28" s="4"/>
      <c r="I28" s="4"/>
      <c r="J28" s="4"/>
      <c r="K28" s="4"/>
      <c r="L28" s="4"/>
    </row>
    <row r="29" spans="1:12" ht="15.75" customHeight="1">
      <c r="A29" s="4"/>
      <c r="B29" s="4"/>
      <c r="C29" s="4" t="s">
        <v>2052</v>
      </c>
      <c r="D29" s="166">
        <v>1000</v>
      </c>
      <c r="E29" s="4" t="str">
        <f>VLOOKUP(C29,Master!$B$6:$N$243,9,FALSE)</f>
        <v>ml</v>
      </c>
      <c r="F29" s="144">
        <f>VLOOKUP(C29,Master!B28:N265,10,FALSE)</f>
        <v>0.66315789473684206</v>
      </c>
      <c r="G29" s="144">
        <f t="shared" si="7"/>
        <v>663.15789473684208</v>
      </c>
      <c r="H29" s="4"/>
      <c r="I29" s="4"/>
      <c r="J29" s="4"/>
      <c r="K29" s="4"/>
      <c r="L29" s="4"/>
    </row>
    <row r="30" spans="1:12" ht="15.75" customHeight="1">
      <c r="A30" s="210">
        <v>9</v>
      </c>
      <c r="B30" s="163" t="s">
        <v>386</v>
      </c>
      <c r="C30" s="211"/>
      <c r="D30" s="212">
        <f>SUM(D31:D32)</f>
        <v>300</v>
      </c>
      <c r="E30" s="163" t="str">
        <f>VLOOKUP(B30,Master!B30:N267,9,FALSE)</f>
        <v>ml</v>
      </c>
      <c r="F30" s="211"/>
      <c r="G30" s="213">
        <f>SUM(G31:G32)</f>
        <v>4752.1967963386733</v>
      </c>
      <c r="H30" s="214">
        <v>0.1</v>
      </c>
      <c r="I30" s="213">
        <f>G30+(G30*H30)</f>
        <v>5227.4164759725409</v>
      </c>
      <c r="J30" s="212">
        <v>40</v>
      </c>
      <c r="K30" s="213">
        <f>I30/J30</f>
        <v>130.68541189931352</v>
      </c>
      <c r="L30" s="215">
        <f>D30/J30</f>
        <v>7.5</v>
      </c>
    </row>
    <row r="31" spans="1:12" ht="15.75" customHeight="1">
      <c r="A31" s="4"/>
      <c r="B31" s="4"/>
      <c r="C31" s="4" t="s">
        <v>1996</v>
      </c>
      <c r="D31" s="166">
        <v>100</v>
      </c>
      <c r="E31" s="4" t="str">
        <f>VLOOKUP(C31,Master!$B$6:$N$243,9,FALSE)</f>
        <v>ml</v>
      </c>
      <c r="F31" s="144">
        <f>VLOOKUP(C31,Master!B30:N267,10,FALSE)</f>
        <v>46.195652173913047</v>
      </c>
      <c r="G31" s="144">
        <f t="shared" ref="G31:G32" si="8">D31*F31</f>
        <v>4619.5652173913049</v>
      </c>
      <c r="H31" s="4"/>
      <c r="I31" s="4"/>
      <c r="J31" s="4"/>
      <c r="K31" s="4"/>
      <c r="L31" s="4"/>
    </row>
    <row r="32" spans="1:12" ht="15.75" customHeight="1">
      <c r="A32" s="4"/>
      <c r="B32" s="4"/>
      <c r="C32" s="4" t="s">
        <v>2052</v>
      </c>
      <c r="D32" s="166">
        <v>200</v>
      </c>
      <c r="E32" s="4" t="str">
        <f>VLOOKUP(C32,Master!$B$6:$N$243,9,FALSE)</f>
        <v>ml</v>
      </c>
      <c r="F32" s="144">
        <f>VLOOKUP(C32,Master!B31:N268,10,FALSE)</f>
        <v>0.66315789473684206</v>
      </c>
      <c r="G32" s="144">
        <f t="shared" si="8"/>
        <v>132.63157894736841</v>
      </c>
      <c r="H32" s="4"/>
      <c r="I32" s="4"/>
      <c r="J32" s="4"/>
      <c r="K32" s="4"/>
      <c r="L32" s="4"/>
    </row>
    <row r="33" spans="1:12" ht="15.75" customHeight="1">
      <c r="A33" s="169">
        <v>10</v>
      </c>
      <c r="B33" s="152" t="s">
        <v>394</v>
      </c>
      <c r="C33" s="153"/>
      <c r="D33" s="170">
        <f>SUM(D34:D35)</f>
        <v>2090</v>
      </c>
      <c r="E33" s="152" t="str">
        <f>VLOOKUP(B33,Master!B33:N270,9,FALSE)</f>
        <v>ml</v>
      </c>
      <c r="F33" s="153"/>
      <c r="G33" s="155">
        <f>SUM(G34:G35)</f>
        <v>13926.315789473683</v>
      </c>
      <c r="H33" s="171">
        <v>0.1</v>
      </c>
      <c r="I33" s="155">
        <f>G33+(G33*H33)</f>
        <v>15318.947368421052</v>
      </c>
      <c r="J33" s="170">
        <v>160</v>
      </c>
      <c r="K33" s="155">
        <f>I33/J33</f>
        <v>95.743421052631575</v>
      </c>
      <c r="L33" s="172">
        <f>D33/J33</f>
        <v>13.0625</v>
      </c>
    </row>
    <row r="34" spans="1:12" ht="15.75" customHeight="1">
      <c r="A34" s="4"/>
      <c r="B34" s="4"/>
      <c r="C34" s="4" t="s">
        <v>2050</v>
      </c>
      <c r="D34" s="166">
        <v>90</v>
      </c>
      <c r="E34" s="4" t="str">
        <f>VLOOKUP(C34,Master!$B$6:$N$243,9,FALSE)</f>
        <v>gr</v>
      </c>
      <c r="F34" s="144">
        <f>VLOOKUP(C34,Master!B33:N270,10,FALSE)</f>
        <v>140</v>
      </c>
      <c r="G34" s="144">
        <f t="shared" ref="G34:G35" si="9">D34*F34</f>
        <v>12600</v>
      </c>
      <c r="H34" s="4"/>
      <c r="I34" s="4"/>
      <c r="J34" s="4"/>
      <c r="K34" s="4"/>
      <c r="L34" s="4"/>
    </row>
    <row r="35" spans="1:12" ht="15.75" customHeight="1">
      <c r="A35" s="4"/>
      <c r="B35" s="4"/>
      <c r="C35" s="4" t="s">
        <v>2052</v>
      </c>
      <c r="D35" s="166">
        <v>2000</v>
      </c>
      <c r="E35" s="4" t="str">
        <f>VLOOKUP(C35,Master!$B$6:$N$243,9,FALSE)</f>
        <v>ml</v>
      </c>
      <c r="F35" s="144">
        <f>VLOOKUP(C35,Master!B34:N271,10,FALSE)</f>
        <v>0.66315789473684206</v>
      </c>
      <c r="G35" s="144">
        <f t="shared" si="9"/>
        <v>1326.3157894736842</v>
      </c>
      <c r="H35" s="4"/>
      <c r="I35" s="4"/>
      <c r="J35" s="4"/>
      <c r="K35" s="4"/>
      <c r="L35" s="4"/>
    </row>
    <row r="36" spans="1:12" ht="15.75" customHeight="1">
      <c r="A36" s="169">
        <v>11</v>
      </c>
      <c r="B36" s="152" t="s">
        <v>365</v>
      </c>
      <c r="C36" s="153"/>
      <c r="D36" s="170">
        <f>SUM(D37:D38)</f>
        <v>2200</v>
      </c>
      <c r="E36" s="152" t="str">
        <f>VLOOKUP(B36,Master!B36:N273,9,FALSE)</f>
        <v>porsi</v>
      </c>
      <c r="F36" s="153"/>
      <c r="G36" s="155">
        <f>SUM(G37:G38)</f>
        <v>195795.78947368421</v>
      </c>
      <c r="H36" s="171">
        <v>0.1</v>
      </c>
      <c r="I36" s="155">
        <f>G36+(G36*H36)</f>
        <v>215375.36842105264</v>
      </c>
      <c r="J36" s="170">
        <v>55</v>
      </c>
      <c r="K36" s="155">
        <f>I36/J36</f>
        <v>3915.9157894736845</v>
      </c>
      <c r="L36" s="172">
        <f>D36/J36</f>
        <v>40</v>
      </c>
    </row>
    <row r="37" spans="1:12" ht="15.75" customHeight="1">
      <c r="A37" s="4"/>
      <c r="B37" s="4"/>
      <c r="C37" s="4" t="s">
        <v>2030</v>
      </c>
      <c r="D37" s="166">
        <v>1000</v>
      </c>
      <c r="E37" s="4" t="str">
        <f>VLOOKUP(C37,Master!$B$6:$N$1000,9,FALSE)</f>
        <v>gr</v>
      </c>
      <c r="F37" s="144">
        <f>VLOOKUP(C37,Master!B36:N1000,10,FALSE)</f>
        <v>195</v>
      </c>
      <c r="G37" s="144">
        <f t="shared" ref="G37:G38" si="10">D37*F37</f>
        <v>195000</v>
      </c>
      <c r="H37" s="4"/>
      <c r="I37" s="4"/>
      <c r="J37" s="4"/>
      <c r="K37" s="4"/>
      <c r="L37" s="4"/>
    </row>
    <row r="38" spans="1:12" ht="15.75" customHeight="1">
      <c r="A38" s="4"/>
      <c r="B38" s="4"/>
      <c r="C38" s="4" t="s">
        <v>2052</v>
      </c>
      <c r="D38" s="166">
        <v>1200</v>
      </c>
      <c r="E38" s="4" t="str">
        <f>VLOOKUP(C38,Master!$B$6:$N$1000,9,FALSE)</f>
        <v>ml</v>
      </c>
      <c r="F38" s="144">
        <f>VLOOKUP(C38,Master!B37:N1001,10,FALSE)</f>
        <v>0.66315789473684206</v>
      </c>
      <c r="G38" s="144">
        <f t="shared" si="10"/>
        <v>795.78947368421052</v>
      </c>
      <c r="H38" s="4"/>
      <c r="I38" s="4"/>
      <c r="J38" s="4"/>
      <c r="K38" s="4"/>
      <c r="L38" s="4"/>
    </row>
    <row r="39" spans="1:12" ht="15.75" customHeight="1">
      <c r="A39" s="169">
        <v>12</v>
      </c>
      <c r="B39" s="152" t="s">
        <v>406</v>
      </c>
      <c r="C39" s="153"/>
      <c r="D39" s="170">
        <f>SUM(D40:D41)</f>
        <v>2500</v>
      </c>
      <c r="E39" s="152" t="str">
        <f>VLOOKUP(B39,Master!B39:N276,9,FALSE)</f>
        <v>ml</v>
      </c>
      <c r="F39" s="153"/>
      <c r="G39" s="155">
        <f>SUM(G40:G41)</f>
        <v>81326.31578947368</v>
      </c>
      <c r="H39" s="171">
        <v>0.1</v>
      </c>
      <c r="I39" s="155">
        <f>G39+(G39*H39)</f>
        <v>89458.947368421053</v>
      </c>
      <c r="J39" s="170">
        <v>20</v>
      </c>
      <c r="K39" s="155">
        <f>I39/J39</f>
        <v>4472.9473684210525</v>
      </c>
      <c r="L39" s="172">
        <f>D39/J39</f>
        <v>125</v>
      </c>
    </row>
    <row r="40" spans="1:12" ht="15.75" customHeight="1">
      <c r="A40" s="4"/>
      <c r="B40" s="4"/>
      <c r="C40" s="4" t="s">
        <v>2032</v>
      </c>
      <c r="D40" s="166">
        <v>500</v>
      </c>
      <c r="E40" s="4" t="str">
        <f>VLOOKUP(C40,Master!$B$6:$N$1000,9,FALSE)</f>
        <v>gr</v>
      </c>
      <c r="F40" s="144">
        <f>VLOOKUP(C40,Master!B39:N1003,10,FALSE)</f>
        <v>160</v>
      </c>
      <c r="G40" s="144">
        <f t="shared" ref="G40:G41" si="11">D40*F40</f>
        <v>80000</v>
      </c>
      <c r="H40" s="4"/>
      <c r="I40" s="4"/>
      <c r="J40" s="4"/>
      <c r="K40" s="4"/>
      <c r="L40" s="4"/>
    </row>
    <row r="41" spans="1:12" ht="15.75" customHeight="1">
      <c r="A41" s="4"/>
      <c r="B41" s="4"/>
      <c r="C41" s="4" t="s">
        <v>2052</v>
      </c>
      <c r="D41" s="166">
        <v>2000</v>
      </c>
      <c r="E41" s="4" t="str">
        <f>VLOOKUP(C41,Master!$B$6:$N$1000,9,FALSE)</f>
        <v>ml</v>
      </c>
      <c r="F41" s="144">
        <f>VLOOKUP(C41,Master!B40:N1004,10,FALSE)</f>
        <v>0.66315789473684206</v>
      </c>
      <c r="G41" s="144">
        <f t="shared" si="11"/>
        <v>1326.3157894736842</v>
      </c>
      <c r="H41" s="4"/>
      <c r="I41" s="4"/>
      <c r="J41" s="4"/>
      <c r="K41" s="4"/>
      <c r="L41" s="4"/>
    </row>
    <row r="42" spans="1:12" ht="15.75" customHeight="1">
      <c r="A42" s="169">
        <v>13</v>
      </c>
      <c r="B42" s="152" t="s">
        <v>409</v>
      </c>
      <c r="C42" s="153"/>
      <c r="D42" s="170">
        <f>SUM(D43:D44)</f>
        <v>1500</v>
      </c>
      <c r="E42" s="152" t="str">
        <f>VLOOKUP(B42,Master!B42:N279,9,FALSE)</f>
        <v>porsi</v>
      </c>
      <c r="F42" s="153"/>
      <c r="G42" s="155">
        <f>SUM(G43:G44)</f>
        <v>42331.57894736842</v>
      </c>
      <c r="H42" s="171">
        <v>0.1</v>
      </c>
      <c r="I42" s="155">
        <f>G42+(G42*H42)</f>
        <v>46564.73684210526</v>
      </c>
      <c r="J42" s="170">
        <v>40</v>
      </c>
      <c r="K42" s="155">
        <f>I42/J42</f>
        <v>1164.1184210526314</v>
      </c>
      <c r="L42" s="172">
        <f>D42/J42</f>
        <v>37.5</v>
      </c>
    </row>
    <row r="43" spans="1:12" ht="15.75" customHeight="1">
      <c r="A43" s="4"/>
      <c r="B43" s="4"/>
      <c r="C43" s="4" t="s">
        <v>2029</v>
      </c>
      <c r="D43" s="166">
        <v>1000</v>
      </c>
      <c r="E43" s="4" t="str">
        <f>VLOOKUP(C43,Master!$B$6:$N$1000,9,FALSE)</f>
        <v>gr</v>
      </c>
      <c r="F43" s="144">
        <f>VLOOKUP(C43,Master!B42:N1006,10,FALSE)</f>
        <v>42</v>
      </c>
      <c r="G43" s="144">
        <f t="shared" ref="G43:G44" si="12">D43*F43</f>
        <v>42000</v>
      </c>
      <c r="H43" s="4"/>
      <c r="I43" s="4"/>
      <c r="J43" s="4"/>
      <c r="K43" s="4"/>
      <c r="L43" s="4"/>
    </row>
    <row r="44" spans="1:12" ht="15.75" customHeight="1">
      <c r="A44" s="4"/>
      <c r="B44" s="4"/>
      <c r="C44" s="4" t="s">
        <v>2052</v>
      </c>
      <c r="D44" s="166">
        <v>500</v>
      </c>
      <c r="E44" s="4" t="str">
        <f>VLOOKUP(C44,Master!$B$6:$N$1000,9,FALSE)</f>
        <v>ml</v>
      </c>
      <c r="F44" s="144">
        <f>VLOOKUP(C44,Master!B43:N1007,10,FALSE)</f>
        <v>0.66315789473684206</v>
      </c>
      <c r="G44" s="144">
        <f t="shared" si="12"/>
        <v>331.57894736842104</v>
      </c>
      <c r="H44" s="4"/>
      <c r="I44" s="4"/>
      <c r="J44" s="4"/>
      <c r="K44" s="4"/>
      <c r="L44" s="4"/>
    </row>
  </sheetData>
  <autoFilter ref="A5:Z44" xr:uid="{00000000-0009-0000-0000-000005000000}"/>
  <mergeCells count="2">
    <mergeCell ref="A1:C1"/>
    <mergeCell ref="A2:C2"/>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Master!$B$7:$B$1000</xm:f>
          </x14:formula1>
          <xm:sqref>B6 C7:C8 B9 C10:C11 B12 C13:C14 B15 C16:C17 B18 C19:C20 B21 C22:C23 B24 C25:C26 B27 C28:C29 B30 C31:C32 B33 C34:C35 B36 C37:C38 B39 C40:C41 B42 C43:C44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50"/>
  <sheetViews>
    <sheetView workbookViewId="0">
      <pane xSplit="8" topLeftCell="I1" activePane="topRight" state="frozen"/>
      <selection pane="topRight" activeCell="J2" sqref="J2"/>
    </sheetView>
  </sheetViews>
  <sheetFormatPr baseColWidth="10" defaultColWidth="12.6640625" defaultRowHeight="15.75" customHeight="1"/>
  <cols>
    <col min="1" max="1" width="25.6640625" customWidth="1"/>
    <col min="2" max="2" width="6.5" customWidth="1"/>
    <col min="3" max="3" width="10.83203125" customWidth="1"/>
    <col min="4" max="4" width="12.33203125" customWidth="1"/>
    <col min="5" max="5" width="5" customWidth="1"/>
    <col min="6" max="6" width="7.5" customWidth="1"/>
    <col min="7" max="7" width="6.6640625" customWidth="1"/>
    <col min="8" max="8" width="7.33203125" customWidth="1"/>
    <col min="9" max="9" width="9.1640625" customWidth="1"/>
    <col min="11" max="11" width="8" customWidth="1"/>
    <col min="12" max="16" width="6.6640625" customWidth="1"/>
    <col min="17" max="17" width="6.1640625" customWidth="1"/>
  </cols>
  <sheetData>
    <row r="1" spans="1:17" ht="18">
      <c r="A1" s="85"/>
      <c r="B1" s="85"/>
      <c r="C1" s="85"/>
      <c r="D1" s="85"/>
      <c r="E1" s="85"/>
      <c r="F1" s="85"/>
      <c r="G1" s="85"/>
      <c r="H1" s="216"/>
      <c r="I1" s="217">
        <v>9</v>
      </c>
      <c r="J1" s="218">
        <v>10</v>
      </c>
      <c r="K1" s="423" t="s">
        <v>1369</v>
      </c>
      <c r="L1" s="424"/>
      <c r="M1" s="423" t="s">
        <v>1369</v>
      </c>
      <c r="N1" s="424"/>
      <c r="O1" s="423" t="s">
        <v>1369</v>
      </c>
      <c r="P1" s="424"/>
      <c r="Q1" s="219"/>
    </row>
    <row r="2" spans="1:17" ht="15.75" customHeight="1">
      <c r="A2" s="220" t="s">
        <v>1370</v>
      </c>
      <c r="B2" s="220" t="s">
        <v>5</v>
      </c>
      <c r="C2" s="220" t="s">
        <v>17</v>
      </c>
      <c r="D2" s="220" t="s">
        <v>1371</v>
      </c>
      <c r="E2" s="220" t="s">
        <v>11</v>
      </c>
      <c r="F2" s="220" t="s">
        <v>1372</v>
      </c>
      <c r="G2" s="220" t="s">
        <v>1373</v>
      </c>
      <c r="H2" s="220" t="s">
        <v>1338</v>
      </c>
      <c r="I2" s="220" t="s">
        <v>1374</v>
      </c>
      <c r="J2" s="221" t="s">
        <v>1375</v>
      </c>
      <c r="K2" s="222" t="s">
        <v>1369</v>
      </c>
      <c r="L2" s="223" t="s">
        <v>1376</v>
      </c>
      <c r="M2" s="222" t="s">
        <v>1369</v>
      </c>
      <c r="N2" s="223" t="s">
        <v>1376</v>
      </c>
      <c r="O2" s="222" t="s">
        <v>1369</v>
      </c>
      <c r="P2" s="223" t="s">
        <v>1376</v>
      </c>
      <c r="Q2" s="224" t="s">
        <v>1377</v>
      </c>
    </row>
    <row r="3" spans="1:17" ht="15.75" customHeight="1">
      <c r="A3" s="225" t="s">
        <v>1378</v>
      </c>
      <c r="B3" s="226" t="s">
        <v>1379</v>
      </c>
      <c r="C3" s="227" t="s">
        <v>1380</v>
      </c>
      <c r="D3" s="227" t="s">
        <v>1381</v>
      </c>
      <c r="E3" s="228">
        <v>1</v>
      </c>
      <c r="F3" s="226" t="s">
        <v>138</v>
      </c>
      <c r="G3" s="229"/>
      <c r="H3" s="229" t="s">
        <v>138</v>
      </c>
      <c r="I3" s="227"/>
      <c r="J3" s="230">
        <v>217.8</v>
      </c>
      <c r="K3" s="231"/>
      <c r="L3" s="232" t="s">
        <v>1382</v>
      </c>
      <c r="M3" s="233"/>
      <c r="N3" s="232" t="s">
        <v>1382</v>
      </c>
      <c r="O3" s="233"/>
      <c r="P3" s="232" t="s">
        <v>1382</v>
      </c>
      <c r="Q3" s="234" t="b">
        <v>0</v>
      </c>
    </row>
    <row r="4" spans="1:17" ht="15.75" customHeight="1">
      <c r="A4" s="225" t="s">
        <v>1383</v>
      </c>
      <c r="B4" s="226" t="s">
        <v>1384</v>
      </c>
      <c r="C4" s="227" t="s">
        <v>1380</v>
      </c>
      <c r="D4" s="227" t="s">
        <v>1381</v>
      </c>
      <c r="E4" s="228">
        <v>1</v>
      </c>
      <c r="F4" s="226" t="s">
        <v>30</v>
      </c>
      <c r="G4" s="229"/>
      <c r="H4" s="229" t="s">
        <v>30</v>
      </c>
      <c r="I4" s="227"/>
      <c r="J4" s="230">
        <v>2.2183333333333333</v>
      </c>
      <c r="K4" s="231"/>
      <c r="L4" s="232" t="s">
        <v>1382</v>
      </c>
      <c r="M4" s="233"/>
      <c r="N4" s="232" t="s">
        <v>1382</v>
      </c>
      <c r="O4" s="233"/>
      <c r="P4" s="232" t="s">
        <v>1382</v>
      </c>
      <c r="Q4" s="234" t="b">
        <v>0</v>
      </c>
    </row>
    <row r="5" spans="1:17" ht="15.75" customHeight="1">
      <c r="A5" s="225" t="s">
        <v>1385</v>
      </c>
      <c r="B5" s="226" t="s">
        <v>1386</v>
      </c>
      <c r="C5" s="227" t="s">
        <v>1380</v>
      </c>
      <c r="D5" s="227" t="s">
        <v>1381</v>
      </c>
      <c r="E5" s="228">
        <v>1</v>
      </c>
      <c r="F5" s="226" t="s">
        <v>306</v>
      </c>
      <c r="G5" s="229"/>
      <c r="H5" s="229" t="s">
        <v>306</v>
      </c>
      <c r="I5" s="227"/>
      <c r="J5" s="230">
        <v>1071.0526315789475</v>
      </c>
      <c r="K5" s="231"/>
      <c r="L5" s="232" t="s">
        <v>1382</v>
      </c>
      <c r="M5" s="233"/>
      <c r="N5" s="232" t="s">
        <v>1382</v>
      </c>
      <c r="O5" s="233"/>
      <c r="P5" s="232" t="s">
        <v>1382</v>
      </c>
      <c r="Q5" s="234" t="b">
        <v>0</v>
      </c>
    </row>
    <row r="6" spans="1:17" ht="15.75" customHeight="1">
      <c r="A6" s="225" t="s">
        <v>1387</v>
      </c>
      <c r="B6" s="226" t="s">
        <v>1388</v>
      </c>
      <c r="C6" s="227" t="s">
        <v>1380</v>
      </c>
      <c r="D6" s="227" t="s">
        <v>1381</v>
      </c>
      <c r="E6" s="228">
        <v>1</v>
      </c>
      <c r="F6" s="226" t="s">
        <v>1389</v>
      </c>
      <c r="G6" s="229"/>
      <c r="H6" s="229" t="s">
        <v>1389</v>
      </c>
      <c r="I6" s="227"/>
      <c r="J6" s="230">
        <v>6002.424242424242</v>
      </c>
      <c r="K6" s="231"/>
      <c r="L6" s="232" t="s">
        <v>1382</v>
      </c>
      <c r="M6" s="233"/>
      <c r="N6" s="232" t="s">
        <v>1382</v>
      </c>
      <c r="O6" s="233"/>
      <c r="P6" s="232" t="s">
        <v>1382</v>
      </c>
      <c r="Q6" s="234" t="b">
        <v>0</v>
      </c>
    </row>
    <row r="7" spans="1:17" ht="15.75" customHeight="1">
      <c r="A7" s="226" t="s">
        <v>1390</v>
      </c>
      <c r="B7" s="226" t="s">
        <v>1391</v>
      </c>
      <c r="C7" s="227" t="s">
        <v>1380</v>
      </c>
      <c r="D7" s="227" t="s">
        <v>1381</v>
      </c>
      <c r="E7" s="228">
        <v>1</v>
      </c>
      <c r="F7" s="226" t="s">
        <v>138</v>
      </c>
      <c r="G7" s="229"/>
      <c r="H7" s="229" t="s">
        <v>138</v>
      </c>
      <c r="I7" s="227"/>
      <c r="J7" s="230">
        <v>120.84749392729134</v>
      </c>
      <c r="K7" s="231"/>
      <c r="L7" s="232" t="s">
        <v>1382</v>
      </c>
      <c r="M7" s="233"/>
      <c r="N7" s="232" t="s">
        <v>1382</v>
      </c>
      <c r="O7" s="233"/>
      <c r="P7" s="232" t="s">
        <v>1382</v>
      </c>
      <c r="Q7" s="234" t="b">
        <v>0</v>
      </c>
    </row>
    <row r="8" spans="1:17" ht="15.75" customHeight="1">
      <c r="A8" s="225" t="s">
        <v>1392</v>
      </c>
      <c r="B8" s="226" t="s">
        <v>1393</v>
      </c>
      <c r="C8" s="227" t="s">
        <v>1380</v>
      </c>
      <c r="D8" s="227" t="s">
        <v>1381</v>
      </c>
      <c r="E8" s="228">
        <v>1</v>
      </c>
      <c r="F8" s="226" t="s">
        <v>1389</v>
      </c>
      <c r="G8" s="229"/>
      <c r="H8" s="229" t="s">
        <v>1389</v>
      </c>
      <c r="I8" s="227"/>
      <c r="J8" s="230">
        <v>2194.5</v>
      </c>
      <c r="K8" s="231"/>
      <c r="L8" s="232" t="s">
        <v>1382</v>
      </c>
      <c r="M8" s="233"/>
      <c r="N8" s="232" t="s">
        <v>1382</v>
      </c>
      <c r="O8" s="233"/>
      <c r="P8" s="232" t="s">
        <v>1382</v>
      </c>
      <c r="Q8" s="234" t="b">
        <v>0</v>
      </c>
    </row>
    <row r="9" spans="1:17" ht="15.75" customHeight="1">
      <c r="A9" s="225" t="s">
        <v>1394</v>
      </c>
      <c r="B9" s="226" t="s">
        <v>1395</v>
      </c>
      <c r="C9" s="227" t="s">
        <v>1380</v>
      </c>
      <c r="D9" s="227" t="s">
        <v>1381</v>
      </c>
      <c r="E9" s="228">
        <v>1</v>
      </c>
      <c r="F9" s="226" t="s">
        <v>366</v>
      </c>
      <c r="G9" s="229"/>
      <c r="H9" s="229" t="s">
        <v>366</v>
      </c>
      <c r="I9" s="227"/>
      <c r="J9" s="230">
        <v>2438.9444444444443</v>
      </c>
      <c r="K9" s="231"/>
      <c r="L9" s="232" t="s">
        <v>1382</v>
      </c>
      <c r="M9" s="233"/>
      <c r="N9" s="232" t="s">
        <v>1382</v>
      </c>
      <c r="O9" s="233"/>
      <c r="P9" s="232" t="s">
        <v>1382</v>
      </c>
      <c r="Q9" s="234" t="b">
        <v>0</v>
      </c>
    </row>
    <row r="10" spans="1:17" ht="15.75" customHeight="1">
      <c r="A10" s="225" t="s">
        <v>1396</v>
      </c>
      <c r="B10" s="226" t="s">
        <v>1397</v>
      </c>
      <c r="C10" s="227" t="s">
        <v>1380</v>
      </c>
      <c r="D10" s="227" t="s">
        <v>1381</v>
      </c>
      <c r="E10" s="228">
        <v>1</v>
      </c>
      <c r="F10" s="226" t="s">
        <v>138</v>
      </c>
      <c r="G10" s="229"/>
      <c r="H10" s="229" t="s">
        <v>138</v>
      </c>
      <c r="I10" s="227"/>
      <c r="J10" s="230">
        <v>179.36111111111109</v>
      </c>
      <c r="K10" s="231"/>
      <c r="L10" s="232" t="s">
        <v>1382</v>
      </c>
      <c r="M10" s="233"/>
      <c r="N10" s="232" t="s">
        <v>1382</v>
      </c>
      <c r="O10" s="233"/>
      <c r="P10" s="232" t="s">
        <v>1382</v>
      </c>
      <c r="Q10" s="234" t="b">
        <v>0</v>
      </c>
    </row>
    <row r="11" spans="1:17" ht="15.75" customHeight="1">
      <c r="A11" s="225" t="s">
        <v>1398</v>
      </c>
      <c r="B11" s="226" t="s">
        <v>1399</v>
      </c>
      <c r="C11" s="227" t="s">
        <v>1380</v>
      </c>
      <c r="D11" s="227" t="s">
        <v>1381</v>
      </c>
      <c r="E11" s="228">
        <v>1</v>
      </c>
      <c r="F11" s="226" t="s">
        <v>138</v>
      </c>
      <c r="G11" s="229"/>
      <c r="H11" s="229" t="s">
        <v>138</v>
      </c>
      <c r="I11" s="227"/>
      <c r="J11" s="230">
        <v>179.36111111111109</v>
      </c>
      <c r="K11" s="231"/>
      <c r="L11" s="232" t="s">
        <v>1382</v>
      </c>
      <c r="M11" s="233"/>
      <c r="N11" s="232" t="s">
        <v>1382</v>
      </c>
      <c r="O11" s="233"/>
      <c r="P11" s="232" t="s">
        <v>1382</v>
      </c>
      <c r="Q11" s="234" t="b">
        <v>0</v>
      </c>
    </row>
    <row r="12" spans="1:17" ht="15.75" customHeight="1">
      <c r="A12" s="225" t="s">
        <v>1400</v>
      </c>
      <c r="B12" s="226" t="s">
        <v>1401</v>
      </c>
      <c r="C12" s="227" t="s">
        <v>1380</v>
      </c>
      <c r="D12" s="227" t="s">
        <v>1381</v>
      </c>
      <c r="E12" s="228">
        <v>1</v>
      </c>
      <c r="F12" s="226" t="s">
        <v>30</v>
      </c>
      <c r="G12" s="229"/>
      <c r="H12" s="229" t="s">
        <v>30</v>
      </c>
      <c r="I12" s="227"/>
      <c r="J12" s="235"/>
      <c r="K12" s="231"/>
      <c r="L12" s="232" t="s">
        <v>1382</v>
      </c>
      <c r="M12" s="233"/>
      <c r="N12" s="232" t="s">
        <v>1382</v>
      </c>
      <c r="O12" s="233"/>
      <c r="P12" s="232" t="s">
        <v>1382</v>
      </c>
      <c r="Q12" s="234" t="b">
        <v>0</v>
      </c>
    </row>
    <row r="13" spans="1:17" ht="15.75" customHeight="1">
      <c r="A13" s="225" t="s">
        <v>1402</v>
      </c>
      <c r="B13" s="226" t="s">
        <v>1403</v>
      </c>
      <c r="C13" s="227" t="s">
        <v>1380</v>
      </c>
      <c r="D13" s="227" t="s">
        <v>1381</v>
      </c>
      <c r="E13" s="228">
        <v>1</v>
      </c>
      <c r="F13" s="226" t="s">
        <v>30</v>
      </c>
      <c r="G13" s="229"/>
      <c r="H13" s="229" t="s">
        <v>30</v>
      </c>
      <c r="I13" s="227"/>
      <c r="J13" s="235"/>
      <c r="K13" s="231"/>
      <c r="L13" s="232" t="s">
        <v>1382</v>
      </c>
      <c r="M13" s="233"/>
      <c r="N13" s="232" t="s">
        <v>1382</v>
      </c>
      <c r="O13" s="233"/>
      <c r="P13" s="232" t="s">
        <v>1382</v>
      </c>
      <c r="Q13" s="234" t="b">
        <v>0</v>
      </c>
    </row>
    <row r="14" spans="1:17" ht="15.75" customHeight="1">
      <c r="A14" s="225" t="s">
        <v>1404</v>
      </c>
      <c r="B14" s="226" t="s">
        <v>1405</v>
      </c>
      <c r="C14" s="227" t="s">
        <v>1380</v>
      </c>
      <c r="D14" s="227" t="s">
        <v>1381</v>
      </c>
      <c r="E14" s="228">
        <v>1</v>
      </c>
      <c r="F14" s="226" t="s">
        <v>138</v>
      </c>
      <c r="G14" s="229"/>
      <c r="H14" s="229" t="s">
        <v>138</v>
      </c>
      <c r="I14" s="227"/>
      <c r="J14" s="235"/>
      <c r="K14" s="231"/>
      <c r="L14" s="232" t="s">
        <v>1382</v>
      </c>
      <c r="M14" s="233"/>
      <c r="N14" s="232" t="s">
        <v>1382</v>
      </c>
      <c r="O14" s="233"/>
      <c r="P14" s="232" t="s">
        <v>1382</v>
      </c>
      <c r="Q14" s="234" t="b">
        <v>0</v>
      </c>
    </row>
    <row r="15" spans="1:17" ht="15.75" customHeight="1">
      <c r="A15" s="236" t="s">
        <v>1406</v>
      </c>
      <c r="B15" s="237" t="s">
        <v>1407</v>
      </c>
      <c r="C15" s="238" t="s">
        <v>1408</v>
      </c>
      <c r="D15" s="238" t="s">
        <v>1409</v>
      </c>
      <c r="E15" s="239">
        <v>1</v>
      </c>
      <c r="F15" s="237" t="s">
        <v>1382</v>
      </c>
      <c r="G15" s="240">
        <v>10</v>
      </c>
      <c r="H15" s="241" t="s">
        <v>306</v>
      </c>
      <c r="I15" s="242">
        <v>4200</v>
      </c>
      <c r="J15" s="243">
        <f t="shared" ref="J15:J49" si="0">I15/G15</f>
        <v>420</v>
      </c>
      <c r="K15" s="244"/>
      <c r="L15" s="245" t="s">
        <v>1382</v>
      </c>
      <c r="M15" s="246"/>
      <c r="N15" s="245" t="s">
        <v>1382</v>
      </c>
      <c r="O15" s="246"/>
      <c r="P15" s="245" t="s">
        <v>1382</v>
      </c>
      <c r="Q15" s="247" t="b">
        <v>0</v>
      </c>
    </row>
    <row r="16" spans="1:17" ht="15.75" customHeight="1">
      <c r="A16" s="236" t="s">
        <v>1410</v>
      </c>
      <c r="B16" s="237" t="s">
        <v>1411</v>
      </c>
      <c r="C16" s="238" t="s">
        <v>1408</v>
      </c>
      <c r="D16" s="238" t="s">
        <v>1409</v>
      </c>
      <c r="E16" s="239">
        <v>1</v>
      </c>
      <c r="F16" s="237" t="s">
        <v>1382</v>
      </c>
      <c r="G16" s="240">
        <v>34</v>
      </c>
      <c r="H16" s="241" t="s">
        <v>306</v>
      </c>
      <c r="I16" s="242">
        <v>23000</v>
      </c>
      <c r="J16" s="243">
        <f t="shared" si="0"/>
        <v>676.47058823529414</v>
      </c>
      <c r="K16" s="244"/>
      <c r="L16" s="245" t="s">
        <v>1382</v>
      </c>
      <c r="M16" s="246"/>
      <c r="N16" s="245" t="s">
        <v>1382</v>
      </c>
      <c r="O16" s="246"/>
      <c r="P16" s="245" t="s">
        <v>1382</v>
      </c>
      <c r="Q16" s="247" t="b">
        <v>0</v>
      </c>
    </row>
    <row r="17" spans="1:17" ht="15.75" customHeight="1">
      <c r="A17" s="236" t="s">
        <v>1412</v>
      </c>
      <c r="B17" s="237" t="s">
        <v>1413</v>
      </c>
      <c r="C17" s="238" t="s">
        <v>1408</v>
      </c>
      <c r="D17" s="238" t="s">
        <v>1409</v>
      </c>
      <c r="E17" s="239">
        <v>1</v>
      </c>
      <c r="F17" s="237" t="s">
        <v>1382</v>
      </c>
      <c r="G17" s="240">
        <v>4</v>
      </c>
      <c r="H17" s="241" t="s">
        <v>306</v>
      </c>
      <c r="I17" s="242">
        <v>37800</v>
      </c>
      <c r="J17" s="243">
        <f t="shared" si="0"/>
        <v>9450</v>
      </c>
      <c r="K17" s="244"/>
      <c r="L17" s="245" t="s">
        <v>1382</v>
      </c>
      <c r="M17" s="246"/>
      <c r="N17" s="245" t="s">
        <v>1382</v>
      </c>
      <c r="O17" s="246"/>
      <c r="P17" s="245" t="s">
        <v>1382</v>
      </c>
      <c r="Q17" s="247" t="b">
        <v>0</v>
      </c>
    </row>
    <row r="18" spans="1:17" ht="15.75" customHeight="1">
      <c r="A18" s="236" t="s">
        <v>1414</v>
      </c>
      <c r="B18" s="237" t="s">
        <v>1415</v>
      </c>
      <c r="C18" s="238" t="s">
        <v>1408</v>
      </c>
      <c r="D18" s="238" t="s">
        <v>1409</v>
      </c>
      <c r="E18" s="239">
        <v>1</v>
      </c>
      <c r="F18" s="237" t="s">
        <v>1382</v>
      </c>
      <c r="G18" s="240">
        <v>6</v>
      </c>
      <c r="H18" s="241" t="s">
        <v>306</v>
      </c>
      <c r="I18" s="242">
        <v>47950</v>
      </c>
      <c r="J18" s="243">
        <f t="shared" si="0"/>
        <v>7991.666666666667</v>
      </c>
      <c r="K18" s="244"/>
      <c r="L18" s="245" t="s">
        <v>1382</v>
      </c>
      <c r="M18" s="246"/>
      <c r="N18" s="245" t="s">
        <v>1382</v>
      </c>
      <c r="O18" s="246"/>
      <c r="P18" s="245" t="s">
        <v>1382</v>
      </c>
      <c r="Q18" s="247" t="b">
        <v>0</v>
      </c>
    </row>
    <row r="19" spans="1:17" ht="15.75" customHeight="1">
      <c r="A19" s="236" t="s">
        <v>1416</v>
      </c>
      <c r="B19" s="237" t="s">
        <v>1417</v>
      </c>
      <c r="C19" s="238" t="s">
        <v>1408</v>
      </c>
      <c r="D19" s="238" t="s">
        <v>1409</v>
      </c>
      <c r="E19" s="239">
        <v>1</v>
      </c>
      <c r="F19" s="237" t="s">
        <v>1382</v>
      </c>
      <c r="G19" s="240">
        <v>6</v>
      </c>
      <c r="H19" s="241" t="s">
        <v>306</v>
      </c>
      <c r="I19" s="242">
        <v>43250</v>
      </c>
      <c r="J19" s="243">
        <f t="shared" si="0"/>
        <v>7208.333333333333</v>
      </c>
      <c r="K19" s="244"/>
      <c r="L19" s="245" t="s">
        <v>1382</v>
      </c>
      <c r="M19" s="246"/>
      <c r="N19" s="245" t="s">
        <v>1382</v>
      </c>
      <c r="O19" s="246"/>
      <c r="P19" s="245" t="s">
        <v>1382</v>
      </c>
      <c r="Q19" s="247" t="b">
        <v>0</v>
      </c>
    </row>
    <row r="20" spans="1:17" ht="15.75" customHeight="1">
      <c r="A20" s="236" t="s">
        <v>1418</v>
      </c>
      <c r="B20" s="237" t="s">
        <v>1419</v>
      </c>
      <c r="C20" s="238" t="s">
        <v>1408</v>
      </c>
      <c r="D20" s="238" t="s">
        <v>1409</v>
      </c>
      <c r="E20" s="239">
        <v>1</v>
      </c>
      <c r="F20" s="237" t="s">
        <v>1382</v>
      </c>
      <c r="G20" s="240">
        <v>1000</v>
      </c>
      <c r="H20" s="241" t="s">
        <v>138</v>
      </c>
      <c r="I20" s="242">
        <v>69000</v>
      </c>
      <c r="J20" s="243">
        <f t="shared" si="0"/>
        <v>69</v>
      </c>
      <c r="K20" s="248"/>
      <c r="L20" s="245" t="s">
        <v>1382</v>
      </c>
      <c r="M20" s="246"/>
      <c r="N20" s="245" t="s">
        <v>1382</v>
      </c>
      <c r="O20" s="246"/>
      <c r="P20" s="245" t="s">
        <v>1382</v>
      </c>
      <c r="Q20" s="249" t="b">
        <v>0</v>
      </c>
    </row>
    <row r="21" spans="1:17" ht="15.75" customHeight="1">
      <c r="A21" s="236" t="s">
        <v>1420</v>
      </c>
      <c r="B21" s="237" t="s">
        <v>1421</v>
      </c>
      <c r="C21" s="238" t="s">
        <v>1408</v>
      </c>
      <c r="D21" s="238" t="s">
        <v>1409</v>
      </c>
      <c r="E21" s="239">
        <v>1</v>
      </c>
      <c r="F21" s="237" t="s">
        <v>1382</v>
      </c>
      <c r="G21" s="240">
        <v>190</v>
      </c>
      <c r="H21" s="241" t="s">
        <v>306</v>
      </c>
      <c r="I21" s="242">
        <v>185000</v>
      </c>
      <c r="J21" s="243">
        <f t="shared" si="0"/>
        <v>973.68421052631584</v>
      </c>
      <c r="K21" s="244"/>
      <c r="L21" s="245" t="s">
        <v>1382</v>
      </c>
      <c r="M21" s="246"/>
      <c r="N21" s="245" t="s">
        <v>1382</v>
      </c>
      <c r="O21" s="246"/>
      <c r="P21" s="245" t="s">
        <v>1382</v>
      </c>
      <c r="Q21" s="247" t="b">
        <v>0</v>
      </c>
    </row>
    <row r="22" spans="1:17" ht="15.75" customHeight="1">
      <c r="A22" s="236" t="s">
        <v>1422</v>
      </c>
      <c r="B22" s="237" t="s">
        <v>1423</v>
      </c>
      <c r="C22" s="238" t="s">
        <v>1408</v>
      </c>
      <c r="D22" s="238" t="s">
        <v>1409</v>
      </c>
      <c r="E22" s="239">
        <v>1</v>
      </c>
      <c r="F22" s="237" t="s">
        <v>1424</v>
      </c>
      <c r="G22" s="240">
        <v>1000</v>
      </c>
      <c r="H22" s="241" t="s">
        <v>138</v>
      </c>
      <c r="I22" s="242">
        <v>34500</v>
      </c>
      <c r="J22" s="243">
        <f t="shared" si="0"/>
        <v>34.5</v>
      </c>
      <c r="K22" s="248"/>
      <c r="L22" s="245" t="s">
        <v>1424</v>
      </c>
      <c r="M22" s="246"/>
      <c r="N22" s="245" t="s">
        <v>1424</v>
      </c>
      <c r="O22" s="246"/>
      <c r="P22" s="245" t="s">
        <v>1424</v>
      </c>
      <c r="Q22" s="249" t="b">
        <v>0</v>
      </c>
    </row>
    <row r="23" spans="1:17" ht="15.75" customHeight="1">
      <c r="A23" s="236" t="s">
        <v>1425</v>
      </c>
      <c r="B23" s="237" t="s">
        <v>1426</v>
      </c>
      <c r="C23" s="238" t="s">
        <v>1408</v>
      </c>
      <c r="D23" s="238" t="s">
        <v>1409</v>
      </c>
      <c r="E23" s="239">
        <v>1</v>
      </c>
      <c r="F23" s="237" t="s">
        <v>1427</v>
      </c>
      <c r="G23" s="240">
        <v>1000</v>
      </c>
      <c r="H23" s="241" t="s">
        <v>138</v>
      </c>
      <c r="I23" s="242">
        <v>46000</v>
      </c>
      <c r="J23" s="243">
        <f t="shared" si="0"/>
        <v>46</v>
      </c>
      <c r="K23" s="244"/>
      <c r="L23" s="245" t="s">
        <v>1427</v>
      </c>
      <c r="M23" s="246"/>
      <c r="N23" s="245" t="s">
        <v>1427</v>
      </c>
      <c r="O23" s="246"/>
      <c r="P23" s="245" t="s">
        <v>1427</v>
      </c>
      <c r="Q23" s="247" t="b">
        <v>0</v>
      </c>
    </row>
    <row r="24" spans="1:17" ht="15.75" customHeight="1">
      <c r="A24" s="236" t="s">
        <v>659</v>
      </c>
      <c r="B24" s="237" t="s">
        <v>1428</v>
      </c>
      <c r="C24" s="238" t="s">
        <v>1408</v>
      </c>
      <c r="D24" s="238" t="s">
        <v>1409</v>
      </c>
      <c r="E24" s="239">
        <v>1</v>
      </c>
      <c r="F24" s="237" t="s">
        <v>1382</v>
      </c>
      <c r="G24" s="240">
        <v>15</v>
      </c>
      <c r="H24" s="241" t="s">
        <v>306</v>
      </c>
      <c r="I24" s="242">
        <v>28000</v>
      </c>
      <c r="J24" s="243">
        <f t="shared" si="0"/>
        <v>1866.6666666666667</v>
      </c>
      <c r="K24" s="244"/>
      <c r="L24" s="245" t="s">
        <v>1382</v>
      </c>
      <c r="M24" s="246"/>
      <c r="N24" s="245" t="s">
        <v>1382</v>
      </c>
      <c r="O24" s="246"/>
      <c r="P24" s="245" t="s">
        <v>1382</v>
      </c>
      <c r="Q24" s="247" t="b">
        <v>0</v>
      </c>
    </row>
    <row r="25" spans="1:17" ht="15.75" customHeight="1">
      <c r="A25" s="236" t="s">
        <v>1429</v>
      </c>
      <c r="B25" s="237" t="s">
        <v>1430</v>
      </c>
      <c r="C25" s="238" t="s">
        <v>1431</v>
      </c>
      <c r="D25" s="238" t="s">
        <v>1409</v>
      </c>
      <c r="E25" s="239">
        <v>1</v>
      </c>
      <c r="F25" s="237" t="s">
        <v>1382</v>
      </c>
      <c r="G25" s="240">
        <v>250</v>
      </c>
      <c r="H25" s="241" t="s">
        <v>138</v>
      </c>
      <c r="I25" s="242">
        <v>2500</v>
      </c>
      <c r="J25" s="243">
        <f t="shared" si="0"/>
        <v>10</v>
      </c>
      <c r="K25" s="244"/>
      <c r="L25" s="245" t="s">
        <v>1382</v>
      </c>
      <c r="M25" s="246"/>
      <c r="N25" s="245" t="s">
        <v>1382</v>
      </c>
      <c r="O25" s="246"/>
      <c r="P25" s="245" t="s">
        <v>1382</v>
      </c>
      <c r="Q25" s="247" t="b">
        <v>0</v>
      </c>
    </row>
    <row r="26" spans="1:17" ht="15.75" customHeight="1">
      <c r="A26" s="236" t="s">
        <v>1432</v>
      </c>
      <c r="B26" s="237" t="s">
        <v>1433</v>
      </c>
      <c r="C26" s="238" t="s">
        <v>1431</v>
      </c>
      <c r="D26" s="238" t="s">
        <v>1409</v>
      </c>
      <c r="E26" s="239">
        <v>1</v>
      </c>
      <c r="F26" s="237" t="s">
        <v>1382</v>
      </c>
      <c r="G26" s="240">
        <v>1000</v>
      </c>
      <c r="H26" s="241" t="s">
        <v>138</v>
      </c>
      <c r="I26" s="242">
        <v>80900</v>
      </c>
      <c r="J26" s="243">
        <f t="shared" si="0"/>
        <v>80.900000000000006</v>
      </c>
      <c r="K26" s="244"/>
      <c r="L26" s="245" t="s">
        <v>1382</v>
      </c>
      <c r="M26" s="246"/>
      <c r="N26" s="245" t="s">
        <v>1382</v>
      </c>
      <c r="O26" s="246"/>
      <c r="P26" s="245" t="s">
        <v>1382</v>
      </c>
      <c r="Q26" s="247" t="b">
        <v>0</v>
      </c>
    </row>
    <row r="27" spans="1:17" ht="15.75" customHeight="1">
      <c r="A27" s="236" t="s">
        <v>1434</v>
      </c>
      <c r="B27" s="237" t="s">
        <v>1435</v>
      </c>
      <c r="C27" s="238" t="s">
        <v>1431</v>
      </c>
      <c r="D27" s="238" t="s">
        <v>1409</v>
      </c>
      <c r="E27" s="239">
        <v>1</v>
      </c>
      <c r="F27" s="237" t="s">
        <v>1436</v>
      </c>
      <c r="G27" s="240">
        <v>720</v>
      </c>
      <c r="H27" s="241" t="s">
        <v>138</v>
      </c>
      <c r="I27" s="242">
        <v>26100</v>
      </c>
      <c r="J27" s="243">
        <f t="shared" si="0"/>
        <v>36.25</v>
      </c>
      <c r="K27" s="244"/>
      <c r="L27" s="245" t="s">
        <v>1437</v>
      </c>
      <c r="M27" s="246"/>
      <c r="N27" s="245" t="s">
        <v>1437</v>
      </c>
      <c r="O27" s="246"/>
      <c r="P27" s="245" t="s">
        <v>1437</v>
      </c>
      <c r="Q27" s="247" t="b">
        <v>0</v>
      </c>
    </row>
    <row r="28" spans="1:17" ht="15.75" customHeight="1">
      <c r="A28" s="236" t="s">
        <v>1438</v>
      </c>
      <c r="B28" s="237" t="s">
        <v>1439</v>
      </c>
      <c r="C28" s="238" t="s">
        <v>1431</v>
      </c>
      <c r="D28" s="238" t="s">
        <v>1409</v>
      </c>
      <c r="E28" s="239">
        <v>1</v>
      </c>
      <c r="F28" s="237" t="s">
        <v>1382</v>
      </c>
      <c r="G28" s="240">
        <v>1000</v>
      </c>
      <c r="H28" s="241" t="s">
        <v>138</v>
      </c>
      <c r="I28" s="242">
        <v>103000</v>
      </c>
      <c r="J28" s="243">
        <f t="shared" si="0"/>
        <v>103</v>
      </c>
      <c r="K28" s="244"/>
      <c r="L28" s="245" t="s">
        <v>1382</v>
      </c>
      <c r="M28" s="246"/>
      <c r="N28" s="245" t="s">
        <v>1382</v>
      </c>
      <c r="O28" s="246"/>
      <c r="P28" s="245" t="s">
        <v>1382</v>
      </c>
      <c r="Q28" s="247" t="b">
        <v>0</v>
      </c>
    </row>
    <row r="29" spans="1:17" ht="15.75" customHeight="1">
      <c r="A29" s="236" t="s">
        <v>1440</v>
      </c>
      <c r="B29" s="237" t="s">
        <v>1441</v>
      </c>
      <c r="C29" s="238" t="s">
        <v>1442</v>
      </c>
      <c r="D29" s="238" t="s">
        <v>1409</v>
      </c>
      <c r="E29" s="240">
        <v>1</v>
      </c>
      <c r="F29" s="237" t="s">
        <v>1382</v>
      </c>
      <c r="G29" s="240">
        <v>1000</v>
      </c>
      <c r="H29" s="241" t="s">
        <v>138</v>
      </c>
      <c r="I29" s="242">
        <v>92700</v>
      </c>
      <c r="J29" s="243">
        <f t="shared" si="0"/>
        <v>92.7</v>
      </c>
      <c r="K29" s="244"/>
      <c r="L29" s="245" t="s">
        <v>1382</v>
      </c>
      <c r="M29" s="246"/>
      <c r="N29" s="245" t="s">
        <v>1382</v>
      </c>
      <c r="O29" s="246"/>
      <c r="P29" s="245" t="s">
        <v>1382</v>
      </c>
      <c r="Q29" s="247" t="b">
        <v>0</v>
      </c>
    </row>
    <row r="30" spans="1:17" ht="15.75" customHeight="1">
      <c r="A30" s="236" t="s">
        <v>1443</v>
      </c>
      <c r="B30" s="237" t="s">
        <v>1444</v>
      </c>
      <c r="C30" s="238" t="s">
        <v>1442</v>
      </c>
      <c r="D30" s="238" t="s">
        <v>1409</v>
      </c>
      <c r="E30" s="239">
        <v>1</v>
      </c>
      <c r="F30" s="237" t="s">
        <v>1382</v>
      </c>
      <c r="G30" s="240">
        <v>1000</v>
      </c>
      <c r="H30" s="241" t="s">
        <v>138</v>
      </c>
      <c r="I30" s="242">
        <v>129500</v>
      </c>
      <c r="J30" s="243">
        <f t="shared" si="0"/>
        <v>129.5</v>
      </c>
      <c r="K30" s="244"/>
      <c r="L30" s="245" t="s">
        <v>1382</v>
      </c>
      <c r="M30" s="246"/>
      <c r="N30" s="245" t="s">
        <v>1382</v>
      </c>
      <c r="O30" s="246"/>
      <c r="P30" s="245" t="s">
        <v>1382</v>
      </c>
      <c r="Q30" s="247" t="b">
        <v>0</v>
      </c>
    </row>
    <row r="31" spans="1:17" ht="15.75" customHeight="1">
      <c r="A31" s="236" t="s">
        <v>342</v>
      </c>
      <c r="B31" s="237" t="s">
        <v>1445</v>
      </c>
      <c r="C31" s="238" t="s">
        <v>1442</v>
      </c>
      <c r="D31" s="238" t="s">
        <v>1409</v>
      </c>
      <c r="E31" s="239">
        <v>1</v>
      </c>
      <c r="F31" s="237" t="s">
        <v>1382</v>
      </c>
      <c r="G31" s="240">
        <v>1</v>
      </c>
      <c r="H31" s="241" t="s">
        <v>306</v>
      </c>
      <c r="I31" s="242">
        <v>2350</v>
      </c>
      <c r="J31" s="243">
        <f t="shared" si="0"/>
        <v>2350</v>
      </c>
      <c r="K31" s="244"/>
      <c r="L31" s="245" t="s">
        <v>1382</v>
      </c>
      <c r="M31" s="246"/>
      <c r="N31" s="245" t="s">
        <v>1382</v>
      </c>
      <c r="O31" s="246"/>
      <c r="P31" s="245" t="s">
        <v>1382</v>
      </c>
      <c r="Q31" s="247" t="b">
        <v>0</v>
      </c>
    </row>
    <row r="32" spans="1:17" ht="15.75" customHeight="1">
      <c r="A32" s="250" t="s">
        <v>1446</v>
      </c>
      <c r="B32" s="251" t="s">
        <v>1447</v>
      </c>
      <c r="C32" s="252" t="s">
        <v>1448</v>
      </c>
      <c r="D32" s="252" t="s">
        <v>1409</v>
      </c>
      <c r="E32" s="253">
        <v>1</v>
      </c>
      <c r="F32" s="251" t="s">
        <v>1382</v>
      </c>
      <c r="G32" s="254">
        <v>1500</v>
      </c>
      <c r="H32" s="255" t="s">
        <v>306</v>
      </c>
      <c r="I32" s="256">
        <v>140000</v>
      </c>
      <c r="J32" s="257">
        <f t="shared" si="0"/>
        <v>93.333333333333329</v>
      </c>
      <c r="K32" s="258"/>
      <c r="L32" s="259" t="s">
        <v>1382</v>
      </c>
      <c r="M32" s="260"/>
      <c r="N32" s="259" t="s">
        <v>1382</v>
      </c>
      <c r="O32" s="260"/>
      <c r="P32" s="259" t="s">
        <v>1382</v>
      </c>
      <c r="Q32" s="261" t="b">
        <v>0</v>
      </c>
    </row>
    <row r="33" spans="1:17" ht="15.75" customHeight="1">
      <c r="A33" s="250" t="s">
        <v>1449</v>
      </c>
      <c r="B33" s="251" t="s">
        <v>1450</v>
      </c>
      <c r="C33" s="252" t="s">
        <v>1448</v>
      </c>
      <c r="D33" s="252" t="s">
        <v>1409</v>
      </c>
      <c r="E33" s="253">
        <v>1</v>
      </c>
      <c r="F33" s="251" t="s">
        <v>1382</v>
      </c>
      <c r="G33" s="254">
        <v>100</v>
      </c>
      <c r="H33" s="255" t="s">
        <v>306</v>
      </c>
      <c r="I33" s="256">
        <v>17000</v>
      </c>
      <c r="J33" s="257">
        <f t="shared" si="0"/>
        <v>170</v>
      </c>
      <c r="K33" s="258"/>
      <c r="L33" s="259" t="s">
        <v>1382</v>
      </c>
      <c r="M33" s="260"/>
      <c r="N33" s="259" t="s">
        <v>1382</v>
      </c>
      <c r="O33" s="260"/>
      <c r="P33" s="259" t="s">
        <v>1382</v>
      </c>
      <c r="Q33" s="261" t="b">
        <v>0</v>
      </c>
    </row>
    <row r="34" spans="1:17" ht="15.75" customHeight="1">
      <c r="A34" s="250" t="s">
        <v>1451</v>
      </c>
      <c r="B34" s="251" t="s">
        <v>1452</v>
      </c>
      <c r="C34" s="252" t="s">
        <v>1448</v>
      </c>
      <c r="D34" s="252" t="s">
        <v>1409</v>
      </c>
      <c r="E34" s="253">
        <v>1</v>
      </c>
      <c r="F34" s="251" t="s">
        <v>1382</v>
      </c>
      <c r="G34" s="254">
        <v>100</v>
      </c>
      <c r="H34" s="255" t="s">
        <v>306</v>
      </c>
      <c r="I34" s="256">
        <v>7000</v>
      </c>
      <c r="J34" s="257">
        <f t="shared" si="0"/>
        <v>70</v>
      </c>
      <c r="K34" s="258"/>
      <c r="L34" s="259" t="s">
        <v>1382</v>
      </c>
      <c r="M34" s="260"/>
      <c r="N34" s="259" t="s">
        <v>1382</v>
      </c>
      <c r="O34" s="260"/>
      <c r="P34" s="259" t="s">
        <v>1382</v>
      </c>
      <c r="Q34" s="261" t="b">
        <v>0</v>
      </c>
    </row>
    <row r="35" spans="1:17" ht="15.75" customHeight="1">
      <c r="A35" s="250" t="s">
        <v>1453</v>
      </c>
      <c r="B35" s="251" t="s">
        <v>1454</v>
      </c>
      <c r="C35" s="252" t="s">
        <v>1448</v>
      </c>
      <c r="D35" s="252" t="s">
        <v>1409</v>
      </c>
      <c r="E35" s="253">
        <v>1</v>
      </c>
      <c r="F35" s="251" t="s">
        <v>1382</v>
      </c>
      <c r="G35" s="254">
        <v>100</v>
      </c>
      <c r="H35" s="255" t="s">
        <v>306</v>
      </c>
      <c r="I35" s="256">
        <v>15000</v>
      </c>
      <c r="J35" s="257">
        <f t="shared" si="0"/>
        <v>150</v>
      </c>
      <c r="K35" s="258"/>
      <c r="L35" s="259" t="s">
        <v>1382</v>
      </c>
      <c r="M35" s="260"/>
      <c r="N35" s="259" t="s">
        <v>1382</v>
      </c>
      <c r="O35" s="260"/>
      <c r="P35" s="259" t="s">
        <v>1382</v>
      </c>
      <c r="Q35" s="261" t="b">
        <v>0</v>
      </c>
    </row>
    <row r="36" spans="1:17" ht="15.75" customHeight="1">
      <c r="A36" s="250" t="s">
        <v>1455</v>
      </c>
      <c r="B36" s="251" t="s">
        <v>1456</v>
      </c>
      <c r="C36" s="252" t="s">
        <v>1448</v>
      </c>
      <c r="D36" s="252" t="s">
        <v>1409</v>
      </c>
      <c r="E36" s="253">
        <v>1</v>
      </c>
      <c r="F36" s="251" t="s">
        <v>1382</v>
      </c>
      <c r="G36" s="254">
        <v>100</v>
      </c>
      <c r="H36" s="255" t="s">
        <v>306</v>
      </c>
      <c r="I36" s="256">
        <v>4000</v>
      </c>
      <c r="J36" s="257">
        <f t="shared" si="0"/>
        <v>40</v>
      </c>
      <c r="K36" s="258"/>
      <c r="L36" s="259" t="s">
        <v>1382</v>
      </c>
      <c r="M36" s="260"/>
      <c r="N36" s="259" t="s">
        <v>1382</v>
      </c>
      <c r="O36" s="260"/>
      <c r="P36" s="259" t="s">
        <v>1382</v>
      </c>
      <c r="Q36" s="261" t="b">
        <v>0</v>
      </c>
    </row>
    <row r="37" spans="1:17" ht="15.75" customHeight="1">
      <c r="A37" s="250" t="s">
        <v>1457</v>
      </c>
      <c r="B37" s="251" t="s">
        <v>1458</v>
      </c>
      <c r="C37" s="252" t="s">
        <v>1448</v>
      </c>
      <c r="D37" s="252" t="s">
        <v>1409</v>
      </c>
      <c r="E37" s="253">
        <v>1</v>
      </c>
      <c r="F37" s="251" t="s">
        <v>1382</v>
      </c>
      <c r="G37" s="254">
        <v>100</v>
      </c>
      <c r="H37" s="255" t="s">
        <v>306</v>
      </c>
      <c r="I37" s="256">
        <v>15000</v>
      </c>
      <c r="J37" s="257">
        <f t="shared" si="0"/>
        <v>150</v>
      </c>
      <c r="K37" s="258"/>
      <c r="L37" s="259" t="s">
        <v>1382</v>
      </c>
      <c r="M37" s="260"/>
      <c r="N37" s="259" t="s">
        <v>1382</v>
      </c>
      <c r="O37" s="260"/>
      <c r="P37" s="259" t="s">
        <v>1382</v>
      </c>
      <c r="Q37" s="261" t="b">
        <v>0</v>
      </c>
    </row>
    <row r="38" spans="1:17" ht="15.75" customHeight="1">
      <c r="A38" s="250" t="s">
        <v>1459</v>
      </c>
      <c r="B38" s="251" t="s">
        <v>1460</v>
      </c>
      <c r="C38" s="252" t="s">
        <v>1448</v>
      </c>
      <c r="D38" s="252" t="s">
        <v>1409</v>
      </c>
      <c r="E38" s="253">
        <v>1</v>
      </c>
      <c r="F38" s="251" t="s">
        <v>1382</v>
      </c>
      <c r="G38" s="254">
        <v>100</v>
      </c>
      <c r="H38" s="255" t="s">
        <v>306</v>
      </c>
      <c r="I38" s="256">
        <v>15000</v>
      </c>
      <c r="J38" s="257">
        <f t="shared" si="0"/>
        <v>150</v>
      </c>
      <c r="K38" s="258"/>
      <c r="L38" s="259" t="s">
        <v>1382</v>
      </c>
      <c r="M38" s="260"/>
      <c r="N38" s="259" t="s">
        <v>1382</v>
      </c>
      <c r="O38" s="260"/>
      <c r="P38" s="259" t="s">
        <v>1382</v>
      </c>
      <c r="Q38" s="261" t="b">
        <v>0</v>
      </c>
    </row>
    <row r="39" spans="1:17" ht="15.75" customHeight="1">
      <c r="A39" s="250" t="s">
        <v>1461</v>
      </c>
      <c r="B39" s="251" t="s">
        <v>1462</v>
      </c>
      <c r="C39" s="252" t="s">
        <v>1448</v>
      </c>
      <c r="D39" s="252" t="s">
        <v>1409</v>
      </c>
      <c r="E39" s="253">
        <v>1</v>
      </c>
      <c r="F39" s="251" t="s">
        <v>1382</v>
      </c>
      <c r="G39" s="254">
        <v>100</v>
      </c>
      <c r="H39" s="255" t="s">
        <v>306</v>
      </c>
      <c r="I39" s="256">
        <v>15000</v>
      </c>
      <c r="J39" s="257">
        <f t="shared" si="0"/>
        <v>150</v>
      </c>
      <c r="K39" s="258"/>
      <c r="L39" s="259" t="s">
        <v>1382</v>
      </c>
      <c r="M39" s="260"/>
      <c r="N39" s="259" t="s">
        <v>1382</v>
      </c>
      <c r="O39" s="260"/>
      <c r="P39" s="259" t="s">
        <v>1382</v>
      </c>
      <c r="Q39" s="261" t="b">
        <v>0</v>
      </c>
    </row>
    <row r="40" spans="1:17" ht="15.75" customHeight="1">
      <c r="A40" s="250" t="s">
        <v>1463</v>
      </c>
      <c r="B40" s="251" t="s">
        <v>1464</v>
      </c>
      <c r="C40" s="252" t="s">
        <v>1448</v>
      </c>
      <c r="D40" s="252" t="s">
        <v>1409</v>
      </c>
      <c r="E40" s="253">
        <v>1</v>
      </c>
      <c r="F40" s="251" t="s">
        <v>1382</v>
      </c>
      <c r="G40" s="254">
        <v>100</v>
      </c>
      <c r="H40" s="255" t="s">
        <v>306</v>
      </c>
      <c r="I40" s="256">
        <v>4000</v>
      </c>
      <c r="J40" s="257">
        <f t="shared" si="0"/>
        <v>40</v>
      </c>
      <c r="K40" s="258"/>
      <c r="L40" s="259" t="s">
        <v>1382</v>
      </c>
      <c r="M40" s="260"/>
      <c r="N40" s="259" t="s">
        <v>1382</v>
      </c>
      <c r="O40" s="260"/>
      <c r="P40" s="259" t="s">
        <v>1382</v>
      </c>
      <c r="Q40" s="261" t="b">
        <v>0</v>
      </c>
    </row>
    <row r="41" spans="1:17" ht="15.75" customHeight="1">
      <c r="A41" s="250" t="s">
        <v>1465</v>
      </c>
      <c r="B41" s="251" t="s">
        <v>1466</v>
      </c>
      <c r="C41" s="252" t="s">
        <v>1448</v>
      </c>
      <c r="D41" s="252" t="s">
        <v>1409</v>
      </c>
      <c r="E41" s="253">
        <v>1</v>
      </c>
      <c r="F41" s="251" t="s">
        <v>1382</v>
      </c>
      <c r="G41" s="254">
        <v>25</v>
      </c>
      <c r="H41" s="255" t="s">
        <v>306</v>
      </c>
      <c r="I41" s="256">
        <v>65000</v>
      </c>
      <c r="J41" s="257">
        <f t="shared" si="0"/>
        <v>2600</v>
      </c>
      <c r="K41" s="258"/>
      <c r="L41" s="259" t="s">
        <v>1382</v>
      </c>
      <c r="M41" s="260"/>
      <c r="N41" s="259" t="s">
        <v>1382</v>
      </c>
      <c r="O41" s="260"/>
      <c r="P41" s="259" t="s">
        <v>1382</v>
      </c>
      <c r="Q41" s="261" t="b">
        <v>0</v>
      </c>
    </row>
    <row r="42" spans="1:17" ht="15.75" customHeight="1">
      <c r="A42" s="250" t="s">
        <v>1467</v>
      </c>
      <c r="B42" s="251" t="s">
        <v>1468</v>
      </c>
      <c r="C42" s="252" t="s">
        <v>1448</v>
      </c>
      <c r="D42" s="252" t="s">
        <v>1409</v>
      </c>
      <c r="E42" s="253">
        <v>1</v>
      </c>
      <c r="F42" s="251" t="s">
        <v>1382</v>
      </c>
      <c r="G42" s="254">
        <v>25</v>
      </c>
      <c r="H42" s="255" t="s">
        <v>306</v>
      </c>
      <c r="I42" s="256">
        <v>65000</v>
      </c>
      <c r="J42" s="257">
        <f t="shared" si="0"/>
        <v>2600</v>
      </c>
      <c r="K42" s="258"/>
      <c r="L42" s="259" t="s">
        <v>1382</v>
      </c>
      <c r="M42" s="260"/>
      <c r="N42" s="259" t="s">
        <v>1382</v>
      </c>
      <c r="O42" s="260"/>
      <c r="P42" s="259" t="s">
        <v>1382</v>
      </c>
      <c r="Q42" s="261" t="b">
        <v>0</v>
      </c>
    </row>
    <row r="43" spans="1:17" ht="15.75" customHeight="1">
      <c r="A43" s="250" t="s">
        <v>1469</v>
      </c>
      <c r="B43" s="251" t="s">
        <v>1470</v>
      </c>
      <c r="C43" s="252" t="s">
        <v>1448</v>
      </c>
      <c r="D43" s="252" t="s">
        <v>1409</v>
      </c>
      <c r="E43" s="253">
        <v>1</v>
      </c>
      <c r="F43" s="251" t="s">
        <v>1382</v>
      </c>
      <c r="G43" s="254">
        <v>25</v>
      </c>
      <c r="H43" s="255" t="s">
        <v>306</v>
      </c>
      <c r="I43" s="256">
        <v>15000</v>
      </c>
      <c r="J43" s="257">
        <f t="shared" si="0"/>
        <v>600</v>
      </c>
      <c r="K43" s="258"/>
      <c r="L43" s="259" t="s">
        <v>1382</v>
      </c>
      <c r="M43" s="260"/>
      <c r="N43" s="259" t="s">
        <v>1382</v>
      </c>
      <c r="O43" s="260"/>
      <c r="P43" s="259" t="s">
        <v>1382</v>
      </c>
      <c r="Q43" s="261" t="b">
        <v>0</v>
      </c>
    </row>
    <row r="44" spans="1:17" ht="15.75" customHeight="1">
      <c r="A44" s="250" t="s">
        <v>1471</v>
      </c>
      <c r="B44" s="251" t="s">
        <v>1472</v>
      </c>
      <c r="C44" s="252" t="s">
        <v>1448</v>
      </c>
      <c r="D44" s="252" t="s">
        <v>1409</v>
      </c>
      <c r="E44" s="253">
        <v>1</v>
      </c>
      <c r="F44" s="251" t="s">
        <v>1382</v>
      </c>
      <c r="G44" s="254">
        <v>100</v>
      </c>
      <c r="H44" s="255" t="s">
        <v>306</v>
      </c>
      <c r="I44" s="256">
        <v>15000</v>
      </c>
      <c r="J44" s="257">
        <f t="shared" si="0"/>
        <v>150</v>
      </c>
      <c r="K44" s="258"/>
      <c r="L44" s="259" t="s">
        <v>1382</v>
      </c>
      <c r="M44" s="260"/>
      <c r="N44" s="259" t="s">
        <v>1382</v>
      </c>
      <c r="O44" s="260"/>
      <c r="P44" s="259" t="s">
        <v>1382</v>
      </c>
      <c r="Q44" s="261" t="b">
        <v>0</v>
      </c>
    </row>
    <row r="45" spans="1:17" ht="15.75" customHeight="1">
      <c r="A45" s="250" t="s">
        <v>1473</v>
      </c>
      <c r="B45" s="251" t="s">
        <v>1474</v>
      </c>
      <c r="C45" s="252" t="s">
        <v>1448</v>
      </c>
      <c r="D45" s="252" t="s">
        <v>1409</v>
      </c>
      <c r="E45" s="253">
        <v>1</v>
      </c>
      <c r="F45" s="251" t="s">
        <v>1382</v>
      </c>
      <c r="G45" s="254">
        <v>25</v>
      </c>
      <c r="H45" s="255" t="s">
        <v>306</v>
      </c>
      <c r="I45" s="256">
        <v>35000</v>
      </c>
      <c r="J45" s="257">
        <f t="shared" si="0"/>
        <v>1400</v>
      </c>
      <c r="K45" s="258"/>
      <c r="L45" s="259" t="s">
        <v>1382</v>
      </c>
      <c r="M45" s="260"/>
      <c r="N45" s="259" t="s">
        <v>1382</v>
      </c>
      <c r="O45" s="260"/>
      <c r="P45" s="259" t="s">
        <v>1382</v>
      </c>
      <c r="Q45" s="261" t="b">
        <v>0</v>
      </c>
    </row>
    <row r="46" spans="1:17" ht="15.75" customHeight="1">
      <c r="A46" s="262" t="s">
        <v>1475</v>
      </c>
      <c r="B46" s="263" t="s">
        <v>1476</v>
      </c>
      <c r="C46" s="264" t="s">
        <v>1408</v>
      </c>
      <c r="D46" s="264" t="s">
        <v>1477</v>
      </c>
      <c r="E46" s="265">
        <v>1</v>
      </c>
      <c r="F46" s="263" t="s">
        <v>1478</v>
      </c>
      <c r="G46" s="266">
        <v>25000</v>
      </c>
      <c r="H46" s="267" t="s">
        <v>138</v>
      </c>
      <c r="I46" s="268">
        <v>375000</v>
      </c>
      <c r="J46" s="269">
        <f t="shared" si="0"/>
        <v>15</v>
      </c>
      <c r="K46" s="270"/>
      <c r="L46" s="271" t="s">
        <v>1478</v>
      </c>
      <c r="M46" s="272"/>
      <c r="N46" s="271" t="s">
        <v>1478</v>
      </c>
      <c r="O46" s="272"/>
      <c r="P46" s="271" t="s">
        <v>1478</v>
      </c>
      <c r="Q46" s="273" t="b">
        <v>0</v>
      </c>
    </row>
    <row r="47" spans="1:17" ht="15.75" customHeight="1">
      <c r="A47" s="262" t="s">
        <v>1479</v>
      </c>
      <c r="B47" s="263" t="s">
        <v>1480</v>
      </c>
      <c r="C47" s="264" t="s">
        <v>1408</v>
      </c>
      <c r="D47" s="264" t="s">
        <v>1477</v>
      </c>
      <c r="E47" s="265">
        <v>1</v>
      </c>
      <c r="F47" s="263" t="s">
        <v>1481</v>
      </c>
      <c r="G47" s="266">
        <v>18000</v>
      </c>
      <c r="H47" s="267" t="s">
        <v>30</v>
      </c>
      <c r="I47" s="268">
        <v>294000</v>
      </c>
      <c r="J47" s="269">
        <f t="shared" si="0"/>
        <v>16.333333333333332</v>
      </c>
      <c r="K47" s="270"/>
      <c r="L47" s="271" t="s">
        <v>1481</v>
      </c>
      <c r="M47" s="272"/>
      <c r="N47" s="271" t="s">
        <v>1481</v>
      </c>
      <c r="O47" s="272"/>
      <c r="P47" s="271" t="s">
        <v>1481</v>
      </c>
      <c r="Q47" s="273" t="b">
        <v>0</v>
      </c>
    </row>
    <row r="48" spans="1:17" ht="15.75" customHeight="1">
      <c r="A48" s="274" t="s">
        <v>1482</v>
      </c>
      <c r="B48" s="263" t="s">
        <v>1483</v>
      </c>
      <c r="C48" s="275" t="s">
        <v>209</v>
      </c>
      <c r="D48" s="275" t="s">
        <v>1477</v>
      </c>
      <c r="E48" s="276">
        <v>1</v>
      </c>
      <c r="F48" s="277" t="s">
        <v>1484</v>
      </c>
      <c r="G48" s="278">
        <v>15</v>
      </c>
      <c r="H48" s="279" t="s">
        <v>1485</v>
      </c>
      <c r="I48" s="280">
        <v>23000</v>
      </c>
      <c r="J48" s="281">
        <f t="shared" si="0"/>
        <v>1533.3333333333333</v>
      </c>
      <c r="K48" s="282"/>
      <c r="L48" s="283" t="s">
        <v>1484</v>
      </c>
      <c r="M48" s="284"/>
      <c r="N48" s="283" t="s">
        <v>1484</v>
      </c>
      <c r="O48" s="284"/>
      <c r="P48" s="283" t="s">
        <v>1484</v>
      </c>
      <c r="Q48" s="285" t="b">
        <v>0</v>
      </c>
    </row>
    <row r="49" spans="1:17" ht="15.75" customHeight="1">
      <c r="A49" s="286" t="s">
        <v>1486</v>
      </c>
      <c r="B49" s="263" t="s">
        <v>1487</v>
      </c>
      <c r="C49" s="287" t="s">
        <v>209</v>
      </c>
      <c r="D49" s="287" t="s">
        <v>1477</v>
      </c>
      <c r="E49" s="288">
        <v>1</v>
      </c>
      <c r="F49" s="289" t="s">
        <v>1484</v>
      </c>
      <c r="G49" s="290">
        <v>60</v>
      </c>
      <c r="H49" s="291" t="s">
        <v>1485</v>
      </c>
      <c r="I49" s="292">
        <v>200000</v>
      </c>
      <c r="J49" s="293">
        <f t="shared" si="0"/>
        <v>3333.3333333333335</v>
      </c>
      <c r="K49" s="294"/>
      <c r="L49" s="295" t="s">
        <v>1484</v>
      </c>
      <c r="M49" s="296"/>
      <c r="N49" s="295" t="s">
        <v>1484</v>
      </c>
      <c r="O49" s="296"/>
      <c r="P49" s="295" t="s">
        <v>1484</v>
      </c>
      <c r="Q49" s="297" t="b">
        <v>0</v>
      </c>
    </row>
    <row r="50" spans="1:17" ht="15.75" customHeight="1">
      <c r="A50" s="298" t="s">
        <v>1283</v>
      </c>
      <c r="B50" s="298" t="s">
        <v>1488</v>
      </c>
      <c r="C50" s="298"/>
      <c r="D50" s="298"/>
      <c r="E50" s="298" t="s">
        <v>1283</v>
      </c>
      <c r="F50" s="298" t="s">
        <v>1283</v>
      </c>
      <c r="G50" s="298"/>
      <c r="H50" s="298"/>
      <c r="I50" s="298" t="s">
        <v>1283</v>
      </c>
      <c r="J50" s="299" t="s">
        <v>1283</v>
      </c>
      <c r="K50" s="300" t="s">
        <v>1283</v>
      </c>
      <c r="L50" s="301" t="s">
        <v>1283</v>
      </c>
      <c r="M50" s="299"/>
      <c r="N50" s="299"/>
      <c r="O50" s="299"/>
      <c r="P50" s="299"/>
      <c r="Q50" s="302" t="s">
        <v>1283</v>
      </c>
    </row>
  </sheetData>
  <autoFilter ref="A2:Q50" xr:uid="{00000000-0009-0000-0000-000006000000}"/>
  <mergeCells count="3">
    <mergeCell ref="K1:L1"/>
    <mergeCell ref="M1:N1"/>
    <mergeCell ref="O1:P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363"/>
  <sheetViews>
    <sheetView workbookViewId="0"/>
  </sheetViews>
  <sheetFormatPr baseColWidth="10" defaultColWidth="12.6640625" defaultRowHeight="15.75" customHeight="1"/>
  <cols>
    <col min="1" max="1" width="29.6640625" customWidth="1"/>
    <col min="2" max="2" width="5.1640625" customWidth="1"/>
    <col min="3" max="3" width="4.33203125" customWidth="1"/>
    <col min="4" max="4" width="3.6640625" customWidth="1"/>
    <col min="5" max="5" width="10.83203125" customWidth="1"/>
    <col min="6" max="6" width="5.83203125" customWidth="1"/>
    <col min="7" max="7" width="9.1640625" customWidth="1"/>
    <col min="8" max="8" width="11.6640625" customWidth="1"/>
    <col min="9" max="9" width="5.83203125" customWidth="1"/>
    <col min="10" max="10" width="5.33203125" customWidth="1"/>
    <col min="11" max="12" width="10.1640625" customWidth="1"/>
    <col min="13" max="13" width="20.1640625" customWidth="1"/>
  </cols>
  <sheetData>
    <row r="1" spans="1:13" ht="15.75" customHeight="1">
      <c r="A1" s="303" t="s">
        <v>1489</v>
      </c>
    </row>
    <row r="2" spans="1:13" ht="15.75" customHeight="1">
      <c r="A2" s="303" t="s">
        <v>2</v>
      </c>
    </row>
    <row r="5" spans="1:13" ht="15.75" customHeight="1">
      <c r="F5" s="427">
        <v>44804</v>
      </c>
      <c r="G5" s="428"/>
      <c r="H5" s="424"/>
      <c r="J5" s="429">
        <f>F5+1</f>
        <v>44805</v>
      </c>
      <c r="K5" s="428"/>
      <c r="L5" s="424"/>
    </row>
    <row r="6" spans="1:13" ht="15.75" customHeight="1">
      <c r="F6" s="425" t="s">
        <v>1490</v>
      </c>
      <c r="G6" s="426"/>
      <c r="H6" s="304">
        <f>SUM(H8:H59)</f>
        <v>6246061</v>
      </c>
      <c r="J6" s="425" t="s">
        <v>1491</v>
      </c>
      <c r="K6" s="426"/>
      <c r="L6" s="304" t="e">
        <f>SUM(L8:L59)</f>
        <v>#N/A</v>
      </c>
    </row>
    <row r="7" spans="1:13" ht="15.75" customHeight="1">
      <c r="A7" s="2" t="s">
        <v>4</v>
      </c>
      <c r="B7" s="305" t="s">
        <v>5</v>
      </c>
      <c r="C7" s="305" t="s">
        <v>1492</v>
      </c>
      <c r="D7" s="305" t="s">
        <v>12</v>
      </c>
      <c r="E7" s="306" t="s">
        <v>1493</v>
      </c>
      <c r="F7" s="307" t="s">
        <v>1494</v>
      </c>
      <c r="G7" s="308" t="s">
        <v>10</v>
      </c>
      <c r="H7" s="309" t="s">
        <v>1495</v>
      </c>
      <c r="I7" s="310" t="s">
        <v>1289</v>
      </c>
      <c r="J7" s="311" t="s">
        <v>1496</v>
      </c>
      <c r="K7" s="312" t="s">
        <v>1497</v>
      </c>
      <c r="L7" s="313" t="s">
        <v>1498</v>
      </c>
      <c r="M7" s="314" t="s">
        <v>16</v>
      </c>
    </row>
    <row r="8" spans="1:13" ht="15.75" customHeight="1">
      <c r="A8" s="315" t="s">
        <v>586</v>
      </c>
      <c r="B8" s="61" t="s">
        <v>587</v>
      </c>
      <c r="C8" s="316">
        <f>VLOOKUP($A8,Master!$B$50:$N$232,8,FALSE)</f>
        <v>20</v>
      </c>
      <c r="D8" s="316" t="str">
        <f>VLOOKUP($A8,Master!$B$50:$N$232,9,FALSE)</f>
        <v>pcs</v>
      </c>
      <c r="E8" s="317" t="str">
        <f>VLOOKUP($A8,Master!$B$50:$N$232,11,FALSE)</f>
        <v>Kurnia Mas</v>
      </c>
      <c r="F8" s="318">
        <v>6</v>
      </c>
      <c r="G8" s="319" t="s">
        <v>62</v>
      </c>
      <c r="H8" s="320">
        <v>43800</v>
      </c>
      <c r="I8" s="321" t="b">
        <v>1</v>
      </c>
      <c r="J8" s="322">
        <v>5</v>
      </c>
      <c r="K8" s="323">
        <v>7500</v>
      </c>
      <c r="L8" s="324">
        <f t="shared" ref="L8:L9" si="0">J8*K8</f>
        <v>37500</v>
      </c>
      <c r="M8" s="325" t="s">
        <v>1499</v>
      </c>
    </row>
    <row r="9" spans="1:13" ht="15.75" customHeight="1">
      <c r="A9" s="21" t="s">
        <v>627</v>
      </c>
      <c r="B9" s="61" t="s">
        <v>628</v>
      </c>
      <c r="C9" s="316">
        <f>VLOOKUP($A9,Master!$B$50:$N$232,8,FALSE)</f>
        <v>1000</v>
      </c>
      <c r="D9" s="316" t="str">
        <f>VLOOKUP($A9,Master!$B$50:$N$232,9,FALSE)</f>
        <v>gr</v>
      </c>
      <c r="E9" s="317" t="str">
        <f>VLOOKUP($A9,Master!$B$50:$N$232,11,FALSE)</f>
        <v>Borma</v>
      </c>
      <c r="F9" s="318">
        <v>1</v>
      </c>
      <c r="G9" s="319" t="s">
        <v>36</v>
      </c>
      <c r="H9" s="320">
        <v>31900</v>
      </c>
      <c r="I9" s="321" t="b">
        <v>1</v>
      </c>
      <c r="J9" s="322">
        <v>1</v>
      </c>
      <c r="K9" s="323">
        <v>40186</v>
      </c>
      <c r="L9" s="324">
        <f t="shared" si="0"/>
        <v>40186</v>
      </c>
      <c r="M9" s="325" t="s">
        <v>1500</v>
      </c>
    </row>
    <row r="10" spans="1:13" ht="15.75" customHeight="1">
      <c r="A10" s="21" t="s">
        <v>631</v>
      </c>
      <c r="B10" s="61" t="s">
        <v>632</v>
      </c>
      <c r="C10" s="316">
        <f>VLOOKUP($A10,Master!$B$50:$N$232,8,FALSE)</f>
        <v>1000</v>
      </c>
      <c r="D10" s="316" t="str">
        <f>VLOOKUP($A10,Master!$B$50:$N$232,9,FALSE)</f>
        <v>gr</v>
      </c>
      <c r="E10" s="317" t="str">
        <f>VLOOKUP($A10,Master!$B$50:$N$232,11,FALSE)</f>
        <v>Borma</v>
      </c>
      <c r="F10" s="318">
        <v>1</v>
      </c>
      <c r="G10" s="319" t="s">
        <v>36</v>
      </c>
      <c r="H10" s="320">
        <v>16000</v>
      </c>
      <c r="I10" s="321" t="b">
        <v>1</v>
      </c>
      <c r="J10" s="322">
        <v>1</v>
      </c>
      <c r="K10" s="326">
        <f>VLOOKUP($A10,Master!$B$50:$N$232,6,FALSE)</f>
        <v>18000</v>
      </c>
      <c r="L10" s="324">
        <v>15000</v>
      </c>
      <c r="M10" s="325"/>
    </row>
    <row r="11" spans="1:13" ht="15.75" customHeight="1">
      <c r="A11" s="21" t="s">
        <v>1501</v>
      </c>
      <c r="B11" s="61" t="s">
        <v>908</v>
      </c>
      <c r="C11" s="316" t="e">
        <f>VLOOKUP($A11,Master!$B$50:$N$232,8,FALSE)</f>
        <v>#N/A</v>
      </c>
      <c r="D11" s="316" t="e">
        <f>VLOOKUP($A11,Master!$B$50:$N$232,9,FALSE)</f>
        <v>#N/A</v>
      </c>
      <c r="E11" s="317" t="e">
        <f>VLOOKUP($A11,Master!$B$50:$N$232,11,FALSE)</f>
        <v>#N/A</v>
      </c>
      <c r="F11" s="318">
        <v>1</v>
      </c>
      <c r="G11" s="319" t="s">
        <v>36</v>
      </c>
      <c r="H11" s="320">
        <v>5950</v>
      </c>
      <c r="I11" s="321" t="b">
        <v>1</v>
      </c>
      <c r="J11" s="322">
        <v>2</v>
      </c>
      <c r="K11" s="323" t="e">
        <f>VLOOKUP($A11,Master!$B$50:$N$232,6,FALSE)</f>
        <v>#N/A</v>
      </c>
      <c r="L11" s="324">
        <v>10710</v>
      </c>
      <c r="M11" s="325" t="s">
        <v>1500</v>
      </c>
    </row>
    <row r="12" spans="1:13" ht="15.75" customHeight="1">
      <c r="A12" s="21" t="s">
        <v>949</v>
      </c>
      <c r="B12" s="61" t="s">
        <v>950</v>
      </c>
      <c r="C12" s="316" t="e">
        <f>VLOOKUP($A12,Master!$B$50:$N$232,8,FALSE)</f>
        <v>#N/A</v>
      </c>
      <c r="D12" s="316" t="e">
        <f>VLOOKUP($A12,Master!$B$50:$N$232,9,FALSE)</f>
        <v>#N/A</v>
      </c>
      <c r="E12" s="317" t="e">
        <f>VLOOKUP($A12,Master!$B$50:$N$232,11,FALSE)</f>
        <v>#N/A</v>
      </c>
      <c r="F12" s="318">
        <v>1</v>
      </c>
      <c r="G12" s="319" t="s">
        <v>97</v>
      </c>
      <c r="H12" s="320">
        <v>27000</v>
      </c>
      <c r="I12" s="321" t="b">
        <v>1</v>
      </c>
      <c r="J12" s="322">
        <v>1</v>
      </c>
      <c r="K12" s="326" t="e">
        <f>VLOOKUP($A12,Master!$B$50:$N$232,6,FALSE)</f>
        <v>#N/A</v>
      </c>
      <c r="L12" s="327" t="e">
        <f>J12*K12</f>
        <v>#N/A</v>
      </c>
      <c r="M12" s="325" t="s">
        <v>1499</v>
      </c>
    </row>
    <row r="13" spans="1:13" ht="15.75" customHeight="1">
      <c r="A13" s="21" t="s">
        <v>952</v>
      </c>
      <c r="B13" s="61" t="s">
        <v>953</v>
      </c>
      <c r="C13" s="316" t="e">
        <f>VLOOKUP($A13,Master!$B$50:$N$232,8,FALSE)</f>
        <v>#N/A</v>
      </c>
      <c r="D13" s="316" t="e">
        <f>VLOOKUP($A13,Master!$B$50:$N$232,9,FALSE)</f>
        <v>#N/A</v>
      </c>
      <c r="E13" s="317" t="e">
        <f>VLOOKUP($A13,Master!$B$50:$N$232,11,FALSE)</f>
        <v>#N/A</v>
      </c>
      <c r="F13" s="318">
        <v>1</v>
      </c>
      <c r="G13" s="319" t="s">
        <v>97</v>
      </c>
      <c r="H13" s="320">
        <v>30303</v>
      </c>
      <c r="I13" s="321" t="b">
        <v>1</v>
      </c>
      <c r="J13" s="322">
        <v>1</v>
      </c>
      <c r="K13" s="326" t="e">
        <f>VLOOKUP($A13,Master!$B$50:$N$232,6,FALSE)</f>
        <v>#N/A</v>
      </c>
      <c r="L13" s="324">
        <v>27000</v>
      </c>
      <c r="M13" s="325" t="s">
        <v>1499</v>
      </c>
    </row>
    <row r="14" spans="1:13" ht="15.75" customHeight="1">
      <c r="A14" s="18" t="s">
        <v>1096</v>
      </c>
      <c r="B14" s="328" t="s">
        <v>1097</v>
      </c>
      <c r="C14" s="316" t="e">
        <f>VLOOKUP($A14,Master!$B$50:$N$232,8,FALSE)</f>
        <v>#N/A</v>
      </c>
      <c r="D14" s="316" t="e">
        <f>VLOOKUP($A14,Master!$B$50:$N$232,9,FALSE)</f>
        <v>#N/A</v>
      </c>
      <c r="E14" s="317" t="e">
        <f>VLOOKUP($A14,Master!$B$50:$N$232,11,FALSE)</f>
        <v>#N/A</v>
      </c>
      <c r="F14" s="318">
        <v>2</v>
      </c>
      <c r="G14" s="319" t="s">
        <v>62</v>
      </c>
      <c r="H14" s="320">
        <v>9600</v>
      </c>
      <c r="I14" s="321" t="b">
        <v>1</v>
      </c>
      <c r="J14" s="322">
        <v>1</v>
      </c>
      <c r="K14" s="323">
        <v>17500</v>
      </c>
      <c r="L14" s="324">
        <f>J14*K14</f>
        <v>17500</v>
      </c>
      <c r="M14" s="325" t="s">
        <v>1502</v>
      </c>
    </row>
    <row r="15" spans="1:13" ht="15.75" customHeight="1">
      <c r="A15" s="21" t="s">
        <v>1101</v>
      </c>
      <c r="B15" s="61" t="s">
        <v>1102</v>
      </c>
      <c r="C15" s="316" t="e">
        <f>VLOOKUP($A15,Master!$B$50:$N$232,8,FALSE)</f>
        <v>#N/A</v>
      </c>
      <c r="D15" s="316" t="e">
        <f>VLOOKUP($A15,Master!$B$50:$N$232,9,FALSE)</f>
        <v>#N/A</v>
      </c>
      <c r="E15" s="317" t="e">
        <f>VLOOKUP($A15,Master!$B$50:$N$232,11,FALSE)</f>
        <v>#N/A</v>
      </c>
      <c r="F15" s="318">
        <v>2</v>
      </c>
      <c r="G15" s="319" t="s">
        <v>62</v>
      </c>
      <c r="H15" s="320">
        <v>32200</v>
      </c>
      <c r="I15" s="321" t="b">
        <v>1</v>
      </c>
      <c r="J15" s="322">
        <v>2</v>
      </c>
      <c r="K15" s="323" t="e">
        <f>VLOOKUP($A15,Master!$B$50:$N$232,6,FALSE)</f>
        <v>#N/A</v>
      </c>
      <c r="L15" s="324">
        <v>24750</v>
      </c>
      <c r="M15" s="325" t="s">
        <v>1500</v>
      </c>
    </row>
    <row r="16" spans="1:13" ht="15.75" customHeight="1">
      <c r="A16" s="21" t="s">
        <v>851</v>
      </c>
      <c r="B16" s="61" t="s">
        <v>852</v>
      </c>
      <c r="C16" s="316" t="e">
        <f>VLOOKUP($A16,Master!$B$50:$N$232,8,FALSE)</f>
        <v>#N/A</v>
      </c>
      <c r="D16" s="316" t="e">
        <f>VLOOKUP($A16,Master!$B$50:$N$232,9,FALSE)</f>
        <v>#N/A</v>
      </c>
      <c r="E16" s="317" t="e">
        <f>VLOOKUP($A16,Master!$B$50:$N$232,11,FALSE)</f>
        <v>#N/A</v>
      </c>
      <c r="F16" s="318">
        <v>6</v>
      </c>
      <c r="G16" s="319" t="s">
        <v>143</v>
      </c>
      <c r="H16" s="320">
        <v>182400</v>
      </c>
      <c r="I16" s="321" t="b">
        <v>1</v>
      </c>
      <c r="J16" s="322">
        <v>6</v>
      </c>
      <c r="K16" s="326" t="e">
        <f>VLOOKUP($A16,Master!$B$50:$N$232,6,FALSE)</f>
        <v>#N/A</v>
      </c>
      <c r="L16" s="327" t="e">
        <f t="shared" ref="L16:L17" si="1">J16*K16</f>
        <v>#N/A</v>
      </c>
      <c r="M16" s="325"/>
    </row>
    <row r="17" spans="1:13" ht="15.75" customHeight="1">
      <c r="A17" s="21" t="s">
        <v>578</v>
      </c>
      <c r="B17" s="61" t="s">
        <v>579</v>
      </c>
      <c r="C17" s="316" t="e">
        <f>VLOOKUP($A17,Master!$B$50:$N$232,8,FALSE)</f>
        <v>#N/A</v>
      </c>
      <c r="D17" s="316" t="e">
        <f>VLOOKUP($A17,Master!$B$50:$N$232,9,FALSE)</f>
        <v>#N/A</v>
      </c>
      <c r="E17" s="317" t="e">
        <f>VLOOKUP($A17,Master!$B$50:$N$232,11,FALSE)</f>
        <v>#N/A</v>
      </c>
      <c r="F17" s="318">
        <v>2</v>
      </c>
      <c r="G17" s="319" t="s">
        <v>62</v>
      </c>
      <c r="H17" s="320">
        <v>440000</v>
      </c>
      <c r="I17" s="321" t="b">
        <v>1</v>
      </c>
      <c r="J17" s="322">
        <v>2</v>
      </c>
      <c r="K17" s="326" t="e">
        <f>VLOOKUP($A17,Master!$B$50:$N$232,6,FALSE)</f>
        <v>#N/A</v>
      </c>
      <c r="L17" s="327" t="e">
        <f t="shared" si="1"/>
        <v>#N/A</v>
      </c>
      <c r="M17" s="325"/>
    </row>
    <row r="18" spans="1:13" ht="15.75" customHeight="1">
      <c r="A18" s="21" t="s">
        <v>1108</v>
      </c>
      <c r="B18" s="61" t="s">
        <v>1109</v>
      </c>
      <c r="C18" s="316" t="e">
        <f>VLOOKUP($A18,Master!$B$50:$N$240,8,FALSE)</f>
        <v>#N/A</v>
      </c>
      <c r="D18" s="316" t="e">
        <f>VLOOKUP($A18,Master!$B$50:$N$240,9,FALSE)</f>
        <v>#N/A</v>
      </c>
      <c r="E18" s="329" t="s">
        <v>369</v>
      </c>
      <c r="F18" s="318">
        <v>2</v>
      </c>
      <c r="G18" s="319" t="s">
        <v>62</v>
      </c>
      <c r="H18" s="320">
        <v>140000</v>
      </c>
      <c r="I18" s="321" t="b">
        <v>1</v>
      </c>
      <c r="J18" s="322">
        <v>2</v>
      </c>
      <c r="K18" s="326" t="e">
        <f>VLOOKUP($A18,Master!$B$50:$N$240,6,FALSE)</f>
        <v>#N/A</v>
      </c>
      <c r="L18" s="324">
        <v>90000</v>
      </c>
      <c r="M18" s="325" t="s">
        <v>1499</v>
      </c>
    </row>
    <row r="19" spans="1:13" ht="15.75" customHeight="1">
      <c r="A19" s="18" t="s">
        <v>1054</v>
      </c>
      <c r="B19" s="328" t="s">
        <v>1055</v>
      </c>
      <c r="C19" s="316" t="e">
        <f>VLOOKUP($A19,Master!$B$50:$N$232,8,FALSE)</f>
        <v>#N/A</v>
      </c>
      <c r="D19" s="316" t="e">
        <f>VLOOKUP($A19,Master!$B$50:$N$232,9,FALSE)</f>
        <v>#N/A</v>
      </c>
      <c r="E19" s="317" t="e">
        <f>VLOOKUP($A19,Master!$B$50:$N$232,11,FALSE)</f>
        <v>#N/A</v>
      </c>
      <c r="F19" s="318">
        <v>2</v>
      </c>
      <c r="G19" s="319" t="s">
        <v>36</v>
      </c>
      <c r="H19" s="320">
        <v>350000</v>
      </c>
      <c r="I19" s="321" t="b">
        <v>1</v>
      </c>
      <c r="J19" s="322">
        <v>2</v>
      </c>
      <c r="K19" s="323" t="e">
        <f>VLOOKUP($A19,Master!$B$50:$N$232,6,FALSE)</f>
        <v>#N/A</v>
      </c>
      <c r="L19" s="324" t="e">
        <f>J19*K19</f>
        <v>#N/A</v>
      </c>
      <c r="M19" s="325"/>
    </row>
    <row r="20" spans="1:13" ht="15.75" customHeight="1">
      <c r="A20" s="22" t="s">
        <v>1503</v>
      </c>
      <c r="B20" s="330" t="s">
        <v>556</v>
      </c>
      <c r="C20" s="316" t="e">
        <f>VLOOKUP($A20,Master!$B$50:$N$232,8,FALSE)</f>
        <v>#N/A</v>
      </c>
      <c r="D20" s="316" t="e">
        <f>VLOOKUP($A20,Master!$B$50:$N$232,9,FALSE)</f>
        <v>#N/A</v>
      </c>
      <c r="E20" s="317" t="e">
        <f>VLOOKUP($A20,Master!$B$50:$N$232,11,FALSE)</f>
        <v>#N/A</v>
      </c>
      <c r="F20" s="318">
        <v>1</v>
      </c>
      <c r="G20" s="319" t="s">
        <v>97</v>
      </c>
      <c r="H20" s="320">
        <v>137000</v>
      </c>
      <c r="I20" s="321" t="b">
        <v>1</v>
      </c>
      <c r="J20" s="322">
        <v>1</v>
      </c>
      <c r="K20" s="323" t="e">
        <f>VLOOKUP($A20,Master!$B$50:$N$232,6,FALSE)</f>
        <v>#N/A</v>
      </c>
      <c r="L20" s="324">
        <v>135420</v>
      </c>
      <c r="M20" s="325"/>
    </row>
    <row r="21" spans="1:13" ht="15.75" customHeight="1">
      <c r="A21" s="21" t="s">
        <v>1504</v>
      </c>
      <c r="B21" s="61" t="s">
        <v>614</v>
      </c>
      <c r="C21" s="316" t="e">
        <f>VLOOKUP($A21,Master!$B$50:$N$232,8,FALSE)</f>
        <v>#N/A</v>
      </c>
      <c r="D21" s="316" t="e">
        <f>VLOOKUP($A21,Master!$B$50:$N$232,9,FALSE)</f>
        <v>#N/A</v>
      </c>
      <c r="E21" s="317" t="e">
        <f>VLOOKUP($A21,Master!$B$50:$N$232,11,FALSE)</f>
        <v>#N/A</v>
      </c>
      <c r="F21" s="318">
        <v>1</v>
      </c>
      <c r="G21" s="319" t="s">
        <v>97</v>
      </c>
      <c r="H21" s="320">
        <v>137000</v>
      </c>
      <c r="I21" s="321" t="b">
        <v>1</v>
      </c>
      <c r="J21" s="322">
        <v>1</v>
      </c>
      <c r="K21" s="323" t="e">
        <f>VLOOKUP($A21,Master!$B$50:$N$232,6,FALSE)</f>
        <v>#N/A</v>
      </c>
      <c r="L21" s="324">
        <v>135420</v>
      </c>
      <c r="M21" s="325"/>
    </row>
    <row r="22" spans="1:13" ht="15.75" customHeight="1">
      <c r="A22" s="21" t="s">
        <v>1505</v>
      </c>
      <c r="B22" s="61" t="s">
        <v>617</v>
      </c>
      <c r="C22" s="316" t="e">
        <f>VLOOKUP($A22,Master!$B$50:$N$232,8,FALSE)</f>
        <v>#N/A</v>
      </c>
      <c r="D22" s="316" t="e">
        <f>VLOOKUP($A22,Master!$B$50:$N$232,9,FALSE)</f>
        <v>#N/A</v>
      </c>
      <c r="E22" s="317" t="e">
        <f>VLOOKUP($A22,Master!$B$50:$N$232,11,FALSE)</f>
        <v>#N/A</v>
      </c>
      <c r="F22" s="318">
        <v>1</v>
      </c>
      <c r="G22" s="319" t="s">
        <v>97</v>
      </c>
      <c r="H22" s="320">
        <v>137000</v>
      </c>
      <c r="I22" s="321" t="b">
        <v>1</v>
      </c>
      <c r="J22" s="322">
        <v>1</v>
      </c>
      <c r="K22" s="323" t="e">
        <f>VLOOKUP($A22,Master!$B$50:$N$232,6,FALSE)</f>
        <v>#N/A</v>
      </c>
      <c r="L22" s="324">
        <v>135420</v>
      </c>
      <c r="M22" s="325"/>
    </row>
    <row r="23" spans="1:13" ht="15.75" customHeight="1">
      <c r="A23" s="21" t="s">
        <v>1506</v>
      </c>
      <c r="B23" s="61" t="s">
        <v>620</v>
      </c>
      <c r="C23" s="316" t="e">
        <f>VLOOKUP($A23,Master!$B$50:$N$232,8,FALSE)</f>
        <v>#N/A</v>
      </c>
      <c r="D23" s="316" t="e">
        <f>VLOOKUP($A23,Master!$B$50:$N$232,9,FALSE)</f>
        <v>#N/A</v>
      </c>
      <c r="E23" s="317" t="e">
        <f>VLOOKUP($A23,Master!$B$50:$N$232,11,FALSE)</f>
        <v>#N/A</v>
      </c>
      <c r="F23" s="318">
        <v>1</v>
      </c>
      <c r="G23" s="319" t="s">
        <v>97</v>
      </c>
      <c r="H23" s="320">
        <v>137000</v>
      </c>
      <c r="I23" s="321" t="b">
        <v>1</v>
      </c>
      <c r="J23" s="322">
        <v>1</v>
      </c>
      <c r="K23" s="323" t="e">
        <f>VLOOKUP($A23,Master!$B$50:$N$232,6,FALSE)</f>
        <v>#N/A</v>
      </c>
      <c r="L23" s="324">
        <v>135420</v>
      </c>
      <c r="M23" s="325"/>
    </row>
    <row r="24" spans="1:13" ht="15.75" customHeight="1">
      <c r="A24" s="21" t="s">
        <v>735</v>
      </c>
      <c r="B24" s="61" t="s">
        <v>736</v>
      </c>
      <c r="C24" s="316">
        <f>VLOOKUP($A24,Master!$B$50:$N$232,8,FALSE)</f>
        <v>700</v>
      </c>
      <c r="D24" s="316" t="str">
        <f>VLOOKUP($A24,Master!$B$50:$N$232,9,FALSE)</f>
        <v>gr</v>
      </c>
      <c r="E24" s="317" t="str">
        <f>VLOOKUP($A24,Master!$B$50:$N$232,11,FALSE)</f>
        <v>Kurnia Mas</v>
      </c>
      <c r="F24" s="318">
        <v>1</v>
      </c>
      <c r="G24" s="319" t="s">
        <v>97</v>
      </c>
      <c r="H24" s="320">
        <v>54500</v>
      </c>
      <c r="I24" s="321" t="b">
        <v>1</v>
      </c>
      <c r="J24" s="322">
        <v>1</v>
      </c>
      <c r="K24" s="326">
        <f>VLOOKUP($A24,Master!$B$50:$N$232,6,FALSE)</f>
        <v>52500</v>
      </c>
      <c r="L24" s="324">
        <v>48000</v>
      </c>
      <c r="M24" s="325" t="s">
        <v>1499</v>
      </c>
    </row>
    <row r="25" spans="1:13" ht="15.75" customHeight="1">
      <c r="A25" s="21" t="s">
        <v>519</v>
      </c>
      <c r="B25" s="61" t="s">
        <v>520</v>
      </c>
      <c r="C25" s="316" t="e">
        <f>VLOOKUP($A25,Master!$B$50:$N$232,8,FALSE)</f>
        <v>#N/A</v>
      </c>
      <c r="D25" s="316" t="e">
        <f>VLOOKUP($A25,Master!$B$50:$N$232,9,FALSE)</f>
        <v>#N/A</v>
      </c>
      <c r="E25" s="317" t="e">
        <f>VLOOKUP($A25,Master!$B$50:$N$232,11,FALSE)</f>
        <v>#N/A</v>
      </c>
      <c r="F25" s="318">
        <v>2</v>
      </c>
      <c r="G25" s="319" t="s">
        <v>36</v>
      </c>
      <c r="H25" s="320">
        <v>28000</v>
      </c>
      <c r="I25" s="321" t="b">
        <v>1</v>
      </c>
      <c r="J25" s="322">
        <v>2</v>
      </c>
      <c r="K25" s="323">
        <v>14250</v>
      </c>
      <c r="L25" s="324">
        <f t="shared" ref="L25:L33" si="2">J25*K25</f>
        <v>28500</v>
      </c>
      <c r="M25" s="325"/>
    </row>
    <row r="26" spans="1:13" ht="15.75" customHeight="1">
      <c r="A26" s="21" t="s">
        <v>528</v>
      </c>
      <c r="B26" s="61" t="s">
        <v>529</v>
      </c>
      <c r="C26" s="316" t="e">
        <f>VLOOKUP($A26,Master!$B$50:$N$232,8,FALSE)</f>
        <v>#N/A</v>
      </c>
      <c r="D26" s="316" t="e">
        <f>VLOOKUP($A26,Master!$B$50:$N$232,9,FALSE)</f>
        <v>#N/A</v>
      </c>
      <c r="E26" s="317" t="e">
        <f>VLOOKUP($A26,Master!$B$50:$N$232,11,FALSE)</f>
        <v>#N/A</v>
      </c>
      <c r="F26" s="318">
        <v>5</v>
      </c>
      <c r="G26" s="319" t="s">
        <v>50</v>
      </c>
      <c r="H26" s="320">
        <v>80000</v>
      </c>
      <c r="I26" s="321" t="b">
        <v>1</v>
      </c>
      <c r="J26" s="322">
        <v>5</v>
      </c>
      <c r="K26" s="326" t="e">
        <f>VLOOKUP($A26,Master!$B$50:$N$232,6,FALSE)</f>
        <v>#N/A</v>
      </c>
      <c r="L26" s="327" t="e">
        <f t="shared" si="2"/>
        <v>#N/A</v>
      </c>
      <c r="M26" s="325"/>
    </row>
    <row r="27" spans="1:13" ht="15.75" customHeight="1">
      <c r="A27" s="21" t="s">
        <v>532</v>
      </c>
      <c r="B27" s="61" t="s">
        <v>533</v>
      </c>
      <c r="C27" s="316" t="e">
        <f>VLOOKUP($A27,Master!$B$50:$N$232,8,FALSE)</f>
        <v>#N/A</v>
      </c>
      <c r="D27" s="316" t="e">
        <f>VLOOKUP($A27,Master!$B$50:$N$232,9,FALSE)</f>
        <v>#N/A</v>
      </c>
      <c r="E27" s="317" t="e">
        <f>VLOOKUP($A27,Master!$B$50:$N$232,11,FALSE)</f>
        <v>#N/A</v>
      </c>
      <c r="F27" s="318">
        <v>1</v>
      </c>
      <c r="G27" s="319" t="s">
        <v>62</v>
      </c>
      <c r="H27" s="320">
        <v>56000</v>
      </c>
      <c r="I27" s="321" t="b">
        <v>1</v>
      </c>
      <c r="J27" s="322">
        <v>1</v>
      </c>
      <c r="K27" s="326" t="e">
        <f>VLOOKUP($A27,Master!$B$50:$N$232,6,FALSE)</f>
        <v>#N/A</v>
      </c>
      <c r="L27" s="327" t="e">
        <f t="shared" si="2"/>
        <v>#N/A</v>
      </c>
      <c r="M27" s="325"/>
    </row>
    <row r="28" spans="1:13" ht="15.75" customHeight="1">
      <c r="A28" s="21" t="s">
        <v>635</v>
      </c>
      <c r="B28" s="61" t="s">
        <v>636</v>
      </c>
      <c r="C28" s="316" t="e">
        <f>VLOOKUP($A28,Master!$B$50:$N$232,8,FALSE)</f>
        <v>#N/A</v>
      </c>
      <c r="D28" s="316" t="e">
        <f>VLOOKUP($A28,Master!$B$50:$N$232,9,FALSE)</f>
        <v>#N/A</v>
      </c>
      <c r="E28" s="317" t="e">
        <f>VLOOKUP($A28,Master!$B$50:$N$232,11,FALSE)</f>
        <v>#N/A</v>
      </c>
      <c r="F28" s="318">
        <v>10</v>
      </c>
      <c r="G28" s="319" t="s">
        <v>50</v>
      </c>
      <c r="H28" s="320">
        <v>110000</v>
      </c>
      <c r="I28" s="321" t="b">
        <v>1</v>
      </c>
      <c r="J28" s="322">
        <v>10</v>
      </c>
      <c r="K28" s="326" t="e">
        <f>VLOOKUP($A28,Master!$B$50:$N$232,6,FALSE)</f>
        <v>#N/A</v>
      </c>
      <c r="L28" s="327" t="e">
        <f t="shared" si="2"/>
        <v>#N/A</v>
      </c>
      <c r="M28" s="325"/>
    </row>
    <row r="29" spans="1:13" ht="15.75" customHeight="1">
      <c r="A29" s="21" t="s">
        <v>643</v>
      </c>
      <c r="B29" s="61" t="s">
        <v>644</v>
      </c>
      <c r="C29" s="316">
        <f>VLOOKUP($A29,Master!$B$50:$N$232,8,FALSE)</f>
        <v>1000</v>
      </c>
      <c r="D29" s="316" t="str">
        <f>VLOOKUP($A29,Master!$B$50:$N$232,9,FALSE)</f>
        <v>gr</v>
      </c>
      <c r="E29" s="317" t="str">
        <f>VLOOKUP($A29,Master!$B$50:$N$232,11,FALSE)</f>
        <v>PD Aroma Jaya</v>
      </c>
      <c r="F29" s="318">
        <v>1</v>
      </c>
      <c r="G29" s="319" t="s">
        <v>36</v>
      </c>
      <c r="H29" s="320">
        <v>16000</v>
      </c>
      <c r="I29" s="321" t="b">
        <v>1</v>
      </c>
      <c r="J29" s="322">
        <v>1</v>
      </c>
      <c r="K29" s="326">
        <f>VLOOKUP($A29,Master!$B$50:$N$232,6,FALSE)</f>
        <v>17000</v>
      </c>
      <c r="L29" s="327">
        <f t="shared" si="2"/>
        <v>17000</v>
      </c>
      <c r="M29" s="325"/>
    </row>
    <row r="30" spans="1:13" ht="15.75" customHeight="1">
      <c r="A30" s="21" t="s">
        <v>680</v>
      </c>
      <c r="B30" s="61" t="s">
        <v>681</v>
      </c>
      <c r="C30" s="316" t="e">
        <f>VLOOKUP($A30,Master!$B$50:$N$232,8,FALSE)</f>
        <v>#N/A</v>
      </c>
      <c r="D30" s="316" t="e">
        <f>VLOOKUP($A30,Master!$B$50:$N$232,9,FALSE)</f>
        <v>#N/A</v>
      </c>
      <c r="E30" s="317" t="e">
        <f>VLOOKUP($A30,Master!$B$50:$N$232,11,FALSE)</f>
        <v>#N/A</v>
      </c>
      <c r="F30" s="318">
        <v>5</v>
      </c>
      <c r="G30" s="319" t="s">
        <v>97</v>
      </c>
      <c r="H30" s="320">
        <v>150000</v>
      </c>
      <c r="I30" s="321" t="b">
        <v>1</v>
      </c>
      <c r="J30" s="322">
        <v>5</v>
      </c>
      <c r="K30" s="323">
        <v>31000</v>
      </c>
      <c r="L30" s="324">
        <f t="shared" si="2"/>
        <v>155000</v>
      </c>
      <c r="M30" s="325"/>
    </row>
    <row r="31" spans="1:13" ht="15.75" customHeight="1">
      <c r="A31" s="21" t="s">
        <v>684</v>
      </c>
      <c r="B31" s="61" t="s">
        <v>685</v>
      </c>
      <c r="C31" s="316" t="e">
        <f>VLOOKUP($A31,Master!$B$50:$N$232,8,FALSE)</f>
        <v>#N/A</v>
      </c>
      <c r="D31" s="316" t="e">
        <f>VLOOKUP($A31,Master!$B$50:$N$232,9,FALSE)</f>
        <v>#N/A</v>
      </c>
      <c r="E31" s="317" t="e">
        <f>VLOOKUP($A31,Master!$B$50:$N$232,11,FALSE)</f>
        <v>#N/A</v>
      </c>
      <c r="F31" s="318">
        <v>2</v>
      </c>
      <c r="G31" s="319" t="s">
        <v>97</v>
      </c>
      <c r="H31" s="320">
        <v>60000</v>
      </c>
      <c r="I31" s="321" t="b">
        <v>0</v>
      </c>
      <c r="J31" s="322"/>
      <c r="K31" s="326" t="e">
        <f>VLOOKUP($A31,Master!$B$50:$N$232,6,FALSE)</f>
        <v>#N/A</v>
      </c>
      <c r="L31" s="327" t="e">
        <f t="shared" si="2"/>
        <v>#N/A</v>
      </c>
      <c r="M31" s="325" t="s">
        <v>1507</v>
      </c>
    </row>
    <row r="32" spans="1:13" ht="15.75" customHeight="1">
      <c r="A32" s="21" t="s">
        <v>696</v>
      </c>
      <c r="B32" s="61" t="s">
        <v>697</v>
      </c>
      <c r="C32" s="316" t="e">
        <f>VLOOKUP($A32,Master!$B$50:$N$232,8,FALSE)</f>
        <v>#N/A</v>
      </c>
      <c r="D32" s="316" t="e">
        <f>VLOOKUP($A32,Master!$B$50:$N$232,9,FALSE)</f>
        <v>#N/A</v>
      </c>
      <c r="E32" s="317" t="e">
        <f>VLOOKUP($A32,Master!$B$50:$N$232,11,FALSE)</f>
        <v>#N/A</v>
      </c>
      <c r="F32" s="318">
        <v>5</v>
      </c>
      <c r="G32" s="319" t="s">
        <v>62</v>
      </c>
      <c r="H32" s="320">
        <v>70000</v>
      </c>
      <c r="I32" s="321" t="b">
        <v>1</v>
      </c>
      <c r="J32" s="322">
        <v>5</v>
      </c>
      <c r="K32" s="323">
        <v>14500</v>
      </c>
      <c r="L32" s="324">
        <f t="shared" si="2"/>
        <v>72500</v>
      </c>
      <c r="M32" s="325"/>
    </row>
    <row r="33" spans="1:13" ht="15.75" customHeight="1">
      <c r="A33" s="21" t="s">
        <v>728</v>
      </c>
      <c r="B33" s="61" t="s">
        <v>729</v>
      </c>
      <c r="C33" s="316" t="e">
        <f>VLOOKUP($A33,Master!$B$50:$N$232,8,FALSE)</f>
        <v>#N/A</v>
      </c>
      <c r="D33" s="316" t="e">
        <f>VLOOKUP($A33,Master!$B$50:$N$232,9,FALSE)</f>
        <v>#N/A</v>
      </c>
      <c r="E33" s="317" t="e">
        <f>VLOOKUP($A33,Master!$B$50:$N$232,11,FALSE)</f>
        <v>#N/A</v>
      </c>
      <c r="F33" s="318">
        <v>1</v>
      </c>
      <c r="G33" s="319" t="s">
        <v>62</v>
      </c>
      <c r="H33" s="320">
        <v>27500</v>
      </c>
      <c r="I33" s="321" t="b">
        <v>1</v>
      </c>
      <c r="J33" s="322">
        <v>1</v>
      </c>
      <c r="K33" s="326" t="e">
        <f>VLOOKUP($A33,Master!$B$50:$N$232,6,FALSE)</f>
        <v>#N/A</v>
      </c>
      <c r="L33" s="327" t="e">
        <f t="shared" si="2"/>
        <v>#N/A</v>
      </c>
      <c r="M33" s="325"/>
    </row>
    <row r="34" spans="1:13" ht="15.75" customHeight="1">
      <c r="A34" s="21" t="s">
        <v>748</v>
      </c>
      <c r="B34" s="61" t="s">
        <v>749</v>
      </c>
      <c r="C34" s="316" t="e">
        <f>VLOOKUP($A34,Master!$B$50:$N$232,8,FALSE)</f>
        <v>#N/A</v>
      </c>
      <c r="D34" s="316" t="e">
        <f>VLOOKUP($A34,Master!$B$50:$N$232,9,FALSE)</f>
        <v>#N/A</v>
      </c>
      <c r="E34" s="317" t="e">
        <f>VLOOKUP($A34,Master!$B$50:$N$232,11,FALSE)</f>
        <v>#N/A</v>
      </c>
      <c r="F34" s="318">
        <v>1</v>
      </c>
      <c r="G34" s="319" t="s">
        <v>62</v>
      </c>
      <c r="H34" s="320">
        <v>27500</v>
      </c>
      <c r="I34" s="321" t="b">
        <v>1</v>
      </c>
      <c r="J34" s="322">
        <v>1</v>
      </c>
      <c r="K34" s="326" t="e">
        <f>VLOOKUP($A34,Master!$B$50:$N$232,6,FALSE)</f>
        <v>#N/A</v>
      </c>
      <c r="L34" s="324">
        <v>27000</v>
      </c>
      <c r="M34" s="325"/>
    </row>
    <row r="35" spans="1:13" ht="15.75" customHeight="1">
      <c r="A35" s="21" t="s">
        <v>767</v>
      </c>
      <c r="B35" s="61" t="s">
        <v>768</v>
      </c>
      <c r="C35" s="316" t="e">
        <f>VLOOKUP($A35,Master!$B$50:$N$232,8,FALSE)</f>
        <v>#N/A</v>
      </c>
      <c r="D35" s="316" t="e">
        <f>VLOOKUP($A35,Master!$B$50:$N$232,9,FALSE)</f>
        <v>#N/A</v>
      </c>
      <c r="E35" s="317" t="e">
        <f>VLOOKUP($A35,Master!$B$50:$N$232,11,FALSE)</f>
        <v>#N/A</v>
      </c>
      <c r="F35" s="318">
        <v>1</v>
      </c>
      <c r="G35" s="319" t="s">
        <v>62</v>
      </c>
      <c r="H35" s="320">
        <v>19500</v>
      </c>
      <c r="I35" s="321" t="b">
        <v>1</v>
      </c>
      <c r="J35" s="322">
        <v>1</v>
      </c>
      <c r="K35" s="326" t="e">
        <f>VLOOKUP($A35,Master!$B$50:$N$232,6,FALSE)</f>
        <v>#N/A</v>
      </c>
      <c r="L35" s="324">
        <v>19250</v>
      </c>
      <c r="M35" s="325"/>
    </row>
    <row r="36" spans="1:13" ht="15.75" customHeight="1">
      <c r="A36" s="21" t="s">
        <v>773</v>
      </c>
      <c r="B36" s="61" t="s">
        <v>774</v>
      </c>
      <c r="C36" s="316" t="e">
        <f>VLOOKUP($A36,Master!$B$50:$N$232,8,FALSE)</f>
        <v>#N/A</v>
      </c>
      <c r="D36" s="316" t="e">
        <f>VLOOKUP($A36,Master!$B$50:$N$232,9,FALSE)</f>
        <v>#N/A</v>
      </c>
      <c r="E36" s="317" t="e">
        <f>VLOOKUP($A36,Master!$B$50:$N$232,11,FALSE)</f>
        <v>#N/A</v>
      </c>
      <c r="F36" s="318">
        <v>2</v>
      </c>
      <c r="G36" s="319" t="s">
        <v>62</v>
      </c>
      <c r="H36" s="320">
        <v>28000</v>
      </c>
      <c r="I36" s="321" t="b">
        <v>1</v>
      </c>
      <c r="J36" s="322">
        <v>2</v>
      </c>
      <c r="K36" s="326" t="e">
        <f>VLOOKUP($A36,Master!$B$50:$N$232,6,FALSE)</f>
        <v>#N/A</v>
      </c>
      <c r="L36" s="327" t="e">
        <f t="shared" ref="L36:L40" si="3">J36*K36</f>
        <v>#N/A</v>
      </c>
      <c r="M36" s="325"/>
    </row>
    <row r="37" spans="1:13" ht="15.75" customHeight="1">
      <c r="A37" s="21" t="s">
        <v>787</v>
      </c>
      <c r="B37" s="61" t="s">
        <v>788</v>
      </c>
      <c r="C37" s="316" t="e">
        <f>VLOOKUP($A37,Master!$B$50:$N$232,8,FALSE)</f>
        <v>#N/A</v>
      </c>
      <c r="D37" s="316" t="e">
        <f>VLOOKUP($A37,Master!$B$50:$N$232,9,FALSE)</f>
        <v>#N/A</v>
      </c>
      <c r="E37" s="317" t="e">
        <f>VLOOKUP($A37,Master!$B$50:$N$232,11,FALSE)</f>
        <v>#N/A</v>
      </c>
      <c r="F37" s="318">
        <v>1</v>
      </c>
      <c r="G37" s="319" t="s">
        <v>97</v>
      </c>
      <c r="H37" s="320">
        <v>20250</v>
      </c>
      <c r="I37" s="321" t="b">
        <v>0</v>
      </c>
      <c r="J37" s="322"/>
      <c r="K37" s="326" t="e">
        <f>VLOOKUP($A37,Master!$B$50:$N$232,6,FALSE)</f>
        <v>#N/A</v>
      </c>
      <c r="L37" s="327" t="e">
        <f t="shared" si="3"/>
        <v>#N/A</v>
      </c>
      <c r="M37" s="325" t="s">
        <v>1507</v>
      </c>
    </row>
    <row r="38" spans="1:13" ht="15.75" customHeight="1">
      <c r="A38" s="21" t="s">
        <v>934</v>
      </c>
      <c r="B38" s="61" t="s">
        <v>935</v>
      </c>
      <c r="C38" s="316" t="e">
        <f>VLOOKUP($A38,Master!$B$50:$N$232,8,FALSE)</f>
        <v>#N/A</v>
      </c>
      <c r="D38" s="316" t="e">
        <f>VLOOKUP($A38,Master!$B$50:$N$232,9,FALSE)</f>
        <v>#N/A</v>
      </c>
      <c r="E38" s="317" t="e">
        <f>VLOOKUP($A38,Master!$B$50:$N$232,11,FALSE)</f>
        <v>#N/A</v>
      </c>
      <c r="F38" s="318">
        <v>2</v>
      </c>
      <c r="G38" s="319" t="s">
        <v>62</v>
      </c>
      <c r="H38" s="320">
        <v>15800</v>
      </c>
      <c r="I38" s="321" t="b">
        <v>1</v>
      </c>
      <c r="J38" s="322">
        <v>2</v>
      </c>
      <c r="K38" s="326" t="e">
        <f>VLOOKUP($A38,Master!$B$50:$N$232,6,FALSE)</f>
        <v>#N/A</v>
      </c>
      <c r="L38" s="327" t="e">
        <f t="shared" si="3"/>
        <v>#N/A</v>
      </c>
      <c r="M38" s="325"/>
    </row>
    <row r="39" spans="1:13" ht="15.75" customHeight="1">
      <c r="A39" s="21" t="s">
        <v>943</v>
      </c>
      <c r="B39" s="61" t="s">
        <v>944</v>
      </c>
      <c r="C39" s="316" t="e">
        <f>VLOOKUP($A39,Master!$B$50:$N$232,8,FALSE)</f>
        <v>#N/A</v>
      </c>
      <c r="D39" s="316" t="e">
        <f>VLOOKUP($A39,Master!$B$50:$N$232,9,FALSE)</f>
        <v>#N/A</v>
      </c>
      <c r="E39" s="317" t="e">
        <f>VLOOKUP($A39,Master!$B$50:$N$232,11,FALSE)</f>
        <v>#N/A</v>
      </c>
      <c r="F39" s="318">
        <v>1</v>
      </c>
      <c r="G39" s="319" t="s">
        <v>62</v>
      </c>
      <c r="H39" s="320">
        <v>7900</v>
      </c>
      <c r="I39" s="321" t="b">
        <v>1</v>
      </c>
      <c r="J39" s="322">
        <v>1</v>
      </c>
      <c r="K39" s="326" t="e">
        <f>VLOOKUP($A39,Master!$B$50:$N$232,6,FALSE)</f>
        <v>#N/A</v>
      </c>
      <c r="L39" s="327" t="e">
        <f t="shared" si="3"/>
        <v>#N/A</v>
      </c>
      <c r="M39" s="325"/>
    </row>
    <row r="40" spans="1:13" ht="15.75" customHeight="1">
      <c r="A40" s="21" t="s">
        <v>982</v>
      </c>
      <c r="B40" s="61" t="s">
        <v>983</v>
      </c>
      <c r="C40" s="316">
        <f>VLOOKUP($A40,Master!$B$50:$N$232,8,FALSE)</f>
        <v>12</v>
      </c>
      <c r="D40" s="316" t="str">
        <f>VLOOKUP($A40,Master!$B$50:$N$232,9,FALSE)</f>
        <v>pcs</v>
      </c>
      <c r="E40" s="317" t="str">
        <f>VLOOKUP($A40,Master!$B$50:$N$232,11,FALSE)</f>
        <v>PD Aroma Jaya</v>
      </c>
      <c r="F40" s="318">
        <v>4</v>
      </c>
      <c r="G40" s="319" t="s">
        <v>62</v>
      </c>
      <c r="H40" s="320">
        <v>88000</v>
      </c>
      <c r="I40" s="321" t="b">
        <v>1</v>
      </c>
      <c r="J40" s="322">
        <v>4</v>
      </c>
      <c r="K40" s="326">
        <f>VLOOKUP($A40,Master!$B$50:$N$232,6,FALSE)</f>
        <v>18000</v>
      </c>
      <c r="L40" s="327">
        <f t="shared" si="3"/>
        <v>72000</v>
      </c>
      <c r="M40" s="325"/>
    </row>
    <row r="41" spans="1:13" ht="15.75" customHeight="1">
      <c r="A41" s="331" t="s">
        <v>1014</v>
      </c>
      <c r="B41" s="61" t="s">
        <v>1015</v>
      </c>
      <c r="C41" s="316">
        <f>VLOOKUP($A41,Master!$B$50:$N$232,8,FALSE)</f>
        <v>50</v>
      </c>
      <c r="D41" s="316" t="str">
        <f>VLOOKUP($A41,Master!$B$50:$N$232,9,FALSE)</f>
        <v>pcs</v>
      </c>
      <c r="E41" s="317" t="str">
        <f>VLOOKUP($A41,Master!$B$50:$N$232,11,FALSE)</f>
        <v>PD Aroma Jaya</v>
      </c>
      <c r="F41" s="318">
        <v>2</v>
      </c>
      <c r="G41" s="319" t="s">
        <v>62</v>
      </c>
      <c r="H41" s="320">
        <v>20000</v>
      </c>
      <c r="I41" s="321" t="b">
        <v>1</v>
      </c>
      <c r="J41" s="322">
        <v>2</v>
      </c>
      <c r="K41" s="326">
        <f>VLOOKUP($A41,Master!$B$50:$N$232,6,FALSE)</f>
        <v>10000</v>
      </c>
      <c r="L41" s="324">
        <v>18500</v>
      </c>
      <c r="M41" s="325"/>
    </row>
    <row r="42" spans="1:13" ht="15.75" customHeight="1">
      <c r="A42" s="21" t="s">
        <v>1017</v>
      </c>
      <c r="B42" s="61" t="s">
        <v>1018</v>
      </c>
      <c r="C42" s="316">
        <f>VLOOKUP($A42,Master!$B$50:$N$232,8,FALSE)</f>
        <v>1</v>
      </c>
      <c r="D42" s="316" t="str">
        <f>VLOOKUP($A42,Master!$B$50:$N$232,9,FALSE)</f>
        <v>pcs</v>
      </c>
      <c r="E42" s="317" t="str">
        <f>VLOOKUP($A42,Master!$B$50:$N$232,11,FALSE)</f>
        <v>PD Aroma Jaya</v>
      </c>
      <c r="F42" s="318">
        <v>2</v>
      </c>
      <c r="G42" s="319" t="s">
        <v>62</v>
      </c>
      <c r="H42" s="320">
        <v>5600</v>
      </c>
      <c r="I42" s="321" t="b">
        <v>1</v>
      </c>
      <c r="J42" s="322">
        <v>2</v>
      </c>
      <c r="K42" s="323">
        <v>3000</v>
      </c>
      <c r="L42" s="324">
        <f t="shared" ref="L42:L43" si="4">J42*K42</f>
        <v>6000</v>
      </c>
      <c r="M42" s="325"/>
    </row>
    <row r="43" spans="1:13" ht="15.75" customHeight="1">
      <c r="A43" s="21" t="s">
        <v>1106</v>
      </c>
      <c r="B43" s="61" t="s">
        <v>1107</v>
      </c>
      <c r="C43" s="316" t="e">
        <f>VLOOKUP($A43,Master!$B$50:$N$232,8,FALSE)</f>
        <v>#N/A</v>
      </c>
      <c r="D43" s="316" t="e">
        <f>VLOOKUP($A43,Master!$B$50:$N$232,9,FALSE)</f>
        <v>#N/A</v>
      </c>
      <c r="E43" s="317" t="e">
        <f>VLOOKUP($A43,Master!$B$50:$N$232,11,FALSE)</f>
        <v>#N/A</v>
      </c>
      <c r="F43" s="318">
        <v>1</v>
      </c>
      <c r="G43" s="319" t="s">
        <v>62</v>
      </c>
      <c r="H43" s="320">
        <v>65000</v>
      </c>
      <c r="I43" s="321" t="b">
        <v>1</v>
      </c>
      <c r="J43" s="322">
        <v>1</v>
      </c>
      <c r="K43" s="323" t="e">
        <f>VLOOKUP($A43,Master!$B$50:$N$232,6,FALSE)</f>
        <v>#N/A</v>
      </c>
      <c r="L43" s="324" t="e">
        <f t="shared" si="4"/>
        <v>#N/A</v>
      </c>
      <c r="M43" s="325"/>
    </row>
    <row r="44" spans="1:13" ht="15.75" customHeight="1">
      <c r="A44" s="21" t="s">
        <v>562</v>
      </c>
      <c r="B44" s="61" t="s">
        <v>563</v>
      </c>
      <c r="C44" s="316" t="e">
        <f>VLOOKUP($A44,Master!$B$50:$N$232,8,FALSE)</f>
        <v>#N/A</v>
      </c>
      <c r="D44" s="316" t="e">
        <f>VLOOKUP($A44,Master!$B$50:$N$232,9,FALSE)</f>
        <v>#N/A</v>
      </c>
      <c r="E44" s="317" t="e">
        <f>VLOOKUP($A44,Master!$B$50:$N$232,11,FALSE)</f>
        <v>#N/A</v>
      </c>
      <c r="F44" s="318">
        <v>1</v>
      </c>
      <c r="G44" s="319" t="s">
        <v>97</v>
      </c>
      <c r="H44" s="320">
        <v>216450</v>
      </c>
      <c r="I44" s="321" t="b">
        <v>1</v>
      </c>
      <c r="J44" s="322">
        <v>1</v>
      </c>
      <c r="K44" s="326" t="e">
        <f>VLOOKUP($A44,Master!$B$50:$N$232,6,FALSE)</f>
        <v>#N/A</v>
      </c>
      <c r="L44" s="324">
        <v>195000</v>
      </c>
      <c r="M44" s="325"/>
    </row>
    <row r="45" spans="1:13" ht="15.75" customHeight="1">
      <c r="A45" s="21" t="s">
        <v>566</v>
      </c>
      <c r="B45" s="61" t="s">
        <v>567</v>
      </c>
      <c r="C45" s="316" t="e">
        <f>VLOOKUP($A45,Master!$B$50:$N$232,8,FALSE)</f>
        <v>#N/A</v>
      </c>
      <c r="D45" s="316" t="e">
        <f>VLOOKUP($A45,Master!$B$50:$N$232,9,FALSE)</f>
        <v>#N/A</v>
      </c>
      <c r="E45" s="317" t="e">
        <f>VLOOKUP($A45,Master!$B$50:$N$232,11,FALSE)</f>
        <v>#N/A</v>
      </c>
      <c r="F45" s="318">
        <v>1</v>
      </c>
      <c r="G45" s="319" t="s">
        <v>62</v>
      </c>
      <c r="H45" s="320">
        <v>148500</v>
      </c>
      <c r="I45" s="321" t="b">
        <v>1</v>
      </c>
      <c r="J45" s="322">
        <v>1</v>
      </c>
      <c r="K45" s="326" t="e">
        <f>VLOOKUP($A45,Master!$B$50:$N$232,6,FALSE)</f>
        <v>#N/A</v>
      </c>
      <c r="L45" s="324">
        <v>135000</v>
      </c>
      <c r="M45" s="325"/>
    </row>
    <row r="46" spans="1:13" ht="15.75" customHeight="1">
      <c r="A46" s="21" t="s">
        <v>570</v>
      </c>
      <c r="B46" s="61" t="s">
        <v>571</v>
      </c>
      <c r="C46" s="316" t="e">
        <f>VLOOKUP($A46,Master!$B$50:$N$232,8,FALSE)</f>
        <v>#N/A</v>
      </c>
      <c r="D46" s="316" t="e">
        <f>VLOOKUP($A46,Master!$B$50:$N$232,9,FALSE)</f>
        <v>#N/A</v>
      </c>
      <c r="E46" s="317" t="e">
        <f>VLOOKUP($A46,Master!$B$50:$N$232,11,FALSE)</f>
        <v>#N/A</v>
      </c>
      <c r="F46" s="318">
        <v>2</v>
      </c>
      <c r="G46" s="319" t="s">
        <v>62</v>
      </c>
      <c r="H46" s="320">
        <v>297000</v>
      </c>
      <c r="I46" s="321" t="b">
        <v>1</v>
      </c>
      <c r="J46" s="322">
        <v>2</v>
      </c>
      <c r="K46" s="326" t="e">
        <f>VLOOKUP($A46,Master!$B$50:$N$232,6,FALSE)</f>
        <v>#N/A</v>
      </c>
      <c r="L46" s="324">
        <v>270000</v>
      </c>
      <c r="M46" s="325"/>
    </row>
    <row r="47" spans="1:13" ht="15.75" customHeight="1">
      <c r="A47" s="21" t="s">
        <v>961</v>
      </c>
      <c r="B47" s="61" t="s">
        <v>962</v>
      </c>
      <c r="C47" s="316" t="e">
        <f>VLOOKUP($A47,Master!$B$50:$N$232,8,FALSE)</f>
        <v>#N/A</v>
      </c>
      <c r="D47" s="316" t="e">
        <f>VLOOKUP($A47,Master!$B$50:$N$232,9,FALSE)</f>
        <v>#N/A</v>
      </c>
      <c r="E47" s="317" t="e">
        <f>VLOOKUP($A47,Master!$B$50:$N$232,11,FALSE)</f>
        <v>#N/A</v>
      </c>
      <c r="F47" s="318">
        <v>2</v>
      </c>
      <c r="G47" s="319" t="s">
        <v>97</v>
      </c>
      <c r="H47" s="320">
        <v>188700</v>
      </c>
      <c r="I47" s="321" t="b">
        <v>1</v>
      </c>
      <c r="J47" s="322">
        <v>2</v>
      </c>
      <c r="K47" s="326" t="e">
        <f>VLOOKUP($A47,Master!$B$50:$N$232,6,FALSE)</f>
        <v>#N/A</v>
      </c>
      <c r="L47" s="324">
        <v>170000</v>
      </c>
      <c r="M47" s="325"/>
    </row>
    <row r="48" spans="1:13" ht="15.75" customHeight="1">
      <c r="A48" s="21" t="s">
        <v>552</v>
      </c>
      <c r="B48" s="61" t="s">
        <v>553</v>
      </c>
      <c r="C48" s="316" t="e">
        <f>VLOOKUP($A48,Master!$B$50:$N$232,8,FALSE)</f>
        <v>#N/A</v>
      </c>
      <c r="D48" s="316" t="e">
        <f>VLOOKUP($A48,Master!$B$50:$N$232,9,FALSE)</f>
        <v>#N/A</v>
      </c>
      <c r="E48" s="317" t="e">
        <f>VLOOKUP($A48,Master!$B$50:$N$232,11,FALSE)</f>
        <v>#N/A</v>
      </c>
      <c r="F48" s="318">
        <v>4</v>
      </c>
      <c r="G48" s="319" t="s">
        <v>121</v>
      </c>
      <c r="H48" s="320">
        <v>228000</v>
      </c>
      <c r="I48" s="321" t="b">
        <v>1</v>
      </c>
      <c r="J48" s="322">
        <v>4</v>
      </c>
      <c r="K48" s="326" t="e">
        <f>VLOOKUP($A48,Master!$B$50:$N$232,6,FALSE)</f>
        <v>#N/A</v>
      </c>
      <c r="L48" s="324">
        <v>121200</v>
      </c>
      <c r="M48" s="325"/>
    </row>
    <row r="49" spans="1:13" ht="15.75" customHeight="1">
      <c r="A49" s="315" t="s">
        <v>623</v>
      </c>
      <c r="B49" s="61" t="s">
        <v>624</v>
      </c>
      <c r="C49" s="316" t="e">
        <f>VLOOKUP($A49,Master!$B$50:$N$232,8,FALSE)</f>
        <v>#N/A</v>
      </c>
      <c r="D49" s="316" t="e">
        <f>VLOOKUP($A49,Master!$B$50:$N$232,9,FALSE)</f>
        <v>#N/A</v>
      </c>
      <c r="E49" s="317" t="e">
        <f>VLOOKUP($A49,Master!$B$50:$N$232,11,FALSE)</f>
        <v>#N/A</v>
      </c>
      <c r="F49" s="318">
        <v>3</v>
      </c>
      <c r="G49" s="319" t="s">
        <v>143</v>
      </c>
      <c r="H49" s="320">
        <v>545787</v>
      </c>
      <c r="I49" s="321" t="b">
        <v>1</v>
      </c>
      <c r="J49" s="322">
        <v>3</v>
      </c>
      <c r="K49" s="323">
        <f>571761/3</f>
        <v>190587</v>
      </c>
      <c r="L49" s="324">
        <f t="shared" ref="L49:L50" si="5">J49*K49</f>
        <v>571761</v>
      </c>
      <c r="M49" s="325"/>
    </row>
    <row r="50" spans="1:13" ht="15.75" customHeight="1">
      <c r="A50" s="21" t="s">
        <v>704</v>
      </c>
      <c r="B50" s="61" t="s">
        <v>705</v>
      </c>
      <c r="C50" s="316" t="e">
        <f>VLOOKUP($A50,Master!$B$50:$N$232,8,FALSE)</f>
        <v>#N/A</v>
      </c>
      <c r="D50" s="316" t="e">
        <f>VLOOKUP($A50,Master!$B$50:$N$232,9,FALSE)</f>
        <v>#N/A</v>
      </c>
      <c r="E50" s="317" t="e">
        <f>VLOOKUP($A50,Master!$B$50:$N$232,11,FALSE)</f>
        <v>#N/A</v>
      </c>
      <c r="F50" s="318">
        <v>3</v>
      </c>
      <c r="G50" s="319" t="s">
        <v>143</v>
      </c>
      <c r="H50" s="320">
        <v>608391</v>
      </c>
      <c r="I50" s="321" t="b">
        <v>1</v>
      </c>
      <c r="J50" s="322">
        <v>3</v>
      </c>
      <c r="K50" s="323">
        <f>620100/3</f>
        <v>206700</v>
      </c>
      <c r="L50" s="324">
        <f t="shared" si="5"/>
        <v>620100</v>
      </c>
      <c r="M50" s="325"/>
    </row>
    <row r="51" spans="1:13" ht="13">
      <c r="A51" s="18" t="s">
        <v>910</v>
      </c>
      <c r="B51" s="328" t="s">
        <v>911</v>
      </c>
      <c r="C51" s="316">
        <f>VLOOKUP($A51,Master!$B$50:$N$232,8,FALSE)</f>
        <v>10</v>
      </c>
      <c r="D51" s="316" t="str">
        <f>VLOOKUP($A51,Master!$B$50:$N$232,9,FALSE)</f>
        <v>pcs</v>
      </c>
      <c r="E51" s="317" t="str">
        <f>VLOOKUP($A51,Master!$B$50:$N$232,11,FALSE)</f>
        <v>Setiabudi Market</v>
      </c>
      <c r="F51" s="318">
        <v>5</v>
      </c>
      <c r="G51" s="319" t="s">
        <v>62</v>
      </c>
      <c r="H51" s="320">
        <v>84500</v>
      </c>
      <c r="I51" s="321" t="b">
        <v>1</v>
      </c>
      <c r="J51" s="322">
        <v>6</v>
      </c>
      <c r="K51" s="326">
        <f>VLOOKUP($A51,Master!$B$50:$N$232,6,FALSE)</f>
        <v>16900</v>
      </c>
      <c r="L51" s="324">
        <v>100386</v>
      </c>
      <c r="M51" s="325" t="s">
        <v>1500</v>
      </c>
    </row>
    <row r="52" spans="1:13" ht="13">
      <c r="A52" s="21" t="s">
        <v>782</v>
      </c>
      <c r="B52" s="61" t="s">
        <v>783</v>
      </c>
      <c r="C52" s="316">
        <f>VLOOKUP($A52,Master!$B$50:$N$232,8,FALSE)</f>
        <v>500</v>
      </c>
      <c r="D52" s="316" t="str">
        <f>VLOOKUP($A52,Master!$B$50:$N$232,9,FALSE)</f>
        <v>gr</v>
      </c>
      <c r="E52" s="317" t="str">
        <f>VLOOKUP($A52,Master!$B$50:$N$232,11,FALSE)</f>
        <v>Toko Lain</v>
      </c>
      <c r="F52" s="318">
        <v>2</v>
      </c>
      <c r="G52" s="319" t="s">
        <v>62</v>
      </c>
      <c r="H52" s="320">
        <v>50000</v>
      </c>
      <c r="I52" s="321" t="b">
        <v>1</v>
      </c>
      <c r="J52" s="322">
        <v>2</v>
      </c>
      <c r="K52" s="326">
        <f>VLOOKUP($A52,Master!$B$50:$N$232,6,FALSE)</f>
        <v>25000</v>
      </c>
      <c r="L52" s="327">
        <f>J52*K52</f>
        <v>50000</v>
      </c>
      <c r="M52" s="325" t="s">
        <v>1508</v>
      </c>
    </row>
    <row r="53" spans="1:13" ht="13">
      <c r="A53" s="21" t="s">
        <v>544</v>
      </c>
      <c r="B53" s="61" t="s">
        <v>545</v>
      </c>
      <c r="C53" s="316" t="e">
        <f>VLOOKUP($A53,Master!$B$50:$N$232,8,FALSE)</f>
        <v>#N/A</v>
      </c>
      <c r="D53" s="316" t="e">
        <f>VLOOKUP($A53,Master!$B$50:$N$232,9,FALSE)</f>
        <v>#N/A</v>
      </c>
      <c r="E53" s="317" t="e">
        <f>VLOOKUP($A53,Master!$B$50:$N$232,11,FALSE)</f>
        <v>#N/A</v>
      </c>
      <c r="F53" s="318">
        <v>4</v>
      </c>
      <c r="G53" s="319" t="s">
        <v>62</v>
      </c>
      <c r="H53" s="320">
        <v>102600</v>
      </c>
      <c r="I53" s="321" t="b">
        <v>1</v>
      </c>
      <c r="J53" s="322">
        <v>4</v>
      </c>
      <c r="K53" s="326" t="e">
        <f>VLOOKUP($A53,Master!$B$50:$N$232,6,FALSE)</f>
        <v>#N/A</v>
      </c>
      <c r="L53" s="324">
        <v>68742</v>
      </c>
      <c r="M53" s="325"/>
    </row>
    <row r="54" spans="1:13" ht="13">
      <c r="A54" s="332" t="s">
        <v>1070</v>
      </c>
      <c r="B54" s="333" t="s">
        <v>1071</v>
      </c>
      <c r="C54" s="316" t="e">
        <f>VLOOKUP($A54,Master!$B$50:$N$232,8,FALSE)</f>
        <v>#N/A</v>
      </c>
      <c r="D54" s="316" t="e">
        <f>VLOOKUP($A54,Master!$B$50:$N$232,9,FALSE)</f>
        <v>#N/A</v>
      </c>
      <c r="E54" s="317" t="e">
        <f>VLOOKUP($A54,Master!$B$50:$N$232,11,FALSE)</f>
        <v>#N/A</v>
      </c>
      <c r="F54" s="318">
        <v>2</v>
      </c>
      <c r="G54" s="319" t="s">
        <v>62</v>
      </c>
      <c r="H54" s="320">
        <v>29800</v>
      </c>
      <c r="I54" s="321" t="b">
        <v>1</v>
      </c>
      <c r="J54" s="322">
        <v>2</v>
      </c>
      <c r="K54" s="323" t="e">
        <f>VLOOKUP($A54,Master!$B$50:$N$232,6,FALSE)</f>
        <v>#N/A</v>
      </c>
      <c r="L54" s="324">
        <v>8000</v>
      </c>
      <c r="M54" s="325" t="s">
        <v>1499</v>
      </c>
    </row>
    <row r="55" spans="1:13" ht="13">
      <c r="A55" s="21" t="s">
        <v>540</v>
      </c>
      <c r="B55" s="61" t="s">
        <v>541</v>
      </c>
      <c r="C55" s="316">
        <f>VLOOKUP($A55,Master!$B$50:$N$232,8,FALSE)</f>
        <v>1000</v>
      </c>
      <c r="D55" s="316" t="str">
        <f>VLOOKUP($A55,Master!$B$50:$N$232,9,FALSE)</f>
        <v>gr</v>
      </c>
      <c r="E55" s="317" t="str">
        <f>VLOOKUP($A55,Master!$B$50:$N$232,11,FALSE)</f>
        <v>Woodlane</v>
      </c>
      <c r="F55" s="318">
        <v>2</v>
      </c>
      <c r="G55" s="319" t="s">
        <v>36</v>
      </c>
      <c r="H55" s="320">
        <v>340000</v>
      </c>
      <c r="I55" s="321" t="b">
        <v>1</v>
      </c>
      <c r="J55" s="322">
        <v>2</v>
      </c>
      <c r="K55" s="326">
        <f>VLOOKUP($A55,Master!$B$50:$N$232,6,FALSE)</f>
        <v>170000</v>
      </c>
      <c r="L55" s="327">
        <f t="shared" ref="L55:L57" si="6">J55*K55</f>
        <v>340000</v>
      </c>
      <c r="M55" s="325"/>
    </row>
    <row r="56" spans="1:13" ht="13">
      <c r="A56" s="21" t="s">
        <v>590</v>
      </c>
      <c r="B56" s="61" t="s">
        <v>599</v>
      </c>
      <c r="C56" s="316">
        <f>VLOOKUP($A56,Master!$B$50:$N$232,8,FALSE)</f>
        <v>200</v>
      </c>
      <c r="D56" s="316" t="str">
        <f>VLOOKUP($A56,Master!$B$50:$N$232,9,FALSE)</f>
        <v>gr</v>
      </c>
      <c r="E56" s="317" t="str">
        <f>VLOOKUP($A56,Master!$B$50:$N$232,11,FALSE)</f>
        <v>Woodlane</v>
      </c>
      <c r="F56" s="318">
        <v>3</v>
      </c>
      <c r="G56" s="319" t="s">
        <v>62</v>
      </c>
      <c r="H56" s="320">
        <v>255000</v>
      </c>
      <c r="I56" s="321" t="b">
        <v>1</v>
      </c>
      <c r="J56" s="322">
        <v>3</v>
      </c>
      <c r="K56" s="326">
        <f>VLOOKUP($A56,Master!$B$50:$N$240,6,FALSE)</f>
        <v>85000</v>
      </c>
      <c r="L56" s="327">
        <f t="shared" si="6"/>
        <v>255000</v>
      </c>
      <c r="M56" s="325"/>
    </row>
    <row r="57" spans="1:13" ht="13">
      <c r="A57" s="21" t="s">
        <v>548</v>
      </c>
      <c r="B57" s="61" t="s">
        <v>549</v>
      </c>
      <c r="C57" s="316" t="e">
        <f>VLOOKUP($A57,Master!$B$50:$N$232,8,FALSE)</f>
        <v>#N/A</v>
      </c>
      <c r="D57" s="316" t="e">
        <f>VLOOKUP($A57,Master!$B$50:$N$232,9,FALSE)</f>
        <v>#N/A</v>
      </c>
      <c r="E57" s="317" t="e">
        <f>VLOOKUP($A57,Master!$B$50:$N$232,11,FALSE)</f>
        <v>#N/A</v>
      </c>
      <c r="F57" s="318">
        <v>2</v>
      </c>
      <c r="G57" s="319" t="s">
        <v>87</v>
      </c>
      <c r="H57" s="320">
        <v>315130</v>
      </c>
      <c r="I57" s="321" t="b">
        <v>1</v>
      </c>
      <c r="J57" s="322">
        <v>2</v>
      </c>
      <c r="K57" s="326" t="e">
        <f>VLOOKUP($A57,Master!$B$50:$N$232,6,FALSE)</f>
        <v>#N/A</v>
      </c>
      <c r="L57" s="327" t="e">
        <f t="shared" si="6"/>
        <v>#N/A</v>
      </c>
      <c r="M57" s="325"/>
    </row>
    <row r="58" spans="1:13" ht="13">
      <c r="A58" s="334" t="s">
        <v>1068</v>
      </c>
      <c r="B58" s="335"/>
      <c r="C58" s="336">
        <v>750</v>
      </c>
      <c r="D58" s="336" t="s">
        <v>138</v>
      </c>
      <c r="E58" s="337" t="s">
        <v>264</v>
      </c>
      <c r="F58" s="338">
        <v>5</v>
      </c>
      <c r="G58" s="339" t="s">
        <v>62</v>
      </c>
      <c r="H58" s="340">
        <v>23000</v>
      </c>
      <c r="I58" s="321" t="b">
        <v>1</v>
      </c>
      <c r="J58" s="341">
        <v>5</v>
      </c>
      <c r="K58" s="342">
        <v>23000</v>
      </c>
      <c r="L58" s="343">
        <f>23000*5</f>
        <v>115000</v>
      </c>
      <c r="M58" s="325" t="s">
        <v>1509</v>
      </c>
    </row>
    <row r="59" spans="1:13" ht="13">
      <c r="A59" s="334" t="s">
        <v>1052</v>
      </c>
      <c r="B59" s="335"/>
      <c r="C59" s="336"/>
      <c r="D59" s="336"/>
      <c r="E59" s="337" t="s">
        <v>264</v>
      </c>
      <c r="F59" s="338">
        <v>5</v>
      </c>
      <c r="G59" s="339" t="s">
        <v>62</v>
      </c>
      <c r="H59" s="340">
        <v>6500</v>
      </c>
      <c r="I59" s="321" t="b">
        <v>1</v>
      </c>
      <c r="J59" s="341">
        <v>5</v>
      </c>
      <c r="K59" s="342">
        <v>6500</v>
      </c>
      <c r="L59" s="343">
        <f>6500*5</f>
        <v>32500</v>
      </c>
      <c r="M59" s="325" t="s">
        <v>1509</v>
      </c>
    </row>
    <row r="61" spans="1:13" ht="13">
      <c r="F61" s="427">
        <v>44806</v>
      </c>
      <c r="G61" s="428"/>
      <c r="H61" s="424"/>
      <c r="J61" s="429">
        <f>F61+1</f>
        <v>44807</v>
      </c>
      <c r="K61" s="428"/>
      <c r="L61" s="424"/>
    </row>
    <row r="62" spans="1:13" ht="13">
      <c r="F62" s="425" t="s">
        <v>1490</v>
      </c>
      <c r="G62" s="426"/>
      <c r="H62" s="304">
        <f>SUM(H64:H73)</f>
        <v>718500</v>
      </c>
      <c r="J62" s="425" t="s">
        <v>1491</v>
      </c>
      <c r="K62" s="426"/>
      <c r="L62" s="304" t="e">
        <f>SUM(L64:L73)</f>
        <v>#N/A</v>
      </c>
    </row>
    <row r="63" spans="1:13" ht="13">
      <c r="A63" s="2" t="s">
        <v>4</v>
      </c>
      <c r="B63" s="305" t="s">
        <v>5</v>
      </c>
      <c r="C63" s="305" t="s">
        <v>1492</v>
      </c>
      <c r="D63" s="305" t="s">
        <v>12</v>
      </c>
      <c r="E63" s="306" t="s">
        <v>1493</v>
      </c>
      <c r="F63" s="307" t="s">
        <v>1494</v>
      </c>
      <c r="G63" s="308" t="s">
        <v>10</v>
      </c>
      <c r="H63" s="309" t="s">
        <v>1495</v>
      </c>
      <c r="I63" s="310" t="s">
        <v>1289</v>
      </c>
      <c r="J63" s="311" t="s">
        <v>1496</v>
      </c>
      <c r="K63" s="312" t="s">
        <v>1497</v>
      </c>
      <c r="L63" s="313" t="s">
        <v>1498</v>
      </c>
      <c r="M63" s="314" t="s">
        <v>16</v>
      </c>
    </row>
    <row r="64" spans="1:13" ht="13">
      <c r="A64" s="21" t="s">
        <v>651</v>
      </c>
      <c r="B64" s="61" t="s">
        <v>652</v>
      </c>
      <c r="C64" s="316">
        <f>VLOOKUP($A64,Master!$B$50:$N$232,8,FALSE)</f>
        <v>1000</v>
      </c>
      <c r="D64" s="316" t="str">
        <f>VLOOKUP($A64,Master!$B$50:$N$232,9,FALSE)</f>
        <v>gr</v>
      </c>
      <c r="E64" s="317" t="str">
        <f>VLOOKUP($A64,Master!$B$50:$N$232,11,FALSE)</f>
        <v>Eden Farm</v>
      </c>
      <c r="F64" s="318">
        <v>1</v>
      </c>
      <c r="G64" s="319" t="s">
        <v>36</v>
      </c>
      <c r="H64" s="320">
        <v>10200</v>
      </c>
      <c r="I64" s="321" t="b">
        <v>1</v>
      </c>
      <c r="J64" s="322">
        <v>1</v>
      </c>
      <c r="K64" s="326">
        <f>VLOOKUP($A64,Master!$B$50:$N$232,6,FALSE)</f>
        <v>18000</v>
      </c>
      <c r="L64" s="327">
        <f>J64*K64</f>
        <v>18000</v>
      </c>
      <c r="M64" s="325"/>
    </row>
    <row r="65" spans="1:13" ht="13">
      <c r="A65" s="21" t="s">
        <v>712</v>
      </c>
      <c r="B65" s="61" t="s">
        <v>713</v>
      </c>
      <c r="C65" s="316">
        <f>VLOOKUP($A65,Master!$B$50:$N$232,8,FALSE)</f>
        <v>1000</v>
      </c>
      <c r="D65" s="316" t="str">
        <f>VLOOKUP($A65,Master!$B$50:$N$232,9,FALSE)</f>
        <v>gr</v>
      </c>
      <c r="E65" s="317" t="str">
        <f>VLOOKUP($A65,Master!$B$50:$N$232,11,FALSE)</f>
        <v>Eden Farm</v>
      </c>
      <c r="F65" s="318">
        <v>1</v>
      </c>
      <c r="G65" s="319" t="s">
        <v>36</v>
      </c>
      <c r="H65" s="320">
        <v>24200</v>
      </c>
      <c r="I65" s="321" t="b">
        <v>1</v>
      </c>
      <c r="J65" s="322">
        <v>1</v>
      </c>
      <c r="K65" s="326">
        <f>VLOOKUP($A65,Master!$B$50:$N$232,6,FALSE)</f>
        <v>40000</v>
      </c>
      <c r="L65" s="324">
        <v>21100</v>
      </c>
      <c r="M65" s="325"/>
    </row>
    <row r="66" spans="1:13" ht="13">
      <c r="A66" s="21" t="s">
        <v>744</v>
      </c>
      <c r="B66" s="61" t="s">
        <v>745</v>
      </c>
      <c r="C66" s="316">
        <f>VLOOKUP($A66,Master!$B$50:$N$232,8,FALSE)</f>
        <v>1000</v>
      </c>
      <c r="D66" s="316" t="str">
        <f>VLOOKUP($A66,Master!$B$50:$N$232,9,FALSE)</f>
        <v>gr</v>
      </c>
      <c r="E66" s="317" t="str">
        <f>VLOOKUP($A66,Master!$B$50:$N$232,11,FALSE)</f>
        <v>Eden Farm</v>
      </c>
      <c r="F66" s="318">
        <v>1</v>
      </c>
      <c r="G66" s="319" t="s">
        <v>36</v>
      </c>
      <c r="H66" s="320">
        <v>54500</v>
      </c>
      <c r="I66" s="321" t="b">
        <v>1</v>
      </c>
      <c r="J66" s="322">
        <v>1</v>
      </c>
      <c r="K66" s="323">
        <v>63300</v>
      </c>
      <c r="L66" s="324">
        <f t="shared" ref="L66:L67" si="7">J66*K66</f>
        <v>63300</v>
      </c>
      <c r="M66" s="325"/>
    </row>
    <row r="67" spans="1:13" ht="13">
      <c r="A67" s="21" t="s">
        <v>815</v>
      </c>
      <c r="B67" s="61" t="s">
        <v>816</v>
      </c>
      <c r="C67" s="316">
        <f>VLOOKUP($A67,Master!$B$50:$N$232,8,FALSE)</f>
        <v>1000</v>
      </c>
      <c r="D67" s="316" t="str">
        <f>VLOOKUP($A67,Master!$B$50:$N$232,9,FALSE)</f>
        <v>gr</v>
      </c>
      <c r="E67" s="317" t="str">
        <f>VLOOKUP($A67,Master!$B$50:$N$232,11,FALSE)</f>
        <v>Eden Farm</v>
      </c>
      <c r="F67" s="318">
        <v>0.5</v>
      </c>
      <c r="G67" s="319" t="s">
        <v>36</v>
      </c>
      <c r="H67" s="320">
        <v>11600</v>
      </c>
      <c r="I67" s="321" t="b">
        <v>1</v>
      </c>
      <c r="J67" s="322">
        <v>0.5</v>
      </c>
      <c r="K67" s="323">
        <v>14000</v>
      </c>
      <c r="L67" s="324">
        <f t="shared" si="7"/>
        <v>7000</v>
      </c>
      <c r="M67" s="325"/>
    </row>
    <row r="68" spans="1:13" ht="13">
      <c r="A68" s="21" t="s">
        <v>1020</v>
      </c>
      <c r="B68" s="61" t="s">
        <v>1021</v>
      </c>
      <c r="C68" s="316">
        <f>VLOOKUP($A68,Master!$B$50:$N$232,8,FALSE)</f>
        <v>1000</v>
      </c>
      <c r="D68" s="316" t="str">
        <f>VLOOKUP($A68,Master!$B$50:$N$232,9,FALSE)</f>
        <v>gr</v>
      </c>
      <c r="E68" s="317" t="str">
        <f>VLOOKUP($A68,Master!$B$50:$N$232,11,FALSE)</f>
        <v>Eden Farm</v>
      </c>
      <c r="F68" s="318">
        <v>1</v>
      </c>
      <c r="G68" s="319" t="s">
        <v>36</v>
      </c>
      <c r="H68" s="320">
        <v>21800</v>
      </c>
      <c r="I68" s="321" t="b">
        <v>1</v>
      </c>
      <c r="J68" s="322">
        <v>1</v>
      </c>
      <c r="K68" s="326">
        <f>VLOOKUP($A68,Master!$B$50:$N$232,6,FALSE)</f>
        <v>24000</v>
      </c>
      <c r="L68" s="324">
        <v>12600</v>
      </c>
      <c r="M68" s="325"/>
    </row>
    <row r="69" spans="1:13" ht="13">
      <c r="A69" s="21" t="s">
        <v>1050</v>
      </c>
      <c r="B69" s="61" t="s">
        <v>1051</v>
      </c>
      <c r="C69" s="316" t="e">
        <f>VLOOKUP($A69,Master!$B$50:$N$232,8,FALSE)</f>
        <v>#N/A</v>
      </c>
      <c r="D69" s="316" t="e">
        <f>VLOOKUP($A69,Master!$B$50:$N$232,9,FALSE)</f>
        <v>#N/A</v>
      </c>
      <c r="E69" s="317" t="e">
        <f>VLOOKUP($A69,Master!$B$50:$N$232,11,FALSE)</f>
        <v>#N/A</v>
      </c>
      <c r="F69" s="318">
        <v>0.5</v>
      </c>
      <c r="G69" s="319" t="s">
        <v>36</v>
      </c>
      <c r="H69" s="320">
        <v>9700</v>
      </c>
      <c r="I69" s="321" t="b">
        <v>1</v>
      </c>
      <c r="J69" s="322">
        <v>0.5</v>
      </c>
      <c r="K69" s="323" t="e">
        <f>VLOOKUP($A69,Master!$B$50:$N$232,6,FALSE)</f>
        <v>#N/A</v>
      </c>
      <c r="L69" s="324">
        <v>4150</v>
      </c>
      <c r="M69" s="325"/>
    </row>
    <row r="70" spans="1:13" ht="13">
      <c r="A70" s="21" t="s">
        <v>659</v>
      </c>
      <c r="B70" s="61" t="s">
        <v>660</v>
      </c>
      <c r="C70" s="316">
        <f>VLOOKUP($A70,Master!$B$50:$N$232,8,FALSE)</f>
        <v>15</v>
      </c>
      <c r="D70" s="316" t="str">
        <f>VLOOKUP($A70,Master!$B$50:$N$232,9,FALSE)</f>
        <v>pcs</v>
      </c>
      <c r="E70" s="317" t="str">
        <f>VLOOKUP($A70,Master!$B$50:$N$232,11,FALSE)</f>
        <v>Feri Supriadi (Telur , Beras , Minyak )</v>
      </c>
      <c r="F70" s="318">
        <v>3</v>
      </c>
      <c r="G70" s="319" t="s">
        <v>36</v>
      </c>
      <c r="H70" s="320">
        <v>84000</v>
      </c>
      <c r="I70" s="321" t="b">
        <v>1</v>
      </c>
      <c r="J70" s="322">
        <v>3</v>
      </c>
      <c r="K70" s="323">
        <v>30000</v>
      </c>
      <c r="L70" s="324">
        <f t="shared" ref="L70:L72" si="8">J70*K70</f>
        <v>90000</v>
      </c>
      <c r="M70" s="325"/>
    </row>
    <row r="71" spans="1:13" ht="13">
      <c r="A71" s="21" t="s">
        <v>1112</v>
      </c>
      <c r="B71" s="61" t="s">
        <v>1113</v>
      </c>
      <c r="C71" s="316" t="e">
        <f>VLOOKUP($A71,Master!$B$50:$N$240,8,FALSE)</f>
        <v>#N/A</v>
      </c>
      <c r="D71" s="316" t="e">
        <f>VLOOKUP($A71,Master!$B$50:$N$240,9,FALSE)</f>
        <v>#N/A</v>
      </c>
      <c r="E71" s="317" t="s">
        <v>272</v>
      </c>
      <c r="F71" s="318">
        <v>2</v>
      </c>
      <c r="G71" s="319" t="s">
        <v>132</v>
      </c>
      <c r="H71" s="320">
        <v>436000</v>
      </c>
      <c r="I71" s="321" t="b">
        <v>1</v>
      </c>
      <c r="J71" s="322">
        <v>2</v>
      </c>
      <c r="K71" s="326" t="e">
        <f>VLOOKUP($A71,Master!$B$50:$N$240,6,FALSE)</f>
        <v>#N/A</v>
      </c>
      <c r="L71" s="324" t="e">
        <f t="shared" si="8"/>
        <v>#N/A</v>
      </c>
      <c r="M71" s="325"/>
    </row>
    <row r="72" spans="1:13" ht="13">
      <c r="A72" s="344" t="s">
        <v>728</v>
      </c>
      <c r="B72" s="345" t="s">
        <v>729</v>
      </c>
      <c r="C72" s="346" t="e">
        <f>VLOOKUP($A72,Master!$B$50:$N$232,8,FALSE)</f>
        <v>#N/A</v>
      </c>
      <c r="D72" s="346" t="e">
        <f>VLOOKUP($A72,Master!$B$50:$N$232,9,FALSE)</f>
        <v>#N/A</v>
      </c>
      <c r="E72" s="347" t="e">
        <f>VLOOKUP($A72,Master!$B$50:$N$232,11,FALSE)</f>
        <v>#N/A</v>
      </c>
      <c r="F72" s="318">
        <v>1</v>
      </c>
      <c r="G72" s="319" t="s">
        <v>62</v>
      </c>
      <c r="H72" s="320">
        <v>27500</v>
      </c>
      <c r="I72" s="321" t="b">
        <v>1</v>
      </c>
      <c r="J72" s="322"/>
      <c r="K72" s="326" t="e">
        <f>VLOOKUP($A72,Master!$B$50:$N$232,6,FALSE)</f>
        <v>#N/A</v>
      </c>
      <c r="L72" s="327" t="e">
        <f t="shared" si="8"/>
        <v>#N/A</v>
      </c>
      <c r="M72" s="325" t="s">
        <v>1510</v>
      </c>
    </row>
    <row r="73" spans="1:13" ht="13">
      <c r="A73" s="22" t="s">
        <v>795</v>
      </c>
      <c r="B73" s="330" t="s">
        <v>796</v>
      </c>
      <c r="C73" s="316">
        <f>VLOOKUP($A73,Master!$B$50:$N$232,8,FALSE)</f>
        <v>10</v>
      </c>
      <c r="D73" s="316" t="str">
        <f>VLOOKUP($A73,Master!$B$50:$N$232,9,FALSE)</f>
        <v>unit</v>
      </c>
      <c r="E73" s="317" t="str">
        <f>VLOOKUP($A73,Master!$B$50:$N$232,11,FALSE)</f>
        <v>Toko Lain</v>
      </c>
      <c r="F73" s="318">
        <v>5</v>
      </c>
      <c r="G73" s="319" t="s">
        <v>62</v>
      </c>
      <c r="H73" s="320">
        <v>39000</v>
      </c>
      <c r="I73" s="321" t="b">
        <v>1</v>
      </c>
      <c r="J73" s="322">
        <v>5</v>
      </c>
      <c r="K73" s="326">
        <f>VLOOKUP($A73,Master!$B$50:$N$232,6,FALSE)</f>
        <v>8000</v>
      </c>
      <c r="L73" s="324">
        <v>35000</v>
      </c>
      <c r="M73" s="325"/>
    </row>
    <row r="75" spans="1:13" ht="13">
      <c r="F75" s="427">
        <v>44809</v>
      </c>
      <c r="G75" s="428"/>
      <c r="H75" s="424"/>
      <c r="J75" s="429">
        <f>F75+1</f>
        <v>44810</v>
      </c>
      <c r="K75" s="428"/>
      <c r="L75" s="424"/>
    </row>
    <row r="76" spans="1:13" ht="13">
      <c r="F76" s="425" t="s">
        <v>1490</v>
      </c>
      <c r="G76" s="426"/>
      <c r="H76" s="304">
        <f>SUM(H78:H132)</f>
        <v>5907502</v>
      </c>
      <c r="J76" s="425" t="s">
        <v>1491</v>
      </c>
      <c r="K76" s="426"/>
      <c r="L76" s="304" t="e">
        <f>SUM(L78:L132)</f>
        <v>#N/A</v>
      </c>
    </row>
    <row r="77" spans="1:13" ht="13">
      <c r="A77" s="2" t="s">
        <v>4</v>
      </c>
      <c r="B77" s="305" t="s">
        <v>5</v>
      </c>
      <c r="C77" s="305" t="s">
        <v>1492</v>
      </c>
      <c r="D77" s="305" t="s">
        <v>12</v>
      </c>
      <c r="E77" s="306" t="s">
        <v>1493</v>
      </c>
      <c r="F77" s="307" t="s">
        <v>1494</v>
      </c>
      <c r="G77" s="308" t="s">
        <v>10</v>
      </c>
      <c r="H77" s="309" t="s">
        <v>1495</v>
      </c>
      <c r="I77" s="310" t="s">
        <v>1289</v>
      </c>
      <c r="J77" s="311" t="s">
        <v>1496</v>
      </c>
      <c r="K77" s="312" t="s">
        <v>1497</v>
      </c>
      <c r="L77" s="313" t="s">
        <v>1498</v>
      </c>
      <c r="M77" s="314" t="s">
        <v>16</v>
      </c>
    </row>
    <row r="78" spans="1:13" ht="13">
      <c r="A78" s="4" t="s">
        <v>976</v>
      </c>
      <c r="B78" s="328" t="s">
        <v>977</v>
      </c>
      <c r="C78" s="316">
        <f>VLOOKUP($A78,Master!$B$50:$N$232,8,FALSE)</f>
        <v>300</v>
      </c>
      <c r="D78" s="316" t="str">
        <f>VLOOKUP($A78,Master!$B$50:$N$232,9,FALSE)</f>
        <v>pcs</v>
      </c>
      <c r="E78" s="317" t="str">
        <f>VLOOKUP($A78,Master!$B$50:$N$232,11,FALSE)</f>
        <v>Kurnia Mas</v>
      </c>
      <c r="F78" s="318">
        <v>2</v>
      </c>
      <c r="G78" s="319" t="s">
        <v>62</v>
      </c>
      <c r="H78" s="320">
        <v>60000</v>
      </c>
      <c r="I78" s="321" t="b">
        <v>1</v>
      </c>
      <c r="J78" s="322">
        <v>2</v>
      </c>
      <c r="K78" s="326">
        <f>VLOOKUP($A78,Master!$B$50:$N$232,6,FALSE)</f>
        <v>30000</v>
      </c>
      <c r="L78" s="327">
        <f t="shared" ref="L78:L79" si="9">J78*K78</f>
        <v>60000</v>
      </c>
      <c r="M78" s="325" t="s">
        <v>1499</v>
      </c>
    </row>
    <row r="79" spans="1:13" ht="13">
      <c r="A79" s="18" t="s">
        <v>1099</v>
      </c>
      <c r="B79" s="328" t="s">
        <v>1100</v>
      </c>
      <c r="C79" s="316" t="e">
        <f>VLOOKUP($A79,Master!$B$50:$N$232,8,FALSE)</f>
        <v>#N/A</v>
      </c>
      <c r="D79" s="316" t="e">
        <f>VLOOKUP($A79,Master!$B$50:$N$232,9,FALSE)</f>
        <v>#N/A</v>
      </c>
      <c r="E79" s="317" t="e">
        <f>VLOOKUP($A79,Master!$B$50:$N$232,11,FALSE)</f>
        <v>#N/A</v>
      </c>
      <c r="F79" s="318">
        <v>2</v>
      </c>
      <c r="G79" s="319" t="s">
        <v>36</v>
      </c>
      <c r="H79" s="320">
        <v>260000</v>
      </c>
      <c r="I79" s="321" t="b">
        <v>1</v>
      </c>
      <c r="J79" s="322">
        <v>2</v>
      </c>
      <c r="K79" s="323" t="e">
        <f>VLOOKUP($A79,Master!$B$50:$N$232,6,FALSE)</f>
        <v>#N/A</v>
      </c>
      <c r="L79" s="324" t="e">
        <f t="shared" si="9"/>
        <v>#N/A</v>
      </c>
      <c r="M79" s="325" t="s">
        <v>1511</v>
      </c>
    </row>
    <row r="80" spans="1:13" ht="13">
      <c r="A80" s="22" t="s">
        <v>639</v>
      </c>
      <c r="B80" s="330" t="s">
        <v>640</v>
      </c>
      <c r="C80" s="316">
        <f>VLOOKUP($A80,Master!$B$50:$N$232,8,FALSE)</f>
        <v>1000</v>
      </c>
      <c r="D80" s="316" t="str">
        <f>VLOOKUP($A80,Master!$B$50:$N$232,9,FALSE)</f>
        <v>gr</v>
      </c>
      <c r="E80" s="317" t="str">
        <f>VLOOKUP($A80,Master!$B$50:$N$232,11,FALSE)</f>
        <v>BISS (Topside)</v>
      </c>
      <c r="F80" s="318">
        <v>1</v>
      </c>
      <c r="G80" s="319" t="s">
        <v>36</v>
      </c>
      <c r="H80" s="320">
        <v>145000</v>
      </c>
      <c r="I80" s="321" t="b">
        <v>1</v>
      </c>
      <c r="J80" s="322">
        <v>1</v>
      </c>
      <c r="K80" s="326">
        <f>VLOOKUP($A80,Master!$B$50:$N$232,6,FALSE)</f>
        <v>145000</v>
      </c>
      <c r="L80" s="324">
        <v>130000</v>
      </c>
      <c r="M80" s="325" t="s">
        <v>1512</v>
      </c>
    </row>
    <row r="81" spans="1:13" ht="13">
      <c r="A81" s="21" t="s">
        <v>586</v>
      </c>
      <c r="B81" s="61" t="s">
        <v>587</v>
      </c>
      <c r="C81" s="316">
        <f>VLOOKUP($A81,Master!$B$50:$N$232,8,FALSE)</f>
        <v>20</v>
      </c>
      <c r="D81" s="316" t="str">
        <f>VLOOKUP($A81,Master!$B$50:$N$232,9,FALSE)</f>
        <v>pcs</v>
      </c>
      <c r="E81" s="317" t="str">
        <f>VLOOKUP($A81,Master!$B$50:$N$232,11,FALSE)</f>
        <v>Kurnia Mas</v>
      </c>
      <c r="F81" s="318">
        <v>4</v>
      </c>
      <c r="G81" s="319" t="s">
        <v>62</v>
      </c>
      <c r="H81" s="320">
        <v>29200</v>
      </c>
      <c r="I81" s="321" t="b">
        <v>1</v>
      </c>
      <c r="J81" s="322">
        <v>4</v>
      </c>
      <c r="K81" s="326">
        <f>VLOOKUP($A81,Master!$B$50:$N$232,6,FALSE)</f>
        <v>8500</v>
      </c>
      <c r="L81" s="327">
        <f>J81*K81</f>
        <v>34000</v>
      </c>
      <c r="M81" s="325" t="s">
        <v>1499</v>
      </c>
    </row>
    <row r="82" spans="1:13" ht="13">
      <c r="A82" s="21" t="s">
        <v>627</v>
      </c>
      <c r="B82" s="61" t="s">
        <v>628</v>
      </c>
      <c r="C82" s="316">
        <f>VLOOKUP($A82,Master!$B$50:$N$232,8,FALSE)</f>
        <v>1000</v>
      </c>
      <c r="D82" s="316" t="str">
        <f>VLOOKUP($A82,Master!$B$50:$N$232,9,FALSE)</f>
        <v>gr</v>
      </c>
      <c r="E82" s="317" t="str">
        <f>VLOOKUP($A82,Master!$B$50:$N$232,11,FALSE)</f>
        <v>Borma</v>
      </c>
      <c r="F82" s="318">
        <v>1</v>
      </c>
      <c r="G82" s="319" t="s">
        <v>36</v>
      </c>
      <c r="H82" s="320">
        <v>31900</v>
      </c>
      <c r="I82" s="321" t="b">
        <v>1</v>
      </c>
      <c r="J82" s="322">
        <v>1</v>
      </c>
      <c r="K82" s="326">
        <f>VLOOKUP($A82,Master!$B$50:$N$232,6,FALSE)</f>
        <v>35550</v>
      </c>
      <c r="L82" s="324">
        <v>31098</v>
      </c>
      <c r="M82" s="325"/>
    </row>
    <row r="83" spans="1:13" ht="13">
      <c r="A83" s="21" t="s">
        <v>770</v>
      </c>
      <c r="B83" s="61" t="s">
        <v>771</v>
      </c>
      <c r="C83" s="316" t="e">
        <f>VLOOKUP($A83,Master!$B$50:$N$232,8,FALSE)</f>
        <v>#N/A</v>
      </c>
      <c r="D83" s="316" t="e">
        <f>VLOOKUP($A83,Master!$B$50:$N$232,9,FALSE)</f>
        <v>#N/A</v>
      </c>
      <c r="E83" s="317" t="e">
        <f>VLOOKUP($A83,Master!$B$50:$N$232,11,FALSE)</f>
        <v>#N/A</v>
      </c>
      <c r="F83" s="318">
        <v>1</v>
      </c>
      <c r="G83" s="319" t="s">
        <v>97</v>
      </c>
      <c r="H83" s="320">
        <v>27950</v>
      </c>
      <c r="I83" s="321" t="b">
        <v>1</v>
      </c>
      <c r="J83" s="322">
        <v>1</v>
      </c>
      <c r="K83" s="326" t="e">
        <f>VLOOKUP($A83,Master!$B$50:$N$232,6,FALSE)</f>
        <v>#N/A</v>
      </c>
      <c r="L83" s="324">
        <v>26000</v>
      </c>
      <c r="M83" s="325" t="s">
        <v>1499</v>
      </c>
    </row>
    <row r="84" spans="1:13" ht="13">
      <c r="A84" s="21" t="s">
        <v>807</v>
      </c>
      <c r="B84" s="61" t="s">
        <v>808</v>
      </c>
      <c r="C84" s="316" t="e">
        <f>VLOOKUP($A84,Master!$B$50:$N$232,8,FALSE)</f>
        <v>#N/A</v>
      </c>
      <c r="D84" s="316" t="e">
        <f>VLOOKUP($A84,Master!$B$50:$N$232,9,FALSE)</f>
        <v>#N/A</v>
      </c>
      <c r="E84" s="317" t="e">
        <f>VLOOKUP($A84,Master!$B$50:$N$232,11,FALSE)</f>
        <v>#N/A</v>
      </c>
      <c r="F84" s="318">
        <v>1</v>
      </c>
      <c r="G84" s="319" t="s">
        <v>97</v>
      </c>
      <c r="H84" s="320">
        <v>5000</v>
      </c>
      <c r="I84" s="321" t="b">
        <v>1</v>
      </c>
      <c r="J84" s="322">
        <v>1</v>
      </c>
      <c r="K84" s="326" t="e">
        <f>VLOOKUP($A84,Master!$B$50:$N$232,6,FALSE)</f>
        <v>#N/A</v>
      </c>
      <c r="L84" s="327" t="e">
        <f>J84*K84</f>
        <v>#N/A</v>
      </c>
      <c r="M84" s="325"/>
    </row>
    <row r="85" spans="1:13" ht="13">
      <c r="A85" s="21" t="s">
        <v>1501</v>
      </c>
      <c r="B85" s="61" t="s">
        <v>908</v>
      </c>
      <c r="C85" s="316" t="e">
        <f>VLOOKUP($A85,Master!$B$50:$N$232,8,FALSE)</f>
        <v>#N/A</v>
      </c>
      <c r="D85" s="316" t="e">
        <f>VLOOKUP($A85,Master!$B$50:$N$232,9,FALSE)</f>
        <v>#N/A</v>
      </c>
      <c r="E85" s="317" t="e">
        <f>VLOOKUP($A85,Master!$B$50:$N$232,11,FALSE)</f>
        <v>#N/A</v>
      </c>
      <c r="F85" s="318">
        <v>1</v>
      </c>
      <c r="G85" s="319" t="s">
        <v>62</v>
      </c>
      <c r="H85" s="320">
        <v>5950</v>
      </c>
      <c r="I85" s="321" t="b">
        <v>1</v>
      </c>
      <c r="J85" s="322">
        <v>3</v>
      </c>
      <c r="K85" s="323" t="e">
        <f>VLOOKUP($A85,Master!$B$50:$N$232,6,FALSE)</f>
        <v>#N/A</v>
      </c>
      <c r="L85" s="324">
        <v>16065</v>
      </c>
      <c r="M85" s="325" t="s">
        <v>1500</v>
      </c>
    </row>
    <row r="86" spans="1:13" ht="13">
      <c r="A86" s="21" t="s">
        <v>937</v>
      </c>
      <c r="B86" s="61" t="s">
        <v>938</v>
      </c>
      <c r="C86" s="316">
        <f>VLOOKUP($A86,Master!$B$50:$N$232,8,FALSE)</f>
        <v>20</v>
      </c>
      <c r="D86" s="316" t="str">
        <f>VLOOKUP($A86,Master!$B$50:$N$232,9,FALSE)</f>
        <v>pcs</v>
      </c>
      <c r="E86" s="317" t="str">
        <f>VLOOKUP($A86,Master!$B$50:$N$232,11,FALSE)</f>
        <v>Borma</v>
      </c>
      <c r="F86" s="318">
        <v>1</v>
      </c>
      <c r="G86" s="319" t="s">
        <v>62</v>
      </c>
      <c r="H86" s="320">
        <v>7600</v>
      </c>
      <c r="I86" s="321" t="b">
        <v>1</v>
      </c>
      <c r="J86" s="322">
        <v>1</v>
      </c>
      <c r="K86" s="323">
        <v>7871</v>
      </c>
      <c r="L86" s="324">
        <f>J86*K86</f>
        <v>7871</v>
      </c>
      <c r="M86" s="325"/>
    </row>
    <row r="87" spans="1:13" ht="13">
      <c r="A87" s="21" t="s">
        <v>1094</v>
      </c>
      <c r="B87" s="61" t="s">
        <v>1095</v>
      </c>
      <c r="C87" s="316" t="e">
        <f>VLOOKUP($A87,Master!$B$50:$N$232,8,FALSE)</f>
        <v>#N/A</v>
      </c>
      <c r="D87" s="316" t="e">
        <f>VLOOKUP($A87,Master!$B$50:$N$232,9,FALSE)</f>
        <v>#N/A</v>
      </c>
      <c r="E87" s="317" t="e">
        <f>VLOOKUP($A87,Master!$B$50:$N$232,11,FALSE)</f>
        <v>#N/A</v>
      </c>
      <c r="F87" s="318">
        <v>1</v>
      </c>
      <c r="G87" s="319" t="s">
        <v>62</v>
      </c>
      <c r="H87" s="320">
        <v>19650</v>
      </c>
      <c r="I87" s="321" t="b">
        <v>1</v>
      </c>
      <c r="J87" s="322">
        <v>1</v>
      </c>
      <c r="K87" s="323" t="e">
        <f>VLOOKUP($A87,Master!$B$50:$N$232,6,FALSE)</f>
        <v>#N/A</v>
      </c>
      <c r="L87" s="324">
        <v>19454</v>
      </c>
      <c r="M87" s="325"/>
    </row>
    <row r="88" spans="1:13" ht="13">
      <c r="A88" s="21" t="s">
        <v>574</v>
      </c>
      <c r="B88" s="61" t="s">
        <v>575</v>
      </c>
      <c r="C88" s="316" t="e">
        <f>VLOOKUP($A88,Master!$B$50:$N$232,8,FALSE)</f>
        <v>#N/A</v>
      </c>
      <c r="D88" s="316" t="e">
        <f>VLOOKUP($A88,Master!$B$50:$N$232,9,FALSE)</f>
        <v>#N/A</v>
      </c>
      <c r="E88" s="317" t="e">
        <f>VLOOKUP($A88,Master!$B$50:$N$232,11,FALSE)</f>
        <v>#N/A</v>
      </c>
      <c r="F88" s="318">
        <v>2</v>
      </c>
      <c r="G88" s="319" t="s">
        <v>62</v>
      </c>
      <c r="H88" s="320">
        <v>340000</v>
      </c>
      <c r="I88" s="321" t="b">
        <v>1</v>
      </c>
      <c r="J88" s="322">
        <v>2</v>
      </c>
      <c r="K88" s="326" t="e">
        <f>VLOOKUP($A88,Master!$B$50:$N$232,6,FALSE)</f>
        <v>#N/A</v>
      </c>
      <c r="L88" s="327" t="e">
        <f t="shared" ref="L88:L92" si="10">J88*K88</f>
        <v>#N/A</v>
      </c>
      <c r="M88" s="325" t="s">
        <v>1513</v>
      </c>
    </row>
    <row r="89" spans="1:13" ht="13">
      <c r="A89" s="21" t="s">
        <v>578</v>
      </c>
      <c r="B89" s="61" t="s">
        <v>579</v>
      </c>
      <c r="C89" s="316" t="e">
        <f>VLOOKUP($A89,Master!$B$50:$N$232,8,FALSE)</f>
        <v>#N/A</v>
      </c>
      <c r="D89" s="316" t="e">
        <f>VLOOKUP($A89,Master!$B$50:$N$232,9,FALSE)</f>
        <v>#N/A</v>
      </c>
      <c r="E89" s="317" t="e">
        <f>VLOOKUP($A89,Master!$B$50:$N$232,11,FALSE)</f>
        <v>#N/A</v>
      </c>
      <c r="F89" s="318">
        <v>2</v>
      </c>
      <c r="G89" s="319" t="s">
        <v>62</v>
      </c>
      <c r="H89" s="320">
        <v>440000</v>
      </c>
      <c r="I89" s="321" t="b">
        <v>1</v>
      </c>
      <c r="J89" s="322">
        <v>2</v>
      </c>
      <c r="K89" s="326" t="e">
        <f>VLOOKUP($A89,Master!$B$50:$N$232,6,FALSE)</f>
        <v>#N/A</v>
      </c>
      <c r="L89" s="327" t="e">
        <f t="shared" si="10"/>
        <v>#N/A</v>
      </c>
      <c r="M89" s="325" t="s">
        <v>1513</v>
      </c>
    </row>
    <row r="90" spans="1:13" ht="13">
      <c r="A90" s="21" t="s">
        <v>651</v>
      </c>
      <c r="B90" s="61" t="s">
        <v>652</v>
      </c>
      <c r="C90" s="316">
        <f>VLOOKUP($A90,Master!$B$50:$N$232,8,FALSE)</f>
        <v>1000</v>
      </c>
      <c r="D90" s="316" t="str">
        <f>VLOOKUP($A90,Master!$B$50:$N$232,9,FALSE)</f>
        <v>gr</v>
      </c>
      <c r="E90" s="317" t="str">
        <f>VLOOKUP($A90,Master!$B$50:$N$232,11,FALSE)</f>
        <v>Eden Farm</v>
      </c>
      <c r="F90" s="318">
        <v>1</v>
      </c>
      <c r="G90" s="319" t="s">
        <v>36</v>
      </c>
      <c r="H90" s="320">
        <v>10200</v>
      </c>
      <c r="I90" s="321" t="b">
        <v>1</v>
      </c>
      <c r="J90" s="322">
        <v>1</v>
      </c>
      <c r="K90" s="323">
        <v>10400</v>
      </c>
      <c r="L90" s="324">
        <f t="shared" si="10"/>
        <v>10400</v>
      </c>
      <c r="M90" s="325"/>
    </row>
    <row r="91" spans="1:13" ht="13">
      <c r="A91" s="21" t="s">
        <v>667</v>
      </c>
      <c r="B91" s="61" t="s">
        <v>668</v>
      </c>
      <c r="C91" s="316">
        <f>VLOOKUP($A91,Master!$B$50:$N$232,8,FALSE)</f>
        <v>1000</v>
      </c>
      <c r="D91" s="316" t="str">
        <f>VLOOKUP($A91,Master!$B$50:$N$232,9,FALSE)</f>
        <v>gr</v>
      </c>
      <c r="E91" s="317" t="str">
        <f>VLOOKUP($A91,Master!$B$50:$N$232,11,FALSE)</f>
        <v>Eden Farm</v>
      </c>
      <c r="F91" s="318">
        <v>1</v>
      </c>
      <c r="G91" s="319" t="s">
        <v>36</v>
      </c>
      <c r="H91" s="320">
        <v>102600</v>
      </c>
      <c r="I91" s="321" t="b">
        <v>1</v>
      </c>
      <c r="J91" s="322">
        <v>1</v>
      </c>
      <c r="K91" s="323">
        <v>109000</v>
      </c>
      <c r="L91" s="324">
        <f t="shared" si="10"/>
        <v>109000</v>
      </c>
      <c r="M91" s="325"/>
    </row>
    <row r="92" spans="1:13" ht="13">
      <c r="A92" s="21" t="s">
        <v>716</v>
      </c>
      <c r="B92" s="61" t="s">
        <v>717</v>
      </c>
      <c r="C92" s="316">
        <f>VLOOKUP($A92,Master!$B$50:$N$232,8,FALSE)</f>
        <v>1000</v>
      </c>
      <c r="D92" s="316" t="str">
        <f>VLOOKUP($A92,Master!$B$50:$N$232,9,FALSE)</f>
        <v>gr</v>
      </c>
      <c r="E92" s="317" t="str">
        <f>VLOOKUP($A92,Master!$B$50:$N$232,11,FALSE)</f>
        <v>Eden Farm</v>
      </c>
      <c r="F92" s="318">
        <v>2</v>
      </c>
      <c r="G92" s="319" t="s">
        <v>36</v>
      </c>
      <c r="H92" s="320">
        <v>41700</v>
      </c>
      <c r="I92" s="321" t="b">
        <v>1</v>
      </c>
      <c r="J92" s="322">
        <v>2</v>
      </c>
      <c r="K92" s="323">
        <v>44000</v>
      </c>
      <c r="L92" s="324">
        <f t="shared" si="10"/>
        <v>88000</v>
      </c>
      <c r="M92" s="325"/>
    </row>
    <row r="93" spans="1:13" ht="13">
      <c r="A93" s="21" t="s">
        <v>919</v>
      </c>
      <c r="B93" s="61" t="s">
        <v>920</v>
      </c>
      <c r="C93" s="316">
        <f>VLOOKUP($A93,Master!$B$50:$N$232,8,FALSE)</f>
        <v>1000</v>
      </c>
      <c r="D93" s="316" t="str">
        <f>VLOOKUP($A93,Master!$B$50:$N$232,9,FALSE)</f>
        <v>gr</v>
      </c>
      <c r="E93" s="317" t="str">
        <f>VLOOKUP($A93,Master!$B$50:$N$232,11,FALSE)</f>
        <v>Eden Farm</v>
      </c>
      <c r="F93" s="318">
        <v>1</v>
      </c>
      <c r="G93" s="319" t="s">
        <v>62</v>
      </c>
      <c r="H93" s="320">
        <v>39900</v>
      </c>
      <c r="I93" s="321" t="b">
        <v>1</v>
      </c>
      <c r="J93" s="322">
        <v>1</v>
      </c>
      <c r="K93" s="326">
        <f>VLOOKUP($A93,Master!$B$50:$N$232,6,FALSE)</f>
        <v>50000</v>
      </c>
      <c r="L93" s="324">
        <v>33600</v>
      </c>
      <c r="M93" s="325"/>
    </row>
    <row r="94" spans="1:13" ht="13">
      <c r="A94" s="21" t="s">
        <v>1020</v>
      </c>
      <c r="B94" s="61" t="s">
        <v>1021</v>
      </c>
      <c r="C94" s="316">
        <f>VLOOKUP($A94,Master!$B$50:$N$232,8,FALSE)</f>
        <v>1000</v>
      </c>
      <c r="D94" s="316" t="str">
        <f>VLOOKUP($A94,Master!$B$50:$N$232,9,FALSE)</f>
        <v>gr</v>
      </c>
      <c r="E94" s="317" t="str">
        <f>VLOOKUP($A94,Master!$B$50:$N$232,11,FALSE)</f>
        <v>Eden Farm</v>
      </c>
      <c r="F94" s="318">
        <v>1</v>
      </c>
      <c r="G94" s="319" t="s">
        <v>36</v>
      </c>
      <c r="H94" s="320">
        <v>21800</v>
      </c>
      <c r="I94" s="321" t="b">
        <v>1</v>
      </c>
      <c r="J94" s="322">
        <v>1</v>
      </c>
      <c r="K94" s="326">
        <f>VLOOKUP($A94,Master!$B$50:$N$232,6,FALSE)</f>
        <v>24000</v>
      </c>
      <c r="L94" s="324">
        <v>14600</v>
      </c>
      <c r="M94" s="325"/>
    </row>
    <row r="95" spans="1:13" ht="13">
      <c r="A95" s="21" t="s">
        <v>1050</v>
      </c>
      <c r="B95" s="61" t="s">
        <v>1051</v>
      </c>
      <c r="C95" s="316" t="e">
        <f>VLOOKUP($A95,Master!$B$50:$N$232,8,FALSE)</f>
        <v>#N/A</v>
      </c>
      <c r="D95" s="316" t="e">
        <f>VLOOKUP($A95,Master!$B$50:$N$232,9,FALSE)</f>
        <v>#N/A</v>
      </c>
      <c r="E95" s="317" t="e">
        <f>VLOOKUP($A95,Master!$B$50:$N$232,11,FALSE)</f>
        <v>#N/A</v>
      </c>
      <c r="F95" s="318">
        <v>0.5</v>
      </c>
      <c r="G95" s="319" t="s">
        <v>36</v>
      </c>
      <c r="H95" s="320">
        <v>9700</v>
      </c>
      <c r="I95" s="321" t="b">
        <v>1</v>
      </c>
      <c r="J95" s="322">
        <v>0.5</v>
      </c>
      <c r="K95" s="323" t="e">
        <f>VLOOKUP($A95,Master!$B$50:$N$232,6,FALSE)</f>
        <v>#N/A</v>
      </c>
      <c r="L95" s="324">
        <v>4550</v>
      </c>
      <c r="M95" s="325"/>
    </row>
    <row r="96" spans="1:13" ht="13">
      <c r="A96" s="21" t="s">
        <v>732</v>
      </c>
      <c r="B96" s="61" t="s">
        <v>733</v>
      </c>
      <c r="C96" s="316">
        <f>VLOOKUP($A96,Master!$B$50:$N$232,8,FALSE)</f>
        <v>1000</v>
      </c>
      <c r="D96" s="316" t="str">
        <f>VLOOKUP($A96,Master!$B$50:$N$232,9,FALSE)</f>
        <v>gr</v>
      </c>
      <c r="E96" s="317" t="str">
        <f>VLOOKUP($A96,Master!$B$50:$N$232,11,FALSE)</f>
        <v>Eden Farm</v>
      </c>
      <c r="F96" s="318">
        <v>2</v>
      </c>
      <c r="G96" s="319" t="s">
        <v>36</v>
      </c>
      <c r="H96" s="320">
        <v>39800</v>
      </c>
      <c r="I96" s="321" t="b">
        <v>1</v>
      </c>
      <c r="J96" s="322">
        <v>2</v>
      </c>
      <c r="K96" s="323">
        <v>21200</v>
      </c>
      <c r="L96" s="324">
        <f t="shared" ref="L96:L98" si="11">J96*K96</f>
        <v>42400</v>
      </c>
      <c r="M96" s="325"/>
    </row>
    <row r="97" spans="1:13" ht="13">
      <c r="A97" s="21" t="s">
        <v>659</v>
      </c>
      <c r="B97" s="61" t="s">
        <v>660</v>
      </c>
      <c r="C97" s="316">
        <f>VLOOKUP($A97,Master!$B$50:$N$232,8,FALSE)</f>
        <v>15</v>
      </c>
      <c r="D97" s="316" t="str">
        <f>VLOOKUP($A97,Master!$B$50:$N$232,9,FALSE)</f>
        <v>pcs</v>
      </c>
      <c r="E97" s="317" t="str">
        <f>VLOOKUP($A97,Master!$B$50:$N$232,11,FALSE)</f>
        <v>Feri Supriadi (Telur , Beras , Minyak )</v>
      </c>
      <c r="F97" s="318">
        <v>3</v>
      </c>
      <c r="G97" s="319" t="s">
        <v>36</v>
      </c>
      <c r="H97" s="320">
        <v>84000</v>
      </c>
      <c r="I97" s="321" t="b">
        <v>1</v>
      </c>
      <c r="J97" s="322">
        <v>3</v>
      </c>
      <c r="K97" s="323">
        <v>29000</v>
      </c>
      <c r="L97" s="324">
        <f t="shared" si="11"/>
        <v>87000</v>
      </c>
      <c r="M97" s="325"/>
    </row>
    <row r="98" spans="1:13" ht="13">
      <c r="A98" s="18" t="s">
        <v>1054</v>
      </c>
      <c r="B98" s="328" t="s">
        <v>1055</v>
      </c>
      <c r="C98" s="316" t="e">
        <f>VLOOKUP($A98,Master!$B$50:$N$232,8,FALSE)</f>
        <v>#N/A</v>
      </c>
      <c r="D98" s="316" t="e">
        <f>VLOOKUP($A98,Master!$B$50:$N$232,9,FALSE)</f>
        <v>#N/A</v>
      </c>
      <c r="E98" s="317" t="e">
        <f>VLOOKUP($A98,Master!$B$50:$N$232,11,FALSE)</f>
        <v>#N/A</v>
      </c>
      <c r="F98" s="318">
        <v>3</v>
      </c>
      <c r="G98" s="319" t="s">
        <v>36</v>
      </c>
      <c r="H98" s="320">
        <v>525000</v>
      </c>
      <c r="I98" s="321" t="b">
        <v>1</v>
      </c>
      <c r="J98" s="322">
        <v>3</v>
      </c>
      <c r="K98" s="323" t="e">
        <f>VLOOKUP($A98,Master!$B$50:$N$232,6,FALSE)</f>
        <v>#N/A</v>
      </c>
      <c r="L98" s="324" t="e">
        <f t="shared" si="11"/>
        <v>#N/A</v>
      </c>
      <c r="M98" s="325" t="s">
        <v>1513</v>
      </c>
    </row>
    <row r="99" spans="1:13" ht="13">
      <c r="A99" s="22" t="s">
        <v>663</v>
      </c>
      <c r="B99" s="330" t="s">
        <v>664</v>
      </c>
      <c r="C99" s="316">
        <f>VLOOKUP($A99,Master!$B$50:$N$232,8,FALSE)</f>
        <v>1000</v>
      </c>
      <c r="D99" s="316" t="str">
        <f>VLOOKUP($A99,Master!$B$50:$N$232,9,FALSE)</f>
        <v>gr</v>
      </c>
      <c r="E99" s="317" t="str">
        <f>VLOOKUP($A99,Master!$B$50:$N$232,11,FALSE)</f>
        <v>Toko Lain</v>
      </c>
      <c r="F99" s="318">
        <v>3</v>
      </c>
      <c r="G99" s="319" t="s">
        <v>36</v>
      </c>
      <c r="H99" s="320">
        <v>133500</v>
      </c>
      <c r="I99" s="321" t="b">
        <v>1</v>
      </c>
      <c r="J99" s="322">
        <v>3</v>
      </c>
      <c r="K99" s="326">
        <f>VLOOKUP($A99,Master!$B$50:$N$232,6,FALSE)</f>
        <v>45000</v>
      </c>
      <c r="L99" s="324">
        <v>105000</v>
      </c>
      <c r="M99" s="325"/>
    </row>
    <row r="100" spans="1:13" ht="13">
      <c r="A100" s="22" t="s">
        <v>675</v>
      </c>
      <c r="B100" s="330" t="s">
        <v>676</v>
      </c>
      <c r="C100" s="316">
        <f>VLOOKUP($A100,Master!$B$50:$N$232,8,FALSE)</f>
        <v>20</v>
      </c>
      <c r="D100" s="316" t="str">
        <f>VLOOKUP($A100,Master!$B$50:$N$232,9,FALSE)</f>
        <v>unit</v>
      </c>
      <c r="E100" s="317" t="str">
        <f>VLOOKUP($A100,Master!$B$50:$N$232,11,FALSE)</f>
        <v>RSB, Dago</v>
      </c>
      <c r="F100" s="318">
        <v>15</v>
      </c>
      <c r="G100" s="319" t="s">
        <v>62</v>
      </c>
      <c r="H100" s="320">
        <v>90000</v>
      </c>
      <c r="I100" s="321" t="b">
        <v>1</v>
      </c>
      <c r="J100" s="322">
        <v>10</v>
      </c>
      <c r="K100" s="326">
        <f>VLOOKUP($A100,Master!$B$50:$N$232,6,FALSE)</f>
        <v>13500</v>
      </c>
      <c r="L100" s="327">
        <f>J100*K100</f>
        <v>135000</v>
      </c>
      <c r="M100" s="325"/>
    </row>
    <row r="101" spans="1:13" ht="13">
      <c r="A101" s="22" t="s">
        <v>889</v>
      </c>
      <c r="B101" s="330" t="s">
        <v>890</v>
      </c>
      <c r="C101" s="316">
        <f>VLOOKUP($A101,Master!$B$50:$N$232,8,FALSE)</f>
        <v>10</v>
      </c>
      <c r="D101" s="316" t="str">
        <f>VLOOKUP($A101,Master!$B$50:$N$232,9,FALSE)</f>
        <v>sachet</v>
      </c>
      <c r="E101" s="317" t="str">
        <f>VLOOKUP($A101,Master!$B$50:$N$232,11,FALSE)</f>
        <v>Pasar Cihapit</v>
      </c>
      <c r="F101" s="318">
        <v>1</v>
      </c>
      <c r="G101" s="319" t="s">
        <v>62</v>
      </c>
      <c r="H101" s="320">
        <v>22000</v>
      </c>
      <c r="I101" s="321" t="b">
        <v>1</v>
      </c>
      <c r="J101" s="322">
        <v>1</v>
      </c>
      <c r="K101" s="326">
        <f>VLOOKUP($A101,Master!$B$50:$N$232,6,FALSE)</f>
        <v>22000</v>
      </c>
      <c r="L101" s="324">
        <v>18000</v>
      </c>
      <c r="M101" s="325" t="s">
        <v>1499</v>
      </c>
    </row>
    <row r="102" spans="1:13" ht="13">
      <c r="A102" s="21" t="s">
        <v>519</v>
      </c>
      <c r="B102" s="61" t="s">
        <v>520</v>
      </c>
      <c r="C102" s="316" t="e">
        <f>VLOOKUP($A102,Master!$B$50:$N$232,8,FALSE)</f>
        <v>#N/A</v>
      </c>
      <c r="D102" s="316" t="e">
        <f>VLOOKUP($A102,Master!$B$50:$N$232,9,FALSE)</f>
        <v>#N/A</v>
      </c>
      <c r="E102" s="317" t="e">
        <f>VLOOKUP($A102,Master!$B$50:$N$232,11,FALSE)</f>
        <v>#N/A</v>
      </c>
      <c r="F102" s="318">
        <v>2</v>
      </c>
      <c r="G102" s="319" t="s">
        <v>36</v>
      </c>
      <c r="H102" s="320">
        <v>28000</v>
      </c>
      <c r="I102" s="321" t="b">
        <v>1</v>
      </c>
      <c r="J102" s="322">
        <v>2</v>
      </c>
      <c r="K102" s="323">
        <v>14250</v>
      </c>
      <c r="L102" s="324">
        <f t="shared" ref="L102:L106" si="12">J102*K102</f>
        <v>28500</v>
      </c>
      <c r="M102" s="325"/>
    </row>
    <row r="103" spans="1:13" ht="13">
      <c r="A103" s="21" t="s">
        <v>528</v>
      </c>
      <c r="B103" s="61" t="s">
        <v>529</v>
      </c>
      <c r="C103" s="316" t="e">
        <f>VLOOKUP($A103,Master!$B$50:$N$232,8,FALSE)</f>
        <v>#N/A</v>
      </c>
      <c r="D103" s="316" t="e">
        <f>VLOOKUP($A103,Master!$B$50:$N$232,9,FALSE)</f>
        <v>#N/A</v>
      </c>
      <c r="E103" s="317" t="e">
        <f>VLOOKUP($A103,Master!$B$50:$N$232,11,FALSE)</f>
        <v>#N/A</v>
      </c>
      <c r="F103" s="318">
        <v>4</v>
      </c>
      <c r="G103" s="319" t="s">
        <v>50</v>
      </c>
      <c r="H103" s="320">
        <v>64000</v>
      </c>
      <c r="I103" s="321" t="b">
        <v>1</v>
      </c>
      <c r="J103" s="322">
        <v>4</v>
      </c>
      <c r="K103" s="326" t="e">
        <f>VLOOKUP($A103,Master!$B$50:$N$232,6,FALSE)</f>
        <v>#N/A</v>
      </c>
      <c r="L103" s="327" t="e">
        <f t="shared" si="12"/>
        <v>#N/A</v>
      </c>
      <c r="M103" s="325"/>
    </row>
    <row r="104" spans="1:13" ht="13">
      <c r="A104" s="21" t="s">
        <v>635</v>
      </c>
      <c r="B104" s="61" t="s">
        <v>636</v>
      </c>
      <c r="C104" s="316" t="e">
        <f>VLOOKUP($A104,Master!$B$50:$N$232,8,FALSE)</f>
        <v>#N/A</v>
      </c>
      <c r="D104" s="316" t="e">
        <f>VLOOKUP($A104,Master!$B$50:$N$232,9,FALSE)</f>
        <v>#N/A</v>
      </c>
      <c r="E104" s="317" t="e">
        <f>VLOOKUP($A104,Master!$B$50:$N$232,11,FALSE)</f>
        <v>#N/A</v>
      </c>
      <c r="F104" s="318">
        <v>8</v>
      </c>
      <c r="G104" s="319" t="s">
        <v>50</v>
      </c>
      <c r="H104" s="320">
        <v>88000</v>
      </c>
      <c r="I104" s="321" t="b">
        <v>1</v>
      </c>
      <c r="J104" s="322">
        <v>8</v>
      </c>
      <c r="K104" s="326" t="e">
        <f>VLOOKUP($A104,Master!$B$50:$N$232,6,FALSE)</f>
        <v>#N/A</v>
      </c>
      <c r="L104" s="327" t="e">
        <f t="shared" si="12"/>
        <v>#N/A</v>
      </c>
      <c r="M104" s="325"/>
    </row>
    <row r="105" spans="1:13" ht="13">
      <c r="A105" s="21" t="s">
        <v>680</v>
      </c>
      <c r="B105" s="61" t="s">
        <v>681</v>
      </c>
      <c r="C105" s="316" t="e">
        <f>VLOOKUP($A105,Master!$B$50:$N$232,8,FALSE)</f>
        <v>#N/A</v>
      </c>
      <c r="D105" s="316" t="e">
        <f>VLOOKUP($A105,Master!$B$50:$N$232,9,FALSE)</f>
        <v>#N/A</v>
      </c>
      <c r="E105" s="317" t="e">
        <f>VLOOKUP($A105,Master!$B$50:$N$232,11,FALSE)</f>
        <v>#N/A</v>
      </c>
      <c r="F105" s="318">
        <v>4</v>
      </c>
      <c r="G105" s="319" t="s">
        <v>97</v>
      </c>
      <c r="H105" s="320">
        <v>120000</v>
      </c>
      <c r="I105" s="321" t="b">
        <v>1</v>
      </c>
      <c r="J105" s="322">
        <v>4</v>
      </c>
      <c r="K105" s="323">
        <v>31000</v>
      </c>
      <c r="L105" s="324">
        <f t="shared" si="12"/>
        <v>124000</v>
      </c>
      <c r="M105" s="325"/>
    </row>
    <row r="106" spans="1:13" ht="13">
      <c r="A106" s="21" t="s">
        <v>684</v>
      </c>
      <c r="B106" s="61" t="s">
        <v>685</v>
      </c>
      <c r="C106" s="316" t="e">
        <f>VLOOKUP($A106,Master!$B$50:$N$232,8,FALSE)</f>
        <v>#N/A</v>
      </c>
      <c r="D106" s="316" t="e">
        <f>VLOOKUP($A106,Master!$B$50:$N$232,9,FALSE)</f>
        <v>#N/A</v>
      </c>
      <c r="E106" s="317" t="e">
        <f>VLOOKUP($A106,Master!$B$50:$N$232,11,FALSE)</f>
        <v>#N/A</v>
      </c>
      <c r="F106" s="318">
        <v>3</v>
      </c>
      <c r="G106" s="319" t="s">
        <v>97</v>
      </c>
      <c r="H106" s="320">
        <v>90000</v>
      </c>
      <c r="I106" s="321" t="b">
        <v>0</v>
      </c>
      <c r="J106" s="322"/>
      <c r="K106" s="326" t="e">
        <f>VLOOKUP($A106,Master!$B$50:$N$232,6,FALSE)</f>
        <v>#N/A</v>
      </c>
      <c r="L106" s="327" t="e">
        <f t="shared" si="12"/>
        <v>#N/A</v>
      </c>
      <c r="M106" s="325" t="s">
        <v>1507</v>
      </c>
    </row>
    <row r="107" spans="1:13" ht="13">
      <c r="A107" s="21" t="s">
        <v>688</v>
      </c>
      <c r="B107" s="61" t="s">
        <v>689</v>
      </c>
      <c r="C107" s="316" t="e">
        <f>VLOOKUP($A107,Master!$B$50:$N$232,8,FALSE)</f>
        <v>#N/A</v>
      </c>
      <c r="D107" s="316" t="e">
        <f>VLOOKUP($A107,Master!$B$50:$N$232,9,FALSE)</f>
        <v>#N/A</v>
      </c>
      <c r="E107" s="317" t="e">
        <f>VLOOKUP($A107,Master!$B$50:$N$232,11,FALSE)</f>
        <v>#N/A</v>
      </c>
      <c r="F107" s="318">
        <v>2</v>
      </c>
      <c r="G107" s="319" t="s">
        <v>62</v>
      </c>
      <c r="H107" s="320">
        <v>125000</v>
      </c>
      <c r="I107" s="321" t="b">
        <v>1</v>
      </c>
      <c r="J107" s="322">
        <v>2</v>
      </c>
      <c r="K107" s="326" t="e">
        <f>VLOOKUP($A107,Master!$B$50:$N$232,6,FALSE)</f>
        <v>#N/A</v>
      </c>
      <c r="L107" s="324">
        <v>124000</v>
      </c>
      <c r="M107" s="325"/>
    </row>
    <row r="108" spans="1:13" ht="13">
      <c r="A108" s="21" t="s">
        <v>696</v>
      </c>
      <c r="B108" s="61" t="s">
        <v>697</v>
      </c>
      <c r="C108" s="316" t="e">
        <f>VLOOKUP($A108,Master!$B$50:$N$232,8,FALSE)</f>
        <v>#N/A</v>
      </c>
      <c r="D108" s="316" t="e">
        <f>VLOOKUP($A108,Master!$B$50:$N$232,9,FALSE)</f>
        <v>#N/A</v>
      </c>
      <c r="E108" s="317" t="e">
        <f>VLOOKUP($A108,Master!$B$50:$N$232,11,FALSE)</f>
        <v>#N/A</v>
      </c>
      <c r="F108" s="318">
        <v>3</v>
      </c>
      <c r="G108" s="319" t="s">
        <v>62</v>
      </c>
      <c r="H108" s="320">
        <v>42000</v>
      </c>
      <c r="I108" s="321" t="b">
        <v>1</v>
      </c>
      <c r="J108" s="322">
        <v>3</v>
      </c>
      <c r="K108" s="323">
        <v>14250</v>
      </c>
      <c r="L108" s="324">
        <f>J108*K108</f>
        <v>42750</v>
      </c>
      <c r="M108" s="325"/>
    </row>
    <row r="109" spans="1:13" ht="13">
      <c r="A109" s="21" t="s">
        <v>708</v>
      </c>
      <c r="B109" s="61" t="s">
        <v>709</v>
      </c>
      <c r="C109" s="316" t="e">
        <f>VLOOKUP($A109,Master!$B$50:$N$232,8,FALSE)</f>
        <v>#N/A</v>
      </c>
      <c r="D109" s="316" t="e">
        <f>VLOOKUP($A109,Master!$B$50:$N$232,9,FALSE)</f>
        <v>#N/A</v>
      </c>
      <c r="E109" s="317" t="e">
        <f>VLOOKUP($A109,Master!$B$50:$N$232,11,FALSE)</f>
        <v>#N/A</v>
      </c>
      <c r="F109" s="318">
        <v>1</v>
      </c>
      <c r="G109" s="319" t="s">
        <v>143</v>
      </c>
      <c r="H109" s="320">
        <v>365000</v>
      </c>
      <c r="I109" s="321" t="b">
        <v>1</v>
      </c>
      <c r="J109" s="322">
        <v>1</v>
      </c>
      <c r="K109" s="326" t="e">
        <f>VLOOKUP($A109,Master!$B$50:$N$232,6,FALSE)</f>
        <v>#N/A</v>
      </c>
      <c r="L109" s="324">
        <v>270000</v>
      </c>
      <c r="M109" s="325"/>
    </row>
    <row r="110" spans="1:13" ht="13">
      <c r="A110" s="21" t="s">
        <v>720</v>
      </c>
      <c r="B110" s="61" t="s">
        <v>721</v>
      </c>
      <c r="C110" s="316">
        <f>VLOOKUP($A110,Master!$B$50:$N$232,8,FALSE)</f>
        <v>100</v>
      </c>
      <c r="D110" s="316" t="str">
        <f>VLOOKUP($A110,Master!$B$50:$N$232,9,FALSE)</f>
        <v>gr</v>
      </c>
      <c r="E110" s="317" t="str">
        <f>VLOOKUP($A110,Master!$B$50:$N$232,11,FALSE)</f>
        <v>PD Aroma Jaya</v>
      </c>
      <c r="F110" s="318">
        <v>1</v>
      </c>
      <c r="G110" s="319" t="s">
        <v>62</v>
      </c>
      <c r="H110" s="320">
        <v>28000</v>
      </c>
      <c r="I110" s="321" t="b">
        <v>1</v>
      </c>
      <c r="J110" s="322">
        <v>1</v>
      </c>
      <c r="K110" s="326">
        <f>VLOOKUP($A110,Master!$B$50:$N$232,6,FALSE)</f>
        <v>28000</v>
      </c>
      <c r="L110" s="327">
        <f>J110*K110</f>
        <v>28000</v>
      </c>
      <c r="M110" s="325"/>
    </row>
    <row r="111" spans="1:13" ht="13">
      <c r="A111" s="21" t="s">
        <v>748</v>
      </c>
      <c r="B111" s="61" t="s">
        <v>749</v>
      </c>
      <c r="C111" s="316" t="e">
        <f>VLOOKUP($A111,Master!$B$50:$N$232,8,FALSE)</f>
        <v>#N/A</v>
      </c>
      <c r="D111" s="316" t="e">
        <f>VLOOKUP($A111,Master!$B$50:$N$232,9,FALSE)</f>
        <v>#N/A</v>
      </c>
      <c r="E111" s="317" t="e">
        <f>VLOOKUP($A111,Master!$B$50:$N$232,11,FALSE)</f>
        <v>#N/A</v>
      </c>
      <c r="F111" s="318">
        <v>2</v>
      </c>
      <c r="G111" s="319" t="s">
        <v>62</v>
      </c>
      <c r="H111" s="320">
        <v>55000</v>
      </c>
      <c r="I111" s="321" t="b">
        <v>1</v>
      </c>
      <c r="J111" s="322">
        <v>2</v>
      </c>
      <c r="K111" s="326" t="e">
        <f>VLOOKUP($A111,Master!$B$50:$N$232,6,FALSE)</f>
        <v>#N/A</v>
      </c>
      <c r="L111" s="324">
        <v>54000</v>
      </c>
      <c r="M111" s="325"/>
    </row>
    <row r="112" spans="1:13" ht="13">
      <c r="A112" s="21" t="s">
        <v>767</v>
      </c>
      <c r="B112" s="61" t="s">
        <v>768</v>
      </c>
      <c r="C112" s="316" t="e">
        <f>VLOOKUP($A112,Master!$B$50:$N$232,8,FALSE)</f>
        <v>#N/A</v>
      </c>
      <c r="D112" s="316" t="e">
        <f>VLOOKUP($A112,Master!$B$50:$N$232,9,FALSE)</f>
        <v>#N/A</v>
      </c>
      <c r="E112" s="317" t="e">
        <f>VLOOKUP($A112,Master!$B$50:$N$232,11,FALSE)</f>
        <v>#N/A</v>
      </c>
      <c r="F112" s="318">
        <v>1</v>
      </c>
      <c r="G112" s="319" t="s">
        <v>62</v>
      </c>
      <c r="H112" s="320">
        <v>19500</v>
      </c>
      <c r="I112" s="321" t="b">
        <v>1</v>
      </c>
      <c r="J112" s="322">
        <v>1</v>
      </c>
      <c r="K112" s="326" t="e">
        <f>VLOOKUP($A112,Master!$B$50:$N$232,6,FALSE)</f>
        <v>#N/A</v>
      </c>
      <c r="L112" s="324">
        <v>19250</v>
      </c>
      <c r="M112" s="325"/>
    </row>
    <row r="113" spans="1:13" ht="13">
      <c r="A113" s="21" t="s">
        <v>773</v>
      </c>
      <c r="B113" s="61" t="s">
        <v>774</v>
      </c>
      <c r="C113" s="316" t="e">
        <f>VLOOKUP($A113,Master!$B$50:$N$232,8,FALSE)</f>
        <v>#N/A</v>
      </c>
      <c r="D113" s="316" t="e">
        <f>VLOOKUP($A113,Master!$B$50:$N$232,9,FALSE)</f>
        <v>#N/A</v>
      </c>
      <c r="E113" s="317" t="e">
        <f>VLOOKUP($A113,Master!$B$50:$N$232,11,FALSE)</f>
        <v>#N/A</v>
      </c>
      <c r="F113" s="318">
        <v>2</v>
      </c>
      <c r="G113" s="319" t="s">
        <v>62</v>
      </c>
      <c r="H113" s="320">
        <v>28000</v>
      </c>
      <c r="I113" s="321" t="b">
        <v>1</v>
      </c>
      <c r="J113" s="322">
        <v>2</v>
      </c>
      <c r="K113" s="326" t="e">
        <f>VLOOKUP($A113,Master!$B$50:$N$232,6,FALSE)</f>
        <v>#N/A</v>
      </c>
      <c r="L113" s="327" t="e">
        <f t="shared" ref="L113:L118" si="13">J113*K113</f>
        <v>#N/A</v>
      </c>
      <c r="M113" s="325"/>
    </row>
    <row r="114" spans="1:13" ht="13">
      <c r="A114" s="21" t="s">
        <v>787</v>
      </c>
      <c r="B114" s="61" t="s">
        <v>788</v>
      </c>
      <c r="C114" s="316" t="e">
        <f>VLOOKUP($A114,Master!$B$50:$N$232,8,FALSE)</f>
        <v>#N/A</v>
      </c>
      <c r="D114" s="316" t="e">
        <f>VLOOKUP($A114,Master!$B$50:$N$232,9,FALSE)</f>
        <v>#N/A</v>
      </c>
      <c r="E114" s="317" t="e">
        <f>VLOOKUP($A114,Master!$B$50:$N$232,11,FALSE)</f>
        <v>#N/A</v>
      </c>
      <c r="F114" s="318">
        <v>2</v>
      </c>
      <c r="G114" s="319" t="s">
        <v>97</v>
      </c>
      <c r="H114" s="320">
        <v>40500</v>
      </c>
      <c r="I114" s="321" t="b">
        <v>0</v>
      </c>
      <c r="J114" s="322"/>
      <c r="K114" s="326" t="e">
        <f>VLOOKUP($A114,Master!$B$50:$N$232,6,FALSE)</f>
        <v>#N/A</v>
      </c>
      <c r="L114" s="327" t="e">
        <f t="shared" si="13"/>
        <v>#N/A</v>
      </c>
      <c r="M114" s="325" t="s">
        <v>1507</v>
      </c>
    </row>
    <row r="115" spans="1:13" ht="13">
      <c r="A115" s="21" t="s">
        <v>934</v>
      </c>
      <c r="B115" s="61" t="s">
        <v>935</v>
      </c>
      <c r="C115" s="316" t="e">
        <f>VLOOKUP($A115,Master!$B$50:$N$232,8,FALSE)</f>
        <v>#N/A</v>
      </c>
      <c r="D115" s="316" t="e">
        <f>VLOOKUP($A115,Master!$B$50:$N$232,9,FALSE)</f>
        <v>#N/A</v>
      </c>
      <c r="E115" s="317" t="e">
        <f>VLOOKUP($A115,Master!$B$50:$N$232,11,FALSE)</f>
        <v>#N/A</v>
      </c>
      <c r="F115" s="318">
        <v>2</v>
      </c>
      <c r="G115" s="319" t="s">
        <v>62</v>
      </c>
      <c r="H115" s="320">
        <v>15800</v>
      </c>
      <c r="I115" s="321" t="b">
        <v>1</v>
      </c>
      <c r="J115" s="322">
        <v>2</v>
      </c>
      <c r="K115" s="326" t="e">
        <f>VLOOKUP($A115,Master!$B$50:$N$232,6,FALSE)</f>
        <v>#N/A</v>
      </c>
      <c r="L115" s="327" t="e">
        <f t="shared" si="13"/>
        <v>#N/A</v>
      </c>
      <c r="M115" s="325"/>
    </row>
    <row r="116" spans="1:13" ht="13">
      <c r="A116" s="21" t="s">
        <v>989</v>
      </c>
      <c r="B116" s="61" t="s">
        <v>990</v>
      </c>
      <c r="C116" s="316">
        <f>VLOOKUP($A116,Master!$B$50:$N$232,8,FALSE)</f>
        <v>5000</v>
      </c>
      <c r="D116" s="316" t="str">
        <f>VLOOKUP($A116,Master!$B$50:$N$232,9,FALSE)</f>
        <v>ml</v>
      </c>
      <c r="E116" s="317" t="str">
        <f>VLOOKUP($A116,Master!$B$50:$N$232,11,FALSE)</f>
        <v>Kurnia Mas</v>
      </c>
      <c r="F116" s="318">
        <v>1</v>
      </c>
      <c r="G116" s="319" t="s">
        <v>62</v>
      </c>
      <c r="H116" s="320">
        <v>19500</v>
      </c>
      <c r="I116" s="321" t="b">
        <v>1</v>
      </c>
      <c r="J116" s="322">
        <v>1</v>
      </c>
      <c r="K116" s="326">
        <f>VLOOKUP($A116,Master!$B$50:$N$232,6,FALSE)</f>
        <v>54500</v>
      </c>
      <c r="L116" s="327">
        <f t="shared" si="13"/>
        <v>54500</v>
      </c>
      <c r="M116" s="325"/>
    </row>
    <row r="117" spans="1:13" ht="13">
      <c r="A117" s="21" t="s">
        <v>562</v>
      </c>
      <c r="B117" s="61" t="s">
        <v>563</v>
      </c>
      <c r="C117" s="316" t="e">
        <f>VLOOKUP($A117,Master!$B$50:$N$232,8,FALSE)</f>
        <v>#N/A</v>
      </c>
      <c r="D117" s="316" t="e">
        <f>VLOOKUP($A117,Master!$B$50:$N$232,9,FALSE)</f>
        <v>#N/A</v>
      </c>
      <c r="E117" s="317" t="e">
        <f>VLOOKUP($A117,Master!$B$50:$N$232,11,FALSE)</f>
        <v>#N/A</v>
      </c>
      <c r="F117" s="318">
        <v>1</v>
      </c>
      <c r="G117" s="319" t="s">
        <v>97</v>
      </c>
      <c r="H117" s="320">
        <v>216450</v>
      </c>
      <c r="I117" s="321" t="b">
        <v>1</v>
      </c>
      <c r="J117" s="322">
        <v>1</v>
      </c>
      <c r="K117" s="326" t="e">
        <f>VLOOKUP($A117,Master!$B$50:$N$232,6,FALSE)</f>
        <v>#N/A</v>
      </c>
      <c r="L117" s="327" t="e">
        <f t="shared" si="13"/>
        <v>#N/A</v>
      </c>
      <c r="M117" s="325" t="s">
        <v>1511</v>
      </c>
    </row>
    <row r="118" spans="1:13" ht="13">
      <c r="A118" s="21" t="s">
        <v>961</v>
      </c>
      <c r="B118" s="61" t="s">
        <v>962</v>
      </c>
      <c r="C118" s="316" t="e">
        <f>VLOOKUP($A118,Master!$B$50:$N$232,8,FALSE)</f>
        <v>#N/A</v>
      </c>
      <c r="D118" s="316" t="e">
        <f>VLOOKUP($A118,Master!$B$50:$N$232,9,FALSE)</f>
        <v>#N/A</v>
      </c>
      <c r="E118" s="317" t="e">
        <f>VLOOKUP($A118,Master!$B$50:$N$232,11,FALSE)</f>
        <v>#N/A</v>
      </c>
      <c r="F118" s="318">
        <v>1</v>
      </c>
      <c r="G118" s="319" t="s">
        <v>97</v>
      </c>
      <c r="H118" s="320">
        <v>94350</v>
      </c>
      <c r="I118" s="321" t="b">
        <v>1</v>
      </c>
      <c r="J118" s="322">
        <v>1</v>
      </c>
      <c r="K118" s="326" t="e">
        <f>VLOOKUP($A118,Master!$B$50:$N$232,6,FALSE)</f>
        <v>#N/A</v>
      </c>
      <c r="L118" s="327" t="e">
        <f t="shared" si="13"/>
        <v>#N/A</v>
      </c>
      <c r="M118" s="325" t="s">
        <v>1511</v>
      </c>
    </row>
    <row r="119" spans="1:13" ht="13">
      <c r="A119" s="21" t="s">
        <v>552</v>
      </c>
      <c r="B119" s="61" t="s">
        <v>553</v>
      </c>
      <c r="C119" s="316" t="e">
        <f>VLOOKUP($A119,Master!$B$50:$N$232,8,FALSE)</f>
        <v>#N/A</v>
      </c>
      <c r="D119" s="316" t="e">
        <f>VLOOKUP($A119,Master!$B$50:$N$232,9,FALSE)</f>
        <v>#N/A</v>
      </c>
      <c r="E119" s="317" t="e">
        <f>VLOOKUP($A119,Master!$B$50:$N$232,11,FALSE)</f>
        <v>#N/A</v>
      </c>
      <c r="F119" s="318">
        <v>2</v>
      </c>
      <c r="G119" s="319" t="s">
        <v>121</v>
      </c>
      <c r="H119" s="320">
        <v>114000</v>
      </c>
      <c r="I119" s="321" t="b">
        <v>1</v>
      </c>
      <c r="J119" s="322">
        <v>2</v>
      </c>
      <c r="K119" s="326" t="e">
        <f>VLOOKUP($A119,Master!$B$50:$N$232,6,FALSE)</f>
        <v>#N/A</v>
      </c>
      <c r="L119" s="324">
        <v>60600</v>
      </c>
      <c r="M119" s="325" t="s">
        <v>1514</v>
      </c>
    </row>
    <row r="120" spans="1:13" ht="13">
      <c r="A120" s="21" t="s">
        <v>623</v>
      </c>
      <c r="B120" s="61" t="s">
        <v>624</v>
      </c>
      <c r="C120" s="316" t="e">
        <f>VLOOKUP($A120,Master!$B$50:$N$232,8,FALSE)</f>
        <v>#N/A</v>
      </c>
      <c r="D120" s="316" t="e">
        <f>VLOOKUP($A120,Master!$B$50:$N$232,9,FALSE)</f>
        <v>#N/A</v>
      </c>
      <c r="E120" s="317" t="e">
        <f>VLOOKUP($A120,Master!$B$50:$N$232,11,FALSE)</f>
        <v>#N/A</v>
      </c>
      <c r="F120" s="318">
        <v>2</v>
      </c>
      <c r="G120" s="319" t="s">
        <v>143</v>
      </c>
      <c r="H120" s="320">
        <v>363858</v>
      </c>
      <c r="I120" s="321" t="b">
        <v>1</v>
      </c>
      <c r="J120" s="322">
        <v>2</v>
      </c>
      <c r="K120" s="323">
        <f>381174/2</f>
        <v>190587</v>
      </c>
      <c r="L120" s="324">
        <f t="shared" ref="L120:L124" si="14">J120*K120</f>
        <v>381174</v>
      </c>
      <c r="M120" s="325"/>
    </row>
    <row r="121" spans="1:13" ht="13">
      <c r="A121" s="21" t="s">
        <v>704</v>
      </c>
      <c r="B121" s="61" t="s">
        <v>705</v>
      </c>
      <c r="C121" s="316" t="e">
        <f>VLOOKUP($A121,Master!$B$50:$N$232,8,FALSE)</f>
        <v>#N/A</v>
      </c>
      <c r="D121" s="316" t="e">
        <f>VLOOKUP($A121,Master!$B$50:$N$232,9,FALSE)</f>
        <v>#N/A</v>
      </c>
      <c r="E121" s="317" t="e">
        <f>VLOOKUP($A121,Master!$B$50:$N$232,11,FALSE)</f>
        <v>#N/A</v>
      </c>
      <c r="F121" s="318">
        <v>2</v>
      </c>
      <c r="G121" s="319" t="s">
        <v>143</v>
      </c>
      <c r="H121" s="320">
        <v>405594</v>
      </c>
      <c r="I121" s="321" t="b">
        <v>1</v>
      </c>
      <c r="J121" s="322">
        <v>2</v>
      </c>
      <c r="K121" s="326" t="e">
        <f>VLOOKUP($A121,Master!$B$50:$N$232,6,FALSE)</f>
        <v>#N/A</v>
      </c>
      <c r="L121" s="327" t="e">
        <f t="shared" si="14"/>
        <v>#N/A</v>
      </c>
      <c r="M121" s="325"/>
    </row>
    <row r="122" spans="1:13" ht="13">
      <c r="A122" s="21" t="s">
        <v>655</v>
      </c>
      <c r="B122" s="61" t="s">
        <v>656</v>
      </c>
      <c r="C122" s="316">
        <f>VLOOKUP($A122,Master!$B$50:$N$232,8,FALSE)</f>
        <v>1000</v>
      </c>
      <c r="D122" s="316" t="str">
        <f>VLOOKUP($A122,Master!$B$50:$N$232,9,FALSE)</f>
        <v>gr</v>
      </c>
      <c r="E122" s="317" t="str">
        <f>VLOOKUP($A122,Master!$B$50:$N$232,11,FALSE)</f>
        <v>Toko Lain</v>
      </c>
      <c r="F122" s="318">
        <v>2</v>
      </c>
      <c r="G122" s="319" t="s">
        <v>36</v>
      </c>
      <c r="H122" s="320">
        <v>100000</v>
      </c>
      <c r="I122" s="321" t="b">
        <v>1</v>
      </c>
      <c r="J122" s="322">
        <v>2</v>
      </c>
      <c r="K122" s="326">
        <f>VLOOKUP($A122,Master!$B$50:$N$232,6,FALSE)</f>
        <v>50000</v>
      </c>
      <c r="L122" s="327">
        <f t="shared" si="14"/>
        <v>100000</v>
      </c>
      <c r="M122" s="325"/>
    </row>
    <row r="123" spans="1:13" ht="13">
      <c r="A123" s="21" t="s">
        <v>724</v>
      </c>
      <c r="B123" s="61" t="s">
        <v>725</v>
      </c>
      <c r="C123" s="316" t="e">
        <f>VLOOKUP($A123,Master!$B$50:$N$232,8,FALSE)</f>
        <v>#N/A</v>
      </c>
      <c r="D123" s="316" t="e">
        <f>VLOOKUP($A123,Master!$B$50:$N$232,9,FALSE)</f>
        <v>#N/A</v>
      </c>
      <c r="E123" s="317" t="e">
        <f>VLOOKUP($A123,Master!$B$50:$N$232,11,FALSE)</f>
        <v>#N/A</v>
      </c>
      <c r="F123" s="318">
        <v>1</v>
      </c>
      <c r="G123" s="319" t="s">
        <v>62</v>
      </c>
      <c r="H123" s="320">
        <v>40000</v>
      </c>
      <c r="I123" s="321" t="b">
        <v>1</v>
      </c>
      <c r="J123" s="322">
        <v>1</v>
      </c>
      <c r="K123" s="323">
        <v>42000</v>
      </c>
      <c r="L123" s="324">
        <f t="shared" si="14"/>
        <v>42000</v>
      </c>
      <c r="M123" s="325" t="s">
        <v>1499</v>
      </c>
    </row>
    <row r="124" spans="1:13" ht="13">
      <c r="A124" s="21" t="s">
        <v>782</v>
      </c>
      <c r="B124" s="61" t="s">
        <v>783</v>
      </c>
      <c r="C124" s="316">
        <f>VLOOKUP($A124,Master!$B$50:$N$232,8,FALSE)</f>
        <v>500</v>
      </c>
      <c r="D124" s="316" t="str">
        <f>VLOOKUP($A124,Master!$B$50:$N$232,9,FALSE)</f>
        <v>gr</v>
      </c>
      <c r="E124" s="317" t="str">
        <f>VLOOKUP($A124,Master!$B$50:$N$232,11,FALSE)</f>
        <v>Toko Lain</v>
      </c>
      <c r="F124" s="318">
        <v>2</v>
      </c>
      <c r="G124" s="319" t="s">
        <v>62</v>
      </c>
      <c r="H124" s="320">
        <v>50000</v>
      </c>
      <c r="I124" s="321" t="b">
        <v>1</v>
      </c>
      <c r="J124" s="322">
        <v>2</v>
      </c>
      <c r="K124" s="326">
        <f>VLOOKUP($A124,Master!$B$50:$N$232,6,FALSE)</f>
        <v>25000</v>
      </c>
      <c r="L124" s="327">
        <f t="shared" si="14"/>
        <v>50000</v>
      </c>
      <c r="M124" s="325" t="s">
        <v>1508</v>
      </c>
    </row>
    <row r="125" spans="1:13" ht="13">
      <c r="A125" s="22" t="s">
        <v>795</v>
      </c>
      <c r="B125" s="330" t="s">
        <v>796</v>
      </c>
      <c r="C125" s="316">
        <f>VLOOKUP($A125,Master!$B$50:$N$232,8,FALSE)</f>
        <v>10</v>
      </c>
      <c r="D125" s="316" t="str">
        <f>VLOOKUP($A125,Master!$B$50:$N$232,9,FALSE)</f>
        <v>unit</v>
      </c>
      <c r="E125" s="317" t="str">
        <f>VLOOKUP($A125,Master!$B$50:$N$232,11,FALSE)</f>
        <v>Toko Lain</v>
      </c>
      <c r="F125" s="318">
        <v>10</v>
      </c>
      <c r="G125" s="319" t="s">
        <v>62</v>
      </c>
      <c r="H125" s="320">
        <v>78000</v>
      </c>
      <c r="I125" s="321" t="b">
        <v>1</v>
      </c>
      <c r="J125" s="322">
        <v>5</v>
      </c>
      <c r="K125" s="326">
        <f>VLOOKUP($A125,Master!$B$50:$N$232,6,FALSE)</f>
        <v>8000</v>
      </c>
      <c r="L125" s="324">
        <v>35000</v>
      </c>
      <c r="M125" s="325"/>
    </row>
    <row r="126" spans="1:13" ht="13">
      <c r="A126" s="18" t="s">
        <v>958</v>
      </c>
      <c r="B126" s="328" t="s">
        <v>959</v>
      </c>
      <c r="C126" s="316" t="e">
        <f>VLOOKUP($A126,Master!$B$50:$N$232,8,FALSE)</f>
        <v>#N/A</v>
      </c>
      <c r="D126" s="316" t="e">
        <f>VLOOKUP($A126,Master!$B$50:$N$232,9,FALSE)</f>
        <v>#N/A</v>
      </c>
      <c r="E126" s="317" t="e">
        <f>VLOOKUP($A126,Master!$B$50:$N$232,11,FALSE)</f>
        <v>#N/A</v>
      </c>
      <c r="F126" s="318">
        <v>1</v>
      </c>
      <c r="G126" s="319" t="s">
        <v>97</v>
      </c>
      <c r="H126" s="320">
        <v>140200</v>
      </c>
      <c r="I126" s="321" t="b">
        <v>1</v>
      </c>
      <c r="J126" s="322">
        <v>1</v>
      </c>
      <c r="K126" s="326" t="e">
        <f>VLOOKUP($A126,Master!$B$50:$N$232,6,FALSE)</f>
        <v>#N/A</v>
      </c>
      <c r="L126" s="327" t="e">
        <f>J126*K126</f>
        <v>#N/A</v>
      </c>
      <c r="M126" s="325" t="s">
        <v>1499</v>
      </c>
    </row>
    <row r="127" spans="1:13" ht="13">
      <c r="A127" s="21" t="s">
        <v>544</v>
      </c>
      <c r="B127" s="61" t="s">
        <v>545</v>
      </c>
      <c r="C127" s="316" t="e">
        <f>VLOOKUP($A127,Master!$B$50:$N$232,8,FALSE)</f>
        <v>#N/A</v>
      </c>
      <c r="D127" s="316" t="e">
        <f>VLOOKUP($A127,Master!$B$50:$N$232,9,FALSE)</f>
        <v>#N/A</v>
      </c>
      <c r="E127" s="317" t="e">
        <f>VLOOKUP($A127,Master!$B$50:$N$232,11,FALSE)</f>
        <v>#N/A</v>
      </c>
      <c r="F127" s="318">
        <v>2</v>
      </c>
      <c r="G127" s="319" t="s">
        <v>62</v>
      </c>
      <c r="H127" s="320">
        <v>51300</v>
      </c>
      <c r="I127" s="321" t="b">
        <v>1</v>
      </c>
      <c r="J127" s="322">
        <v>2</v>
      </c>
      <c r="K127" s="326" t="e">
        <f>VLOOKUP($A127,Master!$B$50:$N$232,6,FALSE)</f>
        <v>#N/A</v>
      </c>
      <c r="L127" s="324">
        <v>34371</v>
      </c>
      <c r="M127" s="325"/>
    </row>
    <row r="128" spans="1:13" ht="13">
      <c r="A128" s="21" t="s">
        <v>540</v>
      </c>
      <c r="B128" s="61" t="s">
        <v>541</v>
      </c>
      <c r="C128" s="316">
        <f>VLOOKUP($A128,Master!$B$50:$N$232,8,FALSE)</f>
        <v>1000</v>
      </c>
      <c r="D128" s="316" t="str">
        <f>VLOOKUP($A128,Master!$B$50:$N$232,9,FALSE)</f>
        <v>gr</v>
      </c>
      <c r="E128" s="317" t="str">
        <f>VLOOKUP($A128,Master!$B$50:$N$232,11,FALSE)</f>
        <v>Woodlane</v>
      </c>
      <c r="F128" s="318">
        <v>2</v>
      </c>
      <c r="G128" s="319" t="s">
        <v>36</v>
      </c>
      <c r="H128" s="320">
        <v>340000</v>
      </c>
      <c r="I128" s="321" t="b">
        <v>1</v>
      </c>
      <c r="J128" s="322">
        <v>2</v>
      </c>
      <c r="K128" s="326">
        <f>VLOOKUP($A128,Master!$B$50:$N$232,6,FALSE)</f>
        <v>170000</v>
      </c>
      <c r="L128" s="327">
        <f t="shared" ref="L128:L129" si="15">J128*K128</f>
        <v>340000</v>
      </c>
      <c r="M128" s="325"/>
    </row>
    <row r="129" spans="1:13" ht="13">
      <c r="A129" s="21" t="s">
        <v>590</v>
      </c>
      <c r="B129" s="61" t="s">
        <v>599</v>
      </c>
      <c r="C129" s="316">
        <f>VLOOKUP($A129,Master!$B$50:$N$232,8,FALSE)</f>
        <v>200</v>
      </c>
      <c r="D129" s="316" t="str">
        <f>VLOOKUP($A129,Master!$B$50:$N$232,9,FALSE)</f>
        <v>gr</v>
      </c>
      <c r="E129" s="317" t="str">
        <f>VLOOKUP($A129,Master!$B$50:$N$232,11,FALSE)</f>
        <v>Woodlane</v>
      </c>
      <c r="F129" s="318">
        <v>3</v>
      </c>
      <c r="G129" s="319" t="s">
        <v>62</v>
      </c>
      <c r="H129" s="320">
        <v>255000</v>
      </c>
      <c r="I129" s="321" t="b">
        <v>1</v>
      </c>
      <c r="J129" s="322">
        <v>3</v>
      </c>
      <c r="K129" s="326">
        <f>VLOOKUP($A129,Master!$B$50:$N$240,6,FALSE)</f>
        <v>85000</v>
      </c>
      <c r="L129" s="327">
        <f t="shared" si="15"/>
        <v>255000</v>
      </c>
      <c r="M129" s="325"/>
    </row>
    <row r="130" spans="1:13" ht="13">
      <c r="A130" s="21" t="s">
        <v>1515</v>
      </c>
      <c r="B130" s="61"/>
      <c r="C130" s="316"/>
      <c r="D130" s="316"/>
      <c r="E130" s="317" t="s">
        <v>98</v>
      </c>
      <c r="F130" s="318">
        <v>1</v>
      </c>
      <c r="G130" s="319" t="s">
        <v>62</v>
      </c>
      <c r="H130" s="320"/>
      <c r="I130" s="321" t="b">
        <v>0</v>
      </c>
      <c r="J130" s="322"/>
      <c r="K130" s="323"/>
      <c r="L130" s="324"/>
      <c r="M130" s="325"/>
    </row>
    <row r="131" spans="1:13" ht="13">
      <c r="A131" s="21" t="s">
        <v>1516</v>
      </c>
      <c r="B131" s="61"/>
      <c r="C131" s="316"/>
      <c r="D131" s="316"/>
      <c r="E131" s="317" t="s">
        <v>98</v>
      </c>
      <c r="F131" s="318">
        <v>1</v>
      </c>
      <c r="G131" s="319" t="s">
        <v>97</v>
      </c>
      <c r="H131" s="320"/>
      <c r="I131" s="321" t="b">
        <v>0</v>
      </c>
      <c r="J131" s="322"/>
      <c r="K131" s="326"/>
      <c r="L131" s="324"/>
      <c r="M131" s="325"/>
    </row>
    <row r="132" spans="1:13" ht="13">
      <c r="A132" s="21" t="s">
        <v>831</v>
      </c>
      <c r="B132" s="61" t="s">
        <v>832</v>
      </c>
      <c r="C132" s="316">
        <f>VLOOKUP($A132,Master!$B$50:$N$232,8,FALSE)</f>
        <v>1000</v>
      </c>
      <c r="D132" s="316" t="str">
        <f>VLOOKUP($A132,Master!$B$50:$N$232,9,FALSE)</f>
        <v>gr</v>
      </c>
      <c r="E132" s="317" t="str">
        <f>VLOOKUP($A132,Master!$B$50:$N$232,11,FALSE)</f>
        <v>PD Aroma Jaya</v>
      </c>
      <c r="F132" s="318">
        <v>2</v>
      </c>
      <c r="G132" s="319" t="s">
        <v>36</v>
      </c>
      <c r="H132" s="320">
        <v>38000</v>
      </c>
      <c r="I132" s="321" t="b">
        <v>1</v>
      </c>
      <c r="J132" s="322">
        <v>2</v>
      </c>
      <c r="K132" s="326">
        <f>VLOOKUP($A132,Master!$B$50:$N$232,6,FALSE)</f>
        <v>21250</v>
      </c>
      <c r="L132" s="327">
        <f>J132*K132</f>
        <v>42500</v>
      </c>
      <c r="M132" s="325"/>
    </row>
    <row r="134" spans="1:13" ht="13">
      <c r="F134" s="427">
        <v>44813</v>
      </c>
      <c r="G134" s="428"/>
      <c r="H134" s="424"/>
      <c r="J134" s="429">
        <f>F134+1</f>
        <v>44814</v>
      </c>
      <c r="K134" s="428"/>
      <c r="L134" s="424"/>
    </row>
    <row r="135" spans="1:13" ht="13">
      <c r="F135" s="425" t="s">
        <v>1490</v>
      </c>
      <c r="G135" s="426"/>
      <c r="H135" s="304">
        <f>SUM(H137:H174)</f>
        <v>2628940</v>
      </c>
      <c r="J135" s="425" t="s">
        <v>1491</v>
      </c>
      <c r="K135" s="426"/>
      <c r="L135" s="304" t="e">
        <f>SUM(L137:L174)</f>
        <v>#N/A</v>
      </c>
    </row>
    <row r="136" spans="1:13" ht="13">
      <c r="A136" s="2" t="s">
        <v>4</v>
      </c>
      <c r="B136" s="305" t="s">
        <v>5</v>
      </c>
      <c r="C136" s="305" t="s">
        <v>1492</v>
      </c>
      <c r="D136" s="305" t="s">
        <v>12</v>
      </c>
      <c r="E136" s="306" t="s">
        <v>1493</v>
      </c>
      <c r="F136" s="307" t="s">
        <v>1494</v>
      </c>
      <c r="G136" s="308" t="s">
        <v>10</v>
      </c>
      <c r="H136" s="309" t="s">
        <v>1495</v>
      </c>
      <c r="I136" s="310" t="s">
        <v>1289</v>
      </c>
      <c r="J136" s="311" t="s">
        <v>1496</v>
      </c>
      <c r="K136" s="312" t="s">
        <v>1497</v>
      </c>
      <c r="L136" s="313" t="s">
        <v>1498</v>
      </c>
      <c r="M136" s="314" t="s">
        <v>16</v>
      </c>
    </row>
    <row r="137" spans="1:13" ht="13">
      <c r="A137" s="137" t="s">
        <v>639</v>
      </c>
      <c r="B137" s="330" t="s">
        <v>640</v>
      </c>
      <c r="C137" s="316">
        <f>VLOOKUP($A137,Master!$B$50:$N$232,8,FALSE)</f>
        <v>1000</v>
      </c>
      <c r="D137" s="316" t="str">
        <f>VLOOKUP($A137,Master!$B$50:$N$232,9,FALSE)</f>
        <v>gr</v>
      </c>
      <c r="E137" s="337" t="s">
        <v>1512</v>
      </c>
      <c r="F137" s="318">
        <v>1</v>
      </c>
      <c r="G137" s="319" t="s">
        <v>36</v>
      </c>
      <c r="H137" s="320">
        <v>145000</v>
      </c>
      <c r="I137" s="321" t="b">
        <v>1</v>
      </c>
      <c r="J137" s="322">
        <v>1</v>
      </c>
      <c r="K137" s="326">
        <f>VLOOKUP($A137,Master!$B$50:$N$232,6,FALSE)</f>
        <v>145000</v>
      </c>
      <c r="L137" s="324">
        <v>130000</v>
      </c>
      <c r="M137" s="325" t="s">
        <v>1512</v>
      </c>
    </row>
    <row r="138" spans="1:13" ht="13">
      <c r="A138" s="21" t="s">
        <v>586</v>
      </c>
      <c r="B138" s="61" t="s">
        <v>587</v>
      </c>
      <c r="C138" s="316">
        <f>VLOOKUP($A138,Master!$B$50:$N$232,8,FALSE)</f>
        <v>20</v>
      </c>
      <c r="D138" s="316" t="str">
        <f>VLOOKUP($A138,Master!$B$50:$N$232,9,FALSE)</f>
        <v>pcs</v>
      </c>
      <c r="E138" s="317" t="str">
        <f>VLOOKUP($A138,Master!$B$50:$N$232,11,FALSE)</f>
        <v>Kurnia Mas</v>
      </c>
      <c r="F138" s="318">
        <v>1</v>
      </c>
      <c r="G138" s="319" t="s">
        <v>62</v>
      </c>
      <c r="H138" s="320">
        <v>7500</v>
      </c>
      <c r="I138" s="321" t="b">
        <v>1</v>
      </c>
      <c r="J138" s="322">
        <v>1</v>
      </c>
      <c r="K138" s="326">
        <f>VLOOKUP($A138,Master!$B$50:$N$232,6,FALSE)</f>
        <v>8500</v>
      </c>
      <c r="L138" s="327">
        <f>J138*K138</f>
        <v>8500</v>
      </c>
      <c r="M138" s="325" t="s">
        <v>1499</v>
      </c>
    </row>
    <row r="139" spans="1:13" ht="13">
      <c r="A139" s="21" t="s">
        <v>1037</v>
      </c>
      <c r="B139" s="61" t="s">
        <v>1038</v>
      </c>
      <c r="C139" s="316" t="e">
        <f>VLOOKUP($A139,Master!$B$50:$N$232,8,FALSE)</f>
        <v>#N/A</v>
      </c>
      <c r="D139" s="316" t="e">
        <f>VLOOKUP($A139,Master!$B$50:$N$232,9,FALSE)</f>
        <v>#N/A</v>
      </c>
      <c r="E139" s="317" t="e">
        <f>VLOOKUP($A139,Master!$B$50:$N$232,11,FALSE)</f>
        <v>#N/A</v>
      </c>
      <c r="F139" s="318">
        <v>1</v>
      </c>
      <c r="G139" s="319" t="s">
        <v>62</v>
      </c>
      <c r="H139" s="320">
        <v>22300</v>
      </c>
      <c r="I139" s="321" t="b">
        <v>1</v>
      </c>
      <c r="J139" s="322">
        <v>1</v>
      </c>
      <c r="K139" s="323" t="e">
        <f>VLOOKUP($A139,Master!$B$50:$N$232,6,FALSE)</f>
        <v>#N/A</v>
      </c>
      <c r="L139" s="324">
        <v>6000</v>
      </c>
      <c r="M139" s="325" t="s">
        <v>1517</v>
      </c>
    </row>
    <row r="140" spans="1:13" ht="13">
      <c r="A140" s="21" t="s">
        <v>1094</v>
      </c>
      <c r="B140" s="61" t="s">
        <v>1095</v>
      </c>
      <c r="C140" s="316" t="e">
        <f>VLOOKUP($A140,Master!$B$50:$N$232,8,FALSE)</f>
        <v>#N/A</v>
      </c>
      <c r="D140" s="316" t="e">
        <f>VLOOKUP($A140,Master!$B$50:$N$232,9,FALSE)</f>
        <v>#N/A</v>
      </c>
      <c r="E140" s="317" t="e">
        <f>VLOOKUP($A140,Master!$B$50:$N$232,11,FALSE)</f>
        <v>#N/A</v>
      </c>
      <c r="F140" s="318">
        <v>1</v>
      </c>
      <c r="G140" s="319" t="s">
        <v>62</v>
      </c>
      <c r="H140" s="320">
        <v>19650</v>
      </c>
      <c r="I140" s="321" t="b">
        <v>1</v>
      </c>
      <c r="J140" s="322">
        <v>1</v>
      </c>
      <c r="K140" s="323" t="e">
        <f>VLOOKUP($A140,Master!$B$50:$N$232,6,FALSE)</f>
        <v>#N/A</v>
      </c>
      <c r="L140" s="324">
        <v>19454</v>
      </c>
      <c r="M140" s="325"/>
    </row>
    <row r="141" spans="1:13" ht="13">
      <c r="A141" s="18" t="s">
        <v>1096</v>
      </c>
      <c r="B141" s="328" t="s">
        <v>1097</v>
      </c>
      <c r="C141" s="316" t="e">
        <f>VLOOKUP($A141,Master!$B$50:$N$232,8,FALSE)</f>
        <v>#N/A</v>
      </c>
      <c r="D141" s="316" t="e">
        <f>VLOOKUP($A141,Master!$B$50:$N$232,9,FALSE)</f>
        <v>#N/A</v>
      </c>
      <c r="E141" s="317" t="e">
        <f>VLOOKUP($A141,Master!$B$50:$N$232,11,FALSE)</f>
        <v>#N/A</v>
      </c>
      <c r="F141" s="318">
        <v>1</v>
      </c>
      <c r="G141" s="319" t="s">
        <v>62</v>
      </c>
      <c r="H141" s="320">
        <v>4800</v>
      </c>
      <c r="I141" s="321" t="b">
        <v>1</v>
      </c>
      <c r="J141" s="322">
        <v>1</v>
      </c>
      <c r="K141" s="323">
        <v>17500</v>
      </c>
      <c r="L141" s="324">
        <f t="shared" ref="L141:L142" si="16">J141*K141</f>
        <v>17500</v>
      </c>
      <c r="M141" s="325" t="s">
        <v>1499</v>
      </c>
    </row>
    <row r="142" spans="1:13" ht="13">
      <c r="A142" s="21" t="s">
        <v>651</v>
      </c>
      <c r="B142" s="61" t="s">
        <v>652</v>
      </c>
      <c r="C142" s="316">
        <f>VLOOKUP($A142,Master!$B$50:$N$232,8,FALSE)</f>
        <v>1000</v>
      </c>
      <c r="D142" s="316" t="str">
        <f>VLOOKUP($A142,Master!$B$50:$N$232,9,FALSE)</f>
        <v>gr</v>
      </c>
      <c r="E142" s="317" t="str">
        <f>VLOOKUP($A142,Master!$B$50:$N$232,11,FALSE)</f>
        <v>Eden Farm</v>
      </c>
      <c r="F142" s="318">
        <v>1</v>
      </c>
      <c r="G142" s="319" t="s">
        <v>36</v>
      </c>
      <c r="H142" s="320">
        <v>10200</v>
      </c>
      <c r="I142" s="321" t="b">
        <v>1</v>
      </c>
      <c r="J142" s="322">
        <v>1</v>
      </c>
      <c r="K142" s="323">
        <v>10400</v>
      </c>
      <c r="L142" s="324">
        <f t="shared" si="16"/>
        <v>10400</v>
      </c>
      <c r="M142" s="325"/>
    </row>
    <row r="143" spans="1:13" ht="13">
      <c r="A143" s="21" t="s">
        <v>671</v>
      </c>
      <c r="B143" s="61" t="s">
        <v>672</v>
      </c>
      <c r="C143" s="316">
        <f>VLOOKUP($A143,Master!$B$50:$N$232,8,FALSE)</f>
        <v>1000</v>
      </c>
      <c r="D143" s="316" t="str">
        <f>VLOOKUP($A143,Master!$B$50:$N$232,9,FALSE)</f>
        <v>gr</v>
      </c>
      <c r="E143" s="317" t="str">
        <f>VLOOKUP($A143,Master!$B$50:$N$232,11,FALSE)</f>
        <v>Eden Farm</v>
      </c>
      <c r="F143" s="318">
        <v>0.5</v>
      </c>
      <c r="G143" s="319" t="s">
        <v>36</v>
      </c>
      <c r="H143" s="320">
        <v>110000</v>
      </c>
      <c r="I143" s="321" t="b">
        <v>1</v>
      </c>
      <c r="J143" s="322">
        <v>0.5</v>
      </c>
      <c r="K143" s="326">
        <f>VLOOKUP($A143,Master!$B$50:$N$232,6,FALSE)</f>
        <v>50000</v>
      </c>
      <c r="L143" s="324">
        <v>26250</v>
      </c>
      <c r="M143" s="325"/>
    </row>
    <row r="144" spans="1:13" ht="13">
      <c r="A144" s="21" t="s">
        <v>732</v>
      </c>
      <c r="B144" s="61" t="s">
        <v>733</v>
      </c>
      <c r="C144" s="316">
        <f>VLOOKUP($A144,Master!$B$50:$N$232,8,FALSE)</f>
        <v>1000</v>
      </c>
      <c r="D144" s="316" t="str">
        <f>VLOOKUP($A144,Master!$B$50:$N$232,9,FALSE)</f>
        <v>gr</v>
      </c>
      <c r="E144" s="317" t="str">
        <f>VLOOKUP($A144,Master!$B$50:$N$232,11,FALSE)</f>
        <v>Eden Farm</v>
      </c>
      <c r="F144" s="318">
        <v>1</v>
      </c>
      <c r="G144" s="319" t="s">
        <v>36</v>
      </c>
      <c r="H144" s="320">
        <v>19900</v>
      </c>
      <c r="I144" s="321" t="b">
        <v>1</v>
      </c>
      <c r="J144" s="322">
        <v>1</v>
      </c>
      <c r="K144" s="323">
        <v>21200</v>
      </c>
      <c r="L144" s="324">
        <f>J144*K144</f>
        <v>21200</v>
      </c>
      <c r="M144" s="325"/>
    </row>
    <row r="145" spans="1:13" ht="13">
      <c r="A145" s="21" t="s">
        <v>919</v>
      </c>
      <c r="B145" s="61" t="s">
        <v>920</v>
      </c>
      <c r="C145" s="316">
        <f>VLOOKUP($A145,Master!$B$50:$N$232,8,FALSE)</f>
        <v>1000</v>
      </c>
      <c r="D145" s="316" t="str">
        <f>VLOOKUP($A145,Master!$B$50:$N$232,9,FALSE)</f>
        <v>gr</v>
      </c>
      <c r="E145" s="317" t="str">
        <f>VLOOKUP($A145,Master!$B$50:$N$232,11,FALSE)</f>
        <v>Eden Farm</v>
      </c>
      <c r="F145" s="318">
        <v>1</v>
      </c>
      <c r="G145" s="319" t="s">
        <v>62</v>
      </c>
      <c r="H145" s="320">
        <v>39900</v>
      </c>
      <c r="I145" s="321" t="b">
        <v>1</v>
      </c>
      <c r="J145" s="322">
        <v>1</v>
      </c>
      <c r="K145" s="326">
        <f>VLOOKUP($A145,Master!$B$50:$N$232,6,FALSE)</f>
        <v>50000</v>
      </c>
      <c r="L145" s="324">
        <v>33600</v>
      </c>
      <c r="M145" s="325"/>
    </row>
    <row r="146" spans="1:13" ht="13">
      <c r="A146" s="21" t="s">
        <v>922</v>
      </c>
      <c r="B146" s="61" t="s">
        <v>923</v>
      </c>
      <c r="C146" s="316">
        <f>VLOOKUP($A146,Master!$B$50:$N$232,8,FALSE)</f>
        <v>400</v>
      </c>
      <c r="D146" s="316" t="str">
        <f>VLOOKUP($A146,Master!$B$50:$N$232,9,FALSE)</f>
        <v>gr</v>
      </c>
      <c r="E146" s="317" t="str">
        <f>VLOOKUP($A146,Master!$B$50:$N$232,11,FALSE)</f>
        <v>Eden Farm</v>
      </c>
      <c r="F146" s="318">
        <v>3</v>
      </c>
      <c r="G146" s="319" t="s">
        <v>62</v>
      </c>
      <c r="H146" s="320">
        <v>76200</v>
      </c>
      <c r="I146" s="321" t="b">
        <v>1</v>
      </c>
      <c r="J146" s="322">
        <v>3</v>
      </c>
      <c r="K146" s="323">
        <v>27600</v>
      </c>
      <c r="L146" s="324">
        <f t="shared" ref="L146:L156" si="17">J146*K146</f>
        <v>82800</v>
      </c>
      <c r="M146" s="325"/>
    </row>
    <row r="147" spans="1:13" ht="13">
      <c r="A147" s="21" t="s">
        <v>659</v>
      </c>
      <c r="B147" s="61" t="s">
        <v>660</v>
      </c>
      <c r="C147" s="316">
        <f>VLOOKUP($A147,Master!$B$50:$N$232,8,FALSE)</f>
        <v>15</v>
      </c>
      <c r="D147" s="316" t="str">
        <f>VLOOKUP($A147,Master!$B$50:$N$232,9,FALSE)</f>
        <v>pcs</v>
      </c>
      <c r="E147" s="317" t="str">
        <f>VLOOKUP($A147,Master!$B$50:$N$232,11,FALSE)</f>
        <v>Feri Supriadi (Telur , Beras , Minyak )</v>
      </c>
      <c r="F147" s="318">
        <v>3</v>
      </c>
      <c r="G147" s="319" t="s">
        <v>36</v>
      </c>
      <c r="H147" s="320">
        <v>84000</v>
      </c>
      <c r="I147" s="321" t="b">
        <v>1</v>
      </c>
      <c r="J147" s="322">
        <v>3</v>
      </c>
      <c r="K147" s="323">
        <v>29500</v>
      </c>
      <c r="L147" s="324">
        <f t="shared" si="17"/>
        <v>88500</v>
      </c>
      <c r="M147" s="325"/>
    </row>
    <row r="148" spans="1:13" ht="13">
      <c r="A148" s="21" t="s">
        <v>760</v>
      </c>
      <c r="B148" s="61" t="s">
        <v>761</v>
      </c>
      <c r="C148" s="316">
        <f>VLOOKUP($A148,Master!$B$50:$N$232,8,FALSE)</f>
        <v>25000</v>
      </c>
      <c r="D148" s="316" t="str">
        <f>VLOOKUP($A148,Master!$B$50:$N$232,9,FALSE)</f>
        <v>gr</v>
      </c>
      <c r="E148" s="317" t="str">
        <f>VLOOKUP($A148,Master!$B$50:$N$232,11,FALSE)</f>
        <v>Feri Supriadi (Telur , Beras , Minyak )</v>
      </c>
      <c r="F148" s="318">
        <v>25</v>
      </c>
      <c r="G148" s="319" t="s">
        <v>36</v>
      </c>
      <c r="H148" s="320">
        <v>290000</v>
      </c>
      <c r="I148" s="321" t="b">
        <v>1</v>
      </c>
      <c r="J148" s="322">
        <v>25</v>
      </c>
      <c r="K148" s="326">
        <f>VLOOKUP($A148,Master!$B$50:$N$232,6,FALSE)</f>
        <v>364000</v>
      </c>
      <c r="L148" s="327">
        <f t="shared" si="17"/>
        <v>9100000</v>
      </c>
      <c r="M148" s="325"/>
    </row>
    <row r="149" spans="1:13" ht="13">
      <c r="A149" s="21" t="s">
        <v>1005</v>
      </c>
      <c r="B149" s="61" t="s">
        <v>1006</v>
      </c>
      <c r="C149" s="316">
        <f>VLOOKUP($A149,Master!$B$50:$N$232,8,FALSE)</f>
        <v>100</v>
      </c>
      <c r="D149" s="316" t="str">
        <f>VLOOKUP($A149,Master!$B$50:$N$232,9,FALSE)</f>
        <v>gr</v>
      </c>
      <c r="E149" s="317" t="str">
        <f>VLOOKUP($A149,Master!$B$50:$N$232,11,FALSE)</f>
        <v>Kurnia Mas</v>
      </c>
      <c r="F149" s="318">
        <v>2</v>
      </c>
      <c r="G149" s="319" t="s">
        <v>62</v>
      </c>
      <c r="H149" s="320">
        <v>48000</v>
      </c>
      <c r="I149" s="321" t="b">
        <v>1</v>
      </c>
      <c r="J149" s="322">
        <v>2</v>
      </c>
      <c r="K149" s="326">
        <f>VLOOKUP($A149,Master!$B$50:$N$232,6,FALSE)</f>
        <v>24000</v>
      </c>
      <c r="L149" s="327">
        <f t="shared" si="17"/>
        <v>48000</v>
      </c>
      <c r="M149" s="325"/>
    </row>
    <row r="150" spans="1:13" ht="13">
      <c r="A150" s="21" t="s">
        <v>1008</v>
      </c>
      <c r="B150" s="61" t="s">
        <v>1009</v>
      </c>
      <c r="C150" s="316" t="e">
        <f>VLOOKUP($A150,Master!$B$50:$N$232,8,FALSE)</f>
        <v>#N/A</v>
      </c>
      <c r="D150" s="316" t="e">
        <f>VLOOKUP($A150,Master!$B$50:$N$232,9,FALSE)</f>
        <v>#N/A</v>
      </c>
      <c r="E150" s="317" t="e">
        <f>VLOOKUP($A150,Master!$B$50:$N$232,11,FALSE)</f>
        <v>#N/A</v>
      </c>
      <c r="F150" s="318">
        <v>2</v>
      </c>
      <c r="G150" s="319" t="s">
        <v>62</v>
      </c>
      <c r="H150" s="320">
        <v>20000</v>
      </c>
      <c r="I150" s="321" t="b">
        <v>1</v>
      </c>
      <c r="J150" s="322">
        <v>1</v>
      </c>
      <c r="K150" s="323">
        <v>13500</v>
      </c>
      <c r="L150" s="324">
        <f t="shared" si="17"/>
        <v>13500</v>
      </c>
      <c r="M150" s="325" t="s">
        <v>1518</v>
      </c>
    </row>
    <row r="151" spans="1:13" ht="13">
      <c r="A151" s="22" t="s">
        <v>675</v>
      </c>
      <c r="B151" s="330" t="s">
        <v>676</v>
      </c>
      <c r="C151" s="316">
        <f>VLOOKUP($A151,Master!$B$50:$N$232,8,FALSE)</f>
        <v>20</v>
      </c>
      <c r="D151" s="316" t="str">
        <f>VLOOKUP($A151,Master!$B$50:$N$232,9,FALSE)</f>
        <v>unit</v>
      </c>
      <c r="E151" s="317" t="str">
        <f>VLOOKUP($A151,Master!$B$50:$N$232,11,FALSE)</f>
        <v>RSB, Dago</v>
      </c>
      <c r="F151" s="318">
        <v>10</v>
      </c>
      <c r="G151" s="319" t="s">
        <v>62</v>
      </c>
      <c r="H151" s="320">
        <v>60000</v>
      </c>
      <c r="I151" s="321" t="b">
        <v>1</v>
      </c>
      <c r="J151" s="322">
        <v>10</v>
      </c>
      <c r="K151" s="326">
        <f>VLOOKUP($A151,Master!$B$50:$N$232,6,FALSE)</f>
        <v>13500</v>
      </c>
      <c r="L151" s="327">
        <f t="shared" si="17"/>
        <v>135000</v>
      </c>
      <c r="M151" s="325"/>
    </row>
    <row r="152" spans="1:13" ht="13">
      <c r="A152" s="21" t="s">
        <v>519</v>
      </c>
      <c r="B152" s="61" t="s">
        <v>520</v>
      </c>
      <c r="C152" s="316" t="e">
        <f>VLOOKUP($A152,Master!$B$50:$N$232,8,FALSE)</f>
        <v>#N/A</v>
      </c>
      <c r="D152" s="316" t="e">
        <f>VLOOKUP($A152,Master!$B$50:$N$232,9,FALSE)</f>
        <v>#N/A</v>
      </c>
      <c r="E152" s="317" t="e">
        <f>VLOOKUP($A152,Master!$B$50:$N$232,11,FALSE)</f>
        <v>#N/A</v>
      </c>
      <c r="F152" s="318">
        <v>1</v>
      </c>
      <c r="G152" s="319" t="s">
        <v>36</v>
      </c>
      <c r="H152" s="320">
        <v>14000</v>
      </c>
      <c r="I152" s="321" t="b">
        <v>1</v>
      </c>
      <c r="J152" s="322">
        <v>1</v>
      </c>
      <c r="K152" s="323">
        <v>14250</v>
      </c>
      <c r="L152" s="324">
        <f t="shared" si="17"/>
        <v>14250</v>
      </c>
      <c r="M152" s="325"/>
    </row>
    <row r="153" spans="1:13" ht="13">
      <c r="A153" s="21" t="s">
        <v>528</v>
      </c>
      <c r="B153" s="61" t="s">
        <v>529</v>
      </c>
      <c r="C153" s="316" t="e">
        <f>VLOOKUP($A153,Master!$B$50:$N$232,8,FALSE)</f>
        <v>#N/A</v>
      </c>
      <c r="D153" s="316" t="e">
        <f>VLOOKUP($A153,Master!$B$50:$N$232,9,FALSE)</f>
        <v>#N/A</v>
      </c>
      <c r="E153" s="317" t="e">
        <f>VLOOKUP($A153,Master!$B$50:$N$232,11,FALSE)</f>
        <v>#N/A</v>
      </c>
      <c r="F153" s="318">
        <v>3</v>
      </c>
      <c r="G153" s="319" t="s">
        <v>50</v>
      </c>
      <c r="H153" s="320">
        <v>48000</v>
      </c>
      <c r="I153" s="321" t="b">
        <v>1</v>
      </c>
      <c r="J153" s="322">
        <v>3</v>
      </c>
      <c r="K153" s="326" t="e">
        <f>VLOOKUP($A153,Master!$B$50:$N$232,6,FALSE)</f>
        <v>#N/A</v>
      </c>
      <c r="L153" s="327" t="e">
        <f t="shared" si="17"/>
        <v>#N/A</v>
      </c>
      <c r="M153" s="325"/>
    </row>
    <row r="154" spans="1:13" ht="13">
      <c r="A154" s="21" t="s">
        <v>635</v>
      </c>
      <c r="B154" s="61" t="s">
        <v>636</v>
      </c>
      <c r="C154" s="316" t="e">
        <f>VLOOKUP($A154,Master!$B$50:$N$232,8,FALSE)</f>
        <v>#N/A</v>
      </c>
      <c r="D154" s="316" t="e">
        <f>VLOOKUP($A154,Master!$B$50:$N$232,9,FALSE)</f>
        <v>#N/A</v>
      </c>
      <c r="E154" s="317" t="e">
        <f>VLOOKUP($A154,Master!$B$50:$N$232,11,FALSE)</f>
        <v>#N/A</v>
      </c>
      <c r="F154" s="318">
        <v>6</v>
      </c>
      <c r="G154" s="319" t="s">
        <v>50</v>
      </c>
      <c r="H154" s="320">
        <v>66000</v>
      </c>
      <c r="I154" s="321" t="b">
        <v>1</v>
      </c>
      <c r="J154" s="322">
        <v>6</v>
      </c>
      <c r="K154" s="326" t="e">
        <f>VLOOKUP($A154,Master!$B$50:$N$232,6,FALSE)</f>
        <v>#N/A</v>
      </c>
      <c r="L154" s="327" t="e">
        <f t="shared" si="17"/>
        <v>#N/A</v>
      </c>
      <c r="M154" s="325"/>
    </row>
    <row r="155" spans="1:13" ht="13">
      <c r="A155" s="21" t="s">
        <v>643</v>
      </c>
      <c r="B155" s="61" t="s">
        <v>644</v>
      </c>
      <c r="C155" s="316">
        <f>VLOOKUP($A155,Master!$B$50:$N$232,8,FALSE)</f>
        <v>1000</v>
      </c>
      <c r="D155" s="316" t="str">
        <f>VLOOKUP($A155,Master!$B$50:$N$232,9,FALSE)</f>
        <v>gr</v>
      </c>
      <c r="E155" s="317" t="str">
        <f>VLOOKUP($A155,Master!$B$50:$N$232,11,FALSE)</f>
        <v>PD Aroma Jaya</v>
      </c>
      <c r="F155" s="318">
        <v>1</v>
      </c>
      <c r="G155" s="319" t="s">
        <v>36</v>
      </c>
      <c r="H155" s="320">
        <v>16000</v>
      </c>
      <c r="I155" s="321" t="b">
        <v>1</v>
      </c>
      <c r="J155" s="322">
        <v>1</v>
      </c>
      <c r="K155" s="326">
        <f>VLOOKUP($A155,Master!$B$50:$N$232,6,FALSE)</f>
        <v>17000</v>
      </c>
      <c r="L155" s="327">
        <f t="shared" si="17"/>
        <v>17000</v>
      </c>
      <c r="M155" s="325"/>
    </row>
    <row r="156" spans="1:13" ht="13">
      <c r="A156" s="21" t="s">
        <v>684</v>
      </c>
      <c r="B156" s="61" t="s">
        <v>685</v>
      </c>
      <c r="C156" s="316" t="e">
        <f>VLOOKUP($A156,Master!$B$50:$N$232,8,FALSE)</f>
        <v>#N/A</v>
      </c>
      <c r="D156" s="316" t="e">
        <f>VLOOKUP($A156,Master!$B$50:$N$232,9,FALSE)</f>
        <v>#N/A</v>
      </c>
      <c r="E156" s="317" t="e">
        <f>VLOOKUP($A156,Master!$B$50:$N$232,11,FALSE)</f>
        <v>#N/A</v>
      </c>
      <c r="F156" s="318">
        <v>1</v>
      </c>
      <c r="G156" s="319" t="s">
        <v>97</v>
      </c>
      <c r="H156" s="320">
        <v>30000</v>
      </c>
      <c r="I156" s="321" t="b">
        <v>0</v>
      </c>
      <c r="J156" s="322"/>
      <c r="K156" s="326" t="e">
        <f>VLOOKUP($A156,Master!$B$50:$N$232,6,FALSE)</f>
        <v>#N/A</v>
      </c>
      <c r="L156" s="327" t="e">
        <f t="shared" si="17"/>
        <v>#N/A</v>
      </c>
      <c r="M156" s="325" t="s">
        <v>1507</v>
      </c>
    </row>
    <row r="157" spans="1:13" ht="13">
      <c r="A157" s="21" t="s">
        <v>688</v>
      </c>
      <c r="B157" s="61" t="s">
        <v>689</v>
      </c>
      <c r="C157" s="316" t="e">
        <f>VLOOKUP($A157,Master!$B$50:$N$232,8,FALSE)</f>
        <v>#N/A</v>
      </c>
      <c r="D157" s="316" t="e">
        <f>VLOOKUP($A157,Master!$B$50:$N$232,9,FALSE)</f>
        <v>#N/A</v>
      </c>
      <c r="E157" s="317" t="e">
        <f>VLOOKUP($A157,Master!$B$50:$N$232,11,FALSE)</f>
        <v>#N/A</v>
      </c>
      <c r="F157" s="318">
        <v>3</v>
      </c>
      <c r="G157" s="319" t="s">
        <v>62</v>
      </c>
      <c r="H157" s="320">
        <v>187500</v>
      </c>
      <c r="I157" s="321" t="b">
        <v>1</v>
      </c>
      <c r="J157" s="322">
        <v>3</v>
      </c>
      <c r="K157" s="326" t="e">
        <f>VLOOKUP($A157,Master!$B$50:$N$232,6,FALSE)</f>
        <v>#N/A</v>
      </c>
      <c r="L157" s="324">
        <v>186000</v>
      </c>
      <c r="M157" s="325"/>
    </row>
    <row r="158" spans="1:13" ht="13">
      <c r="A158" s="21" t="s">
        <v>696</v>
      </c>
      <c r="B158" s="61" t="s">
        <v>697</v>
      </c>
      <c r="C158" s="316" t="e">
        <f>VLOOKUP($A158,Master!$B$50:$N$232,8,FALSE)</f>
        <v>#N/A</v>
      </c>
      <c r="D158" s="316" t="e">
        <f>VLOOKUP($A158,Master!$B$50:$N$232,9,FALSE)</f>
        <v>#N/A</v>
      </c>
      <c r="E158" s="317" t="e">
        <f>VLOOKUP($A158,Master!$B$50:$N$232,11,FALSE)</f>
        <v>#N/A</v>
      </c>
      <c r="F158" s="318">
        <v>4</v>
      </c>
      <c r="G158" s="319" t="s">
        <v>62</v>
      </c>
      <c r="H158" s="320">
        <v>56000</v>
      </c>
      <c r="I158" s="321" t="b">
        <v>1</v>
      </c>
      <c r="J158" s="322">
        <v>4</v>
      </c>
      <c r="K158" s="323">
        <v>14250</v>
      </c>
      <c r="L158" s="324">
        <f t="shared" ref="L158:L159" si="18">J158*K158</f>
        <v>57000</v>
      </c>
      <c r="M158" s="325"/>
    </row>
    <row r="159" spans="1:13" ht="13">
      <c r="A159" s="21" t="s">
        <v>773</v>
      </c>
      <c r="B159" s="61" t="s">
        <v>774</v>
      </c>
      <c r="C159" s="316" t="e">
        <f>VLOOKUP($A159,Master!$B$50:$N$232,8,FALSE)</f>
        <v>#N/A</v>
      </c>
      <c r="D159" s="316" t="e">
        <f>VLOOKUP($A159,Master!$B$50:$N$232,9,FALSE)</f>
        <v>#N/A</v>
      </c>
      <c r="E159" s="317" t="e">
        <f>VLOOKUP($A159,Master!$B$50:$N$232,11,FALSE)</f>
        <v>#N/A</v>
      </c>
      <c r="F159" s="318">
        <v>3</v>
      </c>
      <c r="G159" s="319" t="s">
        <v>62</v>
      </c>
      <c r="H159" s="320">
        <v>42000</v>
      </c>
      <c r="I159" s="321" t="b">
        <v>1</v>
      </c>
      <c r="J159" s="322">
        <v>3</v>
      </c>
      <c r="K159" s="326" t="e">
        <f>VLOOKUP($A159,Master!$B$50:$N$232,6,FALSE)</f>
        <v>#N/A</v>
      </c>
      <c r="L159" s="327" t="e">
        <f t="shared" si="18"/>
        <v>#N/A</v>
      </c>
      <c r="M159" s="325"/>
    </row>
    <row r="160" spans="1:13" ht="13">
      <c r="A160" s="21" t="s">
        <v>787</v>
      </c>
      <c r="B160" s="61" t="s">
        <v>788</v>
      </c>
      <c r="C160" s="316" t="e">
        <f>VLOOKUP($A160,Master!$B$50:$N$232,8,FALSE)</f>
        <v>#N/A</v>
      </c>
      <c r="D160" s="316" t="e">
        <f>VLOOKUP($A160,Master!$B$50:$N$232,9,FALSE)</f>
        <v>#N/A</v>
      </c>
      <c r="E160" s="317" t="e">
        <f>VLOOKUP($A160,Master!$B$50:$N$232,11,FALSE)</f>
        <v>#N/A</v>
      </c>
      <c r="F160" s="318">
        <v>2</v>
      </c>
      <c r="G160" s="319" t="s">
        <v>97</v>
      </c>
      <c r="H160" s="320">
        <v>40500</v>
      </c>
      <c r="I160" s="321" t="b">
        <v>1</v>
      </c>
      <c r="J160" s="322">
        <v>2</v>
      </c>
      <c r="K160" s="326" t="e">
        <f>VLOOKUP($A160,Master!$B$50:$N$232,6,FALSE)</f>
        <v>#N/A</v>
      </c>
      <c r="L160" s="324">
        <v>44000</v>
      </c>
      <c r="M160" s="325" t="s">
        <v>1519</v>
      </c>
    </row>
    <row r="161" spans="1:13" ht="13">
      <c r="A161" s="21" t="s">
        <v>831</v>
      </c>
      <c r="B161" s="61" t="s">
        <v>832</v>
      </c>
      <c r="C161" s="316">
        <f>VLOOKUP($A161,Master!$B$50:$N$232,8,FALSE)</f>
        <v>1000</v>
      </c>
      <c r="D161" s="316" t="str">
        <f>VLOOKUP($A161,Master!$B$50:$N$232,9,FALSE)</f>
        <v>gr</v>
      </c>
      <c r="E161" s="317" t="str">
        <f>VLOOKUP($A161,Master!$B$50:$N$232,11,FALSE)</f>
        <v>PD Aroma Jaya</v>
      </c>
      <c r="F161" s="318">
        <v>1</v>
      </c>
      <c r="G161" s="319" t="s">
        <v>36</v>
      </c>
      <c r="H161" s="320">
        <v>19000</v>
      </c>
      <c r="I161" s="321" t="b">
        <v>1</v>
      </c>
      <c r="J161" s="322">
        <v>1</v>
      </c>
      <c r="K161" s="326">
        <f>VLOOKUP($A161,Master!$B$50:$N$232,6,FALSE)</f>
        <v>21250</v>
      </c>
      <c r="L161" s="327">
        <f t="shared" ref="L161:L164" si="19">J161*K161</f>
        <v>21250</v>
      </c>
      <c r="M161" s="325"/>
    </row>
    <row r="162" spans="1:13" ht="13">
      <c r="A162" s="21" t="s">
        <v>934</v>
      </c>
      <c r="B162" s="61" t="s">
        <v>935</v>
      </c>
      <c r="C162" s="316" t="e">
        <f>VLOOKUP($A162,Master!$B$50:$N$232,8,FALSE)</f>
        <v>#N/A</v>
      </c>
      <c r="D162" s="316" t="e">
        <f>VLOOKUP($A162,Master!$B$50:$N$232,9,FALSE)</f>
        <v>#N/A</v>
      </c>
      <c r="E162" s="317" t="e">
        <f>VLOOKUP($A162,Master!$B$50:$N$232,11,FALSE)</f>
        <v>#N/A</v>
      </c>
      <c r="F162" s="318">
        <v>2</v>
      </c>
      <c r="G162" s="319" t="s">
        <v>62</v>
      </c>
      <c r="H162" s="320">
        <v>15800</v>
      </c>
      <c r="I162" s="321" t="b">
        <v>1</v>
      </c>
      <c r="J162" s="322">
        <v>2</v>
      </c>
      <c r="K162" s="326" t="e">
        <f>VLOOKUP($A162,Master!$B$50:$N$232,6,FALSE)</f>
        <v>#N/A</v>
      </c>
      <c r="L162" s="327" t="e">
        <f t="shared" si="19"/>
        <v>#N/A</v>
      </c>
      <c r="M162" s="325"/>
    </row>
    <row r="163" spans="1:13" ht="13">
      <c r="A163" s="21" t="s">
        <v>982</v>
      </c>
      <c r="B163" s="61" t="s">
        <v>983</v>
      </c>
      <c r="C163" s="316">
        <f>VLOOKUP($A163,Master!$B$50:$N$232,8,FALSE)</f>
        <v>12</v>
      </c>
      <c r="D163" s="316" t="str">
        <f>VLOOKUP($A163,Master!$B$50:$N$232,9,FALSE)</f>
        <v>pcs</v>
      </c>
      <c r="E163" s="317" t="str">
        <f>VLOOKUP($A163,Master!$B$50:$N$232,11,FALSE)</f>
        <v>PD Aroma Jaya</v>
      </c>
      <c r="F163" s="318">
        <v>2</v>
      </c>
      <c r="G163" s="319" t="s">
        <v>62</v>
      </c>
      <c r="H163" s="320">
        <v>44000</v>
      </c>
      <c r="I163" s="321" t="b">
        <v>1</v>
      </c>
      <c r="J163" s="322">
        <v>2</v>
      </c>
      <c r="K163" s="326">
        <f>VLOOKUP($A163,Master!$B$50:$N$232,6,FALSE)</f>
        <v>18000</v>
      </c>
      <c r="L163" s="327">
        <f t="shared" si="19"/>
        <v>36000</v>
      </c>
      <c r="M163" s="325"/>
    </row>
    <row r="164" spans="1:13" ht="13">
      <c r="A164" s="21" t="s">
        <v>989</v>
      </c>
      <c r="B164" s="61" t="s">
        <v>990</v>
      </c>
      <c r="C164" s="316">
        <f>VLOOKUP($A164,Master!$B$50:$N$232,8,FALSE)</f>
        <v>5000</v>
      </c>
      <c r="D164" s="316" t="str">
        <f>VLOOKUP($A164,Master!$B$50:$N$232,9,FALSE)</f>
        <v>ml</v>
      </c>
      <c r="E164" s="317" t="str">
        <f>VLOOKUP($A164,Master!$B$50:$N$232,11,FALSE)</f>
        <v>Kurnia Mas</v>
      </c>
      <c r="F164" s="318">
        <v>1</v>
      </c>
      <c r="G164" s="319" t="s">
        <v>62</v>
      </c>
      <c r="H164" s="320">
        <v>19500</v>
      </c>
      <c r="I164" s="321" t="b">
        <v>1</v>
      </c>
      <c r="J164" s="322">
        <v>1</v>
      </c>
      <c r="K164" s="326">
        <f>VLOOKUP($A164,Master!$B$50:$N$232,6,FALSE)</f>
        <v>54500</v>
      </c>
      <c r="L164" s="327">
        <f t="shared" si="19"/>
        <v>54500</v>
      </c>
      <c r="M164" s="325"/>
    </row>
    <row r="165" spans="1:13" ht="13">
      <c r="A165" s="21" t="s">
        <v>1011</v>
      </c>
      <c r="B165" s="61" t="s">
        <v>1012</v>
      </c>
      <c r="C165" s="316">
        <f>VLOOKUP($A165,Master!$B$50:$N$232,8,FALSE)</f>
        <v>50</v>
      </c>
      <c r="D165" s="316" t="str">
        <f>VLOOKUP($A165,Master!$B$50:$N$232,9,FALSE)</f>
        <v>pcs</v>
      </c>
      <c r="E165" s="317" t="str">
        <f>VLOOKUP($A165,Master!$B$50:$N$232,11,FALSE)</f>
        <v>PD Aroma Jaya</v>
      </c>
      <c r="F165" s="318">
        <v>2</v>
      </c>
      <c r="G165" s="319" t="s">
        <v>62</v>
      </c>
      <c r="H165" s="320">
        <v>20000</v>
      </c>
      <c r="I165" s="321" t="b">
        <v>1</v>
      </c>
      <c r="J165" s="322">
        <v>2</v>
      </c>
      <c r="K165" s="326">
        <f>VLOOKUP($A165,Master!$B$50:$N$232,6,FALSE)</f>
        <v>10000</v>
      </c>
      <c r="L165" s="324">
        <v>14000</v>
      </c>
      <c r="M165" s="325"/>
    </row>
    <row r="166" spans="1:13" ht="13">
      <c r="A166" s="331" t="s">
        <v>1014</v>
      </c>
      <c r="B166" s="61" t="s">
        <v>1015</v>
      </c>
      <c r="C166" s="316">
        <f>VLOOKUP($A166,Master!$B$50:$N$232,8,FALSE)</f>
        <v>50</v>
      </c>
      <c r="D166" s="316" t="str">
        <f>VLOOKUP($A166,Master!$B$50:$N$232,9,FALSE)</f>
        <v>pcs</v>
      </c>
      <c r="E166" s="317" t="str">
        <f>VLOOKUP($A166,Master!$B$50:$N$232,11,FALSE)</f>
        <v>PD Aroma Jaya</v>
      </c>
      <c r="F166" s="318">
        <v>2</v>
      </c>
      <c r="G166" s="319" t="s">
        <v>62</v>
      </c>
      <c r="H166" s="320">
        <v>20000</v>
      </c>
      <c r="I166" s="321" t="b">
        <v>1</v>
      </c>
      <c r="J166" s="322">
        <v>2</v>
      </c>
      <c r="K166" s="326">
        <f>VLOOKUP($A166,Master!$B$50:$N$232,6,FALSE)</f>
        <v>10000</v>
      </c>
      <c r="L166" s="324">
        <v>18500</v>
      </c>
      <c r="M166" s="325"/>
    </row>
    <row r="167" spans="1:13" ht="13">
      <c r="A167" s="21" t="s">
        <v>1106</v>
      </c>
      <c r="B167" s="61" t="s">
        <v>1107</v>
      </c>
      <c r="C167" s="316" t="e">
        <f>VLOOKUP($A167,Master!$B$50:$N$232,8,FALSE)</f>
        <v>#N/A</v>
      </c>
      <c r="D167" s="316" t="e">
        <f>VLOOKUP($A167,Master!$B$50:$N$232,9,FALSE)</f>
        <v>#N/A</v>
      </c>
      <c r="E167" s="317" t="e">
        <f>VLOOKUP($A167,Master!$B$50:$N$232,11,FALSE)</f>
        <v>#N/A</v>
      </c>
      <c r="F167" s="318">
        <v>1</v>
      </c>
      <c r="G167" s="319" t="s">
        <v>62</v>
      </c>
      <c r="H167" s="320">
        <v>65000</v>
      </c>
      <c r="I167" s="321" t="b">
        <v>1</v>
      </c>
      <c r="J167" s="322">
        <v>1</v>
      </c>
      <c r="K167" s="323" t="e">
        <f>VLOOKUP($A167,Master!$B$50:$N$232,6,FALSE)</f>
        <v>#N/A</v>
      </c>
      <c r="L167" s="324" t="e">
        <f>J167*K167</f>
        <v>#N/A</v>
      </c>
      <c r="M167" s="325"/>
    </row>
    <row r="168" spans="1:13" ht="13">
      <c r="A168" s="4" t="s">
        <v>756</v>
      </c>
      <c r="B168" s="328" t="s">
        <v>757</v>
      </c>
      <c r="C168" s="316">
        <f>VLOOKUP($A168,Master!$B$50:$N$232,8,FALSE)</f>
        <v>700</v>
      </c>
      <c r="D168" s="316" t="str">
        <f>VLOOKUP($A168,Master!$B$50:$N$232,9,FALSE)</f>
        <v>gr</v>
      </c>
      <c r="E168" s="317" t="str">
        <f>VLOOKUP($A168,Master!$B$50:$N$232,11,FALSE)</f>
        <v>RSB, Dago</v>
      </c>
      <c r="F168" s="318">
        <v>1</v>
      </c>
      <c r="G168" s="319" t="s">
        <v>62</v>
      </c>
      <c r="H168" s="320">
        <v>35900</v>
      </c>
      <c r="I168" s="321" t="b">
        <v>1</v>
      </c>
      <c r="J168" s="322">
        <v>1</v>
      </c>
      <c r="K168" s="326">
        <f>VLOOKUP($A168,Master!$B$50:$N$232,6,FALSE)</f>
        <v>35900</v>
      </c>
      <c r="L168" s="324">
        <v>31000</v>
      </c>
      <c r="M168" s="325" t="s">
        <v>1499</v>
      </c>
    </row>
    <row r="169" spans="1:13" ht="13">
      <c r="A169" s="18" t="s">
        <v>779</v>
      </c>
      <c r="B169" s="328" t="s">
        <v>780</v>
      </c>
      <c r="C169" s="316" t="e">
        <f>VLOOKUP($A169,Master!$B$50:$N$232,8,FALSE)</f>
        <v>#N/A</v>
      </c>
      <c r="D169" s="316" t="e">
        <f>VLOOKUP($A169,Master!$B$50:$N$232,9,FALSE)</f>
        <v>#N/A</v>
      </c>
      <c r="E169" s="317" t="e">
        <f>VLOOKUP($A169,Master!$B$50:$N$232,11,FALSE)</f>
        <v>#N/A</v>
      </c>
      <c r="F169" s="318">
        <v>2</v>
      </c>
      <c r="G169" s="319" t="s">
        <v>62</v>
      </c>
      <c r="H169" s="320">
        <v>86000</v>
      </c>
      <c r="I169" s="321" t="b">
        <v>0</v>
      </c>
      <c r="J169" s="322"/>
      <c r="K169" s="326" t="e">
        <f>VLOOKUP($A169,Master!$B$50:$N$232,6,FALSE)</f>
        <v>#N/A</v>
      </c>
      <c r="L169" s="327" t="e">
        <f t="shared" ref="L169:L171" si="20">J169*K169</f>
        <v>#N/A</v>
      </c>
      <c r="M169" s="325"/>
    </row>
    <row r="170" spans="1:13" ht="13">
      <c r="A170" s="21" t="s">
        <v>998</v>
      </c>
      <c r="B170" s="61" t="s">
        <v>999</v>
      </c>
      <c r="C170" s="316">
        <f>VLOOKUP($A170,Master!$B$50:$N$232,8,FALSE)</f>
        <v>250</v>
      </c>
      <c r="D170" s="316" t="str">
        <f>VLOOKUP($A170,Master!$B$50:$N$232,9,FALSE)</f>
        <v>gr</v>
      </c>
      <c r="E170" s="317" t="str">
        <f>VLOOKUP($A170,Master!$B$50:$N$232,11,FALSE)</f>
        <v>Eden Farm</v>
      </c>
      <c r="F170" s="318">
        <v>2</v>
      </c>
      <c r="G170" s="319" t="s">
        <v>62</v>
      </c>
      <c r="H170" s="320">
        <v>6000</v>
      </c>
      <c r="I170" s="321" t="b">
        <v>1</v>
      </c>
      <c r="J170" s="322">
        <v>1</v>
      </c>
      <c r="K170" s="326">
        <f>VLOOKUP($A170,Master!$B$50:$N$232,6,FALSE)</f>
        <v>15000</v>
      </c>
      <c r="L170" s="327">
        <f t="shared" si="20"/>
        <v>15000</v>
      </c>
      <c r="M170" s="325"/>
    </row>
    <row r="171" spans="1:13" ht="13">
      <c r="A171" s="18" t="s">
        <v>847</v>
      </c>
      <c r="B171" s="328" t="s">
        <v>848</v>
      </c>
      <c r="C171" s="316">
        <f>VLOOKUP($A171,Master!$B$50:$N$232,8,FALSE)</f>
        <v>750</v>
      </c>
      <c r="D171" s="316" t="str">
        <f>VLOOKUP($A171,Master!$B$50:$N$232,9,FALSE)</f>
        <v>gr</v>
      </c>
      <c r="E171" s="317" t="str">
        <f>VLOOKUP($A171,Master!$B$50:$N$232,11,FALSE)</f>
        <v>Tokopedia</v>
      </c>
      <c r="F171" s="318">
        <v>5</v>
      </c>
      <c r="G171" s="319" t="s">
        <v>75</v>
      </c>
      <c r="H171" s="320">
        <v>254750</v>
      </c>
      <c r="I171" s="321" t="b">
        <v>1</v>
      </c>
      <c r="J171" s="322"/>
      <c r="K171" s="326">
        <f>VLOOKUP($A171,Master!$B$50:$N$232,6,FALSE)</f>
        <v>51250</v>
      </c>
      <c r="L171" s="327">
        <f t="shared" si="20"/>
        <v>0</v>
      </c>
      <c r="M171" s="325"/>
    </row>
    <row r="172" spans="1:13" ht="13">
      <c r="A172" s="21" t="s">
        <v>544</v>
      </c>
      <c r="B172" s="61" t="s">
        <v>545</v>
      </c>
      <c r="C172" s="316" t="e">
        <f>VLOOKUP($A172,Master!$B$50:$N$232,8,FALSE)</f>
        <v>#N/A</v>
      </c>
      <c r="D172" s="316" t="e">
        <f>VLOOKUP($A172,Master!$B$50:$N$232,9,FALSE)</f>
        <v>#N/A</v>
      </c>
      <c r="E172" s="317" t="e">
        <f>VLOOKUP($A172,Master!$B$50:$N$232,11,FALSE)</f>
        <v>#N/A</v>
      </c>
      <c r="F172" s="318">
        <v>2</v>
      </c>
      <c r="G172" s="319" t="s">
        <v>62</v>
      </c>
      <c r="H172" s="320">
        <v>51300</v>
      </c>
      <c r="I172" s="321" t="b">
        <v>1</v>
      </c>
      <c r="J172" s="322">
        <v>2</v>
      </c>
      <c r="K172" s="326" t="e">
        <f>VLOOKUP($A172,Master!$B$50:$N$232,6,FALSE)</f>
        <v>#N/A</v>
      </c>
      <c r="L172" s="324">
        <v>34371</v>
      </c>
      <c r="M172" s="325"/>
    </row>
    <row r="173" spans="1:13" ht="13">
      <c r="A173" s="21" t="s">
        <v>570</v>
      </c>
      <c r="B173" s="61" t="s">
        <v>571</v>
      </c>
      <c r="C173" s="316" t="e">
        <f>VLOOKUP($A173,Master!$B$50:$N$232,8,FALSE)</f>
        <v>#N/A</v>
      </c>
      <c r="D173" s="316" t="e">
        <f>VLOOKUP($A173,Master!$B$50:$N$232,9,FALSE)</f>
        <v>#N/A</v>
      </c>
      <c r="E173" s="317" t="e">
        <f>VLOOKUP($A173,Master!$B$50:$N$232,11,FALSE)</f>
        <v>#N/A</v>
      </c>
      <c r="F173" s="318">
        <v>1</v>
      </c>
      <c r="G173" s="319" t="s">
        <v>62</v>
      </c>
      <c r="H173" s="320">
        <v>148500</v>
      </c>
      <c r="I173" s="321" t="b">
        <v>1</v>
      </c>
      <c r="J173" s="322">
        <v>1</v>
      </c>
      <c r="K173" s="326" t="e">
        <f>VLOOKUP($A173,Master!$B$50:$N$232,6,FALSE)</f>
        <v>#N/A</v>
      </c>
      <c r="L173" s="327" t="e">
        <f>J173*K173</f>
        <v>#N/A</v>
      </c>
      <c r="M173" s="325" t="s">
        <v>1511</v>
      </c>
    </row>
    <row r="174" spans="1:13" ht="13">
      <c r="A174" s="21" t="s">
        <v>995</v>
      </c>
      <c r="B174" s="61" t="s">
        <v>996</v>
      </c>
      <c r="C174" s="316" t="e">
        <f>VLOOKUP($A174,Master!$B$50:$N$232,8,FALSE)</f>
        <v>#N/A</v>
      </c>
      <c r="D174" s="316" t="e">
        <f>VLOOKUP($A174,Master!$B$50:$N$232,9,FALSE)</f>
        <v>#N/A</v>
      </c>
      <c r="E174" s="317" t="e">
        <f>VLOOKUP($A174,Master!$B$50:$N$232,11,FALSE)</f>
        <v>#N/A</v>
      </c>
      <c r="F174" s="318">
        <v>1</v>
      </c>
      <c r="G174" s="319" t="s">
        <v>143</v>
      </c>
      <c r="H174" s="320">
        <v>385740</v>
      </c>
      <c r="I174" s="321" t="b">
        <v>1</v>
      </c>
      <c r="J174" s="322">
        <v>1</v>
      </c>
      <c r="K174" s="326" t="e">
        <f>VLOOKUP($A174,Master!$B$50:$N$232,6,FALSE)</f>
        <v>#N/A</v>
      </c>
      <c r="L174" s="324">
        <v>347513</v>
      </c>
      <c r="M174" s="325" t="s">
        <v>1511</v>
      </c>
    </row>
    <row r="176" spans="1:13" ht="13">
      <c r="F176" s="427">
        <v>44816</v>
      </c>
      <c r="G176" s="428"/>
      <c r="H176" s="424"/>
      <c r="J176" s="429">
        <f>F176+1</f>
        <v>44817</v>
      </c>
      <c r="K176" s="428"/>
      <c r="L176" s="424"/>
    </row>
    <row r="177" spans="1:13" ht="13">
      <c r="F177" s="425" t="s">
        <v>1490</v>
      </c>
      <c r="G177" s="426"/>
      <c r="H177" s="304">
        <f>SUM(H179:H207)</f>
        <v>1963058</v>
      </c>
      <c r="J177" s="425" t="s">
        <v>1491</v>
      </c>
      <c r="K177" s="426"/>
      <c r="L177" s="304" t="e">
        <f>SUM(L179:L207)</f>
        <v>#N/A</v>
      </c>
    </row>
    <row r="178" spans="1:13" ht="13">
      <c r="A178" s="2" t="s">
        <v>4</v>
      </c>
      <c r="B178" s="305" t="s">
        <v>5</v>
      </c>
      <c r="C178" s="305" t="s">
        <v>1492</v>
      </c>
      <c r="D178" s="305" t="s">
        <v>12</v>
      </c>
      <c r="E178" s="306" t="s">
        <v>1493</v>
      </c>
      <c r="F178" s="307" t="s">
        <v>1494</v>
      </c>
      <c r="G178" s="308" t="s">
        <v>10</v>
      </c>
      <c r="H178" s="309" t="s">
        <v>1495</v>
      </c>
      <c r="I178" s="310" t="s">
        <v>1289</v>
      </c>
      <c r="J178" s="311" t="s">
        <v>1496</v>
      </c>
      <c r="K178" s="312" t="s">
        <v>1497</v>
      </c>
      <c r="L178" s="313" t="s">
        <v>1498</v>
      </c>
      <c r="M178" s="314" t="s">
        <v>16</v>
      </c>
    </row>
    <row r="179" spans="1:13" ht="13">
      <c r="A179" s="21" t="s">
        <v>631</v>
      </c>
      <c r="B179" s="61" t="s">
        <v>632</v>
      </c>
      <c r="C179" s="316">
        <f>VLOOKUP($A179,Master!$B$50:$N$232,8,FALSE)</f>
        <v>1000</v>
      </c>
      <c r="D179" s="316" t="str">
        <f>VLOOKUP($A179,Master!$B$50:$N$232,9,FALSE)</f>
        <v>gr</v>
      </c>
      <c r="E179" s="317" t="str">
        <f>VLOOKUP($A179,Master!$B$50:$N$232,11,FALSE)</f>
        <v>Borma</v>
      </c>
      <c r="F179" s="318">
        <v>1</v>
      </c>
      <c r="G179" s="319" t="s">
        <v>36</v>
      </c>
      <c r="H179" s="320">
        <v>16000</v>
      </c>
      <c r="I179" s="321" t="b">
        <v>1</v>
      </c>
      <c r="J179" s="322">
        <v>1</v>
      </c>
      <c r="K179" s="326">
        <f>VLOOKUP($A179,Master!$B$50:$N$232,6,FALSE)</f>
        <v>18000</v>
      </c>
      <c r="L179" s="324">
        <v>15000</v>
      </c>
      <c r="M179" s="325" t="s">
        <v>1520</v>
      </c>
    </row>
    <row r="180" spans="1:13" ht="13">
      <c r="A180" s="21" t="s">
        <v>770</v>
      </c>
      <c r="B180" s="61" t="s">
        <v>771</v>
      </c>
      <c r="C180" s="316" t="e">
        <f>VLOOKUP($A180,Master!$B$50:$N$232,8,FALSE)</f>
        <v>#N/A</v>
      </c>
      <c r="D180" s="316" t="e">
        <f>VLOOKUP($A180,Master!$B$50:$N$232,9,FALSE)</f>
        <v>#N/A</v>
      </c>
      <c r="E180" s="317" t="e">
        <f>VLOOKUP($A180,Master!$B$50:$N$232,11,FALSE)</f>
        <v>#N/A</v>
      </c>
      <c r="F180" s="318">
        <v>1</v>
      </c>
      <c r="G180" s="319" t="s">
        <v>97</v>
      </c>
      <c r="H180" s="320">
        <v>27950</v>
      </c>
      <c r="I180" s="321" t="b">
        <v>1</v>
      </c>
      <c r="J180" s="322">
        <v>1</v>
      </c>
      <c r="K180" s="326" t="e">
        <f>VLOOKUP($A180,Master!$B$50:$N$232,6,FALSE)</f>
        <v>#N/A</v>
      </c>
      <c r="L180" s="324">
        <v>26000</v>
      </c>
      <c r="M180" s="325" t="s">
        <v>1499</v>
      </c>
    </row>
    <row r="181" spans="1:13" ht="13">
      <c r="A181" s="21" t="s">
        <v>949</v>
      </c>
      <c r="B181" s="61" t="s">
        <v>950</v>
      </c>
      <c r="C181" s="316" t="e">
        <f>VLOOKUP($A181,Master!$B$50:$N$232,8,FALSE)</f>
        <v>#N/A</v>
      </c>
      <c r="D181" s="316" t="e">
        <f>VLOOKUP($A181,Master!$B$50:$N$232,9,FALSE)</f>
        <v>#N/A</v>
      </c>
      <c r="E181" s="317" t="e">
        <f>VLOOKUP($A181,Master!$B$50:$N$232,11,FALSE)</f>
        <v>#N/A</v>
      </c>
      <c r="F181" s="318">
        <v>1</v>
      </c>
      <c r="G181" s="319" t="s">
        <v>97</v>
      </c>
      <c r="H181" s="320">
        <v>27000</v>
      </c>
      <c r="I181" s="321" t="b">
        <v>1</v>
      </c>
      <c r="J181" s="322">
        <v>1</v>
      </c>
      <c r="K181" s="326" t="e">
        <f>VLOOKUP($A181,Master!$B$50:$N$232,6,FALSE)</f>
        <v>#N/A</v>
      </c>
      <c r="L181" s="327" t="e">
        <f>J181*K181</f>
        <v>#N/A</v>
      </c>
      <c r="M181" s="325"/>
    </row>
    <row r="182" spans="1:13" ht="13">
      <c r="A182" s="21" t="s">
        <v>987</v>
      </c>
      <c r="B182" s="61" t="s">
        <v>988</v>
      </c>
      <c r="C182" s="316">
        <f>VLOOKUP($A182,Master!$B$50:$N$232,8,FALSE)</f>
        <v>1700</v>
      </c>
      <c r="D182" s="316" t="str">
        <f>VLOOKUP($A182,Master!$B$50:$N$232,9,FALSE)</f>
        <v>gr</v>
      </c>
      <c r="E182" s="317" t="str">
        <f>VLOOKUP($A182,Master!$B$50:$N$232,11,FALSE)</f>
        <v>Borma</v>
      </c>
      <c r="F182" s="318">
        <v>2</v>
      </c>
      <c r="G182" s="319" t="s">
        <v>62</v>
      </c>
      <c r="H182" s="320">
        <v>35800</v>
      </c>
      <c r="I182" s="321" t="b">
        <v>1</v>
      </c>
      <c r="J182" s="322">
        <v>1</v>
      </c>
      <c r="K182" s="326">
        <f>VLOOKUP($A182,Master!$B$50:$N$232,6,FALSE)</f>
        <v>30938</v>
      </c>
      <c r="L182" s="324">
        <v>31928</v>
      </c>
      <c r="M182" s="325" t="s">
        <v>1521</v>
      </c>
    </row>
    <row r="183" spans="1:13" ht="13">
      <c r="A183" s="21" t="s">
        <v>851</v>
      </c>
      <c r="B183" s="61" t="s">
        <v>852</v>
      </c>
      <c r="C183" s="316" t="e">
        <f>VLOOKUP($A183,Master!$B$50:$N$232,8,FALSE)</f>
        <v>#N/A</v>
      </c>
      <c r="D183" s="316" t="e">
        <f>VLOOKUP($A183,Master!$B$50:$N$232,9,FALSE)</f>
        <v>#N/A</v>
      </c>
      <c r="E183" s="317" t="e">
        <f>VLOOKUP($A183,Master!$B$50:$N$232,11,FALSE)</f>
        <v>#N/A</v>
      </c>
      <c r="F183" s="318">
        <v>3</v>
      </c>
      <c r="G183" s="319" t="s">
        <v>143</v>
      </c>
      <c r="H183" s="320">
        <v>91200</v>
      </c>
      <c r="I183" s="321" t="b">
        <v>1</v>
      </c>
      <c r="J183" s="322">
        <v>3</v>
      </c>
      <c r="K183" s="326" t="e">
        <f>VLOOKUP($A183,Master!$B$50:$N$232,6,FALSE)</f>
        <v>#N/A</v>
      </c>
      <c r="L183" s="327" t="e">
        <f>J183*K183</f>
        <v>#N/A</v>
      </c>
      <c r="M183" s="325" t="s">
        <v>1522</v>
      </c>
    </row>
    <row r="184" spans="1:13" ht="13">
      <c r="A184" s="21" t="s">
        <v>827</v>
      </c>
      <c r="B184" s="61" t="s">
        <v>828</v>
      </c>
      <c r="C184" s="316">
        <f>VLOOKUP($A184,Master!$B$50:$N$232,8,FALSE)</f>
        <v>1000</v>
      </c>
      <c r="D184" s="316" t="str">
        <f>VLOOKUP($A184,Master!$B$50:$N$232,9,FALSE)</f>
        <v>gr</v>
      </c>
      <c r="E184" s="317" t="str">
        <f>VLOOKUP($A184,Master!$B$50:$N$232,11,FALSE)</f>
        <v>Eden Farm</v>
      </c>
      <c r="F184" s="318">
        <v>0.25</v>
      </c>
      <c r="G184" s="319" t="s">
        <v>36</v>
      </c>
      <c r="H184" s="320">
        <v>8800</v>
      </c>
      <c r="I184" s="321" t="b">
        <v>1</v>
      </c>
      <c r="J184" s="322">
        <v>0.25</v>
      </c>
      <c r="K184" s="326">
        <f>VLOOKUP($A184,Master!$B$50:$N$232,6,FALSE)</f>
        <v>12000</v>
      </c>
      <c r="L184" s="324">
        <v>4000</v>
      </c>
      <c r="M184" s="325" t="s">
        <v>1520</v>
      </c>
    </row>
    <row r="185" spans="1:13" ht="13">
      <c r="A185" s="21" t="s">
        <v>1020</v>
      </c>
      <c r="B185" s="61" t="s">
        <v>1021</v>
      </c>
      <c r="C185" s="316">
        <f>VLOOKUP($A185,Master!$B$50:$N$232,8,FALSE)</f>
        <v>1000</v>
      </c>
      <c r="D185" s="316" t="str">
        <f>VLOOKUP($A185,Master!$B$50:$N$232,9,FALSE)</f>
        <v>gr</v>
      </c>
      <c r="E185" s="317" t="str">
        <f>VLOOKUP($A185,Master!$B$50:$N$232,11,FALSE)</f>
        <v>Eden Farm</v>
      </c>
      <c r="F185" s="318">
        <v>0.5</v>
      </c>
      <c r="G185" s="319" t="s">
        <v>36</v>
      </c>
      <c r="H185" s="320">
        <v>21800</v>
      </c>
      <c r="I185" s="321" t="b">
        <v>1</v>
      </c>
      <c r="J185" s="322">
        <v>0.5</v>
      </c>
      <c r="K185" s="326">
        <f>VLOOKUP($A185,Master!$B$50:$N$232,6,FALSE)</f>
        <v>24000</v>
      </c>
      <c r="L185" s="324">
        <v>10000</v>
      </c>
      <c r="M185" s="325" t="s">
        <v>1520</v>
      </c>
    </row>
    <row r="186" spans="1:13" ht="13">
      <c r="A186" s="18" t="s">
        <v>1054</v>
      </c>
      <c r="B186" s="328" t="s">
        <v>1055</v>
      </c>
      <c r="C186" s="316" t="e">
        <f>VLOOKUP($A186,Master!$B$50:$N$232,8,FALSE)</f>
        <v>#N/A</v>
      </c>
      <c r="D186" s="316" t="e">
        <f>VLOOKUP($A186,Master!$B$50:$N$232,9,FALSE)</f>
        <v>#N/A</v>
      </c>
      <c r="E186" s="317" t="e">
        <f>VLOOKUP($A186,Master!$B$50:$N$232,11,FALSE)</f>
        <v>#N/A</v>
      </c>
      <c r="F186" s="318">
        <v>2</v>
      </c>
      <c r="G186" s="319" t="s">
        <v>36</v>
      </c>
      <c r="H186" s="320">
        <v>350000</v>
      </c>
      <c r="I186" s="321" t="b">
        <v>1</v>
      </c>
      <c r="J186" s="322">
        <v>2</v>
      </c>
      <c r="K186" s="323" t="e">
        <f>VLOOKUP($A186,Master!$B$50:$N$232,6,FALSE)</f>
        <v>#N/A</v>
      </c>
      <c r="L186" s="324" t="e">
        <f>J186*K186</f>
        <v>#N/A</v>
      </c>
      <c r="M186" s="325" t="s">
        <v>1523</v>
      </c>
    </row>
    <row r="187" spans="1:13" ht="13">
      <c r="A187" s="21" t="s">
        <v>989</v>
      </c>
      <c r="B187" s="61" t="s">
        <v>990</v>
      </c>
      <c r="C187" s="316">
        <f>VLOOKUP($A187,Master!$B$50:$N$232,8,FALSE)</f>
        <v>5000</v>
      </c>
      <c r="D187" s="316" t="str">
        <f>VLOOKUP($A187,Master!$B$50:$N$232,9,FALSE)</f>
        <v>ml</v>
      </c>
      <c r="E187" s="317" t="str">
        <f>VLOOKUP($A187,Master!$B$50:$N$232,11,FALSE)</f>
        <v>Kurnia Mas</v>
      </c>
      <c r="F187" s="318">
        <v>1</v>
      </c>
      <c r="G187" s="319" t="s">
        <v>62</v>
      </c>
      <c r="H187" s="320">
        <v>19500</v>
      </c>
      <c r="I187" s="321" t="b">
        <v>1</v>
      </c>
      <c r="J187" s="322">
        <v>1</v>
      </c>
      <c r="K187" s="326">
        <f>VLOOKUP($A187,Master!$B$50:$N$232,6,FALSE)</f>
        <v>54500</v>
      </c>
      <c r="L187" s="324">
        <v>16000</v>
      </c>
      <c r="M187" s="325" t="s">
        <v>1524</v>
      </c>
    </row>
    <row r="188" spans="1:13" ht="13">
      <c r="A188" s="22" t="s">
        <v>675</v>
      </c>
      <c r="B188" s="330" t="s">
        <v>676</v>
      </c>
      <c r="C188" s="316">
        <f>VLOOKUP($A188,Master!$B$50:$N$232,8,FALSE)</f>
        <v>20</v>
      </c>
      <c r="D188" s="316" t="str">
        <f>VLOOKUP($A188,Master!$B$50:$N$232,9,FALSE)</f>
        <v>unit</v>
      </c>
      <c r="E188" s="317" t="str">
        <f>VLOOKUP($A188,Master!$B$50:$N$232,11,FALSE)</f>
        <v>RSB, Dago</v>
      </c>
      <c r="F188" s="318">
        <v>5</v>
      </c>
      <c r="G188" s="319" t="s">
        <v>62</v>
      </c>
      <c r="H188" s="320">
        <v>30000</v>
      </c>
      <c r="I188" s="321" t="b">
        <v>1</v>
      </c>
      <c r="J188" s="322">
        <v>5</v>
      </c>
      <c r="K188" s="326">
        <f>VLOOKUP($A188,Master!$B$50:$N$232,6,FALSE)</f>
        <v>13500</v>
      </c>
      <c r="L188" s="327">
        <f>J188*K188</f>
        <v>67500</v>
      </c>
      <c r="M188" s="325"/>
    </row>
    <row r="189" spans="1:13" ht="13">
      <c r="A189" s="22" t="s">
        <v>881</v>
      </c>
      <c r="B189" s="330" t="s">
        <v>882</v>
      </c>
      <c r="C189" s="316">
        <f>VLOOKUP($A189,Master!$B$50:$N$232,8,FALSE)</f>
        <v>1000</v>
      </c>
      <c r="D189" s="316" t="str">
        <f>VLOOKUP($A189,Master!$B$50:$N$232,9,FALSE)</f>
        <v>gr</v>
      </c>
      <c r="E189" s="317" t="str">
        <f>VLOOKUP($A189,Master!$B$50:$N$232,11,FALSE)</f>
        <v>Pasar Cihapit</v>
      </c>
      <c r="F189" s="318">
        <v>0.25</v>
      </c>
      <c r="G189" s="319" t="s">
        <v>36</v>
      </c>
      <c r="H189" s="320">
        <v>69000</v>
      </c>
      <c r="I189" s="321" t="b">
        <v>1</v>
      </c>
      <c r="J189" s="322">
        <v>0.25</v>
      </c>
      <c r="K189" s="326">
        <f>VLOOKUP($A189,Master!$B$50:$N$232,6,FALSE)</f>
        <v>69000</v>
      </c>
      <c r="L189" s="324">
        <v>15360</v>
      </c>
      <c r="M189" s="325" t="s">
        <v>1500</v>
      </c>
    </row>
    <row r="190" spans="1:13" ht="13">
      <c r="A190" s="21" t="s">
        <v>528</v>
      </c>
      <c r="B190" s="61" t="s">
        <v>529</v>
      </c>
      <c r="C190" s="316" t="e">
        <f>VLOOKUP($A190,Master!$B$50:$N$232,8,FALSE)</f>
        <v>#N/A</v>
      </c>
      <c r="D190" s="316" t="e">
        <f>VLOOKUP($A190,Master!$B$50:$N$232,9,FALSE)</f>
        <v>#N/A</v>
      </c>
      <c r="E190" s="317" t="e">
        <f>VLOOKUP($A190,Master!$B$50:$N$232,11,FALSE)</f>
        <v>#N/A</v>
      </c>
      <c r="F190" s="318">
        <v>2</v>
      </c>
      <c r="G190" s="319" t="s">
        <v>50</v>
      </c>
      <c r="H190" s="320">
        <v>32000</v>
      </c>
      <c r="I190" s="321" t="b">
        <v>1</v>
      </c>
      <c r="J190" s="322">
        <v>2</v>
      </c>
      <c r="K190" s="326" t="e">
        <f>VLOOKUP($A190,Master!$B$50:$N$232,6,FALSE)</f>
        <v>#N/A</v>
      </c>
      <c r="L190" s="327" t="e">
        <f t="shared" ref="L190:L191" si="21">J190*K190</f>
        <v>#N/A</v>
      </c>
      <c r="M190" s="325"/>
    </row>
    <row r="191" spans="1:13" ht="13">
      <c r="A191" s="21" t="s">
        <v>635</v>
      </c>
      <c r="B191" s="61" t="s">
        <v>636</v>
      </c>
      <c r="C191" s="316" t="e">
        <f>VLOOKUP($A191,Master!$B$50:$N$232,8,FALSE)</f>
        <v>#N/A</v>
      </c>
      <c r="D191" s="316" t="e">
        <f>VLOOKUP($A191,Master!$B$50:$N$232,9,FALSE)</f>
        <v>#N/A</v>
      </c>
      <c r="E191" s="317" t="e">
        <f>VLOOKUP($A191,Master!$B$50:$N$232,11,FALSE)</f>
        <v>#N/A</v>
      </c>
      <c r="F191" s="318">
        <v>4</v>
      </c>
      <c r="G191" s="319" t="s">
        <v>50</v>
      </c>
      <c r="H191" s="320">
        <v>44000</v>
      </c>
      <c r="I191" s="321" t="b">
        <v>1</v>
      </c>
      <c r="J191" s="322">
        <v>4</v>
      </c>
      <c r="K191" s="326" t="e">
        <f>VLOOKUP($A191,Master!$B$50:$N$232,6,FALSE)</f>
        <v>#N/A</v>
      </c>
      <c r="L191" s="327" t="e">
        <f t="shared" si="21"/>
        <v>#N/A</v>
      </c>
      <c r="M191" s="325"/>
    </row>
    <row r="192" spans="1:13" ht="13">
      <c r="A192" s="21" t="s">
        <v>684</v>
      </c>
      <c r="B192" s="61" t="s">
        <v>685</v>
      </c>
      <c r="C192" s="316" t="e">
        <f>VLOOKUP($A192,Master!$B$50:$N$232,8,FALSE)</f>
        <v>#N/A</v>
      </c>
      <c r="D192" s="316" t="e">
        <f>VLOOKUP($A192,Master!$B$50:$N$232,9,FALSE)</f>
        <v>#N/A</v>
      </c>
      <c r="E192" s="317" t="e">
        <f>VLOOKUP($A192,Master!$B$50:$N$232,11,FALSE)</f>
        <v>#N/A</v>
      </c>
      <c r="F192" s="318">
        <v>2</v>
      </c>
      <c r="G192" s="319" t="s">
        <v>97</v>
      </c>
      <c r="H192" s="320">
        <v>60000</v>
      </c>
      <c r="I192" s="321" t="b">
        <v>1</v>
      </c>
      <c r="J192" s="322">
        <v>2</v>
      </c>
      <c r="K192" s="326" t="e">
        <f>VLOOKUP($A192,Master!$B$50:$N$232,6,FALSE)</f>
        <v>#N/A</v>
      </c>
      <c r="L192" s="324">
        <v>136000</v>
      </c>
      <c r="M192" s="325" t="s">
        <v>1525</v>
      </c>
    </row>
    <row r="193" spans="1:13" ht="13">
      <c r="A193" s="21" t="s">
        <v>752</v>
      </c>
      <c r="B193" s="61" t="s">
        <v>753</v>
      </c>
      <c r="C193" s="316" t="e">
        <f>VLOOKUP($A193,Master!$B$50:$N$232,8,FALSE)</f>
        <v>#N/A</v>
      </c>
      <c r="D193" s="316" t="e">
        <f>VLOOKUP($A193,Master!$B$50:$N$232,9,FALSE)</f>
        <v>#N/A</v>
      </c>
      <c r="E193" s="317" t="e">
        <f>VLOOKUP($A193,Master!$B$50:$N$232,11,FALSE)</f>
        <v>#N/A</v>
      </c>
      <c r="F193" s="318">
        <v>1</v>
      </c>
      <c r="G193" s="319" t="s">
        <v>62</v>
      </c>
      <c r="H193" s="320">
        <v>38000</v>
      </c>
      <c r="I193" s="321" t="b">
        <v>1</v>
      </c>
      <c r="J193" s="322">
        <v>1</v>
      </c>
      <c r="K193" s="326" t="e">
        <f>VLOOKUP($A193,Master!$B$50:$N$232,6,FALSE)</f>
        <v>#N/A</v>
      </c>
      <c r="L193" s="327" t="e">
        <f>J193*K193</f>
        <v>#N/A</v>
      </c>
      <c r="M193" s="325"/>
    </row>
    <row r="194" spans="1:13" ht="13">
      <c r="A194" s="21" t="s">
        <v>767</v>
      </c>
      <c r="B194" s="61" t="s">
        <v>768</v>
      </c>
      <c r="C194" s="316" t="e">
        <f>VLOOKUP($A194,Master!$B$50:$N$232,8,FALSE)</f>
        <v>#N/A</v>
      </c>
      <c r="D194" s="316" t="e">
        <f>VLOOKUP($A194,Master!$B$50:$N$232,9,FALSE)</f>
        <v>#N/A</v>
      </c>
      <c r="E194" s="317" t="e">
        <f>VLOOKUP($A194,Master!$B$50:$N$232,11,FALSE)</f>
        <v>#N/A</v>
      </c>
      <c r="F194" s="318">
        <v>1</v>
      </c>
      <c r="G194" s="319" t="s">
        <v>62</v>
      </c>
      <c r="H194" s="320">
        <v>19500</v>
      </c>
      <c r="I194" s="321" t="b">
        <v>1</v>
      </c>
      <c r="J194" s="322">
        <v>1</v>
      </c>
      <c r="K194" s="326" t="e">
        <f>VLOOKUP($A194,Master!$B$50:$N$232,6,FALSE)</f>
        <v>#N/A</v>
      </c>
      <c r="L194" s="324">
        <v>19250</v>
      </c>
      <c r="M194" s="325"/>
    </row>
    <row r="195" spans="1:13" ht="13">
      <c r="A195" s="21" t="s">
        <v>773</v>
      </c>
      <c r="B195" s="61" t="s">
        <v>774</v>
      </c>
      <c r="C195" s="316" t="e">
        <f>VLOOKUP($A195,Master!$B$50:$N$232,8,FALSE)</f>
        <v>#N/A</v>
      </c>
      <c r="D195" s="316" t="e">
        <f>VLOOKUP($A195,Master!$B$50:$N$232,9,FALSE)</f>
        <v>#N/A</v>
      </c>
      <c r="E195" s="317" t="e">
        <f>VLOOKUP($A195,Master!$B$50:$N$232,11,FALSE)</f>
        <v>#N/A</v>
      </c>
      <c r="F195" s="318">
        <v>2</v>
      </c>
      <c r="G195" s="319" t="s">
        <v>62</v>
      </c>
      <c r="H195" s="320">
        <v>28000</v>
      </c>
      <c r="I195" s="321" t="b">
        <v>1</v>
      </c>
      <c r="J195" s="322">
        <v>2</v>
      </c>
      <c r="K195" s="326" t="e">
        <f>VLOOKUP($A195,Master!$B$50:$N$232,6,FALSE)</f>
        <v>#N/A</v>
      </c>
      <c r="L195" s="327" t="e">
        <f>J195*K195</f>
        <v>#N/A</v>
      </c>
      <c r="M195" s="325"/>
    </row>
    <row r="196" spans="1:13" ht="13">
      <c r="A196" s="21" t="s">
        <v>787</v>
      </c>
      <c r="B196" s="61" t="s">
        <v>788</v>
      </c>
      <c r="C196" s="316" t="e">
        <f>VLOOKUP($A196,Master!$B$50:$N$232,8,FALSE)</f>
        <v>#N/A</v>
      </c>
      <c r="D196" s="316" t="e">
        <f>VLOOKUP($A196,Master!$B$50:$N$232,9,FALSE)</f>
        <v>#N/A</v>
      </c>
      <c r="E196" s="317" t="e">
        <f>VLOOKUP($A196,Master!$B$50:$N$232,11,FALSE)</f>
        <v>#N/A</v>
      </c>
      <c r="F196" s="318">
        <v>1</v>
      </c>
      <c r="G196" s="319" t="s">
        <v>97</v>
      </c>
      <c r="H196" s="320">
        <v>20250</v>
      </c>
      <c r="I196" s="321" t="b">
        <v>1</v>
      </c>
      <c r="J196" s="322">
        <v>1</v>
      </c>
      <c r="K196" s="326" t="e">
        <f>VLOOKUP($A196,Master!$B$50:$N$232,6,FALSE)</f>
        <v>#N/A</v>
      </c>
      <c r="L196" s="324">
        <v>22000</v>
      </c>
      <c r="M196" s="325" t="s">
        <v>1526</v>
      </c>
    </row>
    <row r="197" spans="1:13" ht="13">
      <c r="A197" s="21" t="s">
        <v>943</v>
      </c>
      <c r="B197" s="61" t="s">
        <v>944</v>
      </c>
      <c r="C197" s="316" t="e">
        <f>VLOOKUP($A197,Master!$B$50:$N$232,8,FALSE)</f>
        <v>#N/A</v>
      </c>
      <c r="D197" s="316" t="e">
        <f>VLOOKUP($A197,Master!$B$50:$N$232,9,FALSE)</f>
        <v>#N/A</v>
      </c>
      <c r="E197" s="317" t="e">
        <f>VLOOKUP($A197,Master!$B$50:$N$232,11,FALSE)</f>
        <v>#N/A</v>
      </c>
      <c r="F197" s="318">
        <v>1</v>
      </c>
      <c r="G197" s="319" t="s">
        <v>62</v>
      </c>
      <c r="H197" s="320">
        <v>7900</v>
      </c>
      <c r="I197" s="321" t="b">
        <v>1</v>
      </c>
      <c r="J197" s="322">
        <v>1</v>
      </c>
      <c r="K197" s="326" t="e">
        <f>VLOOKUP($A197,Master!$B$50:$N$232,6,FALSE)</f>
        <v>#N/A</v>
      </c>
      <c r="L197" s="327" t="e">
        <f>J197*K197</f>
        <v>#N/A</v>
      </c>
      <c r="M197" s="325"/>
    </row>
    <row r="198" spans="1:13" ht="13">
      <c r="A198" s="331" t="s">
        <v>1014</v>
      </c>
      <c r="B198" s="61" t="s">
        <v>1015</v>
      </c>
      <c r="C198" s="316">
        <f>VLOOKUP($A198,Master!$B$50:$N$232,8,FALSE)</f>
        <v>50</v>
      </c>
      <c r="D198" s="316" t="str">
        <f>VLOOKUP($A198,Master!$B$50:$N$232,9,FALSE)</f>
        <v>pcs</v>
      </c>
      <c r="E198" s="317" t="str">
        <f>VLOOKUP($A198,Master!$B$50:$N$232,11,FALSE)</f>
        <v>PD Aroma Jaya</v>
      </c>
      <c r="F198" s="318">
        <v>1</v>
      </c>
      <c r="G198" s="319" t="s">
        <v>62</v>
      </c>
      <c r="H198" s="320">
        <v>10000</v>
      </c>
      <c r="I198" s="321" t="b">
        <v>1</v>
      </c>
      <c r="J198" s="322">
        <v>1</v>
      </c>
      <c r="K198" s="326">
        <f>VLOOKUP($A198,Master!$B$50:$N$232,6,FALSE)</f>
        <v>10000</v>
      </c>
      <c r="L198" s="324">
        <v>9250</v>
      </c>
      <c r="M198" s="325"/>
    </row>
    <row r="199" spans="1:13" ht="13">
      <c r="A199" s="21" t="s">
        <v>623</v>
      </c>
      <c r="B199" s="61" t="s">
        <v>624</v>
      </c>
      <c r="C199" s="316" t="e">
        <f>VLOOKUP($A199,Master!$B$50:$N$232,8,FALSE)</f>
        <v>#N/A</v>
      </c>
      <c r="D199" s="316" t="e">
        <f>VLOOKUP($A199,Master!$B$50:$N$232,9,FALSE)</f>
        <v>#N/A</v>
      </c>
      <c r="E199" s="317" t="e">
        <f>VLOOKUP($A199,Master!$B$50:$N$232,11,FALSE)</f>
        <v>#N/A</v>
      </c>
      <c r="F199" s="318">
        <v>2</v>
      </c>
      <c r="G199" s="319" t="s">
        <v>143</v>
      </c>
      <c r="H199" s="320">
        <v>363858</v>
      </c>
      <c r="I199" s="321" t="b">
        <v>1</v>
      </c>
      <c r="J199" s="322">
        <v>2</v>
      </c>
      <c r="K199" s="323">
        <f>381174/2</f>
        <v>190587</v>
      </c>
      <c r="L199" s="324">
        <f>J199*K199</f>
        <v>381174</v>
      </c>
      <c r="M199" s="325"/>
    </row>
    <row r="200" spans="1:13" ht="13">
      <c r="A200" s="18" t="s">
        <v>776</v>
      </c>
      <c r="B200" s="328" t="s">
        <v>777</v>
      </c>
      <c r="C200" s="316" t="e">
        <f>VLOOKUP($A200,Master!$B$50:$N$232,8,FALSE)</f>
        <v>#N/A</v>
      </c>
      <c r="D200" s="316" t="e">
        <f>VLOOKUP($A200,Master!$B$50:$N$232,9,FALSE)</f>
        <v>#N/A</v>
      </c>
      <c r="E200" s="317" t="e">
        <f>VLOOKUP($A200,Master!$B$50:$N$232,11,FALSE)</f>
        <v>#N/A</v>
      </c>
      <c r="F200" s="318">
        <v>3</v>
      </c>
      <c r="G200" s="319" t="s">
        <v>62</v>
      </c>
      <c r="H200" s="320">
        <v>150000</v>
      </c>
      <c r="I200" s="321" t="b">
        <v>1</v>
      </c>
      <c r="J200" s="322">
        <v>2</v>
      </c>
      <c r="K200" s="326" t="e">
        <f>VLOOKUP($A200,Master!$B$50:$N$232,6,FALSE)</f>
        <v>#N/A</v>
      </c>
      <c r="L200" s="324">
        <v>53000</v>
      </c>
      <c r="M200" s="325"/>
    </row>
    <row r="201" spans="1:13" ht="13">
      <c r="A201" s="18" t="s">
        <v>779</v>
      </c>
      <c r="B201" s="328" t="s">
        <v>780</v>
      </c>
      <c r="C201" s="316" t="e">
        <f>VLOOKUP($A201,Master!$B$50:$N$232,8,FALSE)</f>
        <v>#N/A</v>
      </c>
      <c r="D201" s="316" t="e">
        <f>VLOOKUP($A201,Master!$B$50:$N$232,9,FALSE)</f>
        <v>#N/A</v>
      </c>
      <c r="E201" s="317" t="e">
        <f>VLOOKUP($A201,Master!$B$50:$N$232,11,FALSE)</f>
        <v>#N/A</v>
      </c>
      <c r="F201" s="318">
        <v>2</v>
      </c>
      <c r="G201" s="319" t="s">
        <v>62</v>
      </c>
      <c r="H201" s="320">
        <v>86000</v>
      </c>
      <c r="I201" s="321" t="b">
        <v>1</v>
      </c>
      <c r="J201" s="322">
        <v>2</v>
      </c>
      <c r="K201" s="326" t="e">
        <f>VLOOKUP($A201,Master!$B$50:$N$232,6,FALSE)</f>
        <v>#N/A</v>
      </c>
      <c r="L201" s="327" t="e">
        <f t="shared" ref="L201:L204" si="22">J201*K201</f>
        <v>#N/A</v>
      </c>
      <c r="M201" s="325"/>
    </row>
    <row r="202" spans="1:13" ht="13">
      <c r="A202" s="18" t="s">
        <v>874</v>
      </c>
      <c r="B202" s="328" t="s">
        <v>875</v>
      </c>
      <c r="C202" s="316">
        <f>VLOOKUP($A202,Master!$B$50:$N$232,8,FALSE)</f>
        <v>10</v>
      </c>
      <c r="D202" s="316" t="str">
        <f>VLOOKUP($A202,Master!$B$50:$N$232,9,FALSE)</f>
        <v>pcs</v>
      </c>
      <c r="E202" s="317" t="str">
        <f>VLOOKUP($A202,Master!$B$50:$N$232,11,FALSE)</f>
        <v>RSB, Dago</v>
      </c>
      <c r="F202" s="318">
        <v>3</v>
      </c>
      <c r="G202" s="319" t="s">
        <v>62</v>
      </c>
      <c r="H202" s="320">
        <v>51000</v>
      </c>
      <c r="I202" s="321" t="b">
        <v>1</v>
      </c>
      <c r="J202" s="322">
        <v>3</v>
      </c>
      <c r="K202" s="323">
        <v>18500</v>
      </c>
      <c r="L202" s="324">
        <f t="shared" si="22"/>
        <v>55500</v>
      </c>
      <c r="M202" s="325"/>
    </row>
    <row r="203" spans="1:13" ht="13">
      <c r="A203" s="21" t="s">
        <v>655</v>
      </c>
      <c r="B203" s="61" t="s">
        <v>656</v>
      </c>
      <c r="C203" s="316">
        <f>VLOOKUP($A203,Master!$B$50:$N$232,8,FALSE)</f>
        <v>1000</v>
      </c>
      <c r="D203" s="316" t="str">
        <f>VLOOKUP($A203,Master!$B$50:$N$232,9,FALSE)</f>
        <v>gr</v>
      </c>
      <c r="E203" s="317" t="str">
        <f>VLOOKUP($A203,Master!$B$50:$N$232,11,FALSE)</f>
        <v>Toko Lain</v>
      </c>
      <c r="F203" s="318">
        <v>2</v>
      </c>
      <c r="G203" s="319" t="s">
        <v>36</v>
      </c>
      <c r="H203" s="320">
        <v>100000</v>
      </c>
      <c r="I203" s="321" t="b">
        <v>1</v>
      </c>
      <c r="J203" s="322">
        <v>2</v>
      </c>
      <c r="K203" s="326">
        <f>VLOOKUP($A203,Master!$B$50:$N$232,6,FALSE)</f>
        <v>50000</v>
      </c>
      <c r="L203" s="327">
        <f t="shared" si="22"/>
        <v>100000</v>
      </c>
      <c r="M203" s="325"/>
    </row>
    <row r="204" spans="1:13" ht="13">
      <c r="A204" s="21" t="s">
        <v>782</v>
      </c>
      <c r="B204" s="61" t="s">
        <v>783</v>
      </c>
      <c r="C204" s="316">
        <f>VLOOKUP($A204,Master!$B$50:$N$232,8,FALSE)</f>
        <v>500</v>
      </c>
      <c r="D204" s="316" t="str">
        <f>VLOOKUP($A204,Master!$B$50:$N$232,9,FALSE)</f>
        <v>gr</v>
      </c>
      <c r="E204" s="317" t="str">
        <f>VLOOKUP($A204,Master!$B$50:$N$232,11,FALSE)</f>
        <v>Toko Lain</v>
      </c>
      <c r="F204" s="318">
        <v>1</v>
      </c>
      <c r="G204" s="319" t="s">
        <v>62</v>
      </c>
      <c r="H204" s="320">
        <v>25000</v>
      </c>
      <c r="I204" s="321" t="b">
        <v>0</v>
      </c>
      <c r="J204" s="322"/>
      <c r="K204" s="326">
        <f>VLOOKUP($A204,Master!$B$50:$N$232,6,FALSE)</f>
        <v>25000</v>
      </c>
      <c r="L204" s="327">
        <f t="shared" si="22"/>
        <v>0</v>
      </c>
      <c r="M204" s="325" t="s">
        <v>81</v>
      </c>
    </row>
    <row r="205" spans="1:13" ht="13">
      <c r="A205" s="137" t="s">
        <v>795</v>
      </c>
      <c r="B205" s="330" t="s">
        <v>796</v>
      </c>
      <c r="C205" s="316">
        <f>VLOOKUP($A205,Master!$B$50:$N$232,8,FALSE)</f>
        <v>10</v>
      </c>
      <c r="D205" s="316" t="str">
        <f>VLOOKUP($A205,Master!$B$50:$N$232,9,FALSE)</f>
        <v>unit</v>
      </c>
      <c r="E205" s="317" t="str">
        <f>VLOOKUP($A205,Master!$B$50:$N$232,11,FALSE)</f>
        <v>Toko Lain</v>
      </c>
      <c r="F205" s="318">
        <v>5</v>
      </c>
      <c r="G205" s="319" t="s">
        <v>62</v>
      </c>
      <c r="H205" s="320">
        <v>39000</v>
      </c>
      <c r="I205" s="321" t="b">
        <v>1</v>
      </c>
      <c r="J205" s="322">
        <v>5</v>
      </c>
      <c r="K205" s="326">
        <f>VLOOKUP($A205,Master!$B$50:$N$232,6,FALSE)</f>
        <v>8000</v>
      </c>
      <c r="L205" s="324">
        <v>35000</v>
      </c>
      <c r="M205" s="325"/>
    </row>
    <row r="206" spans="1:13" ht="13">
      <c r="A206" s="18" t="s">
        <v>967</v>
      </c>
      <c r="B206" s="328" t="s">
        <v>968</v>
      </c>
      <c r="C206" s="316" t="e">
        <f>VLOOKUP($A206,Master!$B$50:$N$232,8,FALSE)</f>
        <v>#N/A</v>
      </c>
      <c r="D206" s="316" t="e">
        <f>VLOOKUP($A206,Master!$B$50:$N$232,9,FALSE)</f>
        <v>#N/A</v>
      </c>
      <c r="E206" s="317" t="e">
        <f>VLOOKUP($A206,Master!$B$50:$N$232,11,FALSE)</f>
        <v>#N/A</v>
      </c>
      <c r="F206" s="318">
        <v>1</v>
      </c>
      <c r="G206" s="319" t="s">
        <v>97</v>
      </c>
      <c r="H206" s="320">
        <v>140200</v>
      </c>
      <c r="I206" s="321" t="b">
        <v>1</v>
      </c>
      <c r="J206" s="322">
        <v>1</v>
      </c>
      <c r="K206" s="326" t="e">
        <f>VLOOKUP($A206,Master!$B$50:$N$232,6,FALSE)</f>
        <v>#N/A</v>
      </c>
      <c r="L206" s="327" t="e">
        <f>J206*K206</f>
        <v>#N/A</v>
      </c>
      <c r="M206" s="325"/>
    </row>
    <row r="207" spans="1:13" ht="13">
      <c r="A207" s="21" t="s">
        <v>544</v>
      </c>
      <c r="B207" s="61" t="s">
        <v>545</v>
      </c>
      <c r="C207" s="316" t="e">
        <f>VLOOKUP($A207,Master!$B$50:$N$232,8,FALSE)</f>
        <v>#N/A</v>
      </c>
      <c r="D207" s="316" t="e">
        <f>VLOOKUP($A207,Master!$B$50:$N$232,9,FALSE)</f>
        <v>#N/A</v>
      </c>
      <c r="E207" s="317" t="e">
        <f>VLOOKUP($A207,Master!$B$50:$N$232,11,FALSE)</f>
        <v>#N/A</v>
      </c>
      <c r="F207" s="318">
        <v>2</v>
      </c>
      <c r="G207" s="319" t="s">
        <v>62</v>
      </c>
      <c r="H207" s="320">
        <v>51300</v>
      </c>
      <c r="I207" s="321" t="b">
        <v>1</v>
      </c>
      <c r="J207" s="322">
        <v>2</v>
      </c>
      <c r="K207" s="326" t="e">
        <f>VLOOKUP($A207,Master!$B$50:$N$232,6,FALSE)</f>
        <v>#N/A</v>
      </c>
      <c r="L207" s="324">
        <v>34371</v>
      </c>
      <c r="M207" s="325"/>
    </row>
    <row r="209" spans="1:13" ht="13">
      <c r="F209" s="427">
        <v>44820</v>
      </c>
      <c r="G209" s="428"/>
      <c r="H209" s="424"/>
      <c r="J209" s="429">
        <f>F209+1</f>
        <v>44821</v>
      </c>
      <c r="K209" s="428"/>
      <c r="L209" s="424"/>
    </row>
    <row r="210" spans="1:13" ht="13">
      <c r="F210" s="425" t="s">
        <v>1490</v>
      </c>
      <c r="G210" s="426"/>
      <c r="H210" s="304">
        <f>SUM(H212:H239)</f>
        <v>3220128</v>
      </c>
      <c r="J210" s="425" t="s">
        <v>1491</v>
      </c>
      <c r="K210" s="426"/>
      <c r="L210" s="304" t="e">
        <f>SUM(L212:L239)</f>
        <v>#N/A</v>
      </c>
    </row>
    <row r="211" spans="1:13" ht="13">
      <c r="A211" s="2" t="s">
        <v>4</v>
      </c>
      <c r="B211" s="305" t="s">
        <v>5</v>
      </c>
      <c r="C211" s="305" t="s">
        <v>1492</v>
      </c>
      <c r="D211" s="305" t="s">
        <v>12</v>
      </c>
      <c r="E211" s="306" t="s">
        <v>1493</v>
      </c>
      <c r="F211" s="307" t="s">
        <v>1494</v>
      </c>
      <c r="G211" s="308" t="s">
        <v>10</v>
      </c>
      <c r="H211" s="309" t="s">
        <v>1495</v>
      </c>
      <c r="I211" s="310" t="s">
        <v>1289</v>
      </c>
      <c r="J211" s="311" t="s">
        <v>1496</v>
      </c>
      <c r="K211" s="312" t="s">
        <v>1497</v>
      </c>
      <c r="L211" s="313" t="s">
        <v>1498</v>
      </c>
      <c r="M211" s="314" t="s">
        <v>16</v>
      </c>
    </row>
    <row r="212" spans="1:13" ht="13">
      <c r="A212" s="21" t="s">
        <v>937</v>
      </c>
      <c r="B212" s="61" t="s">
        <v>938</v>
      </c>
      <c r="C212" s="316">
        <f>VLOOKUP($A212,Master!$B$50:$N$232,8,FALSE)</f>
        <v>20</v>
      </c>
      <c r="D212" s="316" t="str">
        <f>VLOOKUP($A212,Master!$B$50:$N$232,9,FALSE)</f>
        <v>pcs</v>
      </c>
      <c r="E212" s="317" t="str">
        <f>VLOOKUP($A212,Master!$B$50:$N$232,11,FALSE)</f>
        <v>Borma</v>
      </c>
      <c r="F212" s="318">
        <v>2</v>
      </c>
      <c r="G212" s="319" t="s">
        <v>62</v>
      </c>
      <c r="H212" s="320">
        <v>15200</v>
      </c>
      <c r="I212" s="321" t="b">
        <v>1</v>
      </c>
      <c r="J212" s="322">
        <v>2</v>
      </c>
      <c r="K212" s="323">
        <f>15741/2</f>
        <v>7870.5</v>
      </c>
      <c r="L212" s="324">
        <f t="shared" ref="L212:L214" si="23">J212*K212</f>
        <v>15741</v>
      </c>
      <c r="M212" s="325" t="s">
        <v>1527</v>
      </c>
    </row>
    <row r="213" spans="1:13" ht="13">
      <c r="A213" s="21" t="s">
        <v>582</v>
      </c>
      <c r="B213" s="61" t="s">
        <v>583</v>
      </c>
      <c r="C213" s="316">
        <f>VLOOKUP($A213,Master!$B$50:$N$232,8,FALSE)</f>
        <v>1000</v>
      </c>
      <c r="D213" s="316" t="str">
        <f>VLOOKUP($A213,Master!$B$50:$N$232,9,FALSE)</f>
        <v>gr</v>
      </c>
      <c r="E213" s="317" t="str">
        <f>VLOOKUP($A213,Master!$B$50:$N$232,11,FALSE)</f>
        <v>Dillco Group</v>
      </c>
      <c r="F213" s="318">
        <v>1</v>
      </c>
      <c r="G213" s="319" t="s">
        <v>62</v>
      </c>
      <c r="H213" s="320">
        <v>120000</v>
      </c>
      <c r="I213" s="321" t="b">
        <v>1</v>
      </c>
      <c r="J213" s="322">
        <v>1</v>
      </c>
      <c r="K213" s="326">
        <f>VLOOKUP($A213,Master!$B$50:$N$232,6,FALSE)</f>
        <v>120000</v>
      </c>
      <c r="L213" s="327">
        <f t="shared" si="23"/>
        <v>120000</v>
      </c>
      <c r="M213" s="325"/>
    </row>
    <row r="214" spans="1:13" ht="13">
      <c r="A214" s="21" t="s">
        <v>651</v>
      </c>
      <c r="B214" s="61" t="s">
        <v>652</v>
      </c>
      <c r="C214" s="316">
        <f>VLOOKUP($A214,Master!$B$50:$N$232,8,FALSE)</f>
        <v>1000</v>
      </c>
      <c r="D214" s="316" t="str">
        <f>VLOOKUP($A214,Master!$B$50:$N$232,9,FALSE)</f>
        <v>gr</v>
      </c>
      <c r="E214" s="317" t="str">
        <f>VLOOKUP($A214,Master!$B$50:$N$232,11,FALSE)</f>
        <v>Eden Farm</v>
      </c>
      <c r="F214" s="318">
        <v>1</v>
      </c>
      <c r="G214" s="319" t="s">
        <v>36</v>
      </c>
      <c r="H214" s="320">
        <v>10200</v>
      </c>
      <c r="I214" s="321" t="b">
        <v>1</v>
      </c>
      <c r="J214" s="322">
        <v>1</v>
      </c>
      <c r="K214" s="326">
        <f>VLOOKUP($A214,Master!$B$50:$N$232,6,FALSE)</f>
        <v>18000</v>
      </c>
      <c r="L214" s="327">
        <f t="shared" si="23"/>
        <v>18000</v>
      </c>
      <c r="M214" s="325"/>
    </row>
    <row r="215" spans="1:13" ht="13">
      <c r="A215" s="21" t="s">
        <v>712</v>
      </c>
      <c r="B215" s="61" t="s">
        <v>713</v>
      </c>
      <c r="C215" s="316">
        <f>VLOOKUP($A215,Master!$B$50:$N$232,8,FALSE)</f>
        <v>1000</v>
      </c>
      <c r="D215" s="316" t="str">
        <f>VLOOKUP($A215,Master!$B$50:$N$232,9,FALSE)</f>
        <v>gr</v>
      </c>
      <c r="E215" s="317" t="str">
        <f>VLOOKUP($A215,Master!$B$50:$N$232,11,FALSE)</f>
        <v>Eden Farm</v>
      </c>
      <c r="F215" s="318">
        <v>1</v>
      </c>
      <c r="G215" s="319" t="s">
        <v>36</v>
      </c>
      <c r="H215" s="320">
        <v>24200</v>
      </c>
      <c r="I215" s="321" t="b">
        <v>1</v>
      </c>
      <c r="J215" s="322">
        <v>1</v>
      </c>
      <c r="K215" s="326">
        <f>VLOOKUP($A215,Master!$B$50:$N$232,6,FALSE)</f>
        <v>40000</v>
      </c>
      <c r="L215" s="324">
        <v>21300</v>
      </c>
      <c r="M215" s="325"/>
    </row>
    <row r="216" spans="1:13" ht="13">
      <c r="A216" s="21" t="s">
        <v>716</v>
      </c>
      <c r="B216" s="61" t="s">
        <v>717</v>
      </c>
      <c r="C216" s="316">
        <f>VLOOKUP($A216,Master!$B$50:$N$232,8,FALSE)</f>
        <v>1000</v>
      </c>
      <c r="D216" s="316" t="str">
        <f>VLOOKUP($A216,Master!$B$50:$N$232,9,FALSE)</f>
        <v>gr</v>
      </c>
      <c r="E216" s="317" t="str">
        <f>VLOOKUP($A216,Master!$B$50:$N$232,11,FALSE)</f>
        <v>Eden Farm</v>
      </c>
      <c r="F216" s="318">
        <v>1.5</v>
      </c>
      <c r="G216" s="319" t="s">
        <v>36</v>
      </c>
      <c r="H216" s="320">
        <v>83400</v>
      </c>
      <c r="I216" s="321" t="b">
        <v>1</v>
      </c>
      <c r="J216" s="322">
        <v>1.5</v>
      </c>
      <c r="K216" s="323">
        <v>44000</v>
      </c>
      <c r="L216" s="324">
        <f>J216*K216</f>
        <v>66000</v>
      </c>
      <c r="M216" s="325"/>
    </row>
    <row r="217" spans="1:13" ht="13">
      <c r="A217" s="21" t="s">
        <v>919</v>
      </c>
      <c r="B217" s="61" t="s">
        <v>920</v>
      </c>
      <c r="C217" s="316">
        <f>VLOOKUP($A217,Master!$B$50:$N$232,8,FALSE)</f>
        <v>1000</v>
      </c>
      <c r="D217" s="316" t="str">
        <f>VLOOKUP($A217,Master!$B$50:$N$232,9,FALSE)</f>
        <v>gr</v>
      </c>
      <c r="E217" s="317" t="str">
        <f>VLOOKUP($A217,Master!$B$50:$N$232,11,FALSE)</f>
        <v>Eden Farm</v>
      </c>
      <c r="F217" s="318">
        <v>1</v>
      </c>
      <c r="G217" s="319" t="s">
        <v>62</v>
      </c>
      <c r="H217" s="320">
        <v>39900</v>
      </c>
      <c r="I217" s="321" t="b">
        <v>1</v>
      </c>
      <c r="J217" s="322">
        <v>1</v>
      </c>
      <c r="K217" s="326">
        <f>VLOOKUP($A217,Master!$B$50:$N$232,6,FALSE)</f>
        <v>50000</v>
      </c>
      <c r="L217" s="324">
        <v>32300</v>
      </c>
      <c r="M217" s="325"/>
    </row>
    <row r="218" spans="1:13" ht="13">
      <c r="A218" s="21" t="s">
        <v>1020</v>
      </c>
      <c r="B218" s="61" t="s">
        <v>1021</v>
      </c>
      <c r="C218" s="316">
        <f>VLOOKUP($A218,Master!$B$50:$N$232,8,FALSE)</f>
        <v>1000</v>
      </c>
      <c r="D218" s="316" t="str">
        <f>VLOOKUP($A218,Master!$B$50:$N$232,9,FALSE)</f>
        <v>gr</v>
      </c>
      <c r="E218" s="317" t="str">
        <f>VLOOKUP($A218,Master!$B$50:$N$232,11,FALSE)</f>
        <v>Eden Farm</v>
      </c>
      <c r="F218" s="318">
        <v>1</v>
      </c>
      <c r="G218" s="319" t="s">
        <v>36</v>
      </c>
      <c r="H218" s="320">
        <v>21800</v>
      </c>
      <c r="I218" s="321" t="b">
        <v>1</v>
      </c>
      <c r="J218" s="322">
        <v>1</v>
      </c>
      <c r="K218" s="326">
        <f>VLOOKUP($A218,Master!$B$50:$N$232,6,FALSE)</f>
        <v>24000</v>
      </c>
      <c r="L218" s="324">
        <v>13200</v>
      </c>
      <c r="M218" s="325"/>
    </row>
    <row r="219" spans="1:13" ht="13">
      <c r="A219" s="21" t="s">
        <v>1050</v>
      </c>
      <c r="B219" s="61" t="s">
        <v>1051</v>
      </c>
      <c r="C219" s="316" t="e">
        <f>VLOOKUP($A219,Master!$B$50:$N$232,8,FALSE)</f>
        <v>#N/A</v>
      </c>
      <c r="D219" s="316" t="e">
        <f>VLOOKUP($A219,Master!$B$50:$N$232,9,FALSE)</f>
        <v>#N/A</v>
      </c>
      <c r="E219" s="317" t="e">
        <f>VLOOKUP($A219,Master!$B$50:$N$232,11,FALSE)</f>
        <v>#N/A</v>
      </c>
      <c r="F219" s="318">
        <v>0.5</v>
      </c>
      <c r="G219" s="319" t="s">
        <v>36</v>
      </c>
      <c r="H219" s="320">
        <v>9700</v>
      </c>
      <c r="I219" s="321" t="b">
        <v>1</v>
      </c>
      <c r="J219" s="322">
        <v>0.5</v>
      </c>
      <c r="K219" s="323" t="e">
        <f>VLOOKUP($A219,Master!$B$50:$N$232,6,FALSE)</f>
        <v>#N/A</v>
      </c>
      <c r="L219" s="324">
        <v>4250</v>
      </c>
      <c r="M219" s="325"/>
    </row>
    <row r="220" spans="1:13" ht="13">
      <c r="A220" s="21" t="s">
        <v>659</v>
      </c>
      <c r="B220" s="61" t="s">
        <v>660</v>
      </c>
      <c r="C220" s="316">
        <f>VLOOKUP($A220,Master!$B$50:$N$232,8,FALSE)</f>
        <v>15</v>
      </c>
      <c r="D220" s="316" t="str">
        <f>VLOOKUP($A220,Master!$B$50:$N$232,9,FALSE)</f>
        <v>pcs</v>
      </c>
      <c r="E220" s="317" t="str">
        <f>VLOOKUP($A220,Master!$B$50:$N$232,11,FALSE)</f>
        <v>Feri Supriadi (Telur , Beras , Minyak )</v>
      </c>
      <c r="F220" s="318">
        <v>2</v>
      </c>
      <c r="G220" s="319" t="s">
        <v>36</v>
      </c>
      <c r="H220" s="320">
        <v>56000</v>
      </c>
      <c r="I220" s="321" t="b">
        <v>1</v>
      </c>
      <c r="J220" s="322">
        <v>2</v>
      </c>
      <c r="K220" s="323">
        <v>29000</v>
      </c>
      <c r="L220" s="324">
        <f t="shared" ref="L220:L223" si="24">J220*K220</f>
        <v>58000</v>
      </c>
      <c r="M220" s="325"/>
    </row>
    <row r="221" spans="1:13" ht="13">
      <c r="A221" s="21" t="s">
        <v>952</v>
      </c>
      <c r="B221" s="61" t="s">
        <v>953</v>
      </c>
      <c r="C221" s="316" t="e">
        <f>VLOOKUP($A221,Master!$B$50:$N$232,8,FALSE)</f>
        <v>#N/A</v>
      </c>
      <c r="D221" s="316" t="e">
        <f>VLOOKUP($A221,Master!$B$50:$N$232,9,FALSE)</f>
        <v>#N/A</v>
      </c>
      <c r="E221" s="317" t="e">
        <f>VLOOKUP($A221,Master!$B$50:$N$232,11,FALSE)</f>
        <v>#N/A</v>
      </c>
      <c r="F221" s="318">
        <v>1</v>
      </c>
      <c r="G221" s="319" t="s">
        <v>97</v>
      </c>
      <c r="H221" s="320">
        <v>27000</v>
      </c>
      <c r="I221" s="321" t="b">
        <v>1</v>
      </c>
      <c r="J221" s="322">
        <v>1</v>
      </c>
      <c r="K221" s="326" t="e">
        <f>VLOOKUP($A221,Master!$B$50:$N$232,6,FALSE)</f>
        <v>#N/A</v>
      </c>
      <c r="L221" s="327" t="e">
        <f t="shared" si="24"/>
        <v>#N/A</v>
      </c>
      <c r="M221" s="325"/>
    </row>
    <row r="222" spans="1:13" ht="13">
      <c r="A222" s="18" t="s">
        <v>964</v>
      </c>
      <c r="B222" s="328" t="s">
        <v>965</v>
      </c>
      <c r="C222" s="316" t="e">
        <f>VLOOKUP($A222,Master!$B$50:$N$232,8,FALSE)</f>
        <v>#N/A</v>
      </c>
      <c r="D222" s="316" t="e">
        <f>VLOOKUP($A222,Master!$B$50:$N$232,9,FALSE)</f>
        <v>#N/A</v>
      </c>
      <c r="E222" s="317" t="e">
        <f>VLOOKUP($A222,Master!$B$50:$N$232,11,FALSE)</f>
        <v>#N/A</v>
      </c>
      <c r="F222" s="318">
        <v>1</v>
      </c>
      <c r="G222" s="319" t="s">
        <v>97</v>
      </c>
      <c r="H222" s="320">
        <v>94350</v>
      </c>
      <c r="I222" s="321" t="b">
        <v>1</v>
      </c>
      <c r="J222" s="322">
        <v>1</v>
      </c>
      <c r="K222" s="323">
        <v>140200</v>
      </c>
      <c r="L222" s="324">
        <f t="shared" si="24"/>
        <v>140200</v>
      </c>
      <c r="M222" s="325"/>
    </row>
    <row r="223" spans="1:13" ht="13">
      <c r="A223" s="21" t="s">
        <v>989</v>
      </c>
      <c r="B223" s="61" t="s">
        <v>990</v>
      </c>
      <c r="C223" s="316">
        <f>VLOOKUP($A223,Master!$B$50:$N$232,8,FALSE)</f>
        <v>5000</v>
      </c>
      <c r="D223" s="316" t="str">
        <f>VLOOKUP($A223,Master!$B$50:$N$232,9,FALSE)</f>
        <v>ml</v>
      </c>
      <c r="E223" s="317" t="str">
        <f>VLOOKUP($A223,Master!$B$50:$N$232,11,FALSE)</f>
        <v>Kurnia Mas</v>
      </c>
      <c r="F223" s="318">
        <v>3</v>
      </c>
      <c r="G223" s="319" t="s">
        <v>62</v>
      </c>
      <c r="H223" s="320">
        <v>58500</v>
      </c>
      <c r="I223" s="321" t="b">
        <v>1</v>
      </c>
      <c r="J223" s="322">
        <v>1</v>
      </c>
      <c r="K223" s="323">
        <v>54000</v>
      </c>
      <c r="L223" s="324">
        <f t="shared" si="24"/>
        <v>54000</v>
      </c>
      <c r="M223" s="325" t="s">
        <v>1528</v>
      </c>
    </row>
    <row r="224" spans="1:13" ht="13">
      <c r="A224" s="21" t="s">
        <v>688</v>
      </c>
      <c r="B224" s="61" t="s">
        <v>689</v>
      </c>
      <c r="C224" s="316" t="e">
        <f>VLOOKUP($A224,Master!$B$50:$N$232,8,FALSE)</f>
        <v>#N/A</v>
      </c>
      <c r="D224" s="316" t="e">
        <f>VLOOKUP($A224,Master!$B$50:$N$232,9,FALSE)</f>
        <v>#N/A</v>
      </c>
      <c r="E224" s="317" t="e">
        <f>VLOOKUP($A224,Master!$B$50:$N$232,11,FALSE)</f>
        <v>#N/A</v>
      </c>
      <c r="F224" s="318">
        <v>2</v>
      </c>
      <c r="G224" s="319" t="s">
        <v>62</v>
      </c>
      <c r="H224" s="320">
        <v>125000</v>
      </c>
      <c r="I224" s="321" t="b">
        <v>1</v>
      </c>
      <c r="J224" s="322">
        <v>2</v>
      </c>
      <c r="K224" s="326" t="e">
        <f>VLOOKUP($A224,Master!$B$50:$N$232,6,FALSE)</f>
        <v>#N/A</v>
      </c>
      <c r="L224" s="324">
        <v>124000</v>
      </c>
      <c r="M224" s="325"/>
    </row>
    <row r="225" spans="1:13" ht="13">
      <c r="A225" s="21" t="s">
        <v>720</v>
      </c>
      <c r="B225" s="61" t="s">
        <v>721</v>
      </c>
      <c r="C225" s="316">
        <f>VLOOKUP($A225,Master!$B$50:$N$232,8,FALSE)</f>
        <v>100</v>
      </c>
      <c r="D225" s="316" t="str">
        <f>VLOOKUP($A225,Master!$B$50:$N$232,9,FALSE)</f>
        <v>gr</v>
      </c>
      <c r="E225" s="317" t="str">
        <f>VLOOKUP($A225,Master!$B$50:$N$232,11,FALSE)</f>
        <v>PD Aroma Jaya</v>
      </c>
      <c r="F225" s="318">
        <v>1</v>
      </c>
      <c r="G225" s="319" t="s">
        <v>62</v>
      </c>
      <c r="H225" s="320">
        <v>28000</v>
      </c>
      <c r="I225" s="321" t="b">
        <v>1</v>
      </c>
      <c r="J225" s="322">
        <v>1</v>
      </c>
      <c r="K225" s="326">
        <f>VLOOKUP($A225,Master!$B$50:$N$232,6,FALSE)</f>
        <v>28000</v>
      </c>
      <c r="L225" s="327">
        <f t="shared" ref="L225:L227" si="25">J225*K225</f>
        <v>28000</v>
      </c>
      <c r="M225" s="325"/>
    </row>
    <row r="226" spans="1:13" ht="13">
      <c r="A226" s="21" t="s">
        <v>752</v>
      </c>
      <c r="B226" s="61" t="s">
        <v>753</v>
      </c>
      <c r="C226" s="316" t="e">
        <f>VLOOKUP($A226,Master!$B$50:$N$232,8,FALSE)</f>
        <v>#N/A</v>
      </c>
      <c r="D226" s="316" t="e">
        <f>VLOOKUP($A226,Master!$B$50:$N$232,9,FALSE)</f>
        <v>#N/A</v>
      </c>
      <c r="E226" s="317" t="e">
        <f>VLOOKUP($A226,Master!$B$50:$N$232,11,FALSE)</f>
        <v>#N/A</v>
      </c>
      <c r="F226" s="318">
        <v>1</v>
      </c>
      <c r="G226" s="319" t="s">
        <v>62</v>
      </c>
      <c r="H226" s="320">
        <v>38000</v>
      </c>
      <c r="I226" s="321" t="b">
        <v>1</v>
      </c>
      <c r="J226" s="322">
        <v>1</v>
      </c>
      <c r="K226" s="326" t="e">
        <f>VLOOKUP($A226,Master!$B$50:$N$232,6,FALSE)</f>
        <v>#N/A</v>
      </c>
      <c r="L226" s="327" t="e">
        <f t="shared" si="25"/>
        <v>#N/A</v>
      </c>
      <c r="M226" s="325"/>
    </row>
    <row r="227" spans="1:13" ht="13">
      <c r="A227" s="21" t="s">
        <v>982</v>
      </c>
      <c r="B227" s="61" t="s">
        <v>983</v>
      </c>
      <c r="C227" s="316">
        <f>VLOOKUP($A227,Master!$B$50:$N$232,8,FALSE)</f>
        <v>12</v>
      </c>
      <c r="D227" s="316" t="str">
        <f>VLOOKUP($A227,Master!$B$50:$N$232,9,FALSE)</f>
        <v>pcs</v>
      </c>
      <c r="E227" s="317" t="str">
        <f>VLOOKUP($A227,Master!$B$50:$N$232,11,FALSE)</f>
        <v>PD Aroma Jaya</v>
      </c>
      <c r="F227" s="318">
        <v>2</v>
      </c>
      <c r="G227" s="319" t="s">
        <v>62</v>
      </c>
      <c r="H227" s="320">
        <v>44000</v>
      </c>
      <c r="I227" s="321" t="b">
        <v>1</v>
      </c>
      <c r="J227" s="322">
        <v>2</v>
      </c>
      <c r="K227" s="326">
        <f>VLOOKUP($A227,Master!$B$50:$N$232,6,FALSE)</f>
        <v>18000</v>
      </c>
      <c r="L227" s="327">
        <f t="shared" si="25"/>
        <v>36000</v>
      </c>
      <c r="M227" s="325"/>
    </row>
    <row r="228" spans="1:13" ht="13">
      <c r="A228" s="21" t="s">
        <v>708</v>
      </c>
      <c r="B228" s="61" t="s">
        <v>709</v>
      </c>
      <c r="C228" s="316" t="e">
        <f>VLOOKUP($A228,Master!$B$50:$N$232,8,FALSE)</f>
        <v>#N/A</v>
      </c>
      <c r="D228" s="316" t="e">
        <f>VLOOKUP($A228,Master!$B$50:$N$232,9,FALSE)</f>
        <v>#N/A</v>
      </c>
      <c r="E228" s="317" t="e">
        <f>VLOOKUP($A228,Master!$B$50:$N$232,11,FALSE)</f>
        <v>#N/A</v>
      </c>
      <c r="F228" s="318">
        <v>1</v>
      </c>
      <c r="G228" s="319" t="s">
        <v>143</v>
      </c>
      <c r="H228" s="320">
        <v>365000</v>
      </c>
      <c r="I228" s="321" t="b">
        <v>1</v>
      </c>
      <c r="J228" s="322">
        <v>1</v>
      </c>
      <c r="K228" s="326" t="e">
        <f>VLOOKUP($A228,Master!$B$50:$N$232,6,FALSE)</f>
        <v>#N/A</v>
      </c>
      <c r="L228" s="324">
        <v>270000</v>
      </c>
      <c r="M228" s="325"/>
    </row>
    <row r="229" spans="1:13" ht="13">
      <c r="A229" s="21" t="s">
        <v>548</v>
      </c>
      <c r="B229" s="61" t="s">
        <v>549</v>
      </c>
      <c r="C229" s="316" t="e">
        <f>VLOOKUP($A229,Master!$B$50:$N$232,8,FALSE)</f>
        <v>#N/A</v>
      </c>
      <c r="D229" s="316" t="e">
        <f>VLOOKUP($A229,Master!$B$50:$N$232,9,FALSE)</f>
        <v>#N/A</v>
      </c>
      <c r="E229" s="317" t="e">
        <f>VLOOKUP($A229,Master!$B$50:$N$232,11,FALSE)</f>
        <v>#N/A</v>
      </c>
      <c r="F229" s="318">
        <v>2</v>
      </c>
      <c r="G229" s="319" t="s">
        <v>87</v>
      </c>
      <c r="H229" s="320">
        <v>315130</v>
      </c>
      <c r="I229" s="321" t="b">
        <v>1</v>
      </c>
      <c r="J229" s="322">
        <v>2</v>
      </c>
      <c r="K229" s="326" t="e">
        <f>VLOOKUP($A229,Master!$B$50:$N$232,6,FALSE)</f>
        <v>#N/A</v>
      </c>
      <c r="L229" s="327" t="e">
        <f t="shared" ref="L229:L231" si="26">J229*K229</f>
        <v>#N/A</v>
      </c>
      <c r="M229" s="325"/>
    </row>
    <row r="230" spans="1:13" ht="13">
      <c r="A230" s="21" t="s">
        <v>623</v>
      </c>
      <c r="B230" s="61" t="s">
        <v>624</v>
      </c>
      <c r="C230" s="316" t="e">
        <f>VLOOKUP($A230,Master!$B$50:$N$232,8,FALSE)</f>
        <v>#N/A</v>
      </c>
      <c r="D230" s="316" t="e">
        <f>VLOOKUP($A230,Master!$B$50:$N$232,9,FALSE)</f>
        <v>#N/A</v>
      </c>
      <c r="E230" s="317" t="e">
        <f>VLOOKUP($A230,Master!$B$50:$N$232,11,FALSE)</f>
        <v>#N/A</v>
      </c>
      <c r="F230" s="318">
        <v>2</v>
      </c>
      <c r="G230" s="319" t="s">
        <v>143</v>
      </c>
      <c r="H230" s="320">
        <v>363858</v>
      </c>
      <c r="I230" s="321" t="b">
        <v>1</v>
      </c>
      <c r="J230" s="322">
        <v>2</v>
      </c>
      <c r="K230" s="326" t="e">
        <f>VLOOKUP($A230,Master!$B$50:$N$232,6,FALSE)</f>
        <v>#N/A</v>
      </c>
      <c r="L230" s="327" t="e">
        <f t="shared" si="26"/>
        <v>#N/A</v>
      </c>
      <c r="M230" s="325"/>
    </row>
    <row r="231" spans="1:13" ht="13">
      <c r="A231" s="21" t="s">
        <v>704</v>
      </c>
      <c r="B231" s="61" t="s">
        <v>705</v>
      </c>
      <c r="C231" s="316" t="e">
        <f>VLOOKUP($A231,Master!$B$50:$N$232,8,FALSE)</f>
        <v>#N/A</v>
      </c>
      <c r="D231" s="316" t="e">
        <f>VLOOKUP($A231,Master!$B$50:$N$232,9,FALSE)</f>
        <v>#N/A</v>
      </c>
      <c r="E231" s="317" t="e">
        <f>VLOOKUP($A231,Master!$B$50:$N$232,11,FALSE)</f>
        <v>#N/A</v>
      </c>
      <c r="F231" s="318">
        <v>2</v>
      </c>
      <c r="G231" s="319" t="s">
        <v>143</v>
      </c>
      <c r="H231" s="320">
        <v>405594</v>
      </c>
      <c r="I231" s="321" t="b">
        <v>1</v>
      </c>
      <c r="J231" s="322">
        <v>2</v>
      </c>
      <c r="K231" s="326" t="e">
        <f>VLOOKUP($A231,Master!$B$50:$N$232,6,FALSE)</f>
        <v>#N/A</v>
      </c>
      <c r="L231" s="327" t="e">
        <f t="shared" si="26"/>
        <v>#N/A</v>
      </c>
      <c r="M231" s="325"/>
    </row>
    <row r="232" spans="1:13" ht="13">
      <c r="A232" s="21" t="s">
        <v>925</v>
      </c>
      <c r="B232" s="61" t="s">
        <v>926</v>
      </c>
      <c r="C232" s="316">
        <f>VLOOKUP($A232,Master!$B$50:$N$232,8,FALSE)</f>
        <v>1000</v>
      </c>
      <c r="D232" s="316" t="str">
        <f>VLOOKUP($A232,Master!$B$50:$N$232,9,FALSE)</f>
        <v>gr</v>
      </c>
      <c r="E232" s="317" t="str">
        <f>VLOOKUP($A232,Master!$B$50:$N$232,11,FALSE)</f>
        <v>PT Sukanda Djaya</v>
      </c>
      <c r="F232" s="318">
        <v>12</v>
      </c>
      <c r="G232" s="319" t="s">
        <v>36</v>
      </c>
      <c r="H232" s="320">
        <v>370296</v>
      </c>
      <c r="I232" s="321" t="b">
        <v>1</v>
      </c>
      <c r="J232" s="322">
        <v>12</v>
      </c>
      <c r="K232" s="326">
        <f>VLOOKUP($A232,Master!$B$50:$N$232,6,FALSE)</f>
        <v>39738</v>
      </c>
      <c r="L232" s="324">
        <v>269676</v>
      </c>
      <c r="M232" s="325" t="s">
        <v>1529</v>
      </c>
    </row>
    <row r="233" spans="1:13" ht="13">
      <c r="A233" s="21" t="s">
        <v>998</v>
      </c>
      <c r="B233" s="61" t="s">
        <v>999</v>
      </c>
      <c r="C233" s="316">
        <f>VLOOKUP($A233,Master!$B$50:$N$232,8,FALSE)</f>
        <v>250</v>
      </c>
      <c r="D233" s="316" t="str">
        <f>VLOOKUP($A233,Master!$B$50:$N$232,9,FALSE)</f>
        <v>gr</v>
      </c>
      <c r="E233" s="317" t="str">
        <f>VLOOKUP($A233,Master!$B$50:$N$232,11,FALSE)</f>
        <v>Eden Farm</v>
      </c>
      <c r="F233" s="318">
        <v>1</v>
      </c>
      <c r="G233" s="319" t="s">
        <v>62</v>
      </c>
      <c r="H233" s="320">
        <v>6000</v>
      </c>
      <c r="I233" s="321" t="b">
        <v>0</v>
      </c>
      <c r="J233" s="322"/>
      <c r="K233" s="326">
        <f>VLOOKUP($A233,Master!$B$50:$N$232,6,FALSE)</f>
        <v>15000</v>
      </c>
      <c r="L233" s="327">
        <f t="shared" ref="L233:L234" si="27">J233*K233</f>
        <v>0</v>
      </c>
      <c r="M233" s="325"/>
    </row>
    <row r="234" spans="1:13" ht="13">
      <c r="A234" s="21" t="s">
        <v>655</v>
      </c>
      <c r="B234" s="61" t="s">
        <v>656</v>
      </c>
      <c r="C234" s="316">
        <f>VLOOKUP($A234,Master!$B$50:$N$232,8,FALSE)</f>
        <v>1000</v>
      </c>
      <c r="D234" s="316" t="str">
        <f>VLOOKUP($A234,Master!$B$50:$N$232,9,FALSE)</f>
        <v>gr</v>
      </c>
      <c r="E234" s="317" t="str">
        <f>VLOOKUP($A234,Master!$B$50:$N$232,11,FALSE)</f>
        <v>Toko Lain</v>
      </c>
      <c r="F234" s="318">
        <v>2</v>
      </c>
      <c r="G234" s="319" t="s">
        <v>36</v>
      </c>
      <c r="H234" s="320">
        <v>100000</v>
      </c>
      <c r="I234" s="321" t="b">
        <v>1</v>
      </c>
      <c r="J234" s="322">
        <v>2</v>
      </c>
      <c r="K234" s="326">
        <f>VLOOKUP($A234,Master!$B$50:$N$232,6,FALSE)</f>
        <v>50000</v>
      </c>
      <c r="L234" s="327">
        <f t="shared" si="27"/>
        <v>100000</v>
      </c>
      <c r="M234" s="325"/>
    </row>
    <row r="235" spans="1:13" ht="13">
      <c r="A235" s="21" t="s">
        <v>782</v>
      </c>
      <c r="B235" s="61" t="s">
        <v>783</v>
      </c>
      <c r="C235" s="316">
        <f>VLOOKUP($A235,Master!$B$50:$N$232,8,FALSE)</f>
        <v>500</v>
      </c>
      <c r="D235" s="316" t="str">
        <f>VLOOKUP($A235,Master!$B$50:$N$232,9,FALSE)</f>
        <v>gr</v>
      </c>
      <c r="E235" s="317" t="str">
        <f>VLOOKUP($A235,Master!$B$50:$N$232,11,FALSE)</f>
        <v>Toko Lain</v>
      </c>
      <c r="F235" s="318">
        <v>2</v>
      </c>
      <c r="G235" s="319" t="s">
        <v>62</v>
      </c>
      <c r="H235" s="320">
        <v>50000</v>
      </c>
      <c r="I235" s="321" t="b">
        <v>1</v>
      </c>
      <c r="J235" s="322">
        <v>2</v>
      </c>
      <c r="K235" s="326">
        <f>VLOOKUP($A235,Master!$B$50:$N$232,6,FALSE)</f>
        <v>25000</v>
      </c>
      <c r="L235" s="324">
        <v>27622</v>
      </c>
      <c r="M235" s="325" t="s">
        <v>1530</v>
      </c>
    </row>
    <row r="236" spans="1:13" ht="13">
      <c r="A236" s="22" t="s">
        <v>795</v>
      </c>
      <c r="B236" s="330" t="s">
        <v>796</v>
      </c>
      <c r="C236" s="316">
        <f>VLOOKUP($A236,Master!$B$50:$N$232,8,FALSE)</f>
        <v>10</v>
      </c>
      <c r="D236" s="316" t="str">
        <f>VLOOKUP($A236,Master!$B$50:$N$232,9,FALSE)</f>
        <v>unit</v>
      </c>
      <c r="E236" s="317" t="str">
        <f>VLOOKUP($A236,Master!$B$50:$N$232,11,FALSE)</f>
        <v>Toko Lain</v>
      </c>
      <c r="F236" s="318">
        <v>5</v>
      </c>
      <c r="G236" s="319" t="s">
        <v>62</v>
      </c>
      <c r="H236" s="320">
        <v>39000</v>
      </c>
      <c r="I236" s="321" t="b">
        <v>1</v>
      </c>
      <c r="J236" s="322">
        <v>5</v>
      </c>
      <c r="K236" s="326">
        <f>VLOOKUP($A236,Master!$B$50:$N$232,6,FALSE)</f>
        <v>8000</v>
      </c>
      <c r="L236" s="324">
        <v>35000</v>
      </c>
      <c r="M236" s="325"/>
    </row>
    <row r="237" spans="1:13" ht="13">
      <c r="A237" s="21" t="s">
        <v>1048</v>
      </c>
      <c r="B237" s="21" t="s">
        <v>1049</v>
      </c>
      <c r="C237" s="316" t="e">
        <f>VLOOKUP($A237,Master!$B$50:$N$232,8,FALSE)</f>
        <v>#N/A</v>
      </c>
      <c r="D237" s="316" t="e">
        <f>VLOOKUP($A237,Master!$B$50:$N$232,9,FALSE)</f>
        <v>#N/A</v>
      </c>
      <c r="E237" s="317" t="e">
        <f>VLOOKUP($A237,Master!$B$50:$N$232,11,FALSE)</f>
        <v>#N/A</v>
      </c>
      <c r="F237" s="318">
        <v>2</v>
      </c>
      <c r="G237" s="319" t="s">
        <v>62</v>
      </c>
      <c r="H237" s="320">
        <v>14000</v>
      </c>
      <c r="I237" s="321" t="b">
        <v>1</v>
      </c>
      <c r="J237" s="322">
        <v>2</v>
      </c>
      <c r="K237" s="323" t="e">
        <f>VLOOKUP($A237,Master!$B$50:$N$232,6,FALSE)</f>
        <v>#N/A</v>
      </c>
      <c r="L237" s="324" t="e">
        <f t="shared" ref="L237:L239" si="28">J237*K237</f>
        <v>#N/A</v>
      </c>
      <c r="M237" s="325" t="s">
        <v>1499</v>
      </c>
    </row>
    <row r="238" spans="1:13" ht="13">
      <c r="A238" s="21" t="s">
        <v>590</v>
      </c>
      <c r="B238" s="61" t="s">
        <v>599</v>
      </c>
      <c r="C238" s="316">
        <f>VLOOKUP($A238,Master!$B$50:$N$232,8,FALSE)</f>
        <v>200</v>
      </c>
      <c r="D238" s="316" t="str">
        <f>VLOOKUP($A238,Master!$B$50:$N$232,9,FALSE)</f>
        <v>gr</v>
      </c>
      <c r="E238" s="317" t="str">
        <f>VLOOKUP($A238,Master!$B$50:$N$232,11,FALSE)</f>
        <v>Woodlane</v>
      </c>
      <c r="F238" s="318">
        <v>4</v>
      </c>
      <c r="G238" s="319" t="s">
        <v>62</v>
      </c>
      <c r="H238" s="320">
        <v>340000</v>
      </c>
      <c r="I238" s="321" t="b">
        <v>1</v>
      </c>
      <c r="J238" s="322">
        <v>4</v>
      </c>
      <c r="K238" s="326">
        <f>VLOOKUP($A238,Master!$B$50:$N$240,6,FALSE)</f>
        <v>85000</v>
      </c>
      <c r="L238" s="327">
        <f t="shared" si="28"/>
        <v>340000</v>
      </c>
      <c r="M238" s="325"/>
    </row>
    <row r="239" spans="1:13" ht="13">
      <c r="A239" s="21" t="s">
        <v>610</v>
      </c>
      <c r="B239" s="61" t="s">
        <v>611</v>
      </c>
      <c r="C239" s="316">
        <f>VLOOKUP($A239,Master!$B$50:$N$232,8,FALSE)</f>
        <v>50</v>
      </c>
      <c r="D239" s="316" t="str">
        <f>VLOOKUP($A239,Master!$B$50:$N$232,9,FALSE)</f>
        <v>pcs</v>
      </c>
      <c r="E239" s="317" t="str">
        <f>VLOOKUP($A239,Master!$B$50:$N$232,11,FALSE)</f>
        <v>Garnish Kering</v>
      </c>
      <c r="F239" s="318">
        <v>1</v>
      </c>
      <c r="G239" s="319" t="s">
        <v>62</v>
      </c>
      <c r="H239" s="320">
        <v>56000</v>
      </c>
      <c r="I239" s="321" t="b">
        <v>1</v>
      </c>
      <c r="J239" s="322">
        <v>1</v>
      </c>
      <c r="K239" s="326">
        <f>VLOOKUP($A239,Master!$B$50:$N$232,6,FALSE)</f>
        <v>56000</v>
      </c>
      <c r="L239" s="327">
        <f t="shared" si="28"/>
        <v>56000</v>
      </c>
      <c r="M239" s="325"/>
    </row>
    <row r="241" spans="1:13" ht="13">
      <c r="F241" s="427">
        <v>44823</v>
      </c>
      <c r="G241" s="428"/>
      <c r="H241" s="424"/>
      <c r="J241" s="429">
        <f>F241+1</f>
        <v>44824</v>
      </c>
      <c r="K241" s="428"/>
      <c r="L241" s="424"/>
    </row>
    <row r="242" spans="1:13" ht="13">
      <c r="F242" s="425" t="s">
        <v>1490</v>
      </c>
      <c r="G242" s="426"/>
      <c r="H242" s="304">
        <f>SUM(H244:H294)</f>
        <v>4603231</v>
      </c>
      <c r="J242" s="425" t="s">
        <v>1491</v>
      </c>
      <c r="K242" s="426"/>
      <c r="L242" s="304" t="e">
        <f>SUM(L244:L294)</f>
        <v>#N/A</v>
      </c>
    </row>
    <row r="243" spans="1:13" ht="13">
      <c r="A243" s="2" t="s">
        <v>4</v>
      </c>
      <c r="B243" s="305" t="s">
        <v>5</v>
      </c>
      <c r="C243" s="305" t="s">
        <v>1492</v>
      </c>
      <c r="D243" s="305" t="s">
        <v>12</v>
      </c>
      <c r="E243" s="306" t="s">
        <v>1493</v>
      </c>
      <c r="F243" s="307" t="s">
        <v>1494</v>
      </c>
      <c r="G243" s="308" t="s">
        <v>10</v>
      </c>
      <c r="H243" s="309" t="s">
        <v>1495</v>
      </c>
      <c r="I243" s="310" t="s">
        <v>1289</v>
      </c>
      <c r="J243" s="311" t="s">
        <v>1496</v>
      </c>
      <c r="K243" s="312" t="s">
        <v>1497</v>
      </c>
      <c r="L243" s="313" t="s">
        <v>1498</v>
      </c>
      <c r="M243" s="314" t="s">
        <v>16</v>
      </c>
    </row>
    <row r="244" spans="1:13" ht="13">
      <c r="A244" s="348" t="s">
        <v>1046</v>
      </c>
      <c r="B244" s="345" t="s">
        <v>1047</v>
      </c>
      <c r="C244" s="346" t="e">
        <f>VLOOKUP($A244,Master!$B$50:$N$232,8,FALSE)</f>
        <v>#N/A</v>
      </c>
      <c r="D244" s="346" t="e">
        <f>VLOOKUP($A244,Master!$B$50:$N$232,9,FALSE)</f>
        <v>#N/A</v>
      </c>
      <c r="E244" s="347" t="e">
        <f>VLOOKUP($A244,Master!$B$50:$N$232,11,FALSE)</f>
        <v>#N/A</v>
      </c>
      <c r="F244" s="318">
        <v>1</v>
      </c>
      <c r="G244" s="319" t="s">
        <v>62</v>
      </c>
      <c r="H244" s="320">
        <v>160000</v>
      </c>
      <c r="I244" s="321" t="b">
        <v>1</v>
      </c>
      <c r="J244" s="322"/>
      <c r="K244" s="323" t="e">
        <f>VLOOKUP($A244,Master!$B$50:$N$232,6,FALSE)</f>
        <v>#N/A</v>
      </c>
      <c r="L244" s="324" t="e">
        <f>J244*K244</f>
        <v>#N/A</v>
      </c>
      <c r="M244" s="325" t="s">
        <v>1510</v>
      </c>
    </row>
    <row r="245" spans="1:13" ht="13">
      <c r="A245" s="22" t="s">
        <v>639</v>
      </c>
      <c r="B245" s="330" t="s">
        <v>640</v>
      </c>
      <c r="C245" s="316">
        <f>VLOOKUP($A245,Master!$B$50:$N$232,8,FALSE)</f>
        <v>1000</v>
      </c>
      <c r="D245" s="316" t="str">
        <f>VLOOKUP($A245,Master!$B$50:$N$232,9,FALSE)</f>
        <v>gr</v>
      </c>
      <c r="E245" s="337" t="str">
        <f>VLOOKUP($A245,Master!$B$50:$N$232,11,FALSE)</f>
        <v>BISS (Topside)</v>
      </c>
      <c r="F245" s="318">
        <v>1</v>
      </c>
      <c r="G245" s="319" t="s">
        <v>36</v>
      </c>
      <c r="H245" s="320">
        <v>145000</v>
      </c>
      <c r="I245" s="321" t="b">
        <v>1</v>
      </c>
      <c r="J245" s="322">
        <v>2</v>
      </c>
      <c r="K245" s="326">
        <f>VLOOKUP($A245,Master!$B$50:$N$232,6,FALSE)</f>
        <v>145000</v>
      </c>
      <c r="L245" s="324">
        <v>260000</v>
      </c>
      <c r="M245" s="325" t="s">
        <v>1512</v>
      </c>
    </row>
    <row r="246" spans="1:13" ht="13">
      <c r="A246" s="21" t="s">
        <v>631</v>
      </c>
      <c r="B246" s="61" t="s">
        <v>632</v>
      </c>
      <c r="C246" s="316">
        <f>VLOOKUP($A246,Master!$B$50:$N$232,8,FALSE)</f>
        <v>1000</v>
      </c>
      <c r="D246" s="316" t="str">
        <f>VLOOKUP($A246,Master!$B$50:$N$232,9,FALSE)</f>
        <v>gr</v>
      </c>
      <c r="E246" s="317" t="str">
        <f>VLOOKUP($A246,Master!$B$50:$N$232,11,FALSE)</f>
        <v>Borma</v>
      </c>
      <c r="F246" s="318">
        <v>1</v>
      </c>
      <c r="G246" s="319" t="s">
        <v>36</v>
      </c>
      <c r="H246" s="320">
        <v>16000</v>
      </c>
      <c r="I246" s="321" t="b">
        <v>1</v>
      </c>
      <c r="J246" s="322">
        <v>1</v>
      </c>
      <c r="K246" s="326">
        <f>VLOOKUP($A246,Master!$B$50:$N$232,6,FALSE)</f>
        <v>18000</v>
      </c>
      <c r="L246" s="324">
        <v>18000</v>
      </c>
      <c r="M246" s="325"/>
    </row>
    <row r="247" spans="1:13" ht="13">
      <c r="A247" s="21" t="s">
        <v>1501</v>
      </c>
      <c r="B247" s="61" t="s">
        <v>908</v>
      </c>
      <c r="C247" s="316" t="e">
        <f>VLOOKUP($A247,Master!$B$50:$N$232,8,FALSE)</f>
        <v>#N/A</v>
      </c>
      <c r="D247" s="316" t="e">
        <f>VLOOKUP($A247,Master!$B$50:$N$232,9,FALSE)</f>
        <v>#N/A</v>
      </c>
      <c r="E247" s="317" t="e">
        <f>VLOOKUP($A247,Master!$B$50:$N$232,11,FALSE)</f>
        <v>#N/A</v>
      </c>
      <c r="F247" s="318">
        <v>1</v>
      </c>
      <c r="G247" s="319" t="s">
        <v>36</v>
      </c>
      <c r="H247" s="320">
        <v>5950</v>
      </c>
      <c r="I247" s="321" t="b">
        <v>1</v>
      </c>
      <c r="J247" s="322">
        <v>2</v>
      </c>
      <c r="K247" s="323" t="e">
        <f>VLOOKUP($A247,Master!$B$50:$N$232,6,FALSE)</f>
        <v>#N/A</v>
      </c>
      <c r="L247" s="324">
        <v>10710</v>
      </c>
      <c r="M247" s="325"/>
    </row>
    <row r="248" spans="1:13" ht="13">
      <c r="A248" s="21" t="s">
        <v>1094</v>
      </c>
      <c r="B248" s="61" t="s">
        <v>1095</v>
      </c>
      <c r="C248" s="316" t="e">
        <f>VLOOKUP($A248,Master!$B$50:$N$232,8,FALSE)</f>
        <v>#N/A</v>
      </c>
      <c r="D248" s="316" t="e">
        <f>VLOOKUP($A248,Master!$B$50:$N$232,9,FALSE)</f>
        <v>#N/A</v>
      </c>
      <c r="E248" s="317" t="e">
        <f>VLOOKUP($A248,Master!$B$50:$N$232,11,FALSE)</f>
        <v>#N/A</v>
      </c>
      <c r="F248" s="318">
        <v>1</v>
      </c>
      <c r="G248" s="319" t="s">
        <v>62</v>
      </c>
      <c r="H248" s="320">
        <v>19650</v>
      </c>
      <c r="I248" s="321" t="b">
        <v>1</v>
      </c>
      <c r="J248" s="322">
        <v>1</v>
      </c>
      <c r="K248" s="323" t="e">
        <f>VLOOKUP($A248,Master!$B$50:$N$232,6,FALSE)</f>
        <v>#N/A</v>
      </c>
      <c r="L248" s="324">
        <v>19454</v>
      </c>
      <c r="M248" s="325"/>
    </row>
    <row r="249" spans="1:13" ht="13">
      <c r="A249" s="21" t="s">
        <v>851</v>
      </c>
      <c r="B249" s="61" t="s">
        <v>852</v>
      </c>
      <c r="C249" s="316" t="e">
        <f>VLOOKUP($A249,Master!$B$50:$N$232,8,FALSE)</f>
        <v>#N/A</v>
      </c>
      <c r="D249" s="316" t="e">
        <f>VLOOKUP($A249,Master!$B$50:$N$232,9,FALSE)</f>
        <v>#N/A</v>
      </c>
      <c r="E249" s="317" t="e">
        <f>VLOOKUP($A249,Master!$B$50:$N$232,11,FALSE)</f>
        <v>#N/A</v>
      </c>
      <c r="F249" s="318">
        <v>3</v>
      </c>
      <c r="G249" s="319" t="s">
        <v>143</v>
      </c>
      <c r="H249" s="320">
        <v>91200</v>
      </c>
      <c r="I249" s="321" t="b">
        <v>1</v>
      </c>
      <c r="J249" s="322">
        <v>3</v>
      </c>
      <c r="K249" s="326" t="e">
        <f>VLOOKUP($A249,Master!$B$50:$N$232,6,FALSE)</f>
        <v>#N/A</v>
      </c>
      <c r="L249" s="327" t="e">
        <f t="shared" ref="L249:L251" si="29">J249*K249</f>
        <v>#N/A</v>
      </c>
      <c r="M249" s="325"/>
    </row>
    <row r="250" spans="1:13" ht="13">
      <c r="A250" s="21" t="s">
        <v>574</v>
      </c>
      <c r="B250" s="61" t="s">
        <v>575</v>
      </c>
      <c r="C250" s="316" t="e">
        <f>VLOOKUP($A250,Master!$B$50:$N$232,8,FALSE)</f>
        <v>#N/A</v>
      </c>
      <c r="D250" s="316" t="e">
        <f>VLOOKUP($A250,Master!$B$50:$N$232,9,FALSE)</f>
        <v>#N/A</v>
      </c>
      <c r="E250" s="317" t="e">
        <f>VLOOKUP($A250,Master!$B$50:$N$232,11,FALSE)</f>
        <v>#N/A</v>
      </c>
      <c r="F250" s="318">
        <v>1</v>
      </c>
      <c r="G250" s="319" t="s">
        <v>62</v>
      </c>
      <c r="H250" s="320">
        <v>170000</v>
      </c>
      <c r="I250" s="321" t="b">
        <v>1</v>
      </c>
      <c r="J250" s="322">
        <v>1</v>
      </c>
      <c r="K250" s="326" t="e">
        <f>VLOOKUP($A250,Master!$B$50:$N$232,6,FALSE)</f>
        <v>#N/A</v>
      </c>
      <c r="L250" s="327" t="e">
        <f t="shared" si="29"/>
        <v>#N/A</v>
      </c>
      <c r="M250" s="325"/>
    </row>
    <row r="251" spans="1:13" ht="13">
      <c r="A251" s="21" t="s">
        <v>582</v>
      </c>
      <c r="B251" s="61" t="s">
        <v>583</v>
      </c>
      <c r="C251" s="316">
        <f>VLOOKUP($A251,Master!$B$50:$N$232,8,FALSE)</f>
        <v>1000</v>
      </c>
      <c r="D251" s="316" t="str">
        <f>VLOOKUP($A251,Master!$B$50:$N$232,9,FALSE)</f>
        <v>gr</v>
      </c>
      <c r="E251" s="317" t="str">
        <f>VLOOKUP($A251,Master!$B$50:$N$232,11,FALSE)</f>
        <v>Dillco Group</v>
      </c>
      <c r="F251" s="318">
        <v>1</v>
      </c>
      <c r="G251" s="319" t="s">
        <v>62</v>
      </c>
      <c r="H251" s="320">
        <v>120000</v>
      </c>
      <c r="I251" s="321" t="b">
        <v>1</v>
      </c>
      <c r="J251" s="322">
        <v>1</v>
      </c>
      <c r="K251" s="326">
        <f>VLOOKUP($A251,Master!$B$50:$N$232,6,FALSE)</f>
        <v>120000</v>
      </c>
      <c r="L251" s="327">
        <f t="shared" si="29"/>
        <v>120000</v>
      </c>
      <c r="M251" s="325" t="s">
        <v>1531</v>
      </c>
    </row>
    <row r="252" spans="1:13" ht="13">
      <c r="A252" s="21" t="s">
        <v>651</v>
      </c>
      <c r="B252" s="61" t="s">
        <v>652</v>
      </c>
      <c r="C252" s="316">
        <f>VLOOKUP($A252,Master!$B$50:$N$232,8,FALSE)</f>
        <v>1000</v>
      </c>
      <c r="D252" s="316" t="str">
        <f>VLOOKUP($A252,Master!$B$50:$N$232,9,FALSE)</f>
        <v>gr</v>
      </c>
      <c r="E252" s="317" t="str">
        <f>VLOOKUP($A252,Master!$B$50:$N$232,11,FALSE)</f>
        <v>Eden Farm</v>
      </c>
      <c r="F252" s="318">
        <v>1</v>
      </c>
      <c r="G252" s="319" t="s">
        <v>36</v>
      </c>
      <c r="H252" s="320">
        <v>10200</v>
      </c>
      <c r="I252" s="321" t="b">
        <v>1</v>
      </c>
      <c r="J252" s="322">
        <v>1</v>
      </c>
      <c r="K252" s="326">
        <f>VLOOKUP($A252,Master!$B$50:$N$232,6,FALSE)</f>
        <v>18000</v>
      </c>
      <c r="L252" s="324">
        <v>9800</v>
      </c>
      <c r="M252" s="325" t="s">
        <v>1532</v>
      </c>
    </row>
    <row r="253" spans="1:13" ht="13">
      <c r="A253" s="21" t="s">
        <v>712</v>
      </c>
      <c r="B253" s="61" t="s">
        <v>713</v>
      </c>
      <c r="C253" s="316">
        <f>VLOOKUP($A253,Master!$B$50:$N$232,8,FALSE)</f>
        <v>1000</v>
      </c>
      <c r="D253" s="316" t="str">
        <f>VLOOKUP($A253,Master!$B$50:$N$232,9,FALSE)</f>
        <v>gr</v>
      </c>
      <c r="E253" s="317" t="str">
        <f>VLOOKUP($A253,Master!$B$50:$N$232,11,FALSE)</f>
        <v>Eden Farm</v>
      </c>
      <c r="F253" s="318">
        <v>1</v>
      </c>
      <c r="G253" s="319" t="s">
        <v>36</v>
      </c>
      <c r="H253" s="320">
        <v>24200</v>
      </c>
      <c r="I253" s="321" t="b">
        <v>1</v>
      </c>
      <c r="J253" s="322">
        <v>1</v>
      </c>
      <c r="K253" s="326">
        <f>VLOOKUP($A253,Master!$B$50:$N$232,6,FALSE)</f>
        <v>40000</v>
      </c>
      <c r="L253" s="324">
        <v>21300</v>
      </c>
      <c r="M253" s="325" t="s">
        <v>1532</v>
      </c>
    </row>
    <row r="254" spans="1:13" ht="13">
      <c r="A254" s="21" t="s">
        <v>732</v>
      </c>
      <c r="B254" s="61" t="s">
        <v>733</v>
      </c>
      <c r="C254" s="316">
        <f>VLOOKUP($A254,Master!$B$50:$N$232,8,FALSE)</f>
        <v>1000</v>
      </c>
      <c r="D254" s="316" t="str">
        <f>VLOOKUP($A254,Master!$B$50:$N$232,9,FALSE)</f>
        <v>gr</v>
      </c>
      <c r="E254" s="317" t="str">
        <f>VLOOKUP($A254,Master!$B$50:$N$232,11,FALSE)</f>
        <v>Eden Farm</v>
      </c>
      <c r="F254" s="318">
        <v>3</v>
      </c>
      <c r="G254" s="319" t="s">
        <v>36</v>
      </c>
      <c r="H254" s="320">
        <v>59700</v>
      </c>
      <c r="I254" s="321" t="b">
        <v>1</v>
      </c>
      <c r="J254" s="322">
        <v>3</v>
      </c>
      <c r="K254" s="326">
        <f>VLOOKUP($A254,Master!$B$50:$N$232,6,FALSE)</f>
        <v>40000</v>
      </c>
      <c r="L254" s="324">
        <v>58200</v>
      </c>
      <c r="M254" s="325" t="s">
        <v>1532</v>
      </c>
    </row>
    <row r="255" spans="1:13" ht="13">
      <c r="A255" s="21" t="s">
        <v>744</v>
      </c>
      <c r="B255" s="61" t="s">
        <v>745</v>
      </c>
      <c r="C255" s="316">
        <f>VLOOKUP($A255,Master!$B$50:$N$232,8,FALSE)</f>
        <v>1000</v>
      </c>
      <c r="D255" s="316" t="str">
        <f>VLOOKUP($A255,Master!$B$50:$N$232,9,FALSE)</f>
        <v>gr</v>
      </c>
      <c r="E255" s="317" t="str">
        <f>VLOOKUP($A255,Master!$B$50:$N$232,11,FALSE)</f>
        <v>Eden Farm</v>
      </c>
      <c r="F255" s="318">
        <v>1</v>
      </c>
      <c r="G255" s="319" t="s">
        <v>36</v>
      </c>
      <c r="H255" s="320">
        <v>54500</v>
      </c>
      <c r="I255" s="321" t="b">
        <v>1</v>
      </c>
      <c r="J255" s="322">
        <v>1</v>
      </c>
      <c r="K255" s="326">
        <f>VLOOKUP($A255,Master!$B$50:$N$232,6,FALSE)</f>
        <v>58600</v>
      </c>
      <c r="L255" s="324">
        <v>50700</v>
      </c>
      <c r="M255" s="325" t="s">
        <v>1532</v>
      </c>
    </row>
    <row r="256" spans="1:13" ht="13">
      <c r="A256" s="21" t="s">
        <v>919</v>
      </c>
      <c r="B256" s="61" t="s">
        <v>920</v>
      </c>
      <c r="C256" s="316">
        <f>VLOOKUP($A256,Master!$B$50:$N$232,8,FALSE)</f>
        <v>1000</v>
      </c>
      <c r="D256" s="316" t="str">
        <f>VLOOKUP($A256,Master!$B$50:$N$232,9,FALSE)</f>
        <v>gr</v>
      </c>
      <c r="E256" s="317" t="str">
        <f>VLOOKUP($A256,Master!$B$50:$N$232,11,FALSE)</f>
        <v>Eden Farm</v>
      </c>
      <c r="F256" s="318">
        <v>1</v>
      </c>
      <c r="G256" s="319" t="s">
        <v>62</v>
      </c>
      <c r="H256" s="320">
        <v>39900</v>
      </c>
      <c r="I256" s="321" t="b">
        <v>1</v>
      </c>
      <c r="J256" s="322">
        <v>1</v>
      </c>
      <c r="K256" s="326">
        <f>VLOOKUP($A256,Master!$B$50:$N$232,6,FALSE)</f>
        <v>50000</v>
      </c>
      <c r="L256" s="324">
        <v>29800</v>
      </c>
      <c r="M256" s="325" t="s">
        <v>1532</v>
      </c>
    </row>
    <row r="257" spans="1:13" ht="13">
      <c r="A257" s="21" t="s">
        <v>1020</v>
      </c>
      <c r="B257" s="61" t="s">
        <v>1021</v>
      </c>
      <c r="C257" s="316">
        <f>VLOOKUP($A257,Master!$B$50:$N$232,8,FALSE)</f>
        <v>1000</v>
      </c>
      <c r="D257" s="316" t="str">
        <f>VLOOKUP($A257,Master!$B$50:$N$232,9,FALSE)</f>
        <v>gr</v>
      </c>
      <c r="E257" s="317" t="str">
        <f>VLOOKUP($A257,Master!$B$50:$N$232,11,FALSE)</f>
        <v>Eden Farm</v>
      </c>
      <c r="F257" s="318">
        <v>1</v>
      </c>
      <c r="G257" s="319" t="s">
        <v>36</v>
      </c>
      <c r="H257" s="320">
        <v>21800</v>
      </c>
      <c r="I257" s="321" t="b">
        <v>1</v>
      </c>
      <c r="J257" s="322">
        <v>1</v>
      </c>
      <c r="K257" s="326">
        <f>VLOOKUP($A257,Master!$B$50:$N$232,6,FALSE)</f>
        <v>24000</v>
      </c>
      <c r="L257" s="324">
        <v>15100</v>
      </c>
      <c r="M257" s="325" t="s">
        <v>1532</v>
      </c>
    </row>
    <row r="258" spans="1:13" ht="13">
      <c r="A258" s="21" t="s">
        <v>1050</v>
      </c>
      <c r="B258" s="61" t="s">
        <v>1051</v>
      </c>
      <c r="C258" s="316" t="e">
        <f>VLOOKUP($A258,Master!$B$50:$N$232,8,FALSE)</f>
        <v>#N/A</v>
      </c>
      <c r="D258" s="316" t="e">
        <f>VLOOKUP($A258,Master!$B$50:$N$232,9,FALSE)</f>
        <v>#N/A</v>
      </c>
      <c r="E258" s="317" t="e">
        <f>VLOOKUP($A258,Master!$B$50:$N$232,11,FALSE)</f>
        <v>#N/A</v>
      </c>
      <c r="F258" s="318">
        <v>0.5</v>
      </c>
      <c r="G258" s="319" t="s">
        <v>36</v>
      </c>
      <c r="H258" s="320">
        <v>9700</v>
      </c>
      <c r="I258" s="321" t="b">
        <v>1</v>
      </c>
      <c r="J258" s="322">
        <v>0.5</v>
      </c>
      <c r="K258" s="323" t="e">
        <f>VLOOKUP($A258,Master!$B$50:$N$232,6,FALSE)</f>
        <v>#N/A</v>
      </c>
      <c r="L258" s="324">
        <v>4450</v>
      </c>
      <c r="M258" s="325" t="s">
        <v>1532</v>
      </c>
    </row>
    <row r="259" spans="1:13" ht="13">
      <c r="A259" s="21" t="s">
        <v>659</v>
      </c>
      <c r="B259" s="61" t="s">
        <v>660</v>
      </c>
      <c r="C259" s="316">
        <f>VLOOKUP($A259,Master!$B$50:$N$232,8,FALSE)</f>
        <v>15</v>
      </c>
      <c r="D259" s="316" t="str">
        <f>VLOOKUP($A259,Master!$B$50:$N$232,9,FALSE)</f>
        <v>pcs</v>
      </c>
      <c r="E259" s="317" t="str">
        <f>VLOOKUP($A259,Master!$B$50:$N$232,11,FALSE)</f>
        <v>Feri Supriadi (Telur , Beras , Minyak )</v>
      </c>
      <c r="F259" s="318">
        <v>3</v>
      </c>
      <c r="G259" s="319" t="s">
        <v>36</v>
      </c>
      <c r="H259" s="320">
        <v>84000</v>
      </c>
      <c r="I259" s="321" t="b">
        <v>1</v>
      </c>
      <c r="J259" s="322">
        <v>3</v>
      </c>
      <c r="K259" s="326">
        <f>VLOOKUP($A259,Master!$B$50:$N$232,6,FALSE)</f>
        <v>28000</v>
      </c>
      <c r="L259" s="324">
        <v>82500</v>
      </c>
      <c r="M259" s="325"/>
    </row>
    <row r="260" spans="1:13" ht="13">
      <c r="A260" s="18" t="s">
        <v>1054</v>
      </c>
      <c r="B260" s="328" t="s">
        <v>1055</v>
      </c>
      <c r="C260" s="316" t="e">
        <f>VLOOKUP($A260,Master!$B$50:$N$232,8,FALSE)</f>
        <v>#N/A</v>
      </c>
      <c r="D260" s="316" t="e">
        <f>VLOOKUP($A260,Master!$B$50:$N$232,9,FALSE)</f>
        <v>#N/A</v>
      </c>
      <c r="E260" s="317" t="e">
        <f>VLOOKUP($A260,Master!$B$50:$N$232,11,FALSE)</f>
        <v>#N/A</v>
      </c>
      <c r="F260" s="318">
        <v>3</v>
      </c>
      <c r="G260" s="319" t="s">
        <v>36</v>
      </c>
      <c r="H260" s="320">
        <v>525000</v>
      </c>
      <c r="I260" s="321" t="b">
        <v>1</v>
      </c>
      <c r="J260" s="322">
        <v>3</v>
      </c>
      <c r="K260" s="323" t="e">
        <f>VLOOKUP($A260,Master!$B$50:$N$232,6,FALSE)</f>
        <v>#N/A</v>
      </c>
      <c r="L260" s="324" t="e">
        <f t="shared" ref="L260:L264" si="30">J260*K260</f>
        <v>#N/A</v>
      </c>
      <c r="M260" s="325"/>
    </row>
    <row r="261" spans="1:13" ht="13">
      <c r="A261" s="21" t="s">
        <v>586</v>
      </c>
      <c r="B261" s="61" t="s">
        <v>587</v>
      </c>
      <c r="C261" s="316">
        <f>VLOOKUP($A261,Master!$B$50:$N$232,8,FALSE)</f>
        <v>20</v>
      </c>
      <c r="D261" s="316" t="str">
        <f>VLOOKUP($A261,Master!$B$50:$N$232,9,FALSE)</f>
        <v>pcs</v>
      </c>
      <c r="E261" s="317" t="str">
        <f>VLOOKUP($A261,Master!$B$50:$N$232,11,FALSE)</f>
        <v>Kurnia Mas</v>
      </c>
      <c r="F261" s="318">
        <v>2</v>
      </c>
      <c r="G261" s="319" t="s">
        <v>62</v>
      </c>
      <c r="H261" s="320">
        <v>15000</v>
      </c>
      <c r="I261" s="321" t="b">
        <v>1</v>
      </c>
      <c r="J261" s="322">
        <v>2</v>
      </c>
      <c r="K261" s="326">
        <f>VLOOKUP($A261,Master!$B$50:$N$232,6,FALSE)</f>
        <v>8500</v>
      </c>
      <c r="L261" s="327">
        <f t="shared" si="30"/>
        <v>17000</v>
      </c>
      <c r="M261" s="325"/>
    </row>
    <row r="262" spans="1:13" ht="13">
      <c r="A262" s="21" t="s">
        <v>735</v>
      </c>
      <c r="B262" s="61" t="s">
        <v>736</v>
      </c>
      <c r="C262" s="316">
        <f>VLOOKUP($A262,Master!$B$50:$N$232,8,FALSE)</f>
        <v>700</v>
      </c>
      <c r="D262" s="316" t="str">
        <f>VLOOKUP($A262,Master!$B$50:$N$232,9,FALSE)</f>
        <v>gr</v>
      </c>
      <c r="E262" s="317" t="str">
        <f>VLOOKUP($A262,Master!$B$50:$N$232,11,FALSE)</f>
        <v>Kurnia Mas</v>
      </c>
      <c r="F262" s="318">
        <v>1</v>
      </c>
      <c r="G262" s="319" t="s">
        <v>97</v>
      </c>
      <c r="H262" s="320">
        <v>48000</v>
      </c>
      <c r="I262" s="321" t="b">
        <v>1</v>
      </c>
      <c r="J262" s="322">
        <v>1</v>
      </c>
      <c r="K262" s="326">
        <f>VLOOKUP($A262,Master!$B$50:$N$232,6,FALSE)</f>
        <v>52500</v>
      </c>
      <c r="L262" s="327">
        <f t="shared" si="30"/>
        <v>52500</v>
      </c>
      <c r="M262" s="325"/>
    </row>
    <row r="263" spans="1:13" ht="13">
      <c r="A263" s="21" t="s">
        <v>949</v>
      </c>
      <c r="B263" s="61" t="s">
        <v>950</v>
      </c>
      <c r="C263" s="316" t="e">
        <f>VLOOKUP($A263,Master!$B$50:$N$232,8,FALSE)</f>
        <v>#N/A</v>
      </c>
      <c r="D263" s="316" t="e">
        <f>VLOOKUP($A263,Master!$B$50:$N$232,9,FALSE)</f>
        <v>#N/A</v>
      </c>
      <c r="E263" s="317" t="e">
        <f>VLOOKUP($A263,Master!$B$50:$N$232,11,FALSE)</f>
        <v>#N/A</v>
      </c>
      <c r="F263" s="318">
        <v>1</v>
      </c>
      <c r="G263" s="319" t="s">
        <v>97</v>
      </c>
      <c r="H263" s="320">
        <v>27000</v>
      </c>
      <c r="I263" s="321" t="b">
        <v>1</v>
      </c>
      <c r="J263" s="322">
        <v>1</v>
      </c>
      <c r="K263" s="326" t="e">
        <f>VLOOKUP($A263,Master!$B$50:$N$232,6,FALSE)</f>
        <v>#N/A</v>
      </c>
      <c r="L263" s="327" t="e">
        <f t="shared" si="30"/>
        <v>#N/A</v>
      </c>
      <c r="M263" s="325"/>
    </row>
    <row r="264" spans="1:13" ht="13">
      <c r="A264" s="18" t="s">
        <v>1096</v>
      </c>
      <c r="B264" s="328" t="s">
        <v>1097</v>
      </c>
      <c r="C264" s="316" t="e">
        <f>VLOOKUP($A264,Master!$B$50:$N$232,8,FALSE)</f>
        <v>#N/A</v>
      </c>
      <c r="D264" s="316" t="e">
        <f>VLOOKUP($A264,Master!$B$50:$N$232,9,FALSE)</f>
        <v>#N/A</v>
      </c>
      <c r="E264" s="317" t="e">
        <f>VLOOKUP($A264,Master!$B$50:$N$232,11,FALSE)</f>
        <v>#N/A</v>
      </c>
      <c r="F264" s="318">
        <v>1</v>
      </c>
      <c r="G264" s="319" t="s">
        <v>62</v>
      </c>
      <c r="H264" s="320">
        <v>17500</v>
      </c>
      <c r="I264" s="321" t="b">
        <v>0</v>
      </c>
      <c r="J264" s="322"/>
      <c r="K264" s="323" t="e">
        <f>VLOOKUP($A264,Master!$B$50:$N$232,6,FALSE)</f>
        <v>#N/A</v>
      </c>
      <c r="L264" s="324" t="e">
        <f t="shared" si="30"/>
        <v>#N/A</v>
      </c>
      <c r="M264" s="325"/>
    </row>
    <row r="265" spans="1:13" ht="13">
      <c r="A265" s="22" t="s">
        <v>663</v>
      </c>
      <c r="B265" s="330" t="s">
        <v>664</v>
      </c>
      <c r="C265" s="316">
        <f>VLOOKUP($A265,Master!$B$50:$N$232,8,FALSE)</f>
        <v>1000</v>
      </c>
      <c r="D265" s="316" t="str">
        <f>VLOOKUP($A265,Master!$B$50:$N$232,9,FALSE)</f>
        <v>gr</v>
      </c>
      <c r="E265" s="317" t="str">
        <f>VLOOKUP($A265,Master!$B$50:$N$232,11,FALSE)</f>
        <v>Toko Lain</v>
      </c>
      <c r="F265" s="318">
        <v>2</v>
      </c>
      <c r="G265" s="319" t="s">
        <v>36</v>
      </c>
      <c r="H265" s="320">
        <v>89000</v>
      </c>
      <c r="I265" s="321" t="b">
        <v>1</v>
      </c>
      <c r="J265" s="322">
        <v>2</v>
      </c>
      <c r="K265" s="326">
        <f>VLOOKUP($A265,Master!$B$50:$N$232,6,FALSE)</f>
        <v>45000</v>
      </c>
      <c r="L265" s="324">
        <v>70000</v>
      </c>
      <c r="M265" s="325"/>
    </row>
    <row r="266" spans="1:13" ht="13">
      <c r="A266" s="22" t="s">
        <v>675</v>
      </c>
      <c r="B266" s="330" t="s">
        <v>676</v>
      </c>
      <c r="C266" s="316">
        <f>VLOOKUP($A266,Master!$B$50:$N$232,8,FALSE)</f>
        <v>20</v>
      </c>
      <c r="D266" s="316" t="str">
        <f>VLOOKUP($A266,Master!$B$50:$N$232,9,FALSE)</f>
        <v>unit</v>
      </c>
      <c r="E266" s="317" t="str">
        <f>VLOOKUP($A266,Master!$B$50:$N$232,11,FALSE)</f>
        <v>RSB, Dago</v>
      </c>
      <c r="F266" s="318">
        <v>15</v>
      </c>
      <c r="G266" s="319" t="s">
        <v>62</v>
      </c>
      <c r="H266" s="320">
        <v>90000</v>
      </c>
      <c r="I266" s="321" t="b">
        <v>1</v>
      </c>
      <c r="J266" s="322">
        <v>10</v>
      </c>
      <c r="K266" s="326">
        <f>VLOOKUP($A266,Master!$B$50:$N$232,6,FALSE)</f>
        <v>13500</v>
      </c>
      <c r="L266" s="327">
        <f t="shared" ref="L266:L272" si="31">J266*K266</f>
        <v>135000</v>
      </c>
      <c r="M266" s="325"/>
    </row>
    <row r="267" spans="1:13" ht="13">
      <c r="A267" s="21" t="s">
        <v>519</v>
      </c>
      <c r="B267" s="61" t="s">
        <v>520</v>
      </c>
      <c r="C267" s="316" t="e">
        <f>VLOOKUP($A267,Master!$B$50:$N$232,8,FALSE)</f>
        <v>#N/A</v>
      </c>
      <c r="D267" s="316" t="e">
        <f>VLOOKUP($A267,Master!$B$50:$N$232,9,FALSE)</f>
        <v>#N/A</v>
      </c>
      <c r="E267" s="317" t="e">
        <f>VLOOKUP($A267,Master!$B$50:$N$232,11,FALSE)</f>
        <v>#N/A</v>
      </c>
      <c r="F267" s="318">
        <v>3</v>
      </c>
      <c r="G267" s="319" t="s">
        <v>36</v>
      </c>
      <c r="H267" s="320">
        <v>42000</v>
      </c>
      <c r="I267" s="321" t="b">
        <v>1</v>
      </c>
      <c r="J267" s="322">
        <v>3</v>
      </c>
      <c r="K267" s="323">
        <v>14250</v>
      </c>
      <c r="L267" s="324">
        <f t="shared" si="31"/>
        <v>42750</v>
      </c>
      <c r="M267" s="325"/>
    </row>
    <row r="268" spans="1:13" ht="13">
      <c r="A268" s="21" t="s">
        <v>528</v>
      </c>
      <c r="B268" s="61" t="s">
        <v>529</v>
      </c>
      <c r="C268" s="316" t="e">
        <f>VLOOKUP($A268,Master!$B$50:$N$232,8,FALSE)</f>
        <v>#N/A</v>
      </c>
      <c r="D268" s="316" t="e">
        <f>VLOOKUP($A268,Master!$B$50:$N$232,9,FALSE)</f>
        <v>#N/A</v>
      </c>
      <c r="E268" s="317" t="e">
        <f>VLOOKUP($A268,Master!$B$50:$N$232,11,FALSE)</f>
        <v>#N/A</v>
      </c>
      <c r="F268" s="318">
        <v>8</v>
      </c>
      <c r="G268" s="319" t="s">
        <v>50</v>
      </c>
      <c r="H268" s="320">
        <v>128000</v>
      </c>
      <c r="I268" s="321" t="b">
        <v>1</v>
      </c>
      <c r="J268" s="322">
        <v>8</v>
      </c>
      <c r="K268" s="326" t="e">
        <f>VLOOKUP($A268,Master!$B$50:$N$232,6,FALSE)</f>
        <v>#N/A</v>
      </c>
      <c r="L268" s="327" t="e">
        <f t="shared" si="31"/>
        <v>#N/A</v>
      </c>
      <c r="M268" s="325"/>
    </row>
    <row r="269" spans="1:13" ht="13">
      <c r="A269" s="21" t="s">
        <v>635</v>
      </c>
      <c r="B269" s="61" t="s">
        <v>636</v>
      </c>
      <c r="C269" s="316" t="e">
        <f>VLOOKUP($A269,Master!$B$50:$N$232,8,FALSE)</f>
        <v>#N/A</v>
      </c>
      <c r="D269" s="316" t="e">
        <f>VLOOKUP($A269,Master!$B$50:$N$232,9,FALSE)</f>
        <v>#N/A</v>
      </c>
      <c r="E269" s="317" t="e">
        <f>VLOOKUP($A269,Master!$B$50:$N$232,11,FALSE)</f>
        <v>#N/A</v>
      </c>
      <c r="F269" s="318">
        <v>10</v>
      </c>
      <c r="G269" s="319" t="s">
        <v>50</v>
      </c>
      <c r="H269" s="320">
        <v>110000</v>
      </c>
      <c r="I269" s="321" t="b">
        <v>1</v>
      </c>
      <c r="J269" s="322">
        <v>10</v>
      </c>
      <c r="K269" s="326" t="e">
        <f>VLOOKUP($A269,Master!$B$50:$N$232,6,FALSE)</f>
        <v>#N/A</v>
      </c>
      <c r="L269" s="327" t="e">
        <f t="shared" si="31"/>
        <v>#N/A</v>
      </c>
      <c r="M269" s="325"/>
    </row>
    <row r="270" spans="1:13" ht="13">
      <c r="A270" s="21" t="s">
        <v>643</v>
      </c>
      <c r="B270" s="61" t="s">
        <v>644</v>
      </c>
      <c r="C270" s="316">
        <f>VLOOKUP($A270,Master!$B$50:$N$232,8,FALSE)</f>
        <v>1000</v>
      </c>
      <c r="D270" s="316" t="str">
        <f>VLOOKUP($A270,Master!$B$50:$N$232,9,FALSE)</f>
        <v>gr</v>
      </c>
      <c r="E270" s="317" t="str">
        <f>VLOOKUP($A270,Master!$B$50:$N$232,11,FALSE)</f>
        <v>PD Aroma Jaya</v>
      </c>
      <c r="F270" s="318">
        <v>1</v>
      </c>
      <c r="G270" s="319" t="s">
        <v>36</v>
      </c>
      <c r="H270" s="320">
        <v>16000</v>
      </c>
      <c r="I270" s="321" t="b">
        <v>1</v>
      </c>
      <c r="J270" s="322">
        <v>1</v>
      </c>
      <c r="K270" s="326">
        <f>VLOOKUP($A270,Master!$B$50:$N$232,6,FALSE)</f>
        <v>17000</v>
      </c>
      <c r="L270" s="327">
        <f t="shared" si="31"/>
        <v>17000</v>
      </c>
      <c r="M270" s="325"/>
    </row>
    <row r="271" spans="1:13" ht="13">
      <c r="A271" s="21" t="s">
        <v>680</v>
      </c>
      <c r="B271" s="61" t="s">
        <v>681</v>
      </c>
      <c r="C271" s="316" t="e">
        <f>VLOOKUP($A271,Master!$B$50:$N$232,8,FALSE)</f>
        <v>#N/A</v>
      </c>
      <c r="D271" s="316" t="e">
        <f>VLOOKUP($A271,Master!$B$50:$N$232,9,FALSE)</f>
        <v>#N/A</v>
      </c>
      <c r="E271" s="317" t="e">
        <f>VLOOKUP($A271,Master!$B$50:$N$232,11,FALSE)</f>
        <v>#N/A</v>
      </c>
      <c r="F271" s="318">
        <v>3</v>
      </c>
      <c r="G271" s="319" t="s">
        <v>97</v>
      </c>
      <c r="H271" s="320">
        <v>90000</v>
      </c>
      <c r="I271" s="321" t="b">
        <v>1</v>
      </c>
      <c r="J271" s="322">
        <v>3</v>
      </c>
      <c r="K271" s="323">
        <v>31000</v>
      </c>
      <c r="L271" s="324">
        <f t="shared" si="31"/>
        <v>93000</v>
      </c>
      <c r="M271" s="325"/>
    </row>
    <row r="272" spans="1:13" ht="13">
      <c r="A272" s="21" t="s">
        <v>696</v>
      </c>
      <c r="B272" s="61" t="s">
        <v>697</v>
      </c>
      <c r="C272" s="316" t="e">
        <f>VLOOKUP($A272,Master!$B$50:$N$232,8,FALSE)</f>
        <v>#N/A</v>
      </c>
      <c r="D272" s="316" t="e">
        <f>VLOOKUP($A272,Master!$B$50:$N$232,9,FALSE)</f>
        <v>#N/A</v>
      </c>
      <c r="E272" s="317" t="e">
        <f>VLOOKUP($A272,Master!$B$50:$N$232,11,FALSE)</f>
        <v>#N/A</v>
      </c>
      <c r="F272" s="318">
        <v>5</v>
      </c>
      <c r="G272" s="319" t="s">
        <v>62</v>
      </c>
      <c r="H272" s="320">
        <v>70000</v>
      </c>
      <c r="I272" s="321" t="b">
        <v>1</v>
      </c>
      <c r="J272" s="322">
        <v>5</v>
      </c>
      <c r="K272" s="323">
        <v>14250</v>
      </c>
      <c r="L272" s="324">
        <f t="shared" si="31"/>
        <v>71250</v>
      </c>
      <c r="M272" s="325"/>
    </row>
    <row r="273" spans="1:13" ht="13">
      <c r="A273" s="21" t="s">
        <v>748</v>
      </c>
      <c r="B273" s="61" t="s">
        <v>749</v>
      </c>
      <c r="C273" s="316" t="e">
        <f>VLOOKUP($A273,Master!$B$50:$N$232,8,FALSE)</f>
        <v>#N/A</v>
      </c>
      <c r="D273" s="316" t="e">
        <f>VLOOKUP($A273,Master!$B$50:$N$232,9,FALSE)</f>
        <v>#N/A</v>
      </c>
      <c r="E273" s="317" t="e">
        <f>VLOOKUP($A273,Master!$B$50:$N$232,11,FALSE)</f>
        <v>#N/A</v>
      </c>
      <c r="F273" s="318">
        <v>2</v>
      </c>
      <c r="G273" s="319" t="s">
        <v>62</v>
      </c>
      <c r="H273" s="320">
        <v>55000</v>
      </c>
      <c r="I273" s="321" t="b">
        <v>1</v>
      </c>
      <c r="J273" s="322">
        <v>2</v>
      </c>
      <c r="K273" s="326" t="e">
        <f>VLOOKUP($A273,Master!$B$50:$N$232,6,FALSE)</f>
        <v>#N/A</v>
      </c>
      <c r="L273" s="324">
        <v>54000</v>
      </c>
      <c r="M273" s="325"/>
    </row>
    <row r="274" spans="1:13" ht="13">
      <c r="A274" s="21" t="s">
        <v>773</v>
      </c>
      <c r="B274" s="61" t="s">
        <v>774</v>
      </c>
      <c r="C274" s="316" t="e">
        <f>VLOOKUP($A274,Master!$B$50:$N$232,8,FALSE)</f>
        <v>#N/A</v>
      </c>
      <c r="D274" s="316" t="e">
        <f>VLOOKUP($A274,Master!$B$50:$N$232,9,FALSE)</f>
        <v>#N/A</v>
      </c>
      <c r="E274" s="317" t="e">
        <f>VLOOKUP($A274,Master!$B$50:$N$232,11,FALSE)</f>
        <v>#N/A</v>
      </c>
      <c r="F274" s="318">
        <v>2</v>
      </c>
      <c r="G274" s="319" t="s">
        <v>62</v>
      </c>
      <c r="H274" s="320">
        <v>28000</v>
      </c>
      <c r="I274" s="321" t="b">
        <v>1</v>
      </c>
      <c r="J274" s="322">
        <v>2</v>
      </c>
      <c r="K274" s="326" t="e">
        <f>VLOOKUP($A274,Master!$B$50:$N$232,6,FALSE)</f>
        <v>#N/A</v>
      </c>
      <c r="L274" s="327" t="e">
        <f t="shared" ref="L274:L279" si="32">J274*K274</f>
        <v>#N/A</v>
      </c>
      <c r="M274" s="325"/>
    </row>
    <row r="275" spans="1:13" ht="13">
      <c r="A275" s="21" t="s">
        <v>934</v>
      </c>
      <c r="B275" s="61" t="s">
        <v>935</v>
      </c>
      <c r="C275" s="316" t="e">
        <f>VLOOKUP($A275,Master!$B$50:$N$232,8,FALSE)</f>
        <v>#N/A</v>
      </c>
      <c r="D275" s="316" t="e">
        <f>VLOOKUP($A275,Master!$B$50:$N$232,9,FALSE)</f>
        <v>#N/A</v>
      </c>
      <c r="E275" s="317" t="e">
        <f>VLOOKUP($A275,Master!$B$50:$N$232,11,FALSE)</f>
        <v>#N/A</v>
      </c>
      <c r="F275" s="318">
        <v>4</v>
      </c>
      <c r="G275" s="319" t="s">
        <v>62</v>
      </c>
      <c r="H275" s="320">
        <v>31600</v>
      </c>
      <c r="I275" s="321" t="b">
        <v>1</v>
      </c>
      <c r="J275" s="322">
        <v>4</v>
      </c>
      <c r="K275" s="326" t="e">
        <f>VLOOKUP($A275,Master!$B$50:$N$232,6,FALSE)</f>
        <v>#N/A</v>
      </c>
      <c r="L275" s="327" t="e">
        <f t="shared" si="32"/>
        <v>#N/A</v>
      </c>
      <c r="M275" s="325"/>
    </row>
    <row r="276" spans="1:13" ht="13">
      <c r="A276" s="21" t="s">
        <v>943</v>
      </c>
      <c r="B276" s="61" t="s">
        <v>944</v>
      </c>
      <c r="C276" s="316" t="e">
        <f>VLOOKUP($A276,Master!$B$50:$N$232,8,FALSE)</f>
        <v>#N/A</v>
      </c>
      <c r="D276" s="316" t="e">
        <f>VLOOKUP($A276,Master!$B$50:$N$232,9,FALSE)</f>
        <v>#N/A</v>
      </c>
      <c r="E276" s="317" t="e">
        <f>VLOOKUP($A276,Master!$B$50:$N$232,11,FALSE)</f>
        <v>#N/A</v>
      </c>
      <c r="F276" s="318">
        <v>1</v>
      </c>
      <c r="G276" s="319" t="s">
        <v>62</v>
      </c>
      <c r="H276" s="320">
        <v>7900</v>
      </c>
      <c r="I276" s="321" t="b">
        <v>1</v>
      </c>
      <c r="J276" s="322">
        <v>1</v>
      </c>
      <c r="K276" s="326" t="e">
        <f>VLOOKUP($A276,Master!$B$50:$N$232,6,FALSE)</f>
        <v>#N/A</v>
      </c>
      <c r="L276" s="327" t="e">
        <f t="shared" si="32"/>
        <v>#N/A</v>
      </c>
      <c r="M276" s="325"/>
    </row>
    <row r="277" spans="1:13" ht="13">
      <c r="A277" s="21" t="s">
        <v>955</v>
      </c>
      <c r="B277" s="61" t="s">
        <v>956</v>
      </c>
      <c r="C277" s="316" t="e">
        <f>VLOOKUP($A277,Master!$B$50:$N$232,8,FALSE)</f>
        <v>#N/A</v>
      </c>
      <c r="D277" s="316" t="e">
        <f>VLOOKUP($A277,Master!$B$50:$N$232,9,FALSE)</f>
        <v>#N/A</v>
      </c>
      <c r="E277" s="317" t="e">
        <f>VLOOKUP($A277,Master!$B$50:$N$232,11,FALSE)</f>
        <v>#N/A</v>
      </c>
      <c r="F277" s="318">
        <v>1</v>
      </c>
      <c r="G277" s="319" t="s">
        <v>97</v>
      </c>
      <c r="H277" s="320">
        <v>20250</v>
      </c>
      <c r="I277" s="321" t="b">
        <v>1</v>
      </c>
      <c r="J277" s="322">
        <v>1</v>
      </c>
      <c r="K277" s="326" t="e">
        <f>VLOOKUP($A277,Master!$B$50:$N$232,6,FALSE)</f>
        <v>#N/A</v>
      </c>
      <c r="L277" s="327" t="e">
        <f t="shared" si="32"/>
        <v>#N/A</v>
      </c>
      <c r="M277" s="325"/>
    </row>
    <row r="278" spans="1:13" ht="13">
      <c r="A278" s="21" t="s">
        <v>1000</v>
      </c>
      <c r="B278" s="61" t="s">
        <v>1001</v>
      </c>
      <c r="C278" s="316">
        <f>VLOOKUP($A278,Master!$B$50:$N$232,8,FALSE)</f>
        <v>1000</v>
      </c>
      <c r="D278" s="316" t="str">
        <f>VLOOKUP($A278,Master!$B$50:$N$232,9,FALSE)</f>
        <v>gr</v>
      </c>
      <c r="E278" s="317" t="str">
        <f>VLOOKUP($A278,Master!$B$50:$N$232,11,FALSE)</f>
        <v>PD Aroma Jaya</v>
      </c>
      <c r="F278" s="318">
        <v>1</v>
      </c>
      <c r="G278" s="319" t="s">
        <v>62</v>
      </c>
      <c r="H278" s="320">
        <v>42000</v>
      </c>
      <c r="I278" s="321" t="b">
        <v>1</v>
      </c>
      <c r="J278" s="322">
        <v>1</v>
      </c>
      <c r="K278" s="323">
        <v>44500</v>
      </c>
      <c r="L278" s="324">
        <f t="shared" si="32"/>
        <v>44500</v>
      </c>
      <c r="M278" s="325"/>
    </row>
    <row r="279" spans="1:13" ht="13">
      <c r="A279" s="21" t="s">
        <v>1068</v>
      </c>
      <c r="B279" s="61" t="s">
        <v>1069</v>
      </c>
      <c r="C279" s="316" t="e">
        <f>VLOOKUP($A279,Master!$B$50:$N$232,8,FALSE)</f>
        <v>#N/A</v>
      </c>
      <c r="D279" s="316" t="e">
        <f>VLOOKUP($A279,Master!$B$50:$N$232,9,FALSE)</f>
        <v>#N/A</v>
      </c>
      <c r="E279" s="317" t="e">
        <f>VLOOKUP($A279,Master!$B$50:$N$232,11,FALSE)</f>
        <v>#N/A</v>
      </c>
      <c r="F279" s="318">
        <v>2</v>
      </c>
      <c r="G279" s="319" t="s">
        <v>36</v>
      </c>
      <c r="H279" s="320">
        <v>46000</v>
      </c>
      <c r="I279" s="321" t="b">
        <v>1</v>
      </c>
      <c r="J279" s="322">
        <v>3</v>
      </c>
      <c r="K279" s="323" t="e">
        <f>VLOOKUP($A279,Master!$B$50:$N$232,6,FALSE)</f>
        <v>#N/A</v>
      </c>
      <c r="L279" s="324" t="e">
        <f t="shared" si="32"/>
        <v>#N/A</v>
      </c>
      <c r="M279" s="325"/>
    </row>
    <row r="280" spans="1:13" ht="13">
      <c r="A280" s="21" t="s">
        <v>1072</v>
      </c>
      <c r="B280" s="61" t="s">
        <v>1073</v>
      </c>
      <c r="C280" s="316" t="e">
        <f>VLOOKUP($A280,Master!$B$50:$N$232,8,FALSE)</f>
        <v>#N/A</v>
      </c>
      <c r="D280" s="316" t="e">
        <f>VLOOKUP($A280,Master!$B$50:$N$232,9,FALSE)</f>
        <v>#N/A</v>
      </c>
      <c r="E280" s="317" t="e">
        <f>VLOOKUP($A280,Master!$B$50:$N$232,11,FALSE)</f>
        <v>#N/A</v>
      </c>
      <c r="F280" s="318">
        <v>1</v>
      </c>
      <c r="G280" s="319" t="s">
        <v>36</v>
      </c>
      <c r="H280" s="320">
        <v>18000</v>
      </c>
      <c r="I280" s="321" t="b">
        <v>1</v>
      </c>
      <c r="J280" s="322">
        <v>2</v>
      </c>
      <c r="K280" s="323" t="e">
        <f>VLOOKUP($A280,Master!$B$50:$N$232,6,FALSE)</f>
        <v>#N/A</v>
      </c>
      <c r="L280" s="324">
        <v>32000</v>
      </c>
      <c r="M280" s="325" t="s">
        <v>1533</v>
      </c>
    </row>
    <row r="281" spans="1:13" ht="13">
      <c r="A281" s="21" t="s">
        <v>973</v>
      </c>
      <c r="B281" s="61" t="s">
        <v>974</v>
      </c>
      <c r="C281" s="316" t="e">
        <f>VLOOKUP($A281,Master!$B$50:$N$232,8,FALSE)</f>
        <v>#N/A</v>
      </c>
      <c r="D281" s="316" t="e">
        <f>VLOOKUP($A281,Master!$B$50:$N$232,9,FALSE)</f>
        <v>#N/A</v>
      </c>
      <c r="E281" s="317" t="e">
        <f>VLOOKUP($A281,Master!$B$50:$N$232,11,FALSE)</f>
        <v>#N/A</v>
      </c>
      <c r="F281" s="318">
        <v>1</v>
      </c>
      <c r="G281" s="319" t="s">
        <v>97</v>
      </c>
      <c r="H281" s="320">
        <v>195000</v>
      </c>
      <c r="I281" s="321" t="b">
        <v>1</v>
      </c>
      <c r="J281" s="322">
        <v>1</v>
      </c>
      <c r="K281" s="323">
        <v>216450</v>
      </c>
      <c r="L281" s="324">
        <f>J281*K281</f>
        <v>216450</v>
      </c>
      <c r="M281" s="325" t="s">
        <v>1532</v>
      </c>
    </row>
    <row r="282" spans="1:13" ht="13">
      <c r="A282" s="21" t="s">
        <v>552</v>
      </c>
      <c r="B282" s="61" t="s">
        <v>553</v>
      </c>
      <c r="C282" s="316" t="e">
        <f>VLOOKUP($A282,Master!$B$50:$N$232,8,FALSE)</f>
        <v>#N/A</v>
      </c>
      <c r="D282" s="316" t="e">
        <f>VLOOKUP($A282,Master!$B$50:$N$232,9,FALSE)</f>
        <v>#N/A</v>
      </c>
      <c r="E282" s="317" t="e">
        <f>VLOOKUP($A282,Master!$B$50:$N$232,11,FALSE)</f>
        <v>#N/A</v>
      </c>
      <c r="F282" s="318">
        <v>2</v>
      </c>
      <c r="G282" s="319" t="s">
        <v>121</v>
      </c>
      <c r="H282" s="320">
        <v>114000</v>
      </c>
      <c r="I282" s="321" t="b">
        <v>1</v>
      </c>
      <c r="J282" s="322">
        <v>2</v>
      </c>
      <c r="K282" s="326" t="e">
        <f>VLOOKUP($A282,Master!$B$50:$N$232,6,FALSE)</f>
        <v>#N/A</v>
      </c>
      <c r="L282" s="324">
        <v>60600</v>
      </c>
      <c r="M282" s="325" t="s">
        <v>1531</v>
      </c>
    </row>
    <row r="283" spans="1:13" ht="13">
      <c r="A283" s="18" t="s">
        <v>776</v>
      </c>
      <c r="B283" s="328" t="s">
        <v>777</v>
      </c>
      <c r="C283" s="316" t="e">
        <f>VLOOKUP($A283,Master!$B$50:$N$232,8,FALSE)</f>
        <v>#N/A</v>
      </c>
      <c r="D283" s="316" t="e">
        <f>VLOOKUP($A283,Master!$B$50:$N$232,9,FALSE)</f>
        <v>#N/A</v>
      </c>
      <c r="E283" s="317" t="e">
        <f>VLOOKUP($A283,Master!$B$50:$N$232,11,FALSE)</f>
        <v>#N/A</v>
      </c>
      <c r="F283" s="318">
        <v>3</v>
      </c>
      <c r="G283" s="319" t="s">
        <v>62</v>
      </c>
      <c r="H283" s="320">
        <v>150000</v>
      </c>
      <c r="I283" s="321" t="b">
        <v>1</v>
      </c>
      <c r="J283" s="322">
        <v>3</v>
      </c>
      <c r="K283" s="326" t="e">
        <f>VLOOKUP($A283,Master!$B$50:$N$232,6,FALSE)</f>
        <v>#N/A</v>
      </c>
      <c r="L283" s="324">
        <v>82500</v>
      </c>
      <c r="M283" s="325"/>
    </row>
    <row r="284" spans="1:13" ht="13">
      <c r="A284" s="18" t="s">
        <v>779</v>
      </c>
      <c r="B284" s="328" t="s">
        <v>780</v>
      </c>
      <c r="C284" s="316" t="e">
        <f>VLOOKUP($A284,Master!$B$50:$N$232,8,FALSE)</f>
        <v>#N/A</v>
      </c>
      <c r="D284" s="316" t="e">
        <f>VLOOKUP($A284,Master!$B$50:$N$232,9,FALSE)</f>
        <v>#N/A</v>
      </c>
      <c r="E284" s="317" t="e">
        <f>VLOOKUP($A284,Master!$B$50:$N$232,11,FALSE)</f>
        <v>#N/A</v>
      </c>
      <c r="F284" s="318">
        <v>3</v>
      </c>
      <c r="G284" s="319" t="s">
        <v>62</v>
      </c>
      <c r="H284" s="320">
        <v>129000</v>
      </c>
      <c r="I284" s="321" t="b">
        <v>1</v>
      </c>
      <c r="J284" s="322">
        <v>3</v>
      </c>
      <c r="K284" s="326" t="e">
        <f>VLOOKUP($A284,Master!$B$50:$N$232,6,FALSE)</f>
        <v>#N/A</v>
      </c>
      <c r="L284" s="327" t="e">
        <f>J284*K284</f>
        <v>#N/A</v>
      </c>
      <c r="M284" s="325"/>
    </row>
    <row r="285" spans="1:13" ht="13">
      <c r="A285" s="18" t="s">
        <v>910</v>
      </c>
      <c r="B285" s="328" t="s">
        <v>911</v>
      </c>
      <c r="C285" s="316">
        <f>VLOOKUP($A285,Master!$B$50:$N$232,8,FALSE)</f>
        <v>10</v>
      </c>
      <c r="D285" s="316" t="str">
        <f>VLOOKUP($A285,Master!$B$50:$N$232,9,FALSE)</f>
        <v>pcs</v>
      </c>
      <c r="E285" s="317" t="str">
        <f>VLOOKUP($A285,Master!$B$50:$N$232,11,FALSE)</f>
        <v>Setiabudi Market</v>
      </c>
      <c r="F285" s="318">
        <v>2</v>
      </c>
      <c r="G285" s="319" t="s">
        <v>62</v>
      </c>
      <c r="H285" s="320">
        <v>33800</v>
      </c>
      <c r="I285" s="321" t="b">
        <v>1</v>
      </c>
      <c r="J285" s="322">
        <v>2</v>
      </c>
      <c r="K285" s="326">
        <f>VLOOKUP($A285,Master!$B$50:$N$232,6,FALSE)</f>
        <v>16900</v>
      </c>
      <c r="L285" s="324">
        <v>33417</v>
      </c>
      <c r="M285" s="325"/>
    </row>
    <row r="286" spans="1:13" ht="13">
      <c r="A286" s="21" t="s">
        <v>998</v>
      </c>
      <c r="B286" s="61" t="s">
        <v>999</v>
      </c>
      <c r="C286" s="316">
        <f>VLOOKUP($A286,Master!$B$50:$N$232,8,FALSE)</f>
        <v>250</v>
      </c>
      <c r="D286" s="316" t="str">
        <f>VLOOKUP($A286,Master!$B$50:$N$232,9,FALSE)</f>
        <v>gr</v>
      </c>
      <c r="E286" s="317" t="str">
        <f>VLOOKUP($A286,Master!$B$50:$N$232,11,FALSE)</f>
        <v>Eden Farm</v>
      </c>
      <c r="F286" s="318">
        <v>1</v>
      </c>
      <c r="G286" s="319" t="s">
        <v>62</v>
      </c>
      <c r="H286" s="320">
        <v>6000</v>
      </c>
      <c r="I286" s="321" t="b">
        <v>1</v>
      </c>
      <c r="J286" s="322">
        <v>1</v>
      </c>
      <c r="K286" s="326">
        <f>VLOOKUP($A286,Master!$B$50:$N$232,6,FALSE)</f>
        <v>15000</v>
      </c>
      <c r="L286" s="327">
        <f t="shared" ref="L286:L288" si="33">J286*K286</f>
        <v>15000</v>
      </c>
      <c r="M286" s="325"/>
    </row>
    <row r="287" spans="1:13" ht="13">
      <c r="A287" s="21" t="s">
        <v>655</v>
      </c>
      <c r="B287" s="61" t="s">
        <v>656</v>
      </c>
      <c r="C287" s="316">
        <f>VLOOKUP($A287,Master!$B$50:$N$232,8,FALSE)</f>
        <v>1000</v>
      </c>
      <c r="D287" s="316" t="str">
        <f>VLOOKUP($A287,Master!$B$50:$N$232,9,FALSE)</f>
        <v>gr</v>
      </c>
      <c r="E287" s="317" t="str">
        <f>VLOOKUP($A287,Master!$B$50:$N$232,11,FALSE)</f>
        <v>Toko Lain</v>
      </c>
      <c r="F287" s="318">
        <v>3</v>
      </c>
      <c r="G287" s="319" t="s">
        <v>36</v>
      </c>
      <c r="H287" s="320">
        <v>150000</v>
      </c>
      <c r="I287" s="321" t="b">
        <v>1</v>
      </c>
      <c r="J287" s="322">
        <v>3</v>
      </c>
      <c r="K287" s="326">
        <f>VLOOKUP($A287,Master!$B$50:$N$232,6,FALSE)</f>
        <v>50000</v>
      </c>
      <c r="L287" s="327">
        <f t="shared" si="33"/>
        <v>150000</v>
      </c>
      <c r="M287" s="325"/>
    </row>
    <row r="288" spans="1:13" ht="13">
      <c r="A288" s="22" t="s">
        <v>795</v>
      </c>
      <c r="B288" s="330" t="s">
        <v>796</v>
      </c>
      <c r="C288" s="316">
        <f>VLOOKUP($A288,Master!$B$50:$N$232,8,FALSE)</f>
        <v>10</v>
      </c>
      <c r="D288" s="316" t="str">
        <f>VLOOKUP($A288,Master!$B$50:$N$232,9,FALSE)</f>
        <v>unit</v>
      </c>
      <c r="E288" s="317" t="str">
        <f>VLOOKUP($A288,Master!$B$50:$N$232,11,FALSE)</f>
        <v>Toko Lain</v>
      </c>
      <c r="F288" s="318">
        <v>10</v>
      </c>
      <c r="G288" s="319" t="s">
        <v>62</v>
      </c>
      <c r="H288" s="320">
        <v>78000</v>
      </c>
      <c r="I288" s="321" t="b">
        <v>0</v>
      </c>
      <c r="J288" s="322"/>
      <c r="K288" s="326">
        <f>VLOOKUP($A288,Master!$B$50:$N$232,6,FALSE)</f>
        <v>8000</v>
      </c>
      <c r="L288" s="327">
        <f t="shared" si="33"/>
        <v>0</v>
      </c>
      <c r="M288" s="325"/>
    </row>
    <row r="289" spans="1:13" ht="13">
      <c r="A289" s="21" t="s">
        <v>544</v>
      </c>
      <c r="B289" s="61" t="s">
        <v>545</v>
      </c>
      <c r="C289" s="316" t="e">
        <f>VLOOKUP($A289,Master!$B$50:$N$232,8,FALSE)</f>
        <v>#N/A</v>
      </c>
      <c r="D289" s="316" t="e">
        <f>VLOOKUP($A289,Master!$B$50:$N$232,9,FALSE)</f>
        <v>#N/A</v>
      </c>
      <c r="E289" s="317" t="e">
        <f>VLOOKUP($A289,Master!$B$50:$N$232,11,FALSE)</f>
        <v>#N/A</v>
      </c>
      <c r="F289" s="318">
        <v>5</v>
      </c>
      <c r="G289" s="319" t="s">
        <v>62</v>
      </c>
      <c r="H289" s="320">
        <v>128250</v>
      </c>
      <c r="I289" s="321" t="b">
        <v>1</v>
      </c>
      <c r="J289" s="322">
        <v>5</v>
      </c>
      <c r="K289" s="326" t="e">
        <f>VLOOKUP($A289,Master!$B$50:$N$232,6,FALSE)</f>
        <v>#N/A</v>
      </c>
      <c r="L289" s="324">
        <v>85928</v>
      </c>
      <c r="M289" s="325"/>
    </row>
    <row r="290" spans="1:13" ht="13">
      <c r="A290" s="21" t="s">
        <v>1101</v>
      </c>
      <c r="B290" s="61" t="s">
        <v>1102</v>
      </c>
      <c r="C290" s="316" t="e">
        <f>VLOOKUP($A290,Master!$B$50:$N$232,8,FALSE)</f>
        <v>#N/A</v>
      </c>
      <c r="D290" s="316" t="e">
        <f>VLOOKUP($A290,Master!$B$50:$N$232,9,FALSE)</f>
        <v>#N/A</v>
      </c>
      <c r="E290" s="317" t="e">
        <f>VLOOKUP($A290,Master!$B$50:$N$232,11,FALSE)</f>
        <v>#N/A</v>
      </c>
      <c r="F290" s="318">
        <v>2</v>
      </c>
      <c r="G290" s="319" t="s">
        <v>62</v>
      </c>
      <c r="H290" s="320">
        <v>24750</v>
      </c>
      <c r="I290" s="321" t="b">
        <v>1</v>
      </c>
      <c r="J290" s="322">
        <v>1</v>
      </c>
      <c r="K290" s="323" t="e">
        <f>VLOOKUP($A290,Master!$B$50:$N$232,6,FALSE)</f>
        <v>#N/A</v>
      </c>
      <c r="L290" s="324">
        <v>18513</v>
      </c>
      <c r="M290" s="325"/>
    </row>
    <row r="291" spans="1:13" ht="13">
      <c r="A291" s="21" t="s">
        <v>623</v>
      </c>
      <c r="B291" s="61" t="s">
        <v>624</v>
      </c>
      <c r="C291" s="316" t="e">
        <f>VLOOKUP($A291,Master!$B$50:$N$232,8,FALSE)</f>
        <v>#N/A</v>
      </c>
      <c r="D291" s="316" t="e">
        <f>VLOOKUP($A291,Master!$B$50:$N$232,9,FALSE)</f>
        <v>#N/A</v>
      </c>
      <c r="E291" s="317" t="e">
        <f>VLOOKUP($A291,Master!$B$50:$N$232,11,FALSE)</f>
        <v>#N/A</v>
      </c>
      <c r="F291" s="318">
        <v>3</v>
      </c>
      <c r="G291" s="319" t="s">
        <v>143</v>
      </c>
      <c r="H291" s="320">
        <v>545787</v>
      </c>
      <c r="I291" s="321" t="b">
        <v>1</v>
      </c>
      <c r="J291" s="322">
        <v>3</v>
      </c>
      <c r="K291" s="326" t="e">
        <f>VLOOKUP($A291,Master!$B$50:$N$232,6,FALSE)</f>
        <v>#N/A</v>
      </c>
      <c r="L291" s="327" t="e">
        <f t="shared" ref="L291:L294" si="34">J291*K291</f>
        <v>#N/A</v>
      </c>
      <c r="M291" s="325"/>
    </row>
    <row r="292" spans="1:13" ht="13">
      <c r="A292" s="21" t="s">
        <v>704</v>
      </c>
      <c r="B292" s="61" t="s">
        <v>705</v>
      </c>
      <c r="C292" s="316" t="e">
        <f>VLOOKUP($A292,Master!$B$50:$N$232,8,FALSE)</f>
        <v>#N/A</v>
      </c>
      <c r="D292" s="316" t="e">
        <f>VLOOKUP($A292,Master!$B$50:$N$232,9,FALSE)</f>
        <v>#N/A</v>
      </c>
      <c r="E292" s="317" t="e">
        <f>VLOOKUP($A292,Master!$B$50:$N$232,11,FALSE)</f>
        <v>#N/A</v>
      </c>
      <c r="F292" s="318">
        <v>2</v>
      </c>
      <c r="G292" s="319" t="s">
        <v>143</v>
      </c>
      <c r="H292" s="320">
        <v>405594</v>
      </c>
      <c r="I292" s="321" t="b">
        <v>1</v>
      </c>
      <c r="J292" s="322">
        <v>2</v>
      </c>
      <c r="K292" s="326" t="e">
        <f>VLOOKUP($A292,Master!$B$50:$N$232,6,FALSE)</f>
        <v>#N/A</v>
      </c>
      <c r="L292" s="327" t="e">
        <f t="shared" si="34"/>
        <v>#N/A</v>
      </c>
      <c r="M292" s="325"/>
    </row>
    <row r="293" spans="1:13" ht="13">
      <c r="A293" s="22" t="s">
        <v>928</v>
      </c>
      <c r="B293" s="330" t="s">
        <v>929</v>
      </c>
      <c r="C293" s="316">
        <f>VLOOKUP($A293,Master!$B$50:$N$232,8,FALSE)</f>
        <v>1000</v>
      </c>
      <c r="D293" s="316" t="str">
        <f>VLOOKUP($A293,Master!$B$50:$N$232,9,FALSE)</f>
        <v>gr</v>
      </c>
      <c r="E293" s="317" t="str">
        <f>VLOOKUP($A293,Master!$B$50:$N$232,11,FALSE)</f>
        <v>Toko Lain</v>
      </c>
      <c r="F293" s="318">
        <v>2</v>
      </c>
      <c r="G293" s="319" t="s">
        <v>36</v>
      </c>
      <c r="H293" s="320">
        <v>70000</v>
      </c>
      <c r="I293" s="321" t="b">
        <v>1</v>
      </c>
      <c r="J293" s="322">
        <v>2</v>
      </c>
      <c r="K293" s="326">
        <f>VLOOKUP($A293,Master!$B$50:$N$232,6,FALSE)</f>
        <v>28000</v>
      </c>
      <c r="L293" s="327">
        <f t="shared" si="34"/>
        <v>56000</v>
      </c>
      <c r="M293" s="325"/>
    </row>
    <row r="294" spans="1:13" ht="13">
      <c r="A294" s="21" t="s">
        <v>782</v>
      </c>
      <c r="B294" s="61" t="s">
        <v>783</v>
      </c>
      <c r="C294" s="316">
        <f>VLOOKUP($A294,Master!$B$50:$N$232,8,FALSE)</f>
        <v>500</v>
      </c>
      <c r="D294" s="316" t="str">
        <f>VLOOKUP($A294,Master!$B$50:$N$232,9,FALSE)</f>
        <v>gr</v>
      </c>
      <c r="E294" s="317" t="str">
        <f>VLOOKUP($A294,Master!$B$50:$N$232,11,FALSE)</f>
        <v>Toko Lain</v>
      </c>
      <c r="F294" s="318">
        <v>1</v>
      </c>
      <c r="G294" s="319" t="s">
        <v>62</v>
      </c>
      <c r="H294" s="320">
        <v>25000</v>
      </c>
      <c r="I294" s="321" t="b">
        <v>1</v>
      </c>
      <c r="J294" s="322">
        <v>1</v>
      </c>
      <c r="K294" s="326">
        <f>VLOOKUP($A294,Master!$B$50:$N$232,6,FALSE)</f>
        <v>25000</v>
      </c>
      <c r="L294" s="327">
        <f t="shared" si="34"/>
        <v>25000</v>
      </c>
      <c r="M294" s="325"/>
    </row>
    <row r="296" spans="1:13" ht="13">
      <c r="F296" s="427">
        <v>44827</v>
      </c>
      <c r="G296" s="428"/>
      <c r="H296" s="424"/>
      <c r="J296" s="429">
        <f>F296+1</f>
        <v>44828</v>
      </c>
      <c r="K296" s="428"/>
      <c r="L296" s="424"/>
    </row>
    <row r="297" spans="1:13" ht="13">
      <c r="F297" s="425" t="s">
        <v>1490</v>
      </c>
      <c r="G297" s="426"/>
      <c r="H297" s="304">
        <f>SUM(H299:H334)</f>
        <v>2848250</v>
      </c>
      <c r="J297" s="425" t="s">
        <v>1491</v>
      </c>
      <c r="K297" s="426"/>
      <c r="L297" s="304" t="e">
        <f>SUM(L299:L334)</f>
        <v>#N/A</v>
      </c>
    </row>
    <row r="298" spans="1:13" ht="13">
      <c r="A298" s="2" t="s">
        <v>4</v>
      </c>
      <c r="B298" s="305" t="s">
        <v>5</v>
      </c>
      <c r="C298" s="305" t="s">
        <v>1492</v>
      </c>
      <c r="D298" s="305" t="s">
        <v>12</v>
      </c>
      <c r="E298" s="306" t="s">
        <v>1493</v>
      </c>
      <c r="F298" s="307" t="s">
        <v>1494</v>
      </c>
      <c r="G298" s="308" t="s">
        <v>10</v>
      </c>
      <c r="H298" s="309" t="s">
        <v>1495</v>
      </c>
      <c r="I298" s="310" t="s">
        <v>1289</v>
      </c>
      <c r="J298" s="311" t="s">
        <v>1496</v>
      </c>
      <c r="K298" s="312" t="s">
        <v>1497</v>
      </c>
      <c r="L298" s="313" t="s">
        <v>1498</v>
      </c>
      <c r="M298" s="314" t="s">
        <v>16</v>
      </c>
    </row>
    <row r="299" spans="1:13" ht="13">
      <c r="A299" s="315" t="s">
        <v>627</v>
      </c>
      <c r="B299" s="61" t="s">
        <v>628</v>
      </c>
      <c r="C299" s="316">
        <f>VLOOKUP($A299,Master!$B$50:$N$232,8,FALSE)</f>
        <v>1000</v>
      </c>
      <c r="D299" s="316" t="str">
        <f>VLOOKUP($A299,Master!$B$50:$N$232,9,FALSE)</f>
        <v>gr</v>
      </c>
      <c r="E299" s="317" t="str">
        <f>VLOOKUP($A299,Master!$B$50:$N$232,11,FALSE)</f>
        <v>Borma</v>
      </c>
      <c r="F299" s="318">
        <v>1</v>
      </c>
      <c r="G299" s="319" t="s">
        <v>36</v>
      </c>
      <c r="H299" s="320">
        <v>31900</v>
      </c>
      <c r="I299" s="321" t="b">
        <v>1</v>
      </c>
      <c r="J299" s="322">
        <v>1</v>
      </c>
      <c r="K299" s="323">
        <v>35038</v>
      </c>
      <c r="L299" s="324">
        <f>J299*K299</f>
        <v>35038</v>
      </c>
      <c r="M299" s="325" t="s">
        <v>1500</v>
      </c>
    </row>
    <row r="300" spans="1:13" ht="13">
      <c r="A300" s="21" t="s">
        <v>1094</v>
      </c>
      <c r="B300" s="61" t="s">
        <v>1095</v>
      </c>
      <c r="C300" s="316" t="e">
        <f>VLOOKUP($A300,Master!$B$50:$N$232,8,FALSE)</f>
        <v>#N/A</v>
      </c>
      <c r="D300" s="316" t="e">
        <f>VLOOKUP($A300,Master!$B$50:$N$232,9,FALSE)</f>
        <v>#N/A</v>
      </c>
      <c r="E300" s="317" t="e">
        <f>VLOOKUP($A300,Master!$B$50:$N$232,11,FALSE)</f>
        <v>#N/A</v>
      </c>
      <c r="F300" s="318">
        <v>1</v>
      </c>
      <c r="G300" s="319" t="s">
        <v>62</v>
      </c>
      <c r="H300" s="320">
        <v>19650</v>
      </c>
      <c r="I300" s="321" t="b">
        <v>1</v>
      </c>
      <c r="J300" s="322">
        <v>1</v>
      </c>
      <c r="K300" s="323" t="e">
        <f>VLOOKUP($A300,Master!$B$50:$N$232,6,FALSE)</f>
        <v>#N/A</v>
      </c>
      <c r="L300" s="324">
        <v>19454</v>
      </c>
      <c r="M300" s="325"/>
    </row>
    <row r="301" spans="1:13" ht="13">
      <c r="A301" s="21" t="s">
        <v>651</v>
      </c>
      <c r="B301" s="61" t="s">
        <v>652</v>
      </c>
      <c r="C301" s="316">
        <f>VLOOKUP($A301,Master!$B$50:$N$232,8,FALSE)</f>
        <v>1000</v>
      </c>
      <c r="D301" s="316" t="str">
        <f>VLOOKUP($A301,Master!$B$50:$N$232,9,FALSE)</f>
        <v>gr</v>
      </c>
      <c r="E301" s="317" t="str">
        <f>VLOOKUP($A301,Master!$B$50:$N$232,11,FALSE)</f>
        <v>Eden Farm</v>
      </c>
      <c r="F301" s="318">
        <v>1</v>
      </c>
      <c r="G301" s="319" t="s">
        <v>36</v>
      </c>
      <c r="H301" s="320">
        <v>10200</v>
      </c>
      <c r="I301" s="321" t="b">
        <v>1</v>
      </c>
      <c r="J301" s="322">
        <v>1</v>
      </c>
      <c r="K301" s="326">
        <f>VLOOKUP($A301,Master!$B$50:$N$232,6,FALSE)</f>
        <v>18000</v>
      </c>
      <c r="L301" s="324">
        <v>9800</v>
      </c>
      <c r="M301" s="325"/>
    </row>
    <row r="302" spans="1:13" ht="13">
      <c r="A302" s="21" t="s">
        <v>667</v>
      </c>
      <c r="B302" s="61" t="s">
        <v>668</v>
      </c>
      <c r="C302" s="316">
        <f>VLOOKUP($A302,Master!$B$50:$N$232,8,FALSE)</f>
        <v>1000</v>
      </c>
      <c r="D302" s="316" t="str">
        <f>VLOOKUP($A302,Master!$B$50:$N$232,9,FALSE)</f>
        <v>gr</v>
      </c>
      <c r="E302" s="317" t="str">
        <f>VLOOKUP($A302,Master!$B$50:$N$232,11,FALSE)</f>
        <v>Eden Farm</v>
      </c>
      <c r="F302" s="318">
        <v>1</v>
      </c>
      <c r="G302" s="319" t="s">
        <v>36</v>
      </c>
      <c r="H302" s="320">
        <v>102600</v>
      </c>
      <c r="I302" s="321" t="b">
        <v>1</v>
      </c>
      <c r="J302" s="322">
        <v>1</v>
      </c>
      <c r="K302" s="323">
        <v>121800</v>
      </c>
      <c r="L302" s="324">
        <f>J302*K302</f>
        <v>121800</v>
      </c>
      <c r="M302" s="325"/>
    </row>
    <row r="303" spans="1:13" ht="13">
      <c r="A303" s="21" t="s">
        <v>712</v>
      </c>
      <c r="B303" s="61" t="s">
        <v>713</v>
      </c>
      <c r="C303" s="316">
        <f>VLOOKUP($A303,Master!$B$50:$N$232,8,FALSE)</f>
        <v>1000</v>
      </c>
      <c r="D303" s="316" t="str">
        <f>VLOOKUP($A303,Master!$B$50:$N$232,9,FALSE)</f>
        <v>gr</v>
      </c>
      <c r="E303" s="317" t="str">
        <f>VLOOKUP($A303,Master!$B$50:$N$232,11,FALSE)</f>
        <v>Eden Farm</v>
      </c>
      <c r="F303" s="318">
        <v>1</v>
      </c>
      <c r="G303" s="319" t="s">
        <v>36</v>
      </c>
      <c r="H303" s="320">
        <v>24200</v>
      </c>
      <c r="I303" s="321" t="b">
        <v>1</v>
      </c>
      <c r="J303" s="322">
        <v>1</v>
      </c>
      <c r="K303" s="326">
        <f>VLOOKUP($A303,Master!$B$50:$N$232,6,FALSE)</f>
        <v>40000</v>
      </c>
      <c r="L303" s="324">
        <v>20900</v>
      </c>
      <c r="M303" s="325"/>
    </row>
    <row r="304" spans="1:13" ht="13">
      <c r="A304" s="21" t="s">
        <v>716</v>
      </c>
      <c r="B304" s="61" t="s">
        <v>717</v>
      </c>
      <c r="C304" s="316">
        <f>VLOOKUP($A304,Master!$B$50:$N$232,8,FALSE)</f>
        <v>1000</v>
      </c>
      <c r="D304" s="316" t="str">
        <f>VLOOKUP($A304,Master!$B$50:$N$232,9,FALSE)</f>
        <v>gr</v>
      </c>
      <c r="E304" s="317" t="str">
        <f>VLOOKUP($A304,Master!$B$50:$N$232,11,FALSE)</f>
        <v>Eden Farm</v>
      </c>
      <c r="F304" s="318">
        <v>2</v>
      </c>
      <c r="G304" s="319" t="s">
        <v>36</v>
      </c>
      <c r="H304" s="320">
        <v>83400</v>
      </c>
      <c r="I304" s="321" t="b">
        <v>1</v>
      </c>
      <c r="J304" s="322">
        <v>2</v>
      </c>
      <c r="K304" s="323">
        <v>43800</v>
      </c>
      <c r="L304" s="324">
        <f>J304*K304</f>
        <v>87600</v>
      </c>
      <c r="M304" s="325"/>
    </row>
    <row r="305" spans="1:13" ht="13">
      <c r="A305" s="21" t="s">
        <v>732</v>
      </c>
      <c r="B305" s="61" t="s">
        <v>733</v>
      </c>
      <c r="C305" s="316">
        <f>VLOOKUP($A305,Master!$B$50:$N$232,8,FALSE)</f>
        <v>1000</v>
      </c>
      <c r="D305" s="316" t="str">
        <f>VLOOKUP($A305,Master!$B$50:$N$232,9,FALSE)</f>
        <v>gr</v>
      </c>
      <c r="E305" s="317" t="str">
        <f>VLOOKUP($A305,Master!$B$50:$N$232,11,FALSE)</f>
        <v>Eden Farm</v>
      </c>
      <c r="F305" s="318">
        <v>2</v>
      </c>
      <c r="G305" s="319" t="s">
        <v>36</v>
      </c>
      <c r="H305" s="320">
        <v>39800</v>
      </c>
      <c r="I305" s="321" t="b">
        <v>1</v>
      </c>
      <c r="J305" s="322">
        <v>2</v>
      </c>
      <c r="K305" s="326">
        <f>VLOOKUP($A305,Master!$B$50:$N$232,6,FALSE)</f>
        <v>40000</v>
      </c>
      <c r="L305" s="324">
        <v>38200</v>
      </c>
      <c r="M305" s="325"/>
    </row>
    <row r="306" spans="1:13" ht="13">
      <c r="A306" s="21" t="s">
        <v>885</v>
      </c>
      <c r="B306" s="61" t="s">
        <v>886</v>
      </c>
      <c r="C306" s="316">
        <f>VLOOKUP($A306,Master!$B$50:$N$232,8,FALSE)</f>
        <v>1000</v>
      </c>
      <c r="D306" s="316" t="str">
        <f>VLOOKUP($A306,Master!$B$50:$N$232,9,FALSE)</f>
        <v>gr</v>
      </c>
      <c r="E306" s="317" t="str">
        <f>VLOOKUP($A306,Master!$B$50:$N$232,11,FALSE)</f>
        <v>Eden Farm</v>
      </c>
      <c r="F306" s="318">
        <v>0.5</v>
      </c>
      <c r="G306" s="319" t="s">
        <v>36</v>
      </c>
      <c r="H306" s="320">
        <v>30500</v>
      </c>
      <c r="I306" s="321" t="b">
        <v>1</v>
      </c>
      <c r="J306" s="322">
        <v>0.5</v>
      </c>
      <c r="K306" s="326">
        <f>VLOOKUP($A306,Master!$B$50:$N$232,6,FALSE)</f>
        <v>30500</v>
      </c>
      <c r="L306" s="324">
        <v>9350</v>
      </c>
      <c r="M306" s="325"/>
    </row>
    <row r="307" spans="1:13" ht="13">
      <c r="A307" s="21" t="s">
        <v>1020</v>
      </c>
      <c r="B307" s="61" t="s">
        <v>1021</v>
      </c>
      <c r="C307" s="316">
        <f>VLOOKUP($A307,Master!$B$50:$N$232,8,FALSE)</f>
        <v>1000</v>
      </c>
      <c r="D307" s="316" t="str">
        <f>VLOOKUP($A307,Master!$B$50:$N$232,9,FALSE)</f>
        <v>gr</v>
      </c>
      <c r="E307" s="317" t="str">
        <f>VLOOKUP($A307,Master!$B$50:$N$232,11,FALSE)</f>
        <v>Eden Farm</v>
      </c>
      <c r="F307" s="318">
        <v>1</v>
      </c>
      <c r="G307" s="319" t="s">
        <v>36</v>
      </c>
      <c r="H307" s="320">
        <v>21800</v>
      </c>
      <c r="I307" s="321" t="b">
        <v>1</v>
      </c>
      <c r="J307" s="322">
        <v>1</v>
      </c>
      <c r="K307" s="326">
        <f>VLOOKUP($A307,Master!$B$50:$N$232,6,FALSE)</f>
        <v>24000</v>
      </c>
      <c r="L307" s="324">
        <v>15100</v>
      </c>
      <c r="M307" s="325"/>
    </row>
    <row r="308" spans="1:13" ht="13">
      <c r="A308" s="21" t="s">
        <v>1050</v>
      </c>
      <c r="B308" s="61" t="s">
        <v>1051</v>
      </c>
      <c r="C308" s="316" t="e">
        <f>VLOOKUP($A308,Master!$B$50:$N$232,8,FALSE)</f>
        <v>#N/A</v>
      </c>
      <c r="D308" s="316" t="e">
        <f>VLOOKUP($A308,Master!$B$50:$N$232,9,FALSE)</f>
        <v>#N/A</v>
      </c>
      <c r="E308" s="317" t="e">
        <f>VLOOKUP($A308,Master!$B$50:$N$232,11,FALSE)</f>
        <v>#N/A</v>
      </c>
      <c r="F308" s="318">
        <v>0.5</v>
      </c>
      <c r="G308" s="319" t="s">
        <v>36</v>
      </c>
      <c r="H308" s="320">
        <v>9700</v>
      </c>
      <c r="I308" s="321" t="b">
        <v>1</v>
      </c>
      <c r="J308" s="322">
        <v>0.5</v>
      </c>
      <c r="K308" s="323" t="e">
        <f>VLOOKUP($A308,Master!$B$50:$N$232,6,FALSE)</f>
        <v>#N/A</v>
      </c>
      <c r="L308" s="324">
        <v>4450</v>
      </c>
      <c r="M308" s="325"/>
    </row>
    <row r="309" spans="1:13" ht="13">
      <c r="A309" s="21" t="s">
        <v>659</v>
      </c>
      <c r="B309" s="61" t="s">
        <v>660</v>
      </c>
      <c r="C309" s="316">
        <f>VLOOKUP($A309,Master!$B$50:$N$232,8,FALSE)</f>
        <v>15</v>
      </c>
      <c r="D309" s="316" t="str">
        <f>VLOOKUP($A309,Master!$B$50:$N$232,9,FALSE)</f>
        <v>pcs</v>
      </c>
      <c r="E309" s="317" t="str">
        <f>VLOOKUP($A309,Master!$B$50:$N$232,11,FALSE)</f>
        <v>Feri Supriadi (Telur , Beras , Minyak )</v>
      </c>
      <c r="F309" s="318">
        <v>3</v>
      </c>
      <c r="G309" s="319" t="s">
        <v>36</v>
      </c>
      <c r="H309" s="320">
        <v>84000</v>
      </c>
      <c r="I309" s="321" t="b">
        <v>1</v>
      </c>
      <c r="J309" s="322">
        <v>3</v>
      </c>
      <c r="K309" s="326">
        <f>VLOOKUP($A309,Master!$B$50:$N$232,6,FALSE)</f>
        <v>28000</v>
      </c>
      <c r="L309" s="324">
        <v>82500</v>
      </c>
      <c r="M309" s="325"/>
    </row>
    <row r="310" spans="1:13" ht="13">
      <c r="A310" s="21" t="s">
        <v>760</v>
      </c>
      <c r="B310" s="61" t="s">
        <v>761</v>
      </c>
      <c r="C310" s="316">
        <f>VLOOKUP($A310,Master!$B$50:$N$232,8,FALSE)</f>
        <v>25000</v>
      </c>
      <c r="D310" s="316" t="str">
        <f>VLOOKUP($A310,Master!$B$50:$N$232,9,FALSE)</f>
        <v>gr</v>
      </c>
      <c r="E310" s="317" t="str">
        <f>VLOOKUP($A310,Master!$B$50:$N$232,11,FALSE)</f>
        <v>Feri Supriadi (Telur , Beras , Minyak )</v>
      </c>
      <c r="F310" s="318">
        <v>25</v>
      </c>
      <c r="G310" s="319" t="s">
        <v>36</v>
      </c>
      <c r="H310" s="320">
        <v>290000</v>
      </c>
      <c r="I310" s="321" t="b">
        <v>1</v>
      </c>
      <c r="J310" s="322">
        <v>25</v>
      </c>
      <c r="K310" s="326">
        <f>VLOOKUP($A310,Master!$B$50:$N$232,6,FALSE)</f>
        <v>364000</v>
      </c>
      <c r="L310" s="327">
        <f t="shared" ref="L310:L312" si="35">J310*K310</f>
        <v>9100000</v>
      </c>
      <c r="M310" s="325"/>
    </row>
    <row r="311" spans="1:13" ht="13">
      <c r="A311" s="18" t="s">
        <v>1054</v>
      </c>
      <c r="B311" s="328" t="s">
        <v>1055</v>
      </c>
      <c r="C311" s="316" t="e">
        <f>VLOOKUP($A311,Master!$B$50:$N$232,8,FALSE)</f>
        <v>#N/A</v>
      </c>
      <c r="D311" s="316" t="e">
        <f>VLOOKUP($A311,Master!$B$50:$N$232,9,FALSE)</f>
        <v>#N/A</v>
      </c>
      <c r="E311" s="337" t="e">
        <f>VLOOKUP($A311,Master!$B$50:$N$232,11,FALSE)</f>
        <v>#N/A</v>
      </c>
      <c r="F311" s="318">
        <v>4</v>
      </c>
      <c r="G311" s="319" t="s">
        <v>36</v>
      </c>
      <c r="H311" s="320">
        <v>700000</v>
      </c>
      <c r="I311" s="321" t="b">
        <v>1</v>
      </c>
      <c r="J311" s="322">
        <v>4</v>
      </c>
      <c r="K311" s="323" t="e">
        <f>VLOOKUP($A311,Master!$B$50:$N$232,6,FALSE)</f>
        <v>#N/A</v>
      </c>
      <c r="L311" s="324" t="e">
        <f t="shared" si="35"/>
        <v>#N/A</v>
      </c>
      <c r="M311" s="325"/>
    </row>
    <row r="312" spans="1:13" ht="13">
      <c r="A312" s="21" t="s">
        <v>586</v>
      </c>
      <c r="B312" s="61" t="s">
        <v>587</v>
      </c>
      <c r="C312" s="316">
        <f>VLOOKUP($A312,Master!$B$50:$N$232,8,FALSE)</f>
        <v>20</v>
      </c>
      <c r="D312" s="316" t="str">
        <f>VLOOKUP($A312,Master!$B$50:$N$232,9,FALSE)</f>
        <v>pcs</v>
      </c>
      <c r="E312" s="317" t="str">
        <f>VLOOKUP($A312,Master!$B$50:$N$232,11,FALSE)</f>
        <v>Kurnia Mas</v>
      </c>
      <c r="F312" s="318">
        <v>1</v>
      </c>
      <c r="G312" s="319" t="s">
        <v>62</v>
      </c>
      <c r="H312" s="320">
        <v>7500</v>
      </c>
      <c r="I312" s="321" t="b">
        <v>1</v>
      </c>
      <c r="J312" s="322">
        <v>1</v>
      </c>
      <c r="K312" s="326">
        <f>VLOOKUP($A312,Master!$B$50:$N$232,6,FALSE)</f>
        <v>8500</v>
      </c>
      <c r="L312" s="327">
        <f t="shared" si="35"/>
        <v>8500</v>
      </c>
      <c r="M312" s="325"/>
    </row>
    <row r="313" spans="1:13" ht="13">
      <c r="A313" s="21" t="s">
        <v>770</v>
      </c>
      <c r="B313" s="61" t="s">
        <v>771</v>
      </c>
      <c r="C313" s="316" t="e">
        <f>VLOOKUP($A313,Master!$B$50:$N$232,8,FALSE)</f>
        <v>#N/A</v>
      </c>
      <c r="D313" s="316" t="e">
        <f>VLOOKUP($A313,Master!$B$50:$N$232,9,FALSE)</f>
        <v>#N/A</v>
      </c>
      <c r="E313" s="317" t="e">
        <f>VLOOKUP($A313,Master!$B$50:$N$232,11,FALSE)</f>
        <v>#N/A</v>
      </c>
      <c r="F313" s="318">
        <v>1</v>
      </c>
      <c r="G313" s="319" t="s">
        <v>97</v>
      </c>
      <c r="H313" s="320">
        <v>26000</v>
      </c>
      <c r="I313" s="321" t="b">
        <v>1</v>
      </c>
      <c r="J313" s="322">
        <v>1</v>
      </c>
      <c r="K313" s="326" t="e">
        <f>VLOOKUP($A313,Master!$B$50:$N$232,6,FALSE)</f>
        <v>#N/A</v>
      </c>
      <c r="L313" s="324">
        <v>55000</v>
      </c>
      <c r="M313" s="325" t="s">
        <v>1534</v>
      </c>
    </row>
    <row r="314" spans="1:13" ht="13">
      <c r="A314" s="18" t="s">
        <v>1096</v>
      </c>
      <c r="B314" s="328" t="s">
        <v>1097</v>
      </c>
      <c r="C314" s="316" t="e">
        <f>VLOOKUP($A314,Master!$B$50:$N$232,8,FALSE)</f>
        <v>#N/A</v>
      </c>
      <c r="D314" s="316" t="e">
        <f>VLOOKUP($A314,Master!$B$50:$N$232,9,FALSE)</f>
        <v>#N/A</v>
      </c>
      <c r="E314" s="317" t="e">
        <f>VLOOKUP($A314,Master!$B$50:$N$232,11,FALSE)</f>
        <v>#N/A</v>
      </c>
      <c r="F314" s="318">
        <v>1</v>
      </c>
      <c r="G314" s="319" t="s">
        <v>62</v>
      </c>
      <c r="H314" s="320">
        <v>17500</v>
      </c>
      <c r="I314" s="321" t="b">
        <v>1</v>
      </c>
      <c r="J314" s="322">
        <v>1</v>
      </c>
      <c r="K314" s="323">
        <v>27000</v>
      </c>
      <c r="L314" s="324">
        <f t="shared" ref="L314:L318" si="36">J314*K314</f>
        <v>27000</v>
      </c>
      <c r="M314" s="325" t="s">
        <v>1535</v>
      </c>
    </row>
    <row r="315" spans="1:13" ht="13">
      <c r="A315" s="22" t="s">
        <v>675</v>
      </c>
      <c r="B315" s="330" t="s">
        <v>676</v>
      </c>
      <c r="C315" s="316">
        <f>VLOOKUP($A315,Master!$B$50:$N$232,8,FALSE)</f>
        <v>20</v>
      </c>
      <c r="D315" s="316" t="str">
        <f>VLOOKUP($A315,Master!$B$50:$N$232,9,FALSE)</f>
        <v>unit</v>
      </c>
      <c r="E315" s="317" t="str">
        <f>VLOOKUP($A315,Master!$B$50:$N$232,11,FALSE)</f>
        <v>RSB, Dago</v>
      </c>
      <c r="F315" s="318">
        <v>10</v>
      </c>
      <c r="G315" s="319" t="s">
        <v>62</v>
      </c>
      <c r="H315" s="320">
        <v>60000</v>
      </c>
      <c r="I315" s="321" t="b">
        <v>1</v>
      </c>
      <c r="J315" s="322">
        <v>10</v>
      </c>
      <c r="K315" s="326">
        <f>VLOOKUP($A315,Master!$B$50:$N$232,6,FALSE)</f>
        <v>13500</v>
      </c>
      <c r="L315" s="327">
        <f t="shared" si="36"/>
        <v>135000</v>
      </c>
      <c r="M315" s="325"/>
    </row>
    <row r="316" spans="1:13" ht="13">
      <c r="A316" s="21" t="s">
        <v>519</v>
      </c>
      <c r="B316" s="61" t="s">
        <v>520</v>
      </c>
      <c r="C316" s="316" t="e">
        <f>VLOOKUP($A316,Master!$B$50:$N$232,8,FALSE)</f>
        <v>#N/A</v>
      </c>
      <c r="D316" s="316" t="e">
        <f>VLOOKUP($A316,Master!$B$50:$N$232,9,FALSE)</f>
        <v>#N/A</v>
      </c>
      <c r="E316" s="317" t="e">
        <f>VLOOKUP($A316,Master!$B$50:$N$232,11,FALSE)</f>
        <v>#N/A</v>
      </c>
      <c r="F316" s="318">
        <v>1</v>
      </c>
      <c r="G316" s="319" t="s">
        <v>36</v>
      </c>
      <c r="H316" s="320">
        <v>14000</v>
      </c>
      <c r="I316" s="321" t="b">
        <v>1</v>
      </c>
      <c r="J316" s="322">
        <v>1</v>
      </c>
      <c r="K316" s="323">
        <v>14250</v>
      </c>
      <c r="L316" s="324">
        <f t="shared" si="36"/>
        <v>14250</v>
      </c>
      <c r="M316" s="325"/>
    </row>
    <row r="317" spans="1:13" ht="13">
      <c r="A317" s="21" t="s">
        <v>528</v>
      </c>
      <c r="B317" s="61" t="s">
        <v>529</v>
      </c>
      <c r="C317" s="316" t="e">
        <f>VLOOKUP($A317,Master!$B$50:$N$232,8,FALSE)</f>
        <v>#N/A</v>
      </c>
      <c r="D317" s="316" t="e">
        <f>VLOOKUP($A317,Master!$B$50:$N$232,9,FALSE)</f>
        <v>#N/A</v>
      </c>
      <c r="E317" s="317" t="e">
        <f>VLOOKUP($A317,Master!$B$50:$N$232,11,FALSE)</f>
        <v>#N/A</v>
      </c>
      <c r="F317" s="318">
        <v>3</v>
      </c>
      <c r="G317" s="319" t="s">
        <v>50</v>
      </c>
      <c r="H317" s="320">
        <v>48000</v>
      </c>
      <c r="I317" s="321" t="b">
        <v>1</v>
      </c>
      <c r="J317" s="322">
        <v>3</v>
      </c>
      <c r="K317" s="326" t="e">
        <f>VLOOKUP($A317,Master!$B$50:$N$232,6,FALSE)</f>
        <v>#N/A</v>
      </c>
      <c r="L317" s="327" t="e">
        <f t="shared" si="36"/>
        <v>#N/A</v>
      </c>
      <c r="M317" s="325"/>
    </row>
    <row r="318" spans="1:13" ht="13">
      <c r="A318" s="21" t="s">
        <v>635</v>
      </c>
      <c r="B318" s="61" t="s">
        <v>636</v>
      </c>
      <c r="C318" s="316" t="e">
        <f>VLOOKUP($A318,Master!$B$50:$N$232,8,FALSE)</f>
        <v>#N/A</v>
      </c>
      <c r="D318" s="316" t="e">
        <f>VLOOKUP($A318,Master!$B$50:$N$232,9,FALSE)</f>
        <v>#N/A</v>
      </c>
      <c r="E318" s="317" t="e">
        <f>VLOOKUP($A318,Master!$B$50:$N$232,11,FALSE)</f>
        <v>#N/A</v>
      </c>
      <c r="F318" s="318">
        <v>12</v>
      </c>
      <c r="G318" s="319" t="s">
        <v>50</v>
      </c>
      <c r="H318" s="320">
        <v>132000</v>
      </c>
      <c r="I318" s="321" t="b">
        <v>1</v>
      </c>
      <c r="J318" s="322">
        <v>12</v>
      </c>
      <c r="K318" s="326" t="e">
        <f>VLOOKUP($A318,Master!$B$50:$N$232,6,FALSE)</f>
        <v>#N/A</v>
      </c>
      <c r="L318" s="327" t="e">
        <f t="shared" si="36"/>
        <v>#N/A</v>
      </c>
      <c r="M318" s="325"/>
    </row>
    <row r="319" spans="1:13" ht="13">
      <c r="A319" s="21" t="s">
        <v>688</v>
      </c>
      <c r="B319" s="61" t="s">
        <v>689</v>
      </c>
      <c r="C319" s="316" t="e">
        <f>VLOOKUP($A319,Master!$B$50:$N$232,8,FALSE)</f>
        <v>#N/A</v>
      </c>
      <c r="D319" s="316" t="e">
        <f>VLOOKUP($A319,Master!$B$50:$N$232,9,FALSE)</f>
        <v>#N/A</v>
      </c>
      <c r="E319" s="317" t="e">
        <f>VLOOKUP($A319,Master!$B$50:$N$232,11,FALSE)</f>
        <v>#N/A</v>
      </c>
      <c r="F319" s="318">
        <v>2</v>
      </c>
      <c r="G319" s="319" t="s">
        <v>62</v>
      </c>
      <c r="H319" s="320">
        <v>125000</v>
      </c>
      <c r="I319" s="321" t="b">
        <v>1</v>
      </c>
      <c r="J319" s="322">
        <v>2</v>
      </c>
      <c r="K319" s="326" t="e">
        <f>VLOOKUP($A319,Master!$B$50:$N$232,6,FALSE)</f>
        <v>#N/A</v>
      </c>
      <c r="L319" s="324">
        <v>124000</v>
      </c>
      <c r="M319" s="325"/>
    </row>
    <row r="320" spans="1:13" ht="13">
      <c r="A320" s="21" t="s">
        <v>692</v>
      </c>
      <c r="B320" s="61" t="s">
        <v>693</v>
      </c>
      <c r="C320" s="316" t="e">
        <f>VLOOKUP($A320,Master!$B$50:$N$232,8,FALSE)</f>
        <v>#N/A</v>
      </c>
      <c r="D320" s="316" t="e">
        <f>VLOOKUP($A320,Master!$B$50:$N$232,9,FALSE)</f>
        <v>#N/A</v>
      </c>
      <c r="E320" s="317" t="e">
        <f>VLOOKUP($A320,Master!$B$50:$N$232,11,FALSE)</f>
        <v>#N/A</v>
      </c>
      <c r="F320" s="318">
        <v>1</v>
      </c>
      <c r="G320" s="319" t="s">
        <v>62</v>
      </c>
      <c r="H320" s="320">
        <v>56000</v>
      </c>
      <c r="I320" s="321" t="b">
        <v>1</v>
      </c>
      <c r="J320" s="322">
        <v>1</v>
      </c>
      <c r="K320" s="326" t="e">
        <f>VLOOKUP($A320,Master!$B$50:$N$232,6,FALSE)</f>
        <v>#N/A</v>
      </c>
      <c r="L320" s="327" t="e">
        <f t="shared" ref="L320:L327" si="37">J320*K320</f>
        <v>#N/A</v>
      </c>
      <c r="M320" s="325"/>
    </row>
    <row r="321" spans="1:13" ht="13">
      <c r="A321" s="21" t="s">
        <v>696</v>
      </c>
      <c r="B321" s="61" t="s">
        <v>697</v>
      </c>
      <c r="C321" s="316" t="e">
        <f>VLOOKUP($A321,Master!$B$50:$N$232,8,FALSE)</f>
        <v>#N/A</v>
      </c>
      <c r="D321" s="316" t="e">
        <f>VLOOKUP($A321,Master!$B$50:$N$232,9,FALSE)</f>
        <v>#N/A</v>
      </c>
      <c r="E321" s="317" t="e">
        <f>VLOOKUP($A321,Master!$B$50:$N$232,11,FALSE)</f>
        <v>#N/A</v>
      </c>
      <c r="F321" s="318">
        <v>4</v>
      </c>
      <c r="G321" s="319" t="s">
        <v>62</v>
      </c>
      <c r="H321" s="320">
        <v>56000</v>
      </c>
      <c r="I321" s="321" t="b">
        <v>1</v>
      </c>
      <c r="J321" s="322">
        <v>4</v>
      </c>
      <c r="K321" s="323">
        <v>14250</v>
      </c>
      <c r="L321" s="324">
        <f t="shared" si="37"/>
        <v>57000</v>
      </c>
      <c r="M321" s="325"/>
    </row>
    <row r="322" spans="1:13" ht="13">
      <c r="A322" s="21" t="s">
        <v>773</v>
      </c>
      <c r="B322" s="61" t="s">
        <v>774</v>
      </c>
      <c r="C322" s="316" t="e">
        <f>VLOOKUP($A322,Master!$B$50:$N$232,8,FALSE)</f>
        <v>#N/A</v>
      </c>
      <c r="D322" s="316" t="e">
        <f>VLOOKUP($A322,Master!$B$50:$N$232,9,FALSE)</f>
        <v>#N/A</v>
      </c>
      <c r="E322" s="317" t="e">
        <f>VLOOKUP($A322,Master!$B$50:$N$232,11,FALSE)</f>
        <v>#N/A</v>
      </c>
      <c r="F322" s="318">
        <v>6</v>
      </c>
      <c r="G322" s="319" t="s">
        <v>62</v>
      </c>
      <c r="H322" s="320">
        <v>84000</v>
      </c>
      <c r="I322" s="321" t="b">
        <v>1</v>
      </c>
      <c r="J322" s="322">
        <v>6</v>
      </c>
      <c r="K322" s="326" t="e">
        <f>VLOOKUP($A322,Master!$B$50:$N$232,6,FALSE)</f>
        <v>#N/A</v>
      </c>
      <c r="L322" s="327" t="e">
        <f t="shared" si="37"/>
        <v>#N/A</v>
      </c>
      <c r="M322" s="325"/>
    </row>
    <row r="323" spans="1:13" ht="13">
      <c r="A323" s="21" t="s">
        <v>799</v>
      </c>
      <c r="B323" s="61" t="s">
        <v>800</v>
      </c>
      <c r="C323" s="316">
        <f>VLOOKUP($A323,Master!$B$50:$N$232,8,FALSE)</f>
        <v>1000</v>
      </c>
      <c r="D323" s="316" t="str">
        <f>VLOOKUP($A323,Master!$B$50:$N$232,9,FALSE)</f>
        <v>gr</v>
      </c>
      <c r="E323" s="317" t="str">
        <f>VLOOKUP($A323,Master!$B$50:$N$232,11,FALSE)</f>
        <v>PD Aroma Jaya</v>
      </c>
      <c r="F323" s="318">
        <v>0.5</v>
      </c>
      <c r="G323" s="319" t="s">
        <v>36</v>
      </c>
      <c r="H323" s="320">
        <v>88000</v>
      </c>
      <c r="I323" s="321" t="b">
        <v>1</v>
      </c>
      <c r="J323" s="322">
        <v>0.5</v>
      </c>
      <c r="K323" s="326">
        <f>VLOOKUP($A323,Master!$B$50:$N$232,6,FALSE)</f>
        <v>90000</v>
      </c>
      <c r="L323" s="327">
        <f t="shared" si="37"/>
        <v>45000</v>
      </c>
      <c r="M323" s="325"/>
    </row>
    <row r="324" spans="1:13" ht="13">
      <c r="A324" s="21" t="s">
        <v>831</v>
      </c>
      <c r="B324" s="61" t="s">
        <v>832</v>
      </c>
      <c r="C324" s="316">
        <f>VLOOKUP($A324,Master!$B$50:$N$232,8,FALSE)</f>
        <v>1000</v>
      </c>
      <c r="D324" s="316" t="str">
        <f>VLOOKUP($A324,Master!$B$50:$N$232,9,FALSE)</f>
        <v>gr</v>
      </c>
      <c r="E324" s="317" t="str">
        <f>VLOOKUP($A324,Master!$B$50:$N$232,11,FALSE)</f>
        <v>PD Aroma Jaya</v>
      </c>
      <c r="F324" s="318">
        <v>1</v>
      </c>
      <c r="G324" s="319" t="s">
        <v>36</v>
      </c>
      <c r="H324" s="320">
        <v>19000</v>
      </c>
      <c r="I324" s="321" t="b">
        <v>1</v>
      </c>
      <c r="J324" s="322">
        <v>1</v>
      </c>
      <c r="K324" s="326">
        <f>VLOOKUP($A324,Master!$B$50:$N$232,6,FALSE)</f>
        <v>21250</v>
      </c>
      <c r="L324" s="327">
        <f t="shared" si="37"/>
        <v>21250</v>
      </c>
      <c r="M324" s="325"/>
    </row>
    <row r="325" spans="1:13" ht="13">
      <c r="A325" s="21" t="s">
        <v>934</v>
      </c>
      <c r="B325" s="61" t="s">
        <v>935</v>
      </c>
      <c r="C325" s="316" t="e">
        <f>VLOOKUP($A325,Master!$B$50:$N$232,8,FALSE)</f>
        <v>#N/A</v>
      </c>
      <c r="D325" s="316" t="e">
        <f>VLOOKUP($A325,Master!$B$50:$N$232,9,FALSE)</f>
        <v>#N/A</v>
      </c>
      <c r="E325" s="317" t="e">
        <f>VLOOKUP($A325,Master!$B$50:$N$232,11,FALSE)</f>
        <v>#N/A</v>
      </c>
      <c r="F325" s="318">
        <v>1</v>
      </c>
      <c r="G325" s="319" t="s">
        <v>62</v>
      </c>
      <c r="H325" s="320">
        <v>7900</v>
      </c>
      <c r="I325" s="321" t="b">
        <v>1</v>
      </c>
      <c r="J325" s="322">
        <v>1</v>
      </c>
      <c r="K325" s="326" t="e">
        <f>VLOOKUP($A325,Master!$B$50:$N$232,6,FALSE)</f>
        <v>#N/A</v>
      </c>
      <c r="L325" s="327" t="e">
        <f t="shared" si="37"/>
        <v>#N/A</v>
      </c>
      <c r="M325" s="325"/>
    </row>
    <row r="326" spans="1:13" ht="13">
      <c r="A326" s="21" t="s">
        <v>943</v>
      </c>
      <c r="B326" s="61" t="s">
        <v>944</v>
      </c>
      <c r="C326" s="316" t="e">
        <f>VLOOKUP($A326,Master!$B$50:$N$232,8,FALSE)</f>
        <v>#N/A</v>
      </c>
      <c r="D326" s="316" t="e">
        <f>VLOOKUP($A326,Master!$B$50:$N$232,9,FALSE)</f>
        <v>#N/A</v>
      </c>
      <c r="E326" s="317" t="e">
        <f>VLOOKUP($A326,Master!$B$50:$N$232,11,FALSE)</f>
        <v>#N/A</v>
      </c>
      <c r="F326" s="318">
        <v>1</v>
      </c>
      <c r="G326" s="319" t="s">
        <v>62</v>
      </c>
      <c r="H326" s="320">
        <v>7900</v>
      </c>
      <c r="I326" s="321" t="b">
        <v>1</v>
      </c>
      <c r="J326" s="322">
        <v>1</v>
      </c>
      <c r="K326" s="326" t="e">
        <f>VLOOKUP($A326,Master!$B$50:$N$232,6,FALSE)</f>
        <v>#N/A</v>
      </c>
      <c r="L326" s="327" t="e">
        <f t="shared" si="37"/>
        <v>#N/A</v>
      </c>
      <c r="M326" s="325"/>
    </row>
    <row r="327" spans="1:13" ht="13">
      <c r="A327" s="22" t="s">
        <v>639</v>
      </c>
      <c r="B327" s="330" t="s">
        <v>640</v>
      </c>
      <c r="C327" s="316">
        <f>VLOOKUP($A327,Master!$B$50:$N$232,8,FALSE)</f>
        <v>1000</v>
      </c>
      <c r="D327" s="316" t="str">
        <f>VLOOKUP($A327,Master!$B$50:$N$232,9,FALSE)</f>
        <v>gr</v>
      </c>
      <c r="E327" s="317" t="str">
        <f>VLOOKUP($A327,Master!$B$50:$N$232,11,FALSE)</f>
        <v>BISS (Topside)</v>
      </c>
      <c r="F327" s="318">
        <v>1</v>
      </c>
      <c r="G327" s="319" t="s">
        <v>36</v>
      </c>
      <c r="H327" s="320">
        <v>145000</v>
      </c>
      <c r="I327" s="321" t="b">
        <v>1</v>
      </c>
      <c r="J327" s="322">
        <v>1</v>
      </c>
      <c r="K327" s="326">
        <f>VLOOKUP($A327,Master!$B$50:$N$232,6,FALSE)</f>
        <v>145000</v>
      </c>
      <c r="L327" s="327">
        <f t="shared" si="37"/>
        <v>145000</v>
      </c>
      <c r="M327" s="325"/>
    </row>
    <row r="328" spans="1:13" ht="13">
      <c r="A328" s="18" t="s">
        <v>756</v>
      </c>
      <c r="B328" s="328" t="s">
        <v>757</v>
      </c>
      <c r="C328" s="316">
        <f>VLOOKUP($A328,Master!$B$50:$N$232,8,FALSE)</f>
        <v>700</v>
      </c>
      <c r="D328" s="316" t="str">
        <f>VLOOKUP($A328,Master!$B$50:$N$232,9,FALSE)</f>
        <v>gr</v>
      </c>
      <c r="E328" s="317" t="str">
        <f>VLOOKUP($A328,Master!$B$50:$N$232,11,FALSE)</f>
        <v>RSB, Dago</v>
      </c>
      <c r="F328" s="318">
        <v>1</v>
      </c>
      <c r="G328" s="319" t="s">
        <v>62</v>
      </c>
      <c r="H328" s="320">
        <v>35900</v>
      </c>
      <c r="I328" s="321" t="b">
        <v>1</v>
      </c>
      <c r="J328" s="322">
        <v>1</v>
      </c>
      <c r="K328" s="326">
        <f>VLOOKUP($A328,Master!$B$50:$N$232,6,FALSE)</f>
        <v>35900</v>
      </c>
      <c r="L328" s="324">
        <v>31000</v>
      </c>
      <c r="M328" s="325"/>
    </row>
    <row r="329" spans="1:13" ht="13">
      <c r="A329" s="18" t="s">
        <v>776</v>
      </c>
      <c r="B329" s="328" t="s">
        <v>777</v>
      </c>
      <c r="C329" s="316" t="e">
        <f>VLOOKUP($A329,Master!$B$50:$N$232,8,FALSE)</f>
        <v>#N/A</v>
      </c>
      <c r="D329" s="316" t="e">
        <f>VLOOKUP($A329,Master!$B$50:$N$232,9,FALSE)</f>
        <v>#N/A</v>
      </c>
      <c r="E329" s="317" t="e">
        <f>VLOOKUP($A329,Master!$B$50:$N$232,11,FALSE)</f>
        <v>#N/A</v>
      </c>
      <c r="F329" s="318">
        <v>2</v>
      </c>
      <c r="G329" s="319" t="s">
        <v>62</v>
      </c>
      <c r="H329" s="320">
        <v>100000</v>
      </c>
      <c r="I329" s="321" t="b">
        <v>1</v>
      </c>
      <c r="J329" s="322">
        <v>2</v>
      </c>
      <c r="K329" s="326" t="e">
        <f>VLOOKUP($A329,Master!$B$50:$N$232,6,FALSE)</f>
        <v>#N/A</v>
      </c>
      <c r="L329" s="324">
        <v>55000</v>
      </c>
      <c r="M329" s="325"/>
    </row>
    <row r="330" spans="1:13" ht="13">
      <c r="A330" s="18" t="s">
        <v>779</v>
      </c>
      <c r="B330" s="328" t="s">
        <v>780</v>
      </c>
      <c r="C330" s="316" t="e">
        <f>VLOOKUP($A330,Master!$B$50:$N$232,8,FALSE)</f>
        <v>#N/A</v>
      </c>
      <c r="D330" s="316" t="e">
        <f>VLOOKUP($A330,Master!$B$50:$N$232,9,FALSE)</f>
        <v>#N/A</v>
      </c>
      <c r="E330" s="317" t="e">
        <f>VLOOKUP($A330,Master!$B$50:$N$232,11,FALSE)</f>
        <v>#N/A</v>
      </c>
      <c r="F330" s="318">
        <v>2</v>
      </c>
      <c r="G330" s="319" t="s">
        <v>62</v>
      </c>
      <c r="H330" s="320">
        <v>86000</v>
      </c>
      <c r="I330" s="321" t="b">
        <v>1</v>
      </c>
      <c r="J330" s="322">
        <v>2</v>
      </c>
      <c r="K330" s="326" t="e">
        <f>VLOOKUP($A330,Master!$B$50:$N$232,6,FALSE)</f>
        <v>#N/A</v>
      </c>
      <c r="L330" s="327" t="e">
        <f t="shared" ref="L330:L332" si="38">J330*K330</f>
        <v>#N/A</v>
      </c>
      <c r="M330" s="325"/>
    </row>
    <row r="331" spans="1:13" ht="13">
      <c r="A331" s="18" t="s">
        <v>874</v>
      </c>
      <c r="B331" s="328" t="s">
        <v>875</v>
      </c>
      <c r="C331" s="316">
        <f>VLOOKUP($A331,Master!$B$50:$N$232,8,FALSE)</f>
        <v>10</v>
      </c>
      <c r="D331" s="316" t="str">
        <f>VLOOKUP($A331,Master!$B$50:$N$232,9,FALSE)</f>
        <v>pcs</v>
      </c>
      <c r="E331" s="317" t="str">
        <f>VLOOKUP($A331,Master!$B$50:$N$232,11,FALSE)</f>
        <v>RSB, Dago</v>
      </c>
      <c r="F331" s="318">
        <v>3</v>
      </c>
      <c r="G331" s="319" t="s">
        <v>62</v>
      </c>
      <c r="H331" s="320">
        <v>55500</v>
      </c>
      <c r="I331" s="321" t="b">
        <v>1</v>
      </c>
      <c r="J331" s="322">
        <v>2</v>
      </c>
      <c r="K331" s="326">
        <f>VLOOKUP($A331,Master!$B$50:$N$232,6,FALSE)</f>
        <v>21000</v>
      </c>
      <c r="L331" s="327">
        <f t="shared" si="38"/>
        <v>42000</v>
      </c>
      <c r="M331" s="325"/>
    </row>
    <row r="332" spans="1:13" ht="13">
      <c r="A332" s="21" t="s">
        <v>655</v>
      </c>
      <c r="B332" s="61" t="s">
        <v>656</v>
      </c>
      <c r="C332" s="316">
        <f>VLOOKUP($A332,Master!$B$50:$N$232,8,FALSE)</f>
        <v>1000</v>
      </c>
      <c r="D332" s="316" t="str">
        <f>VLOOKUP($A332,Master!$B$50:$N$232,9,FALSE)</f>
        <v>gr</v>
      </c>
      <c r="E332" s="317" t="str">
        <f>VLOOKUP($A332,Master!$B$50:$N$232,11,FALSE)</f>
        <v>Toko Lain</v>
      </c>
      <c r="F332" s="318">
        <v>2</v>
      </c>
      <c r="G332" s="319" t="s">
        <v>36</v>
      </c>
      <c r="H332" s="320">
        <v>100000</v>
      </c>
      <c r="I332" s="321" t="b">
        <v>1</v>
      </c>
      <c r="J332" s="322">
        <v>2</v>
      </c>
      <c r="K332" s="326">
        <f>VLOOKUP($A332,Master!$B$50:$N$232,6,FALSE)</f>
        <v>50000</v>
      </c>
      <c r="L332" s="327">
        <f t="shared" si="38"/>
        <v>100000</v>
      </c>
      <c r="M332" s="325"/>
    </row>
    <row r="333" spans="1:13" ht="13">
      <c r="A333" s="22" t="s">
        <v>795</v>
      </c>
      <c r="B333" s="330" t="s">
        <v>796</v>
      </c>
      <c r="C333" s="316">
        <f>VLOOKUP($A333,Master!$B$50:$N$232,8,FALSE)</f>
        <v>10</v>
      </c>
      <c r="D333" s="316" t="str">
        <f>VLOOKUP($A333,Master!$B$50:$N$232,9,FALSE)</f>
        <v>unit</v>
      </c>
      <c r="E333" s="317" t="str">
        <f>VLOOKUP($A333,Master!$B$50:$N$232,11,FALSE)</f>
        <v>Toko Lain</v>
      </c>
      <c r="F333" s="318">
        <v>10</v>
      </c>
      <c r="G333" s="319" t="s">
        <v>62</v>
      </c>
      <c r="H333" s="320">
        <v>78000</v>
      </c>
      <c r="I333" s="321" t="b">
        <v>1</v>
      </c>
      <c r="J333" s="322">
        <v>10</v>
      </c>
      <c r="K333" s="326">
        <f>VLOOKUP($A333,Master!$B$50:$N$232,6,FALSE)</f>
        <v>8000</v>
      </c>
      <c r="L333" s="324">
        <v>70000</v>
      </c>
      <c r="M333" s="325"/>
    </row>
    <row r="334" spans="1:13" ht="13">
      <c r="A334" s="21" t="s">
        <v>544</v>
      </c>
      <c r="B334" s="61" t="s">
        <v>545</v>
      </c>
      <c r="C334" s="316" t="e">
        <f>VLOOKUP($A334,Master!$B$50:$N$232,8,FALSE)</f>
        <v>#N/A</v>
      </c>
      <c r="D334" s="316" t="e">
        <f>VLOOKUP($A334,Master!$B$50:$N$232,9,FALSE)</f>
        <v>#N/A</v>
      </c>
      <c r="E334" s="317" t="e">
        <f>VLOOKUP($A334,Master!$B$50:$N$232,11,FALSE)</f>
        <v>#N/A</v>
      </c>
      <c r="F334" s="318">
        <v>2</v>
      </c>
      <c r="G334" s="319" t="s">
        <v>62</v>
      </c>
      <c r="H334" s="320">
        <v>51300</v>
      </c>
      <c r="I334" s="321" t="b">
        <v>1</v>
      </c>
      <c r="J334" s="322">
        <v>3</v>
      </c>
      <c r="K334" s="326" t="e">
        <f>VLOOKUP($A334,Master!$B$50:$N$232,6,FALSE)</f>
        <v>#N/A</v>
      </c>
      <c r="L334" s="324">
        <v>51557</v>
      </c>
      <c r="M334" s="325"/>
    </row>
    <row r="336" spans="1:13" ht="13">
      <c r="F336" s="427">
        <v>44830</v>
      </c>
      <c r="G336" s="428"/>
      <c r="H336" s="424"/>
      <c r="J336" s="429">
        <f>F336+1</f>
        <v>44831</v>
      </c>
      <c r="K336" s="428"/>
      <c r="L336" s="424"/>
    </row>
    <row r="337" spans="1:13" ht="13">
      <c r="F337" s="425" t="s">
        <v>1490</v>
      </c>
      <c r="G337" s="426"/>
      <c r="H337" s="304">
        <f>SUM(H339:H363)</f>
        <v>1373900</v>
      </c>
      <c r="J337" s="425" t="s">
        <v>1491</v>
      </c>
      <c r="K337" s="426"/>
      <c r="L337" s="304" t="e">
        <f>SUM(L339:L363)</f>
        <v>#N/A</v>
      </c>
    </row>
    <row r="338" spans="1:13" ht="13">
      <c r="A338" s="2" t="s">
        <v>4</v>
      </c>
      <c r="B338" s="305" t="s">
        <v>5</v>
      </c>
      <c r="C338" s="305" t="s">
        <v>1492</v>
      </c>
      <c r="D338" s="305" t="s">
        <v>12</v>
      </c>
      <c r="E338" s="306" t="s">
        <v>1493</v>
      </c>
      <c r="F338" s="307" t="s">
        <v>1494</v>
      </c>
      <c r="G338" s="308" t="s">
        <v>10</v>
      </c>
      <c r="H338" s="309" t="s">
        <v>1495</v>
      </c>
      <c r="I338" s="310" t="s">
        <v>1289</v>
      </c>
      <c r="J338" s="311" t="s">
        <v>1496</v>
      </c>
      <c r="K338" s="312" t="s">
        <v>1497</v>
      </c>
      <c r="L338" s="313" t="s">
        <v>1498</v>
      </c>
      <c r="M338" s="314" t="s">
        <v>16</v>
      </c>
    </row>
    <row r="339" spans="1:13" ht="13">
      <c r="A339" s="315" t="s">
        <v>631</v>
      </c>
      <c r="B339" s="61" t="s">
        <v>632</v>
      </c>
      <c r="C339" s="316">
        <f>VLOOKUP($A339,Master!$B$50:$N$232,8,FALSE)</f>
        <v>1000</v>
      </c>
      <c r="D339" s="316" t="str">
        <f>VLOOKUP($A339,Master!$B$50:$N$232,9,FALSE)</f>
        <v>gr</v>
      </c>
      <c r="E339" s="317" t="str">
        <f>VLOOKUP($A339,Master!$B$50:$N$232,11,FALSE)</f>
        <v>Borma</v>
      </c>
      <c r="F339" s="318">
        <v>0.5</v>
      </c>
      <c r="G339" s="319" t="s">
        <v>36</v>
      </c>
      <c r="H339" s="320">
        <v>16000</v>
      </c>
      <c r="I339" s="321" t="b">
        <v>1</v>
      </c>
      <c r="J339" s="322">
        <v>0.5</v>
      </c>
      <c r="K339" s="326">
        <f>VLOOKUP($A339,Master!$B$50:$N$232,6,FALSE)</f>
        <v>18000</v>
      </c>
      <c r="L339" s="324">
        <v>10000</v>
      </c>
      <c r="M339" s="325"/>
    </row>
    <row r="340" spans="1:13" ht="13">
      <c r="A340" s="21" t="s">
        <v>1501</v>
      </c>
      <c r="B340" s="61" t="s">
        <v>908</v>
      </c>
      <c r="C340" s="316" t="e">
        <f>VLOOKUP($A340,Master!$B$50:$N$232,8,FALSE)</f>
        <v>#N/A</v>
      </c>
      <c r="D340" s="316" t="e">
        <f>VLOOKUP($A340,Master!$B$50:$N$232,9,FALSE)</f>
        <v>#N/A</v>
      </c>
      <c r="E340" s="317" t="e">
        <f>VLOOKUP($A340,Master!$B$50:$N$232,11,FALSE)</f>
        <v>#N/A</v>
      </c>
      <c r="F340" s="318">
        <v>2</v>
      </c>
      <c r="G340" s="319" t="s">
        <v>741</v>
      </c>
      <c r="H340" s="320">
        <v>5950</v>
      </c>
      <c r="I340" s="321" t="b">
        <v>0</v>
      </c>
      <c r="J340" s="322"/>
      <c r="K340" s="323" t="e">
        <f>VLOOKUP($A340,Master!$B$50:$N$232,6,FALSE)</f>
        <v>#N/A</v>
      </c>
      <c r="L340" s="324" t="e">
        <f>J340*K340</f>
        <v>#N/A</v>
      </c>
      <c r="M340" s="325"/>
    </row>
    <row r="341" spans="1:13" ht="13">
      <c r="A341" s="21" t="s">
        <v>651</v>
      </c>
      <c r="B341" s="61" t="s">
        <v>652</v>
      </c>
      <c r="C341" s="316">
        <f>VLOOKUP($A341,Master!$B$50:$N$232,8,FALSE)</f>
        <v>1000</v>
      </c>
      <c r="D341" s="316" t="str">
        <f>VLOOKUP($A341,Master!$B$50:$N$232,9,FALSE)</f>
        <v>gr</v>
      </c>
      <c r="E341" s="317" t="str">
        <f>VLOOKUP($A341,Master!$B$50:$N$232,11,FALSE)</f>
        <v>Eden Farm</v>
      </c>
      <c r="F341" s="318">
        <v>0.5</v>
      </c>
      <c r="G341" s="319" t="s">
        <v>36</v>
      </c>
      <c r="H341" s="320">
        <v>10200</v>
      </c>
      <c r="I341" s="321" t="b">
        <v>1</v>
      </c>
      <c r="J341" s="322">
        <v>0.5</v>
      </c>
      <c r="K341" s="326">
        <f>VLOOKUP($A341,Master!$B$50:$N$232,6,FALSE)</f>
        <v>18000</v>
      </c>
      <c r="L341" s="324">
        <v>6000</v>
      </c>
      <c r="M341" s="325" t="s">
        <v>1520</v>
      </c>
    </row>
    <row r="342" spans="1:13" ht="13">
      <c r="A342" s="21" t="s">
        <v>716</v>
      </c>
      <c r="B342" s="61" t="s">
        <v>717</v>
      </c>
      <c r="C342" s="316">
        <f>VLOOKUP($A342,Master!$B$50:$N$232,8,FALSE)</f>
        <v>1000</v>
      </c>
      <c r="D342" s="316" t="str">
        <f>VLOOKUP($A342,Master!$B$50:$N$232,9,FALSE)</f>
        <v>gr</v>
      </c>
      <c r="E342" s="317" t="str">
        <f>VLOOKUP($A342,Master!$B$50:$N$232,11,FALSE)</f>
        <v>Eden Farm</v>
      </c>
      <c r="F342" s="318">
        <v>1</v>
      </c>
      <c r="G342" s="319" t="s">
        <v>36</v>
      </c>
      <c r="H342" s="320">
        <v>41700</v>
      </c>
      <c r="I342" s="321" t="b">
        <v>1</v>
      </c>
      <c r="J342" s="322">
        <v>1</v>
      </c>
      <c r="K342" s="326">
        <f>VLOOKUP($A342,Master!$B$50:$N$232,6,FALSE)</f>
        <v>45000</v>
      </c>
      <c r="L342" s="324">
        <v>45000</v>
      </c>
      <c r="M342" s="325" t="s">
        <v>1520</v>
      </c>
    </row>
    <row r="343" spans="1:13" ht="13">
      <c r="A343" s="21" t="s">
        <v>732</v>
      </c>
      <c r="B343" s="61" t="s">
        <v>733</v>
      </c>
      <c r="C343" s="316">
        <f>VLOOKUP($A343,Master!$B$50:$N$232,8,FALSE)</f>
        <v>1000</v>
      </c>
      <c r="D343" s="316" t="str">
        <f>VLOOKUP($A343,Master!$B$50:$N$232,9,FALSE)</f>
        <v>gr</v>
      </c>
      <c r="E343" s="317" t="str">
        <f>VLOOKUP($A343,Master!$B$50:$N$232,11,FALSE)</f>
        <v>Eden Farm</v>
      </c>
      <c r="F343" s="318">
        <v>1</v>
      </c>
      <c r="G343" s="319" t="s">
        <v>36</v>
      </c>
      <c r="H343" s="320">
        <v>19900</v>
      </c>
      <c r="I343" s="321" t="b">
        <v>1</v>
      </c>
      <c r="J343" s="322">
        <v>1</v>
      </c>
      <c r="K343" s="326">
        <f>VLOOKUP($A343,Master!$B$50:$N$232,6,FALSE)</f>
        <v>40000</v>
      </c>
      <c r="L343" s="324">
        <v>30000</v>
      </c>
      <c r="M343" s="325" t="s">
        <v>1520</v>
      </c>
    </row>
    <row r="344" spans="1:13" ht="13">
      <c r="A344" s="21" t="s">
        <v>827</v>
      </c>
      <c r="B344" s="61" t="s">
        <v>828</v>
      </c>
      <c r="C344" s="316">
        <f>VLOOKUP($A344,Master!$B$50:$N$232,8,FALSE)</f>
        <v>1000</v>
      </c>
      <c r="D344" s="316" t="str">
        <f>VLOOKUP($A344,Master!$B$50:$N$232,9,FALSE)</f>
        <v>gr</v>
      </c>
      <c r="E344" s="317" t="str">
        <f>VLOOKUP($A344,Master!$B$50:$N$232,11,FALSE)</f>
        <v>Eden Farm</v>
      </c>
      <c r="F344" s="318">
        <v>0.2</v>
      </c>
      <c r="G344" s="319" t="s">
        <v>36</v>
      </c>
      <c r="H344" s="320">
        <v>8800</v>
      </c>
      <c r="I344" s="321" t="b">
        <v>1</v>
      </c>
      <c r="J344" s="322">
        <v>0.2</v>
      </c>
      <c r="K344" s="326">
        <f>VLOOKUP($A344,Master!$B$50:$N$232,6,FALSE)</f>
        <v>12000</v>
      </c>
      <c r="L344" s="324">
        <v>2000</v>
      </c>
      <c r="M344" s="325" t="s">
        <v>1520</v>
      </c>
    </row>
    <row r="345" spans="1:13" ht="13">
      <c r="A345" s="21" t="s">
        <v>919</v>
      </c>
      <c r="B345" s="61" t="s">
        <v>920</v>
      </c>
      <c r="C345" s="316">
        <f>VLOOKUP($A345,Master!$B$50:$N$232,8,FALSE)</f>
        <v>1000</v>
      </c>
      <c r="D345" s="316" t="str">
        <f>VLOOKUP($A345,Master!$B$50:$N$232,9,FALSE)</f>
        <v>gr</v>
      </c>
      <c r="E345" s="317" t="str">
        <f>VLOOKUP($A345,Master!$B$50:$N$232,11,FALSE)</f>
        <v>Eden Farm</v>
      </c>
      <c r="F345" s="318">
        <v>1</v>
      </c>
      <c r="G345" s="319" t="s">
        <v>62</v>
      </c>
      <c r="H345" s="320">
        <v>39900</v>
      </c>
      <c r="I345" s="321" t="b">
        <v>1</v>
      </c>
      <c r="J345" s="322">
        <v>1</v>
      </c>
      <c r="K345" s="326">
        <f>VLOOKUP($A345,Master!$B$50:$N$232,6,FALSE)</f>
        <v>50000</v>
      </c>
      <c r="L345" s="324">
        <v>40000</v>
      </c>
      <c r="M345" s="325" t="s">
        <v>1520</v>
      </c>
    </row>
    <row r="346" spans="1:13" ht="13">
      <c r="A346" s="21" t="s">
        <v>922</v>
      </c>
      <c r="B346" s="61" t="s">
        <v>923</v>
      </c>
      <c r="C346" s="316">
        <f>VLOOKUP($A346,Master!$B$50:$N$232,8,FALSE)</f>
        <v>400</v>
      </c>
      <c r="D346" s="316" t="str">
        <f>VLOOKUP($A346,Master!$B$50:$N$232,9,FALSE)</f>
        <v>gr</v>
      </c>
      <c r="E346" s="317" t="str">
        <f>VLOOKUP($A346,Master!$B$50:$N$232,11,FALSE)</f>
        <v>Eden Farm</v>
      </c>
      <c r="F346" s="318">
        <v>3</v>
      </c>
      <c r="G346" s="319" t="s">
        <v>62</v>
      </c>
      <c r="H346" s="320">
        <v>76200</v>
      </c>
      <c r="I346" s="321" t="b">
        <v>1</v>
      </c>
      <c r="J346" s="322">
        <v>3</v>
      </c>
      <c r="K346" s="326">
        <f>VLOOKUP($A346,Master!$B$50:$N$232,6,FALSE)</f>
        <v>41400</v>
      </c>
      <c r="L346" s="324">
        <v>50000</v>
      </c>
      <c r="M346" s="325" t="s">
        <v>1520</v>
      </c>
    </row>
    <row r="347" spans="1:13" ht="13">
      <c r="A347" s="21" t="s">
        <v>1020</v>
      </c>
      <c r="B347" s="61" t="s">
        <v>1021</v>
      </c>
      <c r="C347" s="316">
        <f>VLOOKUP($A347,Master!$B$50:$N$232,8,FALSE)</f>
        <v>1000</v>
      </c>
      <c r="D347" s="316" t="str">
        <f>VLOOKUP($A347,Master!$B$50:$N$232,9,FALSE)</f>
        <v>gr</v>
      </c>
      <c r="E347" s="317" t="str">
        <f>VLOOKUP($A347,Master!$B$50:$N$232,11,FALSE)</f>
        <v>Eden Farm</v>
      </c>
      <c r="F347" s="318">
        <v>0.5</v>
      </c>
      <c r="G347" s="319" t="s">
        <v>36</v>
      </c>
      <c r="H347" s="320">
        <v>21800</v>
      </c>
      <c r="I347" s="321" t="b">
        <v>1</v>
      </c>
      <c r="J347" s="322">
        <v>0.5</v>
      </c>
      <c r="K347" s="326">
        <f>VLOOKUP($A347,Master!$B$50:$N$232,6,FALSE)</f>
        <v>24000</v>
      </c>
      <c r="L347" s="324">
        <v>12000</v>
      </c>
      <c r="M347" s="325" t="s">
        <v>1520</v>
      </c>
    </row>
    <row r="348" spans="1:13" ht="13">
      <c r="A348" s="21" t="s">
        <v>1074</v>
      </c>
      <c r="B348" s="61" t="s">
        <v>1075</v>
      </c>
      <c r="C348" s="316">
        <f>VLOOKUP($A348,Master!$B$50:$N$232,8,FALSE)</f>
        <v>1000</v>
      </c>
      <c r="D348" s="316" t="str">
        <f>VLOOKUP($A348,Master!$B$50:$N$232,9,FALSE)</f>
        <v>gr</v>
      </c>
      <c r="E348" s="317" t="str">
        <f>VLOOKUP($A348,Master!$B$50:$N$232,11,FALSE)</f>
        <v>PD Aroma Jaya</v>
      </c>
      <c r="F348" s="318">
        <v>0.2</v>
      </c>
      <c r="G348" s="319" t="s">
        <v>36</v>
      </c>
      <c r="H348" s="320">
        <v>6500</v>
      </c>
      <c r="I348" s="321" t="b">
        <v>1</v>
      </c>
      <c r="J348" s="322">
        <v>0.2</v>
      </c>
      <c r="K348" s="323">
        <f>VLOOKUP($A348,Master!$B$50:$N$232,6,FALSE)</f>
        <v>16500</v>
      </c>
      <c r="L348" s="324">
        <v>2000</v>
      </c>
      <c r="M348" s="325" t="s">
        <v>1520</v>
      </c>
    </row>
    <row r="349" spans="1:13" ht="13">
      <c r="A349" s="21" t="s">
        <v>659</v>
      </c>
      <c r="B349" s="61" t="s">
        <v>660</v>
      </c>
      <c r="C349" s="316">
        <f>VLOOKUP($A349,Master!$B$50:$N$232,8,FALSE)</f>
        <v>15</v>
      </c>
      <c r="D349" s="316" t="str">
        <f>VLOOKUP($A349,Master!$B$50:$N$232,9,FALSE)</f>
        <v>pcs</v>
      </c>
      <c r="E349" s="317" t="str">
        <f>VLOOKUP($A349,Master!$B$50:$N$232,11,FALSE)</f>
        <v>Feri Supriadi (Telur , Beras , Minyak )</v>
      </c>
      <c r="F349" s="318">
        <v>3</v>
      </c>
      <c r="G349" s="319" t="s">
        <v>36</v>
      </c>
      <c r="H349" s="320">
        <v>84000</v>
      </c>
      <c r="I349" s="321" t="b">
        <v>1</v>
      </c>
      <c r="J349" s="322">
        <v>3</v>
      </c>
      <c r="K349" s="326">
        <f>VLOOKUP($A349,Master!$B$50:$N$232,6,FALSE)</f>
        <v>28000</v>
      </c>
      <c r="L349" s="324">
        <v>78000</v>
      </c>
      <c r="M349" s="325"/>
    </row>
    <row r="350" spans="1:13" ht="13">
      <c r="A350" s="21" t="s">
        <v>1112</v>
      </c>
      <c r="B350" s="61" t="s">
        <v>1113</v>
      </c>
      <c r="C350" s="316" t="e">
        <f>VLOOKUP($A350,Master!$B$50:$N$240,8,FALSE)</f>
        <v>#N/A</v>
      </c>
      <c r="D350" s="316" t="e">
        <f>VLOOKUP($A350,Master!$B$50:$N$240,9,FALSE)</f>
        <v>#N/A</v>
      </c>
      <c r="E350" s="317" t="s">
        <v>272</v>
      </c>
      <c r="F350" s="318">
        <v>2</v>
      </c>
      <c r="G350" s="319" t="s">
        <v>132</v>
      </c>
      <c r="H350" s="320">
        <v>436000</v>
      </c>
      <c r="I350" s="321" t="b">
        <v>1</v>
      </c>
      <c r="J350" s="322">
        <v>2</v>
      </c>
      <c r="K350" s="326" t="e">
        <f>VLOOKUP($A350,Master!$B$50:$N$240,6,FALSE)</f>
        <v>#N/A</v>
      </c>
      <c r="L350" s="324" t="e">
        <f t="shared" ref="L350:L351" si="39">J350*K350</f>
        <v>#N/A</v>
      </c>
      <c r="M350" s="325"/>
    </row>
    <row r="351" spans="1:13" ht="13">
      <c r="A351" s="22" t="s">
        <v>675</v>
      </c>
      <c r="B351" s="330" t="s">
        <v>676</v>
      </c>
      <c r="C351" s="316">
        <f>VLOOKUP($A351,Master!$B$50:$N$232,8,FALSE)</f>
        <v>20</v>
      </c>
      <c r="D351" s="316" t="str">
        <f>VLOOKUP($A351,Master!$B$50:$N$232,9,FALSE)</f>
        <v>unit</v>
      </c>
      <c r="E351" s="317" t="str">
        <f>VLOOKUP($A351,Master!$B$50:$N$232,11,FALSE)</f>
        <v>RSB, Dago</v>
      </c>
      <c r="F351" s="318">
        <v>10</v>
      </c>
      <c r="G351" s="319" t="s">
        <v>62</v>
      </c>
      <c r="H351" s="320">
        <v>60000</v>
      </c>
      <c r="I351" s="321" t="b">
        <v>1</v>
      </c>
      <c r="J351" s="322">
        <v>8</v>
      </c>
      <c r="K351" s="326">
        <f>VLOOKUP($A351,Master!$B$50:$N$232,6,FALSE)</f>
        <v>13500</v>
      </c>
      <c r="L351" s="327">
        <f t="shared" si="39"/>
        <v>108000</v>
      </c>
      <c r="M351" s="325"/>
    </row>
    <row r="352" spans="1:13" ht="13">
      <c r="A352" s="22" t="s">
        <v>881</v>
      </c>
      <c r="B352" s="330" t="s">
        <v>882</v>
      </c>
      <c r="C352" s="316">
        <f>VLOOKUP($A352,Master!$B$50:$N$232,8,FALSE)</f>
        <v>1000</v>
      </c>
      <c r="D352" s="316" t="str">
        <f>VLOOKUP($A352,Master!$B$50:$N$232,9,FALSE)</f>
        <v>gr</v>
      </c>
      <c r="E352" s="317" t="str">
        <f>VLOOKUP($A352,Master!$B$50:$N$232,11,FALSE)</f>
        <v>Pasar Cihapit</v>
      </c>
      <c r="F352" s="318">
        <v>0.25</v>
      </c>
      <c r="G352" s="319" t="s">
        <v>36</v>
      </c>
      <c r="H352" s="320">
        <v>69000</v>
      </c>
      <c r="I352" s="321" t="b">
        <v>1</v>
      </c>
      <c r="J352" s="322">
        <v>0.25</v>
      </c>
      <c r="K352" s="326">
        <f>VLOOKUP($A352,Master!$B$50:$N$232,6,FALSE)</f>
        <v>69000</v>
      </c>
      <c r="L352" s="324">
        <v>16153</v>
      </c>
      <c r="M352" s="325" t="s">
        <v>1500</v>
      </c>
    </row>
    <row r="353" spans="1:13" ht="13">
      <c r="A353" s="21" t="s">
        <v>519</v>
      </c>
      <c r="B353" s="61" t="s">
        <v>520</v>
      </c>
      <c r="C353" s="316" t="e">
        <f>VLOOKUP($A353,Master!$B$50:$N$232,8,FALSE)</f>
        <v>#N/A</v>
      </c>
      <c r="D353" s="316" t="e">
        <f>VLOOKUP($A353,Master!$B$50:$N$232,9,FALSE)</f>
        <v>#N/A</v>
      </c>
      <c r="E353" s="317" t="e">
        <f>VLOOKUP($A353,Master!$B$50:$N$232,11,FALSE)</f>
        <v>#N/A</v>
      </c>
      <c r="F353" s="318">
        <v>1</v>
      </c>
      <c r="G353" s="319" t="s">
        <v>36</v>
      </c>
      <c r="H353" s="320">
        <v>14000</v>
      </c>
      <c r="I353" s="321" t="b">
        <v>1</v>
      </c>
      <c r="J353" s="322">
        <v>1</v>
      </c>
      <c r="K353" s="326" t="e">
        <f>VLOOKUP($A353,Master!$B$50:$N$232,6,FALSE)</f>
        <v>#N/A</v>
      </c>
      <c r="L353" s="324">
        <v>15500</v>
      </c>
      <c r="M353" s="325" t="s">
        <v>1499</v>
      </c>
    </row>
    <row r="354" spans="1:13" ht="13">
      <c r="A354" s="21" t="s">
        <v>528</v>
      </c>
      <c r="B354" s="61" t="s">
        <v>529</v>
      </c>
      <c r="C354" s="316" t="e">
        <f>VLOOKUP($A354,Master!$B$50:$N$232,8,FALSE)</f>
        <v>#N/A</v>
      </c>
      <c r="D354" s="316" t="e">
        <f>VLOOKUP($A354,Master!$B$50:$N$232,9,FALSE)</f>
        <v>#N/A</v>
      </c>
      <c r="E354" s="317" t="e">
        <f>VLOOKUP($A354,Master!$B$50:$N$232,11,FALSE)</f>
        <v>#N/A</v>
      </c>
      <c r="F354" s="318">
        <v>2</v>
      </c>
      <c r="G354" s="319" t="s">
        <v>50</v>
      </c>
      <c r="H354" s="320">
        <v>32000</v>
      </c>
      <c r="I354" s="321" t="b">
        <v>1</v>
      </c>
      <c r="J354" s="322">
        <v>2</v>
      </c>
      <c r="K354" s="326" t="e">
        <f>VLOOKUP($A354,Master!$B$50:$N$232,6,FALSE)</f>
        <v>#N/A</v>
      </c>
      <c r="L354" s="324">
        <v>35000</v>
      </c>
      <c r="M354" s="325" t="s">
        <v>1499</v>
      </c>
    </row>
    <row r="355" spans="1:13" ht="13">
      <c r="A355" s="21" t="s">
        <v>688</v>
      </c>
      <c r="B355" s="61" t="s">
        <v>689</v>
      </c>
      <c r="C355" s="316" t="e">
        <f>VLOOKUP($A355,Master!$B$50:$N$232,8,FALSE)</f>
        <v>#N/A</v>
      </c>
      <c r="D355" s="316" t="e">
        <f>VLOOKUP($A355,Master!$B$50:$N$232,9,FALSE)</f>
        <v>#N/A</v>
      </c>
      <c r="E355" s="317" t="e">
        <f>VLOOKUP($A355,Master!$B$50:$N$232,11,FALSE)</f>
        <v>#N/A</v>
      </c>
      <c r="F355" s="318">
        <v>1</v>
      </c>
      <c r="G355" s="319" t="s">
        <v>62</v>
      </c>
      <c r="H355" s="320">
        <v>62500</v>
      </c>
      <c r="I355" s="321" t="b">
        <v>1</v>
      </c>
      <c r="J355" s="322">
        <v>1</v>
      </c>
      <c r="K355" s="326" t="e">
        <f>VLOOKUP($A355,Master!$B$50:$N$232,6,FALSE)</f>
        <v>#N/A</v>
      </c>
      <c r="L355" s="324">
        <v>65000</v>
      </c>
      <c r="M355" s="325" t="s">
        <v>1499</v>
      </c>
    </row>
    <row r="356" spans="1:13" ht="13">
      <c r="A356" s="21" t="s">
        <v>720</v>
      </c>
      <c r="B356" s="61" t="s">
        <v>721</v>
      </c>
      <c r="C356" s="316">
        <f>VLOOKUP($A356,Master!$B$50:$N$232,8,FALSE)</f>
        <v>100</v>
      </c>
      <c r="D356" s="316" t="str">
        <f>VLOOKUP($A356,Master!$B$50:$N$232,9,FALSE)</f>
        <v>gr</v>
      </c>
      <c r="E356" s="317" t="str">
        <f>VLOOKUP($A356,Master!$B$50:$N$232,11,FALSE)</f>
        <v>PD Aroma Jaya</v>
      </c>
      <c r="F356" s="318">
        <v>1</v>
      </c>
      <c r="G356" s="319" t="s">
        <v>62</v>
      </c>
      <c r="H356" s="320">
        <v>28000</v>
      </c>
      <c r="I356" s="321" t="b">
        <v>1</v>
      </c>
      <c r="J356" s="322">
        <v>1</v>
      </c>
      <c r="K356" s="326">
        <f>VLOOKUP($A356,Master!$B$50:$N$232,6,FALSE)</f>
        <v>28000</v>
      </c>
      <c r="L356" s="324">
        <v>15000</v>
      </c>
      <c r="M356" s="325" t="s">
        <v>1536</v>
      </c>
    </row>
    <row r="357" spans="1:13" ht="13">
      <c r="A357" s="21" t="s">
        <v>748</v>
      </c>
      <c r="B357" s="61" t="s">
        <v>749</v>
      </c>
      <c r="C357" s="316" t="e">
        <f>VLOOKUP($A357,Master!$B$50:$N$232,8,FALSE)</f>
        <v>#N/A</v>
      </c>
      <c r="D357" s="316" t="e">
        <f>VLOOKUP($A357,Master!$B$50:$N$232,9,FALSE)</f>
        <v>#N/A</v>
      </c>
      <c r="E357" s="317" t="e">
        <f>VLOOKUP($A357,Master!$B$50:$N$232,11,FALSE)</f>
        <v>#N/A</v>
      </c>
      <c r="F357" s="318">
        <v>2</v>
      </c>
      <c r="G357" s="319" t="s">
        <v>62</v>
      </c>
      <c r="H357" s="320">
        <v>55000</v>
      </c>
      <c r="I357" s="321" t="b">
        <v>1</v>
      </c>
      <c r="J357" s="322">
        <v>2</v>
      </c>
      <c r="K357" s="326" t="e">
        <f>VLOOKUP($A357,Master!$B$50:$N$232,6,FALSE)</f>
        <v>#N/A</v>
      </c>
      <c r="L357" s="324">
        <v>60000</v>
      </c>
      <c r="M357" s="325" t="s">
        <v>1499</v>
      </c>
    </row>
    <row r="358" spans="1:13" ht="13">
      <c r="A358" s="315" t="s">
        <v>934</v>
      </c>
      <c r="B358" s="61" t="s">
        <v>935</v>
      </c>
      <c r="C358" s="316" t="e">
        <f>VLOOKUP($A358,Master!$B$50:$N$232,8,FALSE)</f>
        <v>#N/A</v>
      </c>
      <c r="D358" s="316" t="e">
        <f>VLOOKUP($A358,Master!$B$50:$N$232,9,FALSE)</f>
        <v>#N/A</v>
      </c>
      <c r="E358" s="317" t="e">
        <f>VLOOKUP($A358,Master!$B$50:$N$232,11,FALSE)</f>
        <v>#N/A</v>
      </c>
      <c r="F358" s="318">
        <v>2</v>
      </c>
      <c r="G358" s="319" t="s">
        <v>62</v>
      </c>
      <c r="H358" s="320">
        <v>15800</v>
      </c>
      <c r="I358" s="321" t="b">
        <v>1</v>
      </c>
      <c r="J358" s="322">
        <v>2</v>
      </c>
      <c r="K358" s="326" t="e">
        <f>VLOOKUP($A358,Master!$B$50:$N$232,6,FALSE)</f>
        <v>#N/A</v>
      </c>
      <c r="L358" s="324">
        <v>20000</v>
      </c>
      <c r="M358" s="325" t="s">
        <v>1499</v>
      </c>
    </row>
    <row r="359" spans="1:13" ht="13">
      <c r="A359" s="331" t="s">
        <v>1014</v>
      </c>
      <c r="B359" s="61" t="s">
        <v>1015</v>
      </c>
      <c r="C359" s="316">
        <f>VLOOKUP($A359,Master!$B$50:$N$232,8,FALSE)</f>
        <v>50</v>
      </c>
      <c r="D359" s="316" t="str">
        <f>VLOOKUP($A359,Master!$B$50:$N$232,9,FALSE)</f>
        <v>pcs</v>
      </c>
      <c r="E359" s="317" t="str">
        <f>VLOOKUP($A359,Master!$B$50:$N$232,11,FALSE)</f>
        <v>PD Aroma Jaya</v>
      </c>
      <c r="F359" s="318">
        <v>1</v>
      </c>
      <c r="G359" s="319" t="s">
        <v>62</v>
      </c>
      <c r="H359" s="320">
        <v>10000</v>
      </c>
      <c r="I359" s="321" t="b">
        <v>1</v>
      </c>
      <c r="J359" s="322">
        <v>1</v>
      </c>
      <c r="K359" s="326">
        <f>VLOOKUP($A359,Master!$B$50:$N$232,6,FALSE)</f>
        <v>10000</v>
      </c>
      <c r="L359" s="324">
        <v>13000</v>
      </c>
      <c r="M359" s="325" t="s">
        <v>1499</v>
      </c>
    </row>
    <row r="360" spans="1:13" ht="13">
      <c r="A360" s="21" t="s">
        <v>655</v>
      </c>
      <c r="B360" s="61" t="s">
        <v>656</v>
      </c>
      <c r="C360" s="316">
        <f>VLOOKUP($A360,Master!$B$50:$N$232,8,FALSE)</f>
        <v>1000</v>
      </c>
      <c r="D360" s="316" t="str">
        <f>VLOOKUP($A360,Master!$B$50:$N$232,9,FALSE)</f>
        <v>gr</v>
      </c>
      <c r="E360" s="317" t="str">
        <f>VLOOKUP($A360,Master!$B$50:$N$232,11,FALSE)</f>
        <v>Toko Lain</v>
      </c>
      <c r="F360" s="318">
        <v>2</v>
      </c>
      <c r="G360" s="319" t="s">
        <v>36</v>
      </c>
      <c r="H360" s="320">
        <v>100000</v>
      </c>
      <c r="I360" s="321" t="b">
        <v>1</v>
      </c>
      <c r="J360" s="322">
        <v>2</v>
      </c>
      <c r="K360" s="326">
        <f>VLOOKUP($A360,Master!$B$50:$N$232,6,FALSE)</f>
        <v>50000</v>
      </c>
      <c r="L360" s="327">
        <f t="shared" ref="L360:L361" si="40">J360*K360</f>
        <v>100000</v>
      </c>
      <c r="M360" s="325"/>
    </row>
    <row r="361" spans="1:13" ht="13">
      <c r="A361" s="21" t="s">
        <v>782</v>
      </c>
      <c r="B361" s="61" t="s">
        <v>783</v>
      </c>
      <c r="C361" s="316">
        <f>VLOOKUP($A361,Master!$B$50:$N$232,8,FALSE)</f>
        <v>500</v>
      </c>
      <c r="D361" s="316" t="str">
        <f>VLOOKUP($A361,Master!$B$50:$N$232,9,FALSE)</f>
        <v>gr</v>
      </c>
      <c r="E361" s="317" t="str">
        <f>VLOOKUP($A361,Master!$B$50:$N$232,11,FALSE)</f>
        <v>Toko Lain</v>
      </c>
      <c r="F361" s="318">
        <v>1</v>
      </c>
      <c r="G361" s="319" t="s">
        <v>62</v>
      </c>
      <c r="H361" s="320">
        <v>25000</v>
      </c>
      <c r="I361" s="321" t="b">
        <v>1</v>
      </c>
      <c r="J361" s="322">
        <v>1</v>
      </c>
      <c r="K361" s="326">
        <f>VLOOKUP($A361,Master!$B$50:$N$232,6,FALSE)</f>
        <v>25000</v>
      </c>
      <c r="L361" s="327">
        <f t="shared" si="40"/>
        <v>25000</v>
      </c>
      <c r="M361" s="325"/>
    </row>
    <row r="362" spans="1:13" ht="13">
      <c r="A362" s="21" t="s">
        <v>544</v>
      </c>
      <c r="B362" s="61" t="s">
        <v>545</v>
      </c>
      <c r="C362" s="316" t="e">
        <f>VLOOKUP($A362,Master!$B$50:$N$232,8,FALSE)</f>
        <v>#N/A</v>
      </c>
      <c r="D362" s="316" t="e">
        <f>VLOOKUP($A362,Master!$B$50:$N$232,9,FALSE)</f>
        <v>#N/A</v>
      </c>
      <c r="E362" s="317" t="e">
        <f>VLOOKUP($A362,Master!$B$50:$N$232,11,FALSE)</f>
        <v>#N/A</v>
      </c>
      <c r="F362" s="318">
        <v>1</v>
      </c>
      <c r="G362" s="319" t="s">
        <v>62</v>
      </c>
      <c r="H362" s="320">
        <v>25650</v>
      </c>
      <c r="I362" s="321" t="b">
        <v>1</v>
      </c>
      <c r="J362" s="322">
        <v>1</v>
      </c>
      <c r="K362" s="326" t="e">
        <f>VLOOKUP($A362,Master!$B$50:$N$232,6,FALSE)</f>
        <v>#N/A</v>
      </c>
      <c r="L362" s="324">
        <v>17186</v>
      </c>
      <c r="M362" s="325"/>
    </row>
    <row r="363" spans="1:13" ht="13">
      <c r="A363" s="21" t="s">
        <v>1537</v>
      </c>
      <c r="B363" s="61" t="s">
        <v>701</v>
      </c>
      <c r="C363" s="316" t="e">
        <f>VLOOKUP($A363,Master!$B$50:$N$232,8,FALSE)</f>
        <v>#N/A</v>
      </c>
      <c r="D363" s="316" t="e">
        <f>VLOOKUP($A363,Master!$B$50:$N$232,9,FALSE)</f>
        <v>#N/A</v>
      </c>
      <c r="E363" s="317" t="e">
        <f>VLOOKUP($A363,Master!$B$50:$N$232,11,FALSE)</f>
        <v>#N/A</v>
      </c>
      <c r="F363" s="318">
        <v>5</v>
      </c>
      <c r="G363" s="319" t="s">
        <v>108</v>
      </c>
      <c r="H363" s="320">
        <v>110000</v>
      </c>
      <c r="I363" s="321" t="b">
        <v>1</v>
      </c>
      <c r="J363" s="322">
        <v>5</v>
      </c>
      <c r="K363" s="323" t="e">
        <f>VLOOKUP($A363,Master!$B$50:$N$232,6,FALSE)</f>
        <v>#N/A</v>
      </c>
      <c r="L363" s="324">
        <v>100000</v>
      </c>
      <c r="M363" s="325"/>
    </row>
  </sheetData>
  <mergeCells count="36">
    <mergeCell ref="F5:H5"/>
    <mergeCell ref="J5:L5"/>
    <mergeCell ref="F6:G6"/>
    <mergeCell ref="J6:K6"/>
    <mergeCell ref="F61:H61"/>
    <mergeCell ref="J61:L61"/>
    <mergeCell ref="J62:K62"/>
    <mergeCell ref="J134:L134"/>
    <mergeCell ref="J135:K135"/>
    <mergeCell ref="F62:G62"/>
    <mergeCell ref="F75:H75"/>
    <mergeCell ref="J75:L75"/>
    <mergeCell ref="F76:G76"/>
    <mergeCell ref="J76:K76"/>
    <mergeCell ref="F134:H134"/>
    <mergeCell ref="F135:G135"/>
    <mergeCell ref="F176:H176"/>
    <mergeCell ref="J176:L176"/>
    <mergeCell ref="F177:G177"/>
    <mergeCell ref="J177:K177"/>
    <mergeCell ref="F209:H209"/>
    <mergeCell ref="J209:L209"/>
    <mergeCell ref="F337:G337"/>
    <mergeCell ref="J337:K337"/>
    <mergeCell ref="F210:G210"/>
    <mergeCell ref="F241:H241"/>
    <mergeCell ref="J241:L241"/>
    <mergeCell ref="F242:G242"/>
    <mergeCell ref="J242:K242"/>
    <mergeCell ref="F296:H296"/>
    <mergeCell ref="F297:G297"/>
    <mergeCell ref="J210:K210"/>
    <mergeCell ref="J296:L296"/>
    <mergeCell ref="J297:K297"/>
    <mergeCell ref="F336:H336"/>
    <mergeCell ref="J336:L33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467"/>
  <sheetViews>
    <sheetView workbookViewId="0"/>
  </sheetViews>
  <sheetFormatPr baseColWidth="10" defaultColWidth="12.6640625" defaultRowHeight="15.75" customHeight="1"/>
  <cols>
    <col min="1" max="1" width="24.6640625" customWidth="1"/>
    <col min="2" max="2" width="5.83203125" customWidth="1"/>
    <col min="3" max="3" width="4.6640625" customWidth="1"/>
    <col min="4" max="4" width="5.6640625" customWidth="1"/>
    <col min="5" max="5" width="10.33203125" customWidth="1"/>
    <col min="6" max="6" width="4.6640625" customWidth="1"/>
    <col min="7" max="7" width="8.6640625" customWidth="1"/>
    <col min="8" max="8" width="10.6640625" customWidth="1"/>
    <col min="9" max="9" width="7.5" customWidth="1"/>
    <col min="10" max="10" width="6.1640625" customWidth="1"/>
    <col min="11" max="11" width="9.83203125" customWidth="1"/>
    <col min="12" max="12" width="10.6640625" customWidth="1"/>
    <col min="13" max="13" width="17.1640625" customWidth="1"/>
  </cols>
  <sheetData>
    <row r="1" spans="1:13" ht="15.75" customHeight="1">
      <c r="A1" s="303" t="s">
        <v>1538</v>
      </c>
      <c r="B1" s="349"/>
    </row>
    <row r="2" spans="1:13" ht="15.75" customHeight="1">
      <c r="A2" s="303" t="s">
        <v>2</v>
      </c>
    </row>
    <row r="5" spans="1:13" ht="15.75" customHeight="1">
      <c r="F5" s="427">
        <v>44743</v>
      </c>
      <c r="G5" s="428"/>
      <c r="H5" s="424"/>
      <c r="J5" s="429">
        <f>F5+1</f>
        <v>44744</v>
      </c>
      <c r="K5" s="428"/>
      <c r="L5" s="424"/>
    </row>
    <row r="6" spans="1:13" ht="15.75" customHeight="1">
      <c r="F6" s="425" t="s">
        <v>1490</v>
      </c>
      <c r="G6" s="426"/>
      <c r="H6" s="304">
        <f>SUM(H8:H136)</f>
        <v>915147484</v>
      </c>
      <c r="J6" s="425" t="s">
        <v>1491</v>
      </c>
      <c r="K6" s="426"/>
      <c r="L6" s="304" t="e">
        <f>SUM(L8:L136)</f>
        <v>#N/A</v>
      </c>
    </row>
    <row r="7" spans="1:13" ht="15.75" customHeight="1">
      <c r="A7" s="2" t="s">
        <v>4</v>
      </c>
      <c r="B7" s="305" t="s">
        <v>5</v>
      </c>
      <c r="C7" s="305" t="s">
        <v>1492</v>
      </c>
      <c r="D7" s="305" t="s">
        <v>12</v>
      </c>
      <c r="E7" s="306" t="s">
        <v>1493</v>
      </c>
      <c r="F7" s="307" t="s">
        <v>1494</v>
      </c>
      <c r="G7" s="308" t="s">
        <v>10</v>
      </c>
      <c r="H7" s="309" t="s">
        <v>1495</v>
      </c>
      <c r="I7" s="310" t="s">
        <v>1289</v>
      </c>
      <c r="J7" s="311" t="s">
        <v>1496</v>
      </c>
      <c r="K7" s="312" t="s">
        <v>1497</v>
      </c>
      <c r="L7" s="313" t="s">
        <v>1498</v>
      </c>
      <c r="M7" s="314" t="s">
        <v>16</v>
      </c>
    </row>
    <row r="8" spans="1:13" ht="15.75" customHeight="1">
      <c r="A8" s="4" t="s">
        <v>1099</v>
      </c>
      <c r="B8" s="328" t="s">
        <v>1100</v>
      </c>
      <c r="C8" s="316" t="e">
        <f>VLOOKUP($A8,Master!$B$50:$N$232,8,FALSE)</f>
        <v>#N/A</v>
      </c>
      <c r="D8" s="316" t="e">
        <f>VLOOKUP($A8,Master!$B$50:$N$232,9,FALSE)</f>
        <v>#N/A</v>
      </c>
      <c r="E8" s="317" t="e">
        <f>VLOOKUP($A8,Master!$B$50:$N$232,11,FALSE)</f>
        <v>#N/A</v>
      </c>
      <c r="F8" s="318">
        <v>2</v>
      </c>
      <c r="G8" s="319" t="s">
        <v>36</v>
      </c>
      <c r="H8" s="320">
        <v>260000</v>
      </c>
      <c r="I8" s="321" t="b">
        <v>1</v>
      </c>
      <c r="J8" s="322">
        <v>2</v>
      </c>
      <c r="K8" s="323" t="e">
        <f>VLOOKUP($A8,Master!$B$50:$N$232,6,FALSE)</f>
        <v>#N/A</v>
      </c>
      <c r="L8" s="324" t="e">
        <f t="shared" ref="L8:L9" si="0">J8*K8</f>
        <v>#N/A</v>
      </c>
      <c r="M8" s="325"/>
    </row>
    <row r="9" spans="1:13" ht="15.75" customHeight="1">
      <c r="A9" s="334" t="s">
        <v>647</v>
      </c>
      <c r="B9" s="335" t="s">
        <v>648</v>
      </c>
      <c r="C9" s="316">
        <f>VLOOKUP($A9,Master!$B$50:$N$232,8,FALSE)</f>
        <v>250</v>
      </c>
      <c r="D9" s="316" t="str">
        <f>VLOOKUP($A9,Master!$B$50:$N$232,9,FALSE)</f>
        <v>pcs</v>
      </c>
      <c r="E9" s="317" t="str">
        <f>VLOOKUP($A9,Master!$B$50:$N$232,11,FALSE)</f>
        <v>Kurnia Mas</v>
      </c>
      <c r="F9" s="318">
        <v>2</v>
      </c>
      <c r="G9" s="319" t="s">
        <v>75</v>
      </c>
      <c r="H9" s="320">
        <v>85000</v>
      </c>
      <c r="I9" s="321" t="b">
        <v>1</v>
      </c>
      <c r="J9" s="322">
        <v>2</v>
      </c>
      <c r="K9" s="323">
        <v>65000</v>
      </c>
      <c r="L9" s="324">
        <f t="shared" si="0"/>
        <v>130000</v>
      </c>
      <c r="M9" s="325"/>
    </row>
    <row r="10" spans="1:13" ht="15.75" customHeight="1">
      <c r="A10" s="334" t="s">
        <v>639</v>
      </c>
      <c r="B10" s="335" t="s">
        <v>640</v>
      </c>
      <c r="C10" s="316">
        <f>VLOOKUP($A10,Master!$B$50:$N$232,8,FALSE)</f>
        <v>1000</v>
      </c>
      <c r="D10" s="316" t="str">
        <f>VLOOKUP($A10,Master!$B$50:$N$232,9,FALSE)</f>
        <v>gr</v>
      </c>
      <c r="E10" s="317" t="str">
        <f>VLOOKUP($A10,Master!$B$50:$N$232,11,FALSE)</f>
        <v>BISS (Topside)</v>
      </c>
      <c r="F10" s="318">
        <v>1</v>
      </c>
      <c r="G10" s="319" t="s">
        <v>36</v>
      </c>
      <c r="H10" s="320">
        <v>145000</v>
      </c>
      <c r="I10" s="321" t="b">
        <v>1</v>
      </c>
      <c r="J10" s="322">
        <v>1</v>
      </c>
      <c r="K10" s="326">
        <f>VLOOKUP($A10,Master!$B$50:$N$232,6,FALSE)</f>
        <v>145000</v>
      </c>
      <c r="L10" s="324">
        <v>130000</v>
      </c>
      <c r="M10" s="325" t="s">
        <v>1539</v>
      </c>
    </row>
    <row r="11" spans="1:13" ht="15.75" customHeight="1">
      <c r="A11" s="334" t="s">
        <v>586</v>
      </c>
      <c r="B11" s="335" t="s">
        <v>587</v>
      </c>
      <c r="C11" s="316">
        <f>VLOOKUP($A11,Master!$B$50:$N$232,8,FALSE)</f>
        <v>20</v>
      </c>
      <c r="D11" s="316" t="str">
        <f>VLOOKUP($A11,Master!$B$50:$N$232,9,FALSE)</f>
        <v>pcs</v>
      </c>
      <c r="E11" s="317" t="str">
        <f>VLOOKUP($A11,Master!$B$50:$N$232,11,FALSE)</f>
        <v>Kurnia Mas</v>
      </c>
      <c r="F11" s="318">
        <v>3</v>
      </c>
      <c r="G11" s="319" t="s">
        <v>62</v>
      </c>
      <c r="H11" s="320">
        <v>21900</v>
      </c>
      <c r="I11" s="321" t="b">
        <v>1</v>
      </c>
      <c r="J11" s="322">
        <v>3</v>
      </c>
      <c r="K11" s="326">
        <f>VLOOKUP($A11,Master!$B$50:$N$232,6,FALSE)</f>
        <v>8500</v>
      </c>
      <c r="L11" s="324">
        <v>23612</v>
      </c>
      <c r="M11" s="325"/>
    </row>
    <row r="12" spans="1:13" ht="15.75" customHeight="1">
      <c r="A12" s="334" t="s">
        <v>627</v>
      </c>
      <c r="B12" s="335" t="s">
        <v>628</v>
      </c>
      <c r="C12" s="316">
        <f>VLOOKUP($A12,Master!$B$50:$N$232,8,FALSE)</f>
        <v>1000</v>
      </c>
      <c r="D12" s="316" t="str">
        <f>VLOOKUP($A12,Master!$B$50:$N$232,9,FALSE)</f>
        <v>gr</v>
      </c>
      <c r="E12" s="317" t="str">
        <f>VLOOKUP($A12,Master!$B$50:$N$232,11,FALSE)</f>
        <v>Borma</v>
      </c>
      <c r="F12" s="318">
        <v>0.5</v>
      </c>
      <c r="G12" s="319" t="s">
        <v>36</v>
      </c>
      <c r="H12" s="320">
        <v>31900</v>
      </c>
      <c r="I12" s="321" t="b">
        <v>1</v>
      </c>
      <c r="J12" s="322">
        <v>0.75</v>
      </c>
      <c r="K12" s="326">
        <f>VLOOKUP($A12,Master!$B$50:$N$232,6,FALSE)</f>
        <v>35550</v>
      </c>
      <c r="L12" s="324">
        <v>18761</v>
      </c>
      <c r="M12" s="325"/>
    </row>
    <row r="13" spans="1:13" ht="15.75" customHeight="1">
      <c r="A13" s="334" t="s">
        <v>631</v>
      </c>
      <c r="B13" s="335" t="s">
        <v>632</v>
      </c>
      <c r="C13" s="316">
        <f>VLOOKUP($A13,Master!$B$50:$N$232,8,FALSE)</f>
        <v>1000</v>
      </c>
      <c r="D13" s="316" t="str">
        <f>VLOOKUP($A13,Master!$B$50:$N$232,9,FALSE)</f>
        <v>gr</v>
      </c>
      <c r="E13" s="317" t="str">
        <f>VLOOKUP($A13,Master!$B$50:$N$232,11,FALSE)</f>
        <v>Borma</v>
      </c>
      <c r="F13" s="318">
        <v>1</v>
      </c>
      <c r="G13" s="319" t="s">
        <v>36</v>
      </c>
      <c r="H13" s="320">
        <v>16000</v>
      </c>
      <c r="I13" s="321" t="b">
        <v>1</v>
      </c>
      <c r="J13" s="322">
        <v>1</v>
      </c>
      <c r="K13" s="326">
        <f>VLOOKUP($A13,Master!$B$50:$N$232,6,FALSE)</f>
        <v>18000</v>
      </c>
      <c r="L13" s="324">
        <v>15000</v>
      </c>
      <c r="M13" s="325"/>
    </row>
    <row r="14" spans="1:13" ht="15.75" customHeight="1">
      <c r="A14" s="334" t="s">
        <v>937</v>
      </c>
      <c r="B14" s="335" t="s">
        <v>938</v>
      </c>
      <c r="C14" s="316">
        <f>VLOOKUP($A14,Master!$B$50:$N$232,8,FALSE)</f>
        <v>20</v>
      </c>
      <c r="D14" s="316" t="str">
        <f>VLOOKUP($A14,Master!$B$50:$N$232,9,FALSE)</f>
        <v>pcs</v>
      </c>
      <c r="E14" s="317" t="str">
        <f>VLOOKUP($A14,Master!$B$50:$N$232,11,FALSE)</f>
        <v>Borma</v>
      </c>
      <c r="F14" s="318">
        <v>2</v>
      </c>
      <c r="G14" s="319" t="s">
        <v>62</v>
      </c>
      <c r="H14" s="320">
        <v>15100</v>
      </c>
      <c r="I14" s="321" t="b">
        <v>0</v>
      </c>
      <c r="J14" s="322"/>
      <c r="K14" s="326">
        <f>VLOOKUP($A14,Master!$B$50:$N$232,6,FALSE)</f>
        <v>8500</v>
      </c>
      <c r="L14" s="327">
        <f>J14*K14</f>
        <v>0</v>
      </c>
      <c r="M14" s="325"/>
    </row>
    <row r="15" spans="1:13" ht="15.75" customHeight="1">
      <c r="A15" s="334" t="s">
        <v>949</v>
      </c>
      <c r="B15" s="335" t="s">
        <v>950</v>
      </c>
      <c r="C15" s="316" t="e">
        <f>VLOOKUP($A15,Master!$B$50:$N$232,8,FALSE)</f>
        <v>#N/A</v>
      </c>
      <c r="D15" s="316" t="e">
        <f>VLOOKUP($A15,Master!$B$50:$N$232,9,FALSE)</f>
        <v>#N/A</v>
      </c>
      <c r="E15" s="317" t="e">
        <f>VLOOKUP($A15,Master!$B$50:$N$232,11,FALSE)</f>
        <v>#N/A</v>
      </c>
      <c r="F15" s="318">
        <v>1</v>
      </c>
      <c r="G15" s="319" t="s">
        <v>97</v>
      </c>
      <c r="H15" s="320">
        <v>27000</v>
      </c>
      <c r="I15" s="321" t="b">
        <v>1</v>
      </c>
      <c r="J15" s="322">
        <v>1</v>
      </c>
      <c r="K15" s="326" t="e">
        <f>VLOOKUP($A15,Master!$B$50:$N$232,6,FALSE)</f>
        <v>#N/A</v>
      </c>
      <c r="L15" s="324">
        <v>23400</v>
      </c>
      <c r="M15" s="325"/>
    </row>
    <row r="16" spans="1:13" ht="15.75" customHeight="1">
      <c r="A16" s="334" t="s">
        <v>1043</v>
      </c>
      <c r="B16" s="335" t="s">
        <v>1044</v>
      </c>
      <c r="C16" s="316" t="e">
        <f>VLOOKUP($A16,Master!$B$50:$N$232,8,FALSE)</f>
        <v>#N/A</v>
      </c>
      <c r="D16" s="316" t="e">
        <f>VLOOKUP($A16,Master!$B$50:$N$232,9,FALSE)</f>
        <v>#N/A</v>
      </c>
      <c r="E16" s="317" t="e">
        <f>VLOOKUP($A16,Master!$B$50:$N$232,11,FALSE)</f>
        <v>#N/A</v>
      </c>
      <c r="F16" s="318">
        <v>1</v>
      </c>
      <c r="G16" s="319" t="s">
        <v>50</v>
      </c>
      <c r="H16" s="320">
        <v>32200</v>
      </c>
      <c r="I16" s="321" t="b">
        <v>1</v>
      </c>
      <c r="J16" s="322">
        <v>1</v>
      </c>
      <c r="K16" s="323" t="e">
        <f>VLOOKUP($A16,Master!$B$50:$N$232,6,FALSE)</f>
        <v>#N/A</v>
      </c>
      <c r="L16" s="324">
        <v>55700</v>
      </c>
      <c r="M16" s="325"/>
    </row>
    <row r="17" spans="1:13" ht="15.75" customHeight="1">
      <c r="A17" s="334" t="s">
        <v>1096</v>
      </c>
      <c r="B17" s="335" t="s">
        <v>1097</v>
      </c>
      <c r="C17" s="316" t="e">
        <f>VLOOKUP($A17,Master!$B$50:$N$232,8,FALSE)</f>
        <v>#N/A</v>
      </c>
      <c r="D17" s="316" t="e">
        <f>VLOOKUP($A17,Master!$B$50:$N$232,9,FALSE)</f>
        <v>#N/A</v>
      </c>
      <c r="E17" s="317" t="e">
        <f>VLOOKUP($A17,Master!$B$50:$N$232,11,FALSE)</f>
        <v>#N/A</v>
      </c>
      <c r="F17" s="318">
        <v>2</v>
      </c>
      <c r="G17" s="319" t="s">
        <v>62</v>
      </c>
      <c r="H17" s="320">
        <v>9600</v>
      </c>
      <c r="I17" s="321" t="b">
        <v>1</v>
      </c>
      <c r="J17" s="322">
        <v>4</v>
      </c>
      <c r="K17" s="323" t="e">
        <f>VLOOKUP($A17,Master!$B$50:$N$232,6,FALSE)</f>
        <v>#N/A</v>
      </c>
      <c r="L17" s="324">
        <v>36800</v>
      </c>
      <c r="M17" s="325"/>
    </row>
    <row r="18" spans="1:13" ht="15.75" customHeight="1">
      <c r="A18" s="334" t="s">
        <v>574</v>
      </c>
      <c r="B18" s="335" t="s">
        <v>575</v>
      </c>
      <c r="C18" s="316" t="e">
        <f>VLOOKUP($A18,Master!$B$50:$N$232,8,FALSE)</f>
        <v>#N/A</v>
      </c>
      <c r="D18" s="316" t="e">
        <f>VLOOKUP($A18,Master!$B$50:$N$232,9,FALSE)</f>
        <v>#N/A</v>
      </c>
      <c r="E18" s="317" t="e">
        <f>VLOOKUP($A18,Master!$B$50:$N$232,11,FALSE)</f>
        <v>#N/A</v>
      </c>
      <c r="F18" s="318">
        <v>2</v>
      </c>
      <c r="G18" s="319" t="s">
        <v>62</v>
      </c>
      <c r="H18" s="320">
        <v>340000</v>
      </c>
      <c r="I18" s="321" t="b">
        <v>0</v>
      </c>
      <c r="J18" s="322"/>
      <c r="K18" s="326" t="e">
        <f>VLOOKUP($A18,Master!$B$50:$N$232,6,FALSE)</f>
        <v>#N/A</v>
      </c>
      <c r="L18" s="327" t="e">
        <f t="shared" ref="L18:L19" si="1">J18*K18</f>
        <v>#N/A</v>
      </c>
      <c r="M18" s="325"/>
    </row>
    <row r="19" spans="1:13" ht="15.75" customHeight="1">
      <c r="A19" s="334" t="s">
        <v>578</v>
      </c>
      <c r="B19" s="335" t="s">
        <v>579</v>
      </c>
      <c r="C19" s="316" t="e">
        <f>VLOOKUP($A19,Master!$B$50:$N$232,8,FALSE)</f>
        <v>#N/A</v>
      </c>
      <c r="D19" s="316" t="e">
        <f>VLOOKUP($A19,Master!$B$50:$N$232,9,FALSE)</f>
        <v>#N/A</v>
      </c>
      <c r="E19" s="317" t="e">
        <f>VLOOKUP($A19,Master!$B$50:$N$232,11,FALSE)</f>
        <v>#N/A</v>
      </c>
      <c r="F19" s="318">
        <v>2</v>
      </c>
      <c r="G19" s="319" t="s">
        <v>62</v>
      </c>
      <c r="H19" s="320">
        <v>440000</v>
      </c>
      <c r="I19" s="321" t="b">
        <v>0</v>
      </c>
      <c r="J19" s="322"/>
      <c r="K19" s="326" t="e">
        <f>VLOOKUP($A19,Master!$B$50:$N$232,6,FALSE)</f>
        <v>#N/A</v>
      </c>
      <c r="L19" s="327" t="e">
        <f t="shared" si="1"/>
        <v>#N/A</v>
      </c>
      <c r="M19" s="325"/>
    </row>
    <row r="20" spans="1:13" ht="15.75" customHeight="1">
      <c r="A20" s="334" t="s">
        <v>651</v>
      </c>
      <c r="B20" s="335" t="s">
        <v>652</v>
      </c>
      <c r="C20" s="316">
        <f>VLOOKUP($A20,Master!$B$50:$N$232,8,FALSE)</f>
        <v>1000</v>
      </c>
      <c r="D20" s="316" t="str">
        <f>VLOOKUP($A20,Master!$B$50:$N$232,9,FALSE)</f>
        <v>gr</v>
      </c>
      <c r="E20" s="317" t="str">
        <f>VLOOKUP($A20,Master!$B$50:$N$232,11,FALSE)</f>
        <v>Eden Farm</v>
      </c>
      <c r="F20" s="318">
        <v>2</v>
      </c>
      <c r="G20" s="319" t="s">
        <v>36</v>
      </c>
      <c r="H20" s="320">
        <v>19400</v>
      </c>
      <c r="I20" s="321" t="b">
        <v>1</v>
      </c>
      <c r="J20" s="322">
        <v>2</v>
      </c>
      <c r="K20" s="326">
        <f>VLOOKUP($A20,Master!$B$50:$N$232,6,FALSE)</f>
        <v>18000</v>
      </c>
      <c r="L20" s="324">
        <v>24000</v>
      </c>
      <c r="M20" s="325" t="s">
        <v>1539</v>
      </c>
    </row>
    <row r="21" spans="1:13" ht="15.75" customHeight="1">
      <c r="A21" s="334" t="s">
        <v>655</v>
      </c>
      <c r="B21" s="335" t="s">
        <v>656</v>
      </c>
      <c r="C21" s="316">
        <f>VLOOKUP($A21,Master!$B$50:$N$232,8,FALSE)</f>
        <v>1000</v>
      </c>
      <c r="D21" s="316" t="str">
        <f>VLOOKUP($A21,Master!$B$50:$N$232,9,FALSE)</f>
        <v>gr</v>
      </c>
      <c r="E21" s="317" t="str">
        <f>VLOOKUP($A21,Master!$B$50:$N$232,11,FALSE)</f>
        <v>Toko Lain</v>
      </c>
      <c r="F21" s="318">
        <v>3</v>
      </c>
      <c r="G21" s="319" t="s">
        <v>36</v>
      </c>
      <c r="H21" s="320">
        <v>146700</v>
      </c>
      <c r="I21" s="321" t="b">
        <v>1</v>
      </c>
      <c r="J21" s="322">
        <v>3.24</v>
      </c>
      <c r="K21" s="326">
        <f>VLOOKUP($A21,Master!$B$50:$N$232,6,FALSE)</f>
        <v>50000</v>
      </c>
      <c r="L21" s="324">
        <v>168739</v>
      </c>
      <c r="M21" s="325" t="s">
        <v>1539</v>
      </c>
    </row>
    <row r="22" spans="1:13" ht="15.75" customHeight="1">
      <c r="A22" s="334" t="s">
        <v>712</v>
      </c>
      <c r="B22" s="335" t="s">
        <v>713</v>
      </c>
      <c r="C22" s="316">
        <f>VLOOKUP($A22,Master!$B$50:$N$232,8,FALSE)</f>
        <v>1000</v>
      </c>
      <c r="D22" s="316" t="str">
        <f>VLOOKUP($A22,Master!$B$50:$N$232,9,FALSE)</f>
        <v>gr</v>
      </c>
      <c r="E22" s="317" t="str">
        <f>VLOOKUP($A22,Master!$B$50:$N$232,11,FALSE)</f>
        <v>Eden Farm</v>
      </c>
      <c r="F22" s="318">
        <v>3</v>
      </c>
      <c r="G22" s="319" t="s">
        <v>36</v>
      </c>
      <c r="H22" s="320">
        <v>72600</v>
      </c>
      <c r="I22" s="321" t="b">
        <v>1</v>
      </c>
      <c r="J22" s="322">
        <v>3</v>
      </c>
      <c r="K22" s="326">
        <f>VLOOKUP($A22,Master!$B$50:$N$232,6,FALSE)</f>
        <v>40000</v>
      </c>
      <c r="L22" s="324">
        <v>90000</v>
      </c>
      <c r="M22" s="325" t="s">
        <v>1539</v>
      </c>
    </row>
    <row r="23" spans="1:13" ht="15.75" customHeight="1">
      <c r="A23" s="334" t="s">
        <v>716</v>
      </c>
      <c r="B23" s="335" t="s">
        <v>717</v>
      </c>
      <c r="C23" s="316">
        <f>VLOOKUP($A23,Master!$B$50:$N$232,8,FALSE)</f>
        <v>1000</v>
      </c>
      <c r="D23" s="316" t="str">
        <f>VLOOKUP($A23,Master!$B$50:$N$232,9,FALSE)</f>
        <v>gr</v>
      </c>
      <c r="E23" s="317" t="str">
        <f>VLOOKUP($A23,Master!$B$50:$N$232,11,FALSE)</f>
        <v>Eden Farm</v>
      </c>
      <c r="F23" s="318">
        <v>2</v>
      </c>
      <c r="G23" s="319" t="s">
        <v>36</v>
      </c>
      <c r="H23" s="320">
        <v>83400</v>
      </c>
      <c r="I23" s="321" t="b">
        <v>1</v>
      </c>
      <c r="J23" s="322">
        <v>2</v>
      </c>
      <c r="K23" s="326">
        <f>VLOOKUP($A23,Master!$B$50:$N$232,6,FALSE)</f>
        <v>45000</v>
      </c>
      <c r="L23" s="324">
        <v>80000</v>
      </c>
      <c r="M23" s="325" t="s">
        <v>1539</v>
      </c>
    </row>
    <row r="24" spans="1:13" ht="15.75" customHeight="1">
      <c r="A24" s="334" t="s">
        <v>732</v>
      </c>
      <c r="B24" s="335" t="s">
        <v>733</v>
      </c>
      <c r="C24" s="316">
        <f>VLOOKUP($A24,Master!$B$50:$N$232,8,FALSE)</f>
        <v>1000</v>
      </c>
      <c r="D24" s="316" t="str">
        <f>VLOOKUP($A24,Master!$B$50:$N$232,9,FALSE)</f>
        <v>gr</v>
      </c>
      <c r="E24" s="317" t="str">
        <f>VLOOKUP($A24,Master!$B$50:$N$232,11,FALSE)</f>
        <v>Eden Farm</v>
      </c>
      <c r="F24" s="318">
        <v>5</v>
      </c>
      <c r="G24" s="319" t="s">
        <v>36</v>
      </c>
      <c r="H24" s="320">
        <v>94500</v>
      </c>
      <c r="I24" s="321" t="b">
        <v>1</v>
      </c>
      <c r="J24" s="322">
        <v>5</v>
      </c>
      <c r="K24" s="326">
        <f>VLOOKUP($A24,Master!$B$50:$N$232,6,FALSE)</f>
        <v>40000</v>
      </c>
      <c r="L24" s="324">
        <v>150000</v>
      </c>
      <c r="M24" s="325" t="s">
        <v>1539</v>
      </c>
    </row>
    <row r="25" spans="1:13" ht="15.75" customHeight="1">
      <c r="A25" s="334" t="s">
        <v>744</v>
      </c>
      <c r="B25" s="335" t="s">
        <v>745</v>
      </c>
      <c r="C25" s="316">
        <f>VLOOKUP($A25,Master!$B$50:$N$232,8,FALSE)</f>
        <v>1000</v>
      </c>
      <c r="D25" s="316" t="str">
        <f>VLOOKUP($A25,Master!$B$50:$N$232,9,FALSE)</f>
        <v>gr</v>
      </c>
      <c r="E25" s="317" t="str">
        <f>VLOOKUP($A25,Master!$B$50:$N$232,11,FALSE)</f>
        <v>Eden Farm</v>
      </c>
      <c r="F25" s="318">
        <v>0.5</v>
      </c>
      <c r="G25" s="319" t="s">
        <v>36</v>
      </c>
      <c r="H25" s="320">
        <v>44900</v>
      </c>
      <c r="I25" s="321" t="b">
        <v>1</v>
      </c>
      <c r="J25" s="322">
        <v>1</v>
      </c>
      <c r="K25" s="326">
        <f>VLOOKUP($A25,Master!$B$50:$N$232,6,FALSE)</f>
        <v>58600</v>
      </c>
      <c r="L25" s="324">
        <v>39000</v>
      </c>
      <c r="M25" s="325" t="s">
        <v>1539</v>
      </c>
    </row>
    <row r="26" spans="1:13" ht="15.75" customHeight="1">
      <c r="A26" s="334" t="s">
        <v>782</v>
      </c>
      <c r="B26" s="335" t="s">
        <v>783</v>
      </c>
      <c r="C26" s="316">
        <f>VLOOKUP($A26,Master!$B$50:$N$232,8,FALSE)</f>
        <v>500</v>
      </c>
      <c r="D26" s="316" t="str">
        <f>VLOOKUP($A26,Master!$B$50:$N$232,9,FALSE)</f>
        <v>gr</v>
      </c>
      <c r="E26" s="317" t="str">
        <f>VLOOKUP($A26,Master!$B$50:$N$232,11,FALSE)</f>
        <v>Toko Lain</v>
      </c>
      <c r="F26" s="318">
        <v>2</v>
      </c>
      <c r="G26" s="319" t="s">
        <v>62</v>
      </c>
      <c r="H26" s="320">
        <v>15400</v>
      </c>
      <c r="I26" s="321" t="b">
        <v>1</v>
      </c>
      <c r="J26" s="322">
        <v>1</v>
      </c>
      <c r="K26" s="326">
        <f>VLOOKUP($A26,Master!$B$50:$N$232,6,FALSE)</f>
        <v>25000</v>
      </c>
      <c r="L26" s="324">
        <v>50000</v>
      </c>
      <c r="M26" s="325" t="s">
        <v>1539</v>
      </c>
    </row>
    <row r="27" spans="1:13" ht="15.75" customHeight="1">
      <c r="A27" s="334" t="s">
        <v>795</v>
      </c>
      <c r="B27" s="335" t="s">
        <v>796</v>
      </c>
      <c r="C27" s="316">
        <f>VLOOKUP($A27,Master!$B$50:$N$232,8,FALSE)</f>
        <v>10</v>
      </c>
      <c r="D27" s="316" t="str">
        <f>VLOOKUP($A27,Master!$B$50:$N$232,9,FALSE)</f>
        <v>unit</v>
      </c>
      <c r="E27" s="317" t="str">
        <f>VLOOKUP($A27,Master!$B$50:$N$232,11,FALSE)</f>
        <v>Toko Lain</v>
      </c>
      <c r="F27" s="318">
        <v>15</v>
      </c>
      <c r="G27" s="319" t="s">
        <v>62</v>
      </c>
      <c r="H27" s="320">
        <v>117000</v>
      </c>
      <c r="I27" s="321" t="b">
        <v>1</v>
      </c>
      <c r="J27" s="322">
        <v>15</v>
      </c>
      <c r="K27" s="323">
        <f>105000/15</f>
        <v>7000</v>
      </c>
      <c r="L27" s="324">
        <f>J27*K27</f>
        <v>105000</v>
      </c>
      <c r="M27" s="325" t="s">
        <v>1539</v>
      </c>
    </row>
    <row r="28" spans="1:13" ht="15.75" customHeight="1">
      <c r="A28" s="334" t="s">
        <v>919</v>
      </c>
      <c r="B28" s="335" t="s">
        <v>920</v>
      </c>
      <c r="C28" s="316">
        <f>VLOOKUP($A28,Master!$B$50:$N$232,8,FALSE)</f>
        <v>1000</v>
      </c>
      <c r="D28" s="316" t="str">
        <f>VLOOKUP($A28,Master!$B$50:$N$232,9,FALSE)</f>
        <v>gr</v>
      </c>
      <c r="E28" s="317" t="str">
        <f>VLOOKUP($A28,Master!$B$50:$N$232,11,FALSE)</f>
        <v>Eden Farm</v>
      </c>
      <c r="F28" s="318">
        <v>1</v>
      </c>
      <c r="G28" s="319" t="s">
        <v>62</v>
      </c>
      <c r="H28" s="320">
        <v>39900</v>
      </c>
      <c r="I28" s="321" t="b">
        <v>1</v>
      </c>
      <c r="J28" s="322">
        <v>1</v>
      </c>
      <c r="K28" s="326">
        <f>VLOOKUP($A28,Master!$B$50:$N$232,6,FALSE)</f>
        <v>50000</v>
      </c>
      <c r="L28" s="324">
        <v>40000</v>
      </c>
      <c r="M28" s="325" t="s">
        <v>1539</v>
      </c>
    </row>
    <row r="29" spans="1:13" ht="15.75" customHeight="1">
      <c r="A29" s="334" t="s">
        <v>922</v>
      </c>
      <c r="B29" s="335" t="s">
        <v>923</v>
      </c>
      <c r="C29" s="316">
        <f>VLOOKUP($A29,Master!$B$50:$N$232,8,FALSE)</f>
        <v>400</v>
      </c>
      <c r="D29" s="316" t="str">
        <f>VLOOKUP($A29,Master!$B$50:$N$232,9,FALSE)</f>
        <v>gr</v>
      </c>
      <c r="E29" s="317" t="str">
        <f>VLOOKUP($A29,Master!$B$50:$N$232,11,FALSE)</f>
        <v>Eden Farm</v>
      </c>
      <c r="F29" s="318">
        <v>0.5</v>
      </c>
      <c r="G29" s="319" t="s">
        <v>36</v>
      </c>
      <c r="H29" s="320">
        <v>32100</v>
      </c>
      <c r="I29" s="321" t="b">
        <v>1</v>
      </c>
      <c r="J29" s="322">
        <v>1</v>
      </c>
      <c r="K29" s="326">
        <f>VLOOKUP($A29,Master!$B$50:$N$232,6,FALSE)</f>
        <v>41400</v>
      </c>
      <c r="L29" s="324">
        <v>75000</v>
      </c>
      <c r="M29" s="325" t="s">
        <v>1540</v>
      </c>
    </row>
    <row r="30" spans="1:13" ht="15.75" customHeight="1">
      <c r="A30" s="334" t="s">
        <v>1020</v>
      </c>
      <c r="B30" s="335" t="s">
        <v>1021</v>
      </c>
      <c r="C30" s="316">
        <f>VLOOKUP($A30,Master!$B$50:$N$232,8,FALSE)</f>
        <v>1000</v>
      </c>
      <c r="D30" s="316" t="str">
        <f>VLOOKUP($A30,Master!$B$50:$N$232,9,FALSE)</f>
        <v>gr</v>
      </c>
      <c r="E30" s="317" t="str">
        <f>VLOOKUP($A30,Master!$B$50:$N$232,11,FALSE)</f>
        <v>Eden Farm</v>
      </c>
      <c r="F30" s="318">
        <v>1</v>
      </c>
      <c r="G30" s="319" t="s">
        <v>36</v>
      </c>
      <c r="H30" s="320">
        <v>21800</v>
      </c>
      <c r="I30" s="321" t="b">
        <v>1</v>
      </c>
      <c r="J30" s="322">
        <v>1</v>
      </c>
      <c r="K30" s="326">
        <f>VLOOKUP($A30,Master!$B$50:$N$232,6,FALSE)</f>
        <v>24000</v>
      </c>
      <c r="L30" s="324">
        <v>20000</v>
      </c>
      <c r="M30" s="325" t="s">
        <v>1539</v>
      </c>
    </row>
    <row r="31" spans="1:13" ht="15.75" customHeight="1">
      <c r="A31" s="334" t="s">
        <v>1050</v>
      </c>
      <c r="B31" s="335" t="s">
        <v>1051</v>
      </c>
      <c r="C31" s="316" t="e">
        <f>VLOOKUP($A31,Master!$B$50:$N$232,8,FALSE)</f>
        <v>#N/A</v>
      </c>
      <c r="D31" s="316" t="e">
        <f>VLOOKUP($A31,Master!$B$50:$N$232,9,FALSE)</f>
        <v>#N/A</v>
      </c>
      <c r="E31" s="317" t="e">
        <f>VLOOKUP($A31,Master!$B$50:$N$232,11,FALSE)</f>
        <v>#N/A</v>
      </c>
      <c r="F31" s="318">
        <v>1</v>
      </c>
      <c r="G31" s="319" t="s">
        <v>36</v>
      </c>
      <c r="H31" s="320">
        <v>9500</v>
      </c>
      <c r="I31" s="321" t="b">
        <v>1</v>
      </c>
      <c r="J31" s="322">
        <v>1</v>
      </c>
      <c r="K31" s="323" t="e">
        <f>VLOOKUP($A31,Master!$B$50:$N$232,6,FALSE)</f>
        <v>#N/A</v>
      </c>
      <c r="L31" s="324">
        <v>12000</v>
      </c>
      <c r="M31" s="325" t="s">
        <v>1539</v>
      </c>
    </row>
    <row r="32" spans="1:13" ht="15.75" customHeight="1">
      <c r="A32" s="334" t="s">
        <v>659</v>
      </c>
      <c r="B32" s="335" t="s">
        <v>660</v>
      </c>
      <c r="C32" s="316">
        <f>VLOOKUP($A32,Master!$B$50:$N$232,8,FALSE)</f>
        <v>15</v>
      </c>
      <c r="D32" s="316" t="str">
        <f>VLOOKUP($A32,Master!$B$50:$N$232,9,FALSE)</f>
        <v>pcs</v>
      </c>
      <c r="E32" s="317" t="str">
        <f>VLOOKUP($A32,Master!$B$50:$N$232,11,FALSE)</f>
        <v>Feri Supriadi (Telur , Beras , Minyak )</v>
      </c>
      <c r="F32" s="318">
        <v>5</v>
      </c>
      <c r="G32" s="319" t="s">
        <v>36</v>
      </c>
      <c r="H32" s="320">
        <v>137500</v>
      </c>
      <c r="I32" s="321" t="b">
        <v>1</v>
      </c>
      <c r="J32" s="322">
        <v>15</v>
      </c>
      <c r="K32" s="326">
        <f>VLOOKUP($A32,Master!$B$50:$N$232,6,FALSE)</f>
        <v>28000</v>
      </c>
      <c r="L32" s="324">
        <v>409500</v>
      </c>
      <c r="M32" s="325" t="s">
        <v>1539</v>
      </c>
    </row>
    <row r="33" spans="1:13" ht="15.75" customHeight="1">
      <c r="A33" s="334" t="s">
        <v>760</v>
      </c>
      <c r="B33" s="335" t="s">
        <v>761</v>
      </c>
      <c r="C33" s="316">
        <f>VLOOKUP($A33,Master!$B$50:$N$232,8,FALSE)</f>
        <v>25000</v>
      </c>
      <c r="D33" s="316" t="str">
        <f>VLOOKUP($A33,Master!$B$50:$N$232,9,FALSE)</f>
        <v>gr</v>
      </c>
      <c r="E33" s="317" t="str">
        <f>VLOOKUP($A33,Master!$B$50:$N$232,11,FALSE)</f>
        <v>Feri Supriadi (Telur , Beras , Minyak )</v>
      </c>
      <c r="F33" s="318">
        <v>25</v>
      </c>
      <c r="G33" s="319" t="s">
        <v>36</v>
      </c>
      <c r="H33" s="320">
        <v>290000</v>
      </c>
      <c r="I33" s="321" t="b">
        <v>1</v>
      </c>
      <c r="J33" s="322">
        <v>25</v>
      </c>
      <c r="K33" s="326">
        <f>VLOOKUP($A33,Master!$B$50:$N$232,6,FALSE)</f>
        <v>364000</v>
      </c>
      <c r="L33" s="324">
        <v>288000</v>
      </c>
      <c r="M33" s="325" t="s">
        <v>1539</v>
      </c>
    </row>
    <row r="34" spans="1:13" ht="15.75" customHeight="1">
      <c r="A34" s="334" t="s">
        <v>663</v>
      </c>
      <c r="B34" s="335" t="s">
        <v>664</v>
      </c>
      <c r="C34" s="316">
        <f>VLOOKUP($A34,Master!$B$50:$N$232,8,FALSE)</f>
        <v>1000</v>
      </c>
      <c r="D34" s="316" t="str">
        <f>VLOOKUP($A34,Master!$B$50:$N$232,9,FALSE)</f>
        <v>gr</v>
      </c>
      <c r="E34" s="317" t="str">
        <f>VLOOKUP($A34,Master!$B$50:$N$232,11,FALSE)</f>
        <v>Toko Lain</v>
      </c>
      <c r="F34" s="318">
        <v>3</v>
      </c>
      <c r="G34" s="319" t="s">
        <v>36</v>
      </c>
      <c r="H34" s="320">
        <v>133500</v>
      </c>
      <c r="I34" s="321" t="b">
        <v>1</v>
      </c>
      <c r="J34" s="322">
        <v>3.84</v>
      </c>
      <c r="K34" s="326">
        <f>VLOOKUP($A34,Master!$B$50:$N$232,6,FALSE)</f>
        <v>45000</v>
      </c>
      <c r="L34" s="324">
        <v>123051</v>
      </c>
      <c r="M34" s="325"/>
    </row>
    <row r="35" spans="1:13" ht="15.75" customHeight="1">
      <c r="A35" s="334" t="s">
        <v>675</v>
      </c>
      <c r="B35" s="335" t="s">
        <v>676</v>
      </c>
      <c r="C35" s="316">
        <f>VLOOKUP($A35,Master!$B$50:$N$232,8,FALSE)</f>
        <v>20</v>
      </c>
      <c r="D35" s="316" t="str">
        <f>VLOOKUP($A35,Master!$B$50:$N$232,9,FALSE)</f>
        <v>unit</v>
      </c>
      <c r="E35" s="317" t="str">
        <f>VLOOKUP($A35,Master!$B$50:$N$232,11,FALSE)</f>
        <v>RSB, Dago</v>
      </c>
      <c r="F35" s="318">
        <v>15</v>
      </c>
      <c r="G35" s="319" t="s">
        <v>62</v>
      </c>
      <c r="H35" s="320">
        <v>90000</v>
      </c>
      <c r="I35" s="321" t="b">
        <v>1</v>
      </c>
      <c r="J35" s="322">
        <v>15</v>
      </c>
      <c r="K35" s="326">
        <f>VLOOKUP($A35,Master!$B$50:$N$232,6,FALSE)</f>
        <v>13500</v>
      </c>
      <c r="L35" s="327">
        <f>J35*K35</f>
        <v>202500</v>
      </c>
      <c r="M35" s="325"/>
    </row>
    <row r="36" spans="1:13" ht="15.75" customHeight="1">
      <c r="A36" s="334" t="s">
        <v>735</v>
      </c>
      <c r="B36" s="335" t="s">
        <v>736</v>
      </c>
      <c r="C36" s="316">
        <f>VLOOKUP($A36,Master!$B$50:$N$232,8,FALSE)</f>
        <v>700</v>
      </c>
      <c r="D36" s="316" t="str">
        <f>VLOOKUP($A36,Master!$B$50:$N$232,9,FALSE)</f>
        <v>gr</v>
      </c>
      <c r="E36" s="317" t="str">
        <f>VLOOKUP($A36,Master!$B$50:$N$232,11,FALSE)</f>
        <v>Kurnia Mas</v>
      </c>
      <c r="F36" s="318">
        <v>1</v>
      </c>
      <c r="G36" s="319" t="s">
        <v>97</v>
      </c>
      <c r="H36" s="320">
        <v>46000</v>
      </c>
      <c r="I36" s="321" t="b">
        <v>1</v>
      </c>
      <c r="J36" s="322">
        <v>1</v>
      </c>
      <c r="K36" s="326">
        <f>VLOOKUP($A36,Master!$B$50:$N$232,6,FALSE)</f>
        <v>52500</v>
      </c>
      <c r="L36" s="324">
        <v>53955</v>
      </c>
      <c r="M36" s="325"/>
    </row>
    <row r="37" spans="1:13" ht="15.75" customHeight="1">
      <c r="A37" s="334" t="s">
        <v>881</v>
      </c>
      <c r="B37" s="335" t="s">
        <v>882</v>
      </c>
      <c r="C37" s="316">
        <f>VLOOKUP($A37,Master!$B$50:$N$232,8,FALSE)</f>
        <v>1000</v>
      </c>
      <c r="D37" s="316" t="str">
        <f>VLOOKUP($A37,Master!$B$50:$N$232,9,FALSE)</f>
        <v>gr</v>
      </c>
      <c r="E37" s="317" t="str">
        <f>VLOOKUP($A37,Master!$B$50:$N$232,11,FALSE)</f>
        <v>Pasar Cihapit</v>
      </c>
      <c r="F37" s="318">
        <v>0.3</v>
      </c>
      <c r="G37" s="319" t="s">
        <v>36</v>
      </c>
      <c r="H37" s="320">
        <v>69000</v>
      </c>
      <c r="I37" s="321" t="b">
        <v>1</v>
      </c>
      <c r="J37" s="322">
        <v>0.3</v>
      </c>
      <c r="K37" s="326">
        <f>VLOOKUP($A37,Master!$B$50:$N$232,6,FALSE)</f>
        <v>69000</v>
      </c>
      <c r="L37" s="324">
        <v>18701</v>
      </c>
      <c r="M37" s="325"/>
    </row>
    <row r="38" spans="1:13" ht="15.75" customHeight="1">
      <c r="A38" s="334" t="s">
        <v>883</v>
      </c>
      <c r="B38" s="335" t="s">
        <v>884</v>
      </c>
      <c r="C38" s="316">
        <f>VLOOKUP($A38,Master!$B$50:$N$232,8,FALSE)</f>
        <v>1000</v>
      </c>
      <c r="D38" s="316" t="str">
        <f>VLOOKUP($A38,Master!$B$50:$N$232,9,FALSE)</f>
        <v>gr</v>
      </c>
      <c r="E38" s="317" t="str">
        <f>VLOOKUP($A38,Master!$B$50:$N$232,11,FALSE)</f>
        <v>Pasar Cihapit</v>
      </c>
      <c r="F38" s="318">
        <v>0.5</v>
      </c>
      <c r="G38" s="319" t="s">
        <v>36</v>
      </c>
      <c r="H38" s="320">
        <v>148500</v>
      </c>
      <c r="I38" s="321" t="b">
        <v>1</v>
      </c>
      <c r="J38" s="322">
        <v>0.51400000000000001</v>
      </c>
      <c r="K38" s="326">
        <f>VLOOKUP($A38,Master!$B$50:$N$232,6,FALSE)</f>
        <v>156222</v>
      </c>
      <c r="L38" s="324">
        <v>94319</v>
      </c>
      <c r="M38" s="325"/>
    </row>
    <row r="39" spans="1:13" ht="15.75" customHeight="1">
      <c r="A39" s="334" t="s">
        <v>519</v>
      </c>
      <c r="B39" s="335" t="s">
        <v>520</v>
      </c>
      <c r="C39" s="316" t="e">
        <f>VLOOKUP($A39,Master!$B$50:$N$232,8,FALSE)</f>
        <v>#N/A</v>
      </c>
      <c r="D39" s="316" t="e">
        <f>VLOOKUP($A39,Master!$B$50:$N$232,9,FALSE)</f>
        <v>#N/A</v>
      </c>
      <c r="E39" s="317" t="e">
        <f>VLOOKUP($A39,Master!$B$50:$N$232,11,FALSE)</f>
        <v>#N/A</v>
      </c>
      <c r="F39" s="318">
        <v>2</v>
      </c>
      <c r="G39" s="319" t="s">
        <v>36</v>
      </c>
      <c r="H39" s="320">
        <v>28000</v>
      </c>
      <c r="I39" s="321" t="b">
        <v>1</v>
      </c>
      <c r="J39" s="322">
        <v>2</v>
      </c>
      <c r="K39" s="326" t="e">
        <f>VLOOKUP($A39,Master!$B$50:$N$232,6,FALSE)</f>
        <v>#N/A</v>
      </c>
      <c r="L39" s="327" t="e">
        <f t="shared" ref="L39:L43" si="2">J39*K39</f>
        <v>#N/A</v>
      </c>
      <c r="M39" s="325"/>
    </row>
    <row r="40" spans="1:13" ht="15.75" customHeight="1">
      <c r="A40" s="334" t="s">
        <v>528</v>
      </c>
      <c r="B40" s="335" t="s">
        <v>529</v>
      </c>
      <c r="C40" s="316" t="e">
        <f>VLOOKUP($A40,Master!$B$50:$N$232,8,FALSE)</f>
        <v>#N/A</v>
      </c>
      <c r="D40" s="316" t="e">
        <f>VLOOKUP($A40,Master!$B$50:$N$232,9,FALSE)</f>
        <v>#N/A</v>
      </c>
      <c r="E40" s="317" t="e">
        <f>VLOOKUP($A40,Master!$B$50:$N$232,11,FALSE)</f>
        <v>#N/A</v>
      </c>
      <c r="F40" s="318">
        <v>3</v>
      </c>
      <c r="G40" s="319" t="s">
        <v>50</v>
      </c>
      <c r="H40" s="320">
        <v>48000</v>
      </c>
      <c r="I40" s="321" t="b">
        <v>1</v>
      </c>
      <c r="J40" s="322">
        <v>3</v>
      </c>
      <c r="K40" s="326" t="e">
        <f>VLOOKUP($A40,Master!$B$50:$N$232,6,FALSE)</f>
        <v>#N/A</v>
      </c>
      <c r="L40" s="327" t="e">
        <f t="shared" si="2"/>
        <v>#N/A</v>
      </c>
      <c r="M40" s="325"/>
    </row>
    <row r="41" spans="1:13" ht="15.75" customHeight="1">
      <c r="A41" s="334" t="s">
        <v>635</v>
      </c>
      <c r="B41" s="335" t="s">
        <v>636</v>
      </c>
      <c r="C41" s="316" t="e">
        <f>VLOOKUP($A41,Master!$B$50:$N$232,8,FALSE)</f>
        <v>#N/A</v>
      </c>
      <c r="D41" s="316" t="e">
        <f>VLOOKUP($A41,Master!$B$50:$N$232,9,FALSE)</f>
        <v>#N/A</v>
      </c>
      <c r="E41" s="317" t="e">
        <f>VLOOKUP($A41,Master!$B$50:$N$232,11,FALSE)</f>
        <v>#N/A</v>
      </c>
      <c r="F41" s="318">
        <v>6</v>
      </c>
      <c r="G41" s="319" t="s">
        <v>50</v>
      </c>
      <c r="H41" s="320">
        <v>66000</v>
      </c>
      <c r="I41" s="321" t="b">
        <v>1</v>
      </c>
      <c r="J41" s="322">
        <v>6</v>
      </c>
      <c r="K41" s="326" t="e">
        <f>VLOOKUP($A41,Master!$B$50:$N$232,6,FALSE)</f>
        <v>#N/A</v>
      </c>
      <c r="L41" s="327" t="e">
        <f t="shared" si="2"/>
        <v>#N/A</v>
      </c>
      <c r="M41" s="325"/>
    </row>
    <row r="42" spans="1:13" ht="15.75" customHeight="1">
      <c r="A42" s="334" t="s">
        <v>643</v>
      </c>
      <c r="B42" s="335" t="s">
        <v>644</v>
      </c>
      <c r="C42" s="316">
        <f>VLOOKUP($A42,Master!$B$50:$N$232,8,FALSE)</f>
        <v>1000</v>
      </c>
      <c r="D42" s="316" t="str">
        <f>VLOOKUP($A42,Master!$B$50:$N$232,9,FALSE)</f>
        <v>gr</v>
      </c>
      <c r="E42" s="317" t="str">
        <f>VLOOKUP($A42,Master!$B$50:$N$232,11,FALSE)</f>
        <v>PD Aroma Jaya</v>
      </c>
      <c r="F42" s="318">
        <v>1</v>
      </c>
      <c r="G42" s="319" t="s">
        <v>36</v>
      </c>
      <c r="H42" s="320">
        <v>16000</v>
      </c>
      <c r="I42" s="321" t="b">
        <v>1</v>
      </c>
      <c r="J42" s="322">
        <v>1</v>
      </c>
      <c r="K42" s="326">
        <f>VLOOKUP($A42,Master!$B$50:$N$232,6,FALSE)</f>
        <v>17000</v>
      </c>
      <c r="L42" s="327">
        <f t="shared" si="2"/>
        <v>17000</v>
      </c>
      <c r="M42" s="325"/>
    </row>
    <row r="43" spans="1:13" ht="15.75" customHeight="1">
      <c r="A43" s="334" t="s">
        <v>680</v>
      </c>
      <c r="B43" s="335" t="s">
        <v>681</v>
      </c>
      <c r="C43" s="316" t="e">
        <f>VLOOKUP($A43,Master!$B$50:$N$232,8,FALSE)</f>
        <v>#N/A</v>
      </c>
      <c r="D43" s="316" t="e">
        <f>VLOOKUP($A43,Master!$B$50:$N$232,9,FALSE)</f>
        <v>#N/A</v>
      </c>
      <c r="E43" s="317" t="e">
        <f>VLOOKUP($A43,Master!$B$50:$N$232,11,FALSE)</f>
        <v>#N/A</v>
      </c>
      <c r="F43" s="318">
        <v>3</v>
      </c>
      <c r="G43" s="319" t="s">
        <v>97</v>
      </c>
      <c r="H43" s="320">
        <v>90000</v>
      </c>
      <c r="I43" s="321" t="b">
        <v>1</v>
      </c>
      <c r="J43" s="322">
        <v>3</v>
      </c>
      <c r="K43" s="326" t="e">
        <f>VLOOKUP($A43,Master!$B$50:$N$232,6,FALSE)</f>
        <v>#N/A</v>
      </c>
      <c r="L43" s="327" t="e">
        <f t="shared" si="2"/>
        <v>#N/A</v>
      </c>
      <c r="M43" s="325"/>
    </row>
    <row r="44" spans="1:13" ht="15.75" customHeight="1">
      <c r="A44" s="334" t="s">
        <v>688</v>
      </c>
      <c r="B44" s="335" t="s">
        <v>689</v>
      </c>
      <c r="C44" s="316" t="e">
        <f>VLOOKUP($A44,Master!$B$50:$N$232,8,FALSE)</f>
        <v>#N/A</v>
      </c>
      <c r="D44" s="316" t="e">
        <f>VLOOKUP($A44,Master!$B$50:$N$232,9,FALSE)</f>
        <v>#N/A</v>
      </c>
      <c r="E44" s="317" t="e">
        <f>VLOOKUP($A44,Master!$B$50:$N$232,11,FALSE)</f>
        <v>#N/A</v>
      </c>
      <c r="F44" s="318">
        <v>4</v>
      </c>
      <c r="G44" s="319" t="s">
        <v>62</v>
      </c>
      <c r="H44" s="320">
        <v>250000</v>
      </c>
      <c r="I44" s="321" t="b">
        <v>1</v>
      </c>
      <c r="J44" s="322">
        <v>4</v>
      </c>
      <c r="K44" s="326" t="e">
        <f>VLOOKUP($A44,Master!$B$50:$N$232,6,FALSE)</f>
        <v>#N/A</v>
      </c>
      <c r="L44" s="324">
        <v>248000</v>
      </c>
      <c r="M44" s="325"/>
    </row>
    <row r="45" spans="1:13" ht="15.75" customHeight="1">
      <c r="A45" s="334" t="s">
        <v>692</v>
      </c>
      <c r="B45" s="335" t="s">
        <v>693</v>
      </c>
      <c r="C45" s="316" t="e">
        <f>VLOOKUP($A45,Master!$B$50:$N$232,8,FALSE)</f>
        <v>#N/A</v>
      </c>
      <c r="D45" s="316" t="e">
        <f>VLOOKUP($A45,Master!$B$50:$N$232,9,FALSE)</f>
        <v>#N/A</v>
      </c>
      <c r="E45" s="317" t="e">
        <f>VLOOKUP($A45,Master!$B$50:$N$232,11,FALSE)</f>
        <v>#N/A</v>
      </c>
      <c r="F45" s="318">
        <v>1</v>
      </c>
      <c r="G45" s="319" t="s">
        <v>62</v>
      </c>
      <c r="H45" s="320">
        <v>53000</v>
      </c>
      <c r="I45" s="321" t="b">
        <v>1</v>
      </c>
      <c r="J45" s="322">
        <v>1</v>
      </c>
      <c r="K45" s="323">
        <v>56000</v>
      </c>
      <c r="L45" s="324">
        <f>J45*K45</f>
        <v>56000</v>
      </c>
      <c r="M45" s="325"/>
    </row>
    <row r="46" spans="1:13" ht="15.75" customHeight="1">
      <c r="A46" s="334" t="s">
        <v>696</v>
      </c>
      <c r="B46" s="335" t="s">
        <v>697</v>
      </c>
      <c r="C46" s="316" t="e">
        <f>VLOOKUP($A46,Master!$B$50:$N$232,8,FALSE)</f>
        <v>#N/A</v>
      </c>
      <c r="D46" s="316" t="e">
        <f>VLOOKUP($A46,Master!$B$50:$N$232,9,FALSE)</f>
        <v>#N/A</v>
      </c>
      <c r="E46" s="317" t="e">
        <f>VLOOKUP($A46,Master!$B$50:$N$232,11,FALSE)</f>
        <v>#N/A</v>
      </c>
      <c r="F46" s="318">
        <v>2</v>
      </c>
      <c r="G46" s="319" t="s">
        <v>62</v>
      </c>
      <c r="H46" s="320">
        <v>28000</v>
      </c>
      <c r="I46" s="321" t="b">
        <v>1</v>
      </c>
      <c r="J46" s="322">
        <v>2</v>
      </c>
      <c r="K46" s="326" t="e">
        <f>VLOOKUP($A46,Master!$B$50:$N$232,6,FALSE)</f>
        <v>#N/A</v>
      </c>
      <c r="L46" s="324">
        <v>27500</v>
      </c>
      <c r="M46" s="325"/>
    </row>
    <row r="47" spans="1:13" ht="15.75" customHeight="1">
      <c r="A47" s="334" t="s">
        <v>708</v>
      </c>
      <c r="B47" s="335" t="s">
        <v>709</v>
      </c>
      <c r="C47" s="316" t="e">
        <f>VLOOKUP($A47,Master!$B$50:$N$232,8,FALSE)</f>
        <v>#N/A</v>
      </c>
      <c r="D47" s="316" t="e">
        <f>VLOOKUP($A47,Master!$B$50:$N$232,9,FALSE)</f>
        <v>#N/A</v>
      </c>
      <c r="E47" s="317" t="e">
        <f>VLOOKUP($A47,Master!$B$50:$N$232,11,FALSE)</f>
        <v>#N/A</v>
      </c>
      <c r="F47" s="318">
        <v>1</v>
      </c>
      <c r="G47" s="319" t="s">
        <v>143</v>
      </c>
      <c r="H47" s="320">
        <v>365000</v>
      </c>
      <c r="I47" s="321" t="b">
        <v>1</v>
      </c>
      <c r="J47" s="322">
        <v>1</v>
      </c>
      <c r="K47" s="326" t="e">
        <f>VLOOKUP($A47,Master!$B$50:$N$232,6,FALSE)</f>
        <v>#N/A</v>
      </c>
      <c r="L47" s="324">
        <v>350000</v>
      </c>
      <c r="M47" s="325"/>
    </row>
    <row r="48" spans="1:13" ht="15.75" customHeight="1">
      <c r="A48" s="334" t="s">
        <v>720</v>
      </c>
      <c r="B48" s="335" t="s">
        <v>721</v>
      </c>
      <c r="C48" s="316">
        <f>VLOOKUP($A48,Master!$B$50:$N$232,8,FALSE)</f>
        <v>100</v>
      </c>
      <c r="D48" s="316" t="str">
        <f>VLOOKUP($A48,Master!$B$50:$N$232,9,FALSE)</f>
        <v>gr</v>
      </c>
      <c r="E48" s="317" t="str">
        <f>VLOOKUP($A48,Master!$B$50:$N$232,11,FALSE)</f>
        <v>PD Aroma Jaya</v>
      </c>
      <c r="F48" s="318">
        <v>2</v>
      </c>
      <c r="G48" s="319" t="s">
        <v>62</v>
      </c>
      <c r="H48" s="320">
        <v>56000</v>
      </c>
      <c r="I48" s="321" t="b">
        <v>1</v>
      </c>
      <c r="J48" s="322">
        <v>2</v>
      </c>
      <c r="K48" s="326">
        <f>VLOOKUP($A48,Master!$B$50:$N$232,6,FALSE)</f>
        <v>28000</v>
      </c>
      <c r="L48" s="327">
        <f t="shared" ref="L48:L56" si="3">J48*K48</f>
        <v>56000</v>
      </c>
      <c r="M48" s="325"/>
    </row>
    <row r="49" spans="1:13" ht="15.75" customHeight="1">
      <c r="A49" s="334" t="s">
        <v>752</v>
      </c>
      <c r="B49" s="335" t="s">
        <v>753</v>
      </c>
      <c r="C49" s="316" t="e">
        <f>VLOOKUP($A49,Master!$B$50:$N$232,8,FALSE)</f>
        <v>#N/A</v>
      </c>
      <c r="D49" s="316" t="e">
        <f>VLOOKUP($A49,Master!$B$50:$N$232,9,FALSE)</f>
        <v>#N/A</v>
      </c>
      <c r="E49" s="317" t="e">
        <f>VLOOKUP($A49,Master!$B$50:$N$232,11,FALSE)</f>
        <v>#N/A</v>
      </c>
      <c r="F49" s="318">
        <v>1</v>
      </c>
      <c r="G49" s="319" t="s">
        <v>62</v>
      </c>
      <c r="H49" s="320">
        <v>38000</v>
      </c>
      <c r="I49" s="321" t="b">
        <v>1</v>
      </c>
      <c r="J49" s="322">
        <v>1</v>
      </c>
      <c r="K49" s="326" t="e">
        <f>VLOOKUP($A49,Master!$B$50:$N$232,6,FALSE)</f>
        <v>#N/A</v>
      </c>
      <c r="L49" s="327" t="e">
        <f t="shared" si="3"/>
        <v>#N/A</v>
      </c>
      <c r="M49" s="325"/>
    </row>
    <row r="50" spans="1:13" ht="15.75" customHeight="1">
      <c r="A50" s="334" t="s">
        <v>767</v>
      </c>
      <c r="B50" s="335" t="s">
        <v>768</v>
      </c>
      <c r="C50" s="316" t="e">
        <f>VLOOKUP($A50,Master!$B$50:$N$232,8,FALSE)</f>
        <v>#N/A</v>
      </c>
      <c r="D50" s="316" t="e">
        <f>VLOOKUP($A50,Master!$B$50:$N$232,9,FALSE)</f>
        <v>#N/A</v>
      </c>
      <c r="E50" s="317" t="e">
        <f>VLOOKUP($A50,Master!$B$50:$N$232,11,FALSE)</f>
        <v>#N/A</v>
      </c>
      <c r="F50" s="318">
        <v>2</v>
      </c>
      <c r="G50" s="319" t="s">
        <v>62</v>
      </c>
      <c r="H50" s="320">
        <v>39000</v>
      </c>
      <c r="I50" s="321" t="b">
        <v>1</v>
      </c>
      <c r="J50" s="322">
        <v>2</v>
      </c>
      <c r="K50" s="326" t="e">
        <f>VLOOKUP($A50,Master!$B$50:$N$232,6,FALSE)</f>
        <v>#N/A</v>
      </c>
      <c r="L50" s="327" t="e">
        <f t="shared" si="3"/>
        <v>#N/A</v>
      </c>
      <c r="M50" s="325"/>
    </row>
    <row r="51" spans="1:13" ht="13">
      <c r="A51" s="334" t="s">
        <v>773</v>
      </c>
      <c r="B51" s="335" t="s">
        <v>774</v>
      </c>
      <c r="C51" s="316" t="e">
        <f>VLOOKUP($A51,Master!$B$50:$N$232,8,FALSE)</f>
        <v>#N/A</v>
      </c>
      <c r="D51" s="316" t="e">
        <f>VLOOKUP($A51,Master!$B$50:$N$232,9,FALSE)</f>
        <v>#N/A</v>
      </c>
      <c r="E51" s="317" t="e">
        <f>VLOOKUP($A51,Master!$B$50:$N$232,11,FALSE)</f>
        <v>#N/A</v>
      </c>
      <c r="F51" s="318">
        <v>6</v>
      </c>
      <c r="G51" s="319" t="s">
        <v>62</v>
      </c>
      <c r="H51" s="320">
        <v>84000</v>
      </c>
      <c r="I51" s="321" t="b">
        <v>1</v>
      </c>
      <c r="J51" s="322">
        <v>6</v>
      </c>
      <c r="K51" s="326" t="e">
        <f>VLOOKUP($A51,Master!$B$50:$N$232,6,FALSE)</f>
        <v>#N/A</v>
      </c>
      <c r="L51" s="327" t="e">
        <f t="shared" si="3"/>
        <v>#N/A</v>
      </c>
      <c r="M51" s="325"/>
    </row>
    <row r="52" spans="1:13" ht="13">
      <c r="A52" s="334" t="s">
        <v>811</v>
      </c>
      <c r="B52" s="335" t="s">
        <v>812</v>
      </c>
      <c r="C52" s="316">
        <f>VLOOKUP($A52,Master!$B$50:$N$232,8,FALSE)</f>
        <v>100</v>
      </c>
      <c r="D52" s="316" t="str">
        <f>VLOOKUP($A52,Master!$B$50:$N$232,9,FALSE)</f>
        <v>gr</v>
      </c>
      <c r="E52" s="317" t="str">
        <f>VLOOKUP($A52,Master!$B$50:$N$232,11,FALSE)</f>
        <v>PD Aroma Jaya</v>
      </c>
      <c r="F52" s="318">
        <v>1</v>
      </c>
      <c r="G52" s="319" t="s">
        <v>62</v>
      </c>
      <c r="H52" s="320">
        <v>38000</v>
      </c>
      <c r="I52" s="321" t="b">
        <v>1</v>
      </c>
      <c r="J52" s="322">
        <v>1</v>
      </c>
      <c r="K52" s="326">
        <f>VLOOKUP($A52,Master!$B$50:$N$232,6,FALSE)</f>
        <v>38000</v>
      </c>
      <c r="L52" s="327">
        <f t="shared" si="3"/>
        <v>38000</v>
      </c>
      <c r="M52" s="325"/>
    </row>
    <row r="53" spans="1:13" ht="13">
      <c r="A53" s="334" t="s">
        <v>887</v>
      </c>
      <c r="B53" s="335" t="s">
        <v>888</v>
      </c>
      <c r="C53" s="316">
        <f>VLOOKUP($A53,Master!$B$50:$N$232,8,FALSE)</f>
        <v>500</v>
      </c>
      <c r="D53" s="316" t="str">
        <f>VLOOKUP($A53,Master!$B$50:$N$232,9,FALSE)</f>
        <v>gr</v>
      </c>
      <c r="E53" s="317" t="str">
        <f>VLOOKUP($A53,Master!$B$50:$N$232,11,FALSE)</f>
        <v>PD Aroma Jaya</v>
      </c>
      <c r="F53" s="318">
        <v>0.5</v>
      </c>
      <c r="G53" s="319" t="s">
        <v>36</v>
      </c>
      <c r="H53" s="320">
        <v>13000</v>
      </c>
      <c r="I53" s="321" t="b">
        <v>1</v>
      </c>
      <c r="J53" s="322">
        <v>5</v>
      </c>
      <c r="K53" s="326">
        <f>VLOOKUP($A53,Master!$B$50:$N$232,6,FALSE)</f>
        <v>13000</v>
      </c>
      <c r="L53" s="327">
        <f t="shared" si="3"/>
        <v>65000</v>
      </c>
      <c r="M53" s="325"/>
    </row>
    <row r="54" spans="1:13" ht="13">
      <c r="A54" s="334" t="s">
        <v>892</v>
      </c>
      <c r="B54" s="335" t="s">
        <v>893</v>
      </c>
      <c r="C54" s="316" t="e">
        <f>VLOOKUP($A54,Master!$B$50:$N$232,8,FALSE)</f>
        <v>#N/A</v>
      </c>
      <c r="D54" s="316" t="e">
        <f>VLOOKUP($A54,Master!$B$50:$N$232,9,FALSE)</f>
        <v>#N/A</v>
      </c>
      <c r="E54" s="317" t="e">
        <f>VLOOKUP($A54,Master!$B$50:$N$232,11,FALSE)</f>
        <v>#N/A</v>
      </c>
      <c r="F54" s="318">
        <v>2</v>
      </c>
      <c r="G54" s="319" t="s">
        <v>36</v>
      </c>
      <c r="H54" s="320">
        <v>215000</v>
      </c>
      <c r="I54" s="321" t="b">
        <v>1</v>
      </c>
      <c r="J54" s="322">
        <v>2</v>
      </c>
      <c r="K54" s="326" t="e">
        <f>VLOOKUP($A54,Master!$B$50:$N$232,6,FALSE)</f>
        <v>#N/A</v>
      </c>
      <c r="L54" s="327" t="e">
        <f t="shared" si="3"/>
        <v>#N/A</v>
      </c>
      <c r="M54" s="325"/>
    </row>
    <row r="55" spans="1:13" ht="13">
      <c r="A55" s="334" t="s">
        <v>955</v>
      </c>
      <c r="B55" s="335" t="s">
        <v>956</v>
      </c>
      <c r="C55" s="316" t="e">
        <f>VLOOKUP($A55,Master!$B$50:$N$232,8,FALSE)</f>
        <v>#N/A</v>
      </c>
      <c r="D55" s="316" t="e">
        <f>VLOOKUP($A55,Master!$B$50:$N$232,9,FALSE)</f>
        <v>#N/A</v>
      </c>
      <c r="E55" s="317" t="e">
        <f>VLOOKUP($A55,Master!$B$50:$N$232,11,FALSE)</f>
        <v>#N/A</v>
      </c>
      <c r="F55" s="318">
        <v>1</v>
      </c>
      <c r="G55" s="319" t="s">
        <v>97</v>
      </c>
      <c r="H55" s="320">
        <v>20250</v>
      </c>
      <c r="I55" s="321" t="b">
        <v>1</v>
      </c>
      <c r="J55" s="322">
        <v>1</v>
      </c>
      <c r="K55" s="326" t="e">
        <f>VLOOKUP($A55,Master!$B$50:$N$232,6,FALSE)</f>
        <v>#N/A</v>
      </c>
      <c r="L55" s="327" t="e">
        <f t="shared" si="3"/>
        <v>#N/A</v>
      </c>
      <c r="M55" s="325"/>
    </row>
    <row r="56" spans="1:13" ht="13">
      <c r="A56" s="334" t="s">
        <v>982</v>
      </c>
      <c r="B56" s="335" t="s">
        <v>983</v>
      </c>
      <c r="C56" s="316">
        <f>VLOOKUP($A56,Master!$B$50:$N$232,8,FALSE)</f>
        <v>12</v>
      </c>
      <c r="D56" s="316" t="str">
        <f>VLOOKUP($A56,Master!$B$50:$N$232,9,FALSE)</f>
        <v>pcs</v>
      </c>
      <c r="E56" s="317" t="str">
        <f>VLOOKUP($A56,Master!$B$50:$N$232,11,FALSE)</f>
        <v>PD Aroma Jaya</v>
      </c>
      <c r="F56" s="318">
        <v>2</v>
      </c>
      <c r="G56" s="319" t="s">
        <v>62</v>
      </c>
      <c r="H56" s="320">
        <v>44000</v>
      </c>
      <c r="I56" s="321" t="b">
        <v>1</v>
      </c>
      <c r="J56" s="322">
        <v>2</v>
      </c>
      <c r="K56" s="326">
        <f>VLOOKUP($A56,Master!$B$50:$N$232,6,FALSE)</f>
        <v>18000</v>
      </c>
      <c r="L56" s="327">
        <f t="shared" si="3"/>
        <v>36000</v>
      </c>
      <c r="M56" s="325"/>
    </row>
    <row r="57" spans="1:13" ht="13">
      <c r="A57" s="334" t="s">
        <v>989</v>
      </c>
      <c r="B57" s="335" t="s">
        <v>990</v>
      </c>
      <c r="C57" s="316">
        <f>VLOOKUP($A57,Master!$B$50:$N$232,8,FALSE)</f>
        <v>5000</v>
      </c>
      <c r="D57" s="316" t="str">
        <f>VLOOKUP($A57,Master!$B$50:$N$232,9,FALSE)</f>
        <v>ml</v>
      </c>
      <c r="E57" s="317" t="str">
        <f>VLOOKUP($A57,Master!$B$50:$N$232,11,FALSE)</f>
        <v>Kurnia Mas</v>
      </c>
      <c r="F57" s="318">
        <v>3</v>
      </c>
      <c r="G57" s="319" t="s">
        <v>62</v>
      </c>
      <c r="H57" s="320">
        <v>58500</v>
      </c>
      <c r="I57" s="321" t="b">
        <v>1</v>
      </c>
      <c r="J57" s="322">
        <v>3</v>
      </c>
      <c r="K57" s="326">
        <f>VLOOKUP($A57,Master!$B$50:$N$232,6,FALSE)</f>
        <v>54500</v>
      </c>
      <c r="L57" s="324">
        <v>57000</v>
      </c>
      <c r="M57" s="325"/>
    </row>
    <row r="58" spans="1:13" ht="13">
      <c r="A58" s="334" t="s">
        <v>1017</v>
      </c>
      <c r="B58" s="335" t="s">
        <v>1018</v>
      </c>
      <c r="C58" s="316">
        <f>VLOOKUP($A58,Master!$B$50:$N$232,8,FALSE)</f>
        <v>1</v>
      </c>
      <c r="D58" s="316" t="str">
        <f>VLOOKUP($A58,Master!$B$50:$N$232,9,FALSE)</f>
        <v>pcs</v>
      </c>
      <c r="E58" s="317" t="str">
        <f>VLOOKUP($A58,Master!$B$50:$N$232,11,FALSE)</f>
        <v>PD Aroma Jaya</v>
      </c>
      <c r="F58" s="318">
        <v>3</v>
      </c>
      <c r="G58" s="319" t="s">
        <v>62</v>
      </c>
      <c r="H58" s="320">
        <v>8400</v>
      </c>
      <c r="I58" s="321" t="b">
        <v>1</v>
      </c>
      <c r="J58" s="322">
        <v>3</v>
      </c>
      <c r="K58" s="326">
        <f>VLOOKUP($A58,Master!$B$50:$N$232,6,FALSE)</f>
        <v>2800</v>
      </c>
      <c r="L58" s="327">
        <f t="shared" ref="L58:L61" si="4">J58*K58</f>
        <v>8400</v>
      </c>
      <c r="M58" s="325"/>
    </row>
    <row r="59" spans="1:13" ht="13">
      <c r="A59" s="334" t="s">
        <v>1058</v>
      </c>
      <c r="B59" s="335" t="s">
        <v>1059</v>
      </c>
      <c r="C59" s="316" t="e">
        <f>VLOOKUP($A59,Master!$B$50:$N$232,8,FALSE)</f>
        <v>#N/A</v>
      </c>
      <c r="D59" s="316" t="e">
        <f>VLOOKUP($A59,Master!$B$50:$N$232,9,FALSE)</f>
        <v>#N/A</v>
      </c>
      <c r="E59" s="317" t="e">
        <f>VLOOKUP($A59,Master!$B$50:$N$232,11,FALSE)</f>
        <v>#N/A</v>
      </c>
      <c r="F59" s="318">
        <v>1</v>
      </c>
      <c r="G59" s="319" t="s">
        <v>62</v>
      </c>
      <c r="H59" s="320">
        <v>22500</v>
      </c>
      <c r="I59" s="321" t="b">
        <v>1</v>
      </c>
      <c r="J59" s="322">
        <v>1</v>
      </c>
      <c r="K59" s="323" t="e">
        <f>VLOOKUP($A59,Master!$B$50:$N$232,6,FALSE)</f>
        <v>#N/A</v>
      </c>
      <c r="L59" s="324" t="e">
        <f t="shared" si="4"/>
        <v>#N/A</v>
      </c>
      <c r="M59" s="325"/>
    </row>
    <row r="60" spans="1:13" ht="13">
      <c r="A60" s="334" t="s">
        <v>566</v>
      </c>
      <c r="B60" s="335" t="s">
        <v>567</v>
      </c>
      <c r="C60" s="316" t="e">
        <f>VLOOKUP($A60,Master!$B$50:$N$232,8,FALSE)</f>
        <v>#N/A</v>
      </c>
      <c r="D60" s="316" t="e">
        <f>VLOOKUP($A60,Master!$B$50:$N$232,9,FALSE)</f>
        <v>#N/A</v>
      </c>
      <c r="E60" s="317" t="e">
        <f>VLOOKUP($A60,Master!$B$50:$N$232,11,FALSE)</f>
        <v>#N/A</v>
      </c>
      <c r="F60" s="318">
        <v>2</v>
      </c>
      <c r="G60" s="319" t="s">
        <v>62</v>
      </c>
      <c r="H60" s="320">
        <v>297000</v>
      </c>
      <c r="I60" s="321" t="b">
        <v>1</v>
      </c>
      <c r="J60" s="322">
        <v>2</v>
      </c>
      <c r="K60" s="323">
        <v>135000</v>
      </c>
      <c r="L60" s="324">
        <f t="shared" si="4"/>
        <v>270000</v>
      </c>
      <c r="M60" s="325"/>
    </row>
    <row r="61" spans="1:13" ht="13">
      <c r="A61" s="334" t="s">
        <v>570</v>
      </c>
      <c r="B61" s="335" t="s">
        <v>571</v>
      </c>
      <c r="C61" s="316" t="e">
        <f>VLOOKUP($A61,Master!$B$50:$N$232,8,FALSE)</f>
        <v>#N/A</v>
      </c>
      <c r="D61" s="316" t="e">
        <f>VLOOKUP($A61,Master!$B$50:$N$232,9,FALSE)</f>
        <v>#N/A</v>
      </c>
      <c r="E61" s="317" t="e">
        <f>VLOOKUP($A61,Master!$B$50:$N$232,11,FALSE)</f>
        <v>#N/A</v>
      </c>
      <c r="F61" s="318">
        <v>2</v>
      </c>
      <c r="G61" s="319" t="s">
        <v>62</v>
      </c>
      <c r="H61" s="320">
        <v>297000</v>
      </c>
      <c r="I61" s="321" t="b">
        <v>1</v>
      </c>
      <c r="J61" s="322">
        <v>2</v>
      </c>
      <c r="K61" s="323">
        <v>135000</v>
      </c>
      <c r="L61" s="324">
        <f t="shared" si="4"/>
        <v>270000</v>
      </c>
      <c r="M61" s="325"/>
    </row>
    <row r="62" spans="1:13" ht="13">
      <c r="A62" s="334" t="s">
        <v>961</v>
      </c>
      <c r="B62" s="335" t="s">
        <v>962</v>
      </c>
      <c r="C62" s="316" t="e">
        <f>VLOOKUP($A62,Master!$B$50:$N$232,8,FALSE)</f>
        <v>#N/A</v>
      </c>
      <c r="D62" s="316" t="e">
        <f>VLOOKUP($A62,Master!$B$50:$N$232,9,FALSE)</f>
        <v>#N/A</v>
      </c>
      <c r="E62" s="317" t="e">
        <f>VLOOKUP($A62,Master!$B$50:$N$232,11,FALSE)</f>
        <v>#N/A</v>
      </c>
      <c r="F62" s="318">
        <v>2</v>
      </c>
      <c r="G62" s="319" t="s">
        <v>97</v>
      </c>
      <c r="H62" s="320">
        <v>188700</v>
      </c>
      <c r="I62" s="321" t="b">
        <v>1</v>
      </c>
      <c r="J62" s="322">
        <v>2</v>
      </c>
      <c r="K62" s="326" t="e">
        <f>VLOOKUP($A62,Master!$B$50:$N$232,6,FALSE)</f>
        <v>#N/A</v>
      </c>
      <c r="L62" s="324">
        <v>170000</v>
      </c>
      <c r="M62" s="325"/>
    </row>
    <row r="63" spans="1:13" ht="13">
      <c r="A63" s="334" t="s">
        <v>1541</v>
      </c>
      <c r="B63" s="335" t="s">
        <v>974</v>
      </c>
      <c r="C63" s="316" t="e">
        <f>VLOOKUP($A63,Master!$B$50:$N$232,8,FALSE)</f>
        <v>#N/A</v>
      </c>
      <c r="D63" s="316" t="e">
        <f>VLOOKUP($A63,Master!$B$50:$N$232,9,FALSE)</f>
        <v>#N/A</v>
      </c>
      <c r="E63" s="317" t="e">
        <f>VLOOKUP($A63,Master!$B$50:$N$232,11,FALSE)</f>
        <v>#N/A</v>
      </c>
      <c r="F63" s="318">
        <v>1</v>
      </c>
      <c r="G63" s="319" t="s">
        <v>97</v>
      </c>
      <c r="H63" s="320">
        <v>216450</v>
      </c>
      <c r="I63" s="321" t="b">
        <v>1</v>
      </c>
      <c r="J63" s="322">
        <v>1</v>
      </c>
      <c r="K63" s="323">
        <v>195000</v>
      </c>
      <c r="L63" s="324">
        <f t="shared" ref="L63:L65" si="5">J63*K63</f>
        <v>195000</v>
      </c>
      <c r="M63" s="325"/>
    </row>
    <row r="64" spans="1:13" ht="13">
      <c r="A64" s="334" t="s">
        <v>548</v>
      </c>
      <c r="B64" s="335" t="s">
        <v>549</v>
      </c>
      <c r="C64" s="316" t="e">
        <f>VLOOKUP($A64,Master!$B$50:$N$232,8,FALSE)</f>
        <v>#N/A</v>
      </c>
      <c r="D64" s="316" t="e">
        <f>VLOOKUP($A64,Master!$B$50:$N$232,9,FALSE)</f>
        <v>#N/A</v>
      </c>
      <c r="E64" s="317" t="e">
        <f>VLOOKUP($A64,Master!$B$50:$N$232,11,FALSE)</f>
        <v>#N/A</v>
      </c>
      <c r="F64" s="318">
        <v>2</v>
      </c>
      <c r="G64" s="319" t="s">
        <v>87</v>
      </c>
      <c r="H64" s="320">
        <v>315130</v>
      </c>
      <c r="I64" s="321" t="b">
        <v>1</v>
      </c>
      <c r="J64" s="322">
        <v>2</v>
      </c>
      <c r="K64" s="326" t="e">
        <f>VLOOKUP($A64,Master!$B$50:$N$232,6,FALSE)</f>
        <v>#N/A</v>
      </c>
      <c r="L64" s="327" t="e">
        <f t="shared" si="5"/>
        <v>#N/A</v>
      </c>
      <c r="M64" s="325"/>
    </row>
    <row r="65" spans="1:13" ht="13">
      <c r="A65" s="334" t="s">
        <v>623</v>
      </c>
      <c r="B65" s="335" t="s">
        <v>624</v>
      </c>
      <c r="C65" s="316" t="e">
        <f>VLOOKUP($A65,Master!$B$50:$N$232,8,FALSE)</f>
        <v>#N/A</v>
      </c>
      <c r="D65" s="316" t="e">
        <f>VLOOKUP($A65,Master!$B$50:$N$232,9,FALSE)</f>
        <v>#N/A</v>
      </c>
      <c r="E65" s="317" t="e">
        <f>VLOOKUP($A65,Master!$B$50:$N$232,11,FALSE)</f>
        <v>#N/A</v>
      </c>
      <c r="F65" s="318">
        <v>3</v>
      </c>
      <c r="G65" s="319" t="s">
        <v>143</v>
      </c>
      <c r="H65" s="320">
        <v>545787</v>
      </c>
      <c r="I65" s="321" t="b">
        <v>1</v>
      </c>
      <c r="J65" s="322">
        <v>3</v>
      </c>
      <c r="K65" s="326" t="e">
        <f>VLOOKUP($A65,Master!$B$50:$N$232,6,FALSE)</f>
        <v>#N/A</v>
      </c>
      <c r="L65" s="327" t="e">
        <f t="shared" si="5"/>
        <v>#N/A</v>
      </c>
      <c r="M65" s="325"/>
    </row>
    <row r="66" spans="1:13" ht="13">
      <c r="A66" s="334" t="s">
        <v>704</v>
      </c>
      <c r="B66" s="335" t="s">
        <v>705</v>
      </c>
      <c r="C66" s="316" t="e">
        <f>VLOOKUP($A66,Master!$B$50:$N$232,8,FALSE)</f>
        <v>#N/A</v>
      </c>
      <c r="D66" s="316" t="e">
        <f>VLOOKUP($A66,Master!$B$50:$N$232,9,FALSE)</f>
        <v>#N/A</v>
      </c>
      <c r="E66" s="317" t="e">
        <f>VLOOKUP($A66,Master!$B$50:$N$232,11,FALSE)</f>
        <v>#N/A</v>
      </c>
      <c r="F66" s="318">
        <v>3</v>
      </c>
      <c r="G66" s="319" t="s">
        <v>143</v>
      </c>
      <c r="H66" s="320">
        <v>608391</v>
      </c>
      <c r="I66" s="321" t="b">
        <v>1</v>
      </c>
      <c r="J66" s="322">
        <v>3</v>
      </c>
      <c r="K66" s="323">
        <f>548100/3</f>
        <v>182700</v>
      </c>
      <c r="L66" s="324">
        <v>548100</v>
      </c>
      <c r="M66" s="325"/>
    </row>
    <row r="67" spans="1:13" ht="13">
      <c r="A67" s="334" t="s">
        <v>910</v>
      </c>
      <c r="B67" s="335" t="s">
        <v>911</v>
      </c>
      <c r="C67" s="316">
        <f>VLOOKUP($A67,Master!$B$50:$N$232,8,FALSE)</f>
        <v>10</v>
      </c>
      <c r="D67" s="316" t="str">
        <f>VLOOKUP($A67,Master!$B$50:$N$232,9,FALSE)</f>
        <v>pcs</v>
      </c>
      <c r="E67" s="317" t="str">
        <f>VLOOKUP($A67,Master!$B$50:$N$232,11,FALSE)</f>
        <v>Setiabudi Market</v>
      </c>
      <c r="F67" s="318">
        <v>2</v>
      </c>
      <c r="G67" s="319" t="s">
        <v>62</v>
      </c>
      <c r="H67" s="320">
        <v>26000</v>
      </c>
      <c r="I67" s="321" t="b">
        <v>1</v>
      </c>
      <c r="J67" s="322">
        <v>4</v>
      </c>
      <c r="K67" s="326">
        <f>VLOOKUP($A67,Master!$B$50:$N$232,6,FALSE)</f>
        <v>16900</v>
      </c>
      <c r="L67" s="324">
        <v>55836</v>
      </c>
      <c r="M67" s="325"/>
    </row>
    <row r="68" spans="1:13" ht="13">
      <c r="A68" s="334" t="s">
        <v>544</v>
      </c>
      <c r="B68" s="335" t="s">
        <v>545</v>
      </c>
      <c r="C68" s="316" t="e">
        <f>VLOOKUP($A68,Master!$B$50:$N$232,8,FALSE)</f>
        <v>#N/A</v>
      </c>
      <c r="D68" s="316" t="e">
        <f>VLOOKUP($A68,Master!$B$50:$N$232,9,FALSE)</f>
        <v>#N/A</v>
      </c>
      <c r="E68" s="317" t="e">
        <f>VLOOKUP($A68,Master!$B$50:$N$232,11,FALSE)</f>
        <v>#N/A</v>
      </c>
      <c r="F68" s="318">
        <v>2</v>
      </c>
      <c r="G68" s="319" t="s">
        <v>62</v>
      </c>
      <c r="H68" s="320">
        <v>30400</v>
      </c>
      <c r="I68" s="321" t="b">
        <v>1</v>
      </c>
      <c r="J68" s="322">
        <v>2</v>
      </c>
      <c r="K68" s="326" t="e">
        <f>VLOOKUP($A68,Master!$B$50:$N$232,6,FALSE)</f>
        <v>#N/A</v>
      </c>
      <c r="L68" s="324">
        <v>32495</v>
      </c>
      <c r="M68" s="325"/>
    </row>
    <row r="69" spans="1:13" ht="13">
      <c r="A69" s="334" t="s">
        <v>540</v>
      </c>
      <c r="B69" s="335" t="s">
        <v>541</v>
      </c>
      <c r="C69" s="316">
        <f>VLOOKUP($A69,Master!$B$50:$N$232,8,FALSE)</f>
        <v>1000</v>
      </c>
      <c r="D69" s="316" t="str">
        <f>VLOOKUP($A69,Master!$B$50:$N$232,9,FALSE)</f>
        <v>gr</v>
      </c>
      <c r="E69" s="317" t="str">
        <f>VLOOKUP($A69,Master!$B$50:$N$232,11,FALSE)</f>
        <v>Woodlane</v>
      </c>
      <c r="F69" s="318">
        <v>2</v>
      </c>
      <c r="G69" s="319" t="s">
        <v>36</v>
      </c>
      <c r="H69" s="320">
        <v>340000</v>
      </c>
      <c r="I69" s="321" t="b">
        <v>1</v>
      </c>
      <c r="J69" s="322">
        <v>2</v>
      </c>
      <c r="K69" s="326">
        <f>VLOOKUP($A69,Master!$B$50:$N$232,6,FALSE)</f>
        <v>170000</v>
      </c>
      <c r="L69" s="327">
        <f t="shared" ref="L69:L70" si="6">J69*K69</f>
        <v>340000</v>
      </c>
      <c r="M69" s="325"/>
    </row>
    <row r="70" spans="1:13" ht="13">
      <c r="A70" s="334" t="s">
        <v>590</v>
      </c>
      <c r="B70" s="335" t="s">
        <v>599</v>
      </c>
      <c r="C70" s="316">
        <f>VLOOKUP($A70,Master!$B$50:$N$232,8,FALSE)</f>
        <v>200</v>
      </c>
      <c r="D70" s="316" t="str">
        <f>VLOOKUP($A70,Master!$B$50:$N$232,9,FALSE)</f>
        <v>gr</v>
      </c>
      <c r="E70" s="317" t="str">
        <f>VLOOKUP($A70,Master!$B$50:$N$232,11,FALSE)</f>
        <v>Woodlane</v>
      </c>
      <c r="F70" s="318">
        <v>2</v>
      </c>
      <c r="G70" s="319" t="s">
        <v>62</v>
      </c>
      <c r="H70" s="320">
        <v>170000</v>
      </c>
      <c r="I70" s="321" t="b">
        <v>1</v>
      </c>
      <c r="J70" s="322">
        <v>2</v>
      </c>
      <c r="K70" s="326">
        <f>VLOOKUP($A70,Master!$B$50:$N$240,6,FALSE)</f>
        <v>85000</v>
      </c>
      <c r="L70" s="327">
        <f t="shared" si="6"/>
        <v>170000</v>
      </c>
      <c r="M70" s="325"/>
    </row>
    <row r="72" spans="1:13" ht="13">
      <c r="F72" s="427">
        <v>44746</v>
      </c>
      <c r="G72" s="428"/>
      <c r="H72" s="424"/>
      <c r="J72" s="429">
        <f>F72+1</f>
        <v>44747</v>
      </c>
      <c r="K72" s="428"/>
      <c r="L72" s="424"/>
    </row>
    <row r="73" spans="1:13" ht="13">
      <c r="F73" s="425" t="s">
        <v>1490</v>
      </c>
      <c r="G73" s="426"/>
      <c r="H73" s="304">
        <f>SUM(H75:H230)</f>
        <v>900760146</v>
      </c>
      <c r="J73" s="425" t="s">
        <v>1491</v>
      </c>
      <c r="K73" s="426"/>
      <c r="L73" s="304" t="e">
        <f>SUM(L75:L230)</f>
        <v>#N/A</v>
      </c>
    </row>
    <row r="74" spans="1:13" ht="13">
      <c r="A74" s="2" t="s">
        <v>4</v>
      </c>
      <c r="B74" s="305" t="s">
        <v>5</v>
      </c>
      <c r="C74" s="305" t="s">
        <v>1492</v>
      </c>
      <c r="D74" s="305" t="s">
        <v>12</v>
      </c>
      <c r="E74" s="306" t="s">
        <v>1493</v>
      </c>
      <c r="F74" s="307" t="s">
        <v>1494</v>
      </c>
      <c r="G74" s="308" t="s">
        <v>10</v>
      </c>
      <c r="H74" s="309" t="s">
        <v>1495</v>
      </c>
      <c r="I74" s="310" t="s">
        <v>1289</v>
      </c>
      <c r="J74" s="311" t="s">
        <v>1496</v>
      </c>
      <c r="K74" s="312" t="s">
        <v>1497</v>
      </c>
      <c r="L74" s="313" t="s">
        <v>1498</v>
      </c>
      <c r="M74" s="314" t="s">
        <v>16</v>
      </c>
    </row>
    <row r="75" spans="1:13" ht="13">
      <c r="A75" s="137" t="s">
        <v>639</v>
      </c>
      <c r="B75" s="330" t="s">
        <v>640</v>
      </c>
      <c r="C75" s="316">
        <f>VLOOKUP($A75,Master!$B$50:$N$232,8,FALSE)</f>
        <v>1000</v>
      </c>
      <c r="D75" s="316" t="str">
        <f>VLOOKUP($A75,Master!$B$50:$N$232,9,FALSE)</f>
        <v>gr</v>
      </c>
      <c r="E75" s="317" t="str">
        <f>VLOOKUP($A75,Master!$B$50:$N$232,11,FALSE)</f>
        <v>BISS (Topside)</v>
      </c>
      <c r="F75" s="318">
        <v>1</v>
      </c>
      <c r="G75" s="319" t="s">
        <v>36</v>
      </c>
      <c r="H75" s="320">
        <v>145000</v>
      </c>
      <c r="I75" s="321" t="b">
        <v>1</v>
      </c>
      <c r="J75" s="322">
        <v>1</v>
      </c>
      <c r="K75" s="326">
        <f>VLOOKUP($A75,Master!$B$50:$N$232,6,FALSE)</f>
        <v>145000</v>
      </c>
      <c r="L75" s="324">
        <v>130000</v>
      </c>
      <c r="M75" s="325" t="s">
        <v>1542</v>
      </c>
    </row>
    <row r="76" spans="1:13" ht="13">
      <c r="A76" s="21" t="s">
        <v>586</v>
      </c>
      <c r="B76" s="61" t="s">
        <v>587</v>
      </c>
      <c r="C76" s="316">
        <f>VLOOKUP($A76,Master!$B$50:$N$232,8,FALSE)</f>
        <v>20</v>
      </c>
      <c r="D76" s="316" t="str">
        <f>VLOOKUP($A76,Master!$B$50:$N$232,9,FALSE)</f>
        <v>pcs</v>
      </c>
      <c r="E76" s="317" t="str">
        <f>VLOOKUP($A76,Master!$B$50:$N$232,11,FALSE)</f>
        <v>Kurnia Mas</v>
      </c>
      <c r="F76" s="318">
        <v>2</v>
      </c>
      <c r="G76" s="319" t="s">
        <v>62</v>
      </c>
      <c r="H76" s="320">
        <v>14600</v>
      </c>
      <c r="I76" s="321" t="b">
        <v>1</v>
      </c>
      <c r="J76" s="322">
        <v>2</v>
      </c>
      <c r="K76" s="323">
        <v>7950</v>
      </c>
      <c r="L76" s="324">
        <v>15741</v>
      </c>
      <c r="M76" s="325"/>
    </row>
    <row r="77" spans="1:13" ht="13">
      <c r="A77" s="21" t="s">
        <v>627</v>
      </c>
      <c r="B77" s="61" t="s">
        <v>628</v>
      </c>
      <c r="C77" s="316">
        <f>VLOOKUP($A77,Master!$B$50:$N$232,8,FALSE)</f>
        <v>1000</v>
      </c>
      <c r="D77" s="316" t="str">
        <f>VLOOKUP($A77,Master!$B$50:$N$232,9,FALSE)</f>
        <v>gr</v>
      </c>
      <c r="E77" s="317" t="str">
        <f>VLOOKUP($A77,Master!$B$50:$N$232,11,FALSE)</f>
        <v>Borma</v>
      </c>
      <c r="F77" s="318">
        <v>0.5</v>
      </c>
      <c r="G77" s="319" t="s">
        <v>36</v>
      </c>
      <c r="H77" s="320">
        <v>31900</v>
      </c>
      <c r="I77" s="321" t="b">
        <v>1</v>
      </c>
      <c r="J77" s="322">
        <v>0.69399999999999995</v>
      </c>
      <c r="K77" s="326">
        <f>VLOOKUP($A77,Master!$B$50:$N$232,6,FALSE)</f>
        <v>35550</v>
      </c>
      <c r="L77" s="324">
        <v>18895</v>
      </c>
      <c r="M77" s="325"/>
    </row>
    <row r="78" spans="1:13" ht="13">
      <c r="A78" s="21" t="s">
        <v>631</v>
      </c>
      <c r="B78" s="61" t="s">
        <v>632</v>
      </c>
      <c r="C78" s="316">
        <f>VLOOKUP($A78,Master!$B$50:$N$232,8,FALSE)</f>
        <v>1000</v>
      </c>
      <c r="D78" s="316" t="str">
        <f>VLOOKUP($A78,Master!$B$50:$N$232,9,FALSE)</f>
        <v>gr</v>
      </c>
      <c r="E78" s="317" t="str">
        <f>VLOOKUP($A78,Master!$B$50:$N$232,11,FALSE)</f>
        <v>Borma</v>
      </c>
      <c r="F78" s="318">
        <v>1</v>
      </c>
      <c r="G78" s="319" t="s">
        <v>36</v>
      </c>
      <c r="H78" s="320">
        <v>16000</v>
      </c>
      <c r="I78" s="321" t="b">
        <v>1</v>
      </c>
      <c r="J78" s="322">
        <v>1</v>
      </c>
      <c r="K78" s="326">
        <f>VLOOKUP($A78,Master!$B$50:$N$232,6,FALSE)</f>
        <v>18000</v>
      </c>
      <c r="L78" s="324">
        <v>15000</v>
      </c>
      <c r="M78" s="325"/>
    </row>
    <row r="79" spans="1:13" ht="13">
      <c r="A79" s="21" t="s">
        <v>770</v>
      </c>
      <c r="B79" s="61" t="s">
        <v>771</v>
      </c>
      <c r="C79" s="316" t="e">
        <f>VLOOKUP($A79,Master!$B$50:$N$232,8,FALSE)</f>
        <v>#N/A</v>
      </c>
      <c r="D79" s="316" t="e">
        <f>VLOOKUP($A79,Master!$B$50:$N$232,9,FALSE)</f>
        <v>#N/A</v>
      </c>
      <c r="E79" s="317" t="e">
        <f>VLOOKUP($A79,Master!$B$50:$N$232,11,FALSE)</f>
        <v>#N/A</v>
      </c>
      <c r="F79" s="318">
        <v>1</v>
      </c>
      <c r="G79" s="319" t="s">
        <v>97</v>
      </c>
      <c r="H79" s="320">
        <v>26350</v>
      </c>
      <c r="I79" s="321" t="b">
        <v>1</v>
      </c>
      <c r="J79" s="322">
        <v>1</v>
      </c>
      <c r="K79" s="323">
        <v>27950</v>
      </c>
      <c r="L79" s="324">
        <v>27671</v>
      </c>
      <c r="M79" s="325"/>
    </row>
    <row r="80" spans="1:13" ht="13">
      <c r="A80" s="21" t="s">
        <v>937</v>
      </c>
      <c r="B80" s="61" t="s">
        <v>938</v>
      </c>
      <c r="C80" s="316">
        <f>VLOOKUP($A80,Master!$B$50:$N$232,8,FALSE)</f>
        <v>20</v>
      </c>
      <c r="D80" s="316" t="str">
        <f>VLOOKUP($A80,Master!$B$50:$N$232,9,FALSE)</f>
        <v>pcs</v>
      </c>
      <c r="E80" s="317" t="str">
        <f>VLOOKUP($A80,Master!$B$50:$N$232,11,FALSE)</f>
        <v>Borma</v>
      </c>
      <c r="F80" s="318">
        <v>2</v>
      </c>
      <c r="G80" s="319" t="s">
        <v>62</v>
      </c>
      <c r="H80" s="320">
        <v>15100</v>
      </c>
      <c r="I80" s="321" t="b">
        <v>0</v>
      </c>
      <c r="J80" s="322"/>
      <c r="K80" s="326">
        <f>VLOOKUP($A80,Master!$B$50:$N$232,6,FALSE)</f>
        <v>8500</v>
      </c>
      <c r="L80" s="327">
        <f>J80*K80</f>
        <v>0</v>
      </c>
      <c r="M80" s="325" t="s">
        <v>1507</v>
      </c>
    </row>
    <row r="81" spans="1:13" ht="13">
      <c r="A81" s="21" t="s">
        <v>987</v>
      </c>
      <c r="B81" s="61" t="s">
        <v>988</v>
      </c>
      <c r="C81" s="316">
        <f>VLOOKUP($A81,Master!$B$50:$N$232,8,FALSE)</f>
        <v>1700</v>
      </c>
      <c r="D81" s="316" t="str">
        <f>VLOOKUP($A81,Master!$B$50:$N$232,9,FALSE)</f>
        <v>gr</v>
      </c>
      <c r="E81" s="317" t="str">
        <f>VLOOKUP($A81,Master!$B$50:$N$232,11,FALSE)</f>
        <v>Borma</v>
      </c>
      <c r="F81" s="318">
        <v>1</v>
      </c>
      <c r="G81" s="319" t="s">
        <v>62</v>
      </c>
      <c r="H81" s="320">
        <v>17900</v>
      </c>
      <c r="I81" s="321" t="b">
        <v>1</v>
      </c>
      <c r="J81" s="322">
        <v>1</v>
      </c>
      <c r="K81" s="326">
        <f>VLOOKUP($A81,Master!$B$50:$N$232,6,FALSE)</f>
        <v>30938</v>
      </c>
      <c r="L81" s="324">
        <v>17721</v>
      </c>
      <c r="M81" s="325"/>
    </row>
    <row r="82" spans="1:13" ht="13">
      <c r="A82" s="21" t="s">
        <v>1037</v>
      </c>
      <c r="B82" s="61" t="s">
        <v>1038</v>
      </c>
      <c r="C82" s="316" t="e">
        <f>VLOOKUP($A82,Master!$B$50:$N$232,8,FALSE)</f>
        <v>#N/A</v>
      </c>
      <c r="D82" s="316" t="e">
        <f>VLOOKUP($A82,Master!$B$50:$N$232,9,FALSE)</f>
        <v>#N/A</v>
      </c>
      <c r="E82" s="317" t="e">
        <f>VLOOKUP($A82,Master!$B$50:$N$232,11,FALSE)</f>
        <v>#N/A</v>
      </c>
      <c r="F82" s="318">
        <v>1</v>
      </c>
      <c r="G82" s="319" t="s">
        <v>62</v>
      </c>
      <c r="H82" s="320">
        <v>22300</v>
      </c>
      <c r="I82" s="321" t="b">
        <v>1</v>
      </c>
      <c r="J82" s="322">
        <v>1</v>
      </c>
      <c r="K82" s="323" t="e">
        <f>VLOOKUP($A82,Master!$B$50:$N$232,6,FALSE)</f>
        <v>#N/A</v>
      </c>
      <c r="L82" s="324">
        <v>10841</v>
      </c>
      <c r="M82" s="325" t="s">
        <v>1543</v>
      </c>
    </row>
    <row r="83" spans="1:13" ht="13">
      <c r="A83" s="21" t="s">
        <v>1094</v>
      </c>
      <c r="B83" s="61" t="s">
        <v>1095</v>
      </c>
      <c r="C83" s="316" t="e">
        <f>VLOOKUP($A83,Master!$B$50:$N$232,8,FALSE)</f>
        <v>#N/A</v>
      </c>
      <c r="D83" s="316" t="e">
        <f>VLOOKUP($A83,Master!$B$50:$N$232,9,FALSE)</f>
        <v>#N/A</v>
      </c>
      <c r="E83" s="317" t="e">
        <f>VLOOKUP($A83,Master!$B$50:$N$232,11,FALSE)</f>
        <v>#N/A</v>
      </c>
      <c r="F83" s="318">
        <v>1</v>
      </c>
      <c r="G83" s="319" t="s">
        <v>62</v>
      </c>
      <c r="H83" s="320">
        <v>19650</v>
      </c>
      <c r="I83" s="321" t="b">
        <v>1</v>
      </c>
      <c r="J83" s="322">
        <v>1</v>
      </c>
      <c r="K83" s="323" t="e">
        <f>VLOOKUP($A83,Master!$B$50:$N$232,6,FALSE)</f>
        <v>#N/A</v>
      </c>
      <c r="L83" s="324">
        <v>19454</v>
      </c>
      <c r="M83" s="325"/>
    </row>
    <row r="84" spans="1:13" ht="13">
      <c r="A84" s="21" t="s">
        <v>851</v>
      </c>
      <c r="B84" s="61" t="s">
        <v>852</v>
      </c>
      <c r="C84" s="316" t="e">
        <f>VLOOKUP($A84,Master!$B$50:$N$232,8,FALSE)</f>
        <v>#N/A</v>
      </c>
      <c r="D84" s="316" t="e">
        <f>VLOOKUP($A84,Master!$B$50:$N$232,9,FALSE)</f>
        <v>#N/A</v>
      </c>
      <c r="E84" s="317" t="e">
        <f>VLOOKUP($A84,Master!$B$50:$N$232,11,FALSE)</f>
        <v>#N/A</v>
      </c>
      <c r="F84" s="318">
        <v>6</v>
      </c>
      <c r="G84" s="319" t="s">
        <v>143</v>
      </c>
      <c r="H84" s="320">
        <v>121600</v>
      </c>
      <c r="I84" s="321" t="b">
        <v>1</v>
      </c>
      <c r="J84" s="322">
        <v>6</v>
      </c>
      <c r="K84" s="326" t="e">
        <f>VLOOKUP($A84,Master!$B$50:$N$232,6,FALSE)</f>
        <v>#N/A</v>
      </c>
      <c r="L84" s="327" t="e">
        <f t="shared" ref="L84:L89" si="7">J84*K84</f>
        <v>#N/A</v>
      </c>
      <c r="M84" s="325" t="s">
        <v>1544</v>
      </c>
    </row>
    <row r="85" spans="1:13" ht="13">
      <c r="A85" s="21" t="s">
        <v>574</v>
      </c>
      <c r="B85" s="61" t="s">
        <v>575</v>
      </c>
      <c r="C85" s="316" t="e">
        <f>VLOOKUP($A85,Master!$B$50:$N$232,8,FALSE)</f>
        <v>#N/A</v>
      </c>
      <c r="D85" s="316" t="e">
        <f>VLOOKUP($A85,Master!$B$50:$N$232,9,FALSE)</f>
        <v>#N/A</v>
      </c>
      <c r="E85" s="317" t="e">
        <f>VLOOKUP($A85,Master!$B$50:$N$232,11,FALSE)</f>
        <v>#N/A</v>
      </c>
      <c r="F85" s="318">
        <v>1</v>
      </c>
      <c r="G85" s="319" t="s">
        <v>62</v>
      </c>
      <c r="H85" s="320">
        <v>170000</v>
      </c>
      <c r="I85" s="321" t="b">
        <v>1</v>
      </c>
      <c r="J85" s="322">
        <v>1</v>
      </c>
      <c r="K85" s="326" t="e">
        <f>VLOOKUP($A85,Master!$B$50:$N$232,6,FALSE)</f>
        <v>#N/A</v>
      </c>
      <c r="L85" s="327" t="e">
        <f t="shared" si="7"/>
        <v>#N/A</v>
      </c>
      <c r="M85" s="325"/>
    </row>
    <row r="86" spans="1:13" ht="13">
      <c r="A86" s="21" t="s">
        <v>578</v>
      </c>
      <c r="B86" s="61" t="s">
        <v>579</v>
      </c>
      <c r="C86" s="316" t="e">
        <f>VLOOKUP($A86,Master!$B$50:$N$232,8,FALSE)</f>
        <v>#N/A</v>
      </c>
      <c r="D86" s="316" t="e">
        <f>VLOOKUP($A86,Master!$B$50:$N$232,9,FALSE)</f>
        <v>#N/A</v>
      </c>
      <c r="E86" s="317" t="e">
        <f>VLOOKUP($A86,Master!$B$50:$N$232,11,FALSE)</f>
        <v>#N/A</v>
      </c>
      <c r="F86" s="318">
        <v>2</v>
      </c>
      <c r="G86" s="319" t="s">
        <v>62</v>
      </c>
      <c r="H86" s="320">
        <v>440000</v>
      </c>
      <c r="I86" s="321" t="b">
        <v>1</v>
      </c>
      <c r="J86" s="322">
        <v>2</v>
      </c>
      <c r="K86" s="326" t="e">
        <f>VLOOKUP($A86,Master!$B$50:$N$232,6,FALSE)</f>
        <v>#N/A</v>
      </c>
      <c r="L86" s="327" t="e">
        <f t="shared" si="7"/>
        <v>#N/A</v>
      </c>
      <c r="M86" s="325"/>
    </row>
    <row r="87" spans="1:13" ht="13">
      <c r="A87" s="21" t="s">
        <v>651</v>
      </c>
      <c r="B87" s="61" t="s">
        <v>652</v>
      </c>
      <c r="C87" s="316">
        <f>VLOOKUP($A87,Master!$B$50:$N$232,8,FALSE)</f>
        <v>1000</v>
      </c>
      <c r="D87" s="316" t="str">
        <f>VLOOKUP($A87,Master!$B$50:$N$232,9,FALSE)</f>
        <v>gr</v>
      </c>
      <c r="E87" s="317" t="str">
        <f>VLOOKUP($A87,Master!$B$50:$N$232,11,FALSE)</f>
        <v>Eden Farm</v>
      </c>
      <c r="F87" s="318">
        <v>1.5</v>
      </c>
      <c r="G87" s="319" t="s">
        <v>36</v>
      </c>
      <c r="H87" s="320">
        <v>19400</v>
      </c>
      <c r="I87" s="321" t="b">
        <v>1</v>
      </c>
      <c r="J87" s="322">
        <v>2</v>
      </c>
      <c r="K87" s="323">
        <v>10200</v>
      </c>
      <c r="L87" s="324">
        <f t="shared" si="7"/>
        <v>20400</v>
      </c>
      <c r="M87" s="325"/>
    </row>
    <row r="88" spans="1:13" ht="13">
      <c r="A88" s="21" t="s">
        <v>655</v>
      </c>
      <c r="B88" s="61" t="s">
        <v>656</v>
      </c>
      <c r="C88" s="316">
        <f>VLOOKUP($A88,Master!$B$50:$N$232,8,FALSE)</f>
        <v>1000</v>
      </c>
      <c r="D88" s="316" t="str">
        <f>VLOOKUP($A88,Master!$B$50:$N$232,9,FALSE)</f>
        <v>gr</v>
      </c>
      <c r="E88" s="317" t="str">
        <f>VLOOKUP($A88,Master!$B$50:$N$232,11,FALSE)</f>
        <v>Toko Lain</v>
      </c>
      <c r="F88" s="318">
        <v>3</v>
      </c>
      <c r="G88" s="319" t="s">
        <v>36</v>
      </c>
      <c r="H88" s="320">
        <v>146700</v>
      </c>
      <c r="I88" s="321" t="b">
        <v>1</v>
      </c>
      <c r="J88" s="322">
        <v>3</v>
      </c>
      <c r="K88" s="323">
        <v>50000</v>
      </c>
      <c r="L88" s="324">
        <f t="shared" si="7"/>
        <v>150000</v>
      </c>
      <c r="M88" s="325" t="s">
        <v>1545</v>
      </c>
    </row>
    <row r="89" spans="1:13" ht="13">
      <c r="A89" s="21" t="s">
        <v>671</v>
      </c>
      <c r="B89" s="61" t="s">
        <v>672</v>
      </c>
      <c r="C89" s="316">
        <f>VLOOKUP($A89,Master!$B$50:$N$232,8,FALSE)</f>
        <v>1000</v>
      </c>
      <c r="D89" s="316" t="str">
        <f>VLOOKUP($A89,Master!$B$50:$N$232,9,FALSE)</f>
        <v>gr</v>
      </c>
      <c r="E89" s="317" t="str">
        <f>VLOOKUP($A89,Master!$B$50:$N$232,11,FALSE)</f>
        <v>Eden Farm</v>
      </c>
      <c r="F89" s="318">
        <v>1</v>
      </c>
      <c r="G89" s="319" t="s">
        <v>36</v>
      </c>
      <c r="H89" s="320">
        <v>28300</v>
      </c>
      <c r="I89" s="321" t="b">
        <v>1</v>
      </c>
      <c r="J89" s="322">
        <v>1</v>
      </c>
      <c r="K89" s="323">
        <v>110000</v>
      </c>
      <c r="L89" s="324">
        <f t="shared" si="7"/>
        <v>110000</v>
      </c>
      <c r="M89" s="325"/>
    </row>
    <row r="90" spans="1:13" ht="13">
      <c r="A90" s="21" t="s">
        <v>732</v>
      </c>
      <c r="B90" s="61" t="s">
        <v>733</v>
      </c>
      <c r="C90" s="316">
        <f>VLOOKUP($A90,Master!$B$50:$N$232,8,FALSE)</f>
        <v>1000</v>
      </c>
      <c r="D90" s="316" t="str">
        <f>VLOOKUP($A90,Master!$B$50:$N$232,9,FALSE)</f>
        <v>gr</v>
      </c>
      <c r="E90" s="317" t="str">
        <f>VLOOKUP($A90,Master!$B$50:$N$232,11,FALSE)</f>
        <v>Eden Farm</v>
      </c>
      <c r="F90" s="318">
        <v>3</v>
      </c>
      <c r="G90" s="319" t="s">
        <v>36</v>
      </c>
      <c r="H90" s="320">
        <v>56700</v>
      </c>
      <c r="I90" s="321" t="b">
        <v>1</v>
      </c>
      <c r="J90" s="322">
        <v>3</v>
      </c>
      <c r="K90" s="326">
        <f>VLOOKUP($A90,Master!$B$50:$N$232,6,FALSE)</f>
        <v>40000</v>
      </c>
      <c r="L90" s="324">
        <v>54000</v>
      </c>
      <c r="M90" s="325"/>
    </row>
    <row r="91" spans="1:13" ht="13">
      <c r="A91" s="21" t="s">
        <v>744</v>
      </c>
      <c r="B91" s="61" t="s">
        <v>745</v>
      </c>
      <c r="C91" s="316">
        <f>VLOOKUP($A91,Master!$B$50:$N$232,8,FALSE)</f>
        <v>1000</v>
      </c>
      <c r="D91" s="316" t="str">
        <f>VLOOKUP($A91,Master!$B$50:$N$232,9,FALSE)</f>
        <v>gr</v>
      </c>
      <c r="E91" s="317" t="str">
        <f>VLOOKUP($A91,Master!$B$50:$N$232,11,FALSE)</f>
        <v>Eden Farm</v>
      </c>
      <c r="F91" s="318">
        <v>0.5</v>
      </c>
      <c r="G91" s="319" t="s">
        <v>36</v>
      </c>
      <c r="H91" s="320">
        <v>44900</v>
      </c>
      <c r="I91" s="321" t="b">
        <v>1</v>
      </c>
      <c r="J91" s="322">
        <v>0.5</v>
      </c>
      <c r="K91" s="323">
        <v>54500</v>
      </c>
      <c r="L91" s="324">
        <f>J91*K91</f>
        <v>27250</v>
      </c>
      <c r="M91" s="325"/>
    </row>
    <row r="92" spans="1:13" ht="13">
      <c r="A92" s="21" t="s">
        <v>782</v>
      </c>
      <c r="B92" s="61" t="s">
        <v>783</v>
      </c>
      <c r="C92" s="316">
        <f>VLOOKUP($A92,Master!$B$50:$N$232,8,FALSE)</f>
        <v>500</v>
      </c>
      <c r="D92" s="316" t="str">
        <f>VLOOKUP($A92,Master!$B$50:$N$232,9,FALSE)</f>
        <v>gr</v>
      </c>
      <c r="E92" s="317" t="str">
        <f>VLOOKUP($A92,Master!$B$50:$N$232,11,FALSE)</f>
        <v>Toko Lain</v>
      </c>
      <c r="F92" s="318">
        <v>3</v>
      </c>
      <c r="G92" s="319" t="s">
        <v>62</v>
      </c>
      <c r="H92" s="320">
        <v>23100</v>
      </c>
      <c r="I92" s="321" t="b">
        <v>1</v>
      </c>
      <c r="J92" s="322">
        <v>1</v>
      </c>
      <c r="K92" s="326">
        <f>VLOOKUP($A92,Master!$B$50:$N$232,6,FALSE)</f>
        <v>25000</v>
      </c>
      <c r="L92" s="324">
        <v>50000</v>
      </c>
      <c r="M92" s="325" t="s">
        <v>1546</v>
      </c>
    </row>
    <row r="93" spans="1:13" ht="13">
      <c r="A93" s="21" t="s">
        <v>919</v>
      </c>
      <c r="B93" s="61" t="s">
        <v>920</v>
      </c>
      <c r="C93" s="316">
        <f>VLOOKUP($A93,Master!$B$50:$N$232,8,FALSE)</f>
        <v>1000</v>
      </c>
      <c r="D93" s="316" t="str">
        <f>VLOOKUP($A93,Master!$B$50:$N$232,9,FALSE)</f>
        <v>gr</v>
      </c>
      <c r="E93" s="317" t="str">
        <f>VLOOKUP($A93,Master!$B$50:$N$232,11,FALSE)</f>
        <v>Eden Farm</v>
      </c>
      <c r="F93" s="318">
        <v>1.5</v>
      </c>
      <c r="G93" s="319" t="s">
        <v>36</v>
      </c>
      <c r="H93" s="320">
        <v>79800</v>
      </c>
      <c r="I93" s="321" t="b">
        <v>1</v>
      </c>
      <c r="J93" s="322">
        <v>1.5</v>
      </c>
      <c r="K93" s="326">
        <f>VLOOKUP($A93,Master!$B$50:$N$232,6,FALSE)</f>
        <v>50000</v>
      </c>
      <c r="L93" s="324">
        <v>51900</v>
      </c>
      <c r="M93" s="325"/>
    </row>
    <row r="94" spans="1:13" ht="13">
      <c r="A94" s="21" t="s">
        <v>1020</v>
      </c>
      <c r="B94" s="61" t="s">
        <v>1021</v>
      </c>
      <c r="C94" s="316">
        <f>VLOOKUP($A94,Master!$B$50:$N$232,8,FALSE)</f>
        <v>1000</v>
      </c>
      <c r="D94" s="316" t="str">
        <f>VLOOKUP($A94,Master!$B$50:$N$232,9,FALSE)</f>
        <v>gr</v>
      </c>
      <c r="E94" s="317" t="str">
        <f>VLOOKUP($A94,Master!$B$50:$N$232,11,FALSE)</f>
        <v>Eden Farm</v>
      </c>
      <c r="F94" s="318">
        <v>1</v>
      </c>
      <c r="G94" s="319" t="s">
        <v>36</v>
      </c>
      <c r="H94" s="320">
        <v>21800</v>
      </c>
      <c r="I94" s="321" t="b">
        <v>1</v>
      </c>
      <c r="J94" s="322">
        <v>1</v>
      </c>
      <c r="K94" s="326">
        <f>VLOOKUP($A94,Master!$B$50:$N$232,6,FALSE)</f>
        <v>24000</v>
      </c>
      <c r="L94" s="324">
        <v>17500</v>
      </c>
      <c r="M94" s="325"/>
    </row>
    <row r="95" spans="1:13" ht="13">
      <c r="A95" s="21" t="s">
        <v>1050</v>
      </c>
      <c r="B95" s="61" t="s">
        <v>1051</v>
      </c>
      <c r="C95" s="316" t="e">
        <f>VLOOKUP($A95,Master!$B$50:$N$232,8,FALSE)</f>
        <v>#N/A</v>
      </c>
      <c r="D95" s="316" t="e">
        <f>VLOOKUP($A95,Master!$B$50:$N$232,9,FALSE)</f>
        <v>#N/A</v>
      </c>
      <c r="E95" s="317" t="e">
        <f>VLOOKUP($A95,Master!$B$50:$N$232,11,FALSE)</f>
        <v>#N/A</v>
      </c>
      <c r="F95" s="318">
        <v>1</v>
      </c>
      <c r="G95" s="319" t="s">
        <v>36</v>
      </c>
      <c r="H95" s="320">
        <v>9500</v>
      </c>
      <c r="I95" s="321" t="b">
        <v>1</v>
      </c>
      <c r="J95" s="322">
        <v>1</v>
      </c>
      <c r="K95" s="323">
        <v>9900</v>
      </c>
      <c r="L95" s="324">
        <f t="shared" ref="L95:L98" si="8">J95*K95</f>
        <v>9900</v>
      </c>
      <c r="M95" s="325"/>
    </row>
    <row r="96" spans="1:13" ht="13">
      <c r="A96" s="21" t="s">
        <v>1108</v>
      </c>
      <c r="B96" s="61" t="s">
        <v>1109</v>
      </c>
      <c r="C96" s="316" t="e">
        <f>VLOOKUP($A96,Master!$B$50:$N$240,8,FALSE)</f>
        <v>#N/A</v>
      </c>
      <c r="D96" s="316" t="e">
        <f>VLOOKUP($A96,Master!$B$50:$N$240,9,FALSE)</f>
        <v>#N/A</v>
      </c>
      <c r="E96" s="317" t="s">
        <v>1547</v>
      </c>
      <c r="F96" s="318">
        <v>2</v>
      </c>
      <c r="G96" s="319" t="s">
        <v>62</v>
      </c>
      <c r="H96" s="320">
        <v>140000</v>
      </c>
      <c r="I96" s="321" t="b">
        <v>1</v>
      </c>
      <c r="J96" s="322">
        <v>2</v>
      </c>
      <c r="K96" s="326">
        <v>45000</v>
      </c>
      <c r="L96" s="327">
        <f t="shared" si="8"/>
        <v>90000</v>
      </c>
      <c r="M96" s="325"/>
    </row>
    <row r="97" spans="1:13" ht="13">
      <c r="A97" s="21" t="s">
        <v>1112</v>
      </c>
      <c r="B97" s="61" t="s">
        <v>1113</v>
      </c>
      <c r="C97" s="316" t="e">
        <f>VLOOKUP($A97,Master!$B$50:$N$240,8,FALSE)</f>
        <v>#N/A</v>
      </c>
      <c r="D97" s="316" t="e">
        <f>VLOOKUP($A97,Master!$B$50:$N$240,9,FALSE)</f>
        <v>#N/A</v>
      </c>
      <c r="E97" s="317" t="s">
        <v>272</v>
      </c>
      <c r="F97" s="318">
        <v>2</v>
      </c>
      <c r="G97" s="319" t="s">
        <v>132</v>
      </c>
      <c r="H97" s="320">
        <v>387400</v>
      </c>
      <c r="I97" s="321" t="b">
        <v>1</v>
      </c>
      <c r="J97" s="322">
        <v>2</v>
      </c>
      <c r="K97" s="326" t="e">
        <f>VLOOKUP($A97,Master!$B$50:$N$240,6,FALSE)</f>
        <v>#N/A</v>
      </c>
      <c r="L97" s="324" t="e">
        <f t="shared" si="8"/>
        <v>#N/A</v>
      </c>
      <c r="M97" s="325"/>
    </row>
    <row r="98" spans="1:13" ht="13">
      <c r="A98" s="18" t="s">
        <v>1092</v>
      </c>
      <c r="B98" s="328" t="s">
        <v>1093</v>
      </c>
      <c r="C98" s="316" t="e">
        <f>VLOOKUP($A98,Master!$B$50:$N$232,8,FALSE)</f>
        <v>#N/A</v>
      </c>
      <c r="D98" s="316" t="e">
        <f>VLOOKUP($A98,Master!$B$50:$N$232,9,FALSE)</f>
        <v>#N/A</v>
      </c>
      <c r="E98" s="317" t="e">
        <f>VLOOKUP($A98,Master!$B$50:$N$232,11,FALSE)</f>
        <v>#N/A</v>
      </c>
      <c r="F98" s="318">
        <v>10</v>
      </c>
      <c r="G98" s="319" t="s">
        <v>62</v>
      </c>
      <c r="H98" s="320">
        <v>145000</v>
      </c>
      <c r="I98" s="321" t="b">
        <v>1</v>
      </c>
      <c r="J98" s="322">
        <v>10</v>
      </c>
      <c r="K98" s="323">
        <v>15500</v>
      </c>
      <c r="L98" s="324">
        <f t="shared" si="8"/>
        <v>155000</v>
      </c>
      <c r="M98" s="325"/>
    </row>
    <row r="99" spans="1:13" ht="13">
      <c r="A99" s="22" t="s">
        <v>1503</v>
      </c>
      <c r="B99" s="330" t="s">
        <v>556</v>
      </c>
      <c r="C99" s="316" t="e">
        <f>VLOOKUP($A99,Master!$B$50:$N$232,8,FALSE)</f>
        <v>#N/A</v>
      </c>
      <c r="D99" s="316" t="e">
        <f>VLOOKUP($A99,Master!$B$50:$N$232,9,FALSE)</f>
        <v>#N/A</v>
      </c>
      <c r="E99" s="317" t="e">
        <f>VLOOKUP($A99,Master!$B$50:$N$232,11,FALSE)</f>
        <v>#N/A</v>
      </c>
      <c r="F99" s="318">
        <v>1</v>
      </c>
      <c r="G99" s="319" t="s">
        <v>97</v>
      </c>
      <c r="H99" s="320">
        <v>137000</v>
      </c>
      <c r="I99" s="321" t="b">
        <v>1</v>
      </c>
      <c r="J99" s="322">
        <v>1</v>
      </c>
      <c r="K99" s="323" t="e">
        <f>VLOOKUP($A99,Master!$B$50:$N$232,6,FALSE)</f>
        <v>#N/A</v>
      </c>
      <c r="L99" s="324">
        <v>135420</v>
      </c>
      <c r="M99" s="325"/>
    </row>
    <row r="100" spans="1:13" ht="13">
      <c r="A100" s="21" t="s">
        <v>1504</v>
      </c>
      <c r="B100" s="61" t="s">
        <v>614</v>
      </c>
      <c r="C100" s="316" t="e">
        <f>VLOOKUP($A100,Master!$B$50:$N$232,8,FALSE)</f>
        <v>#N/A</v>
      </c>
      <c r="D100" s="316" t="e">
        <f>VLOOKUP($A100,Master!$B$50:$N$232,9,FALSE)</f>
        <v>#N/A</v>
      </c>
      <c r="E100" s="317" t="e">
        <f>VLOOKUP($A100,Master!$B$50:$N$232,11,FALSE)</f>
        <v>#N/A</v>
      </c>
      <c r="F100" s="318">
        <v>1</v>
      </c>
      <c r="G100" s="319" t="s">
        <v>97</v>
      </c>
      <c r="H100" s="320">
        <v>137000</v>
      </c>
      <c r="I100" s="321" t="b">
        <v>1</v>
      </c>
      <c r="J100" s="322">
        <v>1</v>
      </c>
      <c r="K100" s="323" t="e">
        <f>VLOOKUP($A100,Master!$B$50:$N$232,6,FALSE)</f>
        <v>#N/A</v>
      </c>
      <c r="L100" s="324">
        <v>135420</v>
      </c>
      <c r="M100" s="325"/>
    </row>
    <row r="101" spans="1:13" ht="13">
      <c r="A101" s="21" t="s">
        <v>1505</v>
      </c>
      <c r="B101" s="61" t="s">
        <v>617</v>
      </c>
      <c r="C101" s="316" t="e">
        <f>VLOOKUP($A101,Master!$B$50:$N$232,8,FALSE)</f>
        <v>#N/A</v>
      </c>
      <c r="D101" s="316" t="e">
        <f>VLOOKUP($A101,Master!$B$50:$N$232,9,FALSE)</f>
        <v>#N/A</v>
      </c>
      <c r="E101" s="317" t="e">
        <f>VLOOKUP($A101,Master!$B$50:$N$232,11,FALSE)</f>
        <v>#N/A</v>
      </c>
      <c r="F101" s="318">
        <v>1</v>
      </c>
      <c r="G101" s="319" t="s">
        <v>97</v>
      </c>
      <c r="H101" s="320">
        <v>137000</v>
      </c>
      <c r="I101" s="321" t="b">
        <v>1</v>
      </c>
      <c r="J101" s="322">
        <v>1</v>
      </c>
      <c r="K101" s="323" t="e">
        <f>VLOOKUP($A101,Master!$B$50:$N$232,6,FALSE)</f>
        <v>#N/A</v>
      </c>
      <c r="L101" s="324">
        <v>135420</v>
      </c>
      <c r="M101" s="325"/>
    </row>
    <row r="102" spans="1:13" ht="13">
      <c r="A102" s="21" t="s">
        <v>1506</v>
      </c>
      <c r="B102" s="61" t="s">
        <v>620</v>
      </c>
      <c r="C102" s="316" t="e">
        <f>VLOOKUP($A102,Master!$B$50:$N$232,8,FALSE)</f>
        <v>#N/A</v>
      </c>
      <c r="D102" s="316" t="e">
        <f>VLOOKUP($A102,Master!$B$50:$N$232,9,FALSE)</f>
        <v>#N/A</v>
      </c>
      <c r="E102" s="317" t="e">
        <f>VLOOKUP($A102,Master!$B$50:$N$232,11,FALSE)</f>
        <v>#N/A</v>
      </c>
      <c r="F102" s="318">
        <v>1</v>
      </c>
      <c r="G102" s="319" t="s">
        <v>97</v>
      </c>
      <c r="H102" s="320">
        <v>137000</v>
      </c>
      <c r="I102" s="321" t="b">
        <v>1</v>
      </c>
      <c r="J102" s="322">
        <v>1</v>
      </c>
      <c r="K102" s="323" t="e">
        <f>VLOOKUP($A102,Master!$B$50:$N$232,6,FALSE)</f>
        <v>#N/A</v>
      </c>
      <c r="L102" s="324">
        <v>135420</v>
      </c>
      <c r="M102" s="325"/>
    </row>
    <row r="103" spans="1:13" ht="13">
      <c r="A103" s="22" t="s">
        <v>675</v>
      </c>
      <c r="B103" s="330" t="s">
        <v>676</v>
      </c>
      <c r="C103" s="316">
        <f>VLOOKUP($A103,Master!$B$50:$N$232,8,FALSE)</f>
        <v>20</v>
      </c>
      <c r="D103" s="316" t="str">
        <f>VLOOKUP($A103,Master!$B$50:$N$232,9,FALSE)</f>
        <v>unit</v>
      </c>
      <c r="E103" s="317" t="str">
        <f>VLOOKUP($A103,Master!$B$50:$N$232,11,FALSE)</f>
        <v>RSB, Dago</v>
      </c>
      <c r="F103" s="318">
        <v>20</v>
      </c>
      <c r="G103" s="319" t="s">
        <v>62</v>
      </c>
      <c r="H103" s="320">
        <v>120000</v>
      </c>
      <c r="I103" s="321" t="b">
        <v>1</v>
      </c>
      <c r="J103" s="322">
        <v>20</v>
      </c>
      <c r="K103" s="326">
        <f>VLOOKUP($A103,Master!$B$50:$N$232,6,FALSE)</f>
        <v>13500</v>
      </c>
      <c r="L103" s="327">
        <f>J103*K103</f>
        <v>270000</v>
      </c>
      <c r="M103" s="325"/>
    </row>
    <row r="104" spans="1:13" ht="13">
      <c r="A104" s="21" t="s">
        <v>735</v>
      </c>
      <c r="B104" s="61" t="s">
        <v>736</v>
      </c>
      <c r="C104" s="316">
        <f>VLOOKUP($A104,Master!$B$50:$N$232,8,FALSE)</f>
        <v>700</v>
      </c>
      <c r="D104" s="316" t="str">
        <f>VLOOKUP($A104,Master!$B$50:$N$232,9,FALSE)</f>
        <v>gr</v>
      </c>
      <c r="E104" s="317" t="str">
        <f>VLOOKUP($A104,Master!$B$50:$N$232,11,FALSE)</f>
        <v>Kurnia Mas</v>
      </c>
      <c r="F104" s="318">
        <v>1</v>
      </c>
      <c r="G104" s="319" t="s">
        <v>97</v>
      </c>
      <c r="H104" s="320">
        <v>46000</v>
      </c>
      <c r="I104" s="321" t="b">
        <v>1</v>
      </c>
      <c r="J104" s="322">
        <v>1</v>
      </c>
      <c r="K104" s="323">
        <v>54500</v>
      </c>
      <c r="L104" s="324">
        <v>53855</v>
      </c>
      <c r="M104" s="325"/>
    </row>
    <row r="105" spans="1:13" ht="13">
      <c r="A105" s="22" t="s">
        <v>889</v>
      </c>
      <c r="B105" s="330" t="s">
        <v>890</v>
      </c>
      <c r="C105" s="316">
        <f>VLOOKUP($A105,Master!$B$50:$N$232,8,FALSE)</f>
        <v>10</v>
      </c>
      <c r="D105" s="316" t="str">
        <f>VLOOKUP($A105,Master!$B$50:$N$232,9,FALSE)</f>
        <v>sachet</v>
      </c>
      <c r="E105" s="317" t="str">
        <f>VLOOKUP($A105,Master!$B$50:$N$232,11,FALSE)</f>
        <v>Pasar Cihapit</v>
      </c>
      <c r="F105" s="318">
        <v>1</v>
      </c>
      <c r="G105" s="319" t="s">
        <v>62</v>
      </c>
      <c r="H105" s="320">
        <v>22000</v>
      </c>
      <c r="I105" s="321" t="b">
        <v>1</v>
      </c>
      <c r="J105" s="322">
        <v>1</v>
      </c>
      <c r="K105" s="326">
        <f>VLOOKUP($A105,Master!$B$50:$N$232,6,FALSE)</f>
        <v>22000</v>
      </c>
      <c r="L105" s="324">
        <v>20000</v>
      </c>
      <c r="M105" s="325"/>
    </row>
    <row r="106" spans="1:13" ht="13">
      <c r="A106" s="21" t="s">
        <v>519</v>
      </c>
      <c r="B106" s="61" t="s">
        <v>520</v>
      </c>
      <c r="C106" s="316" t="e">
        <f>VLOOKUP($A106,Master!$B$50:$N$232,8,FALSE)</f>
        <v>#N/A</v>
      </c>
      <c r="D106" s="316" t="e">
        <f>VLOOKUP($A106,Master!$B$50:$N$232,9,FALSE)</f>
        <v>#N/A</v>
      </c>
      <c r="E106" s="317" t="e">
        <f>VLOOKUP($A106,Master!$B$50:$N$232,11,FALSE)</f>
        <v>#N/A</v>
      </c>
      <c r="F106" s="318">
        <v>2</v>
      </c>
      <c r="G106" s="319" t="s">
        <v>36</v>
      </c>
      <c r="H106" s="320">
        <v>28000</v>
      </c>
      <c r="I106" s="321" t="b">
        <v>1</v>
      </c>
      <c r="J106" s="322">
        <v>2</v>
      </c>
      <c r="K106" s="326" t="e">
        <f>VLOOKUP($A106,Master!$B$50:$N$232,6,FALSE)</f>
        <v>#N/A</v>
      </c>
      <c r="L106" s="327" t="e">
        <f t="shared" ref="L106:L112" si="9">J106*K106</f>
        <v>#N/A</v>
      </c>
      <c r="M106" s="325"/>
    </row>
    <row r="107" spans="1:13" ht="13">
      <c r="A107" s="21" t="s">
        <v>528</v>
      </c>
      <c r="B107" s="61" t="s">
        <v>529</v>
      </c>
      <c r="C107" s="316" t="e">
        <f>VLOOKUP($A107,Master!$B$50:$N$232,8,FALSE)</f>
        <v>#N/A</v>
      </c>
      <c r="D107" s="316" t="e">
        <f>VLOOKUP($A107,Master!$B$50:$N$232,9,FALSE)</f>
        <v>#N/A</v>
      </c>
      <c r="E107" s="317" t="e">
        <f>VLOOKUP($A107,Master!$B$50:$N$232,11,FALSE)</f>
        <v>#N/A</v>
      </c>
      <c r="F107" s="318">
        <v>6</v>
      </c>
      <c r="G107" s="319" t="s">
        <v>50</v>
      </c>
      <c r="H107" s="320">
        <v>96000</v>
      </c>
      <c r="I107" s="321" t="b">
        <v>1</v>
      </c>
      <c r="J107" s="322">
        <v>6</v>
      </c>
      <c r="K107" s="326" t="e">
        <f>VLOOKUP($A107,Master!$B$50:$N$232,6,FALSE)</f>
        <v>#N/A</v>
      </c>
      <c r="L107" s="327" t="e">
        <f t="shared" si="9"/>
        <v>#N/A</v>
      </c>
      <c r="M107" s="325"/>
    </row>
    <row r="108" spans="1:13" ht="13">
      <c r="A108" s="21" t="s">
        <v>532</v>
      </c>
      <c r="B108" s="61" t="s">
        <v>533</v>
      </c>
      <c r="C108" s="316" t="e">
        <f>VLOOKUP($A108,Master!$B$50:$N$232,8,FALSE)</f>
        <v>#N/A</v>
      </c>
      <c r="D108" s="316" t="e">
        <f>VLOOKUP($A108,Master!$B$50:$N$232,9,FALSE)</f>
        <v>#N/A</v>
      </c>
      <c r="E108" s="317" t="e">
        <f>VLOOKUP($A108,Master!$B$50:$N$232,11,FALSE)</f>
        <v>#N/A</v>
      </c>
      <c r="F108" s="318">
        <v>1</v>
      </c>
      <c r="G108" s="319" t="s">
        <v>62</v>
      </c>
      <c r="H108" s="320">
        <v>56000</v>
      </c>
      <c r="I108" s="321" t="b">
        <v>1</v>
      </c>
      <c r="J108" s="322">
        <v>1</v>
      </c>
      <c r="K108" s="326" t="e">
        <f>VLOOKUP($A108,Master!$B$50:$N$232,6,FALSE)</f>
        <v>#N/A</v>
      </c>
      <c r="L108" s="327" t="e">
        <f t="shared" si="9"/>
        <v>#N/A</v>
      </c>
      <c r="M108" s="325"/>
    </row>
    <row r="109" spans="1:13" ht="13">
      <c r="A109" s="21" t="s">
        <v>635</v>
      </c>
      <c r="B109" s="61" t="s">
        <v>636</v>
      </c>
      <c r="C109" s="316" t="e">
        <f>VLOOKUP($A109,Master!$B$50:$N$232,8,FALSE)</f>
        <v>#N/A</v>
      </c>
      <c r="D109" s="316" t="e">
        <f>VLOOKUP($A109,Master!$B$50:$N$232,9,FALSE)</f>
        <v>#N/A</v>
      </c>
      <c r="E109" s="317" t="e">
        <f>VLOOKUP($A109,Master!$B$50:$N$232,11,FALSE)</f>
        <v>#N/A</v>
      </c>
      <c r="F109" s="318">
        <v>13</v>
      </c>
      <c r="G109" s="319" t="s">
        <v>50</v>
      </c>
      <c r="H109" s="320">
        <v>143000</v>
      </c>
      <c r="I109" s="321" t="b">
        <v>1</v>
      </c>
      <c r="J109" s="322">
        <v>13</v>
      </c>
      <c r="K109" s="326" t="e">
        <f>VLOOKUP($A109,Master!$B$50:$N$232,6,FALSE)</f>
        <v>#N/A</v>
      </c>
      <c r="L109" s="327" t="e">
        <f t="shared" si="9"/>
        <v>#N/A</v>
      </c>
      <c r="M109" s="325"/>
    </row>
    <row r="110" spans="1:13" ht="13">
      <c r="A110" s="21" t="s">
        <v>680</v>
      </c>
      <c r="B110" s="61" t="s">
        <v>681</v>
      </c>
      <c r="C110" s="316" t="e">
        <f>VLOOKUP($A110,Master!$B$50:$N$232,8,FALSE)</f>
        <v>#N/A</v>
      </c>
      <c r="D110" s="316" t="e">
        <f>VLOOKUP($A110,Master!$B$50:$N$232,9,FALSE)</f>
        <v>#N/A</v>
      </c>
      <c r="E110" s="317" t="e">
        <f>VLOOKUP($A110,Master!$B$50:$N$232,11,FALSE)</f>
        <v>#N/A</v>
      </c>
      <c r="F110" s="318">
        <v>5</v>
      </c>
      <c r="G110" s="319" t="s">
        <v>97</v>
      </c>
      <c r="H110" s="320">
        <v>150000</v>
      </c>
      <c r="I110" s="321" t="b">
        <v>1</v>
      </c>
      <c r="J110" s="322">
        <v>5</v>
      </c>
      <c r="K110" s="326" t="e">
        <f>VLOOKUP($A110,Master!$B$50:$N$232,6,FALSE)</f>
        <v>#N/A</v>
      </c>
      <c r="L110" s="327" t="e">
        <f t="shared" si="9"/>
        <v>#N/A</v>
      </c>
      <c r="M110" s="325"/>
    </row>
    <row r="111" spans="1:13" ht="13">
      <c r="A111" s="21" t="s">
        <v>684</v>
      </c>
      <c r="B111" s="61" t="s">
        <v>685</v>
      </c>
      <c r="C111" s="316" t="e">
        <f>VLOOKUP($A111,Master!$B$50:$N$232,8,FALSE)</f>
        <v>#N/A</v>
      </c>
      <c r="D111" s="316" t="e">
        <f>VLOOKUP($A111,Master!$B$50:$N$232,9,FALSE)</f>
        <v>#N/A</v>
      </c>
      <c r="E111" s="317" t="e">
        <f>VLOOKUP($A111,Master!$B$50:$N$232,11,FALSE)</f>
        <v>#N/A</v>
      </c>
      <c r="F111" s="318">
        <v>2</v>
      </c>
      <c r="G111" s="319" t="s">
        <v>97</v>
      </c>
      <c r="H111" s="320">
        <v>60000</v>
      </c>
      <c r="I111" s="321" t="b">
        <v>1</v>
      </c>
      <c r="J111" s="322">
        <v>2</v>
      </c>
      <c r="K111" s="326" t="e">
        <f>VLOOKUP($A111,Master!$B$50:$N$232,6,FALSE)</f>
        <v>#N/A</v>
      </c>
      <c r="L111" s="327" t="e">
        <f t="shared" si="9"/>
        <v>#N/A</v>
      </c>
      <c r="M111" s="325"/>
    </row>
    <row r="112" spans="1:13" ht="13">
      <c r="A112" s="21" t="s">
        <v>688</v>
      </c>
      <c r="B112" s="61" t="s">
        <v>689</v>
      </c>
      <c r="C112" s="316" t="e">
        <f>VLOOKUP($A112,Master!$B$50:$N$232,8,FALSE)</f>
        <v>#N/A</v>
      </c>
      <c r="D112" s="316" t="e">
        <f>VLOOKUP($A112,Master!$B$50:$N$232,9,FALSE)</f>
        <v>#N/A</v>
      </c>
      <c r="E112" s="317" t="e">
        <f>VLOOKUP($A112,Master!$B$50:$N$232,11,FALSE)</f>
        <v>#N/A</v>
      </c>
      <c r="F112" s="318">
        <v>3</v>
      </c>
      <c r="G112" s="319" t="s">
        <v>62</v>
      </c>
      <c r="H112" s="320">
        <v>187500</v>
      </c>
      <c r="I112" s="321" t="b">
        <v>1</v>
      </c>
      <c r="J112" s="322">
        <v>2</v>
      </c>
      <c r="K112" s="326" t="e">
        <f>VLOOKUP($A112,Master!$B$50:$N$232,6,FALSE)</f>
        <v>#N/A</v>
      </c>
      <c r="L112" s="327" t="e">
        <f t="shared" si="9"/>
        <v>#N/A</v>
      </c>
      <c r="M112" s="350">
        <v>44719</v>
      </c>
    </row>
    <row r="113" spans="1:13" ht="13">
      <c r="A113" s="21" t="s">
        <v>696</v>
      </c>
      <c r="B113" s="61" t="s">
        <v>697</v>
      </c>
      <c r="C113" s="316" t="e">
        <f>VLOOKUP($A113,Master!$B$50:$N$232,8,FALSE)</f>
        <v>#N/A</v>
      </c>
      <c r="D113" s="316" t="e">
        <f>VLOOKUP($A113,Master!$B$50:$N$232,9,FALSE)</f>
        <v>#N/A</v>
      </c>
      <c r="E113" s="317" t="e">
        <f>VLOOKUP($A113,Master!$B$50:$N$232,11,FALSE)</f>
        <v>#N/A</v>
      </c>
      <c r="F113" s="318">
        <v>5</v>
      </c>
      <c r="G113" s="319" t="s">
        <v>62</v>
      </c>
      <c r="H113" s="320">
        <v>70000</v>
      </c>
      <c r="I113" s="321" t="b">
        <v>1</v>
      </c>
      <c r="J113" s="322">
        <v>5</v>
      </c>
      <c r="K113" s="326" t="e">
        <f>VLOOKUP($A113,Master!$B$50:$N$232,6,FALSE)</f>
        <v>#N/A</v>
      </c>
      <c r="L113" s="324">
        <v>68750</v>
      </c>
      <c r="M113" s="325"/>
    </row>
    <row r="114" spans="1:13" ht="13">
      <c r="A114" s="21" t="s">
        <v>748</v>
      </c>
      <c r="B114" s="61" t="s">
        <v>749</v>
      </c>
      <c r="C114" s="316" t="e">
        <f>VLOOKUP($A114,Master!$B$50:$N$232,8,FALSE)</f>
        <v>#N/A</v>
      </c>
      <c r="D114" s="316" t="e">
        <f>VLOOKUP($A114,Master!$B$50:$N$232,9,FALSE)</f>
        <v>#N/A</v>
      </c>
      <c r="E114" s="317" t="e">
        <f>VLOOKUP($A114,Master!$B$50:$N$232,11,FALSE)</f>
        <v>#N/A</v>
      </c>
      <c r="F114" s="318">
        <v>2</v>
      </c>
      <c r="G114" s="319" t="s">
        <v>62</v>
      </c>
      <c r="H114" s="320">
        <v>55000</v>
      </c>
      <c r="I114" s="321" t="b">
        <v>1</v>
      </c>
      <c r="J114" s="322">
        <v>2</v>
      </c>
      <c r="K114" s="326" t="e">
        <f>VLOOKUP($A114,Master!$B$50:$N$232,6,FALSE)</f>
        <v>#N/A</v>
      </c>
      <c r="L114" s="324">
        <v>54000</v>
      </c>
      <c r="M114" s="325"/>
    </row>
    <row r="115" spans="1:13" ht="13">
      <c r="A115" s="21" t="s">
        <v>767</v>
      </c>
      <c r="B115" s="61" t="s">
        <v>768</v>
      </c>
      <c r="C115" s="316" t="e">
        <f>VLOOKUP($A115,Master!$B$50:$N$232,8,FALSE)</f>
        <v>#N/A</v>
      </c>
      <c r="D115" s="316" t="e">
        <f>VLOOKUP($A115,Master!$B$50:$N$232,9,FALSE)</f>
        <v>#N/A</v>
      </c>
      <c r="E115" s="317" t="e">
        <f>VLOOKUP($A115,Master!$B$50:$N$232,11,FALSE)</f>
        <v>#N/A</v>
      </c>
      <c r="F115" s="318">
        <v>1</v>
      </c>
      <c r="G115" s="319" t="s">
        <v>62</v>
      </c>
      <c r="H115" s="320">
        <v>19500</v>
      </c>
      <c r="I115" s="321" t="b">
        <v>1</v>
      </c>
      <c r="J115" s="322">
        <v>1</v>
      </c>
      <c r="K115" s="326" t="e">
        <f>VLOOKUP($A115,Master!$B$50:$N$232,6,FALSE)</f>
        <v>#N/A</v>
      </c>
      <c r="L115" s="327" t="e">
        <f t="shared" ref="L115:L119" si="10">J115*K115</f>
        <v>#N/A</v>
      </c>
      <c r="M115" s="325"/>
    </row>
    <row r="116" spans="1:13" ht="13">
      <c r="A116" s="21" t="s">
        <v>773</v>
      </c>
      <c r="B116" s="61" t="s">
        <v>774</v>
      </c>
      <c r="C116" s="316" t="e">
        <f>VLOOKUP($A116,Master!$B$50:$N$232,8,FALSE)</f>
        <v>#N/A</v>
      </c>
      <c r="D116" s="316" t="e">
        <f>VLOOKUP($A116,Master!$B$50:$N$232,9,FALSE)</f>
        <v>#N/A</v>
      </c>
      <c r="E116" s="317" t="e">
        <f>VLOOKUP($A116,Master!$B$50:$N$232,11,FALSE)</f>
        <v>#N/A</v>
      </c>
      <c r="F116" s="318">
        <v>5</v>
      </c>
      <c r="G116" s="319" t="s">
        <v>62</v>
      </c>
      <c r="H116" s="320">
        <v>70000</v>
      </c>
      <c r="I116" s="321" t="b">
        <v>1</v>
      </c>
      <c r="J116" s="322">
        <v>5</v>
      </c>
      <c r="K116" s="326" t="e">
        <f>VLOOKUP($A116,Master!$B$50:$N$232,6,FALSE)</f>
        <v>#N/A</v>
      </c>
      <c r="L116" s="327" t="e">
        <f t="shared" si="10"/>
        <v>#N/A</v>
      </c>
      <c r="M116" s="325"/>
    </row>
    <row r="117" spans="1:13" ht="13">
      <c r="A117" s="21" t="s">
        <v>787</v>
      </c>
      <c r="B117" s="61" t="s">
        <v>788</v>
      </c>
      <c r="C117" s="316" t="e">
        <f>VLOOKUP($A117,Master!$B$50:$N$232,8,FALSE)</f>
        <v>#N/A</v>
      </c>
      <c r="D117" s="316" t="e">
        <f>VLOOKUP($A117,Master!$B$50:$N$232,9,FALSE)</f>
        <v>#N/A</v>
      </c>
      <c r="E117" s="317" t="e">
        <f>VLOOKUP($A117,Master!$B$50:$N$232,11,FALSE)</f>
        <v>#N/A</v>
      </c>
      <c r="F117" s="318">
        <v>1</v>
      </c>
      <c r="G117" s="319" t="s">
        <v>97</v>
      </c>
      <c r="H117" s="320">
        <v>20250</v>
      </c>
      <c r="I117" s="321" t="b">
        <v>1</v>
      </c>
      <c r="J117" s="322">
        <v>1</v>
      </c>
      <c r="K117" s="326" t="e">
        <f>VLOOKUP($A117,Master!$B$50:$N$232,6,FALSE)</f>
        <v>#N/A</v>
      </c>
      <c r="L117" s="327" t="e">
        <f t="shared" si="10"/>
        <v>#N/A</v>
      </c>
      <c r="M117" s="325"/>
    </row>
    <row r="118" spans="1:13" ht="13">
      <c r="A118" s="21" t="s">
        <v>831</v>
      </c>
      <c r="B118" s="61" t="s">
        <v>832</v>
      </c>
      <c r="C118" s="316">
        <f>VLOOKUP($A118,Master!$B$50:$N$232,8,FALSE)</f>
        <v>1000</v>
      </c>
      <c r="D118" s="316" t="str">
        <f>VLOOKUP($A118,Master!$B$50:$N$232,9,FALSE)</f>
        <v>gr</v>
      </c>
      <c r="E118" s="317" t="str">
        <f>VLOOKUP($A118,Master!$B$50:$N$232,11,FALSE)</f>
        <v>PD Aroma Jaya</v>
      </c>
      <c r="F118" s="318">
        <v>1</v>
      </c>
      <c r="G118" s="319" t="s">
        <v>36</v>
      </c>
      <c r="H118" s="320">
        <v>18500</v>
      </c>
      <c r="I118" s="321" t="b">
        <v>1</v>
      </c>
      <c r="J118" s="322">
        <v>1</v>
      </c>
      <c r="K118" s="323">
        <v>19000</v>
      </c>
      <c r="L118" s="324">
        <f t="shared" si="10"/>
        <v>19000</v>
      </c>
      <c r="M118" s="325"/>
    </row>
    <row r="119" spans="1:13" ht="13">
      <c r="A119" s="21" t="s">
        <v>879</v>
      </c>
      <c r="B119" s="61" t="s">
        <v>880</v>
      </c>
      <c r="C119" s="316" t="e">
        <f>VLOOKUP($A119,Master!$B$50:$N$232,8,FALSE)</f>
        <v>#N/A</v>
      </c>
      <c r="D119" s="316" t="e">
        <f>VLOOKUP($A119,Master!$B$50:$N$232,9,FALSE)</f>
        <v>#N/A</v>
      </c>
      <c r="E119" s="317" t="e">
        <f>VLOOKUP($A119,Master!$B$50:$N$232,11,FALSE)</f>
        <v>#N/A</v>
      </c>
      <c r="F119" s="318">
        <v>1</v>
      </c>
      <c r="G119" s="319" t="s">
        <v>62</v>
      </c>
      <c r="H119" s="320">
        <v>38000</v>
      </c>
      <c r="I119" s="321" t="b">
        <v>1</v>
      </c>
      <c r="J119" s="322">
        <v>1</v>
      </c>
      <c r="K119" s="326" t="e">
        <f>VLOOKUP($A119,Master!$B$50:$N$232,6,FALSE)</f>
        <v>#N/A</v>
      </c>
      <c r="L119" s="327" t="e">
        <f t="shared" si="10"/>
        <v>#N/A</v>
      </c>
      <c r="M119" s="325"/>
    </row>
    <row r="120" spans="1:13" ht="13">
      <c r="A120" s="21" t="s">
        <v>892</v>
      </c>
      <c r="B120" s="61" t="s">
        <v>893</v>
      </c>
      <c r="C120" s="316" t="e">
        <f>VLOOKUP($A120,Master!$B$50:$N$232,8,FALSE)</f>
        <v>#N/A</v>
      </c>
      <c r="D120" s="316" t="e">
        <f>VLOOKUP($A120,Master!$B$50:$N$232,9,FALSE)</f>
        <v>#N/A</v>
      </c>
      <c r="E120" s="317" t="e">
        <f>VLOOKUP($A120,Master!$B$50:$N$232,11,FALSE)</f>
        <v>#N/A</v>
      </c>
      <c r="F120" s="318">
        <v>3</v>
      </c>
      <c r="G120" s="319" t="s">
        <v>36</v>
      </c>
      <c r="H120" s="320">
        <v>322500</v>
      </c>
      <c r="I120" s="321" t="b">
        <v>1</v>
      </c>
      <c r="J120" s="322">
        <v>3</v>
      </c>
      <c r="K120" s="326" t="e">
        <f>VLOOKUP($A120,Master!$B$50:$N$232,6,FALSE)</f>
        <v>#N/A</v>
      </c>
      <c r="L120" s="324">
        <v>332175</v>
      </c>
      <c r="M120" s="325"/>
    </row>
    <row r="121" spans="1:13" ht="13">
      <c r="A121" s="21" t="s">
        <v>934</v>
      </c>
      <c r="B121" s="61" t="s">
        <v>935</v>
      </c>
      <c r="C121" s="316" t="e">
        <f>VLOOKUP($A121,Master!$B$50:$N$232,8,FALSE)</f>
        <v>#N/A</v>
      </c>
      <c r="D121" s="316" t="e">
        <f>VLOOKUP($A121,Master!$B$50:$N$232,9,FALSE)</f>
        <v>#N/A</v>
      </c>
      <c r="E121" s="317" t="e">
        <f>VLOOKUP($A121,Master!$B$50:$N$232,11,FALSE)</f>
        <v>#N/A</v>
      </c>
      <c r="F121" s="318">
        <v>6</v>
      </c>
      <c r="G121" s="319" t="s">
        <v>62</v>
      </c>
      <c r="H121" s="320">
        <v>47400</v>
      </c>
      <c r="I121" s="321" t="b">
        <v>1</v>
      </c>
      <c r="J121" s="322">
        <v>6</v>
      </c>
      <c r="K121" s="326" t="e">
        <f>VLOOKUP($A121,Master!$B$50:$N$232,6,FALSE)</f>
        <v>#N/A</v>
      </c>
      <c r="L121" s="327" t="e">
        <f t="shared" ref="L121:L123" si="11">J121*K121</f>
        <v>#N/A</v>
      </c>
      <c r="M121" s="325"/>
    </row>
    <row r="122" spans="1:13" ht="13">
      <c r="A122" s="21" t="s">
        <v>943</v>
      </c>
      <c r="B122" s="61" t="s">
        <v>944</v>
      </c>
      <c r="C122" s="316" t="e">
        <f>VLOOKUP($A122,Master!$B$50:$N$232,8,FALSE)</f>
        <v>#N/A</v>
      </c>
      <c r="D122" s="316" t="e">
        <f>VLOOKUP($A122,Master!$B$50:$N$232,9,FALSE)</f>
        <v>#N/A</v>
      </c>
      <c r="E122" s="317" t="e">
        <f>VLOOKUP($A122,Master!$B$50:$N$232,11,FALSE)</f>
        <v>#N/A</v>
      </c>
      <c r="F122" s="318">
        <v>3</v>
      </c>
      <c r="G122" s="319" t="s">
        <v>62</v>
      </c>
      <c r="H122" s="320">
        <v>23700</v>
      </c>
      <c r="I122" s="321" t="b">
        <v>1</v>
      </c>
      <c r="J122" s="322">
        <v>3</v>
      </c>
      <c r="K122" s="326" t="e">
        <f>VLOOKUP($A122,Master!$B$50:$N$232,6,FALSE)</f>
        <v>#N/A</v>
      </c>
      <c r="L122" s="327" t="e">
        <f t="shared" si="11"/>
        <v>#N/A</v>
      </c>
      <c r="M122" s="325"/>
    </row>
    <row r="123" spans="1:13" ht="13">
      <c r="A123" s="21" t="s">
        <v>982</v>
      </c>
      <c r="B123" s="61" t="s">
        <v>983</v>
      </c>
      <c r="C123" s="316">
        <f>VLOOKUP($A123,Master!$B$50:$N$232,8,FALSE)</f>
        <v>12</v>
      </c>
      <c r="D123" s="316" t="str">
        <f>VLOOKUP($A123,Master!$B$50:$N$232,9,FALSE)</f>
        <v>pcs</v>
      </c>
      <c r="E123" s="317" t="str">
        <f>VLOOKUP($A123,Master!$B$50:$N$232,11,FALSE)</f>
        <v>PD Aroma Jaya</v>
      </c>
      <c r="F123" s="318">
        <v>2</v>
      </c>
      <c r="G123" s="319" t="s">
        <v>62</v>
      </c>
      <c r="H123" s="320">
        <v>44000</v>
      </c>
      <c r="I123" s="321" t="b">
        <v>1</v>
      </c>
      <c r="J123" s="322">
        <v>2</v>
      </c>
      <c r="K123" s="326">
        <f>VLOOKUP($A123,Master!$B$50:$N$232,6,FALSE)</f>
        <v>18000</v>
      </c>
      <c r="L123" s="327">
        <f t="shared" si="11"/>
        <v>36000</v>
      </c>
      <c r="M123" s="325"/>
    </row>
    <row r="124" spans="1:13" ht="13">
      <c r="A124" s="21" t="s">
        <v>1548</v>
      </c>
      <c r="B124" s="61" t="s">
        <v>1015</v>
      </c>
      <c r="C124" s="316" t="e">
        <f>VLOOKUP($A124,Master!$B$50:$N$232,8,FALSE)</f>
        <v>#N/A</v>
      </c>
      <c r="D124" s="316" t="e">
        <f>VLOOKUP($A124,Master!$B$50:$N$232,9,FALSE)</f>
        <v>#N/A</v>
      </c>
      <c r="E124" s="317" t="e">
        <f>VLOOKUP($A124,Master!$B$50:$N$232,11,FALSE)</f>
        <v>#N/A</v>
      </c>
      <c r="F124" s="318">
        <v>4</v>
      </c>
      <c r="G124" s="319" t="s">
        <v>62</v>
      </c>
      <c r="H124" s="320">
        <v>40000</v>
      </c>
      <c r="I124" s="321" t="b">
        <v>1</v>
      </c>
      <c r="J124" s="322">
        <v>4</v>
      </c>
      <c r="K124" s="323" t="e">
        <f>VLOOKUP($A124,Master!$B$50:$N$232,6,FALSE)</f>
        <v>#N/A</v>
      </c>
      <c r="L124" s="324">
        <v>39000</v>
      </c>
      <c r="M124" s="325"/>
    </row>
    <row r="125" spans="1:13" ht="13">
      <c r="A125" s="21" t="s">
        <v>562</v>
      </c>
      <c r="B125" s="61" t="s">
        <v>563</v>
      </c>
      <c r="C125" s="316" t="e">
        <f>VLOOKUP($A125,Master!$B$50:$N$232,8,FALSE)</f>
        <v>#N/A</v>
      </c>
      <c r="D125" s="316" t="e">
        <f>VLOOKUP($A125,Master!$B$50:$N$232,9,FALSE)</f>
        <v>#N/A</v>
      </c>
      <c r="E125" s="317" t="e">
        <f>VLOOKUP($A125,Master!$B$50:$N$232,11,FALSE)</f>
        <v>#N/A</v>
      </c>
      <c r="F125" s="318">
        <v>1</v>
      </c>
      <c r="G125" s="319" t="s">
        <v>97</v>
      </c>
      <c r="H125" s="320">
        <v>216450</v>
      </c>
      <c r="I125" s="321" t="b">
        <v>1</v>
      </c>
      <c r="J125" s="322">
        <v>1</v>
      </c>
      <c r="K125" s="326" t="e">
        <f>VLOOKUP($A125,Master!$B$50:$N$232,6,FALSE)</f>
        <v>#N/A</v>
      </c>
      <c r="L125" s="327" t="e">
        <f t="shared" ref="L125:L127" si="12">J125*K125</f>
        <v>#N/A</v>
      </c>
      <c r="M125" s="325" t="s">
        <v>1549</v>
      </c>
    </row>
    <row r="126" spans="1:13" ht="13">
      <c r="A126" s="21" t="s">
        <v>961</v>
      </c>
      <c r="B126" s="61" t="s">
        <v>962</v>
      </c>
      <c r="C126" s="316" t="e">
        <f>VLOOKUP($A126,Master!$B$50:$N$232,8,FALSE)</f>
        <v>#N/A</v>
      </c>
      <c r="D126" s="316" t="e">
        <f>VLOOKUP($A126,Master!$B$50:$N$232,9,FALSE)</f>
        <v>#N/A</v>
      </c>
      <c r="E126" s="317" t="e">
        <f>VLOOKUP($A126,Master!$B$50:$N$232,11,FALSE)</f>
        <v>#N/A</v>
      </c>
      <c r="F126" s="318">
        <v>1</v>
      </c>
      <c r="G126" s="319" t="s">
        <v>97</v>
      </c>
      <c r="H126" s="320">
        <v>94350</v>
      </c>
      <c r="I126" s="321" t="b">
        <v>1</v>
      </c>
      <c r="J126" s="322">
        <v>1</v>
      </c>
      <c r="K126" s="326" t="e">
        <f>VLOOKUP($A126,Master!$B$50:$N$232,6,FALSE)</f>
        <v>#N/A</v>
      </c>
      <c r="L126" s="327" t="e">
        <f t="shared" si="12"/>
        <v>#N/A</v>
      </c>
      <c r="M126" s="325" t="s">
        <v>1549</v>
      </c>
    </row>
    <row r="127" spans="1:13" ht="13">
      <c r="A127" s="21" t="s">
        <v>623</v>
      </c>
      <c r="B127" s="61" t="s">
        <v>624</v>
      </c>
      <c r="C127" s="316" t="e">
        <f>VLOOKUP($A127,Master!$B$50:$N$232,8,FALSE)</f>
        <v>#N/A</v>
      </c>
      <c r="D127" s="316" t="e">
        <f>VLOOKUP($A127,Master!$B$50:$N$232,9,FALSE)</f>
        <v>#N/A</v>
      </c>
      <c r="E127" s="337" t="e">
        <f>VLOOKUP($A127,Master!$B$50:$N$232,11,FALSE)</f>
        <v>#N/A</v>
      </c>
      <c r="F127" s="318">
        <v>2</v>
      </c>
      <c r="G127" s="319" t="s">
        <v>143</v>
      </c>
      <c r="H127" s="320">
        <v>363858</v>
      </c>
      <c r="I127" s="321" t="b">
        <v>1</v>
      </c>
      <c r="J127" s="322">
        <v>2</v>
      </c>
      <c r="K127" s="326" t="e">
        <f>VLOOKUP($A127,Master!$B$50:$N$232,6,FALSE)</f>
        <v>#N/A</v>
      </c>
      <c r="L127" s="327" t="e">
        <f t="shared" si="12"/>
        <v>#N/A</v>
      </c>
      <c r="M127" s="325"/>
    </row>
    <row r="128" spans="1:13" ht="13">
      <c r="A128" s="21" t="s">
        <v>704</v>
      </c>
      <c r="B128" s="61" t="s">
        <v>705</v>
      </c>
      <c r="C128" s="316" t="e">
        <f>VLOOKUP($A128,Master!$B$50:$N$232,8,FALSE)</f>
        <v>#N/A</v>
      </c>
      <c r="D128" s="316" t="e">
        <f>VLOOKUP($A128,Master!$B$50:$N$232,9,FALSE)</f>
        <v>#N/A</v>
      </c>
      <c r="E128" s="337" t="e">
        <f>VLOOKUP($A128,Master!$B$50:$N$232,11,FALSE)</f>
        <v>#N/A</v>
      </c>
      <c r="F128" s="318">
        <v>2</v>
      </c>
      <c r="G128" s="319" t="s">
        <v>143</v>
      </c>
      <c r="H128" s="320">
        <v>405594</v>
      </c>
      <c r="I128" s="321" t="b">
        <v>1</v>
      </c>
      <c r="J128" s="322">
        <v>2</v>
      </c>
      <c r="K128" s="326" t="e">
        <f>VLOOKUP($A128,Master!$B$50:$N$232,6,FALSE)</f>
        <v>#N/A</v>
      </c>
      <c r="L128" s="324">
        <v>365400</v>
      </c>
      <c r="M128" s="325"/>
    </row>
    <row r="129" spans="1:13" ht="13">
      <c r="A129" s="21" t="s">
        <v>925</v>
      </c>
      <c r="B129" s="61" t="s">
        <v>926</v>
      </c>
      <c r="C129" s="316">
        <f>VLOOKUP($A129,Master!$B$50:$N$232,8,FALSE)</f>
        <v>1000</v>
      </c>
      <c r="D129" s="316" t="str">
        <f>VLOOKUP($A129,Master!$B$50:$N$232,9,FALSE)</f>
        <v>gr</v>
      </c>
      <c r="E129" s="337" t="str">
        <f>VLOOKUP($A129,Master!$B$50:$N$232,11,FALSE)</f>
        <v>PT Sukanda Djaya</v>
      </c>
      <c r="F129" s="318">
        <v>1</v>
      </c>
      <c r="G129" s="319" t="s">
        <v>143</v>
      </c>
      <c r="H129" s="320">
        <v>419978</v>
      </c>
      <c r="I129" s="321" t="b">
        <v>1</v>
      </c>
      <c r="J129" s="322">
        <v>1</v>
      </c>
      <c r="K129" s="326">
        <f>VLOOKUP($A129,Master!$B$50:$N$232,6,FALSE)</f>
        <v>39738</v>
      </c>
      <c r="L129" s="324">
        <v>185148</v>
      </c>
      <c r="M129" s="325"/>
    </row>
    <row r="130" spans="1:13" ht="13">
      <c r="A130" s="18" t="s">
        <v>779</v>
      </c>
      <c r="B130" s="328" t="s">
        <v>780</v>
      </c>
      <c r="C130" s="316" t="e">
        <f>VLOOKUP($A130,Master!$B$50:$N$232,8,FALSE)</f>
        <v>#N/A</v>
      </c>
      <c r="D130" s="316" t="e">
        <f>VLOOKUP($A130,Master!$B$50:$N$232,9,FALSE)</f>
        <v>#N/A</v>
      </c>
      <c r="E130" s="317" t="e">
        <f>VLOOKUP($A130,Master!$B$50:$N$232,11,FALSE)</f>
        <v>#N/A</v>
      </c>
      <c r="F130" s="318">
        <v>2</v>
      </c>
      <c r="G130" s="319" t="s">
        <v>62</v>
      </c>
      <c r="H130" s="320">
        <v>64000</v>
      </c>
      <c r="I130" s="321" t="b">
        <v>1</v>
      </c>
      <c r="J130" s="322">
        <v>2</v>
      </c>
      <c r="K130" s="323">
        <v>43000</v>
      </c>
      <c r="L130" s="324">
        <v>65000</v>
      </c>
      <c r="M130" s="325"/>
    </row>
    <row r="131" spans="1:13" ht="13">
      <c r="A131" s="18" t="s">
        <v>910</v>
      </c>
      <c r="B131" s="328" t="s">
        <v>911</v>
      </c>
      <c r="C131" s="316">
        <f>VLOOKUP($A131,Master!$B$50:$N$232,8,FALSE)</f>
        <v>10</v>
      </c>
      <c r="D131" s="316" t="str">
        <f>VLOOKUP($A131,Master!$B$50:$N$232,9,FALSE)</f>
        <v>pcs</v>
      </c>
      <c r="E131" s="317" t="str">
        <f>VLOOKUP($A131,Master!$B$50:$N$232,11,FALSE)</f>
        <v>Setiabudi Market</v>
      </c>
      <c r="F131" s="318">
        <v>3</v>
      </c>
      <c r="G131" s="319" t="s">
        <v>62</v>
      </c>
      <c r="H131" s="320">
        <v>39000</v>
      </c>
      <c r="I131" s="321" t="b">
        <v>1</v>
      </c>
      <c r="J131" s="322">
        <v>6</v>
      </c>
      <c r="K131" s="323">
        <v>16900</v>
      </c>
      <c r="L131" s="324">
        <v>100386</v>
      </c>
      <c r="M131" s="325"/>
    </row>
    <row r="132" spans="1:13" ht="13">
      <c r="A132" s="351" t="s">
        <v>1550</v>
      </c>
      <c r="B132" s="352" t="s">
        <v>559</v>
      </c>
      <c r="C132" s="353" t="e">
        <f>VLOOKUP($A132,Master!$B$50:$N$232,8,FALSE)</f>
        <v>#N/A</v>
      </c>
      <c r="D132" s="353" t="e">
        <f>VLOOKUP($A132,Master!$B$50:$N$232,9,FALSE)</f>
        <v>#N/A</v>
      </c>
      <c r="E132" s="317" t="e">
        <f>VLOOKUP($A132,Master!$B$50:$N$232,11,FALSE)</f>
        <v>#N/A</v>
      </c>
      <c r="F132" s="318">
        <v>1</v>
      </c>
      <c r="G132" s="319" t="s">
        <v>97</v>
      </c>
      <c r="H132" s="320">
        <v>105000</v>
      </c>
      <c r="I132" s="321" t="b">
        <v>0</v>
      </c>
      <c r="J132" s="322"/>
      <c r="K132" s="323" t="e">
        <f>VLOOKUP($A132,Master!$B$50:$N$232,6,FALSE)</f>
        <v>#N/A</v>
      </c>
      <c r="L132" s="324" t="e">
        <f t="shared" ref="L132:L135" si="13">J132*K132</f>
        <v>#N/A</v>
      </c>
      <c r="M132" s="325" t="s">
        <v>1551</v>
      </c>
    </row>
    <row r="133" spans="1:13" ht="13">
      <c r="A133" s="21" t="s">
        <v>544</v>
      </c>
      <c r="B133" s="61" t="s">
        <v>545</v>
      </c>
      <c r="C133" s="316" t="e">
        <f>VLOOKUP($A133,Master!$B$50:$N$232,8,FALSE)</f>
        <v>#N/A</v>
      </c>
      <c r="D133" s="316" t="e">
        <f>VLOOKUP($A133,Master!$B$50:$N$232,9,FALSE)</f>
        <v>#N/A</v>
      </c>
      <c r="E133" s="317" t="e">
        <f>VLOOKUP($A133,Master!$B$50:$N$232,11,FALSE)</f>
        <v>#N/A</v>
      </c>
      <c r="F133" s="318">
        <v>4</v>
      </c>
      <c r="G133" s="319" t="s">
        <v>62</v>
      </c>
      <c r="H133" s="320">
        <v>60800</v>
      </c>
      <c r="I133" s="321" t="b">
        <v>1</v>
      </c>
      <c r="J133" s="322">
        <v>4</v>
      </c>
      <c r="K133" s="326" t="e">
        <f>VLOOKUP($A133,Master!$B$50:$N$232,6,FALSE)</f>
        <v>#N/A</v>
      </c>
      <c r="L133" s="327" t="e">
        <f t="shared" si="13"/>
        <v>#N/A</v>
      </c>
      <c r="M133" s="325"/>
    </row>
    <row r="134" spans="1:13" ht="13">
      <c r="A134" s="21" t="s">
        <v>540</v>
      </c>
      <c r="B134" s="61" t="s">
        <v>541</v>
      </c>
      <c r="C134" s="316">
        <f>VLOOKUP($A134,Master!$B$50:$N$232,8,FALSE)</f>
        <v>1000</v>
      </c>
      <c r="D134" s="316" t="str">
        <f>VLOOKUP($A134,Master!$B$50:$N$232,9,FALSE)</f>
        <v>gr</v>
      </c>
      <c r="E134" s="317" t="str">
        <f>VLOOKUP($A134,Master!$B$50:$N$232,11,FALSE)</f>
        <v>Woodlane</v>
      </c>
      <c r="F134" s="318">
        <v>2</v>
      </c>
      <c r="G134" s="319" t="s">
        <v>36</v>
      </c>
      <c r="H134" s="320">
        <v>340000</v>
      </c>
      <c r="I134" s="321" t="b">
        <v>1</v>
      </c>
      <c r="J134" s="322">
        <v>2</v>
      </c>
      <c r="K134" s="326">
        <f>VLOOKUP($A134,Master!$B$50:$N$232,6,FALSE)</f>
        <v>170000</v>
      </c>
      <c r="L134" s="327">
        <f t="shared" si="13"/>
        <v>340000</v>
      </c>
      <c r="M134" s="325"/>
    </row>
    <row r="135" spans="1:13" ht="13">
      <c r="A135" s="21" t="s">
        <v>590</v>
      </c>
      <c r="B135" s="61" t="s">
        <v>599</v>
      </c>
      <c r="C135" s="316">
        <f>VLOOKUP($A135,Master!$B$50:$N$232,8,FALSE)</f>
        <v>200</v>
      </c>
      <c r="D135" s="316" t="str">
        <f>VLOOKUP($A135,Master!$B$50:$N$232,9,FALSE)</f>
        <v>gr</v>
      </c>
      <c r="E135" s="317" t="str">
        <f>VLOOKUP($A135,Master!$B$50:$N$232,11,FALSE)</f>
        <v>Woodlane</v>
      </c>
      <c r="F135" s="318">
        <v>3</v>
      </c>
      <c r="G135" s="319" t="s">
        <v>62</v>
      </c>
      <c r="H135" s="320">
        <v>255000</v>
      </c>
      <c r="I135" s="321" t="b">
        <v>1</v>
      </c>
      <c r="J135" s="322">
        <v>3</v>
      </c>
      <c r="K135" s="326">
        <f>VLOOKUP($A135,Master!$B$50:$N$240,6,FALSE)</f>
        <v>85000</v>
      </c>
      <c r="L135" s="327">
        <f t="shared" si="13"/>
        <v>255000</v>
      </c>
      <c r="M135" s="325"/>
    </row>
    <row r="136" spans="1:13" ht="13">
      <c r="A136" s="21" t="s">
        <v>1501</v>
      </c>
      <c r="B136" s="61" t="s">
        <v>908</v>
      </c>
      <c r="C136" s="316" t="e">
        <f>VLOOKUP($A136,Master!$B$50:$N$232,8,FALSE)</f>
        <v>#N/A</v>
      </c>
      <c r="D136" s="316" t="e">
        <f>VLOOKUP($A136,Master!$B$50:$N$232,9,FALSE)</f>
        <v>#N/A</v>
      </c>
      <c r="E136" s="317" t="e">
        <f>VLOOKUP($A136,Master!$B$50:$N$232,11,FALSE)</f>
        <v>#N/A</v>
      </c>
      <c r="F136" s="318">
        <v>1</v>
      </c>
      <c r="G136" s="319" t="s">
        <v>36</v>
      </c>
      <c r="H136" s="320">
        <v>4050</v>
      </c>
      <c r="I136" s="321" t="b">
        <v>1</v>
      </c>
      <c r="J136" s="322">
        <v>3</v>
      </c>
      <c r="K136" s="323">
        <v>5950</v>
      </c>
      <c r="L136" s="324">
        <v>17672</v>
      </c>
      <c r="M136" s="325"/>
    </row>
    <row r="137" spans="1:13" ht="13">
      <c r="A137" s="21" t="s">
        <v>1552</v>
      </c>
      <c r="B137" s="61"/>
      <c r="C137" s="316"/>
      <c r="D137" s="316"/>
      <c r="E137" s="317" t="s">
        <v>1547</v>
      </c>
      <c r="F137" s="318">
        <v>1</v>
      </c>
      <c r="G137" s="319" t="s">
        <v>62</v>
      </c>
      <c r="H137" s="320">
        <v>17000</v>
      </c>
      <c r="I137" s="321" t="b">
        <v>1</v>
      </c>
      <c r="J137" s="322">
        <v>2</v>
      </c>
      <c r="K137" s="323">
        <v>17000</v>
      </c>
      <c r="L137" s="324">
        <v>34000</v>
      </c>
      <c r="M137" s="325" t="s">
        <v>287</v>
      </c>
    </row>
    <row r="138" spans="1:13" ht="13">
      <c r="A138" s="18" t="s">
        <v>1054</v>
      </c>
      <c r="B138" s="328" t="s">
        <v>1055</v>
      </c>
      <c r="C138" s="316" t="e">
        <f>VLOOKUP($A138,Master!$B$50:$N$232,8,FALSE)</f>
        <v>#N/A</v>
      </c>
      <c r="D138" s="316" t="e">
        <f>VLOOKUP($A138,Master!$B$50:$N$232,9,FALSE)</f>
        <v>#N/A</v>
      </c>
      <c r="E138" s="317" t="e">
        <f>VLOOKUP($A138,Master!$B$50:$N$232,11,FALSE)</f>
        <v>#N/A</v>
      </c>
      <c r="F138" s="318">
        <v>3</v>
      </c>
      <c r="G138" s="319" t="s">
        <v>36</v>
      </c>
      <c r="H138" s="320">
        <v>525000</v>
      </c>
      <c r="I138" s="321" t="b">
        <v>1</v>
      </c>
      <c r="J138" s="322">
        <v>3</v>
      </c>
      <c r="K138" s="323" t="e">
        <f>VLOOKUP($A138,Master!$B$50:$N$232,6,FALSE)</f>
        <v>#N/A</v>
      </c>
      <c r="L138" s="324" t="e">
        <f>J138*K138</f>
        <v>#N/A</v>
      </c>
      <c r="M138" s="350">
        <v>44719</v>
      </c>
    </row>
    <row r="140" spans="1:13" ht="13">
      <c r="F140" s="427">
        <v>44749</v>
      </c>
      <c r="G140" s="428"/>
      <c r="H140" s="424"/>
      <c r="J140" s="429">
        <f>F140+1</f>
        <v>44750</v>
      </c>
      <c r="K140" s="428"/>
      <c r="L140" s="424"/>
    </row>
    <row r="141" spans="1:13" ht="13">
      <c r="F141" s="425" t="s">
        <v>1490</v>
      </c>
      <c r="G141" s="426"/>
      <c r="H141" s="304">
        <f>SUM(H143:H290)</f>
        <v>589508440</v>
      </c>
      <c r="J141" s="425" t="s">
        <v>1491</v>
      </c>
      <c r="K141" s="426"/>
      <c r="L141" s="304" t="e">
        <f>SUM(L143:L290)</f>
        <v>#N/A</v>
      </c>
    </row>
    <row r="142" spans="1:13" ht="13">
      <c r="A142" s="2" t="s">
        <v>4</v>
      </c>
      <c r="B142" s="305" t="s">
        <v>5</v>
      </c>
      <c r="C142" s="305" t="s">
        <v>1492</v>
      </c>
      <c r="D142" s="305" t="s">
        <v>12</v>
      </c>
      <c r="E142" s="306" t="s">
        <v>1493</v>
      </c>
      <c r="F142" s="307" t="s">
        <v>1494</v>
      </c>
      <c r="G142" s="308" t="s">
        <v>10</v>
      </c>
      <c r="H142" s="309" t="s">
        <v>1495</v>
      </c>
      <c r="I142" s="310" t="s">
        <v>1289</v>
      </c>
      <c r="J142" s="311" t="s">
        <v>1496</v>
      </c>
      <c r="K142" s="312" t="s">
        <v>1497</v>
      </c>
      <c r="L142" s="313" t="s">
        <v>1498</v>
      </c>
      <c r="M142" s="314" t="s">
        <v>16</v>
      </c>
    </row>
    <row r="143" spans="1:13" ht="13">
      <c r="A143" s="21" t="s">
        <v>651</v>
      </c>
      <c r="B143" s="61" t="s">
        <v>652</v>
      </c>
      <c r="C143" s="316">
        <f>VLOOKUP($A143,Master!$B$50:$N$232,8,FALSE)</f>
        <v>1000</v>
      </c>
      <c r="D143" s="316" t="str">
        <f>VLOOKUP($A143,Master!$B$50:$N$232,9,FALSE)</f>
        <v>gr</v>
      </c>
      <c r="E143" s="317" t="str">
        <f>VLOOKUP($A143,Master!$B$50:$N$232,11,FALSE)</f>
        <v>Eden Farm</v>
      </c>
      <c r="F143" s="318">
        <v>1.5</v>
      </c>
      <c r="G143" s="319" t="s">
        <v>36</v>
      </c>
      <c r="H143" s="320">
        <v>19400</v>
      </c>
      <c r="I143" s="321" t="b">
        <v>1</v>
      </c>
      <c r="J143" s="322">
        <v>1.5</v>
      </c>
      <c r="K143" s="323">
        <v>10200</v>
      </c>
      <c r="L143" s="324">
        <f>J143*K143</f>
        <v>15300</v>
      </c>
      <c r="M143" s="325"/>
    </row>
    <row r="144" spans="1:13" ht="13">
      <c r="A144" s="21" t="s">
        <v>655</v>
      </c>
      <c r="B144" s="61" t="s">
        <v>656</v>
      </c>
      <c r="C144" s="316">
        <f>VLOOKUP($A144,Master!$B$50:$N$232,8,FALSE)</f>
        <v>1000</v>
      </c>
      <c r="D144" s="316" t="str">
        <f>VLOOKUP($A144,Master!$B$50:$N$232,9,FALSE)</f>
        <v>gr</v>
      </c>
      <c r="E144" s="317" t="str">
        <f>VLOOKUP($A144,Master!$B$50:$N$232,11,FALSE)</f>
        <v>Toko Lain</v>
      </c>
      <c r="F144" s="318">
        <v>2</v>
      </c>
      <c r="G144" s="319" t="s">
        <v>36</v>
      </c>
      <c r="H144" s="320">
        <v>97800</v>
      </c>
      <c r="I144" s="321" t="b">
        <v>1</v>
      </c>
      <c r="J144" s="322">
        <v>2</v>
      </c>
      <c r="K144" s="326">
        <f>VLOOKUP($A144,Master!$B$50:$N$232,6,FALSE)</f>
        <v>50000</v>
      </c>
      <c r="L144" s="324">
        <v>100000</v>
      </c>
      <c r="M144" s="325" t="s">
        <v>1553</v>
      </c>
    </row>
    <row r="145" spans="1:13" ht="13">
      <c r="A145" s="21" t="s">
        <v>744</v>
      </c>
      <c r="B145" s="61" t="s">
        <v>745</v>
      </c>
      <c r="C145" s="316">
        <f>VLOOKUP($A145,Master!$B$50:$N$232,8,FALSE)</f>
        <v>1000</v>
      </c>
      <c r="D145" s="316" t="str">
        <f>VLOOKUP($A145,Master!$B$50:$N$232,9,FALSE)</f>
        <v>gr</v>
      </c>
      <c r="E145" s="317" t="str">
        <f>VLOOKUP($A145,Master!$B$50:$N$232,11,FALSE)</f>
        <v>Eden Farm</v>
      </c>
      <c r="F145" s="318">
        <v>0.5</v>
      </c>
      <c r="G145" s="319" t="s">
        <v>36</v>
      </c>
      <c r="H145" s="320">
        <v>44900</v>
      </c>
      <c r="I145" s="321" t="b">
        <v>1</v>
      </c>
      <c r="J145" s="322">
        <v>0.5</v>
      </c>
      <c r="K145" s="323">
        <v>54500</v>
      </c>
      <c r="L145" s="324">
        <f>J145*K145</f>
        <v>27250</v>
      </c>
      <c r="M145" s="325"/>
    </row>
    <row r="146" spans="1:13" ht="13">
      <c r="A146" s="22" t="s">
        <v>795</v>
      </c>
      <c r="B146" s="330" t="s">
        <v>796</v>
      </c>
      <c r="C146" s="316">
        <f>VLOOKUP($A146,Master!$B$50:$N$232,8,FALSE)</f>
        <v>10</v>
      </c>
      <c r="D146" s="316" t="str">
        <f>VLOOKUP($A146,Master!$B$50:$N$232,9,FALSE)</f>
        <v>unit</v>
      </c>
      <c r="E146" s="317" t="str">
        <f>VLOOKUP($A146,Master!$B$50:$N$232,11,FALSE)</f>
        <v>Toko Lain</v>
      </c>
      <c r="F146" s="318">
        <v>5</v>
      </c>
      <c r="G146" s="319" t="s">
        <v>62</v>
      </c>
      <c r="H146" s="320">
        <v>39000</v>
      </c>
      <c r="I146" s="321" t="b">
        <v>1</v>
      </c>
      <c r="J146" s="322">
        <v>5</v>
      </c>
      <c r="K146" s="326">
        <f>VLOOKUP($A146,Master!$B$50:$N$232,6,FALSE)</f>
        <v>8000</v>
      </c>
      <c r="L146" s="324">
        <v>35000</v>
      </c>
      <c r="M146" s="325"/>
    </row>
    <row r="147" spans="1:13" ht="13">
      <c r="A147" s="21" t="s">
        <v>919</v>
      </c>
      <c r="B147" s="61" t="s">
        <v>920</v>
      </c>
      <c r="C147" s="316">
        <f>VLOOKUP($A147,Master!$B$50:$N$232,8,FALSE)</f>
        <v>1000</v>
      </c>
      <c r="D147" s="316" t="str">
        <f>VLOOKUP($A147,Master!$B$50:$N$232,9,FALSE)</f>
        <v>gr</v>
      </c>
      <c r="E147" s="317" t="str">
        <f>VLOOKUP($A147,Master!$B$50:$N$232,11,FALSE)</f>
        <v>Eden Farm</v>
      </c>
      <c r="F147" s="318">
        <v>1.5</v>
      </c>
      <c r="G147" s="319" t="s">
        <v>62</v>
      </c>
      <c r="H147" s="320">
        <v>79800</v>
      </c>
      <c r="I147" s="321" t="b">
        <v>1</v>
      </c>
      <c r="J147" s="322">
        <v>1.5</v>
      </c>
      <c r="K147" s="326">
        <f>VLOOKUP($A147,Master!$B$50:$N$232,6,FALSE)</f>
        <v>50000</v>
      </c>
      <c r="L147" s="324">
        <v>51900</v>
      </c>
      <c r="M147" s="325"/>
    </row>
    <row r="148" spans="1:13" ht="13">
      <c r="A148" s="21" t="s">
        <v>1020</v>
      </c>
      <c r="B148" s="61" t="s">
        <v>1021</v>
      </c>
      <c r="C148" s="316">
        <f>VLOOKUP($A148,Master!$B$50:$N$232,8,FALSE)</f>
        <v>1000</v>
      </c>
      <c r="D148" s="316" t="str">
        <f>VLOOKUP($A148,Master!$B$50:$N$232,9,FALSE)</f>
        <v>gr</v>
      </c>
      <c r="E148" s="317" t="str">
        <f>VLOOKUP($A148,Master!$B$50:$N$232,11,FALSE)</f>
        <v>Eden Farm</v>
      </c>
      <c r="F148" s="318">
        <v>1</v>
      </c>
      <c r="G148" s="319" t="s">
        <v>36</v>
      </c>
      <c r="H148" s="320">
        <v>21800</v>
      </c>
      <c r="I148" s="321" t="b">
        <v>1</v>
      </c>
      <c r="J148" s="322">
        <v>1</v>
      </c>
      <c r="K148" s="326">
        <f>VLOOKUP($A148,Master!$B$50:$N$232,6,FALSE)</f>
        <v>24000</v>
      </c>
      <c r="L148" s="324">
        <v>17500</v>
      </c>
      <c r="M148" s="325"/>
    </row>
    <row r="149" spans="1:13" ht="13">
      <c r="A149" s="21" t="s">
        <v>1050</v>
      </c>
      <c r="B149" s="61" t="s">
        <v>1051</v>
      </c>
      <c r="C149" s="316" t="e">
        <f>VLOOKUP($A149,Master!$B$50:$N$232,8,FALSE)</f>
        <v>#N/A</v>
      </c>
      <c r="D149" s="316" t="e">
        <f>VLOOKUP($A149,Master!$B$50:$N$232,9,FALSE)</f>
        <v>#N/A</v>
      </c>
      <c r="E149" s="317" t="e">
        <f>VLOOKUP($A149,Master!$B$50:$N$232,11,FALSE)</f>
        <v>#N/A</v>
      </c>
      <c r="F149" s="318">
        <v>1</v>
      </c>
      <c r="G149" s="319" t="s">
        <v>36</v>
      </c>
      <c r="H149" s="320">
        <v>9500</v>
      </c>
      <c r="I149" s="321" t="b">
        <v>1</v>
      </c>
      <c r="J149" s="322">
        <v>1</v>
      </c>
      <c r="K149" s="323" t="e">
        <f>VLOOKUP($A149,Master!$B$50:$N$232,6,FALSE)</f>
        <v>#N/A</v>
      </c>
      <c r="L149" s="324">
        <v>8300</v>
      </c>
      <c r="M149" s="325"/>
    </row>
    <row r="150" spans="1:13" ht="13">
      <c r="A150" s="22" t="s">
        <v>675</v>
      </c>
      <c r="B150" s="330" t="s">
        <v>676</v>
      </c>
      <c r="C150" s="316">
        <f>VLOOKUP($A150,Master!$B$50:$N$232,8,FALSE)</f>
        <v>20</v>
      </c>
      <c r="D150" s="316" t="str">
        <f>VLOOKUP($A150,Master!$B$50:$N$232,9,FALSE)</f>
        <v>unit</v>
      </c>
      <c r="E150" s="317" t="str">
        <f>VLOOKUP($A150,Master!$B$50:$N$232,11,FALSE)</f>
        <v>RSB, Dago</v>
      </c>
      <c r="F150" s="318">
        <v>10</v>
      </c>
      <c r="G150" s="319" t="s">
        <v>62</v>
      </c>
      <c r="H150" s="320">
        <v>60000</v>
      </c>
      <c r="I150" s="321" t="b">
        <v>1</v>
      </c>
      <c r="J150" s="322">
        <v>15</v>
      </c>
      <c r="K150" s="326">
        <f>VLOOKUP($A150,Master!$B$50:$N$232,6,FALSE)</f>
        <v>13500</v>
      </c>
      <c r="L150" s="327">
        <f t="shared" ref="L150:L153" si="14">J150*K150</f>
        <v>202500</v>
      </c>
      <c r="M150" s="325"/>
    </row>
    <row r="151" spans="1:13" ht="13">
      <c r="A151" s="21" t="s">
        <v>528</v>
      </c>
      <c r="B151" s="61" t="s">
        <v>529</v>
      </c>
      <c r="C151" s="316" t="e">
        <f>VLOOKUP($A151,Master!$B$50:$N$232,8,FALSE)</f>
        <v>#N/A</v>
      </c>
      <c r="D151" s="316" t="e">
        <f>VLOOKUP($A151,Master!$B$50:$N$232,9,FALSE)</f>
        <v>#N/A</v>
      </c>
      <c r="E151" s="317" t="e">
        <f>VLOOKUP($A151,Master!$B$50:$N$232,11,FALSE)</f>
        <v>#N/A</v>
      </c>
      <c r="F151" s="318">
        <v>3</v>
      </c>
      <c r="G151" s="319" t="s">
        <v>50</v>
      </c>
      <c r="H151" s="320">
        <v>48000</v>
      </c>
      <c r="I151" s="321" t="b">
        <v>1</v>
      </c>
      <c r="J151" s="322">
        <v>3</v>
      </c>
      <c r="K151" s="326" t="e">
        <f>VLOOKUP($A151,Master!$B$50:$N$232,6,FALSE)</f>
        <v>#N/A</v>
      </c>
      <c r="L151" s="327" t="e">
        <f t="shared" si="14"/>
        <v>#N/A</v>
      </c>
      <c r="M151" s="325"/>
    </row>
    <row r="152" spans="1:13" ht="13">
      <c r="A152" s="21" t="s">
        <v>635</v>
      </c>
      <c r="B152" s="61" t="s">
        <v>636</v>
      </c>
      <c r="C152" s="316" t="e">
        <f>VLOOKUP($A152,Master!$B$50:$N$232,8,FALSE)</f>
        <v>#N/A</v>
      </c>
      <c r="D152" s="316" t="e">
        <f>VLOOKUP($A152,Master!$B$50:$N$232,9,FALSE)</f>
        <v>#N/A</v>
      </c>
      <c r="E152" s="317" t="e">
        <f>VLOOKUP($A152,Master!$B$50:$N$232,11,FALSE)</f>
        <v>#N/A</v>
      </c>
      <c r="F152" s="318">
        <v>6</v>
      </c>
      <c r="G152" s="319" t="s">
        <v>50</v>
      </c>
      <c r="H152" s="320">
        <v>66000</v>
      </c>
      <c r="I152" s="321" t="b">
        <v>1</v>
      </c>
      <c r="J152" s="322">
        <v>6</v>
      </c>
      <c r="K152" s="326" t="e">
        <f>VLOOKUP($A152,Master!$B$50:$N$232,6,FALSE)</f>
        <v>#N/A</v>
      </c>
      <c r="L152" s="327" t="e">
        <f t="shared" si="14"/>
        <v>#N/A</v>
      </c>
      <c r="M152" s="325"/>
    </row>
    <row r="153" spans="1:13" ht="13">
      <c r="A153" s="21" t="s">
        <v>688</v>
      </c>
      <c r="B153" s="61" t="s">
        <v>689</v>
      </c>
      <c r="C153" s="316" t="e">
        <f>VLOOKUP($A153,Master!$B$50:$N$232,8,FALSE)</f>
        <v>#N/A</v>
      </c>
      <c r="D153" s="316" t="e">
        <f>VLOOKUP($A153,Master!$B$50:$N$232,9,FALSE)</f>
        <v>#N/A</v>
      </c>
      <c r="E153" s="317" t="e">
        <f>VLOOKUP($A153,Master!$B$50:$N$232,11,FALSE)</f>
        <v>#N/A</v>
      </c>
      <c r="F153" s="318">
        <v>2</v>
      </c>
      <c r="G153" s="319" t="s">
        <v>62</v>
      </c>
      <c r="H153" s="320">
        <v>125000</v>
      </c>
      <c r="I153" s="321" t="b">
        <v>0</v>
      </c>
      <c r="J153" s="322"/>
      <c r="K153" s="326" t="e">
        <f>VLOOKUP($A153,Master!$B$50:$N$232,6,FALSE)</f>
        <v>#N/A</v>
      </c>
      <c r="L153" s="327" t="e">
        <f t="shared" si="14"/>
        <v>#N/A</v>
      </c>
      <c r="M153" s="325" t="s">
        <v>1507</v>
      </c>
    </row>
    <row r="154" spans="1:13" ht="13">
      <c r="A154" s="21" t="s">
        <v>748</v>
      </c>
      <c r="B154" s="61" t="s">
        <v>749</v>
      </c>
      <c r="C154" s="316" t="e">
        <f>VLOOKUP($A154,Master!$B$50:$N$232,8,FALSE)</f>
        <v>#N/A</v>
      </c>
      <c r="D154" s="316" t="e">
        <f>VLOOKUP($A154,Master!$B$50:$N$232,9,FALSE)</f>
        <v>#N/A</v>
      </c>
      <c r="E154" s="317" t="e">
        <f>VLOOKUP($A154,Master!$B$50:$N$232,11,FALSE)</f>
        <v>#N/A</v>
      </c>
      <c r="F154" s="318">
        <v>2</v>
      </c>
      <c r="G154" s="319" t="s">
        <v>62</v>
      </c>
      <c r="H154" s="320">
        <v>55000</v>
      </c>
      <c r="I154" s="321" t="b">
        <v>1</v>
      </c>
      <c r="J154" s="322">
        <v>2</v>
      </c>
      <c r="K154" s="326" t="e">
        <f>VLOOKUP($A154,Master!$B$50:$N$232,6,FALSE)</f>
        <v>#N/A</v>
      </c>
      <c r="L154" s="324">
        <v>54000</v>
      </c>
      <c r="M154" s="325"/>
    </row>
    <row r="155" spans="1:13" ht="13">
      <c r="A155" s="21" t="s">
        <v>767</v>
      </c>
      <c r="B155" s="61" t="s">
        <v>768</v>
      </c>
      <c r="C155" s="316" t="e">
        <f>VLOOKUP($A155,Master!$B$50:$N$232,8,FALSE)</f>
        <v>#N/A</v>
      </c>
      <c r="D155" s="316" t="e">
        <f>VLOOKUP($A155,Master!$B$50:$N$232,9,FALSE)</f>
        <v>#N/A</v>
      </c>
      <c r="E155" s="317" t="e">
        <f>VLOOKUP($A155,Master!$B$50:$N$232,11,FALSE)</f>
        <v>#N/A</v>
      </c>
      <c r="F155" s="318">
        <v>1</v>
      </c>
      <c r="G155" s="319" t="s">
        <v>62</v>
      </c>
      <c r="H155" s="320">
        <v>19500</v>
      </c>
      <c r="I155" s="321" t="b">
        <v>1</v>
      </c>
      <c r="J155" s="322">
        <v>1</v>
      </c>
      <c r="K155" s="326" t="e">
        <f>VLOOKUP($A155,Master!$B$50:$N$232,6,FALSE)</f>
        <v>#N/A</v>
      </c>
      <c r="L155" s="327" t="e">
        <f t="shared" ref="L155:L157" si="15">J155*K155</f>
        <v>#N/A</v>
      </c>
      <c r="M155" s="325"/>
    </row>
    <row r="156" spans="1:13" ht="13">
      <c r="A156" s="21" t="s">
        <v>773</v>
      </c>
      <c r="B156" s="61" t="s">
        <v>774</v>
      </c>
      <c r="C156" s="316" t="e">
        <f>VLOOKUP($A156,Master!$B$50:$N$232,8,FALSE)</f>
        <v>#N/A</v>
      </c>
      <c r="D156" s="316" t="e">
        <f>VLOOKUP($A156,Master!$B$50:$N$232,9,FALSE)</f>
        <v>#N/A</v>
      </c>
      <c r="E156" s="317" t="e">
        <f>VLOOKUP($A156,Master!$B$50:$N$232,11,FALSE)</f>
        <v>#N/A</v>
      </c>
      <c r="F156" s="318">
        <v>3</v>
      </c>
      <c r="G156" s="319" t="s">
        <v>62</v>
      </c>
      <c r="H156" s="320">
        <v>42000</v>
      </c>
      <c r="I156" s="321" t="b">
        <v>1</v>
      </c>
      <c r="J156" s="322">
        <v>3</v>
      </c>
      <c r="K156" s="326" t="e">
        <f>VLOOKUP($A156,Master!$B$50:$N$232,6,FALSE)</f>
        <v>#N/A</v>
      </c>
      <c r="L156" s="327" t="e">
        <f t="shared" si="15"/>
        <v>#N/A</v>
      </c>
      <c r="M156" s="325"/>
    </row>
    <row r="157" spans="1:13" ht="13">
      <c r="A157" s="21" t="s">
        <v>934</v>
      </c>
      <c r="B157" s="61" t="s">
        <v>935</v>
      </c>
      <c r="C157" s="316" t="e">
        <f>VLOOKUP($A157,Master!$B$50:$N$232,8,FALSE)</f>
        <v>#N/A</v>
      </c>
      <c r="D157" s="316" t="e">
        <f>VLOOKUP($A157,Master!$B$50:$N$232,9,FALSE)</f>
        <v>#N/A</v>
      </c>
      <c r="E157" s="317" t="e">
        <f>VLOOKUP($A157,Master!$B$50:$N$232,11,FALSE)</f>
        <v>#N/A</v>
      </c>
      <c r="F157" s="318">
        <v>2</v>
      </c>
      <c r="G157" s="319" t="s">
        <v>62</v>
      </c>
      <c r="H157" s="320">
        <v>15800</v>
      </c>
      <c r="I157" s="321" t="b">
        <v>1</v>
      </c>
      <c r="J157" s="322">
        <v>2</v>
      </c>
      <c r="K157" s="326" t="e">
        <f>VLOOKUP($A157,Master!$B$50:$N$232,6,FALSE)</f>
        <v>#N/A</v>
      </c>
      <c r="L157" s="327" t="e">
        <f t="shared" si="15"/>
        <v>#N/A</v>
      </c>
      <c r="M157" s="325"/>
    </row>
    <row r="158" spans="1:13" ht="13">
      <c r="A158" s="21" t="s">
        <v>925</v>
      </c>
      <c r="B158" s="61" t="s">
        <v>926</v>
      </c>
      <c r="C158" s="316">
        <f>VLOOKUP($A158,Master!$B$50:$N$232,8,FALSE)</f>
        <v>1000</v>
      </c>
      <c r="D158" s="316" t="str">
        <f>VLOOKUP($A158,Master!$B$50:$N$232,9,FALSE)</f>
        <v>gr</v>
      </c>
      <c r="E158" s="317" t="str">
        <f>VLOOKUP($A158,Master!$B$50:$N$232,11,FALSE)</f>
        <v>PT Sukanda Djaya</v>
      </c>
      <c r="F158" s="318">
        <v>1</v>
      </c>
      <c r="G158" s="319" t="s">
        <v>143</v>
      </c>
      <c r="H158" s="320">
        <v>419978</v>
      </c>
      <c r="I158" s="321" t="b">
        <v>1</v>
      </c>
      <c r="J158" s="322">
        <v>1</v>
      </c>
      <c r="K158" s="326">
        <f>VLOOKUP($A158,Master!$B$50:$N$232,6,FALSE)</f>
        <v>39738</v>
      </c>
      <c r="L158" s="324">
        <v>370296</v>
      </c>
      <c r="M158" s="325"/>
    </row>
    <row r="159" spans="1:13" ht="13">
      <c r="A159" s="18" t="s">
        <v>776</v>
      </c>
      <c r="B159" s="328" t="s">
        <v>777</v>
      </c>
      <c r="C159" s="316" t="e">
        <f>VLOOKUP($A159,Master!$B$50:$N$232,8,FALSE)</f>
        <v>#N/A</v>
      </c>
      <c r="D159" s="316" t="e">
        <f>VLOOKUP($A159,Master!$B$50:$N$232,9,FALSE)</f>
        <v>#N/A</v>
      </c>
      <c r="E159" s="317" t="e">
        <f>VLOOKUP($A159,Master!$B$50:$N$232,11,FALSE)</f>
        <v>#N/A</v>
      </c>
      <c r="F159" s="318">
        <v>2</v>
      </c>
      <c r="G159" s="319" t="s">
        <v>62</v>
      </c>
      <c r="H159" s="320">
        <v>100000</v>
      </c>
      <c r="I159" s="321" t="b">
        <v>1</v>
      </c>
      <c r="J159" s="322">
        <v>2</v>
      </c>
      <c r="K159" s="326" t="e">
        <f>VLOOKUP($A159,Master!$B$50:$N$232,6,FALSE)</f>
        <v>#N/A</v>
      </c>
      <c r="L159" s="324">
        <v>55000</v>
      </c>
      <c r="M159" s="325"/>
    </row>
    <row r="160" spans="1:13" ht="13">
      <c r="A160" s="18" t="s">
        <v>779</v>
      </c>
      <c r="B160" s="328" t="s">
        <v>780</v>
      </c>
      <c r="C160" s="316" t="e">
        <f>VLOOKUP($A160,Master!$B$50:$N$232,8,FALSE)</f>
        <v>#N/A</v>
      </c>
      <c r="D160" s="316" t="e">
        <f>VLOOKUP($A160,Master!$B$50:$N$232,9,FALSE)</f>
        <v>#N/A</v>
      </c>
      <c r="E160" s="317" t="e">
        <f>VLOOKUP($A160,Master!$B$50:$N$232,11,FALSE)</f>
        <v>#N/A</v>
      </c>
      <c r="F160" s="318">
        <v>2</v>
      </c>
      <c r="G160" s="319" t="s">
        <v>62</v>
      </c>
      <c r="H160" s="320">
        <v>64000</v>
      </c>
      <c r="I160" s="321" t="b">
        <v>1</v>
      </c>
      <c r="J160" s="322">
        <v>2</v>
      </c>
      <c r="K160" s="323">
        <v>43000</v>
      </c>
      <c r="L160" s="324">
        <f>J160*K160</f>
        <v>86000</v>
      </c>
      <c r="M160" s="325"/>
    </row>
    <row r="161" spans="1:13" ht="13">
      <c r="A161" s="21" t="s">
        <v>544</v>
      </c>
      <c r="B161" s="61" t="s">
        <v>545</v>
      </c>
      <c r="C161" s="316" t="e">
        <f>VLOOKUP($A161,Master!$B$50:$N$232,8,FALSE)</f>
        <v>#N/A</v>
      </c>
      <c r="D161" s="316" t="e">
        <f>VLOOKUP($A161,Master!$B$50:$N$232,9,FALSE)</f>
        <v>#N/A</v>
      </c>
      <c r="E161" s="317" t="e">
        <f>VLOOKUP($A161,Master!$B$50:$N$232,11,FALSE)</f>
        <v>#N/A</v>
      </c>
      <c r="F161" s="318">
        <v>1</v>
      </c>
      <c r="G161" s="319" t="s">
        <v>62</v>
      </c>
      <c r="H161" s="320">
        <v>15200</v>
      </c>
      <c r="I161" s="321" t="b">
        <v>1</v>
      </c>
      <c r="J161" s="322">
        <v>3</v>
      </c>
      <c r="K161" s="323">
        <v>17186</v>
      </c>
      <c r="L161" s="324">
        <v>51557</v>
      </c>
      <c r="M161" s="325"/>
    </row>
    <row r="162" spans="1:13" ht="13">
      <c r="A162" s="21" t="s">
        <v>732</v>
      </c>
      <c r="B162" s="61" t="s">
        <v>733</v>
      </c>
      <c r="C162" s="316">
        <f>VLOOKUP($A162,Master!$B$50:$N$232,8,FALSE)</f>
        <v>1000</v>
      </c>
      <c r="D162" s="316" t="str">
        <f>VLOOKUP($A162,Master!$B$50:$N$232,9,FALSE)</f>
        <v>gr</v>
      </c>
      <c r="E162" s="317" t="str">
        <f>VLOOKUP($A162,Master!$B$50:$N$232,11,FALSE)</f>
        <v>Eden Farm</v>
      </c>
      <c r="F162" s="318">
        <v>2</v>
      </c>
      <c r="G162" s="319" t="s">
        <v>36</v>
      </c>
      <c r="H162" s="320">
        <v>37800</v>
      </c>
      <c r="I162" s="321" t="b">
        <v>1</v>
      </c>
      <c r="J162" s="322">
        <v>2</v>
      </c>
      <c r="K162" s="326">
        <f>VLOOKUP($A162,Master!$B$50:$N$232,6,FALSE)</f>
        <v>40000</v>
      </c>
      <c r="L162" s="324">
        <v>36800</v>
      </c>
      <c r="M162" s="325"/>
    </row>
    <row r="163" spans="1:13" ht="13">
      <c r="A163" s="21" t="s">
        <v>544</v>
      </c>
      <c r="B163" s="61" t="s">
        <v>545</v>
      </c>
      <c r="C163" s="316" t="e">
        <f>VLOOKUP($A163,Master!$B$50:$N$232,8,FALSE)</f>
        <v>#N/A</v>
      </c>
      <c r="D163" s="316" t="e">
        <f>VLOOKUP($A163,Master!$B$50:$N$232,9,FALSE)</f>
        <v>#N/A</v>
      </c>
      <c r="E163" s="317" t="e">
        <f>VLOOKUP($A163,Master!$B$50:$N$232,11,FALSE)</f>
        <v>#N/A</v>
      </c>
      <c r="F163" s="318">
        <v>3</v>
      </c>
      <c r="G163" s="319" t="s">
        <v>62</v>
      </c>
      <c r="H163" s="320">
        <v>45600</v>
      </c>
      <c r="I163" s="321" t="b">
        <v>1</v>
      </c>
      <c r="J163" s="322">
        <v>3</v>
      </c>
      <c r="K163" s="323">
        <v>25650</v>
      </c>
      <c r="L163" s="324">
        <v>51557</v>
      </c>
      <c r="M163" s="325"/>
    </row>
    <row r="164" spans="1:13" ht="13">
      <c r="A164" s="21" t="s">
        <v>524</v>
      </c>
      <c r="B164" s="61" t="s">
        <v>525</v>
      </c>
      <c r="C164" s="316" t="e">
        <f>VLOOKUP($A164,Master!$B$50:$N$232,8,FALSE)</f>
        <v>#N/A</v>
      </c>
      <c r="D164" s="316" t="e">
        <f>VLOOKUP($A164,Master!$B$50:$N$232,9,FALSE)</f>
        <v>#N/A</v>
      </c>
      <c r="E164" s="317" t="e">
        <f>VLOOKUP($A164,Master!$B$50:$N$232,11,FALSE)</f>
        <v>#N/A</v>
      </c>
      <c r="F164" s="318">
        <v>8</v>
      </c>
      <c r="G164" s="319" t="s">
        <v>108</v>
      </c>
      <c r="H164" s="320">
        <v>100800</v>
      </c>
      <c r="I164" s="321" t="b">
        <v>1</v>
      </c>
      <c r="J164" s="322">
        <v>8</v>
      </c>
      <c r="K164" s="326" t="e">
        <f>VLOOKUP($A164,Master!$B$50:$N$232,6,FALSE)</f>
        <v>#N/A</v>
      </c>
      <c r="L164" s="327" t="e">
        <f>J164*K164</f>
        <v>#N/A</v>
      </c>
      <c r="M164" s="325"/>
    </row>
    <row r="166" spans="1:13" ht="13">
      <c r="F166" s="427">
        <v>44753</v>
      </c>
      <c r="G166" s="428"/>
      <c r="H166" s="424"/>
      <c r="J166" s="429">
        <f>F166+1</f>
        <v>44754</v>
      </c>
      <c r="K166" s="428"/>
      <c r="L166" s="424"/>
    </row>
    <row r="167" spans="1:13" ht="13">
      <c r="F167" s="425" t="s">
        <v>1490</v>
      </c>
      <c r="G167" s="426"/>
      <c r="H167" s="304">
        <f>SUM(H169:H321)</f>
        <v>295323081</v>
      </c>
      <c r="J167" s="425" t="s">
        <v>1491</v>
      </c>
      <c r="K167" s="426"/>
      <c r="L167" s="304" t="e">
        <f>SUM(L169:L321)</f>
        <v>#N/A</v>
      </c>
    </row>
    <row r="168" spans="1:13" ht="13">
      <c r="A168" s="2" t="s">
        <v>4</v>
      </c>
      <c r="B168" s="305" t="s">
        <v>5</v>
      </c>
      <c r="C168" s="305" t="s">
        <v>1492</v>
      </c>
      <c r="D168" s="305" t="s">
        <v>12</v>
      </c>
      <c r="E168" s="306" t="s">
        <v>1493</v>
      </c>
      <c r="F168" s="307" t="s">
        <v>1494</v>
      </c>
      <c r="G168" s="308" t="s">
        <v>10</v>
      </c>
      <c r="H168" s="309" t="s">
        <v>1495</v>
      </c>
      <c r="I168" s="310" t="s">
        <v>1289</v>
      </c>
      <c r="J168" s="311" t="s">
        <v>1496</v>
      </c>
      <c r="K168" s="312" t="s">
        <v>1497</v>
      </c>
      <c r="L168" s="313" t="s">
        <v>1498</v>
      </c>
      <c r="M168" s="314" t="s">
        <v>16</v>
      </c>
    </row>
    <row r="169" spans="1:13" ht="13">
      <c r="A169" s="4" t="s">
        <v>976</v>
      </c>
      <c r="B169" s="328" t="s">
        <v>977</v>
      </c>
      <c r="C169" s="316">
        <f>VLOOKUP($A169,Master!$B$50:$N$232,8,FALSE)</f>
        <v>300</v>
      </c>
      <c r="D169" s="316" t="str">
        <f>VLOOKUP($A169,Master!$B$50:$N$232,9,FALSE)</f>
        <v>pcs</v>
      </c>
      <c r="E169" s="317" t="str">
        <f>VLOOKUP($A169,Master!$B$50:$N$232,11,FALSE)</f>
        <v>Kurnia Mas</v>
      </c>
      <c r="F169" s="318">
        <v>2</v>
      </c>
      <c r="G169" s="319" t="s">
        <v>62</v>
      </c>
      <c r="H169" s="320">
        <v>50000</v>
      </c>
      <c r="I169" s="321" t="b">
        <v>1</v>
      </c>
      <c r="J169" s="322">
        <v>2</v>
      </c>
      <c r="K169" s="323">
        <v>30000</v>
      </c>
      <c r="L169" s="324">
        <f t="shared" ref="L169:L171" si="16">J169*K169</f>
        <v>60000</v>
      </c>
      <c r="M169" s="325"/>
    </row>
    <row r="170" spans="1:13" ht="13">
      <c r="A170" s="18" t="s">
        <v>1046</v>
      </c>
      <c r="B170" s="328" t="s">
        <v>1047</v>
      </c>
      <c r="C170" s="316" t="e">
        <f>VLOOKUP($A170,Master!$B$50:$N$232,8,FALSE)</f>
        <v>#N/A</v>
      </c>
      <c r="D170" s="316" t="e">
        <f>VLOOKUP($A170,Master!$B$50:$N$232,9,FALSE)</f>
        <v>#N/A</v>
      </c>
      <c r="E170" s="317" t="e">
        <f>VLOOKUP($A170,Master!$B$50:$N$232,11,FALSE)</f>
        <v>#N/A</v>
      </c>
      <c r="F170" s="318">
        <v>1</v>
      </c>
      <c r="G170" s="319" t="s">
        <v>62</v>
      </c>
      <c r="H170" s="320">
        <v>160000</v>
      </c>
      <c r="I170" s="321" t="b">
        <v>1</v>
      </c>
      <c r="J170" s="322">
        <v>1</v>
      </c>
      <c r="K170" s="323" t="e">
        <f>VLOOKUP($A170,Master!$B$50:$N$232,6,FALSE)</f>
        <v>#N/A</v>
      </c>
      <c r="L170" s="324" t="e">
        <f t="shared" si="16"/>
        <v>#N/A</v>
      </c>
      <c r="M170" s="325"/>
    </row>
    <row r="171" spans="1:13" ht="13">
      <c r="A171" s="18" t="s">
        <v>1099</v>
      </c>
      <c r="B171" s="328" t="s">
        <v>1100</v>
      </c>
      <c r="C171" s="316" t="e">
        <f>VLOOKUP($A171,Master!$B$50:$N$232,8,FALSE)</f>
        <v>#N/A</v>
      </c>
      <c r="D171" s="316" t="e">
        <f>VLOOKUP($A171,Master!$B$50:$N$232,9,FALSE)</f>
        <v>#N/A</v>
      </c>
      <c r="E171" s="317" t="e">
        <f>VLOOKUP($A171,Master!$B$50:$N$232,11,FALSE)</f>
        <v>#N/A</v>
      </c>
      <c r="F171" s="318">
        <v>2</v>
      </c>
      <c r="G171" s="319" t="s">
        <v>36</v>
      </c>
      <c r="H171" s="320">
        <v>260000</v>
      </c>
      <c r="I171" s="321" t="b">
        <v>1</v>
      </c>
      <c r="J171" s="322">
        <v>2</v>
      </c>
      <c r="K171" s="323" t="e">
        <f>VLOOKUP($A171,Master!$B$50:$N$232,6,FALSE)</f>
        <v>#N/A</v>
      </c>
      <c r="L171" s="324" t="e">
        <f t="shared" si="16"/>
        <v>#N/A</v>
      </c>
      <c r="M171" s="325"/>
    </row>
    <row r="172" spans="1:13" ht="13">
      <c r="A172" s="21" t="s">
        <v>586</v>
      </c>
      <c r="B172" s="61" t="s">
        <v>587</v>
      </c>
      <c r="C172" s="316">
        <f>VLOOKUP($A172,Master!$B$50:$N$232,8,FALSE)</f>
        <v>20</v>
      </c>
      <c r="D172" s="316" t="str">
        <f>VLOOKUP($A172,Master!$B$50:$N$232,9,FALSE)</f>
        <v>pcs</v>
      </c>
      <c r="E172" s="317" t="str">
        <f>VLOOKUP($A172,Master!$B$50:$N$232,11,FALSE)</f>
        <v>Kurnia Mas</v>
      </c>
      <c r="F172" s="318">
        <v>6</v>
      </c>
      <c r="G172" s="319" t="s">
        <v>62</v>
      </c>
      <c r="H172" s="320">
        <v>43800</v>
      </c>
      <c r="I172" s="321" t="b">
        <v>1</v>
      </c>
      <c r="J172" s="322">
        <v>6</v>
      </c>
      <c r="K172" s="323">
        <v>7950</v>
      </c>
      <c r="L172" s="324">
        <v>47224</v>
      </c>
      <c r="M172" s="325" t="s">
        <v>81</v>
      </c>
    </row>
    <row r="173" spans="1:13" ht="13">
      <c r="A173" s="21" t="s">
        <v>631</v>
      </c>
      <c r="B173" s="61" t="s">
        <v>632</v>
      </c>
      <c r="C173" s="316">
        <f>VLOOKUP($A173,Master!$B$50:$N$232,8,FALSE)</f>
        <v>1000</v>
      </c>
      <c r="D173" s="316" t="str">
        <f>VLOOKUP($A173,Master!$B$50:$N$232,9,FALSE)</f>
        <v>gr</v>
      </c>
      <c r="E173" s="317" t="str">
        <f>VLOOKUP($A173,Master!$B$50:$N$232,11,FALSE)</f>
        <v>Borma</v>
      </c>
      <c r="F173" s="318">
        <v>1</v>
      </c>
      <c r="G173" s="319" t="s">
        <v>36</v>
      </c>
      <c r="H173" s="320">
        <v>16000</v>
      </c>
      <c r="I173" s="321" t="b">
        <v>1</v>
      </c>
      <c r="J173" s="322">
        <v>1</v>
      </c>
      <c r="K173" s="326">
        <f>VLOOKUP($A173,Master!$B$50:$N$232,6,FALSE)</f>
        <v>18000</v>
      </c>
      <c r="L173" s="324">
        <v>15000</v>
      </c>
      <c r="M173" s="325"/>
    </row>
    <row r="174" spans="1:13" ht="13">
      <c r="A174" s="21" t="s">
        <v>770</v>
      </c>
      <c r="B174" s="61" t="s">
        <v>771</v>
      </c>
      <c r="C174" s="316" t="e">
        <f>VLOOKUP($A174,Master!$B$50:$N$232,8,FALSE)</f>
        <v>#N/A</v>
      </c>
      <c r="D174" s="316" t="e">
        <f>VLOOKUP($A174,Master!$B$50:$N$232,9,FALSE)</f>
        <v>#N/A</v>
      </c>
      <c r="E174" s="317" t="e">
        <f>VLOOKUP($A174,Master!$B$50:$N$232,11,FALSE)</f>
        <v>#N/A</v>
      </c>
      <c r="F174" s="318">
        <v>2</v>
      </c>
      <c r="G174" s="319" t="s">
        <v>97</v>
      </c>
      <c r="H174" s="320">
        <v>55900</v>
      </c>
      <c r="I174" s="321" t="b">
        <v>1</v>
      </c>
      <c r="J174" s="322">
        <v>2</v>
      </c>
      <c r="K174" s="326" t="e">
        <f>VLOOKUP($A174,Master!$B$50:$N$232,6,FALSE)</f>
        <v>#N/A</v>
      </c>
      <c r="L174" s="324">
        <v>55341</v>
      </c>
      <c r="M174" s="325"/>
    </row>
    <row r="175" spans="1:13" ht="13">
      <c r="A175" s="21" t="s">
        <v>803</v>
      </c>
      <c r="B175" s="61" t="s">
        <v>804</v>
      </c>
      <c r="C175" s="316" t="e">
        <f>VLOOKUP($A175,Master!$B$50:$N$232,8,FALSE)</f>
        <v>#N/A</v>
      </c>
      <c r="D175" s="316" t="e">
        <f>VLOOKUP($A175,Master!$B$50:$N$232,9,FALSE)</f>
        <v>#N/A</v>
      </c>
      <c r="E175" s="317" t="e">
        <f>VLOOKUP($A175,Master!$B$50:$N$232,11,FALSE)</f>
        <v>#N/A</v>
      </c>
      <c r="F175" s="318">
        <v>3</v>
      </c>
      <c r="G175" s="319" t="s">
        <v>97</v>
      </c>
      <c r="H175" s="320">
        <v>26700</v>
      </c>
      <c r="I175" s="321" t="b">
        <v>1</v>
      </c>
      <c r="J175" s="322">
        <v>1</v>
      </c>
      <c r="K175" s="326" t="e">
        <f>VLOOKUP($A175,Master!$B$50:$N$232,6,FALSE)</f>
        <v>#N/A</v>
      </c>
      <c r="L175" s="324">
        <v>6400</v>
      </c>
      <c r="M175" s="325"/>
    </row>
    <row r="176" spans="1:13" ht="13">
      <c r="A176" s="21" t="s">
        <v>952</v>
      </c>
      <c r="B176" s="61" t="s">
        <v>953</v>
      </c>
      <c r="C176" s="316" t="e">
        <f>VLOOKUP($A176,Master!$B$50:$N$232,8,FALSE)</f>
        <v>#N/A</v>
      </c>
      <c r="D176" s="316" t="e">
        <f>VLOOKUP($A176,Master!$B$50:$N$232,9,FALSE)</f>
        <v>#N/A</v>
      </c>
      <c r="E176" s="317" t="e">
        <f>VLOOKUP($A176,Master!$B$50:$N$232,11,FALSE)</f>
        <v>#N/A</v>
      </c>
      <c r="F176" s="318">
        <v>1</v>
      </c>
      <c r="G176" s="319" t="s">
        <v>97</v>
      </c>
      <c r="H176" s="320">
        <v>30303</v>
      </c>
      <c r="I176" s="321" t="b">
        <v>1</v>
      </c>
      <c r="J176" s="322">
        <v>1</v>
      </c>
      <c r="K176" s="326" t="e">
        <f>VLOOKUP($A176,Master!$B$50:$N$232,6,FALSE)</f>
        <v>#N/A</v>
      </c>
      <c r="L176" s="324">
        <v>27000</v>
      </c>
      <c r="M176" s="325"/>
    </row>
    <row r="177" spans="1:13" ht="13">
      <c r="A177" s="21" t="s">
        <v>1035</v>
      </c>
      <c r="B177" s="61" t="s">
        <v>1036</v>
      </c>
      <c r="C177" s="316" t="e">
        <f>VLOOKUP($A177,Master!$B$50:$N$232,8,FALSE)</f>
        <v>#N/A</v>
      </c>
      <c r="D177" s="316" t="e">
        <f>VLOOKUP($A177,Master!$B$50:$N$232,9,FALSE)</f>
        <v>#N/A</v>
      </c>
      <c r="E177" s="317" t="e">
        <f>VLOOKUP($A177,Master!$B$50:$N$232,11,FALSE)</f>
        <v>#N/A</v>
      </c>
      <c r="F177" s="318">
        <v>3</v>
      </c>
      <c r="G177" s="319" t="s">
        <v>62</v>
      </c>
      <c r="H177" s="320">
        <v>39000</v>
      </c>
      <c r="I177" s="321" t="b">
        <v>1</v>
      </c>
      <c r="J177" s="322">
        <v>3</v>
      </c>
      <c r="K177" s="323">
        <v>13500</v>
      </c>
      <c r="L177" s="324">
        <f t="shared" ref="L177:L182" si="17">J177*K177</f>
        <v>40500</v>
      </c>
      <c r="M177" s="325"/>
    </row>
    <row r="178" spans="1:13" ht="13">
      <c r="A178" s="18" t="s">
        <v>1096</v>
      </c>
      <c r="B178" s="328" t="s">
        <v>1097</v>
      </c>
      <c r="C178" s="316" t="e">
        <f>VLOOKUP($A178,Master!$B$50:$N$232,8,FALSE)</f>
        <v>#N/A</v>
      </c>
      <c r="D178" s="316" t="e">
        <f>VLOOKUP($A178,Master!$B$50:$N$232,9,FALSE)</f>
        <v>#N/A</v>
      </c>
      <c r="E178" s="317" t="e">
        <f>VLOOKUP($A178,Master!$B$50:$N$232,11,FALSE)</f>
        <v>#N/A</v>
      </c>
      <c r="F178" s="318">
        <v>4</v>
      </c>
      <c r="G178" s="319" t="s">
        <v>62</v>
      </c>
      <c r="H178" s="320">
        <v>9600</v>
      </c>
      <c r="I178" s="321" t="b">
        <v>0</v>
      </c>
      <c r="J178" s="322"/>
      <c r="K178" s="323" t="e">
        <f>VLOOKUP($A178,Master!$B$50:$N$232,6,FALSE)</f>
        <v>#N/A</v>
      </c>
      <c r="L178" s="324" t="e">
        <f t="shared" si="17"/>
        <v>#N/A</v>
      </c>
      <c r="M178" s="325"/>
    </row>
    <row r="179" spans="1:13" ht="13">
      <c r="A179" s="21" t="s">
        <v>574</v>
      </c>
      <c r="B179" s="61" t="s">
        <v>575</v>
      </c>
      <c r="C179" s="316" t="e">
        <f>VLOOKUP($A179,Master!$B$50:$N$232,8,FALSE)</f>
        <v>#N/A</v>
      </c>
      <c r="D179" s="316" t="e">
        <f>VLOOKUP($A179,Master!$B$50:$N$232,9,FALSE)</f>
        <v>#N/A</v>
      </c>
      <c r="E179" s="317" t="e">
        <f>VLOOKUP($A179,Master!$B$50:$N$232,11,FALSE)</f>
        <v>#N/A</v>
      </c>
      <c r="F179" s="318">
        <v>1</v>
      </c>
      <c r="G179" s="319" t="s">
        <v>62</v>
      </c>
      <c r="H179" s="320">
        <v>170000</v>
      </c>
      <c r="I179" s="321" t="b">
        <v>1</v>
      </c>
      <c r="J179" s="322">
        <v>1</v>
      </c>
      <c r="K179" s="326" t="e">
        <f>VLOOKUP($A179,Master!$B$50:$N$232,6,FALSE)</f>
        <v>#N/A</v>
      </c>
      <c r="L179" s="327" t="e">
        <f t="shared" si="17"/>
        <v>#N/A</v>
      </c>
      <c r="M179" s="325"/>
    </row>
    <row r="180" spans="1:13" ht="13">
      <c r="A180" s="21" t="s">
        <v>578</v>
      </c>
      <c r="B180" s="61" t="s">
        <v>579</v>
      </c>
      <c r="C180" s="316" t="e">
        <f>VLOOKUP($A180,Master!$B$50:$N$232,8,FALSE)</f>
        <v>#N/A</v>
      </c>
      <c r="D180" s="316" t="e">
        <f>VLOOKUP($A180,Master!$B$50:$N$232,9,FALSE)</f>
        <v>#N/A</v>
      </c>
      <c r="E180" s="317" t="e">
        <f>VLOOKUP($A180,Master!$B$50:$N$232,11,FALSE)</f>
        <v>#N/A</v>
      </c>
      <c r="F180" s="318">
        <v>1</v>
      </c>
      <c r="G180" s="319" t="s">
        <v>62</v>
      </c>
      <c r="H180" s="320">
        <v>220000</v>
      </c>
      <c r="I180" s="321" t="b">
        <v>1</v>
      </c>
      <c r="J180" s="322">
        <v>1</v>
      </c>
      <c r="K180" s="326" t="e">
        <f>VLOOKUP($A180,Master!$B$50:$N$232,6,FALSE)</f>
        <v>#N/A</v>
      </c>
      <c r="L180" s="327" t="e">
        <f t="shared" si="17"/>
        <v>#N/A</v>
      </c>
      <c r="M180" s="325"/>
    </row>
    <row r="181" spans="1:13" ht="13">
      <c r="A181" s="21" t="s">
        <v>651</v>
      </c>
      <c r="B181" s="61" t="s">
        <v>652</v>
      </c>
      <c r="C181" s="316">
        <f>VLOOKUP($A181,Master!$B$50:$N$232,8,FALSE)</f>
        <v>1000</v>
      </c>
      <c r="D181" s="316" t="str">
        <f>VLOOKUP($A181,Master!$B$50:$N$232,9,FALSE)</f>
        <v>gr</v>
      </c>
      <c r="E181" s="317" t="str">
        <f>VLOOKUP($A181,Master!$B$50:$N$232,11,FALSE)</f>
        <v>Eden Farm</v>
      </c>
      <c r="F181" s="318">
        <v>1</v>
      </c>
      <c r="G181" s="319" t="s">
        <v>36</v>
      </c>
      <c r="H181" s="320">
        <v>10200</v>
      </c>
      <c r="I181" s="321" t="b">
        <v>1</v>
      </c>
      <c r="J181" s="322">
        <v>1</v>
      </c>
      <c r="K181" s="323">
        <v>10400</v>
      </c>
      <c r="L181" s="324">
        <f t="shared" si="17"/>
        <v>10400</v>
      </c>
      <c r="M181" s="325"/>
    </row>
    <row r="182" spans="1:13" ht="13">
      <c r="A182" s="21" t="s">
        <v>667</v>
      </c>
      <c r="B182" s="61" t="s">
        <v>668</v>
      </c>
      <c r="C182" s="316">
        <f>VLOOKUP($A182,Master!$B$50:$N$232,8,FALSE)</f>
        <v>1000</v>
      </c>
      <c r="D182" s="316" t="str">
        <f>VLOOKUP($A182,Master!$B$50:$N$232,9,FALSE)</f>
        <v>gr</v>
      </c>
      <c r="E182" s="317" t="str">
        <f>VLOOKUP($A182,Master!$B$50:$N$232,11,FALSE)</f>
        <v>Eden Farm</v>
      </c>
      <c r="F182" s="318">
        <v>1</v>
      </c>
      <c r="G182" s="319" t="s">
        <v>36</v>
      </c>
      <c r="H182" s="320">
        <v>100200</v>
      </c>
      <c r="I182" s="321" t="b">
        <v>1</v>
      </c>
      <c r="J182" s="322">
        <v>1</v>
      </c>
      <c r="K182" s="323">
        <v>102600</v>
      </c>
      <c r="L182" s="324">
        <f t="shared" si="17"/>
        <v>102600</v>
      </c>
      <c r="M182" s="325"/>
    </row>
    <row r="183" spans="1:13" ht="13">
      <c r="A183" s="21" t="s">
        <v>712</v>
      </c>
      <c r="B183" s="61" t="s">
        <v>713</v>
      </c>
      <c r="C183" s="316">
        <f>VLOOKUP($A183,Master!$B$50:$N$232,8,FALSE)</f>
        <v>1000</v>
      </c>
      <c r="D183" s="316" t="str">
        <f>VLOOKUP($A183,Master!$B$50:$N$232,9,FALSE)</f>
        <v>gr</v>
      </c>
      <c r="E183" s="317" t="str">
        <f>VLOOKUP($A183,Master!$B$50:$N$232,11,FALSE)</f>
        <v>Eden Farm</v>
      </c>
      <c r="F183" s="318">
        <v>1</v>
      </c>
      <c r="G183" s="319" t="s">
        <v>36</v>
      </c>
      <c r="H183" s="320">
        <v>24200</v>
      </c>
      <c r="I183" s="321" t="b">
        <v>1</v>
      </c>
      <c r="J183" s="322">
        <v>1</v>
      </c>
      <c r="K183" s="326">
        <f>VLOOKUP($A183,Master!$B$50:$N$232,6,FALSE)</f>
        <v>40000</v>
      </c>
      <c r="L183" s="324">
        <v>21300</v>
      </c>
      <c r="M183" s="325"/>
    </row>
    <row r="184" spans="1:13" ht="13">
      <c r="A184" s="21" t="s">
        <v>716</v>
      </c>
      <c r="B184" s="61" t="s">
        <v>717</v>
      </c>
      <c r="C184" s="316">
        <f>VLOOKUP($A184,Master!$B$50:$N$232,8,FALSE)</f>
        <v>1000</v>
      </c>
      <c r="D184" s="316" t="str">
        <f>VLOOKUP($A184,Master!$B$50:$N$232,9,FALSE)</f>
        <v>gr</v>
      </c>
      <c r="E184" s="317" t="str">
        <f>VLOOKUP($A184,Master!$B$50:$N$232,11,FALSE)</f>
        <v>Eden Farm</v>
      </c>
      <c r="F184" s="318">
        <v>1</v>
      </c>
      <c r="G184" s="319" t="s">
        <v>36</v>
      </c>
      <c r="H184" s="320">
        <v>41700</v>
      </c>
      <c r="I184" s="321" t="b">
        <v>1</v>
      </c>
      <c r="J184" s="322">
        <v>1</v>
      </c>
      <c r="K184" s="326">
        <f>VLOOKUP($A184,Master!$B$50:$N$232,6,FALSE)</f>
        <v>45000</v>
      </c>
      <c r="L184" s="324">
        <v>39900</v>
      </c>
      <c r="M184" s="325"/>
    </row>
    <row r="185" spans="1:13" ht="13">
      <c r="A185" s="21" t="s">
        <v>732</v>
      </c>
      <c r="B185" s="61" t="s">
        <v>733</v>
      </c>
      <c r="C185" s="316">
        <f>VLOOKUP($A185,Master!$B$50:$N$232,8,FALSE)</f>
        <v>1000</v>
      </c>
      <c r="D185" s="316" t="str">
        <f>VLOOKUP($A185,Master!$B$50:$N$232,9,FALSE)</f>
        <v>gr</v>
      </c>
      <c r="E185" s="317" t="str">
        <f>VLOOKUP($A185,Master!$B$50:$N$232,11,FALSE)</f>
        <v>Eden Farm</v>
      </c>
      <c r="F185" s="318">
        <v>4</v>
      </c>
      <c r="G185" s="319" t="s">
        <v>36</v>
      </c>
      <c r="H185" s="320">
        <v>75600</v>
      </c>
      <c r="I185" s="321" t="b">
        <v>1</v>
      </c>
      <c r="J185" s="322">
        <v>4</v>
      </c>
      <c r="K185" s="323">
        <v>19900</v>
      </c>
      <c r="L185" s="324">
        <f t="shared" ref="L185:L187" si="18">J185*K185</f>
        <v>79600</v>
      </c>
      <c r="M185" s="325"/>
    </row>
    <row r="186" spans="1:13" ht="13">
      <c r="A186" s="21" t="s">
        <v>744</v>
      </c>
      <c r="B186" s="61" t="s">
        <v>745</v>
      </c>
      <c r="C186" s="316">
        <f>VLOOKUP($A186,Master!$B$50:$N$232,8,FALSE)</f>
        <v>1000</v>
      </c>
      <c r="D186" s="316" t="str">
        <f>VLOOKUP($A186,Master!$B$50:$N$232,9,FALSE)</f>
        <v>gr</v>
      </c>
      <c r="E186" s="317" t="str">
        <f>VLOOKUP($A186,Master!$B$50:$N$232,11,FALSE)</f>
        <v>Eden Farm</v>
      </c>
      <c r="F186" s="318">
        <v>0.5</v>
      </c>
      <c r="G186" s="319" t="s">
        <v>36</v>
      </c>
      <c r="H186" s="320">
        <v>54500</v>
      </c>
      <c r="I186" s="321" t="b">
        <v>1</v>
      </c>
      <c r="J186" s="322">
        <v>0.5</v>
      </c>
      <c r="K186" s="323">
        <v>57000</v>
      </c>
      <c r="L186" s="324">
        <f t="shared" si="18"/>
        <v>28500</v>
      </c>
      <c r="M186" s="325"/>
    </row>
    <row r="187" spans="1:13" ht="13">
      <c r="A187" s="21" t="s">
        <v>782</v>
      </c>
      <c r="B187" s="61" t="s">
        <v>783</v>
      </c>
      <c r="C187" s="316">
        <f>VLOOKUP($A187,Master!$B$50:$N$232,8,FALSE)</f>
        <v>500</v>
      </c>
      <c r="D187" s="316" t="str">
        <f>VLOOKUP($A187,Master!$B$50:$N$232,9,FALSE)</f>
        <v>gr</v>
      </c>
      <c r="E187" s="317" t="str">
        <f>VLOOKUP($A187,Master!$B$50:$N$232,11,FALSE)</f>
        <v>Toko Lain</v>
      </c>
      <c r="F187" s="318">
        <v>3</v>
      </c>
      <c r="G187" s="319" t="s">
        <v>62</v>
      </c>
      <c r="H187" s="320">
        <v>23100</v>
      </c>
      <c r="I187" s="321" t="b">
        <v>1</v>
      </c>
      <c r="J187" s="322">
        <v>2</v>
      </c>
      <c r="K187" s="323">
        <v>25000</v>
      </c>
      <c r="L187" s="324">
        <f t="shared" si="18"/>
        <v>50000</v>
      </c>
      <c r="M187" s="325" t="s">
        <v>81</v>
      </c>
    </row>
    <row r="188" spans="1:13" ht="13">
      <c r="A188" s="21" t="s">
        <v>919</v>
      </c>
      <c r="B188" s="61" t="s">
        <v>920</v>
      </c>
      <c r="C188" s="316">
        <f>VLOOKUP($A188,Master!$B$50:$N$232,8,FALSE)</f>
        <v>1000</v>
      </c>
      <c r="D188" s="316" t="str">
        <f>VLOOKUP($A188,Master!$B$50:$N$232,9,FALSE)</f>
        <v>gr</v>
      </c>
      <c r="E188" s="317" t="str">
        <f>VLOOKUP($A188,Master!$B$50:$N$232,11,FALSE)</f>
        <v>Eden Farm</v>
      </c>
      <c r="F188" s="318">
        <v>1</v>
      </c>
      <c r="G188" s="319" t="s">
        <v>62</v>
      </c>
      <c r="H188" s="320">
        <v>39900</v>
      </c>
      <c r="I188" s="321" t="b">
        <v>1</v>
      </c>
      <c r="J188" s="322">
        <v>1</v>
      </c>
      <c r="K188" s="326">
        <f>VLOOKUP($A188,Master!$B$50:$N$232,6,FALSE)</f>
        <v>50000</v>
      </c>
      <c r="L188" s="324">
        <v>34200</v>
      </c>
      <c r="M188" s="325"/>
    </row>
    <row r="189" spans="1:13" ht="13">
      <c r="A189" s="21" t="s">
        <v>922</v>
      </c>
      <c r="B189" s="61" t="s">
        <v>923</v>
      </c>
      <c r="C189" s="316">
        <f>VLOOKUP($A189,Master!$B$50:$N$232,8,FALSE)</f>
        <v>400</v>
      </c>
      <c r="D189" s="316" t="str">
        <f>VLOOKUP($A189,Master!$B$50:$N$232,9,FALSE)</f>
        <v>gr</v>
      </c>
      <c r="E189" s="317" t="str">
        <f>VLOOKUP($A189,Master!$B$50:$N$232,11,FALSE)</f>
        <v>Eden Farm</v>
      </c>
      <c r="F189" s="318">
        <v>0.5</v>
      </c>
      <c r="G189" s="319" t="s">
        <v>36</v>
      </c>
      <c r="H189" s="320">
        <v>32100</v>
      </c>
      <c r="I189" s="321" t="b">
        <v>1</v>
      </c>
      <c r="J189" s="322">
        <v>2</v>
      </c>
      <c r="K189" s="326">
        <f>VLOOKUP($A189,Master!$B$50:$N$232,6,FALSE)</f>
        <v>41400</v>
      </c>
      <c r="L189" s="324">
        <v>50800</v>
      </c>
      <c r="M189" s="325" t="s">
        <v>1554</v>
      </c>
    </row>
    <row r="190" spans="1:13" ht="13">
      <c r="A190" s="21" t="s">
        <v>1020</v>
      </c>
      <c r="B190" s="61" t="s">
        <v>1021</v>
      </c>
      <c r="C190" s="316">
        <f>VLOOKUP($A190,Master!$B$50:$N$232,8,FALSE)</f>
        <v>1000</v>
      </c>
      <c r="D190" s="316" t="str">
        <f>VLOOKUP($A190,Master!$B$50:$N$232,9,FALSE)</f>
        <v>gr</v>
      </c>
      <c r="E190" s="317" t="str">
        <f>VLOOKUP($A190,Master!$B$50:$N$232,11,FALSE)</f>
        <v>Eden Farm</v>
      </c>
      <c r="F190" s="318">
        <v>1</v>
      </c>
      <c r="G190" s="319" t="s">
        <v>36</v>
      </c>
      <c r="H190" s="320">
        <v>21800</v>
      </c>
      <c r="I190" s="321" t="b">
        <v>1</v>
      </c>
      <c r="J190" s="322">
        <v>1</v>
      </c>
      <c r="K190" s="326">
        <f>VLOOKUP($A190,Master!$B$50:$N$232,6,FALSE)</f>
        <v>24000</v>
      </c>
      <c r="L190" s="324">
        <v>16900</v>
      </c>
      <c r="M190" s="325"/>
    </row>
    <row r="191" spans="1:13" ht="13">
      <c r="A191" s="21" t="s">
        <v>1050</v>
      </c>
      <c r="B191" s="61" t="s">
        <v>1051</v>
      </c>
      <c r="C191" s="316" t="e">
        <f>VLOOKUP($A191,Master!$B$50:$N$232,8,FALSE)</f>
        <v>#N/A</v>
      </c>
      <c r="D191" s="316" t="e">
        <f>VLOOKUP($A191,Master!$B$50:$N$232,9,FALSE)</f>
        <v>#N/A</v>
      </c>
      <c r="E191" s="317" t="e">
        <f>VLOOKUP($A191,Master!$B$50:$N$232,11,FALSE)</f>
        <v>#N/A</v>
      </c>
      <c r="F191" s="318">
        <v>0.5</v>
      </c>
      <c r="G191" s="319" t="s">
        <v>36</v>
      </c>
      <c r="H191" s="320">
        <v>9500</v>
      </c>
      <c r="I191" s="321" t="b">
        <v>1</v>
      </c>
      <c r="J191" s="322">
        <v>0.5</v>
      </c>
      <c r="K191" s="323">
        <v>9700</v>
      </c>
      <c r="L191" s="324">
        <f t="shared" ref="L191:L198" si="19">J191*K191</f>
        <v>4850</v>
      </c>
      <c r="M191" s="325"/>
    </row>
    <row r="192" spans="1:13" ht="13">
      <c r="A192" s="21" t="s">
        <v>1110</v>
      </c>
      <c r="B192" s="61" t="s">
        <v>1111</v>
      </c>
      <c r="C192" s="316" t="e">
        <f>VLOOKUP($A192,Master!$B$50:$N$240,8,FALSE)</f>
        <v>#N/A</v>
      </c>
      <c r="D192" s="316" t="e">
        <f>VLOOKUP($A192,Master!$B$50:$N$240,9,FALSE)</f>
        <v>#N/A</v>
      </c>
      <c r="E192" s="317" t="s">
        <v>369</v>
      </c>
      <c r="F192" s="318">
        <v>1</v>
      </c>
      <c r="G192" s="319" t="s">
        <v>62</v>
      </c>
      <c r="H192" s="320">
        <v>56000</v>
      </c>
      <c r="I192" s="321" t="b">
        <v>0</v>
      </c>
      <c r="J192" s="322"/>
      <c r="K192" s="326" t="e">
        <f>VLOOKUP($A192,Master!$B$50:$N$240,6,FALSE)</f>
        <v>#N/A</v>
      </c>
      <c r="L192" s="324" t="e">
        <f t="shared" si="19"/>
        <v>#N/A</v>
      </c>
      <c r="M192" s="325"/>
    </row>
    <row r="193" spans="1:13" ht="13">
      <c r="A193" s="22" t="s">
        <v>675</v>
      </c>
      <c r="B193" s="330" t="s">
        <v>676</v>
      </c>
      <c r="C193" s="316">
        <f>VLOOKUP($A193,Master!$B$50:$N$232,8,FALSE)</f>
        <v>20</v>
      </c>
      <c r="D193" s="316" t="str">
        <f>VLOOKUP($A193,Master!$B$50:$N$232,9,FALSE)</f>
        <v>unit</v>
      </c>
      <c r="E193" s="317" t="str">
        <f>VLOOKUP($A193,Master!$B$50:$N$232,11,FALSE)</f>
        <v>RSB, Dago</v>
      </c>
      <c r="F193" s="318">
        <v>15</v>
      </c>
      <c r="G193" s="319" t="s">
        <v>62</v>
      </c>
      <c r="H193" s="320">
        <v>90000</v>
      </c>
      <c r="I193" s="321" t="b">
        <v>1</v>
      </c>
      <c r="J193" s="322">
        <v>15</v>
      </c>
      <c r="K193" s="326">
        <f>VLOOKUP($A193,Master!$B$50:$N$232,6,FALSE)</f>
        <v>13500</v>
      </c>
      <c r="L193" s="327">
        <f t="shared" si="19"/>
        <v>202500</v>
      </c>
      <c r="M193" s="325"/>
    </row>
    <row r="194" spans="1:13" ht="13">
      <c r="A194" s="21" t="s">
        <v>519</v>
      </c>
      <c r="B194" s="61" t="s">
        <v>520</v>
      </c>
      <c r="C194" s="316" t="e">
        <f>VLOOKUP($A194,Master!$B$50:$N$232,8,FALSE)</f>
        <v>#N/A</v>
      </c>
      <c r="D194" s="316" t="e">
        <f>VLOOKUP($A194,Master!$B$50:$N$232,9,FALSE)</f>
        <v>#N/A</v>
      </c>
      <c r="E194" s="317" t="e">
        <f>VLOOKUP($A194,Master!$B$50:$N$232,11,FALSE)</f>
        <v>#N/A</v>
      </c>
      <c r="F194" s="318">
        <v>2</v>
      </c>
      <c r="G194" s="319" t="s">
        <v>36</v>
      </c>
      <c r="H194" s="320">
        <v>28000</v>
      </c>
      <c r="I194" s="321" t="b">
        <v>1</v>
      </c>
      <c r="J194" s="322">
        <v>2</v>
      </c>
      <c r="K194" s="326" t="e">
        <f>VLOOKUP($A194,Master!$B$50:$N$232,6,FALSE)</f>
        <v>#N/A</v>
      </c>
      <c r="L194" s="327" t="e">
        <f t="shared" si="19"/>
        <v>#N/A</v>
      </c>
      <c r="M194" s="325"/>
    </row>
    <row r="195" spans="1:13" ht="13">
      <c r="A195" s="21" t="s">
        <v>528</v>
      </c>
      <c r="B195" s="61" t="s">
        <v>529</v>
      </c>
      <c r="C195" s="316" t="e">
        <f>VLOOKUP($A195,Master!$B$50:$N$232,8,FALSE)</f>
        <v>#N/A</v>
      </c>
      <c r="D195" s="316" t="e">
        <f>VLOOKUP($A195,Master!$B$50:$N$232,9,FALSE)</f>
        <v>#N/A</v>
      </c>
      <c r="E195" s="317" t="e">
        <f>VLOOKUP($A195,Master!$B$50:$N$232,11,FALSE)</f>
        <v>#N/A</v>
      </c>
      <c r="F195" s="318">
        <v>3</v>
      </c>
      <c r="G195" s="319" t="s">
        <v>50</v>
      </c>
      <c r="H195" s="320">
        <v>48000</v>
      </c>
      <c r="I195" s="321" t="b">
        <v>1</v>
      </c>
      <c r="J195" s="322">
        <v>3</v>
      </c>
      <c r="K195" s="326" t="e">
        <f>VLOOKUP($A195,Master!$B$50:$N$232,6,FALSE)</f>
        <v>#N/A</v>
      </c>
      <c r="L195" s="327" t="e">
        <f t="shared" si="19"/>
        <v>#N/A</v>
      </c>
      <c r="M195" s="325"/>
    </row>
    <row r="196" spans="1:13" ht="13">
      <c r="A196" s="21" t="s">
        <v>635</v>
      </c>
      <c r="B196" s="61" t="s">
        <v>636</v>
      </c>
      <c r="C196" s="316" t="e">
        <f>VLOOKUP($A196,Master!$B$50:$N$232,8,FALSE)</f>
        <v>#N/A</v>
      </c>
      <c r="D196" s="316" t="e">
        <f>VLOOKUP($A196,Master!$B$50:$N$232,9,FALSE)</f>
        <v>#N/A</v>
      </c>
      <c r="E196" s="317" t="e">
        <f>VLOOKUP($A196,Master!$B$50:$N$232,11,FALSE)</f>
        <v>#N/A</v>
      </c>
      <c r="F196" s="318">
        <v>6</v>
      </c>
      <c r="G196" s="319" t="s">
        <v>50</v>
      </c>
      <c r="H196" s="320">
        <v>66000</v>
      </c>
      <c r="I196" s="321" t="b">
        <v>1</v>
      </c>
      <c r="J196" s="322">
        <v>3</v>
      </c>
      <c r="K196" s="326" t="e">
        <f>VLOOKUP($A196,Master!$B$50:$N$232,6,FALSE)</f>
        <v>#N/A</v>
      </c>
      <c r="L196" s="327" t="e">
        <f t="shared" si="19"/>
        <v>#N/A</v>
      </c>
      <c r="M196" s="325"/>
    </row>
    <row r="197" spans="1:13" ht="13">
      <c r="A197" s="21" t="s">
        <v>643</v>
      </c>
      <c r="B197" s="61" t="s">
        <v>644</v>
      </c>
      <c r="C197" s="316">
        <f>VLOOKUP($A197,Master!$B$50:$N$232,8,FALSE)</f>
        <v>1000</v>
      </c>
      <c r="D197" s="316" t="str">
        <f>VLOOKUP($A197,Master!$B$50:$N$232,9,FALSE)</f>
        <v>gr</v>
      </c>
      <c r="E197" s="317" t="str">
        <f>VLOOKUP($A197,Master!$B$50:$N$232,11,FALSE)</f>
        <v>PD Aroma Jaya</v>
      </c>
      <c r="F197" s="318">
        <v>2</v>
      </c>
      <c r="G197" s="319" t="s">
        <v>36</v>
      </c>
      <c r="H197" s="320">
        <v>32000</v>
      </c>
      <c r="I197" s="321" t="b">
        <v>1</v>
      </c>
      <c r="J197" s="322">
        <v>2</v>
      </c>
      <c r="K197" s="326">
        <f>VLOOKUP($A197,Master!$B$50:$N$232,6,FALSE)</f>
        <v>17000</v>
      </c>
      <c r="L197" s="327">
        <f t="shared" si="19"/>
        <v>34000</v>
      </c>
      <c r="M197" s="325"/>
    </row>
    <row r="198" spans="1:13" ht="13">
      <c r="A198" s="21" t="s">
        <v>680</v>
      </c>
      <c r="B198" s="61" t="s">
        <v>681</v>
      </c>
      <c r="C198" s="316" t="e">
        <f>VLOOKUP($A198,Master!$B$50:$N$232,8,FALSE)</f>
        <v>#N/A</v>
      </c>
      <c r="D198" s="316" t="e">
        <f>VLOOKUP($A198,Master!$B$50:$N$232,9,FALSE)</f>
        <v>#N/A</v>
      </c>
      <c r="E198" s="317" t="e">
        <f>VLOOKUP($A198,Master!$B$50:$N$232,11,FALSE)</f>
        <v>#N/A</v>
      </c>
      <c r="F198" s="318">
        <v>3</v>
      </c>
      <c r="G198" s="319" t="s">
        <v>97</v>
      </c>
      <c r="H198" s="320">
        <v>90000</v>
      </c>
      <c r="I198" s="321" t="b">
        <v>1</v>
      </c>
      <c r="J198" s="322">
        <v>2</v>
      </c>
      <c r="K198" s="326" t="e">
        <f>VLOOKUP($A198,Master!$B$50:$N$232,6,FALSE)</f>
        <v>#N/A</v>
      </c>
      <c r="L198" s="327" t="e">
        <f t="shared" si="19"/>
        <v>#N/A</v>
      </c>
      <c r="M198" s="325"/>
    </row>
    <row r="199" spans="1:13" ht="13">
      <c r="A199" s="21" t="s">
        <v>688</v>
      </c>
      <c r="B199" s="61" t="s">
        <v>689</v>
      </c>
      <c r="C199" s="316" t="e">
        <f>VLOOKUP($A199,Master!$B$50:$N$232,8,FALSE)</f>
        <v>#N/A</v>
      </c>
      <c r="D199" s="316" t="e">
        <f>VLOOKUP($A199,Master!$B$50:$N$232,9,FALSE)</f>
        <v>#N/A</v>
      </c>
      <c r="E199" s="317" t="e">
        <f>VLOOKUP($A199,Master!$B$50:$N$232,11,FALSE)</f>
        <v>#N/A</v>
      </c>
      <c r="F199" s="318">
        <v>1</v>
      </c>
      <c r="G199" s="319" t="s">
        <v>62</v>
      </c>
      <c r="H199" s="320">
        <v>62500</v>
      </c>
      <c r="I199" s="321" t="b">
        <v>1</v>
      </c>
      <c r="J199" s="322">
        <v>1</v>
      </c>
      <c r="K199" s="326" t="e">
        <f>VLOOKUP($A199,Master!$B$50:$N$232,6,FALSE)</f>
        <v>#N/A</v>
      </c>
      <c r="L199" s="324">
        <v>62000</v>
      </c>
      <c r="M199" s="325"/>
    </row>
    <row r="200" spans="1:13" ht="13">
      <c r="A200" s="21" t="s">
        <v>696</v>
      </c>
      <c r="B200" s="61" t="s">
        <v>697</v>
      </c>
      <c r="C200" s="316" t="e">
        <f>VLOOKUP($A200,Master!$B$50:$N$232,8,FALSE)</f>
        <v>#N/A</v>
      </c>
      <c r="D200" s="316" t="e">
        <f>VLOOKUP($A200,Master!$B$50:$N$232,9,FALSE)</f>
        <v>#N/A</v>
      </c>
      <c r="E200" s="317" t="e">
        <f>VLOOKUP($A200,Master!$B$50:$N$232,11,FALSE)</f>
        <v>#N/A</v>
      </c>
      <c r="F200" s="318">
        <v>8</v>
      </c>
      <c r="G200" s="319" t="s">
        <v>62</v>
      </c>
      <c r="H200" s="320">
        <v>112000</v>
      </c>
      <c r="I200" s="321" t="b">
        <v>0</v>
      </c>
      <c r="J200" s="322"/>
      <c r="K200" s="326" t="e">
        <f>VLOOKUP($A200,Master!$B$50:$N$232,6,FALSE)</f>
        <v>#N/A</v>
      </c>
      <c r="L200" s="327" t="e">
        <f>J200*K200</f>
        <v>#N/A</v>
      </c>
      <c r="M200" s="325" t="s">
        <v>1507</v>
      </c>
    </row>
    <row r="201" spans="1:13" ht="13">
      <c r="A201" s="21" t="s">
        <v>708</v>
      </c>
      <c r="B201" s="61" t="s">
        <v>709</v>
      </c>
      <c r="C201" s="316" t="e">
        <f>VLOOKUP($A201,Master!$B$50:$N$232,8,FALSE)</f>
        <v>#N/A</v>
      </c>
      <c r="D201" s="316" t="e">
        <f>VLOOKUP($A201,Master!$B$50:$N$232,9,FALSE)</f>
        <v>#N/A</v>
      </c>
      <c r="E201" s="317" t="e">
        <f>VLOOKUP($A201,Master!$B$50:$N$232,11,FALSE)</f>
        <v>#N/A</v>
      </c>
      <c r="F201" s="318">
        <v>1</v>
      </c>
      <c r="G201" s="319" t="s">
        <v>143</v>
      </c>
      <c r="H201" s="320">
        <v>365000</v>
      </c>
      <c r="I201" s="321" t="b">
        <v>1</v>
      </c>
      <c r="J201" s="322">
        <v>1</v>
      </c>
      <c r="K201" s="326" t="e">
        <f>VLOOKUP($A201,Master!$B$50:$N$232,6,FALSE)</f>
        <v>#N/A</v>
      </c>
      <c r="L201" s="324">
        <v>310000</v>
      </c>
      <c r="M201" s="325" t="s">
        <v>1555</v>
      </c>
    </row>
    <row r="202" spans="1:13" ht="13">
      <c r="A202" s="21" t="s">
        <v>748</v>
      </c>
      <c r="B202" s="61" t="s">
        <v>749</v>
      </c>
      <c r="C202" s="316" t="e">
        <f>VLOOKUP($A202,Master!$B$50:$N$232,8,FALSE)</f>
        <v>#N/A</v>
      </c>
      <c r="D202" s="316" t="e">
        <f>VLOOKUP($A202,Master!$B$50:$N$232,9,FALSE)</f>
        <v>#N/A</v>
      </c>
      <c r="E202" s="317" t="e">
        <f>VLOOKUP($A202,Master!$B$50:$N$232,11,FALSE)</f>
        <v>#N/A</v>
      </c>
      <c r="F202" s="318">
        <v>1</v>
      </c>
      <c r="G202" s="319" t="s">
        <v>62</v>
      </c>
      <c r="H202" s="320">
        <v>27500</v>
      </c>
      <c r="I202" s="321" t="b">
        <v>1</v>
      </c>
      <c r="J202" s="322">
        <v>1</v>
      </c>
      <c r="K202" s="326" t="e">
        <f>VLOOKUP($A202,Master!$B$50:$N$232,6,FALSE)</f>
        <v>#N/A</v>
      </c>
      <c r="L202" s="324">
        <v>27000</v>
      </c>
      <c r="M202" s="325"/>
    </row>
    <row r="203" spans="1:13" ht="13">
      <c r="A203" s="21" t="s">
        <v>752</v>
      </c>
      <c r="B203" s="61" t="s">
        <v>753</v>
      </c>
      <c r="C203" s="316" t="e">
        <f>VLOOKUP($A203,Master!$B$50:$N$232,8,FALSE)</f>
        <v>#N/A</v>
      </c>
      <c r="D203" s="316" t="e">
        <f>VLOOKUP($A203,Master!$B$50:$N$232,9,FALSE)</f>
        <v>#N/A</v>
      </c>
      <c r="E203" s="317" t="e">
        <f>VLOOKUP($A203,Master!$B$50:$N$232,11,FALSE)</f>
        <v>#N/A</v>
      </c>
      <c r="F203" s="318">
        <v>1</v>
      </c>
      <c r="G203" s="319" t="s">
        <v>62</v>
      </c>
      <c r="H203" s="320">
        <v>38000</v>
      </c>
      <c r="I203" s="321" t="b">
        <v>1</v>
      </c>
      <c r="J203" s="322">
        <v>1</v>
      </c>
      <c r="K203" s="326" t="e">
        <f>VLOOKUP($A203,Master!$B$50:$N$232,6,FALSE)</f>
        <v>#N/A</v>
      </c>
      <c r="L203" s="327" t="e">
        <f t="shared" ref="L203:L215" si="20">J203*K203</f>
        <v>#N/A</v>
      </c>
      <c r="M203" s="325"/>
    </row>
    <row r="204" spans="1:13" ht="13">
      <c r="A204" s="21" t="s">
        <v>767</v>
      </c>
      <c r="B204" s="61" t="s">
        <v>768</v>
      </c>
      <c r="C204" s="316" t="e">
        <f>VLOOKUP($A204,Master!$B$50:$N$232,8,FALSE)</f>
        <v>#N/A</v>
      </c>
      <c r="D204" s="316" t="e">
        <f>VLOOKUP($A204,Master!$B$50:$N$232,9,FALSE)</f>
        <v>#N/A</v>
      </c>
      <c r="E204" s="317" t="e">
        <f>VLOOKUP($A204,Master!$B$50:$N$232,11,FALSE)</f>
        <v>#N/A</v>
      </c>
      <c r="F204" s="318">
        <v>2</v>
      </c>
      <c r="G204" s="319" t="s">
        <v>62</v>
      </c>
      <c r="H204" s="320">
        <v>39000</v>
      </c>
      <c r="I204" s="321" t="b">
        <v>1</v>
      </c>
      <c r="J204" s="322">
        <v>2</v>
      </c>
      <c r="K204" s="326" t="e">
        <f>VLOOKUP($A204,Master!$B$50:$N$232,6,FALSE)</f>
        <v>#N/A</v>
      </c>
      <c r="L204" s="327" t="e">
        <f t="shared" si="20"/>
        <v>#N/A</v>
      </c>
      <c r="M204" s="325"/>
    </row>
    <row r="205" spans="1:13" ht="13">
      <c r="A205" s="21" t="s">
        <v>773</v>
      </c>
      <c r="B205" s="61" t="s">
        <v>774</v>
      </c>
      <c r="C205" s="316" t="e">
        <f>VLOOKUP($A205,Master!$B$50:$N$232,8,FALSE)</f>
        <v>#N/A</v>
      </c>
      <c r="D205" s="316" t="e">
        <f>VLOOKUP($A205,Master!$B$50:$N$232,9,FALSE)</f>
        <v>#N/A</v>
      </c>
      <c r="E205" s="317" t="e">
        <f>VLOOKUP($A205,Master!$B$50:$N$232,11,FALSE)</f>
        <v>#N/A</v>
      </c>
      <c r="F205" s="318">
        <v>4</v>
      </c>
      <c r="G205" s="319" t="s">
        <v>62</v>
      </c>
      <c r="H205" s="320">
        <v>56000</v>
      </c>
      <c r="I205" s="321" t="b">
        <v>1</v>
      </c>
      <c r="J205" s="322">
        <v>4</v>
      </c>
      <c r="K205" s="326" t="e">
        <f>VLOOKUP($A205,Master!$B$50:$N$232,6,FALSE)</f>
        <v>#N/A</v>
      </c>
      <c r="L205" s="327" t="e">
        <f t="shared" si="20"/>
        <v>#N/A</v>
      </c>
      <c r="M205" s="325"/>
    </row>
    <row r="206" spans="1:13" ht="13">
      <c r="A206" s="21" t="s">
        <v>787</v>
      </c>
      <c r="B206" s="61" t="s">
        <v>788</v>
      </c>
      <c r="C206" s="316" t="e">
        <f>VLOOKUP($A206,Master!$B$50:$N$232,8,FALSE)</f>
        <v>#N/A</v>
      </c>
      <c r="D206" s="316" t="e">
        <f>VLOOKUP($A206,Master!$B$50:$N$232,9,FALSE)</f>
        <v>#N/A</v>
      </c>
      <c r="E206" s="317" t="e">
        <f>VLOOKUP($A206,Master!$B$50:$N$232,11,FALSE)</f>
        <v>#N/A</v>
      </c>
      <c r="F206" s="318">
        <v>2</v>
      </c>
      <c r="G206" s="319" t="s">
        <v>97</v>
      </c>
      <c r="H206" s="320">
        <v>40500</v>
      </c>
      <c r="I206" s="321" t="b">
        <v>1</v>
      </c>
      <c r="J206" s="322">
        <v>2</v>
      </c>
      <c r="K206" s="326" t="e">
        <f>VLOOKUP($A206,Master!$B$50:$N$232,6,FALSE)</f>
        <v>#N/A</v>
      </c>
      <c r="L206" s="327" t="e">
        <f t="shared" si="20"/>
        <v>#N/A</v>
      </c>
      <c r="M206" s="325"/>
    </row>
    <row r="207" spans="1:13" ht="13">
      <c r="A207" s="21" t="s">
        <v>892</v>
      </c>
      <c r="B207" s="61" t="s">
        <v>893</v>
      </c>
      <c r="C207" s="316" t="e">
        <f>VLOOKUP($A207,Master!$B$50:$N$232,8,FALSE)</f>
        <v>#N/A</v>
      </c>
      <c r="D207" s="316" t="e">
        <f>VLOOKUP($A207,Master!$B$50:$N$232,9,FALSE)</f>
        <v>#N/A</v>
      </c>
      <c r="E207" s="317" t="e">
        <f>VLOOKUP($A207,Master!$B$50:$N$232,11,FALSE)</f>
        <v>#N/A</v>
      </c>
      <c r="F207" s="318">
        <v>2</v>
      </c>
      <c r="G207" s="319" t="s">
        <v>36</v>
      </c>
      <c r="H207" s="320">
        <v>215000</v>
      </c>
      <c r="I207" s="321" t="b">
        <v>1</v>
      </c>
      <c r="J207" s="322">
        <v>2</v>
      </c>
      <c r="K207" s="323">
        <f>221450/2</f>
        <v>110725</v>
      </c>
      <c r="L207" s="324">
        <f t="shared" si="20"/>
        <v>221450</v>
      </c>
      <c r="M207" s="325"/>
    </row>
    <row r="208" spans="1:13" ht="13">
      <c r="A208" s="21" t="s">
        <v>934</v>
      </c>
      <c r="B208" s="61" t="s">
        <v>935</v>
      </c>
      <c r="C208" s="316" t="e">
        <f>VLOOKUP($A208,Master!$B$50:$N$232,8,FALSE)</f>
        <v>#N/A</v>
      </c>
      <c r="D208" s="316" t="e">
        <f>VLOOKUP($A208,Master!$B$50:$N$232,9,FALSE)</f>
        <v>#N/A</v>
      </c>
      <c r="E208" s="317" t="e">
        <f>VLOOKUP($A208,Master!$B$50:$N$232,11,FALSE)</f>
        <v>#N/A</v>
      </c>
      <c r="F208" s="318">
        <v>3</v>
      </c>
      <c r="G208" s="319" t="s">
        <v>62</v>
      </c>
      <c r="H208" s="320">
        <v>23700</v>
      </c>
      <c r="I208" s="321" t="b">
        <v>1</v>
      </c>
      <c r="J208" s="322">
        <v>3</v>
      </c>
      <c r="K208" s="326" t="e">
        <f>VLOOKUP($A208,Master!$B$50:$N$232,6,FALSE)</f>
        <v>#N/A</v>
      </c>
      <c r="L208" s="327" t="e">
        <f t="shared" si="20"/>
        <v>#N/A</v>
      </c>
      <c r="M208" s="325"/>
    </row>
    <row r="209" spans="1:13" ht="13">
      <c r="A209" s="21" t="s">
        <v>943</v>
      </c>
      <c r="B209" s="61" t="s">
        <v>944</v>
      </c>
      <c r="C209" s="316" t="e">
        <f>VLOOKUP($A209,Master!$B$50:$N$232,8,FALSE)</f>
        <v>#N/A</v>
      </c>
      <c r="D209" s="316" t="e">
        <f>VLOOKUP($A209,Master!$B$50:$N$232,9,FALSE)</f>
        <v>#N/A</v>
      </c>
      <c r="E209" s="317" t="e">
        <f>VLOOKUP($A209,Master!$B$50:$N$232,11,FALSE)</f>
        <v>#N/A</v>
      </c>
      <c r="F209" s="318">
        <v>1</v>
      </c>
      <c r="G209" s="319" t="s">
        <v>62</v>
      </c>
      <c r="H209" s="320">
        <v>7900</v>
      </c>
      <c r="I209" s="321" t="b">
        <v>1</v>
      </c>
      <c r="J209" s="322">
        <v>1</v>
      </c>
      <c r="K209" s="326" t="e">
        <f>VLOOKUP($A209,Master!$B$50:$N$232,6,FALSE)</f>
        <v>#N/A</v>
      </c>
      <c r="L209" s="327" t="e">
        <f t="shared" si="20"/>
        <v>#N/A</v>
      </c>
      <c r="M209" s="325"/>
    </row>
    <row r="210" spans="1:13" ht="13">
      <c r="A210" s="21" t="s">
        <v>982</v>
      </c>
      <c r="B210" s="61" t="s">
        <v>983</v>
      </c>
      <c r="C210" s="316">
        <f>VLOOKUP($A210,Master!$B$50:$N$232,8,FALSE)</f>
        <v>12</v>
      </c>
      <c r="D210" s="316" t="str">
        <f>VLOOKUP($A210,Master!$B$50:$N$232,9,FALSE)</f>
        <v>pcs</v>
      </c>
      <c r="E210" s="317" t="str">
        <f>VLOOKUP($A210,Master!$B$50:$N$232,11,FALSE)</f>
        <v>PD Aroma Jaya</v>
      </c>
      <c r="F210" s="318">
        <v>2</v>
      </c>
      <c r="G210" s="319" t="s">
        <v>62</v>
      </c>
      <c r="H210" s="320">
        <v>44000</v>
      </c>
      <c r="I210" s="321" t="b">
        <v>1</v>
      </c>
      <c r="J210" s="322">
        <v>2</v>
      </c>
      <c r="K210" s="326">
        <f>VLOOKUP($A210,Master!$B$50:$N$232,6,FALSE)</f>
        <v>18000</v>
      </c>
      <c r="L210" s="327">
        <f t="shared" si="20"/>
        <v>36000</v>
      </c>
      <c r="M210" s="325"/>
    </row>
    <row r="211" spans="1:13" ht="13">
      <c r="A211" s="21" t="s">
        <v>989</v>
      </c>
      <c r="B211" s="61" t="s">
        <v>990</v>
      </c>
      <c r="C211" s="316">
        <f>VLOOKUP($A211,Master!$B$50:$N$232,8,FALSE)</f>
        <v>5000</v>
      </c>
      <c r="D211" s="316" t="str">
        <f>VLOOKUP($A211,Master!$B$50:$N$232,9,FALSE)</f>
        <v>ml</v>
      </c>
      <c r="E211" s="317" t="str">
        <f>VLOOKUP($A211,Master!$B$50:$N$232,11,FALSE)</f>
        <v>Kurnia Mas</v>
      </c>
      <c r="F211" s="318">
        <v>4</v>
      </c>
      <c r="G211" s="319" t="s">
        <v>62</v>
      </c>
      <c r="H211" s="320">
        <v>78000</v>
      </c>
      <c r="I211" s="321" t="b">
        <v>1</v>
      </c>
      <c r="J211" s="322">
        <v>4</v>
      </c>
      <c r="K211" s="326">
        <f>VLOOKUP($A211,Master!$B$50:$N$232,6,FALSE)</f>
        <v>54500</v>
      </c>
      <c r="L211" s="327">
        <f t="shared" si="20"/>
        <v>218000</v>
      </c>
      <c r="M211" s="325"/>
    </row>
    <row r="212" spans="1:13" ht="13">
      <c r="A212" s="21" t="s">
        <v>1548</v>
      </c>
      <c r="B212" s="61" t="s">
        <v>1015</v>
      </c>
      <c r="C212" s="316" t="e">
        <f>VLOOKUP($A212,Master!$B$50:$N$232,8,FALSE)</f>
        <v>#N/A</v>
      </c>
      <c r="D212" s="316" t="e">
        <f>VLOOKUP($A212,Master!$B$50:$N$232,9,FALSE)</f>
        <v>#N/A</v>
      </c>
      <c r="E212" s="317" t="e">
        <f>VLOOKUP($A212,Master!$B$50:$N$232,11,FALSE)</f>
        <v>#N/A</v>
      </c>
      <c r="F212" s="318">
        <v>2</v>
      </c>
      <c r="G212" s="319" t="s">
        <v>62</v>
      </c>
      <c r="H212" s="320">
        <v>20000</v>
      </c>
      <c r="I212" s="321" t="b">
        <v>1</v>
      </c>
      <c r="J212" s="322">
        <v>2</v>
      </c>
      <c r="K212" s="323">
        <f>19250/2</f>
        <v>9625</v>
      </c>
      <c r="L212" s="324">
        <f t="shared" si="20"/>
        <v>19250</v>
      </c>
      <c r="M212" s="325"/>
    </row>
    <row r="213" spans="1:13" ht="13">
      <c r="A213" s="21" t="s">
        <v>1106</v>
      </c>
      <c r="B213" s="61" t="s">
        <v>1107</v>
      </c>
      <c r="C213" s="316" t="e">
        <f>VLOOKUP($A213,Master!$B$50:$N$232,8,FALSE)</f>
        <v>#N/A</v>
      </c>
      <c r="D213" s="316" t="e">
        <f>VLOOKUP($A213,Master!$B$50:$N$232,9,FALSE)</f>
        <v>#N/A</v>
      </c>
      <c r="E213" s="317" t="e">
        <f>VLOOKUP($A213,Master!$B$50:$N$232,11,FALSE)</f>
        <v>#N/A</v>
      </c>
      <c r="F213" s="318">
        <v>1</v>
      </c>
      <c r="G213" s="319" t="s">
        <v>62</v>
      </c>
      <c r="H213" s="320">
        <v>65000</v>
      </c>
      <c r="I213" s="321" t="b">
        <v>1</v>
      </c>
      <c r="J213" s="322">
        <v>1</v>
      </c>
      <c r="K213" s="323" t="e">
        <f>VLOOKUP($A213,Master!$B$50:$N$232,6,FALSE)</f>
        <v>#N/A</v>
      </c>
      <c r="L213" s="324" t="e">
        <f t="shared" si="20"/>
        <v>#N/A</v>
      </c>
      <c r="M213" s="325"/>
    </row>
    <row r="214" spans="1:13" ht="13">
      <c r="A214" s="21" t="s">
        <v>562</v>
      </c>
      <c r="B214" s="61" t="s">
        <v>563</v>
      </c>
      <c r="C214" s="316" t="e">
        <f>VLOOKUP($A214,Master!$B$50:$N$232,8,FALSE)</f>
        <v>#N/A</v>
      </c>
      <c r="D214" s="316" t="e">
        <f>VLOOKUP($A214,Master!$B$50:$N$232,9,FALSE)</f>
        <v>#N/A</v>
      </c>
      <c r="E214" s="317" t="e">
        <f>VLOOKUP($A214,Master!$B$50:$N$232,11,FALSE)</f>
        <v>#N/A</v>
      </c>
      <c r="F214" s="318">
        <v>1</v>
      </c>
      <c r="G214" s="319" t="s">
        <v>97</v>
      </c>
      <c r="H214" s="320">
        <v>216450</v>
      </c>
      <c r="I214" s="321" t="b">
        <v>1</v>
      </c>
      <c r="J214" s="322">
        <v>1</v>
      </c>
      <c r="K214" s="326" t="e">
        <f>VLOOKUP($A214,Master!$B$50:$N$232,6,FALSE)</f>
        <v>#N/A</v>
      </c>
      <c r="L214" s="327" t="e">
        <f t="shared" si="20"/>
        <v>#N/A</v>
      </c>
      <c r="M214" s="325" t="s">
        <v>1556</v>
      </c>
    </row>
    <row r="215" spans="1:13" ht="13">
      <c r="A215" s="21" t="s">
        <v>961</v>
      </c>
      <c r="B215" s="61" t="s">
        <v>962</v>
      </c>
      <c r="C215" s="316" t="e">
        <f>VLOOKUP($A215,Master!$B$50:$N$232,8,FALSE)</f>
        <v>#N/A</v>
      </c>
      <c r="D215" s="316" t="e">
        <f>VLOOKUP($A215,Master!$B$50:$N$232,9,FALSE)</f>
        <v>#N/A</v>
      </c>
      <c r="E215" s="317" t="e">
        <f>VLOOKUP($A215,Master!$B$50:$N$232,11,FALSE)</f>
        <v>#N/A</v>
      </c>
      <c r="F215" s="318">
        <v>1</v>
      </c>
      <c r="G215" s="319" t="s">
        <v>97</v>
      </c>
      <c r="H215" s="320">
        <v>94350</v>
      </c>
      <c r="I215" s="321" t="b">
        <v>1</v>
      </c>
      <c r="J215" s="322">
        <v>1</v>
      </c>
      <c r="K215" s="326" t="e">
        <f>VLOOKUP($A215,Master!$B$50:$N$232,6,FALSE)</f>
        <v>#N/A</v>
      </c>
      <c r="L215" s="327" t="e">
        <f t="shared" si="20"/>
        <v>#N/A</v>
      </c>
      <c r="M215" s="325" t="s">
        <v>1556</v>
      </c>
    </row>
    <row r="216" spans="1:13" ht="13">
      <c r="A216" s="21" t="s">
        <v>995</v>
      </c>
      <c r="B216" s="61" t="s">
        <v>996</v>
      </c>
      <c r="C216" s="316" t="e">
        <f>VLOOKUP($A216,Master!$B$50:$N$232,8,FALSE)</f>
        <v>#N/A</v>
      </c>
      <c r="D216" s="316" t="e">
        <f>VLOOKUP($A216,Master!$B$50:$N$232,9,FALSE)</f>
        <v>#N/A</v>
      </c>
      <c r="E216" s="317" t="e">
        <f>VLOOKUP($A216,Master!$B$50:$N$232,11,FALSE)</f>
        <v>#N/A</v>
      </c>
      <c r="F216" s="318">
        <v>1</v>
      </c>
      <c r="G216" s="319" t="s">
        <v>143</v>
      </c>
      <c r="H216" s="320">
        <v>385740</v>
      </c>
      <c r="I216" s="321" t="b">
        <v>1</v>
      </c>
      <c r="J216" s="322">
        <v>1</v>
      </c>
      <c r="K216" s="326" t="e">
        <f>VLOOKUP($A216,Master!$B$50:$N$232,6,FALSE)</f>
        <v>#N/A</v>
      </c>
      <c r="L216" s="324">
        <v>198419</v>
      </c>
      <c r="M216" s="325" t="s">
        <v>1557</v>
      </c>
    </row>
    <row r="217" spans="1:13" ht="13">
      <c r="A217" s="21" t="s">
        <v>552</v>
      </c>
      <c r="B217" s="61" t="s">
        <v>553</v>
      </c>
      <c r="C217" s="316" t="e">
        <f>VLOOKUP($A217,Master!$B$50:$N$232,8,FALSE)</f>
        <v>#N/A</v>
      </c>
      <c r="D217" s="316" t="e">
        <f>VLOOKUP($A217,Master!$B$50:$N$232,9,FALSE)</f>
        <v>#N/A</v>
      </c>
      <c r="E217" s="317" t="e">
        <f>VLOOKUP($A217,Master!$B$50:$N$232,11,FALSE)</f>
        <v>#N/A</v>
      </c>
      <c r="F217" s="318">
        <v>2</v>
      </c>
      <c r="G217" s="319" t="s">
        <v>121</v>
      </c>
      <c r="H217" s="320">
        <v>114000</v>
      </c>
      <c r="I217" s="321" t="b">
        <v>1</v>
      </c>
      <c r="J217" s="322">
        <v>2</v>
      </c>
      <c r="K217" s="326" t="e">
        <f>VLOOKUP($A217,Master!$B$50:$N$232,6,FALSE)</f>
        <v>#N/A</v>
      </c>
      <c r="L217" s="324">
        <v>60600</v>
      </c>
      <c r="M217" s="325" t="s">
        <v>1556</v>
      </c>
    </row>
    <row r="218" spans="1:13" ht="13">
      <c r="A218" s="21" t="s">
        <v>548</v>
      </c>
      <c r="B218" s="61" t="s">
        <v>549</v>
      </c>
      <c r="C218" s="316" t="e">
        <f>VLOOKUP($A218,Master!$B$50:$N$232,8,FALSE)</f>
        <v>#N/A</v>
      </c>
      <c r="D218" s="316" t="e">
        <f>VLOOKUP($A218,Master!$B$50:$N$232,9,FALSE)</f>
        <v>#N/A</v>
      </c>
      <c r="E218" s="317" t="e">
        <f>VLOOKUP($A218,Master!$B$50:$N$232,11,FALSE)</f>
        <v>#N/A</v>
      </c>
      <c r="F218" s="318">
        <v>2</v>
      </c>
      <c r="G218" s="319" t="s">
        <v>87</v>
      </c>
      <c r="H218" s="320">
        <v>315130</v>
      </c>
      <c r="I218" s="321" t="b">
        <v>1</v>
      </c>
      <c r="J218" s="322">
        <v>2</v>
      </c>
      <c r="K218" s="326" t="e">
        <f>VLOOKUP($A218,Master!$B$50:$N$232,6,FALSE)</f>
        <v>#N/A</v>
      </c>
      <c r="L218" s="327" t="e">
        <f t="shared" ref="L218:L219" si="21">J218*K218</f>
        <v>#N/A</v>
      </c>
      <c r="M218" s="325"/>
    </row>
    <row r="219" spans="1:13" ht="13">
      <c r="A219" s="21" t="s">
        <v>623</v>
      </c>
      <c r="B219" s="61" t="s">
        <v>624</v>
      </c>
      <c r="C219" s="316" t="e">
        <f>VLOOKUP($A219,Master!$B$50:$N$232,8,FALSE)</f>
        <v>#N/A</v>
      </c>
      <c r="D219" s="316" t="e">
        <f>VLOOKUP($A219,Master!$B$50:$N$232,9,FALSE)</f>
        <v>#N/A</v>
      </c>
      <c r="E219" s="317" t="e">
        <f>VLOOKUP($A219,Master!$B$50:$N$232,11,FALSE)</f>
        <v>#N/A</v>
      </c>
      <c r="F219" s="318">
        <v>4</v>
      </c>
      <c r="G219" s="319" t="s">
        <v>143</v>
      </c>
      <c r="H219" s="320">
        <v>727716</v>
      </c>
      <c r="I219" s="321" t="b">
        <v>1</v>
      </c>
      <c r="J219" s="322">
        <v>4</v>
      </c>
      <c r="K219" s="326" t="e">
        <f>VLOOKUP($A219,Master!$B$50:$N$232,6,FALSE)</f>
        <v>#N/A</v>
      </c>
      <c r="L219" s="327" t="e">
        <f t="shared" si="21"/>
        <v>#N/A</v>
      </c>
      <c r="M219" s="325"/>
    </row>
    <row r="220" spans="1:13" ht="13">
      <c r="A220" s="21" t="s">
        <v>704</v>
      </c>
      <c r="B220" s="61" t="s">
        <v>705</v>
      </c>
      <c r="C220" s="316" t="e">
        <f>VLOOKUP($A220,Master!$B$50:$N$232,8,FALSE)</f>
        <v>#N/A</v>
      </c>
      <c r="D220" s="316" t="e">
        <f>VLOOKUP($A220,Master!$B$50:$N$232,9,FALSE)</f>
        <v>#N/A</v>
      </c>
      <c r="E220" s="317" t="e">
        <f>VLOOKUP($A220,Master!$B$50:$N$232,11,FALSE)</f>
        <v>#N/A</v>
      </c>
      <c r="F220" s="318">
        <v>4</v>
      </c>
      <c r="G220" s="319" t="s">
        <v>143</v>
      </c>
      <c r="H220" s="320">
        <v>811188</v>
      </c>
      <c r="I220" s="321" t="b">
        <v>1</v>
      </c>
      <c r="J220" s="322">
        <v>4</v>
      </c>
      <c r="K220" s="326" t="e">
        <f>VLOOKUP($A220,Master!$B$50:$N$232,6,FALSE)</f>
        <v>#N/A</v>
      </c>
      <c r="L220" s="324">
        <v>730800</v>
      </c>
      <c r="M220" s="325"/>
    </row>
    <row r="221" spans="1:13" ht="13">
      <c r="A221" s="18" t="s">
        <v>779</v>
      </c>
      <c r="B221" s="328" t="s">
        <v>780</v>
      </c>
      <c r="C221" s="316" t="e">
        <f>VLOOKUP($A221,Master!$B$50:$N$232,8,FALSE)</f>
        <v>#N/A</v>
      </c>
      <c r="D221" s="316" t="e">
        <f>VLOOKUP($A221,Master!$B$50:$N$232,9,FALSE)</f>
        <v>#N/A</v>
      </c>
      <c r="E221" s="317" t="e">
        <f>VLOOKUP($A221,Master!$B$50:$N$232,11,FALSE)</f>
        <v>#N/A</v>
      </c>
      <c r="F221" s="318">
        <v>2</v>
      </c>
      <c r="G221" s="319" t="s">
        <v>62</v>
      </c>
      <c r="H221" s="320">
        <v>86000</v>
      </c>
      <c r="I221" s="321" t="b">
        <v>1</v>
      </c>
      <c r="J221" s="322">
        <v>2</v>
      </c>
      <c r="K221" s="326" t="e">
        <f>VLOOKUP($A221,Master!$B$50:$N$232,6,FALSE)</f>
        <v>#N/A</v>
      </c>
      <c r="L221" s="327" t="e">
        <f t="shared" ref="L221:L223" si="22">J221*K221</f>
        <v>#N/A</v>
      </c>
      <c r="M221" s="325"/>
    </row>
    <row r="222" spans="1:13" ht="13">
      <c r="A222" s="21" t="s">
        <v>1558</v>
      </c>
      <c r="B222" s="61" t="s">
        <v>611</v>
      </c>
      <c r="C222" s="316" t="e">
        <f>VLOOKUP($A222,Master!$B$50:$N$232,8,FALSE)</f>
        <v>#N/A</v>
      </c>
      <c r="D222" s="316" t="e">
        <f>VLOOKUP($A222,Master!$B$50:$N$232,9,FALSE)</f>
        <v>#N/A</v>
      </c>
      <c r="E222" s="317" t="e">
        <f>VLOOKUP($A222,Master!$B$50:$N$232,11,FALSE)</f>
        <v>#N/A</v>
      </c>
      <c r="F222" s="318">
        <v>1</v>
      </c>
      <c r="G222" s="319" t="s">
        <v>62</v>
      </c>
      <c r="H222" s="320">
        <v>5940</v>
      </c>
      <c r="I222" s="321" t="b">
        <v>1</v>
      </c>
      <c r="J222" s="322">
        <v>1</v>
      </c>
      <c r="K222" s="323">
        <v>10000</v>
      </c>
      <c r="L222" s="324">
        <f t="shared" si="22"/>
        <v>10000</v>
      </c>
      <c r="M222" s="325"/>
    </row>
    <row r="223" spans="1:13" ht="13">
      <c r="A223" s="22" t="s">
        <v>1550</v>
      </c>
      <c r="B223" s="330" t="s">
        <v>559</v>
      </c>
      <c r="C223" s="316" t="e">
        <f>VLOOKUP($A223,Master!$B$50:$N$232,8,FALSE)</f>
        <v>#N/A</v>
      </c>
      <c r="D223" s="316" t="e">
        <f>VLOOKUP($A223,Master!$B$50:$N$232,9,FALSE)</f>
        <v>#N/A</v>
      </c>
      <c r="E223" s="317" t="e">
        <f>VLOOKUP($A223,Master!$B$50:$N$232,11,FALSE)</f>
        <v>#N/A</v>
      </c>
      <c r="F223" s="318">
        <v>1</v>
      </c>
      <c r="G223" s="319" t="s">
        <v>97</v>
      </c>
      <c r="H223" s="320">
        <v>105000</v>
      </c>
      <c r="I223" s="321" t="b">
        <v>1</v>
      </c>
      <c r="J223" s="322">
        <v>1</v>
      </c>
      <c r="K223" s="323" t="e">
        <f>VLOOKUP($A223,Master!$B$50:$N$232,6,FALSE)</f>
        <v>#N/A</v>
      </c>
      <c r="L223" s="324" t="e">
        <f t="shared" si="22"/>
        <v>#N/A</v>
      </c>
      <c r="M223" s="325"/>
    </row>
    <row r="224" spans="1:13" ht="13">
      <c r="A224" s="21" t="s">
        <v>1537</v>
      </c>
      <c r="B224" s="61" t="s">
        <v>701</v>
      </c>
      <c r="C224" s="316" t="e">
        <f>VLOOKUP($A224,Master!$B$50:$N$232,8,FALSE)</f>
        <v>#N/A</v>
      </c>
      <c r="D224" s="316" t="e">
        <f>VLOOKUP($A224,Master!$B$50:$N$232,9,FALSE)</f>
        <v>#N/A</v>
      </c>
      <c r="E224" s="317" t="e">
        <f>VLOOKUP($A224,Master!$B$50:$N$232,11,FALSE)</f>
        <v>#N/A</v>
      </c>
      <c r="F224" s="318">
        <v>4</v>
      </c>
      <c r="G224" s="319" t="s">
        <v>108</v>
      </c>
      <c r="H224" s="320">
        <v>84000</v>
      </c>
      <c r="I224" s="321" t="b">
        <v>1</v>
      </c>
      <c r="J224" s="322">
        <v>5</v>
      </c>
      <c r="K224" s="323" t="e">
        <f>VLOOKUP($A224,Master!$B$50:$N$232,6,FALSE)</f>
        <v>#N/A</v>
      </c>
      <c r="L224" s="324">
        <v>100000</v>
      </c>
      <c r="M224" s="325"/>
    </row>
    <row r="225" spans="1:13" ht="13">
      <c r="A225" s="22" t="s">
        <v>795</v>
      </c>
      <c r="B225" s="330" t="s">
        <v>796</v>
      </c>
      <c r="C225" s="316">
        <f>VLOOKUP($A225,Master!$B$50:$N$232,8,FALSE)</f>
        <v>10</v>
      </c>
      <c r="D225" s="316" t="str">
        <f>VLOOKUP($A225,Master!$B$50:$N$232,9,FALSE)</f>
        <v>unit</v>
      </c>
      <c r="E225" s="317" t="str">
        <f>VLOOKUP($A225,Master!$B$50:$N$232,11,FALSE)</f>
        <v>Toko Lain</v>
      </c>
      <c r="F225" s="318">
        <v>5</v>
      </c>
      <c r="G225" s="319" t="s">
        <v>62</v>
      </c>
      <c r="H225" s="320">
        <v>39000</v>
      </c>
      <c r="I225" s="321" t="b">
        <v>1</v>
      </c>
      <c r="J225" s="322">
        <v>5</v>
      </c>
      <c r="K225" s="326">
        <f>VLOOKUP($A225,Master!$B$50:$N$232,6,FALSE)</f>
        <v>8000</v>
      </c>
      <c r="L225" s="324">
        <v>35000</v>
      </c>
      <c r="M225" s="325"/>
    </row>
    <row r="226" spans="1:13" ht="13">
      <c r="A226" s="18" t="s">
        <v>958</v>
      </c>
      <c r="B226" s="328" t="s">
        <v>959</v>
      </c>
      <c r="C226" s="316" t="e">
        <f>VLOOKUP($A226,Master!$B$50:$N$232,8,FALSE)</f>
        <v>#N/A</v>
      </c>
      <c r="D226" s="316" t="e">
        <f>VLOOKUP($A226,Master!$B$50:$N$232,9,FALSE)</f>
        <v>#N/A</v>
      </c>
      <c r="E226" s="317" t="e">
        <f>VLOOKUP($A226,Master!$B$50:$N$232,11,FALSE)</f>
        <v>#N/A</v>
      </c>
      <c r="F226" s="318">
        <v>1</v>
      </c>
      <c r="G226" s="319" t="s">
        <v>97</v>
      </c>
      <c r="H226" s="320">
        <v>140200</v>
      </c>
      <c r="I226" s="321" t="b">
        <v>1</v>
      </c>
      <c r="J226" s="322">
        <v>1</v>
      </c>
      <c r="K226" s="326" t="e">
        <f>VLOOKUP($A226,Master!$B$50:$N$232,6,FALSE)</f>
        <v>#N/A</v>
      </c>
      <c r="L226" s="327" t="e">
        <f>J226*K226</f>
        <v>#N/A</v>
      </c>
      <c r="M226" s="325"/>
    </row>
    <row r="227" spans="1:13" ht="13">
      <c r="A227" s="21" t="s">
        <v>544</v>
      </c>
      <c r="B227" s="61" t="s">
        <v>545</v>
      </c>
      <c r="C227" s="316" t="e">
        <f>VLOOKUP($A227,Master!$B$50:$N$232,8,FALSE)</f>
        <v>#N/A</v>
      </c>
      <c r="D227" s="316" t="e">
        <f>VLOOKUP($A227,Master!$B$50:$N$232,9,FALSE)</f>
        <v>#N/A</v>
      </c>
      <c r="E227" s="317" t="e">
        <f>VLOOKUP($A227,Master!$B$50:$N$232,11,FALSE)</f>
        <v>#N/A</v>
      </c>
      <c r="F227" s="318">
        <v>2</v>
      </c>
      <c r="G227" s="319" t="s">
        <v>62</v>
      </c>
      <c r="H227" s="320">
        <v>30400</v>
      </c>
      <c r="I227" s="321" t="b">
        <v>1</v>
      </c>
      <c r="J227" s="322">
        <v>2</v>
      </c>
      <c r="K227" s="323">
        <v>25650</v>
      </c>
      <c r="L227" s="324">
        <v>34371</v>
      </c>
      <c r="M227" s="325"/>
    </row>
    <row r="228" spans="1:13" ht="13">
      <c r="A228" s="21" t="s">
        <v>540</v>
      </c>
      <c r="B228" s="61" t="s">
        <v>541</v>
      </c>
      <c r="C228" s="316">
        <f>VLOOKUP($A228,Master!$B$50:$N$232,8,FALSE)</f>
        <v>1000</v>
      </c>
      <c r="D228" s="316" t="str">
        <f>VLOOKUP($A228,Master!$B$50:$N$232,9,FALSE)</f>
        <v>gr</v>
      </c>
      <c r="E228" s="317" t="str">
        <f>VLOOKUP($A228,Master!$B$50:$N$232,11,FALSE)</f>
        <v>Woodlane</v>
      </c>
      <c r="F228" s="318">
        <v>6</v>
      </c>
      <c r="G228" s="319" t="s">
        <v>36</v>
      </c>
      <c r="H228" s="320">
        <v>850000</v>
      </c>
      <c r="I228" s="321" t="b">
        <v>1</v>
      </c>
      <c r="J228" s="322">
        <v>6</v>
      </c>
      <c r="K228" s="326">
        <f>VLOOKUP($A228,Master!$B$50:$N$232,6,FALSE)</f>
        <v>170000</v>
      </c>
      <c r="L228" s="327">
        <f>J228*K228</f>
        <v>1020000</v>
      </c>
      <c r="M228" s="325"/>
    </row>
    <row r="230" spans="1:13" ht="13">
      <c r="F230" s="427">
        <v>44757</v>
      </c>
      <c r="G230" s="428"/>
      <c r="H230" s="424"/>
      <c r="J230" s="429">
        <f>F230+1</f>
        <v>44758</v>
      </c>
      <c r="K230" s="428"/>
      <c r="L230" s="424"/>
    </row>
    <row r="231" spans="1:13" ht="13">
      <c r="F231" s="425" t="s">
        <v>1490</v>
      </c>
      <c r="G231" s="426"/>
      <c r="H231" s="304">
        <f>SUM(H233:H384)</f>
        <v>157166899</v>
      </c>
      <c r="J231" s="425" t="s">
        <v>1491</v>
      </c>
      <c r="K231" s="426"/>
      <c r="L231" s="304" t="e">
        <f>SUM(L233:L384)</f>
        <v>#N/A</v>
      </c>
    </row>
    <row r="232" spans="1:13" ht="13">
      <c r="A232" s="2" t="s">
        <v>4</v>
      </c>
      <c r="B232" s="305" t="s">
        <v>5</v>
      </c>
      <c r="C232" s="305" t="s">
        <v>1492</v>
      </c>
      <c r="D232" s="305" t="s">
        <v>12</v>
      </c>
      <c r="E232" s="306" t="s">
        <v>1493</v>
      </c>
      <c r="F232" s="307" t="s">
        <v>1494</v>
      </c>
      <c r="G232" s="308" t="s">
        <v>10</v>
      </c>
      <c r="H232" s="309" t="s">
        <v>1495</v>
      </c>
      <c r="I232" s="310" t="s">
        <v>1289</v>
      </c>
      <c r="J232" s="311" t="s">
        <v>1496</v>
      </c>
      <c r="K232" s="312" t="s">
        <v>1497</v>
      </c>
      <c r="L232" s="313" t="s">
        <v>1498</v>
      </c>
      <c r="M232" s="314" t="s">
        <v>16</v>
      </c>
    </row>
    <row r="233" spans="1:13" ht="13">
      <c r="A233" s="22" t="s">
        <v>639</v>
      </c>
      <c r="B233" s="330" t="s">
        <v>640</v>
      </c>
      <c r="C233" s="316">
        <f>VLOOKUP($A233,Master!$B$50:$N$232,8,FALSE)</f>
        <v>1000</v>
      </c>
      <c r="D233" s="316" t="str">
        <f>VLOOKUP($A233,Master!$B$50:$N$232,9,FALSE)</f>
        <v>gr</v>
      </c>
      <c r="E233" s="317" t="str">
        <f>VLOOKUP($A233,Master!$B$50:$N$232,11,FALSE)</f>
        <v>BISS (Topside)</v>
      </c>
      <c r="F233" s="318">
        <v>1</v>
      </c>
      <c r="G233" s="319" t="s">
        <v>36</v>
      </c>
      <c r="H233" s="320">
        <v>145000</v>
      </c>
      <c r="I233" s="321" t="b">
        <v>1</v>
      </c>
      <c r="J233" s="322">
        <v>1</v>
      </c>
      <c r="K233" s="326">
        <f>VLOOKUP($A233,Master!$B$50:$N$232,6,FALSE)</f>
        <v>145000</v>
      </c>
      <c r="L233" s="324">
        <v>130000</v>
      </c>
      <c r="M233" s="325"/>
    </row>
    <row r="234" spans="1:13" ht="13">
      <c r="A234" s="21" t="s">
        <v>586</v>
      </c>
      <c r="B234" s="61" t="s">
        <v>587</v>
      </c>
      <c r="C234" s="316">
        <f>VLOOKUP($A234,Master!$B$50:$N$232,8,FALSE)</f>
        <v>20</v>
      </c>
      <c r="D234" s="316" t="str">
        <f>VLOOKUP($A234,Master!$B$50:$N$232,9,FALSE)</f>
        <v>pcs</v>
      </c>
      <c r="E234" s="317" t="str">
        <f>VLOOKUP($A234,Master!$B$50:$N$232,11,FALSE)</f>
        <v>Kurnia Mas</v>
      </c>
      <c r="F234" s="318">
        <v>1</v>
      </c>
      <c r="G234" s="319" t="s">
        <v>62</v>
      </c>
      <c r="H234" s="320">
        <v>7300</v>
      </c>
      <c r="I234" s="321" t="b">
        <v>1</v>
      </c>
      <c r="J234" s="322">
        <v>1</v>
      </c>
      <c r="K234" s="323">
        <v>7950</v>
      </c>
      <c r="L234" s="324">
        <v>7871</v>
      </c>
      <c r="M234" s="325" t="s">
        <v>81</v>
      </c>
    </row>
    <row r="235" spans="1:13" ht="13">
      <c r="A235" s="21" t="s">
        <v>627</v>
      </c>
      <c r="B235" s="61" t="s">
        <v>628</v>
      </c>
      <c r="C235" s="316">
        <f>VLOOKUP($A235,Master!$B$50:$N$232,8,FALSE)</f>
        <v>1000</v>
      </c>
      <c r="D235" s="316" t="str">
        <f>VLOOKUP($A235,Master!$B$50:$N$232,9,FALSE)</f>
        <v>gr</v>
      </c>
      <c r="E235" s="317" t="str">
        <f>VLOOKUP($A235,Master!$B$50:$N$232,11,FALSE)</f>
        <v>Borma</v>
      </c>
      <c r="F235" s="318">
        <v>0.5</v>
      </c>
      <c r="G235" s="319" t="s">
        <v>36</v>
      </c>
      <c r="H235" s="320">
        <v>31900</v>
      </c>
      <c r="I235" s="321" t="b">
        <v>1</v>
      </c>
      <c r="J235" s="322">
        <v>0.7</v>
      </c>
      <c r="K235" s="326">
        <f>VLOOKUP($A235,Master!$B$50:$N$232,6,FALSE)</f>
        <v>35550</v>
      </c>
      <c r="L235" s="324">
        <v>18642</v>
      </c>
      <c r="M235" s="325" t="s">
        <v>1500</v>
      </c>
    </row>
    <row r="236" spans="1:13" ht="13">
      <c r="A236" s="21" t="s">
        <v>631</v>
      </c>
      <c r="B236" s="61" t="s">
        <v>632</v>
      </c>
      <c r="C236" s="316">
        <f>VLOOKUP($A236,Master!$B$50:$N$232,8,FALSE)</f>
        <v>1000</v>
      </c>
      <c r="D236" s="316" t="str">
        <f>VLOOKUP($A236,Master!$B$50:$N$232,9,FALSE)</f>
        <v>gr</v>
      </c>
      <c r="E236" s="317" t="str">
        <f>VLOOKUP($A236,Master!$B$50:$N$232,11,FALSE)</f>
        <v>Borma</v>
      </c>
      <c r="F236" s="318">
        <v>1</v>
      </c>
      <c r="G236" s="319" t="s">
        <v>36</v>
      </c>
      <c r="H236" s="320">
        <v>16000</v>
      </c>
      <c r="I236" s="321" t="b">
        <v>1</v>
      </c>
      <c r="J236" s="322">
        <v>1</v>
      </c>
      <c r="K236" s="326">
        <f>VLOOKUP($A236,Master!$B$50:$N$232,6,FALSE)</f>
        <v>18000</v>
      </c>
      <c r="L236" s="324">
        <v>15000</v>
      </c>
      <c r="M236" s="325" t="s">
        <v>1520</v>
      </c>
    </row>
    <row r="237" spans="1:13" ht="13">
      <c r="A237" s="21" t="s">
        <v>1037</v>
      </c>
      <c r="B237" s="61" t="s">
        <v>1038</v>
      </c>
      <c r="C237" s="316" t="e">
        <f>VLOOKUP($A237,Master!$B$50:$N$232,8,FALSE)</f>
        <v>#N/A</v>
      </c>
      <c r="D237" s="316" t="e">
        <f>VLOOKUP($A237,Master!$B$50:$N$232,9,FALSE)</f>
        <v>#N/A</v>
      </c>
      <c r="E237" s="317" t="e">
        <f>VLOOKUP($A237,Master!$B$50:$N$232,11,FALSE)</f>
        <v>#N/A</v>
      </c>
      <c r="F237" s="318">
        <v>1</v>
      </c>
      <c r="G237" s="319" t="s">
        <v>62</v>
      </c>
      <c r="H237" s="320">
        <v>22300</v>
      </c>
      <c r="I237" s="321" t="b">
        <v>1</v>
      </c>
      <c r="J237" s="322">
        <v>1</v>
      </c>
      <c r="K237" s="323" t="e">
        <f>VLOOKUP($A237,Master!$B$50:$N$232,6,FALSE)</f>
        <v>#N/A</v>
      </c>
      <c r="L237" s="324">
        <v>10841</v>
      </c>
      <c r="M237" s="325" t="s">
        <v>1543</v>
      </c>
    </row>
    <row r="238" spans="1:13" ht="13">
      <c r="A238" s="21" t="s">
        <v>1094</v>
      </c>
      <c r="B238" s="61" t="s">
        <v>1095</v>
      </c>
      <c r="C238" s="316" t="e">
        <f>VLOOKUP($A238,Master!$B$50:$N$232,8,FALSE)</f>
        <v>#N/A</v>
      </c>
      <c r="D238" s="316" t="e">
        <f>VLOOKUP($A238,Master!$B$50:$N$232,9,FALSE)</f>
        <v>#N/A</v>
      </c>
      <c r="E238" s="317" t="e">
        <f>VLOOKUP($A238,Master!$B$50:$N$232,11,FALSE)</f>
        <v>#N/A</v>
      </c>
      <c r="F238" s="318">
        <v>1</v>
      </c>
      <c r="G238" s="319" t="s">
        <v>62</v>
      </c>
      <c r="H238" s="320">
        <v>19650</v>
      </c>
      <c r="I238" s="321" t="b">
        <v>1</v>
      </c>
      <c r="J238" s="322">
        <v>1</v>
      </c>
      <c r="K238" s="323" t="e">
        <f>VLOOKUP($A238,Master!$B$50:$N$232,6,FALSE)</f>
        <v>#N/A</v>
      </c>
      <c r="L238" s="324">
        <v>19454</v>
      </c>
      <c r="M238" s="325"/>
    </row>
    <row r="239" spans="1:13" ht="13">
      <c r="A239" s="21" t="s">
        <v>1101</v>
      </c>
      <c r="B239" s="61" t="s">
        <v>1102</v>
      </c>
      <c r="C239" s="316" t="e">
        <f>VLOOKUP($A239,Master!$B$50:$N$232,8,FALSE)</f>
        <v>#N/A</v>
      </c>
      <c r="D239" s="316" t="e">
        <f>VLOOKUP($A239,Master!$B$50:$N$232,9,FALSE)</f>
        <v>#N/A</v>
      </c>
      <c r="E239" s="317" t="e">
        <f>VLOOKUP($A239,Master!$B$50:$N$232,11,FALSE)</f>
        <v>#N/A</v>
      </c>
      <c r="F239" s="318">
        <v>2</v>
      </c>
      <c r="G239" s="319" t="s">
        <v>62</v>
      </c>
      <c r="H239" s="320">
        <v>32200</v>
      </c>
      <c r="I239" s="321" t="b">
        <v>1</v>
      </c>
      <c r="J239" s="322">
        <v>2</v>
      </c>
      <c r="K239" s="323" t="e">
        <f>VLOOKUP($A239,Master!$B$50:$N$232,6,FALSE)</f>
        <v>#N/A</v>
      </c>
      <c r="L239" s="324">
        <v>43758</v>
      </c>
      <c r="M239" s="325"/>
    </row>
    <row r="240" spans="1:13" ht="13">
      <c r="A240" s="21" t="s">
        <v>524</v>
      </c>
      <c r="B240" s="61" t="s">
        <v>525</v>
      </c>
      <c r="C240" s="316" t="e">
        <f>VLOOKUP($A240,Master!$B$50:$N$232,8,FALSE)</f>
        <v>#N/A</v>
      </c>
      <c r="D240" s="316" t="e">
        <f>VLOOKUP($A240,Master!$B$50:$N$232,9,FALSE)</f>
        <v>#N/A</v>
      </c>
      <c r="E240" s="317" t="e">
        <f>VLOOKUP($A240,Master!$B$50:$N$232,11,FALSE)</f>
        <v>#N/A</v>
      </c>
      <c r="F240" s="318">
        <v>5</v>
      </c>
      <c r="G240" s="319" t="s">
        <v>108</v>
      </c>
      <c r="H240" s="320">
        <v>63000</v>
      </c>
      <c r="I240" s="321" t="b">
        <v>1</v>
      </c>
      <c r="J240" s="322">
        <v>5</v>
      </c>
      <c r="K240" s="326" t="e">
        <f>VLOOKUP($A240,Master!$B$50:$N$232,6,FALSE)</f>
        <v>#N/A</v>
      </c>
      <c r="L240" s="327" t="e">
        <f>J240*K240</f>
        <v>#N/A</v>
      </c>
      <c r="M240" s="325"/>
    </row>
    <row r="241" spans="1:13" ht="13">
      <c r="A241" s="21" t="s">
        <v>651</v>
      </c>
      <c r="B241" s="61" t="s">
        <v>652</v>
      </c>
      <c r="C241" s="316">
        <f>VLOOKUP($A241,Master!$B$50:$N$232,8,FALSE)</f>
        <v>1000</v>
      </c>
      <c r="D241" s="316" t="str">
        <f>VLOOKUP($A241,Master!$B$50:$N$232,9,FALSE)</f>
        <v>gr</v>
      </c>
      <c r="E241" s="317" t="str">
        <f>VLOOKUP($A241,Master!$B$50:$N$232,11,FALSE)</f>
        <v>Eden Farm</v>
      </c>
      <c r="F241" s="318">
        <v>1</v>
      </c>
      <c r="G241" s="319" t="s">
        <v>36</v>
      </c>
      <c r="H241" s="320">
        <v>10200</v>
      </c>
      <c r="I241" s="321" t="b">
        <v>1</v>
      </c>
      <c r="J241" s="322">
        <v>1</v>
      </c>
      <c r="K241" s="326">
        <f>VLOOKUP($A241,Master!$B$50:$N$232,6,FALSE)</f>
        <v>18000</v>
      </c>
      <c r="L241" s="324">
        <v>12000</v>
      </c>
      <c r="M241" s="325" t="s">
        <v>287</v>
      </c>
    </row>
    <row r="242" spans="1:13" ht="13">
      <c r="A242" s="21" t="s">
        <v>712</v>
      </c>
      <c r="B242" s="61" t="s">
        <v>713</v>
      </c>
      <c r="C242" s="316">
        <f>VLOOKUP($A242,Master!$B$50:$N$232,8,FALSE)</f>
        <v>1000</v>
      </c>
      <c r="D242" s="316" t="str">
        <f>VLOOKUP($A242,Master!$B$50:$N$232,9,FALSE)</f>
        <v>gr</v>
      </c>
      <c r="E242" s="317" t="str">
        <f>VLOOKUP($A242,Master!$B$50:$N$232,11,FALSE)</f>
        <v>Eden Farm</v>
      </c>
      <c r="F242" s="318">
        <v>1</v>
      </c>
      <c r="G242" s="319" t="s">
        <v>36</v>
      </c>
      <c r="H242" s="320">
        <v>24200</v>
      </c>
      <c r="I242" s="321" t="b">
        <v>1</v>
      </c>
      <c r="J242" s="322">
        <v>1</v>
      </c>
      <c r="K242" s="326">
        <f>VLOOKUP($A242,Master!$B$50:$N$232,6,FALSE)</f>
        <v>40000</v>
      </c>
      <c r="L242" s="324">
        <v>30000</v>
      </c>
      <c r="M242" s="325" t="s">
        <v>287</v>
      </c>
    </row>
    <row r="243" spans="1:13" ht="13">
      <c r="A243" s="21" t="s">
        <v>782</v>
      </c>
      <c r="B243" s="61" t="s">
        <v>783</v>
      </c>
      <c r="C243" s="316">
        <f>VLOOKUP($A243,Master!$B$50:$N$232,8,FALSE)</f>
        <v>500</v>
      </c>
      <c r="D243" s="316" t="str">
        <f>VLOOKUP($A243,Master!$B$50:$N$232,9,FALSE)</f>
        <v>gr</v>
      </c>
      <c r="E243" s="317" t="str">
        <f>VLOOKUP($A243,Master!$B$50:$N$232,11,FALSE)</f>
        <v>Toko Lain</v>
      </c>
      <c r="F243" s="318">
        <v>3</v>
      </c>
      <c r="G243" s="319" t="s">
        <v>62</v>
      </c>
      <c r="H243" s="320">
        <v>23100</v>
      </c>
      <c r="I243" s="321" t="b">
        <v>1</v>
      </c>
      <c r="J243" s="322">
        <v>1</v>
      </c>
      <c r="K243" s="326">
        <f>VLOOKUP($A243,Master!$B$50:$N$232,6,FALSE)</f>
        <v>25000</v>
      </c>
      <c r="L243" s="324">
        <v>25000</v>
      </c>
      <c r="M243" s="325" t="s">
        <v>1559</v>
      </c>
    </row>
    <row r="244" spans="1:13" ht="13">
      <c r="A244" s="21" t="s">
        <v>659</v>
      </c>
      <c r="B244" s="61" t="s">
        <v>660</v>
      </c>
      <c r="C244" s="316">
        <f>VLOOKUP($A244,Master!$B$50:$N$232,8,FALSE)</f>
        <v>15</v>
      </c>
      <c r="D244" s="316" t="str">
        <f>VLOOKUP($A244,Master!$B$50:$N$232,9,FALSE)</f>
        <v>pcs</v>
      </c>
      <c r="E244" s="317" t="str">
        <f>VLOOKUP($A244,Master!$B$50:$N$232,11,FALSE)</f>
        <v>Feri Supriadi (Telur , Beras , Minyak )</v>
      </c>
      <c r="F244" s="318">
        <v>5</v>
      </c>
      <c r="G244" s="319" t="s">
        <v>36</v>
      </c>
      <c r="H244" s="320">
        <v>137500</v>
      </c>
      <c r="I244" s="321" t="b">
        <v>1</v>
      </c>
      <c r="J244" s="322">
        <v>5</v>
      </c>
      <c r="K244" s="323">
        <v>27800</v>
      </c>
      <c r="L244" s="324">
        <f>J244*K244</f>
        <v>139000</v>
      </c>
      <c r="M244" s="325"/>
    </row>
    <row r="245" spans="1:13" ht="13">
      <c r="A245" s="21" t="s">
        <v>760</v>
      </c>
      <c r="B245" s="61" t="s">
        <v>761</v>
      </c>
      <c r="C245" s="316">
        <f>VLOOKUP($A245,Master!$B$50:$N$232,8,FALSE)</f>
        <v>25000</v>
      </c>
      <c r="D245" s="316" t="str">
        <f>VLOOKUP($A245,Master!$B$50:$N$232,9,FALSE)</f>
        <v>gr</v>
      </c>
      <c r="E245" s="317" t="str">
        <f>VLOOKUP($A245,Master!$B$50:$N$232,11,FALSE)</f>
        <v>Feri Supriadi (Telur , Beras , Minyak )</v>
      </c>
      <c r="F245" s="318">
        <v>25</v>
      </c>
      <c r="G245" s="319" t="s">
        <v>36</v>
      </c>
      <c r="H245" s="320">
        <v>290000</v>
      </c>
      <c r="I245" s="321" t="b">
        <v>1</v>
      </c>
      <c r="J245" s="322">
        <v>25</v>
      </c>
      <c r="K245" s="326">
        <f>VLOOKUP($A245,Master!$B$50:$N$232,6,FALSE)</f>
        <v>364000</v>
      </c>
      <c r="L245" s="324">
        <v>288000</v>
      </c>
      <c r="M245" s="325"/>
    </row>
    <row r="246" spans="1:13" ht="13">
      <c r="A246" s="21" t="s">
        <v>1112</v>
      </c>
      <c r="B246" s="61" t="s">
        <v>1113</v>
      </c>
      <c r="C246" s="316" t="e">
        <f>VLOOKUP($A246,Master!$B$50:$N$240,8,FALSE)</f>
        <v>#N/A</v>
      </c>
      <c r="D246" s="316" t="e">
        <f>VLOOKUP($A246,Master!$B$50:$N$240,9,FALSE)</f>
        <v>#N/A</v>
      </c>
      <c r="E246" s="317" t="s">
        <v>272</v>
      </c>
      <c r="F246" s="318">
        <v>2</v>
      </c>
      <c r="G246" s="319" t="s">
        <v>132</v>
      </c>
      <c r="H246" s="320">
        <v>387400</v>
      </c>
      <c r="I246" s="321" t="b">
        <v>1</v>
      </c>
      <c r="J246" s="322">
        <v>2</v>
      </c>
      <c r="K246" s="326" t="e">
        <f>VLOOKUP($A246,Master!$B$50:$N$240,6,FALSE)</f>
        <v>#N/A</v>
      </c>
      <c r="L246" s="324" t="e">
        <f t="shared" ref="L246:L247" si="23">J246*K246</f>
        <v>#N/A</v>
      </c>
      <c r="M246" s="325"/>
    </row>
    <row r="247" spans="1:13" ht="13">
      <c r="A247" s="18" t="s">
        <v>1054</v>
      </c>
      <c r="B247" s="328" t="s">
        <v>1055</v>
      </c>
      <c r="C247" s="316" t="e">
        <f>VLOOKUP($A247,Master!$B$50:$N$232,8,FALSE)</f>
        <v>#N/A</v>
      </c>
      <c r="D247" s="316" t="e">
        <f>VLOOKUP($A247,Master!$B$50:$N$232,9,FALSE)</f>
        <v>#N/A</v>
      </c>
      <c r="E247" s="317" t="e">
        <f>VLOOKUP($A247,Master!$B$50:$N$232,11,FALSE)</f>
        <v>#N/A</v>
      </c>
      <c r="F247" s="318">
        <v>2</v>
      </c>
      <c r="G247" s="319" t="s">
        <v>36</v>
      </c>
      <c r="H247" s="320">
        <v>350000</v>
      </c>
      <c r="I247" s="321" t="b">
        <v>1</v>
      </c>
      <c r="J247" s="322">
        <v>3</v>
      </c>
      <c r="K247" s="323" t="e">
        <f>VLOOKUP($A247,Master!$B$50:$N$232,6,FALSE)</f>
        <v>#N/A</v>
      </c>
      <c r="L247" s="324" t="e">
        <f t="shared" si="23"/>
        <v>#N/A</v>
      </c>
      <c r="M247" s="325" t="s">
        <v>1560</v>
      </c>
    </row>
    <row r="248" spans="1:13" ht="13">
      <c r="A248" s="21" t="s">
        <v>1505</v>
      </c>
      <c r="B248" s="61" t="s">
        <v>617</v>
      </c>
      <c r="C248" s="316" t="e">
        <f>VLOOKUP($A248,Master!$B$50:$N$232,8,FALSE)</f>
        <v>#N/A</v>
      </c>
      <c r="D248" s="316" t="e">
        <f>VLOOKUP($A248,Master!$B$50:$N$232,9,FALSE)</f>
        <v>#N/A</v>
      </c>
      <c r="E248" s="317" t="e">
        <f>VLOOKUP($A248,Master!$B$50:$N$232,11,FALSE)</f>
        <v>#N/A</v>
      </c>
      <c r="F248" s="318">
        <v>2</v>
      </c>
      <c r="G248" s="319" t="s">
        <v>97</v>
      </c>
      <c r="H248" s="320">
        <v>274000</v>
      </c>
      <c r="I248" s="321" t="b">
        <v>1</v>
      </c>
      <c r="J248" s="322">
        <v>2</v>
      </c>
      <c r="K248" s="323" t="e">
        <f>VLOOKUP($A248,Master!$B$50:$N$232,6,FALSE)</f>
        <v>#N/A</v>
      </c>
      <c r="L248" s="324">
        <v>270840</v>
      </c>
      <c r="M248" s="325"/>
    </row>
    <row r="249" spans="1:13" ht="13">
      <c r="A249" s="21" t="s">
        <v>1506</v>
      </c>
      <c r="B249" s="61" t="s">
        <v>620</v>
      </c>
      <c r="C249" s="316" t="e">
        <f>VLOOKUP($A249,Master!$B$50:$N$232,8,FALSE)</f>
        <v>#N/A</v>
      </c>
      <c r="D249" s="316" t="e">
        <f>VLOOKUP($A249,Master!$B$50:$N$232,9,FALSE)</f>
        <v>#N/A</v>
      </c>
      <c r="E249" s="317" t="e">
        <f>VLOOKUP($A249,Master!$B$50:$N$232,11,FALSE)</f>
        <v>#N/A</v>
      </c>
      <c r="F249" s="318">
        <v>2</v>
      </c>
      <c r="G249" s="319" t="s">
        <v>97</v>
      </c>
      <c r="H249" s="320">
        <v>274000</v>
      </c>
      <c r="I249" s="321" t="b">
        <v>1</v>
      </c>
      <c r="J249" s="322">
        <v>2</v>
      </c>
      <c r="K249" s="323" t="e">
        <f>VLOOKUP($A249,Master!$B$50:$N$232,6,FALSE)</f>
        <v>#N/A</v>
      </c>
      <c r="L249" s="324">
        <v>270840</v>
      </c>
      <c r="M249" s="325"/>
    </row>
    <row r="250" spans="1:13" ht="13">
      <c r="A250" s="22" t="s">
        <v>881</v>
      </c>
      <c r="B250" s="330" t="s">
        <v>882</v>
      </c>
      <c r="C250" s="316">
        <f>VLOOKUP($A250,Master!$B$50:$N$232,8,FALSE)</f>
        <v>1000</v>
      </c>
      <c r="D250" s="316" t="str">
        <f>VLOOKUP($A250,Master!$B$50:$N$232,9,FALSE)</f>
        <v>gr</v>
      </c>
      <c r="E250" s="317" t="str">
        <f>VLOOKUP($A250,Master!$B$50:$N$232,11,FALSE)</f>
        <v>Pasar Cihapit</v>
      </c>
      <c r="F250" s="318">
        <v>0.3</v>
      </c>
      <c r="G250" s="319" t="s">
        <v>36</v>
      </c>
      <c r="H250" s="320">
        <v>69000</v>
      </c>
      <c r="I250" s="321" t="b">
        <v>1</v>
      </c>
      <c r="J250" s="322">
        <v>0.3</v>
      </c>
      <c r="K250" s="326">
        <f>VLOOKUP($A250,Master!$B$50:$N$232,6,FALSE)</f>
        <v>69000</v>
      </c>
      <c r="L250" s="324">
        <v>18335</v>
      </c>
      <c r="M250" s="325" t="s">
        <v>1500</v>
      </c>
    </row>
    <row r="251" spans="1:13" ht="13">
      <c r="A251" s="22" t="s">
        <v>883</v>
      </c>
      <c r="B251" s="330" t="s">
        <v>884</v>
      </c>
      <c r="C251" s="316">
        <f>VLOOKUP($A251,Master!$B$50:$N$232,8,FALSE)</f>
        <v>1000</v>
      </c>
      <c r="D251" s="316" t="str">
        <f>VLOOKUP($A251,Master!$B$50:$N$232,9,FALSE)</f>
        <v>gr</v>
      </c>
      <c r="E251" s="317" t="str">
        <f>VLOOKUP($A251,Master!$B$50:$N$232,11,FALSE)</f>
        <v>Pasar Cihapit</v>
      </c>
      <c r="F251" s="318">
        <v>0.5</v>
      </c>
      <c r="G251" s="319" t="s">
        <v>36</v>
      </c>
      <c r="H251" s="320">
        <v>148500</v>
      </c>
      <c r="I251" s="321" t="b">
        <v>1</v>
      </c>
      <c r="J251" s="322">
        <v>0.57999999999999996</v>
      </c>
      <c r="K251" s="326">
        <f>VLOOKUP($A251,Master!$B$50:$N$232,6,FALSE)</f>
        <v>156222</v>
      </c>
      <c r="L251" s="324">
        <v>93218</v>
      </c>
      <c r="M251" s="325" t="s">
        <v>1500</v>
      </c>
    </row>
    <row r="252" spans="1:13" ht="13">
      <c r="A252" s="22" t="s">
        <v>889</v>
      </c>
      <c r="B252" s="330" t="s">
        <v>890</v>
      </c>
      <c r="C252" s="316">
        <f>VLOOKUP($A252,Master!$B$50:$N$232,8,FALSE)</f>
        <v>10</v>
      </c>
      <c r="D252" s="316" t="str">
        <f>VLOOKUP($A252,Master!$B$50:$N$232,9,FALSE)</f>
        <v>sachet</v>
      </c>
      <c r="E252" s="317" t="str">
        <f>VLOOKUP($A252,Master!$B$50:$N$232,11,FALSE)</f>
        <v>Pasar Cihapit</v>
      </c>
      <c r="F252" s="318">
        <v>1</v>
      </c>
      <c r="G252" s="319" t="s">
        <v>62</v>
      </c>
      <c r="H252" s="320">
        <v>22000</v>
      </c>
      <c r="I252" s="321" t="b">
        <v>1</v>
      </c>
      <c r="J252" s="322">
        <v>1</v>
      </c>
      <c r="K252" s="323">
        <v>26450</v>
      </c>
      <c r="L252" s="324">
        <v>26186</v>
      </c>
      <c r="M252" s="325"/>
    </row>
    <row r="253" spans="1:13" ht="13">
      <c r="A253" s="21" t="s">
        <v>528</v>
      </c>
      <c r="B253" s="61" t="s">
        <v>529</v>
      </c>
      <c r="C253" s="316" t="e">
        <f>VLOOKUP($A253,Master!$B$50:$N$232,8,FALSE)</f>
        <v>#N/A</v>
      </c>
      <c r="D253" s="316" t="e">
        <f>VLOOKUP($A253,Master!$B$50:$N$232,9,FALSE)</f>
        <v>#N/A</v>
      </c>
      <c r="E253" s="317" t="e">
        <f>VLOOKUP($A253,Master!$B$50:$N$232,11,FALSE)</f>
        <v>#N/A</v>
      </c>
      <c r="F253" s="318">
        <v>4</v>
      </c>
      <c r="G253" s="319" t="s">
        <v>50</v>
      </c>
      <c r="H253" s="320">
        <v>64000</v>
      </c>
      <c r="I253" s="321" t="b">
        <v>1</v>
      </c>
      <c r="J253" s="322">
        <v>4</v>
      </c>
      <c r="K253" s="326" t="e">
        <f>VLOOKUP($A253,Master!$B$50:$N$232,6,FALSE)</f>
        <v>#N/A</v>
      </c>
      <c r="L253" s="327" t="e">
        <f t="shared" ref="L253:L257" si="24">J253*K253</f>
        <v>#N/A</v>
      </c>
      <c r="M253" s="325"/>
    </row>
    <row r="254" spans="1:13" ht="13">
      <c r="A254" s="21" t="s">
        <v>532</v>
      </c>
      <c r="B254" s="61" t="s">
        <v>533</v>
      </c>
      <c r="C254" s="316" t="e">
        <f>VLOOKUP($A254,Master!$B$50:$N$232,8,FALSE)</f>
        <v>#N/A</v>
      </c>
      <c r="D254" s="316" t="e">
        <f>VLOOKUP($A254,Master!$B$50:$N$232,9,FALSE)</f>
        <v>#N/A</v>
      </c>
      <c r="E254" s="317" t="e">
        <f>VLOOKUP($A254,Master!$B$50:$N$232,11,FALSE)</f>
        <v>#N/A</v>
      </c>
      <c r="F254" s="318">
        <v>2</v>
      </c>
      <c r="G254" s="319" t="s">
        <v>62</v>
      </c>
      <c r="H254" s="320">
        <v>112000</v>
      </c>
      <c r="I254" s="321" t="b">
        <v>1</v>
      </c>
      <c r="J254" s="322">
        <v>2</v>
      </c>
      <c r="K254" s="326" t="e">
        <f>VLOOKUP($A254,Master!$B$50:$N$232,6,FALSE)</f>
        <v>#N/A</v>
      </c>
      <c r="L254" s="327" t="e">
        <f t="shared" si="24"/>
        <v>#N/A</v>
      </c>
      <c r="M254" s="325"/>
    </row>
    <row r="255" spans="1:13" ht="13">
      <c r="A255" s="21" t="s">
        <v>635</v>
      </c>
      <c r="B255" s="61" t="s">
        <v>636</v>
      </c>
      <c r="C255" s="316" t="e">
        <f>VLOOKUP($A255,Master!$B$50:$N$232,8,FALSE)</f>
        <v>#N/A</v>
      </c>
      <c r="D255" s="316" t="e">
        <f>VLOOKUP($A255,Master!$B$50:$N$232,9,FALSE)</f>
        <v>#N/A</v>
      </c>
      <c r="E255" s="317" t="e">
        <f>VLOOKUP($A255,Master!$B$50:$N$232,11,FALSE)</f>
        <v>#N/A</v>
      </c>
      <c r="F255" s="318">
        <v>11</v>
      </c>
      <c r="G255" s="319" t="s">
        <v>50</v>
      </c>
      <c r="H255" s="320">
        <v>121000</v>
      </c>
      <c r="I255" s="321" t="b">
        <v>1</v>
      </c>
      <c r="J255" s="322">
        <v>11</v>
      </c>
      <c r="K255" s="326" t="e">
        <f>VLOOKUP($A255,Master!$B$50:$N$232,6,FALSE)</f>
        <v>#N/A</v>
      </c>
      <c r="L255" s="327" t="e">
        <f t="shared" si="24"/>
        <v>#N/A</v>
      </c>
      <c r="M255" s="325"/>
    </row>
    <row r="256" spans="1:13" ht="13">
      <c r="A256" s="21" t="s">
        <v>680</v>
      </c>
      <c r="B256" s="61" t="s">
        <v>681</v>
      </c>
      <c r="C256" s="316" t="e">
        <f>VLOOKUP($A256,Master!$B$50:$N$232,8,FALSE)</f>
        <v>#N/A</v>
      </c>
      <c r="D256" s="316" t="e">
        <f>VLOOKUP($A256,Master!$B$50:$N$232,9,FALSE)</f>
        <v>#N/A</v>
      </c>
      <c r="E256" s="317" t="e">
        <f>VLOOKUP($A256,Master!$B$50:$N$232,11,FALSE)</f>
        <v>#N/A</v>
      </c>
      <c r="F256" s="318">
        <v>4</v>
      </c>
      <c r="G256" s="319" t="s">
        <v>97</v>
      </c>
      <c r="H256" s="320">
        <v>120000</v>
      </c>
      <c r="I256" s="321" t="b">
        <v>1</v>
      </c>
      <c r="J256" s="322">
        <v>4</v>
      </c>
      <c r="K256" s="326" t="e">
        <f>VLOOKUP($A256,Master!$B$50:$N$232,6,FALSE)</f>
        <v>#N/A</v>
      </c>
      <c r="L256" s="327" t="e">
        <f t="shared" si="24"/>
        <v>#N/A</v>
      </c>
      <c r="M256" s="325"/>
    </row>
    <row r="257" spans="1:13" ht="13">
      <c r="A257" s="21" t="s">
        <v>684</v>
      </c>
      <c r="B257" s="61" t="s">
        <v>685</v>
      </c>
      <c r="C257" s="316" t="e">
        <f>VLOOKUP($A257,Master!$B$50:$N$232,8,FALSE)</f>
        <v>#N/A</v>
      </c>
      <c r="D257" s="316" t="e">
        <f>VLOOKUP($A257,Master!$B$50:$N$232,9,FALSE)</f>
        <v>#N/A</v>
      </c>
      <c r="E257" s="317" t="e">
        <f>VLOOKUP($A257,Master!$B$50:$N$232,11,FALSE)</f>
        <v>#N/A</v>
      </c>
      <c r="F257" s="318">
        <v>1</v>
      </c>
      <c r="G257" s="319" t="s">
        <v>97</v>
      </c>
      <c r="H257" s="320">
        <v>30000</v>
      </c>
      <c r="I257" s="321" t="b">
        <v>1</v>
      </c>
      <c r="J257" s="322">
        <v>1</v>
      </c>
      <c r="K257" s="326" t="e">
        <f>VLOOKUP($A257,Master!$B$50:$N$232,6,FALSE)</f>
        <v>#N/A</v>
      </c>
      <c r="L257" s="327" t="e">
        <f t="shared" si="24"/>
        <v>#N/A</v>
      </c>
      <c r="M257" s="325"/>
    </row>
    <row r="258" spans="1:13" ht="13">
      <c r="A258" s="21" t="s">
        <v>688</v>
      </c>
      <c r="B258" s="61" t="s">
        <v>689</v>
      </c>
      <c r="C258" s="316" t="e">
        <f>VLOOKUP($A258,Master!$B$50:$N$232,8,FALSE)</f>
        <v>#N/A</v>
      </c>
      <c r="D258" s="316" t="e">
        <f>VLOOKUP($A258,Master!$B$50:$N$232,9,FALSE)</f>
        <v>#N/A</v>
      </c>
      <c r="E258" s="317" t="e">
        <f>VLOOKUP($A258,Master!$B$50:$N$232,11,FALSE)</f>
        <v>#N/A</v>
      </c>
      <c r="F258" s="318">
        <v>1</v>
      </c>
      <c r="G258" s="319" t="s">
        <v>62</v>
      </c>
      <c r="H258" s="320">
        <v>62500</v>
      </c>
      <c r="I258" s="321" t="b">
        <v>1</v>
      </c>
      <c r="J258" s="322">
        <v>1</v>
      </c>
      <c r="K258" s="326" t="e">
        <f>VLOOKUP($A258,Master!$B$50:$N$232,6,FALSE)</f>
        <v>#N/A</v>
      </c>
      <c r="L258" s="324">
        <v>62000</v>
      </c>
      <c r="M258" s="325"/>
    </row>
    <row r="259" spans="1:13" ht="13">
      <c r="A259" s="21" t="s">
        <v>692</v>
      </c>
      <c r="B259" s="61" t="s">
        <v>693</v>
      </c>
      <c r="C259" s="316" t="e">
        <f>VLOOKUP($A259,Master!$B$50:$N$232,8,FALSE)</f>
        <v>#N/A</v>
      </c>
      <c r="D259" s="316" t="e">
        <f>VLOOKUP($A259,Master!$B$50:$N$232,9,FALSE)</f>
        <v>#N/A</v>
      </c>
      <c r="E259" s="317" t="e">
        <f>VLOOKUP($A259,Master!$B$50:$N$232,11,FALSE)</f>
        <v>#N/A</v>
      </c>
      <c r="F259" s="318">
        <v>1</v>
      </c>
      <c r="G259" s="319" t="s">
        <v>62</v>
      </c>
      <c r="H259" s="320">
        <v>56000</v>
      </c>
      <c r="I259" s="321" t="b">
        <v>1</v>
      </c>
      <c r="J259" s="322">
        <v>1</v>
      </c>
      <c r="K259" s="326" t="e">
        <f>VLOOKUP($A259,Master!$B$50:$N$232,6,FALSE)</f>
        <v>#N/A</v>
      </c>
      <c r="L259" s="324">
        <v>55000</v>
      </c>
      <c r="M259" s="325"/>
    </row>
    <row r="260" spans="1:13" ht="13">
      <c r="A260" s="21" t="s">
        <v>696</v>
      </c>
      <c r="B260" s="61" t="s">
        <v>697</v>
      </c>
      <c r="C260" s="316" t="e">
        <f>VLOOKUP($A260,Master!$B$50:$N$232,8,FALSE)</f>
        <v>#N/A</v>
      </c>
      <c r="D260" s="316" t="e">
        <f>VLOOKUP($A260,Master!$B$50:$N$232,9,FALSE)</f>
        <v>#N/A</v>
      </c>
      <c r="E260" s="317" t="e">
        <f>VLOOKUP($A260,Master!$B$50:$N$232,11,FALSE)</f>
        <v>#N/A</v>
      </c>
      <c r="F260" s="318">
        <v>2</v>
      </c>
      <c r="G260" s="319" t="s">
        <v>62</v>
      </c>
      <c r="H260" s="320">
        <v>28000</v>
      </c>
      <c r="I260" s="321" t="b">
        <v>1</v>
      </c>
      <c r="J260" s="322">
        <v>2</v>
      </c>
      <c r="K260" s="326" t="e">
        <f>VLOOKUP($A260,Master!$B$50:$N$232,6,FALSE)</f>
        <v>#N/A</v>
      </c>
      <c r="L260" s="324">
        <v>27500</v>
      </c>
      <c r="M260" s="325"/>
    </row>
    <row r="261" spans="1:13" ht="13">
      <c r="A261" s="21" t="s">
        <v>748</v>
      </c>
      <c r="B261" s="61" t="s">
        <v>749</v>
      </c>
      <c r="C261" s="316" t="e">
        <f>VLOOKUP($A261,Master!$B$50:$N$232,8,FALSE)</f>
        <v>#N/A</v>
      </c>
      <c r="D261" s="316" t="e">
        <f>VLOOKUP($A261,Master!$B$50:$N$232,9,FALSE)</f>
        <v>#N/A</v>
      </c>
      <c r="E261" s="317" t="e">
        <f>VLOOKUP($A261,Master!$B$50:$N$232,11,FALSE)</f>
        <v>#N/A</v>
      </c>
      <c r="F261" s="318">
        <v>1</v>
      </c>
      <c r="G261" s="319" t="s">
        <v>62</v>
      </c>
      <c r="H261" s="320">
        <v>27500</v>
      </c>
      <c r="I261" s="321" t="b">
        <v>1</v>
      </c>
      <c r="J261" s="322">
        <v>1</v>
      </c>
      <c r="K261" s="326" t="e">
        <f>VLOOKUP($A261,Master!$B$50:$N$232,6,FALSE)</f>
        <v>#N/A</v>
      </c>
      <c r="L261" s="324">
        <v>27000</v>
      </c>
      <c r="M261" s="325"/>
    </row>
    <row r="262" spans="1:13" ht="13">
      <c r="A262" s="21" t="s">
        <v>773</v>
      </c>
      <c r="B262" s="61" t="s">
        <v>774</v>
      </c>
      <c r="C262" s="316" t="e">
        <f>VLOOKUP($A262,Master!$B$50:$N$232,8,FALSE)</f>
        <v>#N/A</v>
      </c>
      <c r="D262" s="316" t="e">
        <f>VLOOKUP($A262,Master!$B$50:$N$232,9,FALSE)</f>
        <v>#N/A</v>
      </c>
      <c r="E262" s="317" t="e">
        <f>VLOOKUP($A262,Master!$B$50:$N$232,11,FALSE)</f>
        <v>#N/A</v>
      </c>
      <c r="F262" s="318">
        <v>2</v>
      </c>
      <c r="G262" s="319" t="s">
        <v>62</v>
      </c>
      <c r="H262" s="320">
        <v>28000</v>
      </c>
      <c r="I262" s="321" t="b">
        <v>1</v>
      </c>
      <c r="J262" s="322">
        <v>2</v>
      </c>
      <c r="K262" s="326" t="e">
        <f>VLOOKUP($A262,Master!$B$50:$N$232,6,FALSE)</f>
        <v>#N/A</v>
      </c>
      <c r="L262" s="327" t="e">
        <f t="shared" ref="L262:L263" si="25">J262*K262</f>
        <v>#N/A</v>
      </c>
      <c r="M262" s="325"/>
    </row>
    <row r="263" spans="1:13" ht="13">
      <c r="A263" s="21" t="s">
        <v>787</v>
      </c>
      <c r="B263" s="61" t="s">
        <v>788</v>
      </c>
      <c r="C263" s="316" t="e">
        <f>VLOOKUP($A263,Master!$B$50:$N$232,8,FALSE)</f>
        <v>#N/A</v>
      </c>
      <c r="D263" s="316" t="e">
        <f>VLOOKUP($A263,Master!$B$50:$N$232,9,FALSE)</f>
        <v>#N/A</v>
      </c>
      <c r="E263" s="317" t="e">
        <f>VLOOKUP($A263,Master!$B$50:$N$232,11,FALSE)</f>
        <v>#N/A</v>
      </c>
      <c r="F263" s="318">
        <v>1</v>
      </c>
      <c r="G263" s="319" t="s">
        <v>97</v>
      </c>
      <c r="H263" s="320">
        <v>20250</v>
      </c>
      <c r="I263" s="321" t="b">
        <v>1</v>
      </c>
      <c r="J263" s="322">
        <v>1</v>
      </c>
      <c r="K263" s="326" t="e">
        <f>VLOOKUP($A263,Master!$B$50:$N$232,6,FALSE)</f>
        <v>#N/A</v>
      </c>
      <c r="L263" s="327" t="e">
        <f t="shared" si="25"/>
        <v>#N/A</v>
      </c>
      <c r="M263" s="325"/>
    </row>
    <row r="264" spans="1:13" ht="13">
      <c r="A264" s="21" t="s">
        <v>892</v>
      </c>
      <c r="B264" s="61" t="s">
        <v>893</v>
      </c>
      <c r="C264" s="316" t="e">
        <f>VLOOKUP($A264,Master!$B$50:$N$232,8,FALSE)</f>
        <v>#N/A</v>
      </c>
      <c r="D264" s="316" t="e">
        <f>VLOOKUP($A264,Master!$B$50:$N$232,9,FALSE)</f>
        <v>#N/A</v>
      </c>
      <c r="E264" s="317" t="e">
        <f>VLOOKUP($A264,Master!$B$50:$N$232,11,FALSE)</f>
        <v>#N/A</v>
      </c>
      <c r="F264" s="318">
        <v>2</v>
      </c>
      <c r="G264" s="319" t="s">
        <v>36</v>
      </c>
      <c r="H264" s="320">
        <v>215000</v>
      </c>
      <c r="I264" s="321" t="b">
        <v>1</v>
      </c>
      <c r="J264" s="322">
        <v>2</v>
      </c>
      <c r="K264" s="326" t="e">
        <f>VLOOKUP($A264,Master!$B$50:$N$232,6,FALSE)</f>
        <v>#N/A</v>
      </c>
      <c r="L264" s="324">
        <v>221450</v>
      </c>
      <c r="M264" s="325"/>
    </row>
    <row r="265" spans="1:13" ht="13">
      <c r="A265" s="21" t="s">
        <v>934</v>
      </c>
      <c r="B265" s="61" t="s">
        <v>935</v>
      </c>
      <c r="C265" s="316" t="e">
        <f>VLOOKUP($A265,Master!$B$50:$N$232,8,FALSE)</f>
        <v>#N/A</v>
      </c>
      <c r="D265" s="316" t="e">
        <f>VLOOKUP($A265,Master!$B$50:$N$232,9,FALSE)</f>
        <v>#N/A</v>
      </c>
      <c r="E265" s="317" t="e">
        <f>VLOOKUP($A265,Master!$B$50:$N$232,11,FALSE)</f>
        <v>#N/A</v>
      </c>
      <c r="F265" s="318">
        <v>2</v>
      </c>
      <c r="G265" s="319" t="s">
        <v>62</v>
      </c>
      <c r="H265" s="320">
        <v>15800</v>
      </c>
      <c r="I265" s="321" t="b">
        <v>1</v>
      </c>
      <c r="J265" s="322">
        <v>2</v>
      </c>
      <c r="K265" s="326" t="e">
        <f>VLOOKUP($A265,Master!$B$50:$N$232,6,FALSE)</f>
        <v>#N/A</v>
      </c>
      <c r="L265" s="327" t="e">
        <f t="shared" ref="L265:L269" si="26">J265*K265</f>
        <v>#N/A</v>
      </c>
      <c r="M265" s="325"/>
    </row>
    <row r="266" spans="1:13" ht="13">
      <c r="A266" s="21" t="s">
        <v>955</v>
      </c>
      <c r="B266" s="61" t="s">
        <v>956</v>
      </c>
      <c r="C266" s="316" t="e">
        <f>VLOOKUP($A266,Master!$B$50:$N$232,8,FALSE)</f>
        <v>#N/A</v>
      </c>
      <c r="D266" s="316" t="e">
        <f>VLOOKUP($A266,Master!$B$50:$N$232,9,FALSE)</f>
        <v>#N/A</v>
      </c>
      <c r="E266" s="317" t="e">
        <f>VLOOKUP($A266,Master!$B$50:$N$232,11,FALSE)</f>
        <v>#N/A</v>
      </c>
      <c r="F266" s="318">
        <v>1</v>
      </c>
      <c r="G266" s="319" t="s">
        <v>97</v>
      </c>
      <c r="H266" s="320">
        <v>20250</v>
      </c>
      <c r="I266" s="321" t="b">
        <v>1</v>
      </c>
      <c r="J266" s="322">
        <v>1</v>
      </c>
      <c r="K266" s="326" t="e">
        <f>VLOOKUP($A266,Master!$B$50:$N$232,6,FALSE)</f>
        <v>#N/A</v>
      </c>
      <c r="L266" s="327" t="e">
        <f t="shared" si="26"/>
        <v>#N/A</v>
      </c>
      <c r="M266" s="325"/>
    </row>
    <row r="267" spans="1:13" ht="13">
      <c r="A267" s="21" t="s">
        <v>1017</v>
      </c>
      <c r="B267" s="61" t="s">
        <v>1018</v>
      </c>
      <c r="C267" s="316">
        <f>VLOOKUP($A267,Master!$B$50:$N$232,8,FALSE)</f>
        <v>1</v>
      </c>
      <c r="D267" s="316" t="str">
        <f>VLOOKUP($A267,Master!$B$50:$N$232,9,FALSE)</f>
        <v>pcs</v>
      </c>
      <c r="E267" s="317" t="str">
        <f>VLOOKUP($A267,Master!$B$50:$N$232,11,FALSE)</f>
        <v>PD Aroma Jaya</v>
      </c>
      <c r="F267" s="318">
        <v>2</v>
      </c>
      <c r="G267" s="319" t="s">
        <v>62</v>
      </c>
      <c r="H267" s="320">
        <v>5600</v>
      </c>
      <c r="I267" s="321" t="b">
        <v>1</v>
      </c>
      <c r="J267" s="322">
        <v>2</v>
      </c>
      <c r="K267" s="323">
        <v>3000</v>
      </c>
      <c r="L267" s="324">
        <f t="shared" si="26"/>
        <v>6000</v>
      </c>
      <c r="M267" s="325"/>
    </row>
    <row r="268" spans="1:13" ht="13">
      <c r="A268" s="21" t="s">
        <v>623</v>
      </c>
      <c r="B268" s="61" t="s">
        <v>624</v>
      </c>
      <c r="C268" s="316" t="e">
        <f>VLOOKUP($A268,Master!$B$50:$N$232,8,FALSE)</f>
        <v>#N/A</v>
      </c>
      <c r="D268" s="316" t="e">
        <f>VLOOKUP($A268,Master!$B$50:$N$232,9,FALSE)</f>
        <v>#N/A</v>
      </c>
      <c r="E268" s="317" t="e">
        <f>VLOOKUP($A268,Master!$B$50:$N$232,11,FALSE)</f>
        <v>#N/A</v>
      </c>
      <c r="F268" s="318">
        <v>3</v>
      </c>
      <c r="G268" s="319" t="s">
        <v>143</v>
      </c>
      <c r="H268" s="320">
        <v>545787</v>
      </c>
      <c r="I268" s="321" t="b">
        <v>0</v>
      </c>
      <c r="J268" s="322"/>
      <c r="K268" s="326" t="e">
        <f>VLOOKUP($A268,Master!$B$50:$N$232,6,FALSE)</f>
        <v>#N/A</v>
      </c>
      <c r="L268" s="327" t="e">
        <f t="shared" si="26"/>
        <v>#N/A</v>
      </c>
      <c r="M268" s="325"/>
    </row>
    <row r="269" spans="1:13" ht="13">
      <c r="A269" s="21" t="s">
        <v>704</v>
      </c>
      <c r="B269" s="61" t="s">
        <v>705</v>
      </c>
      <c r="C269" s="316" t="e">
        <f>VLOOKUP($A269,Master!$B$50:$N$232,8,FALSE)</f>
        <v>#N/A</v>
      </c>
      <c r="D269" s="316" t="e">
        <f>VLOOKUP($A269,Master!$B$50:$N$232,9,FALSE)</f>
        <v>#N/A</v>
      </c>
      <c r="E269" s="317" t="e">
        <f>VLOOKUP($A269,Master!$B$50:$N$232,11,FALSE)</f>
        <v>#N/A</v>
      </c>
      <c r="F269" s="318">
        <v>2</v>
      </c>
      <c r="G269" s="319" t="s">
        <v>143</v>
      </c>
      <c r="H269" s="320">
        <v>405594</v>
      </c>
      <c r="I269" s="321" t="b">
        <v>1</v>
      </c>
      <c r="J269" s="322">
        <v>2</v>
      </c>
      <c r="K269" s="326" t="e">
        <f>VLOOKUP($A269,Master!$B$50:$N$232,6,FALSE)</f>
        <v>#N/A</v>
      </c>
      <c r="L269" s="327" t="e">
        <f t="shared" si="26"/>
        <v>#N/A</v>
      </c>
      <c r="M269" s="325"/>
    </row>
    <row r="270" spans="1:13" ht="13">
      <c r="A270" s="21" t="s">
        <v>655</v>
      </c>
      <c r="B270" s="61" t="s">
        <v>656</v>
      </c>
      <c r="C270" s="316">
        <f>VLOOKUP($A270,Master!$B$50:$N$232,8,FALSE)</f>
        <v>1000</v>
      </c>
      <c r="D270" s="316" t="str">
        <f>VLOOKUP($A270,Master!$B$50:$N$232,9,FALSE)</f>
        <v>gr</v>
      </c>
      <c r="E270" s="317" t="str">
        <f>VLOOKUP($A270,Master!$B$50:$N$232,11,FALSE)</f>
        <v>Toko Lain</v>
      </c>
      <c r="F270" s="318">
        <v>2</v>
      </c>
      <c r="G270" s="319" t="s">
        <v>36</v>
      </c>
      <c r="H270" s="320">
        <v>100000</v>
      </c>
      <c r="I270" s="321" t="b">
        <v>1</v>
      </c>
      <c r="J270" s="322">
        <v>2.1280000000000001</v>
      </c>
      <c r="K270" s="326">
        <f>VLOOKUP($A270,Master!$B$50:$N$232,6,FALSE)</f>
        <v>50000</v>
      </c>
      <c r="L270" s="324">
        <v>127467</v>
      </c>
      <c r="M270" s="325" t="s">
        <v>1500</v>
      </c>
    </row>
    <row r="271" spans="1:13" ht="13">
      <c r="A271" s="18" t="s">
        <v>964</v>
      </c>
      <c r="B271" s="328" t="s">
        <v>965</v>
      </c>
      <c r="C271" s="316" t="e">
        <f>VLOOKUP($A271,Master!$B$50:$N$232,8,FALSE)</f>
        <v>#N/A</v>
      </c>
      <c r="D271" s="316" t="e">
        <f>VLOOKUP($A271,Master!$B$50:$N$232,9,FALSE)</f>
        <v>#N/A</v>
      </c>
      <c r="E271" s="317" t="e">
        <f>VLOOKUP($A271,Master!$B$50:$N$232,11,FALSE)</f>
        <v>#N/A</v>
      </c>
      <c r="F271" s="318">
        <v>1</v>
      </c>
      <c r="G271" s="319" t="s">
        <v>97</v>
      </c>
      <c r="H271" s="320">
        <v>140200</v>
      </c>
      <c r="I271" s="321" t="b">
        <v>1</v>
      </c>
      <c r="J271" s="322">
        <v>1</v>
      </c>
      <c r="K271" s="326" t="e">
        <f>VLOOKUP($A271,Master!$B$50:$N$232,6,FALSE)</f>
        <v>#N/A</v>
      </c>
      <c r="L271" s="327" t="e">
        <f t="shared" ref="L271:L272" si="27">J271*K271</f>
        <v>#N/A</v>
      </c>
      <c r="M271" s="325"/>
    </row>
    <row r="272" spans="1:13" ht="13">
      <c r="A272" s="18" t="s">
        <v>967</v>
      </c>
      <c r="B272" s="328" t="s">
        <v>968</v>
      </c>
      <c r="C272" s="316" t="e">
        <f>VLOOKUP($A272,Master!$B$50:$N$232,8,FALSE)</f>
        <v>#N/A</v>
      </c>
      <c r="D272" s="316" t="e">
        <f>VLOOKUP($A272,Master!$B$50:$N$232,9,FALSE)</f>
        <v>#N/A</v>
      </c>
      <c r="E272" s="317" t="e">
        <f>VLOOKUP($A272,Master!$B$50:$N$232,11,FALSE)</f>
        <v>#N/A</v>
      </c>
      <c r="F272" s="318">
        <v>1</v>
      </c>
      <c r="G272" s="319" t="s">
        <v>97</v>
      </c>
      <c r="H272" s="320">
        <v>140200</v>
      </c>
      <c r="I272" s="321" t="b">
        <v>1</v>
      </c>
      <c r="J272" s="322">
        <v>1</v>
      </c>
      <c r="K272" s="326" t="e">
        <f>VLOOKUP($A272,Master!$B$50:$N$232,6,FALSE)</f>
        <v>#N/A</v>
      </c>
      <c r="L272" s="327" t="e">
        <f t="shared" si="27"/>
        <v>#N/A</v>
      </c>
      <c r="M272" s="325"/>
    </row>
    <row r="273" spans="1:13" ht="13">
      <c r="A273" s="21" t="s">
        <v>544</v>
      </c>
      <c r="B273" s="61" t="s">
        <v>545</v>
      </c>
      <c r="C273" s="316" t="e">
        <f>VLOOKUP($A273,Master!$B$50:$N$232,8,FALSE)</f>
        <v>#N/A</v>
      </c>
      <c r="D273" s="316" t="e">
        <f>VLOOKUP($A273,Master!$B$50:$N$232,9,FALSE)</f>
        <v>#N/A</v>
      </c>
      <c r="E273" s="317" t="e">
        <f>VLOOKUP($A273,Master!$B$50:$N$232,11,FALSE)</f>
        <v>#N/A</v>
      </c>
      <c r="F273" s="318">
        <v>2</v>
      </c>
      <c r="G273" s="319" t="s">
        <v>62</v>
      </c>
      <c r="H273" s="320">
        <v>30400</v>
      </c>
      <c r="I273" s="321" t="b">
        <v>1</v>
      </c>
      <c r="J273" s="322">
        <v>2</v>
      </c>
      <c r="K273" s="326" t="e">
        <f>VLOOKUP($A273,Master!$B$50:$N$232,6,FALSE)</f>
        <v>#N/A</v>
      </c>
      <c r="L273" s="324">
        <v>34471</v>
      </c>
      <c r="M273" s="325"/>
    </row>
    <row r="275" spans="1:13" ht="13">
      <c r="F275" s="427">
        <v>44759</v>
      </c>
      <c r="G275" s="428"/>
      <c r="H275" s="424"/>
      <c r="J275" s="429">
        <f>F275+1</f>
        <v>44760</v>
      </c>
      <c r="K275" s="428"/>
      <c r="L275" s="424"/>
    </row>
    <row r="276" spans="1:13" ht="13">
      <c r="F276" s="425" t="s">
        <v>1490</v>
      </c>
      <c r="G276" s="426"/>
      <c r="H276" s="304">
        <f>SUM(H278:H428)</f>
        <v>81458206</v>
      </c>
      <c r="J276" s="425" t="s">
        <v>1491</v>
      </c>
      <c r="K276" s="426"/>
      <c r="L276" s="304" t="e">
        <f>SUM(L278:L428)</f>
        <v>#N/A</v>
      </c>
    </row>
    <row r="277" spans="1:13" ht="13">
      <c r="A277" s="2" t="s">
        <v>4</v>
      </c>
      <c r="B277" s="305" t="s">
        <v>5</v>
      </c>
      <c r="C277" s="305" t="s">
        <v>1492</v>
      </c>
      <c r="D277" s="305" t="s">
        <v>12</v>
      </c>
      <c r="E277" s="306" t="s">
        <v>1493</v>
      </c>
      <c r="F277" s="307" t="s">
        <v>1494</v>
      </c>
      <c r="G277" s="308" t="s">
        <v>10</v>
      </c>
      <c r="H277" s="309" t="s">
        <v>1495</v>
      </c>
      <c r="I277" s="310" t="s">
        <v>1289</v>
      </c>
      <c r="J277" s="311" t="s">
        <v>1496</v>
      </c>
      <c r="K277" s="312" t="s">
        <v>1497</v>
      </c>
      <c r="L277" s="313" t="s">
        <v>1498</v>
      </c>
      <c r="M277" s="314" t="s">
        <v>16</v>
      </c>
    </row>
    <row r="278" spans="1:13" ht="13">
      <c r="A278" s="21" t="s">
        <v>716</v>
      </c>
      <c r="B278" s="61" t="s">
        <v>717</v>
      </c>
      <c r="C278" s="316">
        <f>VLOOKUP($A278,Master!$B$50:$N$232,8,FALSE)</f>
        <v>1000</v>
      </c>
      <c r="D278" s="316" t="str">
        <f>VLOOKUP($A278,Master!$B$50:$N$232,9,FALSE)</f>
        <v>gr</v>
      </c>
      <c r="E278" s="317" t="str">
        <f>VLOOKUP($A278,Master!$B$50:$N$232,11,FALSE)</f>
        <v>Eden Farm</v>
      </c>
      <c r="F278" s="318">
        <v>1</v>
      </c>
      <c r="G278" s="319" t="s">
        <v>36</v>
      </c>
      <c r="H278" s="320">
        <v>41700</v>
      </c>
      <c r="I278" s="321" t="b">
        <v>1</v>
      </c>
      <c r="J278" s="322"/>
      <c r="K278" s="326">
        <f>VLOOKUP($A278,Master!$B$50:$N$232,6,FALSE)</f>
        <v>45000</v>
      </c>
      <c r="L278" s="327">
        <f t="shared" ref="L278:L279" si="28">J278*K278</f>
        <v>0</v>
      </c>
      <c r="M278" s="325" t="s">
        <v>1561</v>
      </c>
    </row>
    <row r="279" spans="1:13" ht="13">
      <c r="A279" s="21" t="s">
        <v>744</v>
      </c>
      <c r="B279" s="61" t="s">
        <v>745</v>
      </c>
      <c r="C279" s="316">
        <f>VLOOKUP($A279,Master!$B$50:$N$232,8,FALSE)</f>
        <v>1000</v>
      </c>
      <c r="D279" s="316" t="str">
        <f>VLOOKUP($A279,Master!$B$50:$N$232,9,FALSE)</f>
        <v>gr</v>
      </c>
      <c r="E279" s="317" t="str">
        <f>VLOOKUP($A279,Master!$B$50:$N$232,11,FALSE)</f>
        <v>Eden Farm</v>
      </c>
      <c r="F279" s="318">
        <v>3</v>
      </c>
      <c r="G279" s="319" t="s">
        <v>306</v>
      </c>
      <c r="H279" s="320">
        <v>163500</v>
      </c>
      <c r="I279" s="321" t="b">
        <v>1</v>
      </c>
      <c r="J279" s="322"/>
      <c r="K279" s="326">
        <f>VLOOKUP($A279,Master!$B$50:$N$232,6,FALSE)</f>
        <v>58600</v>
      </c>
      <c r="L279" s="327">
        <f t="shared" si="28"/>
        <v>0</v>
      </c>
      <c r="M279" s="325" t="s">
        <v>1561</v>
      </c>
    </row>
    <row r="281" spans="1:13" ht="13">
      <c r="F281" s="427">
        <v>44760</v>
      </c>
      <c r="G281" s="428"/>
      <c r="H281" s="424"/>
      <c r="J281" s="429">
        <f>F281+1</f>
        <v>44761</v>
      </c>
      <c r="K281" s="428"/>
      <c r="L281" s="424"/>
    </row>
    <row r="282" spans="1:13" ht="13">
      <c r="F282" s="425" t="s">
        <v>1490</v>
      </c>
      <c r="G282" s="426"/>
      <c r="H282" s="304">
        <f>SUM(H284:H434)</f>
        <v>41536028</v>
      </c>
      <c r="J282" s="425" t="s">
        <v>1491</v>
      </c>
      <c r="K282" s="426"/>
      <c r="L282" s="304" t="e">
        <f>SUM(L284:L434)</f>
        <v>#N/A</v>
      </c>
    </row>
    <row r="283" spans="1:13" ht="13">
      <c r="A283" s="2" t="s">
        <v>4</v>
      </c>
      <c r="B283" s="305" t="s">
        <v>5</v>
      </c>
      <c r="C283" s="305" t="s">
        <v>1492</v>
      </c>
      <c r="D283" s="305" t="s">
        <v>12</v>
      </c>
      <c r="E283" s="306" t="s">
        <v>1493</v>
      </c>
      <c r="F283" s="307" t="s">
        <v>1494</v>
      </c>
      <c r="G283" s="308" t="s">
        <v>10</v>
      </c>
      <c r="H283" s="309" t="s">
        <v>1495</v>
      </c>
      <c r="I283" s="310" t="s">
        <v>1289</v>
      </c>
      <c r="J283" s="311" t="s">
        <v>1496</v>
      </c>
      <c r="K283" s="312" t="s">
        <v>1497</v>
      </c>
      <c r="L283" s="313" t="s">
        <v>1498</v>
      </c>
      <c r="M283" s="314" t="s">
        <v>16</v>
      </c>
    </row>
    <row r="284" spans="1:13" ht="13">
      <c r="A284" s="315" t="s">
        <v>739</v>
      </c>
      <c r="B284" s="61" t="s">
        <v>740</v>
      </c>
      <c r="C284" s="316">
        <f>VLOOKUP($A284,Master!$B$50:$N$232,8,FALSE)</f>
        <v>100</v>
      </c>
      <c r="D284" s="316" t="str">
        <f>VLOOKUP($A284,Master!$B$50:$N$232,9,FALSE)</f>
        <v>pack</v>
      </c>
      <c r="E284" s="317" t="str">
        <f>VLOOKUP($A284,Master!$B$50:$N$232,11,FALSE)</f>
        <v>B5 Coffee &amp; Roastery</v>
      </c>
      <c r="F284" s="318">
        <v>2</v>
      </c>
      <c r="G284" s="319" t="s">
        <v>62</v>
      </c>
      <c r="H284" s="320">
        <v>240000</v>
      </c>
      <c r="I284" s="321" t="b">
        <v>1</v>
      </c>
      <c r="J284" s="322">
        <v>2</v>
      </c>
      <c r="K284" s="326">
        <f>VLOOKUP($A284,Master!$B$50:$N$232,6,FALSE)</f>
        <v>120000</v>
      </c>
      <c r="L284" s="324">
        <v>220000</v>
      </c>
      <c r="M284" s="325"/>
    </row>
    <row r="285" spans="1:13" ht="13">
      <c r="A285" s="18" t="s">
        <v>877</v>
      </c>
      <c r="B285" s="328" t="s">
        <v>878</v>
      </c>
      <c r="C285" s="316">
        <f>VLOOKUP($A285,Master!$B$50:$N$232,8,FALSE)</f>
        <v>40</v>
      </c>
      <c r="D285" s="316" t="str">
        <f>VLOOKUP($A285,Master!$B$50:$N$232,9,FALSE)</f>
        <v>pcs</v>
      </c>
      <c r="E285" s="317" t="str">
        <f>VLOOKUP($A285,Master!$B$50:$N$232,11,FALSE)</f>
        <v>B5 Coffee &amp; Roastery</v>
      </c>
      <c r="F285" s="318">
        <v>1</v>
      </c>
      <c r="G285" s="319" t="s">
        <v>62</v>
      </c>
      <c r="H285" s="320">
        <v>35000</v>
      </c>
      <c r="I285" s="321" t="b">
        <v>1</v>
      </c>
      <c r="J285" s="322">
        <v>1</v>
      </c>
      <c r="K285" s="326">
        <f>VLOOKUP($A285,Master!$B$50:$N$232,6,FALSE)</f>
        <v>35000</v>
      </c>
      <c r="L285" s="327">
        <f>J285*K285</f>
        <v>35000</v>
      </c>
      <c r="M285" s="325"/>
    </row>
    <row r="286" spans="1:13" ht="13">
      <c r="A286" s="22" t="s">
        <v>639</v>
      </c>
      <c r="B286" s="330" t="s">
        <v>640</v>
      </c>
      <c r="C286" s="316">
        <f>VLOOKUP($A286,Master!$B$50:$N$232,8,FALSE)</f>
        <v>1000</v>
      </c>
      <c r="D286" s="316" t="str">
        <f>VLOOKUP($A286,Master!$B$50:$N$232,9,FALSE)</f>
        <v>gr</v>
      </c>
      <c r="E286" s="337" t="str">
        <f>VLOOKUP($A286,Master!$B$50:$N$232,11,FALSE)</f>
        <v>BISS (Topside)</v>
      </c>
      <c r="F286" s="318">
        <v>1</v>
      </c>
      <c r="G286" s="319" t="s">
        <v>36</v>
      </c>
      <c r="H286" s="320">
        <v>145000</v>
      </c>
      <c r="I286" s="321" t="b">
        <v>1</v>
      </c>
      <c r="J286" s="322">
        <v>1</v>
      </c>
      <c r="K286" s="326">
        <f>VLOOKUP($A286,Master!$B$50:$N$232,6,FALSE)</f>
        <v>145000</v>
      </c>
      <c r="L286" s="324">
        <v>130000</v>
      </c>
      <c r="M286" s="325"/>
    </row>
    <row r="287" spans="1:13" ht="13">
      <c r="A287" s="21" t="s">
        <v>586</v>
      </c>
      <c r="B287" s="61" t="s">
        <v>587</v>
      </c>
      <c r="C287" s="316">
        <f>VLOOKUP($A287,Master!$B$50:$N$232,8,FALSE)</f>
        <v>20</v>
      </c>
      <c r="D287" s="316" t="str">
        <f>VLOOKUP($A287,Master!$B$50:$N$232,9,FALSE)</f>
        <v>pcs</v>
      </c>
      <c r="E287" s="317" t="str">
        <f>VLOOKUP($A287,Master!$B$50:$N$232,11,FALSE)</f>
        <v>Kurnia Mas</v>
      </c>
      <c r="F287" s="318">
        <v>2</v>
      </c>
      <c r="G287" s="319" t="s">
        <v>62</v>
      </c>
      <c r="H287" s="320">
        <v>14600</v>
      </c>
      <c r="I287" s="321" t="b">
        <v>1</v>
      </c>
      <c r="J287" s="322">
        <v>2</v>
      </c>
      <c r="K287" s="326">
        <f>VLOOKUP($A287,Master!$B$50:$N$232,6,FALSE)</f>
        <v>8500</v>
      </c>
      <c r="L287" s="327">
        <f>J287*K287</f>
        <v>17000</v>
      </c>
      <c r="M287" s="325" t="s">
        <v>81</v>
      </c>
    </row>
    <row r="288" spans="1:13" ht="13">
      <c r="A288" s="21" t="s">
        <v>631</v>
      </c>
      <c r="B288" s="61" t="s">
        <v>632</v>
      </c>
      <c r="C288" s="316">
        <f>VLOOKUP($A288,Master!$B$50:$N$232,8,FALSE)</f>
        <v>1000</v>
      </c>
      <c r="D288" s="316" t="str">
        <f>VLOOKUP($A288,Master!$B$50:$N$232,9,FALSE)</f>
        <v>gr</v>
      </c>
      <c r="E288" s="317" t="str">
        <f>VLOOKUP($A288,Master!$B$50:$N$232,11,FALSE)</f>
        <v>Borma</v>
      </c>
      <c r="F288" s="318">
        <v>1</v>
      </c>
      <c r="G288" s="319" t="s">
        <v>36</v>
      </c>
      <c r="H288" s="320">
        <v>16000</v>
      </c>
      <c r="I288" s="321" t="b">
        <v>1</v>
      </c>
      <c r="J288" s="322">
        <v>1</v>
      </c>
      <c r="K288" s="326">
        <f>VLOOKUP($A288,Master!$B$50:$N$232,6,FALSE)</f>
        <v>18000</v>
      </c>
      <c r="L288" s="324">
        <v>15000</v>
      </c>
      <c r="M288" s="325"/>
    </row>
    <row r="289" spans="1:13" ht="13">
      <c r="A289" s="21" t="s">
        <v>770</v>
      </c>
      <c r="B289" s="61" t="s">
        <v>771</v>
      </c>
      <c r="C289" s="316" t="e">
        <f>VLOOKUP($A289,Master!$B$50:$N$232,8,FALSE)</f>
        <v>#N/A</v>
      </c>
      <c r="D289" s="316" t="e">
        <f>VLOOKUP($A289,Master!$B$50:$N$232,9,FALSE)</f>
        <v>#N/A</v>
      </c>
      <c r="E289" s="317" t="e">
        <f>VLOOKUP($A289,Master!$B$50:$N$232,11,FALSE)</f>
        <v>#N/A</v>
      </c>
      <c r="F289" s="318">
        <v>2</v>
      </c>
      <c r="G289" s="319" t="s">
        <v>97</v>
      </c>
      <c r="H289" s="320">
        <v>55900</v>
      </c>
      <c r="I289" s="321" t="b">
        <v>1</v>
      </c>
      <c r="J289" s="322">
        <v>2</v>
      </c>
      <c r="K289" s="326" t="e">
        <f>VLOOKUP($A289,Master!$B$50:$N$232,6,FALSE)</f>
        <v>#N/A</v>
      </c>
      <c r="L289" s="324">
        <v>50600</v>
      </c>
      <c r="M289" s="325"/>
    </row>
    <row r="290" spans="1:13" ht="13">
      <c r="A290" s="21" t="s">
        <v>949</v>
      </c>
      <c r="B290" s="61" t="s">
        <v>950</v>
      </c>
      <c r="C290" s="316" t="e">
        <f>VLOOKUP($A290,Master!$B$50:$N$232,8,FALSE)</f>
        <v>#N/A</v>
      </c>
      <c r="D290" s="316" t="e">
        <f>VLOOKUP($A290,Master!$B$50:$N$232,9,FALSE)</f>
        <v>#N/A</v>
      </c>
      <c r="E290" s="317" t="e">
        <f>VLOOKUP($A290,Master!$B$50:$N$232,11,FALSE)</f>
        <v>#N/A</v>
      </c>
      <c r="F290" s="318">
        <v>1</v>
      </c>
      <c r="G290" s="319" t="s">
        <v>97</v>
      </c>
      <c r="H290" s="320">
        <v>27000</v>
      </c>
      <c r="I290" s="321" t="b">
        <v>1</v>
      </c>
      <c r="J290" s="322">
        <v>1</v>
      </c>
      <c r="K290" s="326" t="e">
        <f>VLOOKUP($A290,Master!$B$50:$N$232,6,FALSE)</f>
        <v>#N/A</v>
      </c>
      <c r="L290" s="324">
        <v>23400</v>
      </c>
      <c r="M290" s="325"/>
    </row>
    <row r="291" spans="1:13" ht="13">
      <c r="A291" s="21" t="s">
        <v>1041</v>
      </c>
      <c r="B291" s="61" t="s">
        <v>1042</v>
      </c>
      <c r="C291" s="316" t="e">
        <f>VLOOKUP($A291,Master!$B$50:$N$232,8,FALSE)</f>
        <v>#N/A</v>
      </c>
      <c r="D291" s="316" t="e">
        <f>VLOOKUP($A291,Master!$B$50:$N$232,9,FALSE)</f>
        <v>#N/A</v>
      </c>
      <c r="E291" s="317" t="e">
        <f>VLOOKUP($A291,Master!$B$50:$N$232,11,FALSE)</f>
        <v>#N/A</v>
      </c>
      <c r="F291" s="318">
        <v>1</v>
      </c>
      <c r="G291" s="319" t="s">
        <v>62</v>
      </c>
      <c r="H291" s="320">
        <v>35600</v>
      </c>
      <c r="I291" s="321" t="b">
        <v>1</v>
      </c>
      <c r="J291" s="322">
        <v>1</v>
      </c>
      <c r="K291" s="323" t="e">
        <f>VLOOKUP($A291,Master!$B$50:$N$232,6,FALSE)</f>
        <v>#N/A</v>
      </c>
      <c r="L291" s="324">
        <v>18100</v>
      </c>
      <c r="M291" s="325"/>
    </row>
    <row r="292" spans="1:13" ht="13">
      <c r="A292" s="21" t="s">
        <v>1094</v>
      </c>
      <c r="B292" s="61" t="s">
        <v>1095</v>
      </c>
      <c r="C292" s="316" t="e">
        <f>VLOOKUP($A292,Master!$B$50:$N$232,8,FALSE)</f>
        <v>#N/A</v>
      </c>
      <c r="D292" s="316" t="e">
        <f>VLOOKUP($A292,Master!$B$50:$N$232,9,FALSE)</f>
        <v>#N/A</v>
      </c>
      <c r="E292" s="317" t="e">
        <f>VLOOKUP($A292,Master!$B$50:$N$232,11,FALSE)</f>
        <v>#N/A</v>
      </c>
      <c r="F292" s="318">
        <v>1</v>
      </c>
      <c r="G292" s="319" t="s">
        <v>62</v>
      </c>
      <c r="H292" s="320">
        <v>19650</v>
      </c>
      <c r="I292" s="321" t="b">
        <v>1</v>
      </c>
      <c r="J292" s="322">
        <v>1</v>
      </c>
      <c r="K292" s="323" t="e">
        <f>VLOOKUP($A292,Master!$B$50:$N$232,6,FALSE)</f>
        <v>#N/A</v>
      </c>
      <c r="L292" s="324">
        <v>17800</v>
      </c>
      <c r="M292" s="325"/>
    </row>
    <row r="293" spans="1:13" ht="13">
      <c r="A293" s="18" t="s">
        <v>1096</v>
      </c>
      <c r="B293" s="328" t="s">
        <v>1097</v>
      </c>
      <c r="C293" s="316" t="e">
        <f>VLOOKUP($A293,Master!$B$50:$N$232,8,FALSE)</f>
        <v>#N/A</v>
      </c>
      <c r="D293" s="316" t="e">
        <f>VLOOKUP($A293,Master!$B$50:$N$232,9,FALSE)</f>
        <v>#N/A</v>
      </c>
      <c r="E293" s="317" t="e">
        <f>VLOOKUP($A293,Master!$B$50:$N$232,11,FALSE)</f>
        <v>#N/A</v>
      </c>
      <c r="F293" s="318">
        <v>2</v>
      </c>
      <c r="G293" s="319" t="s">
        <v>62</v>
      </c>
      <c r="H293" s="320">
        <v>9600</v>
      </c>
      <c r="I293" s="321" t="b">
        <v>1</v>
      </c>
      <c r="J293" s="322">
        <v>3</v>
      </c>
      <c r="K293" s="323" t="e">
        <f>VLOOKUP($A293,Master!$B$50:$N$232,6,FALSE)</f>
        <v>#N/A</v>
      </c>
      <c r="L293" s="324">
        <v>18800</v>
      </c>
      <c r="M293" s="325"/>
    </row>
    <row r="294" spans="1:13" ht="13">
      <c r="A294" s="21" t="s">
        <v>851</v>
      </c>
      <c r="B294" s="61" t="s">
        <v>852</v>
      </c>
      <c r="C294" s="316" t="e">
        <f>VLOOKUP($A294,Master!$B$50:$N$232,8,FALSE)</f>
        <v>#N/A</v>
      </c>
      <c r="D294" s="316" t="e">
        <f>VLOOKUP($A294,Master!$B$50:$N$232,9,FALSE)</f>
        <v>#N/A</v>
      </c>
      <c r="E294" s="317" t="e">
        <f>VLOOKUP($A294,Master!$B$50:$N$232,11,FALSE)</f>
        <v>#N/A</v>
      </c>
      <c r="F294" s="318">
        <v>3</v>
      </c>
      <c r="G294" s="319" t="s">
        <v>143</v>
      </c>
      <c r="H294" s="320">
        <v>91200</v>
      </c>
      <c r="I294" s="321" t="b">
        <v>1</v>
      </c>
      <c r="J294" s="322">
        <v>3</v>
      </c>
      <c r="K294" s="326" t="e">
        <f>VLOOKUP($A294,Master!$B$50:$N$232,6,FALSE)</f>
        <v>#N/A</v>
      </c>
      <c r="L294" s="327" t="e">
        <f t="shared" ref="L294:L298" si="29">J294*K294</f>
        <v>#N/A</v>
      </c>
      <c r="M294" s="325"/>
    </row>
    <row r="295" spans="1:13" ht="13">
      <c r="A295" s="21" t="s">
        <v>574</v>
      </c>
      <c r="B295" s="61" t="s">
        <v>575</v>
      </c>
      <c r="C295" s="316" t="e">
        <f>VLOOKUP($A295,Master!$B$50:$N$232,8,FALSE)</f>
        <v>#N/A</v>
      </c>
      <c r="D295" s="316" t="e">
        <f>VLOOKUP($A295,Master!$B$50:$N$232,9,FALSE)</f>
        <v>#N/A</v>
      </c>
      <c r="E295" s="317" t="e">
        <f>VLOOKUP($A295,Master!$B$50:$N$232,11,FALSE)</f>
        <v>#N/A</v>
      </c>
      <c r="F295" s="318">
        <v>1</v>
      </c>
      <c r="G295" s="319" t="s">
        <v>62</v>
      </c>
      <c r="H295" s="320">
        <v>170000</v>
      </c>
      <c r="I295" s="321" t="b">
        <v>1</v>
      </c>
      <c r="J295" s="322">
        <v>1</v>
      </c>
      <c r="K295" s="326" t="e">
        <f>VLOOKUP($A295,Master!$B$50:$N$232,6,FALSE)</f>
        <v>#N/A</v>
      </c>
      <c r="L295" s="327" t="e">
        <f t="shared" si="29"/>
        <v>#N/A</v>
      </c>
      <c r="M295" s="325"/>
    </row>
    <row r="296" spans="1:13" ht="13">
      <c r="A296" s="21" t="s">
        <v>578</v>
      </c>
      <c r="B296" s="61" t="s">
        <v>579</v>
      </c>
      <c r="C296" s="316" t="e">
        <f>VLOOKUP($A296,Master!$B$50:$N$232,8,FALSE)</f>
        <v>#N/A</v>
      </c>
      <c r="D296" s="316" t="e">
        <f>VLOOKUP($A296,Master!$B$50:$N$232,9,FALSE)</f>
        <v>#N/A</v>
      </c>
      <c r="E296" s="317" t="e">
        <f>VLOOKUP($A296,Master!$B$50:$N$232,11,FALSE)</f>
        <v>#N/A</v>
      </c>
      <c r="F296" s="318">
        <v>2</v>
      </c>
      <c r="G296" s="319" t="s">
        <v>62</v>
      </c>
      <c r="H296" s="320">
        <v>440000</v>
      </c>
      <c r="I296" s="321" t="b">
        <v>1</v>
      </c>
      <c r="J296" s="322">
        <v>2</v>
      </c>
      <c r="K296" s="326" t="e">
        <f>VLOOKUP($A296,Master!$B$50:$N$232,6,FALSE)</f>
        <v>#N/A</v>
      </c>
      <c r="L296" s="327" t="e">
        <f t="shared" si="29"/>
        <v>#N/A</v>
      </c>
      <c r="M296" s="325"/>
    </row>
    <row r="297" spans="1:13" ht="13">
      <c r="A297" s="21" t="s">
        <v>651</v>
      </c>
      <c r="B297" s="61" t="s">
        <v>652</v>
      </c>
      <c r="C297" s="316">
        <f>VLOOKUP($A297,Master!$B$50:$N$232,8,FALSE)</f>
        <v>1000</v>
      </c>
      <c r="D297" s="316" t="str">
        <f>VLOOKUP($A297,Master!$B$50:$N$232,9,FALSE)</f>
        <v>gr</v>
      </c>
      <c r="E297" s="317" t="str">
        <f>VLOOKUP($A297,Master!$B$50:$N$232,11,FALSE)</f>
        <v>Eden Farm</v>
      </c>
      <c r="F297" s="318">
        <v>1.5</v>
      </c>
      <c r="G297" s="319" t="s">
        <v>36</v>
      </c>
      <c r="H297" s="320">
        <v>20400</v>
      </c>
      <c r="I297" s="321" t="b">
        <v>1</v>
      </c>
      <c r="J297" s="322">
        <v>1.5</v>
      </c>
      <c r="K297" s="323">
        <v>10700</v>
      </c>
      <c r="L297" s="324">
        <f t="shared" si="29"/>
        <v>16050</v>
      </c>
      <c r="M297" s="325"/>
    </row>
    <row r="298" spans="1:13" ht="13">
      <c r="A298" s="21" t="s">
        <v>667</v>
      </c>
      <c r="B298" s="61" t="s">
        <v>668</v>
      </c>
      <c r="C298" s="316">
        <f>VLOOKUP($A298,Master!$B$50:$N$232,8,FALSE)</f>
        <v>1000</v>
      </c>
      <c r="D298" s="316" t="str">
        <f>VLOOKUP($A298,Master!$B$50:$N$232,9,FALSE)</f>
        <v>gr</v>
      </c>
      <c r="E298" s="317" t="str">
        <f>VLOOKUP($A298,Master!$B$50:$N$232,11,FALSE)</f>
        <v>Eden Farm</v>
      </c>
      <c r="F298" s="318">
        <v>1</v>
      </c>
      <c r="G298" s="319" t="s">
        <v>36</v>
      </c>
      <c r="H298" s="320">
        <v>100200</v>
      </c>
      <c r="I298" s="321" t="b">
        <v>1</v>
      </c>
      <c r="J298" s="322">
        <v>1</v>
      </c>
      <c r="K298" s="323">
        <v>102600</v>
      </c>
      <c r="L298" s="324">
        <f t="shared" si="29"/>
        <v>102600</v>
      </c>
      <c r="M298" s="325"/>
    </row>
    <row r="299" spans="1:13" ht="13">
      <c r="A299" s="21" t="s">
        <v>712</v>
      </c>
      <c r="B299" s="61" t="s">
        <v>713</v>
      </c>
      <c r="C299" s="316">
        <f>VLOOKUP($A299,Master!$B$50:$N$232,8,FALSE)</f>
        <v>1000</v>
      </c>
      <c r="D299" s="316" t="str">
        <f>VLOOKUP($A299,Master!$B$50:$N$232,9,FALSE)</f>
        <v>gr</v>
      </c>
      <c r="E299" s="317" t="str">
        <f>VLOOKUP($A299,Master!$B$50:$N$232,11,FALSE)</f>
        <v>Eden Farm</v>
      </c>
      <c r="F299" s="318">
        <v>1</v>
      </c>
      <c r="G299" s="319" t="s">
        <v>36</v>
      </c>
      <c r="H299" s="320">
        <v>24200</v>
      </c>
      <c r="I299" s="321" t="b">
        <v>1</v>
      </c>
      <c r="J299" s="322">
        <v>1</v>
      </c>
      <c r="K299" s="326">
        <f>VLOOKUP($A299,Master!$B$50:$N$232,6,FALSE)</f>
        <v>40000</v>
      </c>
      <c r="L299" s="324">
        <v>21500</v>
      </c>
      <c r="M299" s="325"/>
    </row>
    <row r="300" spans="1:13" ht="13">
      <c r="A300" s="21" t="s">
        <v>732</v>
      </c>
      <c r="B300" s="61" t="s">
        <v>733</v>
      </c>
      <c r="C300" s="316">
        <f>VLOOKUP($A300,Master!$B$50:$N$232,8,FALSE)</f>
        <v>1000</v>
      </c>
      <c r="D300" s="316" t="str">
        <f>VLOOKUP($A300,Master!$B$50:$N$232,9,FALSE)</f>
        <v>gr</v>
      </c>
      <c r="E300" s="317" t="str">
        <f>VLOOKUP($A300,Master!$B$50:$N$232,11,FALSE)</f>
        <v>Eden Farm</v>
      </c>
      <c r="F300" s="318">
        <v>3</v>
      </c>
      <c r="G300" s="319" t="s">
        <v>36</v>
      </c>
      <c r="H300" s="320">
        <v>56700</v>
      </c>
      <c r="I300" s="321" t="b">
        <v>1</v>
      </c>
      <c r="J300" s="322">
        <v>3</v>
      </c>
      <c r="K300" s="323">
        <v>19900</v>
      </c>
      <c r="L300" s="324">
        <f t="shared" ref="L300:L301" si="30">J300*K300</f>
        <v>59700</v>
      </c>
      <c r="M300" s="325"/>
    </row>
    <row r="301" spans="1:13" ht="13">
      <c r="A301" s="21" t="s">
        <v>782</v>
      </c>
      <c r="B301" s="61" t="s">
        <v>783</v>
      </c>
      <c r="C301" s="316">
        <f>VLOOKUP($A301,Master!$B$50:$N$232,8,FALSE)</f>
        <v>500</v>
      </c>
      <c r="D301" s="316" t="str">
        <f>VLOOKUP($A301,Master!$B$50:$N$232,9,FALSE)</f>
        <v>gr</v>
      </c>
      <c r="E301" s="317" t="str">
        <f>VLOOKUP($A301,Master!$B$50:$N$232,11,FALSE)</f>
        <v>Toko Lain</v>
      </c>
      <c r="F301" s="318">
        <v>1</v>
      </c>
      <c r="G301" s="319" t="s">
        <v>62</v>
      </c>
      <c r="H301" s="320">
        <v>7700</v>
      </c>
      <c r="I301" s="321" t="b">
        <v>1</v>
      </c>
      <c r="J301" s="322">
        <v>1</v>
      </c>
      <c r="K301" s="323">
        <v>25000</v>
      </c>
      <c r="L301" s="324">
        <f t="shared" si="30"/>
        <v>25000</v>
      </c>
      <c r="M301" s="325" t="s">
        <v>1562</v>
      </c>
    </row>
    <row r="302" spans="1:13" ht="13">
      <c r="A302" s="21" t="s">
        <v>919</v>
      </c>
      <c r="B302" s="61" t="s">
        <v>920</v>
      </c>
      <c r="C302" s="316">
        <f>VLOOKUP($A302,Master!$B$50:$N$232,8,FALSE)</f>
        <v>1000</v>
      </c>
      <c r="D302" s="316" t="str">
        <f>VLOOKUP($A302,Master!$B$50:$N$232,9,FALSE)</f>
        <v>gr</v>
      </c>
      <c r="E302" s="317" t="str">
        <f>VLOOKUP($A302,Master!$B$50:$N$232,11,FALSE)</f>
        <v>Eden Farm</v>
      </c>
      <c r="F302" s="318">
        <v>1</v>
      </c>
      <c r="G302" s="319" t="s">
        <v>62</v>
      </c>
      <c r="H302" s="320">
        <v>39900</v>
      </c>
      <c r="I302" s="321" t="b">
        <v>1</v>
      </c>
      <c r="J302" s="322">
        <v>1</v>
      </c>
      <c r="K302" s="326">
        <f>VLOOKUP($A302,Master!$B$50:$N$232,6,FALSE)</f>
        <v>50000</v>
      </c>
      <c r="L302" s="324">
        <v>35700</v>
      </c>
      <c r="M302" s="325"/>
    </row>
    <row r="303" spans="1:13" ht="13">
      <c r="A303" s="21" t="s">
        <v>659</v>
      </c>
      <c r="B303" s="61" t="s">
        <v>660</v>
      </c>
      <c r="C303" s="316">
        <f>VLOOKUP($A303,Master!$B$50:$N$232,8,FALSE)</f>
        <v>15</v>
      </c>
      <c r="D303" s="316" t="str">
        <f>VLOOKUP($A303,Master!$B$50:$N$232,9,FALSE)</f>
        <v>pcs</v>
      </c>
      <c r="E303" s="317" t="str">
        <f>VLOOKUP($A303,Master!$B$50:$N$232,11,FALSE)</f>
        <v>Feri Supriadi (Telur , Beras , Minyak )</v>
      </c>
      <c r="F303" s="318">
        <v>5</v>
      </c>
      <c r="G303" s="319" t="s">
        <v>36</v>
      </c>
      <c r="H303" s="320">
        <v>137500</v>
      </c>
      <c r="I303" s="321" t="b">
        <v>1</v>
      </c>
      <c r="J303" s="322">
        <v>5</v>
      </c>
      <c r="K303" s="323">
        <v>28000</v>
      </c>
      <c r="L303" s="324">
        <f>J303*K303</f>
        <v>140000</v>
      </c>
      <c r="M303" s="325"/>
    </row>
    <row r="304" spans="1:13" ht="13">
      <c r="A304" s="22" t="s">
        <v>663</v>
      </c>
      <c r="B304" s="330" t="s">
        <v>664</v>
      </c>
      <c r="C304" s="316">
        <f>VLOOKUP($A304,Master!$B$50:$N$232,8,FALSE)</f>
        <v>1000</v>
      </c>
      <c r="D304" s="316" t="str">
        <f>VLOOKUP($A304,Master!$B$50:$N$232,9,FALSE)</f>
        <v>gr</v>
      </c>
      <c r="E304" s="317" t="str">
        <f>VLOOKUP($A304,Master!$B$50:$N$232,11,FALSE)</f>
        <v>Toko Lain</v>
      </c>
      <c r="F304" s="318">
        <v>3</v>
      </c>
      <c r="G304" s="319" t="s">
        <v>36</v>
      </c>
      <c r="H304" s="320">
        <v>133500</v>
      </c>
      <c r="I304" s="321" t="b">
        <v>1</v>
      </c>
      <c r="J304" s="322">
        <v>2.96</v>
      </c>
      <c r="K304" s="326">
        <f>VLOOKUP($A304,Master!$B$50:$N$232,6,FALSE)</f>
        <v>45000</v>
      </c>
      <c r="L304" s="324">
        <v>116920</v>
      </c>
      <c r="M304" s="325" t="s">
        <v>1500</v>
      </c>
    </row>
    <row r="305" spans="1:13" ht="13">
      <c r="A305" s="22" t="s">
        <v>675</v>
      </c>
      <c r="B305" s="330" t="s">
        <v>676</v>
      </c>
      <c r="C305" s="316">
        <f>VLOOKUP($A305,Master!$B$50:$N$232,8,FALSE)</f>
        <v>20</v>
      </c>
      <c r="D305" s="316" t="str">
        <f>VLOOKUP($A305,Master!$B$50:$N$232,9,FALSE)</f>
        <v>unit</v>
      </c>
      <c r="E305" s="317" t="str">
        <f>VLOOKUP($A305,Master!$B$50:$N$232,11,FALSE)</f>
        <v>RSB, Dago</v>
      </c>
      <c r="F305" s="318">
        <v>15</v>
      </c>
      <c r="G305" s="319" t="s">
        <v>62</v>
      </c>
      <c r="H305" s="320">
        <v>90000</v>
      </c>
      <c r="I305" s="321" t="b">
        <v>1</v>
      </c>
      <c r="J305" s="322">
        <v>15</v>
      </c>
      <c r="K305" s="326">
        <f>VLOOKUP($A305,Master!$B$50:$N$232,6,FALSE)</f>
        <v>13500</v>
      </c>
      <c r="L305" s="327">
        <f>J305*K305</f>
        <v>202500</v>
      </c>
      <c r="M305" s="325"/>
    </row>
    <row r="306" spans="1:13" ht="13">
      <c r="A306" s="21" t="s">
        <v>735</v>
      </c>
      <c r="B306" s="61" t="s">
        <v>736</v>
      </c>
      <c r="C306" s="316">
        <f>VLOOKUP($A306,Master!$B$50:$N$232,8,FALSE)</f>
        <v>700</v>
      </c>
      <c r="D306" s="316" t="str">
        <f>VLOOKUP($A306,Master!$B$50:$N$232,9,FALSE)</f>
        <v>gr</v>
      </c>
      <c r="E306" s="317" t="str">
        <f>VLOOKUP($A306,Master!$B$50:$N$232,11,FALSE)</f>
        <v>Kurnia Mas</v>
      </c>
      <c r="F306" s="318">
        <v>1</v>
      </c>
      <c r="G306" s="319" t="s">
        <v>97</v>
      </c>
      <c r="H306" s="320">
        <v>54500</v>
      </c>
      <c r="I306" s="321" t="b">
        <v>1</v>
      </c>
      <c r="J306" s="322">
        <v>1</v>
      </c>
      <c r="K306" s="326">
        <f>VLOOKUP($A306,Master!$B$50:$N$232,6,FALSE)</f>
        <v>52500</v>
      </c>
      <c r="L306" s="324">
        <v>53955</v>
      </c>
      <c r="M306" s="325" t="s">
        <v>1500</v>
      </c>
    </row>
    <row r="307" spans="1:13" ht="13">
      <c r="A307" s="21" t="s">
        <v>519</v>
      </c>
      <c r="B307" s="61" t="s">
        <v>520</v>
      </c>
      <c r="C307" s="316" t="e">
        <f>VLOOKUP($A307,Master!$B$50:$N$232,8,FALSE)</f>
        <v>#N/A</v>
      </c>
      <c r="D307" s="316" t="e">
        <f>VLOOKUP($A307,Master!$B$50:$N$232,9,FALSE)</f>
        <v>#N/A</v>
      </c>
      <c r="E307" s="317" t="e">
        <f>VLOOKUP($A307,Master!$B$50:$N$232,11,FALSE)</f>
        <v>#N/A</v>
      </c>
      <c r="F307" s="318">
        <v>1</v>
      </c>
      <c r="G307" s="319" t="s">
        <v>36</v>
      </c>
      <c r="H307" s="320">
        <v>14000</v>
      </c>
      <c r="I307" s="321" t="b">
        <v>1</v>
      </c>
      <c r="J307" s="322">
        <v>1</v>
      </c>
      <c r="K307" s="326" t="e">
        <f>VLOOKUP($A307,Master!$B$50:$N$232,6,FALSE)</f>
        <v>#N/A</v>
      </c>
      <c r="L307" s="327" t="e">
        <f t="shared" ref="L307:L312" si="31">J307*K307</f>
        <v>#N/A</v>
      </c>
      <c r="M307" s="325"/>
    </row>
    <row r="308" spans="1:13" ht="13">
      <c r="A308" s="21" t="s">
        <v>528</v>
      </c>
      <c r="B308" s="61" t="s">
        <v>529</v>
      </c>
      <c r="C308" s="316" t="e">
        <f>VLOOKUP($A308,Master!$B$50:$N$232,8,FALSE)</f>
        <v>#N/A</v>
      </c>
      <c r="D308" s="316" t="e">
        <f>VLOOKUP($A308,Master!$B$50:$N$232,9,FALSE)</f>
        <v>#N/A</v>
      </c>
      <c r="E308" s="317" t="e">
        <f>VLOOKUP($A308,Master!$B$50:$N$232,11,FALSE)</f>
        <v>#N/A</v>
      </c>
      <c r="F308" s="318">
        <v>3</v>
      </c>
      <c r="G308" s="319" t="s">
        <v>50</v>
      </c>
      <c r="H308" s="320">
        <v>48000</v>
      </c>
      <c r="I308" s="321" t="b">
        <v>1</v>
      </c>
      <c r="J308" s="322">
        <v>3</v>
      </c>
      <c r="K308" s="326" t="e">
        <f>VLOOKUP($A308,Master!$B$50:$N$232,6,FALSE)</f>
        <v>#N/A</v>
      </c>
      <c r="L308" s="327" t="e">
        <f t="shared" si="31"/>
        <v>#N/A</v>
      </c>
      <c r="M308" s="325"/>
    </row>
    <row r="309" spans="1:13" ht="13">
      <c r="A309" s="21" t="s">
        <v>635</v>
      </c>
      <c r="B309" s="61" t="s">
        <v>636</v>
      </c>
      <c r="C309" s="316" t="e">
        <f>VLOOKUP($A309,Master!$B$50:$N$232,8,FALSE)</f>
        <v>#N/A</v>
      </c>
      <c r="D309" s="316" t="e">
        <f>VLOOKUP($A309,Master!$B$50:$N$232,9,FALSE)</f>
        <v>#N/A</v>
      </c>
      <c r="E309" s="317" t="e">
        <f>VLOOKUP($A309,Master!$B$50:$N$232,11,FALSE)</f>
        <v>#N/A</v>
      </c>
      <c r="F309" s="318">
        <v>6</v>
      </c>
      <c r="G309" s="319" t="s">
        <v>50</v>
      </c>
      <c r="H309" s="320">
        <v>66000</v>
      </c>
      <c r="I309" s="321" t="b">
        <v>1</v>
      </c>
      <c r="J309" s="322">
        <v>6</v>
      </c>
      <c r="K309" s="326" t="e">
        <f>VLOOKUP($A309,Master!$B$50:$N$232,6,FALSE)</f>
        <v>#N/A</v>
      </c>
      <c r="L309" s="327" t="e">
        <f t="shared" si="31"/>
        <v>#N/A</v>
      </c>
      <c r="M309" s="325"/>
    </row>
    <row r="310" spans="1:13" ht="13">
      <c r="A310" s="21" t="s">
        <v>643</v>
      </c>
      <c r="B310" s="61" t="s">
        <v>644</v>
      </c>
      <c r="C310" s="316">
        <f>VLOOKUP($A310,Master!$B$50:$N$232,8,FALSE)</f>
        <v>1000</v>
      </c>
      <c r="D310" s="316" t="str">
        <f>VLOOKUP($A310,Master!$B$50:$N$232,9,FALSE)</f>
        <v>gr</v>
      </c>
      <c r="E310" s="317" t="str">
        <f>VLOOKUP($A310,Master!$B$50:$N$232,11,FALSE)</f>
        <v>PD Aroma Jaya</v>
      </c>
      <c r="F310" s="318">
        <v>1</v>
      </c>
      <c r="G310" s="319" t="s">
        <v>36</v>
      </c>
      <c r="H310" s="320">
        <v>16000</v>
      </c>
      <c r="I310" s="321" t="b">
        <v>1</v>
      </c>
      <c r="J310" s="322">
        <v>1</v>
      </c>
      <c r="K310" s="326">
        <f>VLOOKUP($A310,Master!$B$50:$N$232,6,FALSE)</f>
        <v>17000</v>
      </c>
      <c r="L310" s="327">
        <f t="shared" si="31"/>
        <v>17000</v>
      </c>
      <c r="M310" s="325"/>
    </row>
    <row r="311" spans="1:13" ht="13">
      <c r="A311" s="21" t="s">
        <v>680</v>
      </c>
      <c r="B311" s="61" t="s">
        <v>681</v>
      </c>
      <c r="C311" s="316" t="e">
        <f>VLOOKUP($A311,Master!$B$50:$N$232,8,FALSE)</f>
        <v>#N/A</v>
      </c>
      <c r="D311" s="316" t="e">
        <f>VLOOKUP($A311,Master!$B$50:$N$232,9,FALSE)</f>
        <v>#N/A</v>
      </c>
      <c r="E311" s="317" t="e">
        <f>VLOOKUP($A311,Master!$B$50:$N$232,11,FALSE)</f>
        <v>#N/A</v>
      </c>
      <c r="F311" s="318">
        <v>5</v>
      </c>
      <c r="G311" s="319" t="s">
        <v>97</v>
      </c>
      <c r="H311" s="320">
        <v>150000</v>
      </c>
      <c r="I311" s="321" t="b">
        <v>1</v>
      </c>
      <c r="J311" s="322">
        <v>5</v>
      </c>
      <c r="K311" s="326" t="e">
        <f>VLOOKUP($A311,Master!$B$50:$N$232,6,FALSE)</f>
        <v>#N/A</v>
      </c>
      <c r="L311" s="327" t="e">
        <f t="shared" si="31"/>
        <v>#N/A</v>
      </c>
      <c r="M311" s="325"/>
    </row>
    <row r="312" spans="1:13" ht="13">
      <c r="A312" s="21" t="s">
        <v>684</v>
      </c>
      <c r="B312" s="61" t="s">
        <v>685</v>
      </c>
      <c r="C312" s="316" t="e">
        <f>VLOOKUP($A312,Master!$B$50:$N$232,8,FALSE)</f>
        <v>#N/A</v>
      </c>
      <c r="D312" s="316" t="e">
        <f>VLOOKUP($A312,Master!$B$50:$N$232,9,FALSE)</f>
        <v>#N/A</v>
      </c>
      <c r="E312" s="317" t="e">
        <f>VLOOKUP($A312,Master!$B$50:$N$232,11,FALSE)</f>
        <v>#N/A</v>
      </c>
      <c r="F312" s="318">
        <v>2</v>
      </c>
      <c r="G312" s="319" t="s">
        <v>97</v>
      </c>
      <c r="H312" s="320">
        <v>60000</v>
      </c>
      <c r="I312" s="321" t="b">
        <v>1</v>
      </c>
      <c r="J312" s="322">
        <v>2</v>
      </c>
      <c r="K312" s="326" t="e">
        <f>VLOOKUP($A312,Master!$B$50:$N$232,6,FALSE)</f>
        <v>#N/A</v>
      </c>
      <c r="L312" s="327" t="e">
        <f t="shared" si="31"/>
        <v>#N/A</v>
      </c>
      <c r="M312" s="325"/>
    </row>
    <row r="313" spans="1:13" ht="13">
      <c r="A313" s="21" t="s">
        <v>688</v>
      </c>
      <c r="B313" s="61" t="s">
        <v>689</v>
      </c>
      <c r="C313" s="316" t="e">
        <f>VLOOKUP($A313,Master!$B$50:$N$232,8,FALSE)</f>
        <v>#N/A</v>
      </c>
      <c r="D313" s="316" t="e">
        <f>VLOOKUP($A313,Master!$B$50:$N$232,9,FALSE)</f>
        <v>#N/A</v>
      </c>
      <c r="E313" s="317" t="e">
        <f>VLOOKUP($A313,Master!$B$50:$N$232,11,FALSE)</f>
        <v>#N/A</v>
      </c>
      <c r="F313" s="318">
        <v>2</v>
      </c>
      <c r="G313" s="319" t="s">
        <v>62</v>
      </c>
      <c r="H313" s="320">
        <v>125000</v>
      </c>
      <c r="I313" s="321" t="b">
        <v>1</v>
      </c>
      <c r="J313" s="322">
        <v>2</v>
      </c>
      <c r="K313" s="326" t="e">
        <f>VLOOKUP($A313,Master!$B$50:$N$232,6,FALSE)</f>
        <v>#N/A</v>
      </c>
      <c r="L313" s="324">
        <v>124000</v>
      </c>
      <c r="M313" s="325"/>
    </row>
    <row r="314" spans="1:13" ht="13">
      <c r="A314" s="21" t="s">
        <v>696</v>
      </c>
      <c r="B314" s="61" t="s">
        <v>697</v>
      </c>
      <c r="C314" s="316" t="e">
        <f>VLOOKUP($A314,Master!$B$50:$N$232,8,FALSE)</f>
        <v>#N/A</v>
      </c>
      <c r="D314" s="316" t="e">
        <f>VLOOKUP($A314,Master!$B$50:$N$232,9,FALSE)</f>
        <v>#N/A</v>
      </c>
      <c r="E314" s="317" t="e">
        <f>VLOOKUP($A314,Master!$B$50:$N$232,11,FALSE)</f>
        <v>#N/A</v>
      </c>
      <c r="F314" s="318">
        <v>4</v>
      </c>
      <c r="G314" s="319" t="s">
        <v>62</v>
      </c>
      <c r="H314" s="320">
        <v>56000</v>
      </c>
      <c r="I314" s="321" t="b">
        <v>1</v>
      </c>
      <c r="J314" s="322">
        <v>4</v>
      </c>
      <c r="K314" s="326" t="e">
        <f>VLOOKUP($A314,Master!$B$50:$N$232,6,FALSE)</f>
        <v>#N/A</v>
      </c>
      <c r="L314" s="324">
        <v>55000</v>
      </c>
      <c r="M314" s="325"/>
    </row>
    <row r="315" spans="1:13" ht="13">
      <c r="A315" s="21" t="s">
        <v>708</v>
      </c>
      <c r="B315" s="61" t="s">
        <v>709</v>
      </c>
      <c r="C315" s="316" t="e">
        <f>VLOOKUP($A315,Master!$B$50:$N$232,8,FALSE)</f>
        <v>#N/A</v>
      </c>
      <c r="D315" s="316" t="e">
        <f>VLOOKUP($A315,Master!$B$50:$N$232,9,FALSE)</f>
        <v>#N/A</v>
      </c>
      <c r="E315" s="317" t="e">
        <f>VLOOKUP($A315,Master!$B$50:$N$232,11,FALSE)</f>
        <v>#N/A</v>
      </c>
      <c r="F315" s="318">
        <v>1</v>
      </c>
      <c r="G315" s="319" t="s">
        <v>143</v>
      </c>
      <c r="H315" s="320">
        <v>365000</v>
      </c>
      <c r="I315" s="321" t="b">
        <v>1</v>
      </c>
      <c r="J315" s="322">
        <v>1</v>
      </c>
      <c r="K315" s="326" t="e">
        <f>VLOOKUP($A315,Master!$B$50:$N$232,6,FALSE)</f>
        <v>#N/A</v>
      </c>
      <c r="L315" s="324">
        <v>295000</v>
      </c>
      <c r="M315" s="325" t="s">
        <v>1563</v>
      </c>
    </row>
    <row r="316" spans="1:13" ht="13">
      <c r="A316" s="21" t="s">
        <v>748</v>
      </c>
      <c r="B316" s="61" t="s">
        <v>749</v>
      </c>
      <c r="C316" s="316" t="e">
        <f>VLOOKUP($A316,Master!$B$50:$N$232,8,FALSE)</f>
        <v>#N/A</v>
      </c>
      <c r="D316" s="316" t="e">
        <f>VLOOKUP($A316,Master!$B$50:$N$232,9,FALSE)</f>
        <v>#N/A</v>
      </c>
      <c r="E316" s="317" t="e">
        <f>VLOOKUP($A316,Master!$B$50:$N$232,11,FALSE)</f>
        <v>#N/A</v>
      </c>
      <c r="F316" s="318">
        <v>1</v>
      </c>
      <c r="G316" s="319" t="s">
        <v>62</v>
      </c>
      <c r="H316" s="320">
        <v>27500</v>
      </c>
      <c r="I316" s="321" t="b">
        <v>1</v>
      </c>
      <c r="J316" s="322">
        <v>1</v>
      </c>
      <c r="K316" s="326" t="e">
        <f>VLOOKUP($A316,Master!$B$50:$N$232,6,FALSE)</f>
        <v>#N/A</v>
      </c>
      <c r="L316" s="324">
        <v>27000</v>
      </c>
      <c r="M316" s="325"/>
    </row>
    <row r="317" spans="1:13" ht="13">
      <c r="A317" s="21" t="s">
        <v>767</v>
      </c>
      <c r="B317" s="61" t="s">
        <v>768</v>
      </c>
      <c r="C317" s="316" t="e">
        <f>VLOOKUP($A317,Master!$B$50:$N$232,8,FALSE)</f>
        <v>#N/A</v>
      </c>
      <c r="D317" s="316" t="e">
        <f>VLOOKUP($A317,Master!$B$50:$N$232,9,FALSE)</f>
        <v>#N/A</v>
      </c>
      <c r="E317" s="317" t="e">
        <f>VLOOKUP($A317,Master!$B$50:$N$232,11,FALSE)</f>
        <v>#N/A</v>
      </c>
      <c r="F317" s="318">
        <v>1</v>
      </c>
      <c r="G317" s="319" t="s">
        <v>62</v>
      </c>
      <c r="H317" s="320">
        <v>19500</v>
      </c>
      <c r="I317" s="321" t="b">
        <v>1</v>
      </c>
      <c r="J317" s="322">
        <v>1</v>
      </c>
      <c r="K317" s="326" t="e">
        <f>VLOOKUP($A317,Master!$B$50:$N$232,6,FALSE)</f>
        <v>#N/A</v>
      </c>
      <c r="L317" s="327" t="e">
        <f t="shared" ref="L317:L319" si="32">J317*K317</f>
        <v>#N/A</v>
      </c>
      <c r="M317" s="325"/>
    </row>
    <row r="318" spans="1:13" ht="13">
      <c r="A318" s="21" t="s">
        <v>773</v>
      </c>
      <c r="B318" s="61" t="s">
        <v>774</v>
      </c>
      <c r="C318" s="316" t="e">
        <f>VLOOKUP($A318,Master!$B$50:$N$232,8,FALSE)</f>
        <v>#N/A</v>
      </c>
      <c r="D318" s="316" t="e">
        <f>VLOOKUP($A318,Master!$B$50:$N$232,9,FALSE)</f>
        <v>#N/A</v>
      </c>
      <c r="E318" s="317" t="e">
        <f>VLOOKUP($A318,Master!$B$50:$N$232,11,FALSE)</f>
        <v>#N/A</v>
      </c>
      <c r="F318" s="318">
        <v>2</v>
      </c>
      <c r="G318" s="319" t="s">
        <v>62</v>
      </c>
      <c r="H318" s="320">
        <v>28000</v>
      </c>
      <c r="I318" s="321" t="b">
        <v>1</v>
      </c>
      <c r="J318" s="322">
        <v>2</v>
      </c>
      <c r="K318" s="326" t="e">
        <f>VLOOKUP($A318,Master!$B$50:$N$232,6,FALSE)</f>
        <v>#N/A</v>
      </c>
      <c r="L318" s="327" t="e">
        <f t="shared" si="32"/>
        <v>#N/A</v>
      </c>
      <c r="M318" s="325"/>
    </row>
    <row r="319" spans="1:13" ht="13">
      <c r="A319" s="21" t="s">
        <v>787</v>
      </c>
      <c r="B319" s="61" t="s">
        <v>788</v>
      </c>
      <c r="C319" s="316" t="e">
        <f>VLOOKUP($A319,Master!$B$50:$N$232,8,FALSE)</f>
        <v>#N/A</v>
      </c>
      <c r="D319" s="316" t="e">
        <f>VLOOKUP($A319,Master!$B$50:$N$232,9,FALSE)</f>
        <v>#N/A</v>
      </c>
      <c r="E319" s="317" t="e">
        <f>VLOOKUP($A319,Master!$B$50:$N$232,11,FALSE)</f>
        <v>#N/A</v>
      </c>
      <c r="F319" s="318">
        <v>1</v>
      </c>
      <c r="G319" s="319" t="s">
        <v>97</v>
      </c>
      <c r="H319" s="320">
        <v>20250</v>
      </c>
      <c r="I319" s="321" t="b">
        <v>1</v>
      </c>
      <c r="J319" s="322">
        <v>1</v>
      </c>
      <c r="K319" s="326" t="e">
        <f>VLOOKUP($A319,Master!$B$50:$N$232,6,FALSE)</f>
        <v>#N/A</v>
      </c>
      <c r="L319" s="327" t="e">
        <f t="shared" si="32"/>
        <v>#N/A</v>
      </c>
      <c r="M319" s="325"/>
    </row>
    <row r="320" spans="1:13" ht="13">
      <c r="A320" s="21" t="s">
        <v>892</v>
      </c>
      <c r="B320" s="61" t="s">
        <v>893</v>
      </c>
      <c r="C320" s="316" t="e">
        <f>VLOOKUP($A320,Master!$B$50:$N$232,8,FALSE)</f>
        <v>#N/A</v>
      </c>
      <c r="D320" s="316" t="e">
        <f>VLOOKUP($A320,Master!$B$50:$N$232,9,FALSE)</f>
        <v>#N/A</v>
      </c>
      <c r="E320" s="317" t="e">
        <f>VLOOKUP($A320,Master!$B$50:$N$232,11,FALSE)</f>
        <v>#N/A</v>
      </c>
      <c r="F320" s="318">
        <v>2</v>
      </c>
      <c r="G320" s="319" t="s">
        <v>36</v>
      </c>
      <c r="H320" s="320">
        <v>215000</v>
      </c>
      <c r="I320" s="321" t="b">
        <v>1</v>
      </c>
      <c r="J320" s="322">
        <v>2</v>
      </c>
      <c r="K320" s="323">
        <v>110725</v>
      </c>
      <c r="L320" s="324">
        <v>221450</v>
      </c>
      <c r="M320" s="325"/>
    </row>
    <row r="321" spans="1:13" ht="13">
      <c r="A321" s="21" t="s">
        <v>934</v>
      </c>
      <c r="B321" s="61" t="s">
        <v>935</v>
      </c>
      <c r="C321" s="316" t="e">
        <f>VLOOKUP($A321,Master!$B$50:$N$232,8,FALSE)</f>
        <v>#N/A</v>
      </c>
      <c r="D321" s="316" t="e">
        <f>VLOOKUP($A321,Master!$B$50:$N$232,9,FALSE)</f>
        <v>#N/A</v>
      </c>
      <c r="E321" s="317" t="e">
        <f>VLOOKUP($A321,Master!$B$50:$N$232,11,FALSE)</f>
        <v>#N/A</v>
      </c>
      <c r="F321" s="318">
        <v>3</v>
      </c>
      <c r="G321" s="319" t="s">
        <v>62</v>
      </c>
      <c r="H321" s="320">
        <v>23700</v>
      </c>
      <c r="I321" s="321" t="b">
        <v>1</v>
      </c>
      <c r="J321" s="322">
        <v>3</v>
      </c>
      <c r="K321" s="326" t="e">
        <f>VLOOKUP($A321,Master!$B$50:$N$232,6,FALSE)</f>
        <v>#N/A</v>
      </c>
      <c r="L321" s="327" t="e">
        <f t="shared" ref="L321:L322" si="33">J321*K321</f>
        <v>#N/A</v>
      </c>
      <c r="M321" s="325"/>
    </row>
    <row r="322" spans="1:13" ht="13">
      <c r="A322" s="21" t="s">
        <v>989</v>
      </c>
      <c r="B322" s="61" t="s">
        <v>990</v>
      </c>
      <c r="C322" s="316">
        <f>VLOOKUP($A322,Master!$B$50:$N$232,8,FALSE)</f>
        <v>5000</v>
      </c>
      <c r="D322" s="316" t="str">
        <f>VLOOKUP($A322,Master!$B$50:$N$232,9,FALSE)</f>
        <v>ml</v>
      </c>
      <c r="E322" s="317" t="str">
        <f>VLOOKUP($A322,Master!$B$50:$N$232,11,FALSE)</f>
        <v>Kurnia Mas</v>
      </c>
      <c r="F322" s="318">
        <v>3</v>
      </c>
      <c r="G322" s="319" t="s">
        <v>62</v>
      </c>
      <c r="H322" s="320">
        <v>58500</v>
      </c>
      <c r="I322" s="321" t="b">
        <v>1</v>
      </c>
      <c r="J322" s="322">
        <v>3</v>
      </c>
      <c r="K322" s="326">
        <f>VLOOKUP($A322,Master!$B$50:$N$232,6,FALSE)</f>
        <v>54500</v>
      </c>
      <c r="L322" s="327">
        <f t="shared" si="33"/>
        <v>163500</v>
      </c>
      <c r="M322" s="325"/>
    </row>
    <row r="323" spans="1:13" ht="13">
      <c r="A323" s="21" t="s">
        <v>1548</v>
      </c>
      <c r="B323" s="61" t="s">
        <v>1015</v>
      </c>
      <c r="C323" s="316" t="e">
        <f>VLOOKUP($A323,Master!$B$50:$N$232,8,FALSE)</f>
        <v>#N/A</v>
      </c>
      <c r="D323" s="316" t="e">
        <f>VLOOKUP($A323,Master!$B$50:$N$232,9,FALSE)</f>
        <v>#N/A</v>
      </c>
      <c r="E323" s="317" t="e">
        <f>VLOOKUP($A323,Master!$B$50:$N$232,11,FALSE)</f>
        <v>#N/A</v>
      </c>
      <c r="F323" s="318">
        <v>2</v>
      </c>
      <c r="G323" s="319" t="s">
        <v>62</v>
      </c>
      <c r="H323" s="320">
        <v>20000</v>
      </c>
      <c r="I323" s="321" t="b">
        <v>1</v>
      </c>
      <c r="J323" s="322">
        <v>2</v>
      </c>
      <c r="K323" s="323" t="e">
        <f>VLOOKUP($A323,Master!$B$50:$N$232,6,FALSE)</f>
        <v>#N/A</v>
      </c>
      <c r="L323" s="324">
        <v>19250</v>
      </c>
      <c r="M323" s="325"/>
    </row>
    <row r="324" spans="1:13" ht="13">
      <c r="A324" s="21" t="s">
        <v>1106</v>
      </c>
      <c r="B324" s="61" t="s">
        <v>1107</v>
      </c>
      <c r="C324" s="316" t="e">
        <f>VLOOKUP($A324,Master!$B$50:$N$232,8,FALSE)</f>
        <v>#N/A</v>
      </c>
      <c r="D324" s="316" t="e">
        <f>VLOOKUP($A324,Master!$B$50:$N$232,9,FALSE)</f>
        <v>#N/A</v>
      </c>
      <c r="E324" s="317" t="e">
        <f>VLOOKUP($A324,Master!$B$50:$N$232,11,FALSE)</f>
        <v>#N/A</v>
      </c>
      <c r="F324" s="318">
        <v>1</v>
      </c>
      <c r="G324" s="319" t="s">
        <v>62</v>
      </c>
      <c r="H324" s="320">
        <v>65000</v>
      </c>
      <c r="I324" s="321" t="b">
        <v>1</v>
      </c>
      <c r="J324" s="322">
        <v>1</v>
      </c>
      <c r="K324" s="323" t="e">
        <f>VLOOKUP($A324,Master!$B$50:$N$232,6,FALSE)</f>
        <v>#N/A</v>
      </c>
      <c r="L324" s="324" t="e">
        <f t="shared" ref="L324:L328" si="34">J324*K324</f>
        <v>#N/A</v>
      </c>
      <c r="M324" s="325"/>
    </row>
    <row r="325" spans="1:13" ht="13">
      <c r="A325" s="21" t="s">
        <v>1541</v>
      </c>
      <c r="B325" s="61" t="s">
        <v>974</v>
      </c>
      <c r="C325" s="316" t="e">
        <f>VLOOKUP($A325,Master!$B$50:$N$232,8,FALSE)</f>
        <v>#N/A</v>
      </c>
      <c r="D325" s="316" t="e">
        <f>VLOOKUP($A325,Master!$B$50:$N$232,9,FALSE)</f>
        <v>#N/A</v>
      </c>
      <c r="E325" s="317" t="e">
        <f>VLOOKUP($A325,Master!$B$50:$N$232,11,FALSE)</f>
        <v>#N/A</v>
      </c>
      <c r="F325" s="318">
        <v>1</v>
      </c>
      <c r="G325" s="319" t="s">
        <v>97</v>
      </c>
      <c r="H325" s="320">
        <v>216450</v>
      </c>
      <c r="I325" s="321" t="b">
        <v>0</v>
      </c>
      <c r="J325" s="322"/>
      <c r="K325" s="323" t="e">
        <f>VLOOKUP($A325,Master!$B$50:$N$232,6,FALSE)</f>
        <v>#N/A</v>
      </c>
      <c r="L325" s="324" t="e">
        <f t="shared" si="34"/>
        <v>#N/A</v>
      </c>
      <c r="M325" s="325"/>
    </row>
    <row r="326" spans="1:13" ht="13">
      <c r="A326" s="21" t="s">
        <v>552</v>
      </c>
      <c r="B326" s="61" t="s">
        <v>553</v>
      </c>
      <c r="C326" s="316" t="e">
        <f>VLOOKUP($A326,Master!$B$50:$N$232,8,FALSE)</f>
        <v>#N/A</v>
      </c>
      <c r="D326" s="316" t="e">
        <f>VLOOKUP($A326,Master!$B$50:$N$232,9,FALSE)</f>
        <v>#N/A</v>
      </c>
      <c r="E326" s="317" t="e">
        <f>VLOOKUP($A326,Master!$B$50:$N$232,11,FALSE)</f>
        <v>#N/A</v>
      </c>
      <c r="F326" s="318">
        <v>2</v>
      </c>
      <c r="G326" s="319" t="s">
        <v>121</v>
      </c>
      <c r="H326" s="320">
        <v>114000</v>
      </c>
      <c r="I326" s="321" t="b">
        <v>0</v>
      </c>
      <c r="J326" s="322"/>
      <c r="K326" s="326" t="e">
        <f>VLOOKUP($A326,Master!$B$50:$N$232,6,FALSE)</f>
        <v>#N/A</v>
      </c>
      <c r="L326" s="327" t="e">
        <f t="shared" si="34"/>
        <v>#N/A</v>
      </c>
      <c r="M326" s="325" t="s">
        <v>1564</v>
      </c>
    </row>
    <row r="327" spans="1:13" ht="13">
      <c r="A327" s="21" t="s">
        <v>548</v>
      </c>
      <c r="B327" s="61" t="s">
        <v>549</v>
      </c>
      <c r="C327" s="316" t="e">
        <f>VLOOKUP($A327,Master!$B$50:$N$232,8,FALSE)</f>
        <v>#N/A</v>
      </c>
      <c r="D327" s="316" t="e">
        <f>VLOOKUP($A327,Master!$B$50:$N$232,9,FALSE)</f>
        <v>#N/A</v>
      </c>
      <c r="E327" s="317" t="e">
        <f>VLOOKUP($A327,Master!$B$50:$N$232,11,FALSE)</f>
        <v>#N/A</v>
      </c>
      <c r="F327" s="318">
        <v>2</v>
      </c>
      <c r="G327" s="319" t="s">
        <v>87</v>
      </c>
      <c r="H327" s="320">
        <v>315130</v>
      </c>
      <c r="I327" s="321" t="b">
        <v>1</v>
      </c>
      <c r="J327" s="322">
        <v>2</v>
      </c>
      <c r="K327" s="326" t="e">
        <f>VLOOKUP($A327,Master!$B$50:$N$232,6,FALSE)</f>
        <v>#N/A</v>
      </c>
      <c r="L327" s="327" t="e">
        <f t="shared" si="34"/>
        <v>#N/A</v>
      </c>
      <c r="M327" s="325"/>
    </row>
    <row r="328" spans="1:13" ht="13">
      <c r="A328" s="21" t="s">
        <v>623</v>
      </c>
      <c r="B328" s="61" t="s">
        <v>624</v>
      </c>
      <c r="C328" s="316" t="e">
        <f>VLOOKUP($A328,Master!$B$50:$N$232,8,FALSE)</f>
        <v>#N/A</v>
      </c>
      <c r="D328" s="316" t="e">
        <f>VLOOKUP($A328,Master!$B$50:$N$232,9,FALSE)</f>
        <v>#N/A</v>
      </c>
      <c r="E328" s="317" t="e">
        <f>VLOOKUP($A328,Master!$B$50:$N$232,11,FALSE)</f>
        <v>#N/A</v>
      </c>
      <c r="F328" s="318">
        <v>4</v>
      </c>
      <c r="G328" s="319" t="s">
        <v>143</v>
      </c>
      <c r="H328" s="320">
        <v>727716</v>
      </c>
      <c r="I328" s="321" t="b">
        <v>0</v>
      </c>
      <c r="J328" s="322"/>
      <c r="K328" s="326" t="e">
        <f>VLOOKUP($A328,Master!$B$50:$N$232,6,FALSE)</f>
        <v>#N/A</v>
      </c>
      <c r="L328" s="327" t="e">
        <f t="shared" si="34"/>
        <v>#N/A</v>
      </c>
      <c r="M328" s="325" t="s">
        <v>287</v>
      </c>
    </row>
    <row r="329" spans="1:13" ht="13">
      <c r="A329" s="21" t="s">
        <v>704</v>
      </c>
      <c r="B329" s="61" t="s">
        <v>705</v>
      </c>
      <c r="C329" s="316" t="e">
        <f>VLOOKUP($A329,Master!$B$50:$N$232,8,FALSE)</f>
        <v>#N/A</v>
      </c>
      <c r="D329" s="316" t="e">
        <f>VLOOKUP($A329,Master!$B$50:$N$232,9,FALSE)</f>
        <v>#N/A</v>
      </c>
      <c r="E329" s="317" t="e">
        <f>VLOOKUP($A329,Master!$B$50:$N$232,11,FALSE)</f>
        <v>#N/A</v>
      </c>
      <c r="F329" s="318">
        <v>2</v>
      </c>
      <c r="G329" s="319" t="s">
        <v>143</v>
      </c>
      <c r="H329" s="320">
        <v>405594</v>
      </c>
      <c r="I329" s="321" t="b">
        <v>1</v>
      </c>
      <c r="J329" s="322">
        <v>2</v>
      </c>
      <c r="K329" s="326" t="e">
        <f>VLOOKUP($A329,Master!$B$50:$N$232,6,FALSE)</f>
        <v>#N/A</v>
      </c>
      <c r="L329" s="324">
        <v>413400</v>
      </c>
      <c r="M329" s="325"/>
    </row>
    <row r="330" spans="1:13" ht="13">
      <c r="A330" s="21" t="s">
        <v>925</v>
      </c>
      <c r="B330" s="61" t="s">
        <v>926</v>
      </c>
      <c r="C330" s="316">
        <f>VLOOKUP($A330,Master!$B$50:$N$232,8,FALSE)</f>
        <v>1000</v>
      </c>
      <c r="D330" s="316" t="str">
        <f>VLOOKUP($A330,Master!$B$50:$N$232,9,FALSE)</f>
        <v>gr</v>
      </c>
      <c r="E330" s="317" t="str">
        <f>VLOOKUP($A330,Master!$B$50:$N$232,11,FALSE)</f>
        <v>PT Sukanda Djaya</v>
      </c>
      <c r="F330" s="318">
        <v>12</v>
      </c>
      <c r="G330" s="319" t="s">
        <v>36</v>
      </c>
      <c r="H330" s="320">
        <v>370296</v>
      </c>
      <c r="I330" s="321" t="b">
        <v>1</v>
      </c>
      <c r="J330" s="322">
        <v>12</v>
      </c>
      <c r="K330" s="326">
        <f>VLOOKUP($A330,Master!$B$50:$N$232,6,FALSE)</f>
        <v>39738</v>
      </c>
      <c r="L330" s="327">
        <f>J330*K330</f>
        <v>476856</v>
      </c>
      <c r="M330" s="325"/>
    </row>
    <row r="331" spans="1:13" ht="13">
      <c r="A331" s="18" t="s">
        <v>776</v>
      </c>
      <c r="B331" s="328" t="s">
        <v>777</v>
      </c>
      <c r="C331" s="316" t="e">
        <f>VLOOKUP($A331,Master!$B$50:$N$232,8,FALSE)</f>
        <v>#N/A</v>
      </c>
      <c r="D331" s="316" t="e">
        <f>VLOOKUP($A331,Master!$B$50:$N$232,9,FALSE)</f>
        <v>#N/A</v>
      </c>
      <c r="E331" s="317" t="e">
        <f>VLOOKUP($A331,Master!$B$50:$N$232,11,FALSE)</f>
        <v>#N/A</v>
      </c>
      <c r="F331" s="318">
        <v>3</v>
      </c>
      <c r="G331" s="319" t="s">
        <v>62</v>
      </c>
      <c r="H331" s="320">
        <v>150000</v>
      </c>
      <c r="I331" s="321" t="b">
        <v>1</v>
      </c>
      <c r="J331" s="322">
        <v>3</v>
      </c>
      <c r="K331" s="326" t="e">
        <f>VLOOKUP($A331,Master!$B$50:$N$232,6,FALSE)</f>
        <v>#N/A</v>
      </c>
      <c r="L331" s="324">
        <v>79500</v>
      </c>
      <c r="M331" s="325"/>
    </row>
    <row r="332" spans="1:13" ht="13">
      <c r="A332" s="18" t="s">
        <v>779</v>
      </c>
      <c r="B332" s="328" t="s">
        <v>780</v>
      </c>
      <c r="C332" s="316" t="e">
        <f>VLOOKUP($A332,Master!$B$50:$N$232,8,FALSE)</f>
        <v>#N/A</v>
      </c>
      <c r="D332" s="316" t="e">
        <f>VLOOKUP($A332,Master!$B$50:$N$232,9,FALSE)</f>
        <v>#N/A</v>
      </c>
      <c r="E332" s="317" t="e">
        <f>VLOOKUP($A332,Master!$B$50:$N$232,11,FALSE)</f>
        <v>#N/A</v>
      </c>
      <c r="F332" s="318">
        <v>5</v>
      </c>
      <c r="G332" s="319" t="s">
        <v>62</v>
      </c>
      <c r="H332" s="320">
        <v>215000</v>
      </c>
      <c r="I332" s="321" t="b">
        <v>1</v>
      </c>
      <c r="J332" s="322">
        <v>4</v>
      </c>
      <c r="K332" s="326" t="e">
        <f>VLOOKUP($A332,Master!$B$50:$N$232,6,FALSE)</f>
        <v>#N/A</v>
      </c>
      <c r="L332" s="327" t="e">
        <f t="shared" ref="L332:L333" si="35">J332*K332</f>
        <v>#N/A</v>
      </c>
      <c r="M332" s="325"/>
    </row>
    <row r="333" spans="1:13" ht="13">
      <c r="A333" s="18" t="s">
        <v>874</v>
      </c>
      <c r="B333" s="328" t="s">
        <v>875</v>
      </c>
      <c r="C333" s="316">
        <f>VLOOKUP($A333,Master!$B$50:$N$232,8,FALSE)</f>
        <v>10</v>
      </c>
      <c r="D333" s="316" t="str">
        <f>VLOOKUP($A333,Master!$B$50:$N$232,9,FALSE)</f>
        <v>pcs</v>
      </c>
      <c r="E333" s="317" t="str">
        <f>VLOOKUP($A333,Master!$B$50:$N$232,11,FALSE)</f>
        <v>RSB, Dago</v>
      </c>
      <c r="F333" s="318">
        <v>4</v>
      </c>
      <c r="G333" s="319" t="s">
        <v>62</v>
      </c>
      <c r="H333" s="320">
        <v>68000</v>
      </c>
      <c r="I333" s="321" t="b">
        <v>1</v>
      </c>
      <c r="J333" s="322">
        <v>4</v>
      </c>
      <c r="K333" s="326">
        <f>VLOOKUP($A333,Master!$B$50:$N$232,6,FALSE)</f>
        <v>21000</v>
      </c>
      <c r="L333" s="327">
        <f t="shared" si="35"/>
        <v>84000</v>
      </c>
      <c r="M333" s="325"/>
    </row>
    <row r="334" spans="1:13" ht="13">
      <c r="A334" s="18" t="s">
        <v>910</v>
      </c>
      <c r="B334" s="328" t="s">
        <v>911</v>
      </c>
      <c r="C334" s="316">
        <f>VLOOKUP($A334,Master!$B$50:$N$232,8,FALSE)</f>
        <v>10</v>
      </c>
      <c r="D334" s="316" t="str">
        <f>VLOOKUP($A334,Master!$B$50:$N$232,9,FALSE)</f>
        <v>pcs</v>
      </c>
      <c r="E334" s="317" t="str">
        <f>VLOOKUP($A334,Master!$B$50:$N$232,11,FALSE)</f>
        <v>Setiabudi Market</v>
      </c>
      <c r="F334" s="318">
        <v>5</v>
      </c>
      <c r="G334" s="319" t="s">
        <v>62</v>
      </c>
      <c r="H334" s="320">
        <v>84500</v>
      </c>
      <c r="I334" s="321" t="b">
        <v>1</v>
      </c>
      <c r="J334" s="322">
        <v>6</v>
      </c>
      <c r="K334" s="326">
        <f>VLOOKUP($A334,Master!$B$50:$N$232,6,FALSE)</f>
        <v>16900</v>
      </c>
      <c r="L334" s="324">
        <v>100386</v>
      </c>
      <c r="M334" s="325"/>
    </row>
    <row r="335" spans="1:13" ht="13">
      <c r="A335" s="21" t="s">
        <v>655</v>
      </c>
      <c r="B335" s="61" t="s">
        <v>656</v>
      </c>
      <c r="C335" s="316">
        <f>VLOOKUP($A335,Master!$B$50:$N$232,8,FALSE)</f>
        <v>1000</v>
      </c>
      <c r="D335" s="316" t="str">
        <f>VLOOKUP($A335,Master!$B$50:$N$232,9,FALSE)</f>
        <v>gr</v>
      </c>
      <c r="E335" s="317" t="str">
        <f>VLOOKUP($A335,Master!$B$50:$N$232,11,FALSE)</f>
        <v>Toko Lain</v>
      </c>
      <c r="F335" s="318">
        <v>3</v>
      </c>
      <c r="G335" s="319" t="s">
        <v>36</v>
      </c>
      <c r="H335" s="320">
        <v>150000</v>
      </c>
      <c r="I335" s="321" t="b">
        <v>1</v>
      </c>
      <c r="J335" s="322">
        <v>3</v>
      </c>
      <c r="K335" s="326">
        <f>VLOOKUP($A335,Master!$B$50:$N$232,6,FALSE)</f>
        <v>50000</v>
      </c>
      <c r="L335" s="327">
        <f>J335*K335</f>
        <v>150000</v>
      </c>
      <c r="M335" s="325"/>
    </row>
    <row r="336" spans="1:13" ht="13">
      <c r="A336" s="21" t="s">
        <v>1537</v>
      </c>
      <c r="B336" s="61" t="s">
        <v>701</v>
      </c>
      <c r="C336" s="316" t="e">
        <f>VLOOKUP($A336,Master!$B$50:$N$232,8,FALSE)</f>
        <v>#N/A</v>
      </c>
      <c r="D336" s="316" t="e">
        <f>VLOOKUP($A336,Master!$B$50:$N$232,9,FALSE)</f>
        <v>#N/A</v>
      </c>
      <c r="E336" s="317" t="e">
        <f>VLOOKUP($A336,Master!$B$50:$N$232,11,FALSE)</f>
        <v>#N/A</v>
      </c>
      <c r="F336" s="318">
        <v>5</v>
      </c>
      <c r="G336" s="319" t="s">
        <v>108</v>
      </c>
      <c r="H336" s="320">
        <v>105000</v>
      </c>
      <c r="I336" s="321" t="b">
        <v>1</v>
      </c>
      <c r="J336" s="322">
        <v>5</v>
      </c>
      <c r="K336" s="323">
        <v>22000</v>
      </c>
      <c r="L336" s="324">
        <v>110000</v>
      </c>
      <c r="M336" s="325"/>
    </row>
    <row r="337" spans="1:13" ht="13">
      <c r="A337" s="22" t="s">
        <v>795</v>
      </c>
      <c r="B337" s="330" t="s">
        <v>796</v>
      </c>
      <c r="C337" s="316">
        <f>VLOOKUP($A337,Master!$B$50:$N$232,8,FALSE)</f>
        <v>10</v>
      </c>
      <c r="D337" s="316" t="str">
        <f>VLOOKUP($A337,Master!$B$50:$N$232,9,FALSE)</f>
        <v>unit</v>
      </c>
      <c r="E337" s="317" t="str">
        <f>VLOOKUP($A337,Master!$B$50:$N$232,11,FALSE)</f>
        <v>Toko Lain</v>
      </c>
      <c r="F337" s="318">
        <v>10</v>
      </c>
      <c r="G337" s="319" t="s">
        <v>62</v>
      </c>
      <c r="H337" s="320">
        <v>78000</v>
      </c>
      <c r="I337" s="321" t="b">
        <v>1</v>
      </c>
      <c r="J337" s="322">
        <v>10</v>
      </c>
      <c r="K337" s="326">
        <f>VLOOKUP($A337,Master!$B$50:$N$232,6,FALSE)</f>
        <v>8000</v>
      </c>
      <c r="L337" s="324">
        <v>70000</v>
      </c>
      <c r="M337" s="325"/>
    </row>
    <row r="338" spans="1:13" ht="13">
      <c r="A338" s="21" t="s">
        <v>544</v>
      </c>
      <c r="B338" s="61" t="s">
        <v>545</v>
      </c>
      <c r="C338" s="316" t="e">
        <f>VLOOKUP($A338,Master!$B$50:$N$232,8,FALSE)</f>
        <v>#N/A</v>
      </c>
      <c r="D338" s="316" t="e">
        <f>VLOOKUP($A338,Master!$B$50:$N$232,9,FALSE)</f>
        <v>#N/A</v>
      </c>
      <c r="E338" s="317" t="e">
        <f>VLOOKUP($A338,Master!$B$50:$N$232,11,FALSE)</f>
        <v>#N/A</v>
      </c>
      <c r="F338" s="318">
        <v>2</v>
      </c>
      <c r="G338" s="319" t="s">
        <v>62</v>
      </c>
      <c r="H338" s="320">
        <v>30400</v>
      </c>
      <c r="I338" s="321" t="b">
        <v>1</v>
      </c>
      <c r="J338" s="322">
        <v>2</v>
      </c>
      <c r="K338" s="323">
        <v>25650</v>
      </c>
      <c r="L338" s="324">
        <v>34371</v>
      </c>
      <c r="M338" s="325"/>
    </row>
    <row r="339" spans="1:13" ht="13">
      <c r="A339" s="21" t="s">
        <v>540</v>
      </c>
      <c r="B339" s="61" t="s">
        <v>541</v>
      </c>
      <c r="C339" s="316">
        <f>VLOOKUP($A339,Master!$B$50:$N$232,8,FALSE)</f>
        <v>1000</v>
      </c>
      <c r="D339" s="316" t="str">
        <f>VLOOKUP($A339,Master!$B$50:$N$232,9,FALSE)</f>
        <v>gr</v>
      </c>
      <c r="E339" s="317" t="str">
        <f>VLOOKUP($A339,Master!$B$50:$N$232,11,FALSE)</f>
        <v>Woodlane</v>
      </c>
      <c r="F339" s="318">
        <v>2</v>
      </c>
      <c r="G339" s="319" t="s">
        <v>36</v>
      </c>
      <c r="H339" s="320">
        <v>340000</v>
      </c>
      <c r="I339" s="321" t="b">
        <v>1</v>
      </c>
      <c r="J339" s="322">
        <v>2</v>
      </c>
      <c r="K339" s="326">
        <f>VLOOKUP($A339,Master!$B$50:$N$232,6,FALSE)</f>
        <v>170000</v>
      </c>
      <c r="L339" s="327">
        <f t="shared" ref="L339:L343" si="36">J339*K339</f>
        <v>340000</v>
      </c>
      <c r="M339" s="325"/>
    </row>
    <row r="340" spans="1:13" ht="13">
      <c r="A340" s="21" t="s">
        <v>590</v>
      </c>
      <c r="B340" s="61" t="s">
        <v>599</v>
      </c>
      <c r="C340" s="316">
        <f>VLOOKUP($A340,Master!$B$50:$N$232,8,FALSE)</f>
        <v>200</v>
      </c>
      <c r="D340" s="316" t="str">
        <f>VLOOKUP($A340,Master!$B$50:$N$232,9,FALSE)</f>
        <v>gr</v>
      </c>
      <c r="E340" s="317" t="str">
        <f>VLOOKUP($A340,Master!$B$50:$N$232,11,FALSE)</f>
        <v>Woodlane</v>
      </c>
      <c r="F340" s="318">
        <v>4</v>
      </c>
      <c r="G340" s="319" t="s">
        <v>62</v>
      </c>
      <c r="H340" s="320">
        <v>340000</v>
      </c>
      <c r="I340" s="321" t="b">
        <v>1</v>
      </c>
      <c r="J340" s="322">
        <v>4</v>
      </c>
      <c r="K340" s="326">
        <f>VLOOKUP($A340,Master!$B$50:$N$240,6,FALSE)</f>
        <v>85000</v>
      </c>
      <c r="L340" s="327">
        <f t="shared" si="36"/>
        <v>340000</v>
      </c>
      <c r="M340" s="325"/>
    </row>
    <row r="341" spans="1:13" ht="13">
      <c r="A341" s="21" t="s">
        <v>937</v>
      </c>
      <c r="B341" s="61" t="s">
        <v>938</v>
      </c>
      <c r="C341" s="316">
        <f>VLOOKUP($A341,Master!$B$50:$N$232,8,FALSE)</f>
        <v>20</v>
      </c>
      <c r="D341" s="316" t="str">
        <f>VLOOKUP($A341,Master!$B$50:$N$232,9,FALSE)</f>
        <v>pcs</v>
      </c>
      <c r="E341" s="317" t="str">
        <f>VLOOKUP($A341,Master!$B$50:$N$232,11,FALSE)</f>
        <v>Borma</v>
      </c>
      <c r="F341" s="318">
        <v>4</v>
      </c>
      <c r="G341" s="319" t="s">
        <v>62</v>
      </c>
      <c r="H341" s="320">
        <v>30200</v>
      </c>
      <c r="I341" s="321" t="b">
        <v>1</v>
      </c>
      <c r="J341" s="322">
        <v>4</v>
      </c>
      <c r="K341" s="323">
        <v>7600</v>
      </c>
      <c r="L341" s="324">
        <f t="shared" si="36"/>
        <v>30400</v>
      </c>
      <c r="M341" s="325"/>
    </row>
    <row r="342" spans="1:13" ht="13">
      <c r="A342" s="21" t="s">
        <v>724</v>
      </c>
      <c r="B342" s="61" t="s">
        <v>725</v>
      </c>
      <c r="C342" s="316" t="e">
        <f>VLOOKUP($A342,Master!$B$50:$N$232,8,FALSE)</f>
        <v>#N/A</v>
      </c>
      <c r="D342" s="316" t="e">
        <f>VLOOKUP($A342,Master!$B$50:$N$232,9,FALSE)</f>
        <v>#N/A</v>
      </c>
      <c r="E342" s="317" t="e">
        <f>VLOOKUP($A342,Master!$B$50:$N$232,11,FALSE)</f>
        <v>#N/A</v>
      </c>
      <c r="F342" s="318">
        <v>2</v>
      </c>
      <c r="G342" s="319" t="s">
        <v>62</v>
      </c>
      <c r="H342" s="320">
        <v>21000</v>
      </c>
      <c r="I342" s="321" t="b">
        <v>1</v>
      </c>
      <c r="J342" s="322">
        <v>2</v>
      </c>
      <c r="K342" s="323">
        <v>40000</v>
      </c>
      <c r="L342" s="324">
        <f t="shared" si="36"/>
        <v>80000</v>
      </c>
      <c r="M342" s="325" t="s">
        <v>287</v>
      </c>
    </row>
    <row r="343" spans="1:13" ht="13">
      <c r="A343" s="21" t="s">
        <v>1017</v>
      </c>
      <c r="B343" s="61" t="s">
        <v>1018</v>
      </c>
      <c r="C343" s="316">
        <f>VLOOKUP($A343,Master!$B$50:$N$232,8,FALSE)</f>
        <v>1</v>
      </c>
      <c r="D343" s="316" t="str">
        <f>VLOOKUP($A343,Master!$B$50:$N$232,9,FALSE)</f>
        <v>pcs</v>
      </c>
      <c r="E343" s="317" t="str">
        <f>VLOOKUP($A343,Master!$B$50:$N$232,11,FALSE)</f>
        <v>PD Aroma Jaya</v>
      </c>
      <c r="F343" s="318">
        <v>3</v>
      </c>
      <c r="G343" s="319" t="s">
        <v>62</v>
      </c>
      <c r="H343" s="320">
        <v>8400</v>
      </c>
      <c r="I343" s="321" t="b">
        <v>1</v>
      </c>
      <c r="J343" s="322">
        <v>3</v>
      </c>
      <c r="K343" s="323">
        <v>3000</v>
      </c>
      <c r="L343" s="324">
        <f t="shared" si="36"/>
        <v>9000</v>
      </c>
      <c r="M343" s="325"/>
    </row>
    <row r="345" spans="1:13" ht="13">
      <c r="F345" s="427">
        <v>44764</v>
      </c>
      <c r="G345" s="428"/>
      <c r="H345" s="424"/>
      <c r="J345" s="429">
        <f>F345+1</f>
        <v>44765</v>
      </c>
      <c r="K345" s="428"/>
      <c r="L345" s="424"/>
    </row>
    <row r="346" spans="1:13" ht="13">
      <c r="F346" s="425" t="s">
        <v>1490</v>
      </c>
      <c r="G346" s="426"/>
      <c r="H346" s="304">
        <f>SUM(H348:H506)</f>
        <v>19615873</v>
      </c>
      <c r="J346" s="425" t="s">
        <v>1491</v>
      </c>
      <c r="K346" s="426"/>
      <c r="L346" s="304" t="e">
        <f>SUM(L348:L506)</f>
        <v>#N/A</v>
      </c>
    </row>
    <row r="347" spans="1:13" ht="13">
      <c r="A347" s="2" t="s">
        <v>4</v>
      </c>
      <c r="B347" s="305" t="s">
        <v>5</v>
      </c>
      <c r="C347" s="305" t="s">
        <v>1492</v>
      </c>
      <c r="D347" s="305" t="s">
        <v>12</v>
      </c>
      <c r="E347" s="306" t="s">
        <v>1493</v>
      </c>
      <c r="F347" s="307" t="s">
        <v>1494</v>
      </c>
      <c r="G347" s="308" t="s">
        <v>10</v>
      </c>
      <c r="H347" s="309" t="s">
        <v>1495</v>
      </c>
      <c r="I347" s="310" t="s">
        <v>1289</v>
      </c>
      <c r="J347" s="311" t="s">
        <v>1496</v>
      </c>
      <c r="K347" s="312" t="s">
        <v>1497</v>
      </c>
      <c r="L347" s="313" t="s">
        <v>1498</v>
      </c>
      <c r="M347" s="314" t="s">
        <v>16</v>
      </c>
    </row>
    <row r="348" spans="1:13" ht="13">
      <c r="A348" s="4" t="s">
        <v>940</v>
      </c>
      <c r="B348" s="328" t="s">
        <v>941</v>
      </c>
      <c r="C348" s="316">
        <f>VLOOKUP($A348,Master!$B$50:$N$232,8,FALSE)</f>
        <v>100</v>
      </c>
      <c r="D348" s="316" t="str">
        <f>VLOOKUP($A348,Master!$B$50:$N$232,9,FALSE)</f>
        <v>gr</v>
      </c>
      <c r="E348" s="317" t="str">
        <f>VLOOKUP($A348,Master!$B$50:$N$232,11,FALSE)</f>
        <v>Kurnia Mas</v>
      </c>
      <c r="F348" s="318">
        <v>0.25</v>
      </c>
      <c r="G348" s="319" t="s">
        <v>36</v>
      </c>
      <c r="H348" s="320">
        <v>100000</v>
      </c>
      <c r="I348" s="321" t="b">
        <v>1</v>
      </c>
      <c r="J348" s="322">
        <v>0.25</v>
      </c>
      <c r="K348" s="326">
        <f>VLOOKUP($A348,Master!$B$50:$N$232,6,FALSE)</f>
        <v>20000</v>
      </c>
      <c r="L348" s="324">
        <v>20000</v>
      </c>
      <c r="M348" s="325"/>
    </row>
    <row r="349" spans="1:13" ht="13">
      <c r="A349" s="21" t="s">
        <v>627</v>
      </c>
      <c r="B349" s="61" t="s">
        <v>628</v>
      </c>
      <c r="C349" s="316">
        <f>VLOOKUP($A349,Master!$B$50:$N$232,8,FALSE)</f>
        <v>1000</v>
      </c>
      <c r="D349" s="316" t="str">
        <f>VLOOKUP($A349,Master!$B$50:$N$232,9,FALSE)</f>
        <v>gr</v>
      </c>
      <c r="E349" s="317" t="str">
        <f>VLOOKUP($A349,Master!$B$50:$N$232,11,FALSE)</f>
        <v>Borma</v>
      </c>
      <c r="F349" s="318">
        <v>1</v>
      </c>
      <c r="G349" s="319" t="s">
        <v>36</v>
      </c>
      <c r="H349" s="320">
        <v>31900</v>
      </c>
      <c r="I349" s="321" t="b">
        <v>1</v>
      </c>
      <c r="J349" s="322">
        <v>1</v>
      </c>
      <c r="K349" s="326">
        <f>VLOOKUP($A349,Master!$B$50:$N$232,6,FALSE)</f>
        <v>35550</v>
      </c>
      <c r="L349" s="324">
        <v>25100</v>
      </c>
      <c r="M349" s="325"/>
    </row>
    <row r="350" spans="1:13" ht="13">
      <c r="A350" s="21" t="s">
        <v>631</v>
      </c>
      <c r="B350" s="61" t="s">
        <v>632</v>
      </c>
      <c r="C350" s="316">
        <f>VLOOKUP($A350,Master!$B$50:$N$232,8,FALSE)</f>
        <v>1000</v>
      </c>
      <c r="D350" s="316" t="str">
        <f>VLOOKUP($A350,Master!$B$50:$N$232,9,FALSE)</f>
        <v>gr</v>
      </c>
      <c r="E350" s="317" t="str">
        <f>VLOOKUP($A350,Master!$B$50:$N$232,11,FALSE)</f>
        <v>Borma</v>
      </c>
      <c r="F350" s="318">
        <v>1</v>
      </c>
      <c r="G350" s="319" t="s">
        <v>36</v>
      </c>
      <c r="H350" s="320">
        <v>16000</v>
      </c>
      <c r="I350" s="321" t="b">
        <v>1</v>
      </c>
      <c r="J350" s="322">
        <v>1</v>
      </c>
      <c r="K350" s="326">
        <f>VLOOKUP($A350,Master!$B$50:$N$232,6,FALSE)</f>
        <v>18000</v>
      </c>
      <c r="L350" s="324">
        <v>15000</v>
      </c>
      <c r="M350" s="325"/>
    </row>
    <row r="351" spans="1:13" ht="13">
      <c r="A351" s="21" t="s">
        <v>1501</v>
      </c>
      <c r="B351" s="61" t="s">
        <v>908</v>
      </c>
      <c r="C351" s="316" t="e">
        <f>VLOOKUP($A351,Master!$B$50:$N$232,8,FALSE)</f>
        <v>#N/A</v>
      </c>
      <c r="D351" s="316" t="e">
        <f>VLOOKUP($A351,Master!$B$50:$N$232,9,FALSE)</f>
        <v>#N/A</v>
      </c>
      <c r="E351" s="317" t="e">
        <f>VLOOKUP($A351,Master!$B$50:$N$232,11,FALSE)</f>
        <v>#N/A</v>
      </c>
      <c r="F351" s="318">
        <v>2</v>
      </c>
      <c r="G351" s="319" t="s">
        <v>741</v>
      </c>
      <c r="H351" s="320">
        <v>5950</v>
      </c>
      <c r="I351" s="321" t="b">
        <v>1</v>
      </c>
      <c r="J351" s="322">
        <v>2</v>
      </c>
      <c r="K351" s="323" t="e">
        <f>VLOOKUP($A351,Master!$B$50:$N$232,6,FALSE)</f>
        <v>#N/A</v>
      </c>
      <c r="L351" s="324">
        <v>10710</v>
      </c>
      <c r="M351" s="325"/>
    </row>
    <row r="352" spans="1:13" ht="13">
      <c r="A352" s="21" t="s">
        <v>1035</v>
      </c>
      <c r="B352" s="61" t="s">
        <v>1036</v>
      </c>
      <c r="C352" s="316" t="e">
        <f>VLOOKUP($A352,Master!$B$50:$N$232,8,FALSE)</f>
        <v>#N/A</v>
      </c>
      <c r="D352" s="316" t="e">
        <f>VLOOKUP($A352,Master!$B$50:$N$232,9,FALSE)</f>
        <v>#N/A</v>
      </c>
      <c r="E352" s="317" t="e">
        <f>VLOOKUP($A352,Master!$B$50:$N$232,11,FALSE)</f>
        <v>#N/A</v>
      </c>
      <c r="F352" s="318">
        <v>2</v>
      </c>
      <c r="G352" s="319" t="s">
        <v>62</v>
      </c>
      <c r="H352" s="320">
        <v>26000</v>
      </c>
      <c r="I352" s="321" t="b">
        <v>1</v>
      </c>
      <c r="J352" s="322">
        <v>2</v>
      </c>
      <c r="K352" s="323">
        <v>13500</v>
      </c>
      <c r="L352" s="324">
        <f>J352*K352</f>
        <v>27000</v>
      </c>
      <c r="M352" s="325"/>
    </row>
    <row r="353" spans="1:13" ht="13">
      <c r="A353" s="21" t="s">
        <v>1037</v>
      </c>
      <c r="B353" s="61" t="s">
        <v>1038</v>
      </c>
      <c r="C353" s="316" t="e">
        <f>VLOOKUP($A353,Master!$B$50:$N$232,8,FALSE)</f>
        <v>#N/A</v>
      </c>
      <c r="D353" s="316" t="e">
        <f>VLOOKUP($A353,Master!$B$50:$N$232,9,FALSE)</f>
        <v>#N/A</v>
      </c>
      <c r="E353" s="317" t="e">
        <f>VLOOKUP($A353,Master!$B$50:$N$232,11,FALSE)</f>
        <v>#N/A</v>
      </c>
      <c r="F353" s="318">
        <v>2</v>
      </c>
      <c r="G353" s="319" t="s">
        <v>62</v>
      </c>
      <c r="H353" s="320">
        <v>44600</v>
      </c>
      <c r="I353" s="321" t="b">
        <v>1</v>
      </c>
      <c r="J353" s="322">
        <v>2</v>
      </c>
      <c r="K353" s="323" t="e">
        <f>VLOOKUP($A353,Master!$B$50:$N$232,6,FALSE)</f>
        <v>#N/A</v>
      </c>
      <c r="L353" s="324">
        <v>13400</v>
      </c>
      <c r="M353" s="325" t="s">
        <v>1565</v>
      </c>
    </row>
    <row r="354" spans="1:13" ht="13">
      <c r="A354" s="21" t="s">
        <v>1094</v>
      </c>
      <c r="B354" s="61" t="s">
        <v>1095</v>
      </c>
      <c r="C354" s="316" t="e">
        <f>VLOOKUP($A354,Master!$B$50:$N$232,8,FALSE)</f>
        <v>#N/A</v>
      </c>
      <c r="D354" s="316" t="e">
        <f>VLOOKUP($A354,Master!$B$50:$N$232,9,FALSE)</f>
        <v>#N/A</v>
      </c>
      <c r="E354" s="317" t="e">
        <f>VLOOKUP($A354,Master!$B$50:$N$232,11,FALSE)</f>
        <v>#N/A</v>
      </c>
      <c r="F354" s="318">
        <v>1</v>
      </c>
      <c r="G354" s="319" t="s">
        <v>62</v>
      </c>
      <c r="H354" s="320">
        <v>19650</v>
      </c>
      <c r="I354" s="321" t="b">
        <v>1</v>
      </c>
      <c r="J354" s="322">
        <v>1</v>
      </c>
      <c r="K354" s="323" t="e">
        <f>VLOOKUP($A354,Master!$B$50:$N$232,6,FALSE)</f>
        <v>#N/A</v>
      </c>
      <c r="L354" s="324">
        <v>17800</v>
      </c>
      <c r="M354" s="325"/>
    </row>
    <row r="355" spans="1:13" ht="13">
      <c r="A355" s="18" t="s">
        <v>1096</v>
      </c>
      <c r="B355" s="328" t="s">
        <v>1097</v>
      </c>
      <c r="C355" s="316" t="e">
        <f>VLOOKUP($A355,Master!$B$50:$N$232,8,FALSE)</f>
        <v>#N/A</v>
      </c>
      <c r="D355" s="316" t="e">
        <f>VLOOKUP($A355,Master!$B$50:$N$232,9,FALSE)</f>
        <v>#N/A</v>
      </c>
      <c r="E355" s="317" t="e">
        <f>VLOOKUP($A355,Master!$B$50:$N$232,11,FALSE)</f>
        <v>#N/A</v>
      </c>
      <c r="F355" s="318">
        <v>2</v>
      </c>
      <c r="G355" s="319" t="s">
        <v>62</v>
      </c>
      <c r="H355" s="320">
        <v>9600</v>
      </c>
      <c r="I355" s="321" t="b">
        <v>1</v>
      </c>
      <c r="J355" s="322">
        <v>6</v>
      </c>
      <c r="K355" s="323" t="e">
        <f>VLOOKUP($A355,Master!$B$50:$N$232,6,FALSE)</f>
        <v>#N/A</v>
      </c>
      <c r="L355" s="324">
        <v>24000</v>
      </c>
      <c r="M355" s="325"/>
    </row>
    <row r="356" spans="1:13" ht="13">
      <c r="A356" s="21" t="s">
        <v>651</v>
      </c>
      <c r="B356" s="61" t="s">
        <v>652</v>
      </c>
      <c r="C356" s="316">
        <f>VLOOKUP($A356,Master!$B$50:$N$232,8,FALSE)</f>
        <v>1000</v>
      </c>
      <c r="D356" s="316" t="str">
        <f>VLOOKUP($A356,Master!$B$50:$N$232,9,FALSE)</f>
        <v>gr</v>
      </c>
      <c r="E356" s="317" t="str">
        <f>VLOOKUP($A356,Master!$B$50:$N$232,11,FALSE)</f>
        <v>Eden Farm</v>
      </c>
      <c r="F356" s="318">
        <v>2</v>
      </c>
      <c r="G356" s="319" t="s">
        <v>36</v>
      </c>
      <c r="H356" s="320">
        <v>20400</v>
      </c>
      <c r="I356" s="321" t="b">
        <v>1</v>
      </c>
      <c r="J356" s="322">
        <v>2</v>
      </c>
      <c r="K356" s="326">
        <f>VLOOKUP($A356,Master!$B$50:$N$232,6,FALSE)</f>
        <v>18000</v>
      </c>
      <c r="L356" s="327">
        <f>J356*K356</f>
        <v>36000</v>
      </c>
      <c r="M356" s="325"/>
    </row>
    <row r="357" spans="1:13" ht="13">
      <c r="A357" s="21" t="s">
        <v>712</v>
      </c>
      <c r="B357" s="61" t="s">
        <v>713</v>
      </c>
      <c r="C357" s="316">
        <f>VLOOKUP($A357,Master!$B$50:$N$232,8,FALSE)</f>
        <v>1000</v>
      </c>
      <c r="D357" s="316" t="str">
        <f>VLOOKUP($A357,Master!$B$50:$N$232,9,FALSE)</f>
        <v>gr</v>
      </c>
      <c r="E357" s="317" t="str">
        <f>VLOOKUP($A357,Master!$B$50:$N$232,11,FALSE)</f>
        <v>Eden Farm</v>
      </c>
      <c r="F357" s="318">
        <v>1</v>
      </c>
      <c r="G357" s="319" t="s">
        <v>36</v>
      </c>
      <c r="H357" s="320">
        <v>24200</v>
      </c>
      <c r="I357" s="321" t="b">
        <v>1</v>
      </c>
      <c r="J357" s="322">
        <v>1</v>
      </c>
      <c r="K357" s="326">
        <f>VLOOKUP($A357,Master!$B$50:$N$232,6,FALSE)</f>
        <v>40000</v>
      </c>
      <c r="L357" s="324">
        <v>21500</v>
      </c>
      <c r="M357" s="325"/>
    </row>
    <row r="358" spans="1:13" ht="13">
      <c r="A358" s="21" t="s">
        <v>716</v>
      </c>
      <c r="B358" s="61" t="s">
        <v>717</v>
      </c>
      <c r="C358" s="316">
        <f>VLOOKUP($A358,Master!$B$50:$N$232,8,FALSE)</f>
        <v>1000</v>
      </c>
      <c r="D358" s="316" t="str">
        <f>VLOOKUP($A358,Master!$B$50:$N$232,9,FALSE)</f>
        <v>gr</v>
      </c>
      <c r="E358" s="317" t="str">
        <f>VLOOKUP($A358,Master!$B$50:$N$232,11,FALSE)</f>
        <v>Eden Farm</v>
      </c>
      <c r="F358" s="318">
        <v>1</v>
      </c>
      <c r="G358" s="319" t="s">
        <v>36</v>
      </c>
      <c r="H358" s="320">
        <v>41700</v>
      </c>
      <c r="I358" s="321" t="b">
        <v>1</v>
      </c>
      <c r="J358" s="322">
        <v>1</v>
      </c>
      <c r="K358" s="326">
        <f>VLOOKUP($A358,Master!$B$50:$N$232,6,FALSE)</f>
        <v>45000</v>
      </c>
      <c r="L358" s="324">
        <v>40400</v>
      </c>
      <c r="M358" s="325"/>
    </row>
    <row r="359" spans="1:13" ht="13">
      <c r="A359" s="21" t="s">
        <v>732</v>
      </c>
      <c r="B359" s="61" t="s">
        <v>733</v>
      </c>
      <c r="C359" s="316">
        <f>VLOOKUP($A359,Master!$B$50:$N$232,8,FALSE)</f>
        <v>1000</v>
      </c>
      <c r="D359" s="316" t="str">
        <f>VLOOKUP($A359,Master!$B$50:$N$232,9,FALSE)</f>
        <v>gr</v>
      </c>
      <c r="E359" s="317" t="str">
        <f>VLOOKUP($A359,Master!$B$50:$N$232,11,FALSE)</f>
        <v>Eden Farm</v>
      </c>
      <c r="F359" s="318">
        <v>2</v>
      </c>
      <c r="G359" s="319" t="s">
        <v>36</v>
      </c>
      <c r="H359" s="320">
        <v>39800</v>
      </c>
      <c r="I359" s="321" t="b">
        <v>1</v>
      </c>
      <c r="J359" s="322">
        <v>2</v>
      </c>
      <c r="K359" s="326">
        <f>VLOOKUP($A359,Master!$B$50:$N$232,6,FALSE)</f>
        <v>40000</v>
      </c>
      <c r="L359" s="324">
        <v>38600</v>
      </c>
      <c r="M359" s="325"/>
    </row>
    <row r="360" spans="1:13" ht="13">
      <c r="A360" s="21" t="s">
        <v>744</v>
      </c>
      <c r="B360" s="61" t="s">
        <v>745</v>
      </c>
      <c r="C360" s="316">
        <f>VLOOKUP($A360,Master!$B$50:$N$232,8,FALSE)</f>
        <v>1000</v>
      </c>
      <c r="D360" s="316" t="str">
        <f>VLOOKUP($A360,Master!$B$50:$N$232,9,FALSE)</f>
        <v>gr</v>
      </c>
      <c r="E360" s="317" t="str">
        <f>VLOOKUP($A360,Master!$B$50:$N$232,11,FALSE)</f>
        <v>Eden Farm</v>
      </c>
      <c r="F360" s="318">
        <v>1</v>
      </c>
      <c r="G360" s="319" t="s">
        <v>36</v>
      </c>
      <c r="H360" s="320">
        <v>57400</v>
      </c>
      <c r="I360" s="321" t="b">
        <v>1</v>
      </c>
      <c r="J360" s="322">
        <v>1</v>
      </c>
      <c r="K360" s="323">
        <v>57400</v>
      </c>
      <c r="L360" s="324">
        <f>J360*K360</f>
        <v>57400</v>
      </c>
      <c r="M360" s="325"/>
    </row>
    <row r="361" spans="1:13" ht="13">
      <c r="A361" s="21" t="s">
        <v>919</v>
      </c>
      <c r="B361" s="61" t="s">
        <v>920</v>
      </c>
      <c r="C361" s="316">
        <f>VLOOKUP($A361,Master!$B$50:$N$232,8,FALSE)</f>
        <v>1000</v>
      </c>
      <c r="D361" s="316" t="str">
        <f>VLOOKUP($A361,Master!$B$50:$N$232,9,FALSE)</f>
        <v>gr</v>
      </c>
      <c r="E361" s="317" t="str">
        <f>VLOOKUP($A361,Master!$B$50:$N$232,11,FALSE)</f>
        <v>Eden Farm</v>
      </c>
      <c r="F361" s="318">
        <v>1</v>
      </c>
      <c r="G361" s="319" t="s">
        <v>62</v>
      </c>
      <c r="H361" s="320">
        <v>39900</v>
      </c>
      <c r="I361" s="321" t="b">
        <v>1</v>
      </c>
      <c r="J361" s="322">
        <v>1</v>
      </c>
      <c r="K361" s="326">
        <f>VLOOKUP($A361,Master!$B$50:$N$232,6,FALSE)</f>
        <v>50000</v>
      </c>
      <c r="L361" s="324">
        <v>35700</v>
      </c>
      <c r="M361" s="325"/>
    </row>
    <row r="362" spans="1:13" ht="13">
      <c r="A362" s="21" t="s">
        <v>1020</v>
      </c>
      <c r="B362" s="61" t="s">
        <v>1021</v>
      </c>
      <c r="C362" s="316">
        <f>VLOOKUP($A362,Master!$B$50:$N$232,8,FALSE)</f>
        <v>1000</v>
      </c>
      <c r="D362" s="316" t="str">
        <f>VLOOKUP($A362,Master!$B$50:$N$232,9,FALSE)</f>
        <v>gr</v>
      </c>
      <c r="E362" s="317" t="str">
        <f>VLOOKUP($A362,Master!$B$50:$N$232,11,FALSE)</f>
        <v>Eden Farm</v>
      </c>
      <c r="F362" s="318">
        <v>1</v>
      </c>
      <c r="G362" s="319" t="s">
        <v>36</v>
      </c>
      <c r="H362" s="320">
        <v>21800</v>
      </c>
      <c r="I362" s="321" t="b">
        <v>1</v>
      </c>
      <c r="J362" s="322">
        <v>1</v>
      </c>
      <c r="K362" s="326">
        <f>VLOOKUP($A362,Master!$B$50:$N$232,6,FALSE)</f>
        <v>24000</v>
      </c>
      <c r="L362" s="324">
        <v>13600</v>
      </c>
      <c r="M362" s="325"/>
    </row>
    <row r="363" spans="1:13" ht="13">
      <c r="A363" s="21" t="s">
        <v>1050</v>
      </c>
      <c r="B363" s="61" t="s">
        <v>1051</v>
      </c>
      <c r="C363" s="316" t="e">
        <f>VLOOKUP($A363,Master!$B$50:$N$232,8,FALSE)</f>
        <v>#N/A</v>
      </c>
      <c r="D363" s="316" t="e">
        <f>VLOOKUP($A363,Master!$B$50:$N$232,9,FALSE)</f>
        <v>#N/A</v>
      </c>
      <c r="E363" s="317" t="e">
        <f>VLOOKUP($A363,Master!$B$50:$N$232,11,FALSE)</f>
        <v>#N/A</v>
      </c>
      <c r="F363" s="318">
        <v>0.5</v>
      </c>
      <c r="G363" s="319" t="s">
        <v>36</v>
      </c>
      <c r="H363" s="320">
        <v>9700</v>
      </c>
      <c r="I363" s="321" t="b">
        <v>1</v>
      </c>
      <c r="J363" s="322">
        <v>0.5</v>
      </c>
      <c r="K363" s="323">
        <v>10200</v>
      </c>
      <c r="L363" s="324">
        <f t="shared" ref="L363:L371" si="37">J363*K363</f>
        <v>5100</v>
      </c>
      <c r="M363" s="325"/>
    </row>
    <row r="364" spans="1:13" ht="13">
      <c r="A364" s="21" t="s">
        <v>659</v>
      </c>
      <c r="B364" s="61" t="s">
        <v>660</v>
      </c>
      <c r="C364" s="316">
        <f>VLOOKUP($A364,Master!$B$50:$N$232,8,FALSE)</f>
        <v>15</v>
      </c>
      <c r="D364" s="316" t="str">
        <f>VLOOKUP($A364,Master!$B$50:$N$232,9,FALSE)</f>
        <v>pcs</v>
      </c>
      <c r="E364" s="317" t="str">
        <f>VLOOKUP($A364,Master!$B$50:$N$232,11,FALSE)</f>
        <v>Feri Supriadi (Telur , Beras , Minyak )</v>
      </c>
      <c r="F364" s="318">
        <v>3</v>
      </c>
      <c r="G364" s="319" t="s">
        <v>36</v>
      </c>
      <c r="H364" s="320">
        <v>84000</v>
      </c>
      <c r="I364" s="321" t="b">
        <v>1</v>
      </c>
      <c r="J364" s="322">
        <v>3</v>
      </c>
      <c r="K364" s="326">
        <f>VLOOKUP($A364,Master!$B$50:$N$232,6,FALSE)</f>
        <v>28000</v>
      </c>
      <c r="L364" s="327">
        <f t="shared" si="37"/>
        <v>84000</v>
      </c>
      <c r="M364" s="325"/>
    </row>
    <row r="365" spans="1:13" ht="13">
      <c r="A365" s="18" t="s">
        <v>1054</v>
      </c>
      <c r="B365" s="328" t="s">
        <v>1055</v>
      </c>
      <c r="C365" s="316" t="e">
        <f>VLOOKUP($A365,Master!$B$50:$N$232,8,FALSE)</f>
        <v>#N/A</v>
      </c>
      <c r="D365" s="316" t="e">
        <f>VLOOKUP($A365,Master!$B$50:$N$232,9,FALSE)</f>
        <v>#N/A</v>
      </c>
      <c r="E365" s="317" t="e">
        <f>VLOOKUP($A365,Master!$B$50:$N$232,11,FALSE)</f>
        <v>#N/A</v>
      </c>
      <c r="F365" s="318">
        <v>3</v>
      </c>
      <c r="G365" s="319" t="s">
        <v>36</v>
      </c>
      <c r="H365" s="320">
        <v>525000</v>
      </c>
      <c r="I365" s="321" t="b">
        <v>1</v>
      </c>
      <c r="J365" s="322">
        <v>3</v>
      </c>
      <c r="K365" s="323" t="e">
        <f>VLOOKUP($A365,Master!$B$50:$N$232,6,FALSE)</f>
        <v>#N/A</v>
      </c>
      <c r="L365" s="324" t="e">
        <f t="shared" si="37"/>
        <v>#N/A</v>
      </c>
      <c r="M365" s="325"/>
    </row>
    <row r="366" spans="1:13" ht="13">
      <c r="A366" s="21" t="s">
        <v>1112</v>
      </c>
      <c r="B366" s="61" t="s">
        <v>1113</v>
      </c>
      <c r="C366" s="316" t="e">
        <f>VLOOKUP($A366,Master!$B$50:$N$240,8,FALSE)</f>
        <v>#N/A</v>
      </c>
      <c r="D366" s="316" t="e">
        <f>VLOOKUP($A366,Master!$B$50:$N$240,9,FALSE)</f>
        <v>#N/A</v>
      </c>
      <c r="E366" s="317" t="s">
        <v>272</v>
      </c>
      <c r="F366" s="318">
        <v>2</v>
      </c>
      <c r="G366" s="319" t="s">
        <v>132</v>
      </c>
      <c r="H366" s="320">
        <v>436000</v>
      </c>
      <c r="I366" s="321" t="b">
        <v>1</v>
      </c>
      <c r="J366" s="322">
        <v>2</v>
      </c>
      <c r="K366" s="326" t="e">
        <f>VLOOKUP($A366,Master!$B$50:$N$240,6,FALSE)</f>
        <v>#N/A</v>
      </c>
      <c r="L366" s="324" t="e">
        <f t="shared" si="37"/>
        <v>#N/A</v>
      </c>
      <c r="M366" s="325"/>
    </row>
    <row r="367" spans="1:13" ht="13">
      <c r="A367" s="22" t="s">
        <v>675</v>
      </c>
      <c r="B367" s="330" t="s">
        <v>676</v>
      </c>
      <c r="C367" s="316">
        <f>VLOOKUP($A367,Master!$B$50:$N$232,8,FALSE)</f>
        <v>20</v>
      </c>
      <c r="D367" s="316" t="str">
        <f>VLOOKUP($A367,Master!$B$50:$N$232,9,FALSE)</f>
        <v>unit</v>
      </c>
      <c r="E367" s="317" t="str">
        <f>VLOOKUP($A367,Master!$B$50:$N$232,11,FALSE)</f>
        <v>RSB, Dago</v>
      </c>
      <c r="F367" s="318">
        <v>15</v>
      </c>
      <c r="G367" s="319" t="s">
        <v>62</v>
      </c>
      <c r="H367" s="320">
        <v>90000</v>
      </c>
      <c r="I367" s="321" t="b">
        <v>1</v>
      </c>
      <c r="J367" s="322">
        <v>15</v>
      </c>
      <c r="K367" s="326">
        <f>VLOOKUP($A367,Master!$B$50:$N$232,6,FALSE)</f>
        <v>13500</v>
      </c>
      <c r="L367" s="327">
        <f t="shared" si="37"/>
        <v>202500</v>
      </c>
      <c r="M367" s="325"/>
    </row>
    <row r="368" spans="1:13" ht="13">
      <c r="A368" s="21" t="s">
        <v>519</v>
      </c>
      <c r="B368" s="61" t="s">
        <v>520</v>
      </c>
      <c r="C368" s="316" t="e">
        <f>VLOOKUP($A368,Master!$B$50:$N$232,8,FALSE)</f>
        <v>#N/A</v>
      </c>
      <c r="D368" s="316" t="e">
        <f>VLOOKUP($A368,Master!$B$50:$N$232,9,FALSE)</f>
        <v>#N/A</v>
      </c>
      <c r="E368" s="317" t="e">
        <f>VLOOKUP($A368,Master!$B$50:$N$232,11,FALSE)</f>
        <v>#N/A</v>
      </c>
      <c r="F368" s="318">
        <v>1</v>
      </c>
      <c r="G368" s="319" t="s">
        <v>36</v>
      </c>
      <c r="H368" s="320">
        <v>14000</v>
      </c>
      <c r="I368" s="321" t="b">
        <v>1</v>
      </c>
      <c r="J368" s="322">
        <v>1</v>
      </c>
      <c r="K368" s="323">
        <v>14250</v>
      </c>
      <c r="L368" s="324">
        <f t="shared" si="37"/>
        <v>14250</v>
      </c>
      <c r="M368" s="325"/>
    </row>
    <row r="369" spans="1:13" ht="13">
      <c r="A369" s="21" t="s">
        <v>528</v>
      </c>
      <c r="B369" s="61" t="s">
        <v>529</v>
      </c>
      <c r="C369" s="316" t="e">
        <f>VLOOKUP($A369,Master!$B$50:$N$232,8,FALSE)</f>
        <v>#N/A</v>
      </c>
      <c r="D369" s="316" t="e">
        <f>VLOOKUP($A369,Master!$B$50:$N$232,9,FALSE)</f>
        <v>#N/A</v>
      </c>
      <c r="E369" s="317" t="e">
        <f>VLOOKUP($A369,Master!$B$50:$N$232,11,FALSE)</f>
        <v>#N/A</v>
      </c>
      <c r="F369" s="318">
        <v>5</v>
      </c>
      <c r="G369" s="319" t="s">
        <v>50</v>
      </c>
      <c r="H369" s="320">
        <v>80000</v>
      </c>
      <c r="I369" s="321" t="b">
        <v>1</v>
      </c>
      <c r="J369" s="322">
        <v>5</v>
      </c>
      <c r="K369" s="326" t="e">
        <f>VLOOKUP($A369,Master!$B$50:$N$232,6,FALSE)</f>
        <v>#N/A</v>
      </c>
      <c r="L369" s="327" t="e">
        <f t="shared" si="37"/>
        <v>#N/A</v>
      </c>
      <c r="M369" s="325"/>
    </row>
    <row r="370" spans="1:13" ht="13">
      <c r="A370" s="21" t="s">
        <v>635</v>
      </c>
      <c r="B370" s="61" t="s">
        <v>636</v>
      </c>
      <c r="C370" s="316" t="e">
        <f>VLOOKUP($A370,Master!$B$50:$N$232,8,FALSE)</f>
        <v>#N/A</v>
      </c>
      <c r="D370" s="316" t="e">
        <f>VLOOKUP($A370,Master!$B$50:$N$232,9,FALSE)</f>
        <v>#N/A</v>
      </c>
      <c r="E370" s="317" t="e">
        <f>VLOOKUP($A370,Master!$B$50:$N$232,11,FALSE)</f>
        <v>#N/A</v>
      </c>
      <c r="F370" s="318">
        <v>10</v>
      </c>
      <c r="G370" s="319" t="s">
        <v>50</v>
      </c>
      <c r="H370" s="320">
        <v>110000</v>
      </c>
      <c r="I370" s="321" t="b">
        <v>1</v>
      </c>
      <c r="J370" s="322">
        <v>10</v>
      </c>
      <c r="K370" s="326" t="e">
        <f>VLOOKUP($A370,Master!$B$50:$N$232,6,FALSE)</f>
        <v>#N/A</v>
      </c>
      <c r="L370" s="327" t="e">
        <f t="shared" si="37"/>
        <v>#N/A</v>
      </c>
      <c r="M370" s="325"/>
    </row>
    <row r="371" spans="1:13" ht="13">
      <c r="A371" s="21" t="s">
        <v>680</v>
      </c>
      <c r="B371" s="61" t="s">
        <v>681</v>
      </c>
      <c r="C371" s="316" t="e">
        <f>VLOOKUP($A371,Master!$B$50:$N$232,8,FALSE)</f>
        <v>#N/A</v>
      </c>
      <c r="D371" s="316" t="e">
        <f>VLOOKUP($A371,Master!$B$50:$N$232,9,FALSE)</f>
        <v>#N/A</v>
      </c>
      <c r="E371" s="317" t="e">
        <f>VLOOKUP($A371,Master!$B$50:$N$232,11,FALSE)</f>
        <v>#N/A</v>
      </c>
      <c r="F371" s="318">
        <v>4</v>
      </c>
      <c r="G371" s="319" t="s">
        <v>97</v>
      </c>
      <c r="H371" s="320">
        <v>120000</v>
      </c>
      <c r="I371" s="321" t="b">
        <v>1</v>
      </c>
      <c r="J371" s="322">
        <v>4</v>
      </c>
      <c r="K371" s="326" t="e">
        <f>VLOOKUP($A371,Master!$B$50:$N$232,6,FALSE)</f>
        <v>#N/A</v>
      </c>
      <c r="L371" s="327" t="e">
        <f t="shared" si="37"/>
        <v>#N/A</v>
      </c>
      <c r="M371" s="325"/>
    </row>
    <row r="372" spans="1:13" ht="13">
      <c r="A372" s="21" t="s">
        <v>688</v>
      </c>
      <c r="B372" s="61" t="s">
        <v>689</v>
      </c>
      <c r="C372" s="316" t="e">
        <f>VLOOKUP($A372,Master!$B$50:$N$232,8,FALSE)</f>
        <v>#N/A</v>
      </c>
      <c r="D372" s="316" t="e">
        <f>VLOOKUP($A372,Master!$B$50:$N$232,9,FALSE)</f>
        <v>#N/A</v>
      </c>
      <c r="E372" s="317" t="e">
        <f>VLOOKUP($A372,Master!$B$50:$N$232,11,FALSE)</f>
        <v>#N/A</v>
      </c>
      <c r="F372" s="318">
        <v>2</v>
      </c>
      <c r="G372" s="319" t="s">
        <v>62</v>
      </c>
      <c r="H372" s="320">
        <v>125000</v>
      </c>
      <c r="I372" s="321" t="b">
        <v>1</v>
      </c>
      <c r="J372" s="322">
        <v>2</v>
      </c>
      <c r="K372" s="326" t="e">
        <f>VLOOKUP($A372,Master!$B$50:$N$232,6,FALSE)</f>
        <v>#N/A</v>
      </c>
      <c r="L372" s="324">
        <v>124000</v>
      </c>
      <c r="M372" s="325"/>
    </row>
    <row r="373" spans="1:13" ht="13">
      <c r="A373" s="21" t="s">
        <v>696</v>
      </c>
      <c r="B373" s="61" t="s">
        <v>697</v>
      </c>
      <c r="C373" s="316" t="e">
        <f>VLOOKUP($A373,Master!$B$50:$N$232,8,FALSE)</f>
        <v>#N/A</v>
      </c>
      <c r="D373" s="316" t="e">
        <f>VLOOKUP($A373,Master!$B$50:$N$232,9,FALSE)</f>
        <v>#N/A</v>
      </c>
      <c r="E373" s="317" t="e">
        <f>VLOOKUP($A373,Master!$B$50:$N$232,11,FALSE)</f>
        <v>#N/A</v>
      </c>
      <c r="F373" s="318">
        <v>4</v>
      </c>
      <c r="G373" s="319" t="s">
        <v>62</v>
      </c>
      <c r="H373" s="320">
        <v>56000</v>
      </c>
      <c r="I373" s="321" t="b">
        <v>1</v>
      </c>
      <c r="J373" s="322">
        <v>4</v>
      </c>
      <c r="K373" s="326" t="e">
        <f>VLOOKUP($A373,Master!$B$50:$N$232,6,FALSE)</f>
        <v>#N/A</v>
      </c>
      <c r="L373" s="324">
        <v>55000</v>
      </c>
      <c r="M373" s="325"/>
    </row>
    <row r="374" spans="1:13" ht="13">
      <c r="A374" s="21" t="s">
        <v>720</v>
      </c>
      <c r="B374" s="61" t="s">
        <v>721</v>
      </c>
      <c r="C374" s="316">
        <f>VLOOKUP($A374,Master!$B$50:$N$232,8,FALSE)</f>
        <v>100</v>
      </c>
      <c r="D374" s="316" t="str">
        <f>VLOOKUP($A374,Master!$B$50:$N$232,9,FALSE)</f>
        <v>gr</v>
      </c>
      <c r="E374" s="317" t="str">
        <f>VLOOKUP($A374,Master!$B$50:$N$232,11,FALSE)</f>
        <v>PD Aroma Jaya</v>
      </c>
      <c r="F374" s="318">
        <v>1</v>
      </c>
      <c r="G374" s="319" t="s">
        <v>62</v>
      </c>
      <c r="H374" s="320">
        <v>28000</v>
      </c>
      <c r="I374" s="321" t="b">
        <v>1</v>
      </c>
      <c r="J374" s="322">
        <v>1</v>
      </c>
      <c r="K374" s="326">
        <f>VLOOKUP($A374,Master!$B$50:$N$232,6,FALSE)</f>
        <v>28000</v>
      </c>
      <c r="L374" s="327">
        <f>J374*K374</f>
        <v>28000</v>
      </c>
      <c r="M374" s="325"/>
    </row>
    <row r="375" spans="1:13" ht="13">
      <c r="A375" s="21" t="s">
        <v>748</v>
      </c>
      <c r="B375" s="61" t="s">
        <v>749</v>
      </c>
      <c r="C375" s="316" t="e">
        <f>VLOOKUP($A375,Master!$B$50:$N$232,8,FALSE)</f>
        <v>#N/A</v>
      </c>
      <c r="D375" s="316" t="e">
        <f>VLOOKUP($A375,Master!$B$50:$N$232,9,FALSE)</f>
        <v>#N/A</v>
      </c>
      <c r="E375" s="317" t="e">
        <f>VLOOKUP($A375,Master!$B$50:$N$232,11,FALSE)</f>
        <v>#N/A</v>
      </c>
      <c r="F375" s="318">
        <v>1</v>
      </c>
      <c r="G375" s="319" t="s">
        <v>62</v>
      </c>
      <c r="H375" s="320">
        <v>27500</v>
      </c>
      <c r="I375" s="321" t="b">
        <v>1</v>
      </c>
      <c r="J375" s="322">
        <v>1</v>
      </c>
      <c r="K375" s="326" t="e">
        <f>VLOOKUP($A375,Master!$B$50:$N$232,6,FALSE)</f>
        <v>#N/A</v>
      </c>
      <c r="L375" s="324">
        <v>27000</v>
      </c>
      <c r="M375" s="325"/>
    </row>
    <row r="376" spans="1:13" ht="13">
      <c r="A376" s="21" t="s">
        <v>767</v>
      </c>
      <c r="B376" s="61" t="s">
        <v>768</v>
      </c>
      <c r="C376" s="316" t="e">
        <f>VLOOKUP($A376,Master!$B$50:$N$232,8,FALSE)</f>
        <v>#N/A</v>
      </c>
      <c r="D376" s="316" t="e">
        <f>VLOOKUP($A376,Master!$B$50:$N$232,9,FALSE)</f>
        <v>#N/A</v>
      </c>
      <c r="E376" s="317" t="e">
        <f>VLOOKUP($A376,Master!$B$50:$N$232,11,FALSE)</f>
        <v>#N/A</v>
      </c>
      <c r="F376" s="318">
        <v>1</v>
      </c>
      <c r="G376" s="319" t="s">
        <v>62</v>
      </c>
      <c r="H376" s="320">
        <v>19500</v>
      </c>
      <c r="I376" s="321" t="b">
        <v>1</v>
      </c>
      <c r="J376" s="322">
        <v>1</v>
      </c>
      <c r="K376" s="326" t="e">
        <f>VLOOKUP($A376,Master!$B$50:$N$232,6,FALSE)</f>
        <v>#N/A</v>
      </c>
      <c r="L376" s="327" t="e">
        <f t="shared" ref="L376:L383" si="38">J376*K376</f>
        <v>#N/A</v>
      </c>
      <c r="M376" s="325"/>
    </row>
    <row r="377" spans="1:13" ht="13">
      <c r="A377" s="21" t="s">
        <v>773</v>
      </c>
      <c r="B377" s="61" t="s">
        <v>774</v>
      </c>
      <c r="C377" s="316" t="e">
        <f>VLOOKUP($A377,Master!$B$50:$N$232,8,FALSE)</f>
        <v>#N/A</v>
      </c>
      <c r="D377" s="316" t="e">
        <f>VLOOKUP($A377,Master!$B$50:$N$232,9,FALSE)</f>
        <v>#N/A</v>
      </c>
      <c r="E377" s="317" t="e">
        <f>VLOOKUP($A377,Master!$B$50:$N$232,11,FALSE)</f>
        <v>#N/A</v>
      </c>
      <c r="F377" s="318">
        <v>4</v>
      </c>
      <c r="G377" s="319" t="s">
        <v>62</v>
      </c>
      <c r="H377" s="320">
        <v>56000</v>
      </c>
      <c r="I377" s="321" t="b">
        <v>1</v>
      </c>
      <c r="J377" s="322">
        <v>4</v>
      </c>
      <c r="K377" s="326" t="e">
        <f>VLOOKUP($A377,Master!$B$50:$N$232,6,FALSE)</f>
        <v>#N/A</v>
      </c>
      <c r="L377" s="327" t="e">
        <f t="shared" si="38"/>
        <v>#N/A</v>
      </c>
      <c r="M377" s="325"/>
    </row>
    <row r="378" spans="1:13" ht="13">
      <c r="A378" s="21" t="s">
        <v>787</v>
      </c>
      <c r="B378" s="61" t="s">
        <v>788</v>
      </c>
      <c r="C378" s="316" t="e">
        <f>VLOOKUP($A378,Master!$B$50:$N$232,8,FALSE)</f>
        <v>#N/A</v>
      </c>
      <c r="D378" s="316" t="e">
        <f>VLOOKUP($A378,Master!$B$50:$N$232,9,FALSE)</f>
        <v>#N/A</v>
      </c>
      <c r="E378" s="317" t="e">
        <f>VLOOKUP($A378,Master!$B$50:$N$232,11,FALSE)</f>
        <v>#N/A</v>
      </c>
      <c r="F378" s="318">
        <v>1</v>
      </c>
      <c r="G378" s="319" t="s">
        <v>97</v>
      </c>
      <c r="H378" s="320">
        <v>20250</v>
      </c>
      <c r="I378" s="321" t="b">
        <v>1</v>
      </c>
      <c r="J378" s="322">
        <v>1</v>
      </c>
      <c r="K378" s="326" t="e">
        <f>VLOOKUP($A378,Master!$B$50:$N$232,6,FALSE)</f>
        <v>#N/A</v>
      </c>
      <c r="L378" s="327" t="e">
        <f t="shared" si="38"/>
        <v>#N/A</v>
      </c>
      <c r="M378" s="325"/>
    </row>
    <row r="379" spans="1:13" ht="13">
      <c r="A379" s="21" t="s">
        <v>892</v>
      </c>
      <c r="B379" s="61" t="s">
        <v>893</v>
      </c>
      <c r="C379" s="316" t="e">
        <f>VLOOKUP($A379,Master!$B$50:$N$232,8,FALSE)</f>
        <v>#N/A</v>
      </c>
      <c r="D379" s="316" t="e">
        <f>VLOOKUP($A379,Master!$B$50:$N$232,9,FALSE)</f>
        <v>#N/A</v>
      </c>
      <c r="E379" s="317" t="e">
        <f>VLOOKUP($A379,Master!$B$50:$N$232,11,FALSE)</f>
        <v>#N/A</v>
      </c>
      <c r="F379" s="318">
        <v>1</v>
      </c>
      <c r="G379" s="319" t="s">
        <v>36</v>
      </c>
      <c r="H379" s="320">
        <v>110725</v>
      </c>
      <c r="I379" s="321" t="b">
        <v>1</v>
      </c>
      <c r="J379" s="322">
        <v>1</v>
      </c>
      <c r="K379" s="323">
        <v>112875</v>
      </c>
      <c r="L379" s="324">
        <f t="shared" si="38"/>
        <v>112875</v>
      </c>
      <c r="M379" s="325"/>
    </row>
    <row r="380" spans="1:13" ht="13">
      <c r="A380" s="21" t="s">
        <v>934</v>
      </c>
      <c r="B380" s="61" t="s">
        <v>935</v>
      </c>
      <c r="C380" s="316" t="e">
        <f>VLOOKUP($A380,Master!$B$50:$N$232,8,FALSE)</f>
        <v>#N/A</v>
      </c>
      <c r="D380" s="316" t="e">
        <f>VLOOKUP($A380,Master!$B$50:$N$232,9,FALSE)</f>
        <v>#N/A</v>
      </c>
      <c r="E380" s="317" t="e">
        <f>VLOOKUP($A380,Master!$B$50:$N$232,11,FALSE)</f>
        <v>#N/A</v>
      </c>
      <c r="F380" s="318">
        <v>3</v>
      </c>
      <c r="G380" s="319" t="s">
        <v>62</v>
      </c>
      <c r="H380" s="320">
        <v>23700</v>
      </c>
      <c r="I380" s="321" t="b">
        <v>1</v>
      </c>
      <c r="J380" s="322">
        <v>3</v>
      </c>
      <c r="K380" s="326" t="e">
        <f>VLOOKUP($A380,Master!$B$50:$N$232,6,FALSE)</f>
        <v>#N/A</v>
      </c>
      <c r="L380" s="327" t="e">
        <f t="shared" si="38"/>
        <v>#N/A</v>
      </c>
      <c r="M380" s="325"/>
    </row>
    <row r="381" spans="1:13" ht="13">
      <c r="A381" s="21" t="s">
        <v>943</v>
      </c>
      <c r="B381" s="61" t="s">
        <v>944</v>
      </c>
      <c r="C381" s="316" t="e">
        <f>VLOOKUP($A381,Master!$B$50:$N$232,8,FALSE)</f>
        <v>#N/A</v>
      </c>
      <c r="D381" s="316" t="e">
        <f>VLOOKUP($A381,Master!$B$50:$N$232,9,FALSE)</f>
        <v>#N/A</v>
      </c>
      <c r="E381" s="317" t="e">
        <f>VLOOKUP($A381,Master!$B$50:$N$232,11,FALSE)</f>
        <v>#N/A</v>
      </c>
      <c r="F381" s="318">
        <v>3</v>
      </c>
      <c r="G381" s="319" t="s">
        <v>62</v>
      </c>
      <c r="H381" s="320">
        <v>23700</v>
      </c>
      <c r="I381" s="321" t="b">
        <v>1</v>
      </c>
      <c r="J381" s="322">
        <v>3</v>
      </c>
      <c r="K381" s="326" t="e">
        <f>VLOOKUP($A381,Master!$B$50:$N$232,6,FALSE)</f>
        <v>#N/A</v>
      </c>
      <c r="L381" s="327" t="e">
        <f t="shared" si="38"/>
        <v>#N/A</v>
      </c>
      <c r="M381" s="325"/>
    </row>
    <row r="382" spans="1:13" ht="13">
      <c r="A382" s="21" t="s">
        <v>982</v>
      </c>
      <c r="B382" s="61" t="s">
        <v>983</v>
      </c>
      <c r="C382" s="316">
        <f>VLOOKUP($A382,Master!$B$50:$N$232,8,FALSE)</f>
        <v>12</v>
      </c>
      <c r="D382" s="316" t="str">
        <f>VLOOKUP($A382,Master!$B$50:$N$232,9,FALSE)</f>
        <v>pcs</v>
      </c>
      <c r="E382" s="317" t="str">
        <f>VLOOKUP($A382,Master!$B$50:$N$232,11,FALSE)</f>
        <v>PD Aroma Jaya</v>
      </c>
      <c r="F382" s="318">
        <v>4</v>
      </c>
      <c r="G382" s="319" t="s">
        <v>62</v>
      </c>
      <c r="H382" s="320">
        <v>88000</v>
      </c>
      <c r="I382" s="321" t="b">
        <v>1</v>
      </c>
      <c r="J382" s="322">
        <v>4</v>
      </c>
      <c r="K382" s="326">
        <f>VLOOKUP($A382,Master!$B$50:$N$232,6,FALSE)</f>
        <v>18000</v>
      </c>
      <c r="L382" s="327">
        <f t="shared" si="38"/>
        <v>72000</v>
      </c>
      <c r="M382" s="325"/>
    </row>
    <row r="383" spans="1:13" ht="13">
      <c r="A383" s="21" t="s">
        <v>989</v>
      </c>
      <c r="B383" s="61" t="s">
        <v>990</v>
      </c>
      <c r="C383" s="316">
        <f>VLOOKUP($A383,Master!$B$50:$N$232,8,FALSE)</f>
        <v>5000</v>
      </c>
      <c r="D383" s="316" t="str">
        <f>VLOOKUP($A383,Master!$B$50:$N$232,9,FALSE)</f>
        <v>ml</v>
      </c>
      <c r="E383" s="317" t="str">
        <f>VLOOKUP($A383,Master!$B$50:$N$232,11,FALSE)</f>
        <v>Kurnia Mas</v>
      </c>
      <c r="F383" s="318">
        <v>2</v>
      </c>
      <c r="G383" s="319" t="s">
        <v>62</v>
      </c>
      <c r="H383" s="320">
        <v>39000</v>
      </c>
      <c r="I383" s="321" t="b">
        <v>1</v>
      </c>
      <c r="J383" s="322">
        <v>2</v>
      </c>
      <c r="K383" s="326">
        <f>VLOOKUP($A383,Master!$B$50:$N$232,6,FALSE)</f>
        <v>54500</v>
      </c>
      <c r="L383" s="327">
        <f t="shared" si="38"/>
        <v>109000</v>
      </c>
      <c r="M383" s="325"/>
    </row>
    <row r="384" spans="1:13" ht="13">
      <c r="A384" s="21" t="s">
        <v>1014</v>
      </c>
      <c r="B384" s="61" t="s">
        <v>1015</v>
      </c>
      <c r="C384" s="316">
        <f>VLOOKUP($A384,Master!$B$50:$N$232,8,FALSE)</f>
        <v>50</v>
      </c>
      <c r="D384" s="316" t="str">
        <f>VLOOKUP($A384,Master!$B$50:$N$232,9,FALSE)</f>
        <v>pcs</v>
      </c>
      <c r="E384" s="317" t="str">
        <f>VLOOKUP($A384,Master!$B$50:$N$232,11,FALSE)</f>
        <v>PD Aroma Jaya</v>
      </c>
      <c r="F384" s="318">
        <v>2</v>
      </c>
      <c r="G384" s="319" t="s">
        <v>62</v>
      </c>
      <c r="H384" s="320">
        <v>20000</v>
      </c>
      <c r="I384" s="321" t="b">
        <v>1</v>
      </c>
      <c r="J384" s="322">
        <v>2</v>
      </c>
      <c r="K384" s="326">
        <f>VLOOKUP($A384,Master!$B$50:$N$232,6,FALSE)</f>
        <v>10000</v>
      </c>
      <c r="L384" s="324">
        <v>19250</v>
      </c>
      <c r="M384" s="325"/>
    </row>
    <row r="385" spans="1:13" ht="13">
      <c r="A385" s="21" t="s">
        <v>910</v>
      </c>
      <c r="B385" s="61" t="s">
        <v>911</v>
      </c>
      <c r="C385" s="316">
        <f>VLOOKUP($A385,Master!$B$50:$N$232,8,FALSE)</f>
        <v>10</v>
      </c>
      <c r="D385" s="316" t="str">
        <f>VLOOKUP($A385,Master!$B$50:$N$232,9,FALSE)</f>
        <v>pcs</v>
      </c>
      <c r="E385" s="317" t="str">
        <f>VLOOKUP($A385,Master!$B$50:$N$232,11,FALSE)</f>
        <v>Setiabudi Market</v>
      </c>
      <c r="F385" s="318">
        <v>2</v>
      </c>
      <c r="G385" s="319" t="s">
        <v>62</v>
      </c>
      <c r="H385" s="320">
        <v>33800</v>
      </c>
      <c r="I385" s="321" t="b">
        <v>1</v>
      </c>
      <c r="J385" s="322">
        <v>2</v>
      </c>
      <c r="K385" s="326">
        <f>VLOOKUP($A385,Master!$B$50:$N$232,6,FALSE)</f>
        <v>16900</v>
      </c>
      <c r="L385" s="324">
        <v>33462</v>
      </c>
      <c r="M385" s="325"/>
    </row>
    <row r="386" spans="1:13" ht="13">
      <c r="A386" s="21" t="s">
        <v>782</v>
      </c>
      <c r="B386" s="61" t="s">
        <v>783</v>
      </c>
      <c r="C386" s="316">
        <f>VLOOKUP($A386,Master!$B$50:$N$232,8,FALSE)</f>
        <v>500</v>
      </c>
      <c r="D386" s="316" t="str">
        <f>VLOOKUP($A386,Master!$B$50:$N$232,9,FALSE)</f>
        <v>gr</v>
      </c>
      <c r="E386" s="317" t="str">
        <f>VLOOKUP($A386,Master!$B$50:$N$232,11,FALSE)</f>
        <v>Toko Lain</v>
      </c>
      <c r="F386" s="318">
        <v>2</v>
      </c>
      <c r="G386" s="319" t="s">
        <v>62</v>
      </c>
      <c r="H386" s="320">
        <v>50000</v>
      </c>
      <c r="I386" s="321" t="b">
        <v>1</v>
      </c>
      <c r="J386" s="322">
        <v>2</v>
      </c>
      <c r="K386" s="326">
        <f>VLOOKUP($A386,Master!$B$50:$N$232,6,FALSE)</f>
        <v>25000</v>
      </c>
      <c r="L386" s="327">
        <f>J386*K386</f>
        <v>50000</v>
      </c>
      <c r="M386" s="325" t="s">
        <v>1566</v>
      </c>
    </row>
    <row r="387" spans="1:13" ht="13">
      <c r="A387" s="22" t="s">
        <v>795</v>
      </c>
      <c r="B387" s="330" t="s">
        <v>796</v>
      </c>
      <c r="C387" s="316">
        <f>VLOOKUP($A387,Master!$B$50:$N$232,8,FALSE)</f>
        <v>10</v>
      </c>
      <c r="D387" s="316" t="str">
        <f>VLOOKUP($A387,Master!$B$50:$N$232,9,FALSE)</f>
        <v>unit</v>
      </c>
      <c r="E387" s="317" t="str">
        <f>VLOOKUP($A387,Master!$B$50:$N$232,11,FALSE)</f>
        <v>Toko Lain</v>
      </c>
      <c r="F387" s="318">
        <v>10</v>
      </c>
      <c r="G387" s="319" t="s">
        <v>62</v>
      </c>
      <c r="H387" s="320">
        <v>78000</v>
      </c>
      <c r="I387" s="321" t="b">
        <v>1</v>
      </c>
      <c r="J387" s="322">
        <v>10</v>
      </c>
      <c r="K387" s="326">
        <f>VLOOKUP($A387,Master!$B$50:$N$232,6,FALSE)</f>
        <v>8000</v>
      </c>
      <c r="L387" s="324">
        <v>70000</v>
      </c>
      <c r="M387" s="325"/>
    </row>
    <row r="388" spans="1:13" ht="13">
      <c r="A388" s="21" t="s">
        <v>544</v>
      </c>
      <c r="B388" s="61" t="s">
        <v>545</v>
      </c>
      <c r="C388" s="316" t="e">
        <f>VLOOKUP($A388,Master!$B$50:$N$232,8,FALSE)</f>
        <v>#N/A</v>
      </c>
      <c r="D388" s="316" t="e">
        <f>VLOOKUP($A388,Master!$B$50:$N$232,9,FALSE)</f>
        <v>#N/A</v>
      </c>
      <c r="E388" s="317" t="e">
        <f>VLOOKUP($A388,Master!$B$50:$N$232,11,FALSE)</f>
        <v>#N/A</v>
      </c>
      <c r="F388" s="318">
        <v>3</v>
      </c>
      <c r="G388" s="319" t="s">
        <v>62</v>
      </c>
      <c r="H388" s="320">
        <v>76950</v>
      </c>
      <c r="I388" s="321" t="b">
        <v>1</v>
      </c>
      <c r="J388" s="322">
        <v>3</v>
      </c>
      <c r="K388" s="326" t="e">
        <f>VLOOKUP($A388,Master!$B$50:$N$232,6,FALSE)</f>
        <v>#N/A</v>
      </c>
      <c r="L388" s="324">
        <v>51558</v>
      </c>
      <c r="M388" s="325"/>
    </row>
    <row r="389" spans="1:13" ht="13">
      <c r="A389" s="21" t="s">
        <v>524</v>
      </c>
      <c r="B389" s="61" t="s">
        <v>525</v>
      </c>
      <c r="C389" s="316" t="e">
        <f>VLOOKUP($A389,Master!$B$50:$N$232,8,FALSE)</f>
        <v>#N/A</v>
      </c>
      <c r="D389" s="316" t="e">
        <f>VLOOKUP($A389,Master!$B$50:$N$232,9,FALSE)</f>
        <v>#N/A</v>
      </c>
      <c r="E389" s="317" t="e">
        <f>VLOOKUP($A389,Master!$B$50:$N$232,11,FALSE)</f>
        <v>#N/A</v>
      </c>
      <c r="F389" s="318">
        <v>5</v>
      </c>
      <c r="G389" s="319" t="s">
        <v>108</v>
      </c>
      <c r="H389" s="320">
        <v>63000</v>
      </c>
      <c r="I389" s="321" t="b">
        <v>1</v>
      </c>
      <c r="J389" s="322">
        <v>5</v>
      </c>
      <c r="K389" s="326" t="e">
        <f>VLOOKUP($A389,Master!$B$50:$N$232,6,FALSE)</f>
        <v>#N/A</v>
      </c>
      <c r="L389" s="327" t="e">
        <f>J389*K389</f>
        <v>#N/A</v>
      </c>
      <c r="M389" s="325"/>
    </row>
    <row r="390" spans="1:13" ht="13">
      <c r="A390" s="21" t="s">
        <v>1558</v>
      </c>
      <c r="B390" s="61" t="s">
        <v>611</v>
      </c>
      <c r="C390" s="316" t="e">
        <f>VLOOKUP($A390,Master!$B$50:$N$232,8,FALSE)</f>
        <v>#N/A</v>
      </c>
      <c r="D390" s="316" t="e">
        <f>VLOOKUP($A390,Master!$B$50:$N$232,9,FALSE)</f>
        <v>#N/A</v>
      </c>
      <c r="E390" s="317" t="e">
        <f>VLOOKUP($A390,Master!$B$50:$N$232,11,FALSE)</f>
        <v>#N/A</v>
      </c>
      <c r="F390" s="318">
        <v>1</v>
      </c>
      <c r="G390" s="319" t="s">
        <v>62</v>
      </c>
      <c r="H390" s="320">
        <v>5940</v>
      </c>
      <c r="I390" s="321" t="b">
        <v>1</v>
      </c>
      <c r="J390" s="322">
        <v>1</v>
      </c>
      <c r="K390" s="323" t="e">
        <f>VLOOKUP($A390,Master!$B$50:$N$232,6,FALSE)</f>
        <v>#N/A</v>
      </c>
      <c r="L390" s="324">
        <v>3825</v>
      </c>
      <c r="M390" s="325"/>
    </row>
    <row r="391" spans="1:13" ht="13">
      <c r="A391" s="21" t="s">
        <v>913</v>
      </c>
      <c r="B391" s="61" t="s">
        <v>611</v>
      </c>
      <c r="C391" s="316">
        <f>VLOOKUP($A391,Master!$B$50:$N$232,8,FALSE)</f>
        <v>20</v>
      </c>
      <c r="D391" s="316" t="str">
        <f>VLOOKUP($A391,Master!$B$50:$N$232,9,FALSE)</f>
        <v>gr</v>
      </c>
      <c r="E391" s="317" t="str">
        <f>VLOOKUP($A391,Master!$B$50:$N$232,11,FALSE)</f>
        <v>Toserba Yogya</v>
      </c>
      <c r="F391" s="318">
        <v>1</v>
      </c>
      <c r="G391" s="319" t="s">
        <v>62</v>
      </c>
      <c r="H391" s="320">
        <v>8650</v>
      </c>
      <c r="I391" s="321" t="b">
        <v>1</v>
      </c>
      <c r="J391" s="322">
        <v>1</v>
      </c>
      <c r="K391" s="326">
        <f>VLOOKUP($A391,Master!$B$50:$N$232,6,FALSE)</f>
        <v>8650</v>
      </c>
      <c r="L391" s="324">
        <v>7785</v>
      </c>
      <c r="M391" s="325"/>
    </row>
    <row r="392" spans="1:13" ht="13">
      <c r="A392" s="332" t="s">
        <v>1070</v>
      </c>
      <c r="B392" s="333" t="s">
        <v>1071</v>
      </c>
      <c r="C392" s="316" t="e">
        <f>VLOOKUP($A392,Master!$B$50:$N$232,8,FALSE)</f>
        <v>#N/A</v>
      </c>
      <c r="D392" s="316" t="e">
        <f>VLOOKUP($A392,Master!$B$50:$N$232,9,FALSE)</f>
        <v>#N/A</v>
      </c>
      <c r="E392" s="317" t="e">
        <f>VLOOKUP($A392,Master!$B$50:$N$232,11,FALSE)</f>
        <v>#N/A</v>
      </c>
      <c r="F392" s="318">
        <v>1</v>
      </c>
      <c r="G392" s="319" t="s">
        <v>62</v>
      </c>
      <c r="H392" s="320">
        <v>14900</v>
      </c>
      <c r="I392" s="321" t="b">
        <v>1</v>
      </c>
      <c r="J392" s="322">
        <v>1</v>
      </c>
      <c r="K392" s="323" t="e">
        <f>VLOOKUP($A392,Master!$B$50:$N$232,6,FALSE)</f>
        <v>#N/A</v>
      </c>
      <c r="L392" s="324">
        <v>12665</v>
      </c>
      <c r="M392" s="325"/>
    </row>
    <row r="394" spans="1:13" ht="13">
      <c r="F394" s="427">
        <v>44767</v>
      </c>
      <c r="G394" s="428"/>
      <c r="H394" s="424"/>
      <c r="J394" s="429">
        <f>F394+1</f>
        <v>44768</v>
      </c>
      <c r="K394" s="428"/>
      <c r="L394" s="424"/>
    </row>
    <row r="395" spans="1:13" ht="13">
      <c r="F395" s="425" t="s">
        <v>1490</v>
      </c>
      <c r="G395" s="426"/>
      <c r="H395" s="304">
        <f>SUM(H397:H569)</f>
        <v>8339829</v>
      </c>
      <c r="J395" s="425" t="s">
        <v>1491</v>
      </c>
      <c r="K395" s="426"/>
      <c r="L395" s="304" t="e">
        <f>SUM(L397:L569)</f>
        <v>#N/A</v>
      </c>
    </row>
    <row r="396" spans="1:13" ht="13">
      <c r="A396" s="2" t="s">
        <v>4</v>
      </c>
      <c r="B396" s="305" t="s">
        <v>5</v>
      </c>
      <c r="C396" s="305" t="s">
        <v>1492</v>
      </c>
      <c r="D396" s="305" t="s">
        <v>12</v>
      </c>
      <c r="E396" s="306" t="s">
        <v>1493</v>
      </c>
      <c r="F396" s="307" t="s">
        <v>1494</v>
      </c>
      <c r="G396" s="308" t="s">
        <v>10</v>
      </c>
      <c r="H396" s="309" t="s">
        <v>1495</v>
      </c>
      <c r="I396" s="310" t="s">
        <v>1289</v>
      </c>
      <c r="J396" s="311" t="s">
        <v>1496</v>
      </c>
      <c r="K396" s="312" t="s">
        <v>1497</v>
      </c>
      <c r="L396" s="313" t="s">
        <v>1498</v>
      </c>
      <c r="M396" s="314" t="s">
        <v>16</v>
      </c>
    </row>
    <row r="397" spans="1:13" ht="13">
      <c r="A397" s="315" t="s">
        <v>631</v>
      </c>
      <c r="B397" s="61" t="s">
        <v>632</v>
      </c>
      <c r="C397" s="316">
        <f>VLOOKUP($A397,Master!$B$50:$N$232,8,FALSE)</f>
        <v>1000</v>
      </c>
      <c r="D397" s="316" t="str">
        <f>VLOOKUP($A397,Master!$B$50:$N$232,9,FALSE)</f>
        <v>gr</v>
      </c>
      <c r="E397" s="317" t="str">
        <f>VLOOKUP($A397,Master!$B$50:$N$232,11,FALSE)</f>
        <v>Borma</v>
      </c>
      <c r="F397" s="318">
        <v>1</v>
      </c>
      <c r="G397" s="319" t="s">
        <v>36</v>
      </c>
      <c r="H397" s="320">
        <v>16000</v>
      </c>
      <c r="I397" s="321" t="b">
        <v>1</v>
      </c>
      <c r="J397" s="322">
        <v>1</v>
      </c>
      <c r="K397" s="326">
        <f>VLOOKUP($A397,Master!$B$50:$N$232,6,FALSE)</f>
        <v>18000</v>
      </c>
      <c r="L397" s="324">
        <v>11937</v>
      </c>
      <c r="M397" s="325"/>
    </row>
    <row r="398" spans="1:13" ht="13">
      <c r="A398" s="21" t="s">
        <v>1035</v>
      </c>
      <c r="B398" s="61" t="s">
        <v>1036</v>
      </c>
      <c r="C398" s="316" t="e">
        <f>VLOOKUP($A398,Master!$B$50:$N$232,8,FALSE)</f>
        <v>#N/A</v>
      </c>
      <c r="D398" s="316" t="e">
        <f>VLOOKUP($A398,Master!$B$50:$N$232,9,FALSE)</f>
        <v>#N/A</v>
      </c>
      <c r="E398" s="317" t="e">
        <f>VLOOKUP($A398,Master!$B$50:$N$232,11,FALSE)</f>
        <v>#N/A</v>
      </c>
      <c r="F398" s="318">
        <v>2</v>
      </c>
      <c r="G398" s="319" t="s">
        <v>62</v>
      </c>
      <c r="H398" s="320">
        <v>26000</v>
      </c>
      <c r="I398" s="321" t="b">
        <v>1</v>
      </c>
      <c r="J398" s="322">
        <v>2</v>
      </c>
      <c r="K398" s="323">
        <v>13500</v>
      </c>
      <c r="L398" s="324">
        <f>J398*K398</f>
        <v>27000</v>
      </c>
      <c r="M398" s="325"/>
    </row>
    <row r="399" spans="1:13" ht="13">
      <c r="A399" s="21" t="s">
        <v>1037</v>
      </c>
      <c r="B399" s="61" t="s">
        <v>1038</v>
      </c>
      <c r="C399" s="316" t="e">
        <f>VLOOKUP($A399,Master!$B$50:$N$232,8,FALSE)</f>
        <v>#N/A</v>
      </c>
      <c r="D399" s="316" t="e">
        <f>VLOOKUP($A399,Master!$B$50:$N$232,9,FALSE)</f>
        <v>#N/A</v>
      </c>
      <c r="E399" s="317" t="e">
        <f>VLOOKUP($A399,Master!$B$50:$N$232,11,FALSE)</f>
        <v>#N/A</v>
      </c>
      <c r="F399" s="318">
        <v>1</v>
      </c>
      <c r="G399" s="319" t="s">
        <v>62</v>
      </c>
      <c r="H399" s="320">
        <v>22300</v>
      </c>
      <c r="I399" s="321" t="b">
        <v>1</v>
      </c>
      <c r="J399" s="322">
        <v>1</v>
      </c>
      <c r="K399" s="323" t="e">
        <f>VLOOKUP($A399,Master!$B$50:$N$232,6,FALSE)</f>
        <v>#N/A</v>
      </c>
      <c r="L399" s="324">
        <v>9752</v>
      </c>
      <c r="M399" s="325" t="s">
        <v>1543</v>
      </c>
    </row>
    <row r="400" spans="1:13" ht="13">
      <c r="A400" s="21" t="s">
        <v>1094</v>
      </c>
      <c r="B400" s="61" t="s">
        <v>1095</v>
      </c>
      <c r="C400" s="316" t="e">
        <f>VLOOKUP($A400,Master!$B$50:$N$232,8,FALSE)</f>
        <v>#N/A</v>
      </c>
      <c r="D400" s="316" t="e">
        <f>VLOOKUP($A400,Master!$B$50:$N$232,9,FALSE)</f>
        <v>#N/A</v>
      </c>
      <c r="E400" s="317" t="e">
        <f>VLOOKUP($A400,Master!$B$50:$N$232,11,FALSE)</f>
        <v>#N/A</v>
      </c>
      <c r="F400" s="318">
        <v>1</v>
      </c>
      <c r="G400" s="319" t="s">
        <v>62</v>
      </c>
      <c r="H400" s="320">
        <v>19650</v>
      </c>
      <c r="I400" s="321" t="b">
        <v>1</v>
      </c>
      <c r="J400" s="322">
        <v>1</v>
      </c>
      <c r="K400" s="323" t="e">
        <f>VLOOKUP($A400,Master!$B$50:$N$232,6,FALSE)</f>
        <v>#N/A</v>
      </c>
      <c r="L400" s="324">
        <v>19454</v>
      </c>
      <c r="M400" s="325"/>
    </row>
    <row r="401" spans="1:13" ht="13">
      <c r="A401" s="18" t="s">
        <v>1096</v>
      </c>
      <c r="B401" s="328" t="s">
        <v>1097</v>
      </c>
      <c r="C401" s="316" t="e">
        <f>VLOOKUP($A401,Master!$B$50:$N$232,8,FALSE)</f>
        <v>#N/A</v>
      </c>
      <c r="D401" s="316" t="e">
        <f>VLOOKUP($A401,Master!$B$50:$N$232,9,FALSE)</f>
        <v>#N/A</v>
      </c>
      <c r="E401" s="317" t="e">
        <f>VLOOKUP($A401,Master!$B$50:$N$232,11,FALSE)</f>
        <v>#N/A</v>
      </c>
      <c r="F401" s="318">
        <v>2</v>
      </c>
      <c r="G401" s="319" t="s">
        <v>62</v>
      </c>
      <c r="H401" s="320">
        <v>9600</v>
      </c>
      <c r="I401" s="321" t="b">
        <v>1</v>
      </c>
      <c r="J401" s="322">
        <v>10</v>
      </c>
      <c r="K401" s="323" t="e">
        <f>VLOOKUP($A401,Master!$B$50:$N$232,6,FALSE)</f>
        <v>#N/A</v>
      </c>
      <c r="L401" s="324">
        <v>40000</v>
      </c>
      <c r="M401" s="325"/>
    </row>
    <row r="402" spans="1:13" ht="13">
      <c r="A402" s="21" t="s">
        <v>651</v>
      </c>
      <c r="B402" s="61" t="s">
        <v>652</v>
      </c>
      <c r="C402" s="316">
        <f>VLOOKUP($A402,Master!$B$50:$N$232,8,FALSE)</f>
        <v>1000</v>
      </c>
      <c r="D402" s="316" t="str">
        <f>VLOOKUP($A402,Master!$B$50:$N$232,9,FALSE)</f>
        <v>gr</v>
      </c>
      <c r="E402" s="317" t="str">
        <f>VLOOKUP($A402,Master!$B$50:$N$232,11,FALSE)</f>
        <v>Eden Farm</v>
      </c>
      <c r="F402" s="318">
        <v>1</v>
      </c>
      <c r="G402" s="319" t="s">
        <v>36</v>
      </c>
      <c r="H402" s="320">
        <v>10200</v>
      </c>
      <c r="I402" s="321" t="b">
        <v>1</v>
      </c>
      <c r="J402" s="322">
        <v>1</v>
      </c>
      <c r="K402" s="326">
        <f>VLOOKUP($A402,Master!$B$50:$N$232,6,FALSE)</f>
        <v>18000</v>
      </c>
      <c r="L402" s="324">
        <v>9900</v>
      </c>
      <c r="M402" s="325"/>
    </row>
    <row r="403" spans="1:13" ht="13">
      <c r="A403" s="21" t="s">
        <v>712</v>
      </c>
      <c r="B403" s="61" t="s">
        <v>713</v>
      </c>
      <c r="C403" s="316">
        <f>VLOOKUP($A403,Master!$B$50:$N$232,8,FALSE)</f>
        <v>1000</v>
      </c>
      <c r="D403" s="316" t="str">
        <f>VLOOKUP($A403,Master!$B$50:$N$232,9,FALSE)</f>
        <v>gr</v>
      </c>
      <c r="E403" s="317" t="str">
        <f>VLOOKUP($A403,Master!$B$50:$N$232,11,FALSE)</f>
        <v>Eden Farm</v>
      </c>
      <c r="F403" s="318">
        <v>1</v>
      </c>
      <c r="G403" s="319" t="s">
        <v>36</v>
      </c>
      <c r="H403" s="320">
        <v>24200</v>
      </c>
      <c r="I403" s="321" t="b">
        <v>1</v>
      </c>
      <c r="J403" s="322">
        <v>1</v>
      </c>
      <c r="K403" s="326">
        <f>VLOOKUP($A403,Master!$B$50:$N$232,6,FALSE)</f>
        <v>40000</v>
      </c>
      <c r="L403" s="324">
        <v>21500</v>
      </c>
      <c r="M403" s="325"/>
    </row>
    <row r="404" spans="1:13" ht="13">
      <c r="A404" s="21" t="s">
        <v>716</v>
      </c>
      <c r="B404" s="61" t="s">
        <v>717</v>
      </c>
      <c r="C404" s="316">
        <f>VLOOKUP($A404,Master!$B$50:$N$232,8,FALSE)</f>
        <v>1000</v>
      </c>
      <c r="D404" s="316" t="str">
        <f>VLOOKUP($A404,Master!$B$50:$N$232,9,FALSE)</f>
        <v>gr</v>
      </c>
      <c r="E404" s="317" t="str">
        <f>VLOOKUP($A404,Master!$B$50:$N$232,11,FALSE)</f>
        <v>Eden Farm</v>
      </c>
      <c r="F404" s="318">
        <v>0.5</v>
      </c>
      <c r="G404" s="319" t="s">
        <v>36</v>
      </c>
      <c r="H404" s="320">
        <v>41700</v>
      </c>
      <c r="I404" s="321" t="b">
        <v>1</v>
      </c>
      <c r="J404" s="322">
        <v>0.5</v>
      </c>
      <c r="K404" s="326">
        <f>VLOOKUP($A404,Master!$B$50:$N$232,6,FALSE)</f>
        <v>45000</v>
      </c>
      <c r="L404" s="324">
        <v>20200</v>
      </c>
      <c r="M404" s="325"/>
    </row>
    <row r="405" spans="1:13" ht="13">
      <c r="A405" s="21" t="s">
        <v>732</v>
      </c>
      <c r="B405" s="61" t="s">
        <v>733</v>
      </c>
      <c r="C405" s="316">
        <f>VLOOKUP($A405,Master!$B$50:$N$232,8,FALSE)</f>
        <v>1000</v>
      </c>
      <c r="D405" s="316" t="str">
        <f>VLOOKUP($A405,Master!$B$50:$N$232,9,FALSE)</f>
        <v>gr</v>
      </c>
      <c r="E405" s="317" t="str">
        <f>VLOOKUP($A405,Master!$B$50:$N$232,11,FALSE)</f>
        <v>Eden Farm</v>
      </c>
      <c r="F405" s="318">
        <v>2</v>
      </c>
      <c r="G405" s="319" t="s">
        <v>36</v>
      </c>
      <c r="H405" s="320">
        <v>39800</v>
      </c>
      <c r="I405" s="321" t="b">
        <v>1</v>
      </c>
      <c r="J405" s="322">
        <v>2</v>
      </c>
      <c r="K405" s="323">
        <v>20900</v>
      </c>
      <c r="L405" s="324">
        <f t="shared" ref="L405:L408" si="39">J405*K405</f>
        <v>41800</v>
      </c>
      <c r="M405" s="325"/>
    </row>
    <row r="406" spans="1:13" ht="13">
      <c r="A406" s="21" t="s">
        <v>744</v>
      </c>
      <c r="B406" s="61" t="s">
        <v>745</v>
      </c>
      <c r="C406" s="316">
        <f>VLOOKUP($A406,Master!$B$50:$N$232,8,FALSE)</f>
        <v>1000</v>
      </c>
      <c r="D406" s="316" t="str">
        <f>VLOOKUP($A406,Master!$B$50:$N$232,9,FALSE)</f>
        <v>gr</v>
      </c>
      <c r="E406" s="317" t="str">
        <f>VLOOKUP($A406,Master!$B$50:$N$232,11,FALSE)</f>
        <v>Eden Farm</v>
      </c>
      <c r="F406" s="318">
        <v>0.5</v>
      </c>
      <c r="G406" s="319" t="s">
        <v>36</v>
      </c>
      <c r="H406" s="320">
        <v>54500</v>
      </c>
      <c r="I406" s="321" t="b">
        <v>1</v>
      </c>
      <c r="J406" s="322">
        <v>0.5</v>
      </c>
      <c r="K406" s="323">
        <v>63300</v>
      </c>
      <c r="L406" s="324">
        <f t="shared" si="39"/>
        <v>31650</v>
      </c>
      <c r="M406" s="325"/>
    </row>
    <row r="407" spans="1:13" ht="13">
      <c r="A407" s="21" t="s">
        <v>919</v>
      </c>
      <c r="B407" s="61" t="s">
        <v>920</v>
      </c>
      <c r="C407" s="316">
        <f>VLOOKUP($A407,Master!$B$50:$N$232,8,FALSE)</f>
        <v>1000</v>
      </c>
      <c r="D407" s="316" t="str">
        <f>VLOOKUP($A407,Master!$B$50:$N$232,9,FALSE)</f>
        <v>gr</v>
      </c>
      <c r="E407" s="317" t="str">
        <f>VLOOKUP($A407,Master!$B$50:$N$232,11,FALSE)</f>
        <v>Eden Farm</v>
      </c>
      <c r="F407" s="318">
        <v>1</v>
      </c>
      <c r="G407" s="319" t="s">
        <v>62</v>
      </c>
      <c r="H407" s="320">
        <v>39900</v>
      </c>
      <c r="I407" s="321" t="b">
        <v>1</v>
      </c>
      <c r="J407" s="322">
        <v>1</v>
      </c>
      <c r="K407" s="323">
        <v>45000</v>
      </c>
      <c r="L407" s="324">
        <f t="shared" si="39"/>
        <v>45000</v>
      </c>
      <c r="M407" s="325"/>
    </row>
    <row r="408" spans="1:13" ht="13">
      <c r="A408" s="21" t="s">
        <v>922</v>
      </c>
      <c r="B408" s="61" t="s">
        <v>923</v>
      </c>
      <c r="C408" s="316">
        <f>VLOOKUP($A408,Master!$B$50:$N$232,8,FALSE)</f>
        <v>400</v>
      </c>
      <c r="D408" s="316" t="str">
        <f>VLOOKUP($A408,Master!$B$50:$N$232,9,FALSE)</f>
        <v>gr</v>
      </c>
      <c r="E408" s="317" t="str">
        <f>VLOOKUP($A408,Master!$B$50:$N$232,11,FALSE)</f>
        <v>Eden Farm</v>
      </c>
      <c r="F408" s="318">
        <v>3</v>
      </c>
      <c r="G408" s="319" t="s">
        <v>62</v>
      </c>
      <c r="H408" s="320">
        <v>76200</v>
      </c>
      <c r="I408" s="321" t="b">
        <v>1</v>
      </c>
      <c r="J408" s="322">
        <v>3</v>
      </c>
      <c r="K408" s="323">
        <v>30400</v>
      </c>
      <c r="L408" s="324">
        <f t="shared" si="39"/>
        <v>91200</v>
      </c>
      <c r="M408" s="325"/>
    </row>
    <row r="409" spans="1:13" ht="13">
      <c r="A409" s="21" t="s">
        <v>1020</v>
      </c>
      <c r="B409" s="61" t="s">
        <v>1021</v>
      </c>
      <c r="C409" s="316">
        <f>VLOOKUP($A409,Master!$B$50:$N$232,8,FALSE)</f>
        <v>1000</v>
      </c>
      <c r="D409" s="316" t="str">
        <f>VLOOKUP($A409,Master!$B$50:$N$232,9,FALSE)</f>
        <v>gr</v>
      </c>
      <c r="E409" s="317" t="str">
        <f>VLOOKUP($A409,Master!$B$50:$N$232,11,FALSE)</f>
        <v>Eden Farm</v>
      </c>
      <c r="F409" s="318">
        <v>0.5</v>
      </c>
      <c r="G409" s="319" t="s">
        <v>36</v>
      </c>
      <c r="H409" s="320">
        <v>21800</v>
      </c>
      <c r="I409" s="321" t="b">
        <v>1</v>
      </c>
      <c r="J409" s="322">
        <v>0.5</v>
      </c>
      <c r="K409" s="326">
        <f>VLOOKUP($A409,Master!$B$50:$N$232,6,FALSE)</f>
        <v>24000</v>
      </c>
      <c r="L409" s="324">
        <v>5700</v>
      </c>
      <c r="M409" s="325"/>
    </row>
    <row r="410" spans="1:13" ht="13">
      <c r="A410" s="21" t="s">
        <v>1050</v>
      </c>
      <c r="B410" s="61" t="s">
        <v>1051</v>
      </c>
      <c r="C410" s="316" t="e">
        <f>VLOOKUP($A410,Master!$B$50:$N$232,8,FALSE)</f>
        <v>#N/A</v>
      </c>
      <c r="D410" s="316" t="e">
        <f>VLOOKUP($A410,Master!$B$50:$N$232,9,FALSE)</f>
        <v>#N/A</v>
      </c>
      <c r="E410" s="317" t="e">
        <f>VLOOKUP($A410,Master!$B$50:$N$232,11,FALSE)</f>
        <v>#N/A</v>
      </c>
      <c r="F410" s="318">
        <v>0.5</v>
      </c>
      <c r="G410" s="319" t="s">
        <v>36</v>
      </c>
      <c r="H410" s="320">
        <v>9700</v>
      </c>
      <c r="I410" s="321" t="b">
        <v>1</v>
      </c>
      <c r="J410" s="322">
        <v>0.5</v>
      </c>
      <c r="K410" s="323">
        <v>10200</v>
      </c>
      <c r="L410" s="324">
        <f t="shared" ref="L410:L417" si="40">J410*K410</f>
        <v>5100</v>
      </c>
      <c r="M410" s="325"/>
    </row>
    <row r="411" spans="1:13" ht="13">
      <c r="A411" s="21" t="s">
        <v>659</v>
      </c>
      <c r="B411" s="61" t="s">
        <v>660</v>
      </c>
      <c r="C411" s="316">
        <f>VLOOKUP($A411,Master!$B$50:$N$232,8,FALSE)</f>
        <v>15</v>
      </c>
      <c r="D411" s="316" t="str">
        <f>VLOOKUP($A411,Master!$B$50:$N$232,9,FALSE)</f>
        <v>pcs</v>
      </c>
      <c r="E411" s="317" t="str">
        <f>VLOOKUP($A411,Master!$B$50:$N$232,11,FALSE)</f>
        <v>Feri Supriadi (Telur , Beras , Minyak )</v>
      </c>
      <c r="F411" s="318">
        <v>3</v>
      </c>
      <c r="G411" s="319" t="s">
        <v>36</v>
      </c>
      <c r="H411" s="320">
        <v>84000</v>
      </c>
      <c r="I411" s="321" t="b">
        <v>1</v>
      </c>
      <c r="J411" s="322">
        <v>3</v>
      </c>
      <c r="K411" s="326">
        <f>VLOOKUP($A411,Master!$B$50:$N$232,6,FALSE)</f>
        <v>28000</v>
      </c>
      <c r="L411" s="327">
        <f t="shared" si="40"/>
        <v>84000</v>
      </c>
      <c r="M411" s="325"/>
    </row>
    <row r="412" spans="1:13" ht="13">
      <c r="A412" s="22" t="s">
        <v>675</v>
      </c>
      <c r="B412" s="330" t="s">
        <v>676</v>
      </c>
      <c r="C412" s="316">
        <f>VLOOKUP($A412,Master!$B$50:$N$232,8,FALSE)</f>
        <v>20</v>
      </c>
      <c r="D412" s="316" t="str">
        <f>VLOOKUP($A412,Master!$B$50:$N$232,9,FALSE)</f>
        <v>unit</v>
      </c>
      <c r="E412" s="317" t="str">
        <f>VLOOKUP($A412,Master!$B$50:$N$232,11,FALSE)</f>
        <v>RSB, Dago</v>
      </c>
      <c r="F412" s="318">
        <v>10</v>
      </c>
      <c r="G412" s="319" t="s">
        <v>62</v>
      </c>
      <c r="H412" s="320">
        <v>60000</v>
      </c>
      <c r="I412" s="321" t="b">
        <v>1</v>
      </c>
      <c r="J412" s="322">
        <v>10</v>
      </c>
      <c r="K412" s="326">
        <f>VLOOKUP($A412,Master!$B$50:$N$232,6,FALSE)</f>
        <v>13500</v>
      </c>
      <c r="L412" s="327">
        <f t="shared" si="40"/>
        <v>135000</v>
      </c>
      <c r="M412" s="325"/>
    </row>
    <row r="413" spans="1:13" ht="13">
      <c r="A413" s="21" t="s">
        <v>519</v>
      </c>
      <c r="B413" s="61" t="s">
        <v>520</v>
      </c>
      <c r="C413" s="316" t="e">
        <f>VLOOKUP($A413,Master!$B$50:$N$232,8,FALSE)</f>
        <v>#N/A</v>
      </c>
      <c r="D413" s="316" t="e">
        <f>VLOOKUP($A413,Master!$B$50:$N$232,9,FALSE)</f>
        <v>#N/A</v>
      </c>
      <c r="E413" s="317" t="e">
        <f>VLOOKUP($A413,Master!$B$50:$N$232,11,FALSE)</f>
        <v>#N/A</v>
      </c>
      <c r="F413" s="318">
        <v>2</v>
      </c>
      <c r="G413" s="319" t="s">
        <v>36</v>
      </c>
      <c r="H413" s="320">
        <v>28000</v>
      </c>
      <c r="I413" s="321" t="b">
        <v>1</v>
      </c>
      <c r="J413" s="322">
        <v>2</v>
      </c>
      <c r="K413" s="323">
        <v>14250</v>
      </c>
      <c r="L413" s="324">
        <f t="shared" si="40"/>
        <v>28500</v>
      </c>
      <c r="M413" s="325"/>
    </row>
    <row r="414" spans="1:13" ht="13">
      <c r="A414" s="21" t="s">
        <v>528</v>
      </c>
      <c r="B414" s="61" t="s">
        <v>529</v>
      </c>
      <c r="C414" s="316" t="e">
        <f>VLOOKUP($A414,Master!$B$50:$N$232,8,FALSE)</f>
        <v>#N/A</v>
      </c>
      <c r="D414" s="316" t="e">
        <f>VLOOKUP($A414,Master!$B$50:$N$232,9,FALSE)</f>
        <v>#N/A</v>
      </c>
      <c r="E414" s="317" t="e">
        <f>VLOOKUP($A414,Master!$B$50:$N$232,11,FALSE)</f>
        <v>#N/A</v>
      </c>
      <c r="F414" s="318">
        <v>3</v>
      </c>
      <c r="G414" s="319" t="s">
        <v>50</v>
      </c>
      <c r="H414" s="320">
        <v>48000</v>
      </c>
      <c r="I414" s="321" t="b">
        <v>1</v>
      </c>
      <c r="J414" s="322">
        <v>3</v>
      </c>
      <c r="K414" s="326" t="e">
        <f>VLOOKUP($A414,Master!$B$50:$N$232,6,FALSE)</f>
        <v>#N/A</v>
      </c>
      <c r="L414" s="327" t="e">
        <f t="shared" si="40"/>
        <v>#N/A</v>
      </c>
      <c r="M414" s="325"/>
    </row>
    <row r="415" spans="1:13" ht="13">
      <c r="A415" s="21" t="s">
        <v>635</v>
      </c>
      <c r="B415" s="61" t="s">
        <v>636</v>
      </c>
      <c r="C415" s="316" t="e">
        <f>VLOOKUP($A415,Master!$B$50:$N$232,8,FALSE)</f>
        <v>#N/A</v>
      </c>
      <c r="D415" s="316" t="e">
        <f>VLOOKUP($A415,Master!$B$50:$N$232,9,FALSE)</f>
        <v>#N/A</v>
      </c>
      <c r="E415" s="317" t="e">
        <f>VLOOKUP($A415,Master!$B$50:$N$232,11,FALSE)</f>
        <v>#N/A</v>
      </c>
      <c r="F415" s="318">
        <v>6</v>
      </c>
      <c r="G415" s="319" t="s">
        <v>50</v>
      </c>
      <c r="H415" s="320">
        <v>66000</v>
      </c>
      <c r="I415" s="321" t="b">
        <v>1</v>
      </c>
      <c r="J415" s="322">
        <v>6</v>
      </c>
      <c r="K415" s="326" t="e">
        <f>VLOOKUP($A415,Master!$B$50:$N$232,6,FALSE)</f>
        <v>#N/A</v>
      </c>
      <c r="L415" s="327" t="e">
        <f t="shared" si="40"/>
        <v>#N/A</v>
      </c>
      <c r="M415" s="325"/>
    </row>
    <row r="416" spans="1:13" ht="13">
      <c r="A416" s="21" t="s">
        <v>643</v>
      </c>
      <c r="B416" s="61" t="s">
        <v>644</v>
      </c>
      <c r="C416" s="316">
        <f>VLOOKUP($A416,Master!$B$50:$N$232,8,FALSE)</f>
        <v>1000</v>
      </c>
      <c r="D416" s="316" t="str">
        <f>VLOOKUP($A416,Master!$B$50:$N$232,9,FALSE)</f>
        <v>gr</v>
      </c>
      <c r="E416" s="317" t="str">
        <f>VLOOKUP($A416,Master!$B$50:$N$232,11,FALSE)</f>
        <v>PD Aroma Jaya</v>
      </c>
      <c r="F416" s="318">
        <v>1</v>
      </c>
      <c r="G416" s="319" t="s">
        <v>36</v>
      </c>
      <c r="H416" s="320">
        <v>16000</v>
      </c>
      <c r="I416" s="321" t="b">
        <v>1</v>
      </c>
      <c r="J416" s="322">
        <v>1</v>
      </c>
      <c r="K416" s="326">
        <f>VLOOKUP($A416,Master!$B$50:$N$232,6,FALSE)</f>
        <v>17000</v>
      </c>
      <c r="L416" s="327">
        <f t="shared" si="40"/>
        <v>17000</v>
      </c>
      <c r="M416" s="325"/>
    </row>
    <row r="417" spans="1:13" ht="13">
      <c r="A417" s="21" t="s">
        <v>680</v>
      </c>
      <c r="B417" s="61" t="s">
        <v>681</v>
      </c>
      <c r="C417" s="316" t="e">
        <f>VLOOKUP($A417,Master!$B$50:$N$232,8,FALSE)</f>
        <v>#N/A</v>
      </c>
      <c r="D417" s="316" t="e">
        <f>VLOOKUP($A417,Master!$B$50:$N$232,9,FALSE)</f>
        <v>#N/A</v>
      </c>
      <c r="E417" s="317" t="e">
        <f>VLOOKUP($A417,Master!$B$50:$N$232,11,FALSE)</f>
        <v>#N/A</v>
      </c>
      <c r="F417" s="318">
        <v>3</v>
      </c>
      <c r="G417" s="319" t="s">
        <v>97</v>
      </c>
      <c r="H417" s="320">
        <v>90000</v>
      </c>
      <c r="I417" s="321" t="b">
        <v>1</v>
      </c>
      <c r="J417" s="322">
        <v>3</v>
      </c>
      <c r="K417" s="326" t="e">
        <f>VLOOKUP($A417,Master!$B$50:$N$232,6,FALSE)</f>
        <v>#N/A</v>
      </c>
      <c r="L417" s="327" t="e">
        <f t="shared" si="40"/>
        <v>#N/A</v>
      </c>
      <c r="M417" s="325"/>
    </row>
    <row r="418" spans="1:13" ht="13">
      <c r="A418" s="21" t="s">
        <v>688</v>
      </c>
      <c r="B418" s="61" t="s">
        <v>689</v>
      </c>
      <c r="C418" s="316" t="e">
        <f>VLOOKUP($A418,Master!$B$50:$N$232,8,FALSE)</f>
        <v>#N/A</v>
      </c>
      <c r="D418" s="316" t="e">
        <f>VLOOKUP($A418,Master!$B$50:$N$232,9,FALSE)</f>
        <v>#N/A</v>
      </c>
      <c r="E418" s="317" t="e">
        <f>VLOOKUP($A418,Master!$B$50:$N$232,11,FALSE)</f>
        <v>#N/A</v>
      </c>
      <c r="F418" s="318">
        <v>1</v>
      </c>
      <c r="G418" s="319" t="s">
        <v>62</v>
      </c>
      <c r="H418" s="320">
        <v>62500</v>
      </c>
      <c r="I418" s="321" t="b">
        <v>1</v>
      </c>
      <c r="J418" s="322">
        <v>1</v>
      </c>
      <c r="K418" s="326" t="e">
        <f>VLOOKUP($A418,Master!$B$50:$N$232,6,FALSE)</f>
        <v>#N/A</v>
      </c>
      <c r="L418" s="324">
        <v>62000</v>
      </c>
      <c r="M418" s="325"/>
    </row>
    <row r="419" spans="1:13" ht="13">
      <c r="A419" s="21" t="s">
        <v>696</v>
      </c>
      <c r="B419" s="61" t="s">
        <v>697</v>
      </c>
      <c r="C419" s="316" t="e">
        <f>VLOOKUP($A419,Master!$B$50:$N$232,8,FALSE)</f>
        <v>#N/A</v>
      </c>
      <c r="D419" s="316" t="e">
        <f>VLOOKUP($A419,Master!$B$50:$N$232,9,FALSE)</f>
        <v>#N/A</v>
      </c>
      <c r="E419" s="317" t="e">
        <f>VLOOKUP($A419,Master!$B$50:$N$232,11,FALSE)</f>
        <v>#N/A</v>
      </c>
      <c r="F419" s="318">
        <v>3</v>
      </c>
      <c r="G419" s="319" t="s">
        <v>62</v>
      </c>
      <c r="H419" s="320">
        <v>42000</v>
      </c>
      <c r="I419" s="321" t="b">
        <v>1</v>
      </c>
      <c r="J419" s="322">
        <v>3</v>
      </c>
      <c r="K419" s="326" t="e">
        <f>VLOOKUP($A419,Master!$B$50:$N$232,6,FALSE)</f>
        <v>#N/A</v>
      </c>
      <c r="L419" s="327" t="e">
        <f>J419*K419</f>
        <v>#N/A</v>
      </c>
      <c r="M419" s="325"/>
    </row>
    <row r="420" spans="1:13" ht="13">
      <c r="A420" s="21" t="s">
        <v>748</v>
      </c>
      <c r="B420" s="61" t="s">
        <v>749</v>
      </c>
      <c r="C420" s="316" t="e">
        <f>VLOOKUP($A420,Master!$B$50:$N$232,8,FALSE)</f>
        <v>#N/A</v>
      </c>
      <c r="D420" s="316" t="e">
        <f>VLOOKUP($A420,Master!$B$50:$N$232,9,FALSE)</f>
        <v>#N/A</v>
      </c>
      <c r="E420" s="317" t="e">
        <f>VLOOKUP($A420,Master!$B$50:$N$232,11,FALSE)</f>
        <v>#N/A</v>
      </c>
      <c r="F420" s="318">
        <v>3</v>
      </c>
      <c r="G420" s="319" t="s">
        <v>62</v>
      </c>
      <c r="H420" s="320">
        <v>82500</v>
      </c>
      <c r="I420" s="321" t="b">
        <v>1</v>
      </c>
      <c r="J420" s="322">
        <v>3</v>
      </c>
      <c r="K420" s="326" t="e">
        <f>VLOOKUP($A420,Master!$B$50:$N$232,6,FALSE)</f>
        <v>#N/A</v>
      </c>
      <c r="L420" s="324">
        <v>81000</v>
      </c>
      <c r="M420" s="325"/>
    </row>
    <row r="421" spans="1:13" ht="13">
      <c r="A421" s="21" t="s">
        <v>752</v>
      </c>
      <c r="B421" s="61" t="s">
        <v>753</v>
      </c>
      <c r="C421" s="316" t="e">
        <f>VLOOKUP($A421,Master!$B$50:$N$232,8,FALSE)</f>
        <v>#N/A</v>
      </c>
      <c r="D421" s="316" t="e">
        <f>VLOOKUP($A421,Master!$B$50:$N$232,9,FALSE)</f>
        <v>#N/A</v>
      </c>
      <c r="E421" s="317" t="e">
        <f>VLOOKUP($A421,Master!$B$50:$N$232,11,FALSE)</f>
        <v>#N/A</v>
      </c>
      <c r="F421" s="318">
        <v>1</v>
      </c>
      <c r="G421" s="319" t="s">
        <v>62</v>
      </c>
      <c r="H421" s="320">
        <v>38000</v>
      </c>
      <c r="I421" s="321" t="b">
        <v>1</v>
      </c>
      <c r="J421" s="322">
        <v>1</v>
      </c>
      <c r="K421" s="326" t="e">
        <f>VLOOKUP($A421,Master!$B$50:$N$232,6,FALSE)</f>
        <v>#N/A</v>
      </c>
      <c r="L421" s="327" t="e">
        <f t="shared" ref="L421:L429" si="41">J421*K421</f>
        <v>#N/A</v>
      </c>
      <c r="M421" s="325"/>
    </row>
    <row r="422" spans="1:13" ht="13">
      <c r="A422" s="21" t="s">
        <v>767</v>
      </c>
      <c r="B422" s="61" t="s">
        <v>768</v>
      </c>
      <c r="C422" s="316" t="e">
        <f>VLOOKUP($A422,Master!$B$50:$N$232,8,FALSE)</f>
        <v>#N/A</v>
      </c>
      <c r="D422" s="316" t="e">
        <f>VLOOKUP($A422,Master!$B$50:$N$232,9,FALSE)</f>
        <v>#N/A</v>
      </c>
      <c r="E422" s="317" t="e">
        <f>VLOOKUP($A422,Master!$B$50:$N$232,11,FALSE)</f>
        <v>#N/A</v>
      </c>
      <c r="F422" s="318">
        <v>1</v>
      </c>
      <c r="G422" s="319" t="s">
        <v>62</v>
      </c>
      <c r="H422" s="320">
        <v>19500</v>
      </c>
      <c r="I422" s="321" t="b">
        <v>1</v>
      </c>
      <c r="J422" s="322">
        <v>1</v>
      </c>
      <c r="K422" s="326" t="e">
        <f>VLOOKUP($A422,Master!$B$50:$N$232,6,FALSE)</f>
        <v>#N/A</v>
      </c>
      <c r="L422" s="327" t="e">
        <f t="shared" si="41"/>
        <v>#N/A</v>
      </c>
      <c r="M422" s="325"/>
    </row>
    <row r="423" spans="1:13" ht="13">
      <c r="A423" s="21" t="s">
        <v>773</v>
      </c>
      <c r="B423" s="61" t="s">
        <v>774</v>
      </c>
      <c r="C423" s="316" t="e">
        <f>VLOOKUP($A423,Master!$B$50:$N$232,8,FALSE)</f>
        <v>#N/A</v>
      </c>
      <c r="D423" s="316" t="e">
        <f>VLOOKUP($A423,Master!$B$50:$N$232,9,FALSE)</f>
        <v>#N/A</v>
      </c>
      <c r="E423" s="317" t="e">
        <f>VLOOKUP($A423,Master!$B$50:$N$232,11,FALSE)</f>
        <v>#N/A</v>
      </c>
      <c r="F423" s="318">
        <v>1</v>
      </c>
      <c r="G423" s="319" t="s">
        <v>62</v>
      </c>
      <c r="H423" s="320">
        <v>14000</v>
      </c>
      <c r="I423" s="321" t="b">
        <v>1</v>
      </c>
      <c r="J423" s="322">
        <v>1</v>
      </c>
      <c r="K423" s="326" t="e">
        <f>VLOOKUP($A423,Master!$B$50:$N$232,6,FALSE)</f>
        <v>#N/A</v>
      </c>
      <c r="L423" s="327" t="e">
        <f t="shared" si="41"/>
        <v>#N/A</v>
      </c>
      <c r="M423" s="325"/>
    </row>
    <row r="424" spans="1:13" ht="13">
      <c r="A424" s="21" t="s">
        <v>892</v>
      </c>
      <c r="B424" s="61" t="s">
        <v>893</v>
      </c>
      <c r="C424" s="316" t="e">
        <f>VLOOKUP($A424,Master!$B$50:$N$232,8,FALSE)</f>
        <v>#N/A</v>
      </c>
      <c r="D424" s="316" t="e">
        <f>VLOOKUP($A424,Master!$B$50:$N$232,9,FALSE)</f>
        <v>#N/A</v>
      </c>
      <c r="E424" s="317" t="e">
        <f>VLOOKUP($A424,Master!$B$50:$N$232,11,FALSE)</f>
        <v>#N/A</v>
      </c>
      <c r="F424" s="318">
        <v>2</v>
      </c>
      <c r="G424" s="319" t="s">
        <v>36</v>
      </c>
      <c r="H424" s="320">
        <v>221450</v>
      </c>
      <c r="I424" s="321" t="b">
        <v>1</v>
      </c>
      <c r="J424" s="322">
        <v>2</v>
      </c>
      <c r="K424" s="326" t="e">
        <f>VLOOKUP($A424,Master!$B$50:$N$232,6,FALSE)</f>
        <v>#N/A</v>
      </c>
      <c r="L424" s="327" t="e">
        <f t="shared" si="41"/>
        <v>#N/A</v>
      </c>
      <c r="M424" s="325"/>
    </row>
    <row r="425" spans="1:13" ht="13">
      <c r="A425" s="21" t="s">
        <v>934</v>
      </c>
      <c r="B425" s="61" t="s">
        <v>935</v>
      </c>
      <c r="C425" s="316" t="e">
        <f>VLOOKUP($A425,Master!$B$50:$N$232,8,FALSE)</f>
        <v>#N/A</v>
      </c>
      <c r="D425" s="316" t="e">
        <f>VLOOKUP($A425,Master!$B$50:$N$232,9,FALSE)</f>
        <v>#N/A</v>
      </c>
      <c r="E425" s="317" t="e">
        <f>VLOOKUP($A425,Master!$B$50:$N$232,11,FALSE)</f>
        <v>#N/A</v>
      </c>
      <c r="F425" s="318">
        <v>2</v>
      </c>
      <c r="G425" s="319" t="s">
        <v>62</v>
      </c>
      <c r="H425" s="320">
        <v>15800</v>
      </c>
      <c r="I425" s="321" t="b">
        <v>1</v>
      </c>
      <c r="J425" s="322">
        <v>2</v>
      </c>
      <c r="K425" s="326" t="e">
        <f>VLOOKUP($A425,Master!$B$50:$N$232,6,FALSE)</f>
        <v>#N/A</v>
      </c>
      <c r="L425" s="327" t="e">
        <f t="shared" si="41"/>
        <v>#N/A</v>
      </c>
      <c r="M425" s="325"/>
    </row>
    <row r="426" spans="1:13" ht="13">
      <c r="A426" s="21" t="s">
        <v>989</v>
      </c>
      <c r="B426" s="61" t="s">
        <v>990</v>
      </c>
      <c r="C426" s="316">
        <f>VLOOKUP($A426,Master!$B$50:$N$232,8,FALSE)</f>
        <v>5000</v>
      </c>
      <c r="D426" s="316" t="str">
        <f>VLOOKUP($A426,Master!$B$50:$N$232,9,FALSE)</f>
        <v>ml</v>
      </c>
      <c r="E426" s="317" t="str">
        <f>VLOOKUP($A426,Master!$B$50:$N$232,11,FALSE)</f>
        <v>Kurnia Mas</v>
      </c>
      <c r="F426" s="318">
        <v>2</v>
      </c>
      <c r="G426" s="319" t="s">
        <v>62</v>
      </c>
      <c r="H426" s="320">
        <v>39000</v>
      </c>
      <c r="I426" s="321" t="b">
        <v>1</v>
      </c>
      <c r="J426" s="322">
        <v>2</v>
      </c>
      <c r="K426" s="326">
        <f>VLOOKUP($A426,Master!$B$50:$N$232,6,FALSE)</f>
        <v>54500</v>
      </c>
      <c r="L426" s="327">
        <f t="shared" si="41"/>
        <v>109000</v>
      </c>
      <c r="M426" s="325"/>
    </row>
    <row r="427" spans="1:13" ht="13">
      <c r="A427" s="21" t="s">
        <v>562</v>
      </c>
      <c r="B427" s="61" t="s">
        <v>563</v>
      </c>
      <c r="C427" s="316" t="e">
        <f>VLOOKUP($A427,Master!$B$50:$N$232,8,FALSE)</f>
        <v>#N/A</v>
      </c>
      <c r="D427" s="316" t="e">
        <f>VLOOKUP($A427,Master!$B$50:$N$232,9,FALSE)</f>
        <v>#N/A</v>
      </c>
      <c r="E427" s="317" t="e">
        <f>VLOOKUP($A427,Master!$B$50:$N$232,11,FALSE)</f>
        <v>#N/A</v>
      </c>
      <c r="F427" s="318">
        <v>1</v>
      </c>
      <c r="G427" s="319" t="s">
        <v>97</v>
      </c>
      <c r="H427" s="320">
        <v>216450</v>
      </c>
      <c r="I427" s="321" t="b">
        <v>1</v>
      </c>
      <c r="J427" s="322">
        <v>1</v>
      </c>
      <c r="K427" s="326" t="e">
        <f>VLOOKUP($A427,Master!$B$50:$N$232,6,FALSE)</f>
        <v>#N/A</v>
      </c>
      <c r="L427" s="327" t="e">
        <f t="shared" si="41"/>
        <v>#N/A</v>
      </c>
      <c r="M427" s="325"/>
    </row>
    <row r="428" spans="1:13" ht="13">
      <c r="A428" s="21" t="s">
        <v>992</v>
      </c>
      <c r="B428" s="61" t="s">
        <v>993</v>
      </c>
      <c r="C428" s="316" t="e">
        <f>VLOOKUP($A428,Master!$B$50:$N$232,8,FALSE)</f>
        <v>#N/A</v>
      </c>
      <c r="D428" s="316" t="e">
        <f>VLOOKUP($A428,Master!$B$50:$N$232,9,FALSE)</f>
        <v>#N/A</v>
      </c>
      <c r="E428" s="317" t="e">
        <f>VLOOKUP($A428,Master!$B$50:$N$232,11,FALSE)</f>
        <v>#N/A</v>
      </c>
      <c r="F428" s="318">
        <v>1</v>
      </c>
      <c r="G428" s="319" t="s">
        <v>143</v>
      </c>
      <c r="H428" s="320">
        <v>159025</v>
      </c>
      <c r="I428" s="321" t="b">
        <v>1</v>
      </c>
      <c r="J428" s="322">
        <v>1</v>
      </c>
      <c r="K428" s="326" t="e">
        <f>VLOOKUP($A428,Master!$B$50:$N$232,6,FALSE)</f>
        <v>#N/A</v>
      </c>
      <c r="L428" s="327" t="e">
        <f t="shared" si="41"/>
        <v>#N/A</v>
      </c>
      <c r="M428" s="325"/>
    </row>
    <row r="429" spans="1:13" ht="13">
      <c r="A429" s="21" t="s">
        <v>995</v>
      </c>
      <c r="B429" s="61" t="s">
        <v>996</v>
      </c>
      <c r="C429" s="316" t="e">
        <f>VLOOKUP($A429,Master!$B$50:$N$232,8,FALSE)</f>
        <v>#N/A</v>
      </c>
      <c r="D429" s="316" t="e">
        <f>VLOOKUP($A429,Master!$B$50:$N$232,9,FALSE)</f>
        <v>#N/A</v>
      </c>
      <c r="E429" s="317" t="e">
        <f>VLOOKUP($A429,Master!$B$50:$N$232,11,FALSE)</f>
        <v>#N/A</v>
      </c>
      <c r="F429" s="318">
        <v>1</v>
      </c>
      <c r="G429" s="319" t="s">
        <v>143</v>
      </c>
      <c r="H429" s="320">
        <v>385740</v>
      </c>
      <c r="I429" s="321" t="b">
        <v>1</v>
      </c>
      <c r="J429" s="322">
        <v>1</v>
      </c>
      <c r="K429" s="326" t="e">
        <f>VLOOKUP($A429,Master!$B$50:$N$232,6,FALSE)</f>
        <v>#N/A</v>
      </c>
      <c r="L429" s="327" t="e">
        <f t="shared" si="41"/>
        <v>#N/A</v>
      </c>
      <c r="M429" s="325"/>
    </row>
    <row r="430" spans="1:13" ht="13">
      <c r="A430" s="21" t="s">
        <v>552</v>
      </c>
      <c r="B430" s="61" t="s">
        <v>553</v>
      </c>
      <c r="C430" s="316" t="e">
        <f>VLOOKUP($A430,Master!$B$50:$N$232,8,FALSE)</f>
        <v>#N/A</v>
      </c>
      <c r="D430" s="316" t="e">
        <f>VLOOKUP($A430,Master!$B$50:$N$232,9,FALSE)</f>
        <v>#N/A</v>
      </c>
      <c r="E430" s="317" t="e">
        <f>VLOOKUP($A430,Master!$B$50:$N$232,11,FALSE)</f>
        <v>#N/A</v>
      </c>
      <c r="F430" s="318">
        <v>2</v>
      </c>
      <c r="G430" s="319" t="s">
        <v>121</v>
      </c>
      <c r="H430" s="320">
        <v>114000</v>
      </c>
      <c r="I430" s="321" t="b">
        <v>1</v>
      </c>
      <c r="J430" s="322">
        <v>2</v>
      </c>
      <c r="K430" s="323">
        <v>30300</v>
      </c>
      <c r="L430" s="324">
        <v>60600</v>
      </c>
      <c r="M430" s="325" t="s">
        <v>1567</v>
      </c>
    </row>
    <row r="431" spans="1:13" ht="13">
      <c r="A431" s="21" t="s">
        <v>623</v>
      </c>
      <c r="B431" s="61" t="s">
        <v>624</v>
      </c>
      <c r="C431" s="316" t="e">
        <f>VLOOKUP($A431,Master!$B$50:$N$232,8,FALSE)</f>
        <v>#N/A</v>
      </c>
      <c r="D431" s="316" t="e">
        <f>VLOOKUP($A431,Master!$B$50:$N$232,9,FALSE)</f>
        <v>#N/A</v>
      </c>
      <c r="E431" s="317" t="e">
        <f>VLOOKUP($A431,Master!$B$50:$N$232,11,FALSE)</f>
        <v>#N/A</v>
      </c>
      <c r="F431" s="318">
        <v>4</v>
      </c>
      <c r="G431" s="319" t="s">
        <v>143</v>
      </c>
      <c r="H431" s="320">
        <v>727716</v>
      </c>
      <c r="I431" s="321" t="b">
        <v>1</v>
      </c>
      <c r="J431" s="322">
        <v>4</v>
      </c>
      <c r="K431" s="326" t="e">
        <f>VLOOKUP($A431,Master!$B$50:$N$232,6,FALSE)</f>
        <v>#N/A</v>
      </c>
      <c r="L431" s="324">
        <v>762348</v>
      </c>
      <c r="M431" s="325"/>
    </row>
    <row r="432" spans="1:13" ht="13">
      <c r="A432" s="21" t="s">
        <v>704</v>
      </c>
      <c r="B432" s="61" t="s">
        <v>705</v>
      </c>
      <c r="C432" s="316" t="e">
        <f>VLOOKUP($A432,Master!$B$50:$N$232,8,FALSE)</f>
        <v>#N/A</v>
      </c>
      <c r="D432" s="316" t="e">
        <f>VLOOKUP($A432,Master!$B$50:$N$232,9,FALSE)</f>
        <v>#N/A</v>
      </c>
      <c r="E432" s="317" t="e">
        <f>VLOOKUP($A432,Master!$B$50:$N$232,11,FALSE)</f>
        <v>#N/A</v>
      </c>
      <c r="F432" s="318">
        <v>2</v>
      </c>
      <c r="G432" s="319" t="s">
        <v>143</v>
      </c>
      <c r="H432" s="320">
        <v>405594</v>
      </c>
      <c r="I432" s="321" t="b">
        <v>1</v>
      </c>
      <c r="J432" s="322">
        <v>2</v>
      </c>
      <c r="K432" s="323">
        <v>206700</v>
      </c>
      <c r="L432" s="324">
        <f>J432*K432</f>
        <v>413400</v>
      </c>
      <c r="M432" s="325"/>
    </row>
    <row r="433" spans="1:13" ht="13">
      <c r="A433" s="18" t="s">
        <v>776</v>
      </c>
      <c r="B433" s="328" t="s">
        <v>777</v>
      </c>
      <c r="C433" s="316" t="e">
        <f>VLOOKUP($A433,Master!$B$50:$N$232,8,FALSE)</f>
        <v>#N/A</v>
      </c>
      <c r="D433" s="316" t="e">
        <f>VLOOKUP($A433,Master!$B$50:$N$232,9,FALSE)</f>
        <v>#N/A</v>
      </c>
      <c r="E433" s="317" t="e">
        <f>VLOOKUP($A433,Master!$B$50:$N$232,11,FALSE)</f>
        <v>#N/A</v>
      </c>
      <c r="F433" s="318">
        <v>2</v>
      </c>
      <c r="G433" s="319" t="s">
        <v>62</v>
      </c>
      <c r="H433" s="320">
        <v>100000</v>
      </c>
      <c r="I433" s="321" t="b">
        <v>1</v>
      </c>
      <c r="J433" s="322">
        <v>2</v>
      </c>
      <c r="K433" s="326" t="e">
        <f>VLOOKUP($A433,Master!$B$50:$N$232,6,FALSE)</f>
        <v>#N/A</v>
      </c>
      <c r="L433" s="324">
        <v>53000</v>
      </c>
      <c r="M433" s="325"/>
    </row>
    <row r="434" spans="1:13" ht="13">
      <c r="A434" s="18" t="s">
        <v>779</v>
      </c>
      <c r="B434" s="328" t="s">
        <v>780</v>
      </c>
      <c r="C434" s="316" t="e">
        <f>VLOOKUP($A434,Master!$B$50:$N$232,8,FALSE)</f>
        <v>#N/A</v>
      </c>
      <c r="D434" s="316" t="e">
        <f>VLOOKUP($A434,Master!$B$50:$N$232,9,FALSE)</f>
        <v>#N/A</v>
      </c>
      <c r="E434" s="317" t="e">
        <f>VLOOKUP($A434,Master!$B$50:$N$232,11,FALSE)</f>
        <v>#N/A</v>
      </c>
      <c r="F434" s="318">
        <v>2</v>
      </c>
      <c r="G434" s="319" t="s">
        <v>62</v>
      </c>
      <c r="H434" s="320">
        <v>86000</v>
      </c>
      <c r="I434" s="321" t="b">
        <v>1</v>
      </c>
      <c r="J434" s="322">
        <v>3</v>
      </c>
      <c r="K434" s="326" t="e">
        <f>VLOOKUP($A434,Master!$B$50:$N$232,6,FALSE)</f>
        <v>#N/A</v>
      </c>
      <c r="L434" s="324">
        <v>127500</v>
      </c>
      <c r="M434" s="325" t="s">
        <v>1568</v>
      </c>
    </row>
    <row r="435" spans="1:13" ht="13">
      <c r="A435" s="18" t="s">
        <v>874</v>
      </c>
      <c r="B435" s="328" t="s">
        <v>875</v>
      </c>
      <c r="C435" s="316">
        <f>VLOOKUP($A435,Master!$B$50:$N$232,8,FALSE)</f>
        <v>10</v>
      </c>
      <c r="D435" s="316" t="str">
        <f>VLOOKUP($A435,Master!$B$50:$N$232,9,FALSE)</f>
        <v>pcs</v>
      </c>
      <c r="E435" s="317" t="str">
        <f>VLOOKUP($A435,Master!$B$50:$N$232,11,FALSE)</f>
        <v>RSB, Dago</v>
      </c>
      <c r="F435" s="318">
        <v>3</v>
      </c>
      <c r="G435" s="319" t="s">
        <v>62</v>
      </c>
      <c r="H435" s="320">
        <v>51000</v>
      </c>
      <c r="I435" s="321" t="b">
        <v>1</v>
      </c>
      <c r="J435" s="322">
        <v>2</v>
      </c>
      <c r="K435" s="326">
        <f>VLOOKUP($A435,Master!$B$50:$N$232,6,FALSE)</f>
        <v>21000</v>
      </c>
      <c r="L435" s="327">
        <f>J435*K435</f>
        <v>42000</v>
      </c>
      <c r="M435" s="325"/>
    </row>
    <row r="436" spans="1:13" ht="13">
      <c r="A436" s="18" t="s">
        <v>910</v>
      </c>
      <c r="B436" s="328" t="s">
        <v>911</v>
      </c>
      <c r="C436" s="316">
        <f>VLOOKUP($A436,Master!$B$50:$N$232,8,FALSE)</f>
        <v>10</v>
      </c>
      <c r="D436" s="316" t="str">
        <f>VLOOKUP($A436,Master!$B$50:$N$232,9,FALSE)</f>
        <v>pcs</v>
      </c>
      <c r="E436" s="317" t="str">
        <f>VLOOKUP($A436,Master!$B$50:$N$232,11,FALSE)</f>
        <v>Setiabudi Market</v>
      </c>
      <c r="F436" s="318">
        <v>2</v>
      </c>
      <c r="G436" s="319" t="s">
        <v>62</v>
      </c>
      <c r="H436" s="320">
        <v>33800</v>
      </c>
      <c r="I436" s="321" t="b">
        <v>1</v>
      </c>
      <c r="J436" s="322">
        <v>4</v>
      </c>
      <c r="K436" s="326">
        <f>VLOOKUP($A436,Master!$B$50:$N$232,6,FALSE)</f>
        <v>16900</v>
      </c>
      <c r="L436" s="324">
        <v>66924</v>
      </c>
      <c r="M436" s="325"/>
    </row>
    <row r="437" spans="1:13" ht="13">
      <c r="A437" s="21" t="s">
        <v>655</v>
      </c>
      <c r="B437" s="61" t="s">
        <v>656</v>
      </c>
      <c r="C437" s="316">
        <f>VLOOKUP($A437,Master!$B$50:$N$232,8,FALSE)</f>
        <v>1000</v>
      </c>
      <c r="D437" s="316" t="str">
        <f>VLOOKUP($A437,Master!$B$50:$N$232,9,FALSE)</f>
        <v>gr</v>
      </c>
      <c r="E437" s="317" t="str">
        <f>VLOOKUP($A437,Master!$B$50:$N$232,11,FALSE)</f>
        <v>Toko Lain</v>
      </c>
      <c r="F437" s="318">
        <v>3</v>
      </c>
      <c r="G437" s="319" t="s">
        <v>36</v>
      </c>
      <c r="H437" s="320">
        <v>150000</v>
      </c>
      <c r="I437" s="321" t="b">
        <v>1</v>
      </c>
      <c r="J437" s="322">
        <v>3</v>
      </c>
      <c r="K437" s="326">
        <f>VLOOKUP($A437,Master!$B$50:$N$232,6,FALSE)</f>
        <v>50000</v>
      </c>
      <c r="L437" s="327">
        <f>J437*K437</f>
        <v>150000</v>
      </c>
      <c r="M437" s="325"/>
    </row>
    <row r="438" spans="1:13" ht="13">
      <c r="A438" s="21" t="s">
        <v>1537</v>
      </c>
      <c r="B438" s="61" t="s">
        <v>701</v>
      </c>
      <c r="C438" s="316" t="e">
        <f>VLOOKUP($A438,Master!$B$50:$N$232,8,FALSE)</f>
        <v>#N/A</v>
      </c>
      <c r="D438" s="316" t="e">
        <f>VLOOKUP($A438,Master!$B$50:$N$232,9,FALSE)</f>
        <v>#N/A</v>
      </c>
      <c r="E438" s="317" t="e">
        <f>VLOOKUP($A438,Master!$B$50:$N$232,11,FALSE)</f>
        <v>#N/A</v>
      </c>
      <c r="F438" s="318">
        <v>4</v>
      </c>
      <c r="G438" s="319" t="s">
        <v>108</v>
      </c>
      <c r="H438" s="320">
        <v>88000</v>
      </c>
      <c r="I438" s="321" t="b">
        <v>1</v>
      </c>
      <c r="J438" s="322">
        <v>4</v>
      </c>
      <c r="K438" s="323" t="e">
        <f>VLOOKUP($A438,Master!$B$50:$N$232,6,FALSE)</f>
        <v>#N/A</v>
      </c>
      <c r="L438" s="324">
        <v>80000</v>
      </c>
      <c r="M438" s="325"/>
    </row>
    <row r="439" spans="1:13" ht="13">
      <c r="A439" s="21" t="s">
        <v>782</v>
      </c>
      <c r="B439" s="61" t="s">
        <v>783</v>
      </c>
      <c r="C439" s="316">
        <f>VLOOKUP($A439,Master!$B$50:$N$232,8,FALSE)</f>
        <v>500</v>
      </c>
      <c r="D439" s="316" t="str">
        <f>VLOOKUP($A439,Master!$B$50:$N$232,9,FALSE)</f>
        <v>gr</v>
      </c>
      <c r="E439" s="317" t="str">
        <f>VLOOKUP($A439,Master!$B$50:$N$232,11,FALSE)</f>
        <v>Toko Lain</v>
      </c>
      <c r="F439" s="318">
        <v>1</v>
      </c>
      <c r="G439" s="319" t="s">
        <v>62</v>
      </c>
      <c r="H439" s="320">
        <v>25000</v>
      </c>
      <c r="I439" s="321" t="b">
        <v>1</v>
      </c>
      <c r="J439" s="322">
        <v>1</v>
      </c>
      <c r="K439" s="326">
        <f>VLOOKUP($A439,Master!$B$50:$N$232,6,FALSE)</f>
        <v>25000</v>
      </c>
      <c r="L439" s="327">
        <f>J439*K439</f>
        <v>25000</v>
      </c>
      <c r="M439" s="325" t="s">
        <v>81</v>
      </c>
    </row>
    <row r="440" spans="1:13" ht="13">
      <c r="A440" s="22" t="s">
        <v>795</v>
      </c>
      <c r="B440" s="330" t="s">
        <v>796</v>
      </c>
      <c r="C440" s="316">
        <f>VLOOKUP($A440,Master!$B$50:$N$232,8,FALSE)</f>
        <v>10</v>
      </c>
      <c r="D440" s="316" t="str">
        <f>VLOOKUP($A440,Master!$B$50:$N$232,9,FALSE)</f>
        <v>unit</v>
      </c>
      <c r="E440" s="317" t="str">
        <f>VLOOKUP($A440,Master!$B$50:$N$232,11,FALSE)</f>
        <v>Toko Lain</v>
      </c>
      <c r="F440" s="318">
        <v>10</v>
      </c>
      <c r="G440" s="319" t="s">
        <v>62</v>
      </c>
      <c r="H440" s="320">
        <v>78000</v>
      </c>
      <c r="I440" s="321" t="b">
        <v>1</v>
      </c>
      <c r="J440" s="322">
        <v>10</v>
      </c>
      <c r="K440" s="326">
        <f>VLOOKUP($A440,Master!$B$50:$N$232,6,FALSE)</f>
        <v>8000</v>
      </c>
      <c r="L440" s="324">
        <v>70000</v>
      </c>
      <c r="M440" s="325"/>
    </row>
    <row r="441" spans="1:13" ht="13">
      <c r="A441" s="18" t="s">
        <v>958</v>
      </c>
      <c r="B441" s="328" t="s">
        <v>959</v>
      </c>
      <c r="C441" s="316" t="e">
        <f>VLOOKUP($A441,Master!$B$50:$N$232,8,FALSE)</f>
        <v>#N/A</v>
      </c>
      <c r="D441" s="316" t="e">
        <f>VLOOKUP($A441,Master!$B$50:$N$232,9,FALSE)</f>
        <v>#N/A</v>
      </c>
      <c r="E441" s="317" t="e">
        <f>VLOOKUP($A441,Master!$B$50:$N$232,11,FALSE)</f>
        <v>#N/A</v>
      </c>
      <c r="F441" s="318">
        <v>1</v>
      </c>
      <c r="G441" s="319" t="s">
        <v>97</v>
      </c>
      <c r="H441" s="320">
        <v>140200</v>
      </c>
      <c r="I441" s="321" t="b">
        <v>1</v>
      </c>
      <c r="J441" s="322">
        <v>1</v>
      </c>
      <c r="K441" s="326" t="e">
        <f>VLOOKUP($A441,Master!$B$50:$N$232,6,FALSE)</f>
        <v>#N/A</v>
      </c>
      <c r="L441" s="327" t="e">
        <f>J441*K441</f>
        <v>#N/A</v>
      </c>
      <c r="M441" s="325"/>
    </row>
    <row r="442" spans="1:13" ht="13">
      <c r="A442" s="21" t="s">
        <v>544</v>
      </c>
      <c r="B442" s="61" t="s">
        <v>545</v>
      </c>
      <c r="C442" s="316" t="e">
        <f>VLOOKUP($A442,Master!$B$50:$N$232,8,FALSE)</f>
        <v>#N/A</v>
      </c>
      <c r="D442" s="316" t="e">
        <f>VLOOKUP($A442,Master!$B$50:$N$232,9,FALSE)</f>
        <v>#N/A</v>
      </c>
      <c r="E442" s="317" t="e">
        <f>VLOOKUP($A442,Master!$B$50:$N$232,11,FALSE)</f>
        <v>#N/A</v>
      </c>
      <c r="F442" s="318">
        <v>2</v>
      </c>
      <c r="G442" s="319" t="s">
        <v>62</v>
      </c>
      <c r="H442" s="320">
        <v>51300</v>
      </c>
      <c r="I442" s="321" t="b">
        <v>1</v>
      </c>
      <c r="J442" s="322">
        <v>2</v>
      </c>
      <c r="K442" s="326" t="e">
        <f>VLOOKUP($A442,Master!$B$50:$N$232,6,FALSE)</f>
        <v>#N/A</v>
      </c>
      <c r="L442" s="324">
        <v>34372</v>
      </c>
      <c r="M442" s="325"/>
    </row>
    <row r="443" spans="1:13" ht="13">
      <c r="A443" s="21" t="s">
        <v>540</v>
      </c>
      <c r="B443" s="61" t="s">
        <v>541</v>
      </c>
      <c r="C443" s="316">
        <f>VLOOKUP($A443,Master!$B$50:$N$232,8,FALSE)</f>
        <v>1000</v>
      </c>
      <c r="D443" s="316" t="str">
        <f>VLOOKUP($A443,Master!$B$50:$N$232,9,FALSE)</f>
        <v>gr</v>
      </c>
      <c r="E443" s="317" t="str">
        <f>VLOOKUP($A443,Master!$B$50:$N$232,11,FALSE)</f>
        <v>Woodlane</v>
      </c>
      <c r="F443" s="318">
        <v>3</v>
      </c>
      <c r="G443" s="319" t="s">
        <v>36</v>
      </c>
      <c r="H443" s="320">
        <v>510000</v>
      </c>
      <c r="I443" s="321" t="b">
        <v>1</v>
      </c>
      <c r="J443" s="322">
        <v>3</v>
      </c>
      <c r="K443" s="326">
        <f>VLOOKUP($A443,Master!$B$50:$N$232,6,FALSE)</f>
        <v>170000</v>
      </c>
      <c r="L443" s="327">
        <f t="shared" ref="L443:L444" si="42">J443*K443</f>
        <v>510000</v>
      </c>
      <c r="M443" s="325"/>
    </row>
    <row r="444" spans="1:13" ht="13">
      <c r="A444" s="21" t="s">
        <v>590</v>
      </c>
      <c r="B444" s="61" t="s">
        <v>599</v>
      </c>
      <c r="C444" s="316">
        <f>VLOOKUP($A444,Master!$B$50:$N$232,8,FALSE)</f>
        <v>200</v>
      </c>
      <c r="D444" s="316" t="str">
        <f>VLOOKUP($A444,Master!$B$50:$N$232,9,FALSE)</f>
        <v>gr</v>
      </c>
      <c r="E444" s="317" t="str">
        <f>VLOOKUP($A444,Master!$B$50:$N$232,11,FALSE)</f>
        <v>Woodlane</v>
      </c>
      <c r="F444" s="318">
        <v>1</v>
      </c>
      <c r="G444" s="319" t="s">
        <v>62</v>
      </c>
      <c r="H444" s="320">
        <v>85000</v>
      </c>
      <c r="I444" s="321" t="b">
        <v>1</v>
      </c>
      <c r="J444" s="322">
        <v>1</v>
      </c>
      <c r="K444" s="326">
        <f>VLOOKUP($A444,Master!$B$50:$N$240,6,FALSE)</f>
        <v>85000</v>
      </c>
      <c r="L444" s="327">
        <f t="shared" si="42"/>
        <v>85000</v>
      </c>
      <c r="M444" s="325"/>
    </row>
    <row r="445" spans="1:13" ht="13">
      <c r="A445" s="21" t="s">
        <v>623</v>
      </c>
      <c r="B445" s="61" t="s">
        <v>624</v>
      </c>
      <c r="C445" s="316" t="e">
        <f>VLOOKUP($A445,Master!$B$50:$N$232,8,FALSE)</f>
        <v>#N/A</v>
      </c>
      <c r="D445" s="316" t="e">
        <f>VLOOKUP($A445,Master!$B$50:$N$232,9,FALSE)</f>
        <v>#N/A</v>
      </c>
      <c r="E445" s="317" t="e">
        <f>VLOOKUP($A445,Master!$B$50:$N$232,11,FALSE)</f>
        <v>#N/A</v>
      </c>
      <c r="F445" s="318">
        <v>4</v>
      </c>
      <c r="G445" s="319" t="s">
        <v>143</v>
      </c>
      <c r="H445" s="320">
        <v>727716</v>
      </c>
      <c r="I445" s="321" t="b">
        <v>1</v>
      </c>
      <c r="J445" s="322">
        <v>4</v>
      </c>
      <c r="K445" s="326" t="e">
        <f>VLOOKUP($A445,Master!$B$50:$N$232,6,FALSE)</f>
        <v>#N/A</v>
      </c>
      <c r="L445" s="324">
        <v>820000</v>
      </c>
      <c r="M445" s="325" t="s">
        <v>1569</v>
      </c>
    </row>
    <row r="447" spans="1:13" ht="13">
      <c r="F447" s="427">
        <v>44770</v>
      </c>
      <c r="G447" s="428"/>
      <c r="H447" s="424"/>
      <c r="J447" s="429">
        <f>F447+1</f>
        <v>44771</v>
      </c>
      <c r="K447" s="428"/>
      <c r="L447" s="424"/>
    </row>
    <row r="448" spans="1:13" ht="13">
      <c r="F448" s="425" t="s">
        <v>1490</v>
      </c>
      <c r="G448" s="426"/>
      <c r="H448" s="304">
        <f>SUM(H450:H622)</f>
        <v>1433494</v>
      </c>
      <c r="J448" s="425" t="s">
        <v>1491</v>
      </c>
      <c r="K448" s="426"/>
      <c r="L448" s="304" t="e">
        <f>SUM(L450:L622)</f>
        <v>#N/A</v>
      </c>
    </row>
    <row r="449" spans="1:13" ht="13">
      <c r="A449" s="2" t="s">
        <v>4</v>
      </c>
      <c r="B449" s="305" t="s">
        <v>5</v>
      </c>
      <c r="C449" s="305" t="s">
        <v>1492</v>
      </c>
      <c r="D449" s="305" t="s">
        <v>12</v>
      </c>
      <c r="E449" s="306" t="s">
        <v>1493</v>
      </c>
      <c r="F449" s="307" t="s">
        <v>1494</v>
      </c>
      <c r="G449" s="308" t="s">
        <v>10</v>
      </c>
      <c r="H449" s="309" t="s">
        <v>1495</v>
      </c>
      <c r="I449" s="310" t="s">
        <v>1289</v>
      </c>
      <c r="J449" s="311" t="s">
        <v>1496</v>
      </c>
      <c r="K449" s="312" t="s">
        <v>1497</v>
      </c>
      <c r="L449" s="313" t="s">
        <v>1498</v>
      </c>
      <c r="M449" s="314" t="s">
        <v>16</v>
      </c>
    </row>
    <row r="450" spans="1:13" ht="13">
      <c r="A450" s="21" t="s">
        <v>704</v>
      </c>
      <c r="B450" s="61" t="s">
        <v>705</v>
      </c>
      <c r="C450" s="316" t="e">
        <f>VLOOKUP($A450,Master!$B$50:$N$232,8,FALSE)</f>
        <v>#N/A</v>
      </c>
      <c r="D450" s="316" t="e">
        <f>VLOOKUP($A450,Master!$B$50:$N$232,9,FALSE)</f>
        <v>#N/A</v>
      </c>
      <c r="E450" s="317" t="e">
        <f>VLOOKUP($A450,Master!$B$50:$N$232,11,FALSE)</f>
        <v>#N/A</v>
      </c>
      <c r="F450" s="318">
        <v>2</v>
      </c>
      <c r="G450" s="319" t="s">
        <v>143</v>
      </c>
      <c r="H450" s="320">
        <v>405594</v>
      </c>
      <c r="I450" s="321" t="b">
        <v>1</v>
      </c>
      <c r="J450" s="322">
        <v>2</v>
      </c>
      <c r="K450" s="323">
        <v>206700</v>
      </c>
      <c r="L450" s="324">
        <v>413400</v>
      </c>
      <c r="M450" s="325"/>
    </row>
    <row r="451" spans="1:13" ht="13">
      <c r="A451" s="21" t="s">
        <v>627</v>
      </c>
      <c r="B451" s="61" t="s">
        <v>628</v>
      </c>
      <c r="C451" s="316">
        <f>VLOOKUP($A451,Master!$B$50:$N$232,8,FALSE)</f>
        <v>1000</v>
      </c>
      <c r="D451" s="316" t="str">
        <f>VLOOKUP($A451,Master!$B$50:$N$232,9,FALSE)</f>
        <v>gr</v>
      </c>
      <c r="E451" s="317" t="str">
        <f>VLOOKUP($A451,Master!$B$50:$N$232,11,FALSE)</f>
        <v>Borma</v>
      </c>
      <c r="F451" s="318">
        <v>1</v>
      </c>
      <c r="G451" s="319" t="s">
        <v>36</v>
      </c>
      <c r="H451" s="320">
        <v>31900</v>
      </c>
      <c r="I451" s="321" t="b">
        <v>0</v>
      </c>
      <c r="J451" s="322"/>
      <c r="K451" s="326">
        <f>VLOOKUP($A451,Master!$B$50:$N$232,6,FALSE)</f>
        <v>35550</v>
      </c>
      <c r="L451" s="327">
        <f>J451*K451</f>
        <v>0</v>
      </c>
      <c r="M451" s="325"/>
    </row>
    <row r="452" spans="1:13" ht="13">
      <c r="A452" s="21" t="s">
        <v>631</v>
      </c>
      <c r="B452" s="61" t="s">
        <v>632</v>
      </c>
      <c r="C452" s="316">
        <f>VLOOKUP($A452,Master!$B$50:$N$232,8,FALSE)</f>
        <v>1000</v>
      </c>
      <c r="D452" s="316" t="str">
        <f>VLOOKUP($A452,Master!$B$50:$N$232,9,FALSE)</f>
        <v>gr</v>
      </c>
      <c r="E452" s="317" t="str">
        <f>VLOOKUP($A452,Master!$B$50:$N$232,11,FALSE)</f>
        <v>Borma</v>
      </c>
      <c r="F452" s="318">
        <v>1</v>
      </c>
      <c r="G452" s="319" t="s">
        <v>36</v>
      </c>
      <c r="H452" s="320">
        <v>16000</v>
      </c>
      <c r="I452" s="321" t="b">
        <v>1</v>
      </c>
      <c r="J452" s="322">
        <v>1</v>
      </c>
      <c r="K452" s="326">
        <f>VLOOKUP($A452,Master!$B$50:$N$232,6,FALSE)</f>
        <v>18000</v>
      </c>
      <c r="L452" s="324">
        <v>15000</v>
      </c>
      <c r="M452" s="325"/>
    </row>
    <row r="453" spans="1:13" ht="13">
      <c r="A453" s="21" t="s">
        <v>651</v>
      </c>
      <c r="B453" s="61" t="s">
        <v>652</v>
      </c>
      <c r="C453" s="316">
        <f>VLOOKUP($A453,Master!$B$50:$N$232,8,FALSE)</f>
        <v>1000</v>
      </c>
      <c r="D453" s="316" t="str">
        <f>VLOOKUP($A453,Master!$B$50:$N$232,9,FALSE)</f>
        <v>gr</v>
      </c>
      <c r="E453" s="317" t="str">
        <f>VLOOKUP($A453,Master!$B$50:$N$232,11,FALSE)</f>
        <v>Eden Farm</v>
      </c>
      <c r="F453" s="318">
        <v>0.5</v>
      </c>
      <c r="G453" s="319" t="s">
        <v>36</v>
      </c>
      <c r="H453" s="320">
        <v>10200</v>
      </c>
      <c r="I453" s="321" t="b">
        <v>1</v>
      </c>
      <c r="J453" s="322">
        <v>1</v>
      </c>
      <c r="K453" s="326">
        <f>VLOOKUP($A453,Master!$B$50:$N$232,6,FALSE)</f>
        <v>18000</v>
      </c>
      <c r="L453" s="324">
        <v>6000</v>
      </c>
      <c r="M453" s="325" t="s">
        <v>287</v>
      </c>
    </row>
    <row r="454" spans="1:13" ht="13">
      <c r="A454" s="21" t="s">
        <v>712</v>
      </c>
      <c r="B454" s="61" t="s">
        <v>713</v>
      </c>
      <c r="C454" s="316">
        <f>VLOOKUP($A454,Master!$B$50:$N$232,8,FALSE)</f>
        <v>1000</v>
      </c>
      <c r="D454" s="316" t="str">
        <f>VLOOKUP($A454,Master!$B$50:$N$232,9,FALSE)</f>
        <v>gr</v>
      </c>
      <c r="E454" s="317" t="str">
        <f>VLOOKUP($A454,Master!$B$50:$N$232,11,FALSE)</f>
        <v>Eden Farm</v>
      </c>
      <c r="F454" s="318">
        <v>1</v>
      </c>
      <c r="G454" s="319" t="s">
        <v>36</v>
      </c>
      <c r="H454" s="320">
        <v>24200</v>
      </c>
      <c r="I454" s="321" t="b">
        <v>1</v>
      </c>
      <c r="J454" s="322">
        <v>1</v>
      </c>
      <c r="K454" s="326">
        <f>VLOOKUP($A454,Master!$B$50:$N$232,6,FALSE)</f>
        <v>40000</v>
      </c>
      <c r="L454" s="324">
        <v>30000</v>
      </c>
      <c r="M454" s="325" t="s">
        <v>287</v>
      </c>
    </row>
    <row r="455" spans="1:13" ht="13">
      <c r="A455" s="21" t="s">
        <v>716</v>
      </c>
      <c r="B455" s="61" t="s">
        <v>717</v>
      </c>
      <c r="C455" s="316">
        <f>VLOOKUP($A455,Master!$B$50:$N$232,8,FALSE)</f>
        <v>1000</v>
      </c>
      <c r="D455" s="316" t="str">
        <f>VLOOKUP($A455,Master!$B$50:$N$232,9,FALSE)</f>
        <v>gr</v>
      </c>
      <c r="E455" s="317" t="str">
        <f>VLOOKUP($A455,Master!$B$50:$N$232,11,FALSE)</f>
        <v>Eden Farm</v>
      </c>
      <c r="F455" s="318">
        <v>0.5</v>
      </c>
      <c r="G455" s="319" t="s">
        <v>36</v>
      </c>
      <c r="H455" s="320">
        <v>41700</v>
      </c>
      <c r="I455" s="321" t="b">
        <v>1</v>
      </c>
      <c r="J455" s="322">
        <v>0.5</v>
      </c>
      <c r="K455" s="326">
        <f>VLOOKUP($A455,Master!$B$50:$N$232,6,FALSE)</f>
        <v>45000</v>
      </c>
      <c r="L455" s="324">
        <v>22000</v>
      </c>
      <c r="M455" s="325" t="s">
        <v>287</v>
      </c>
    </row>
    <row r="456" spans="1:13" ht="13">
      <c r="A456" s="21" t="s">
        <v>732</v>
      </c>
      <c r="B456" s="61" t="s">
        <v>733</v>
      </c>
      <c r="C456" s="316">
        <f>VLOOKUP($A456,Master!$B$50:$N$232,8,FALSE)</f>
        <v>1000</v>
      </c>
      <c r="D456" s="316" t="str">
        <f>VLOOKUP($A456,Master!$B$50:$N$232,9,FALSE)</f>
        <v>gr</v>
      </c>
      <c r="E456" s="317" t="str">
        <f>VLOOKUP($A456,Master!$B$50:$N$232,11,FALSE)</f>
        <v>Eden Farm</v>
      </c>
      <c r="F456" s="318">
        <v>1</v>
      </c>
      <c r="G456" s="319" t="s">
        <v>36</v>
      </c>
      <c r="H456" s="320">
        <v>19900</v>
      </c>
      <c r="I456" s="321" t="b">
        <v>1</v>
      </c>
      <c r="J456" s="322">
        <v>1</v>
      </c>
      <c r="K456" s="326">
        <f>VLOOKUP($A456,Master!$B$50:$N$232,6,FALSE)</f>
        <v>40000</v>
      </c>
      <c r="L456" s="324">
        <v>30000</v>
      </c>
      <c r="M456" s="325" t="s">
        <v>287</v>
      </c>
    </row>
    <row r="457" spans="1:13" ht="13">
      <c r="A457" s="21" t="s">
        <v>1020</v>
      </c>
      <c r="B457" s="61" t="s">
        <v>1021</v>
      </c>
      <c r="C457" s="316">
        <f>VLOOKUP($A457,Master!$B$50:$N$232,8,FALSE)</f>
        <v>1000</v>
      </c>
      <c r="D457" s="316" t="str">
        <f>VLOOKUP($A457,Master!$B$50:$N$232,9,FALSE)</f>
        <v>gr</v>
      </c>
      <c r="E457" s="317" t="str">
        <f>VLOOKUP($A457,Master!$B$50:$N$232,11,FALSE)</f>
        <v>Eden Farm</v>
      </c>
      <c r="F457" s="318">
        <v>0.5</v>
      </c>
      <c r="G457" s="319" t="s">
        <v>36</v>
      </c>
      <c r="H457" s="320">
        <v>21800</v>
      </c>
      <c r="I457" s="321" t="b">
        <v>1</v>
      </c>
      <c r="J457" s="322">
        <v>0.5</v>
      </c>
      <c r="K457" s="326">
        <f>VLOOKUP($A457,Master!$B$50:$N$232,6,FALSE)</f>
        <v>24000</v>
      </c>
      <c r="L457" s="324">
        <v>10000</v>
      </c>
      <c r="M457" s="325" t="s">
        <v>287</v>
      </c>
    </row>
    <row r="458" spans="1:13" ht="13">
      <c r="A458" s="21" t="s">
        <v>760</v>
      </c>
      <c r="B458" s="61" t="s">
        <v>761</v>
      </c>
      <c r="C458" s="316">
        <f>VLOOKUP($A458,Master!$B$50:$N$232,8,FALSE)</f>
        <v>25000</v>
      </c>
      <c r="D458" s="316" t="str">
        <f>VLOOKUP($A458,Master!$B$50:$N$232,9,FALSE)</f>
        <v>gr</v>
      </c>
      <c r="E458" s="317" t="str">
        <f>VLOOKUP($A458,Master!$B$50:$N$232,11,FALSE)</f>
        <v>Feri Supriadi (Telur , Beras , Minyak )</v>
      </c>
      <c r="F458" s="318">
        <v>15</v>
      </c>
      <c r="G458" s="319" t="s">
        <v>36</v>
      </c>
      <c r="H458" s="320">
        <v>174000</v>
      </c>
      <c r="I458" s="321" t="b">
        <v>1</v>
      </c>
      <c r="J458" s="322">
        <v>15</v>
      </c>
      <c r="K458" s="326">
        <f>VLOOKUP($A458,Master!$B$50:$N$232,6,FALSE)</f>
        <v>364000</v>
      </c>
      <c r="L458" s="324">
        <v>180000</v>
      </c>
      <c r="M458" s="325"/>
    </row>
    <row r="459" spans="1:13" ht="13">
      <c r="A459" s="22" t="s">
        <v>675</v>
      </c>
      <c r="B459" s="330" t="s">
        <v>676</v>
      </c>
      <c r="C459" s="316">
        <f>VLOOKUP($A459,Master!$B$50:$N$232,8,FALSE)</f>
        <v>20</v>
      </c>
      <c r="D459" s="316" t="str">
        <f>VLOOKUP($A459,Master!$B$50:$N$232,9,FALSE)</f>
        <v>unit</v>
      </c>
      <c r="E459" s="317" t="str">
        <f>VLOOKUP($A459,Master!$B$50:$N$232,11,FALSE)</f>
        <v>RSB, Dago</v>
      </c>
      <c r="F459" s="318">
        <v>15</v>
      </c>
      <c r="G459" s="319" t="s">
        <v>62</v>
      </c>
      <c r="H459" s="320">
        <v>90000</v>
      </c>
      <c r="I459" s="321" t="b">
        <v>1</v>
      </c>
      <c r="J459" s="322">
        <v>15</v>
      </c>
      <c r="K459" s="326">
        <f>VLOOKUP($A459,Master!$B$50:$N$232,6,FALSE)</f>
        <v>13500</v>
      </c>
      <c r="L459" s="327">
        <f t="shared" ref="L459:L461" si="43">J459*K459</f>
        <v>202500</v>
      </c>
      <c r="M459" s="325"/>
    </row>
    <row r="460" spans="1:13" ht="13">
      <c r="A460" s="21" t="s">
        <v>528</v>
      </c>
      <c r="B460" s="61" t="s">
        <v>529</v>
      </c>
      <c r="C460" s="316" t="e">
        <f>VLOOKUP($A460,Master!$B$50:$N$232,8,FALSE)</f>
        <v>#N/A</v>
      </c>
      <c r="D460" s="316" t="e">
        <f>VLOOKUP($A460,Master!$B$50:$N$232,9,FALSE)</f>
        <v>#N/A</v>
      </c>
      <c r="E460" s="317" t="e">
        <f>VLOOKUP($A460,Master!$B$50:$N$232,11,FALSE)</f>
        <v>#N/A</v>
      </c>
      <c r="F460" s="318">
        <v>2</v>
      </c>
      <c r="G460" s="319" t="s">
        <v>50</v>
      </c>
      <c r="H460" s="320">
        <v>32000</v>
      </c>
      <c r="I460" s="321" t="b">
        <v>1</v>
      </c>
      <c r="J460" s="322">
        <v>2</v>
      </c>
      <c r="K460" s="326" t="e">
        <f>VLOOKUP($A460,Master!$B$50:$N$232,6,FALSE)</f>
        <v>#N/A</v>
      </c>
      <c r="L460" s="327" t="e">
        <f t="shared" si="43"/>
        <v>#N/A</v>
      </c>
      <c r="M460" s="325"/>
    </row>
    <row r="461" spans="1:13" ht="13">
      <c r="A461" s="21" t="s">
        <v>635</v>
      </c>
      <c r="B461" s="61" t="s">
        <v>636</v>
      </c>
      <c r="C461" s="316" t="e">
        <f>VLOOKUP($A461,Master!$B$50:$N$232,8,FALSE)</f>
        <v>#N/A</v>
      </c>
      <c r="D461" s="316" t="e">
        <f>VLOOKUP($A461,Master!$B$50:$N$232,9,FALSE)</f>
        <v>#N/A</v>
      </c>
      <c r="E461" s="317" t="e">
        <f>VLOOKUP($A461,Master!$B$50:$N$232,11,FALSE)</f>
        <v>#N/A</v>
      </c>
      <c r="F461" s="318">
        <v>4</v>
      </c>
      <c r="G461" s="319" t="s">
        <v>50</v>
      </c>
      <c r="H461" s="320">
        <v>44000</v>
      </c>
      <c r="I461" s="321" t="b">
        <v>1</v>
      </c>
      <c r="J461" s="322">
        <v>4</v>
      </c>
      <c r="K461" s="326" t="e">
        <f>VLOOKUP($A461,Master!$B$50:$N$232,6,FALSE)</f>
        <v>#N/A</v>
      </c>
      <c r="L461" s="327" t="e">
        <f t="shared" si="43"/>
        <v>#N/A</v>
      </c>
      <c r="M461" s="325"/>
    </row>
    <row r="462" spans="1:13" ht="13">
      <c r="A462" s="21" t="s">
        <v>708</v>
      </c>
      <c r="B462" s="61" t="s">
        <v>709</v>
      </c>
      <c r="C462" s="316" t="e">
        <f>VLOOKUP($A462,Master!$B$50:$N$232,8,FALSE)</f>
        <v>#N/A</v>
      </c>
      <c r="D462" s="316" t="e">
        <f>VLOOKUP($A462,Master!$B$50:$N$232,9,FALSE)</f>
        <v>#N/A</v>
      </c>
      <c r="E462" s="317" t="e">
        <f>VLOOKUP($A462,Master!$B$50:$N$232,11,FALSE)</f>
        <v>#N/A</v>
      </c>
      <c r="F462" s="318">
        <v>1</v>
      </c>
      <c r="G462" s="319" t="s">
        <v>143</v>
      </c>
      <c r="H462" s="320">
        <v>365000</v>
      </c>
      <c r="I462" s="321" t="b">
        <v>1</v>
      </c>
      <c r="J462" s="322">
        <v>1</v>
      </c>
      <c r="K462" s="326" t="e">
        <f>VLOOKUP($A462,Master!$B$50:$N$232,6,FALSE)</f>
        <v>#N/A</v>
      </c>
      <c r="L462" s="324">
        <v>285000</v>
      </c>
      <c r="M462" s="325"/>
    </row>
    <row r="463" spans="1:13" ht="13">
      <c r="A463" s="21" t="s">
        <v>752</v>
      </c>
      <c r="B463" s="61" t="s">
        <v>753</v>
      </c>
      <c r="C463" s="316" t="e">
        <f>VLOOKUP($A463,Master!$B$50:$N$232,8,FALSE)</f>
        <v>#N/A</v>
      </c>
      <c r="D463" s="316" t="e">
        <f>VLOOKUP($A463,Master!$B$50:$N$232,9,FALSE)</f>
        <v>#N/A</v>
      </c>
      <c r="E463" s="317" t="e">
        <f>VLOOKUP($A463,Master!$B$50:$N$232,11,FALSE)</f>
        <v>#N/A</v>
      </c>
      <c r="F463" s="318">
        <v>1</v>
      </c>
      <c r="G463" s="319" t="s">
        <v>62</v>
      </c>
      <c r="H463" s="320">
        <v>38000</v>
      </c>
      <c r="I463" s="321" t="b">
        <v>1</v>
      </c>
      <c r="J463" s="322">
        <v>1</v>
      </c>
      <c r="K463" s="326" t="e">
        <f>VLOOKUP($A463,Master!$B$50:$N$232,6,FALSE)</f>
        <v>#N/A</v>
      </c>
      <c r="L463" s="327" t="e">
        <f t="shared" ref="L463:L467" si="44">J463*K463</f>
        <v>#N/A</v>
      </c>
      <c r="M463" s="325"/>
    </row>
    <row r="464" spans="1:13" ht="13">
      <c r="A464" s="21" t="s">
        <v>773</v>
      </c>
      <c r="B464" s="61" t="s">
        <v>774</v>
      </c>
      <c r="C464" s="316" t="e">
        <f>VLOOKUP($A464,Master!$B$50:$N$232,8,FALSE)</f>
        <v>#N/A</v>
      </c>
      <c r="D464" s="316" t="e">
        <f>VLOOKUP($A464,Master!$B$50:$N$232,9,FALSE)</f>
        <v>#N/A</v>
      </c>
      <c r="E464" s="317" t="e">
        <f>VLOOKUP($A464,Master!$B$50:$N$232,11,FALSE)</f>
        <v>#N/A</v>
      </c>
      <c r="F464" s="318">
        <v>2</v>
      </c>
      <c r="G464" s="319" t="s">
        <v>62</v>
      </c>
      <c r="H464" s="320">
        <v>28000</v>
      </c>
      <c r="I464" s="321" t="b">
        <v>1</v>
      </c>
      <c r="J464" s="322">
        <v>2</v>
      </c>
      <c r="K464" s="326" t="e">
        <f>VLOOKUP($A464,Master!$B$50:$N$232,6,FALSE)</f>
        <v>#N/A</v>
      </c>
      <c r="L464" s="327" t="e">
        <f t="shared" si="44"/>
        <v>#N/A</v>
      </c>
      <c r="M464" s="325"/>
    </row>
    <row r="465" spans="1:13" ht="13">
      <c r="A465" s="21" t="s">
        <v>934</v>
      </c>
      <c r="B465" s="61" t="s">
        <v>935</v>
      </c>
      <c r="C465" s="316" t="e">
        <f>VLOOKUP($A465,Master!$B$50:$N$232,8,FALSE)</f>
        <v>#N/A</v>
      </c>
      <c r="D465" s="316" t="e">
        <f>VLOOKUP($A465,Master!$B$50:$N$232,9,FALSE)</f>
        <v>#N/A</v>
      </c>
      <c r="E465" s="317" t="e">
        <f>VLOOKUP($A465,Master!$B$50:$N$232,11,FALSE)</f>
        <v>#N/A</v>
      </c>
      <c r="F465" s="318">
        <v>2</v>
      </c>
      <c r="G465" s="319" t="s">
        <v>62</v>
      </c>
      <c r="H465" s="320">
        <v>15800</v>
      </c>
      <c r="I465" s="321" t="b">
        <v>1</v>
      </c>
      <c r="J465" s="322">
        <v>2</v>
      </c>
      <c r="K465" s="326" t="e">
        <f>VLOOKUP($A465,Master!$B$50:$N$232,6,FALSE)</f>
        <v>#N/A</v>
      </c>
      <c r="L465" s="327" t="e">
        <f t="shared" si="44"/>
        <v>#N/A</v>
      </c>
      <c r="M465" s="325"/>
    </row>
    <row r="466" spans="1:13" ht="13">
      <c r="A466" s="21" t="s">
        <v>782</v>
      </c>
      <c r="B466" s="61" t="s">
        <v>783</v>
      </c>
      <c r="C466" s="316">
        <f>VLOOKUP($A466,Master!$B$50:$N$232,8,FALSE)</f>
        <v>500</v>
      </c>
      <c r="D466" s="316" t="str">
        <f>VLOOKUP($A466,Master!$B$50:$N$232,9,FALSE)</f>
        <v>gr</v>
      </c>
      <c r="E466" s="317" t="str">
        <f>VLOOKUP($A466,Master!$B$50:$N$232,11,FALSE)</f>
        <v>Toko Lain</v>
      </c>
      <c r="F466" s="318">
        <v>1</v>
      </c>
      <c r="G466" s="319" t="s">
        <v>62</v>
      </c>
      <c r="H466" s="320">
        <v>25000</v>
      </c>
      <c r="I466" s="321" t="b">
        <v>1</v>
      </c>
      <c r="J466" s="322">
        <v>1</v>
      </c>
      <c r="K466" s="326">
        <f>VLOOKUP($A466,Master!$B$50:$N$232,6,FALSE)</f>
        <v>25000</v>
      </c>
      <c r="L466" s="327">
        <f t="shared" si="44"/>
        <v>25000</v>
      </c>
      <c r="M466" s="325"/>
    </row>
    <row r="467" spans="1:13" ht="13">
      <c r="A467" s="21" t="s">
        <v>524</v>
      </c>
      <c r="B467" s="61" t="s">
        <v>525</v>
      </c>
      <c r="C467" s="316" t="e">
        <f>VLOOKUP($A467,Master!$B$50:$N$232,8,FALSE)</f>
        <v>#N/A</v>
      </c>
      <c r="D467" s="316" t="e">
        <f>VLOOKUP($A467,Master!$B$50:$N$232,9,FALSE)</f>
        <v>#N/A</v>
      </c>
      <c r="E467" s="317" t="e">
        <f>VLOOKUP($A467,Master!$B$50:$N$232,11,FALSE)</f>
        <v>#N/A</v>
      </c>
      <c r="F467" s="318">
        <v>4</v>
      </c>
      <c r="G467" s="319" t="s">
        <v>108</v>
      </c>
      <c r="H467" s="320">
        <v>50400</v>
      </c>
      <c r="I467" s="321" t="b">
        <v>1</v>
      </c>
      <c r="J467" s="322">
        <v>4</v>
      </c>
      <c r="K467" s="326" t="e">
        <f>VLOOKUP($A467,Master!$B$50:$N$232,6,FALSE)</f>
        <v>#N/A</v>
      </c>
      <c r="L467" s="327" t="e">
        <f t="shared" si="44"/>
        <v>#N/A</v>
      </c>
      <c r="M467" s="325"/>
    </row>
  </sheetData>
  <mergeCells count="40">
    <mergeCell ref="F5:H5"/>
    <mergeCell ref="J5:L5"/>
    <mergeCell ref="F6:G6"/>
    <mergeCell ref="J6:K6"/>
    <mergeCell ref="F72:H72"/>
    <mergeCell ref="J72:L72"/>
    <mergeCell ref="J73:K73"/>
    <mergeCell ref="J166:L166"/>
    <mergeCell ref="J167:K167"/>
    <mergeCell ref="F73:G73"/>
    <mergeCell ref="F140:H140"/>
    <mergeCell ref="J140:L140"/>
    <mergeCell ref="F141:G141"/>
    <mergeCell ref="J141:K141"/>
    <mergeCell ref="F166:H166"/>
    <mergeCell ref="F167:G167"/>
    <mergeCell ref="F230:H230"/>
    <mergeCell ref="J230:L230"/>
    <mergeCell ref="F231:G231"/>
    <mergeCell ref="J231:K231"/>
    <mergeCell ref="F275:H275"/>
    <mergeCell ref="J275:L275"/>
    <mergeCell ref="J276:K276"/>
    <mergeCell ref="J345:L345"/>
    <mergeCell ref="J346:K346"/>
    <mergeCell ref="F394:H394"/>
    <mergeCell ref="J394:L394"/>
    <mergeCell ref="F276:G276"/>
    <mergeCell ref="F281:H281"/>
    <mergeCell ref="J281:L281"/>
    <mergeCell ref="F282:G282"/>
    <mergeCell ref="J282:K282"/>
    <mergeCell ref="F345:H345"/>
    <mergeCell ref="F346:G346"/>
    <mergeCell ref="F395:G395"/>
    <mergeCell ref="J395:K395"/>
    <mergeCell ref="F447:H447"/>
    <mergeCell ref="J447:L447"/>
    <mergeCell ref="F448:G448"/>
    <mergeCell ref="J448:K44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M428"/>
  <sheetViews>
    <sheetView workbookViewId="0"/>
  </sheetViews>
  <sheetFormatPr baseColWidth="10" defaultColWidth="12.6640625" defaultRowHeight="15.75" customHeight="1"/>
  <cols>
    <col min="1" max="1" width="27.83203125" customWidth="1"/>
    <col min="2" max="3" width="5.6640625" customWidth="1"/>
    <col min="4" max="4" width="4.6640625" customWidth="1"/>
    <col min="5" max="5" width="12.83203125" customWidth="1"/>
    <col min="6" max="6" width="4.33203125" customWidth="1"/>
    <col min="7" max="7" width="8.83203125" customWidth="1"/>
    <col min="8" max="8" width="10.1640625" customWidth="1"/>
    <col min="9" max="9" width="7.83203125" customWidth="1"/>
    <col min="10" max="10" width="4.83203125" customWidth="1"/>
    <col min="11" max="11" width="9.83203125" customWidth="1"/>
    <col min="12" max="12" width="10.6640625" customWidth="1"/>
    <col min="13" max="13" width="17.1640625" customWidth="1"/>
  </cols>
  <sheetData>
    <row r="1" spans="1:13" ht="15.75" customHeight="1">
      <c r="A1" s="303" t="s">
        <v>1570</v>
      </c>
      <c r="B1" s="349" t="s">
        <v>1571</v>
      </c>
    </row>
    <row r="2" spans="1:13" ht="15.75" customHeight="1">
      <c r="A2" s="303" t="s">
        <v>2</v>
      </c>
    </row>
    <row r="5" spans="1:13" ht="15.75" customHeight="1">
      <c r="F5" s="427">
        <v>44715</v>
      </c>
      <c r="G5" s="428"/>
      <c r="H5" s="424"/>
      <c r="J5" s="429">
        <f>F5+1</f>
        <v>44716</v>
      </c>
      <c r="K5" s="428"/>
      <c r="L5" s="424"/>
    </row>
    <row r="6" spans="1:13" ht="15.75" customHeight="1">
      <c r="F6" s="425" t="s">
        <v>1490</v>
      </c>
      <c r="G6" s="426"/>
      <c r="H6" s="304">
        <f>SUM(H8:H149)</f>
        <v>866991000</v>
      </c>
      <c r="J6" s="425" t="s">
        <v>1491</v>
      </c>
      <c r="K6" s="426"/>
      <c r="L6" s="304" t="e">
        <f>SUM(L8:L149)</f>
        <v>#N/A</v>
      </c>
    </row>
    <row r="7" spans="1:13" ht="15.75" customHeight="1">
      <c r="A7" s="2" t="s">
        <v>4</v>
      </c>
      <c r="B7" s="305" t="s">
        <v>5</v>
      </c>
      <c r="C7" s="305" t="s">
        <v>1492</v>
      </c>
      <c r="D7" s="305" t="s">
        <v>12</v>
      </c>
      <c r="E7" s="306" t="s">
        <v>1493</v>
      </c>
      <c r="F7" s="307" t="s">
        <v>1494</v>
      </c>
      <c r="G7" s="308" t="s">
        <v>10</v>
      </c>
      <c r="H7" s="309" t="s">
        <v>1495</v>
      </c>
      <c r="I7" s="310" t="s">
        <v>1289</v>
      </c>
      <c r="J7" s="311" t="s">
        <v>1496</v>
      </c>
      <c r="K7" s="312" t="s">
        <v>1497</v>
      </c>
      <c r="L7" s="313" t="s">
        <v>1498</v>
      </c>
      <c r="M7" s="314" t="s">
        <v>16</v>
      </c>
    </row>
    <row r="8" spans="1:13" ht="15.75" customHeight="1">
      <c r="A8" s="4" t="s">
        <v>979</v>
      </c>
      <c r="B8" s="316" t="str">
        <f>VLOOKUP($A8,Master!$B$50:$N$232,2,FALSE)</f>
        <v>B129</v>
      </c>
      <c r="C8" s="316">
        <f>VLOOKUP($A8,Master!$B$50:$N$232,8,FALSE)</f>
        <v>100</v>
      </c>
      <c r="D8" s="316" t="str">
        <f>VLOOKUP($A8,Master!$B$50:$N$232,9,FALSE)</f>
        <v>pcs</v>
      </c>
      <c r="E8" s="317" t="str">
        <f>VLOOKUP($A8,Master!$B$50:$N$232,11,FALSE)</f>
        <v>Ade Widya Plastik Cikutra</v>
      </c>
      <c r="F8" s="318">
        <v>1</v>
      </c>
      <c r="G8" s="354" t="s">
        <v>62</v>
      </c>
      <c r="H8" s="320">
        <v>3600</v>
      </c>
      <c r="I8" s="321" t="b">
        <v>1</v>
      </c>
      <c r="J8" s="322">
        <v>1</v>
      </c>
      <c r="K8" s="323">
        <v>14000</v>
      </c>
      <c r="L8" s="324">
        <f t="shared" ref="L8:L55" si="0">J8*K8</f>
        <v>14000</v>
      </c>
      <c r="M8" s="325" t="s">
        <v>1572</v>
      </c>
    </row>
    <row r="9" spans="1:13" ht="15.75" customHeight="1">
      <c r="A9" s="18" t="s">
        <v>1046</v>
      </c>
      <c r="B9" s="316" t="e">
        <f>VLOOKUP($A9,Master!$B$50:$N$232,2,FALSE)</f>
        <v>#N/A</v>
      </c>
      <c r="C9" s="316" t="e">
        <f>VLOOKUP($A9,Master!$B$50:$N$232,8,FALSE)</f>
        <v>#N/A</v>
      </c>
      <c r="D9" s="316" t="e">
        <f>VLOOKUP($A9,Master!$B$50:$N$232,9,FALSE)</f>
        <v>#N/A</v>
      </c>
      <c r="E9" s="317" t="e">
        <f>VLOOKUP($A9,Master!$B$50:$N$232,11,FALSE)</f>
        <v>#N/A</v>
      </c>
      <c r="F9" s="318">
        <v>1</v>
      </c>
      <c r="G9" s="354" t="s">
        <v>62</v>
      </c>
      <c r="H9" s="320">
        <v>18000</v>
      </c>
      <c r="I9" s="321" t="b">
        <v>1</v>
      </c>
      <c r="J9" s="322">
        <v>1</v>
      </c>
      <c r="K9" s="323">
        <v>24000</v>
      </c>
      <c r="L9" s="324">
        <f t="shared" si="0"/>
        <v>24000</v>
      </c>
      <c r="M9" s="325"/>
    </row>
    <row r="10" spans="1:13" ht="15.75" customHeight="1">
      <c r="A10" s="18" t="s">
        <v>1096</v>
      </c>
      <c r="B10" s="316" t="e">
        <f>VLOOKUP($A10,Master!$B$50:$N$232,2,FALSE)</f>
        <v>#N/A</v>
      </c>
      <c r="C10" s="316" t="e">
        <f>VLOOKUP($A10,Master!$B$50:$N$232,8,FALSE)</f>
        <v>#N/A</v>
      </c>
      <c r="D10" s="316" t="e">
        <f>VLOOKUP($A10,Master!$B$50:$N$232,9,FALSE)</f>
        <v>#N/A</v>
      </c>
      <c r="E10" s="317" t="e">
        <f>VLOOKUP($A10,Master!$B$50:$N$232,11,FALSE)</f>
        <v>#N/A</v>
      </c>
      <c r="F10" s="318">
        <v>2</v>
      </c>
      <c r="G10" s="354" t="s">
        <v>62</v>
      </c>
      <c r="H10" s="320">
        <v>9400</v>
      </c>
      <c r="I10" s="321" t="b">
        <v>1</v>
      </c>
      <c r="J10" s="322">
        <v>2</v>
      </c>
      <c r="K10" s="323">
        <v>9200</v>
      </c>
      <c r="L10" s="324">
        <f t="shared" si="0"/>
        <v>18400</v>
      </c>
      <c r="M10" s="325"/>
    </row>
    <row r="11" spans="1:13" ht="15.75" customHeight="1">
      <c r="A11" s="18" t="s">
        <v>586</v>
      </c>
      <c r="B11" s="316" t="str">
        <f>VLOOKUP($A11,Master!$B$50:$N$232,2,FALSE)</f>
        <v>B018</v>
      </c>
      <c r="C11" s="316">
        <f>VLOOKUP($A11,Master!$B$50:$N$232,8,FALSE)</f>
        <v>20</v>
      </c>
      <c r="D11" s="316" t="str">
        <f>VLOOKUP($A11,Master!$B$50:$N$232,9,FALSE)</f>
        <v>pcs</v>
      </c>
      <c r="E11" s="317" t="str">
        <f>VLOOKUP($A11,Master!$B$50:$N$232,11,FALSE)</f>
        <v>Kurnia Mas</v>
      </c>
      <c r="F11" s="318">
        <v>2</v>
      </c>
      <c r="G11" s="354" t="s">
        <v>62</v>
      </c>
      <c r="H11" s="320">
        <v>14600</v>
      </c>
      <c r="I11" s="321" t="b">
        <v>1</v>
      </c>
      <c r="J11" s="322">
        <v>2</v>
      </c>
      <c r="K11" s="326">
        <f>VLOOKUP($A11,Master!$B$50:$N$232,6,FALSE)</f>
        <v>8500</v>
      </c>
      <c r="L11" s="327">
        <f t="shared" si="0"/>
        <v>17000</v>
      </c>
      <c r="M11" s="325"/>
    </row>
    <row r="12" spans="1:13" ht="15.75" customHeight="1">
      <c r="A12" s="18" t="s">
        <v>803</v>
      </c>
      <c r="B12" s="316" t="e">
        <f>VLOOKUP($A12,Master!$B$50:$N$232,2,FALSE)</f>
        <v>#N/A</v>
      </c>
      <c r="C12" s="316" t="e">
        <f>VLOOKUP($A12,Master!$B$50:$N$232,8,FALSE)</f>
        <v>#N/A</v>
      </c>
      <c r="D12" s="316" t="e">
        <f>VLOOKUP($A12,Master!$B$50:$N$232,9,FALSE)</f>
        <v>#N/A</v>
      </c>
      <c r="E12" s="317" t="e">
        <f>VLOOKUP($A12,Master!$B$50:$N$232,11,FALSE)</f>
        <v>#N/A</v>
      </c>
      <c r="F12" s="318">
        <v>1</v>
      </c>
      <c r="G12" s="354" t="s">
        <v>97</v>
      </c>
      <c r="H12" s="320">
        <v>6000</v>
      </c>
      <c r="I12" s="321" t="b">
        <v>1</v>
      </c>
      <c r="J12" s="322">
        <v>1</v>
      </c>
      <c r="K12" s="323">
        <v>6700</v>
      </c>
      <c r="L12" s="324">
        <f t="shared" si="0"/>
        <v>6700</v>
      </c>
      <c r="M12" s="325"/>
    </row>
    <row r="13" spans="1:13" ht="15.75" customHeight="1">
      <c r="A13" s="18" t="s">
        <v>1041</v>
      </c>
      <c r="B13" s="316" t="e">
        <f>VLOOKUP($A13,Master!$B$50:$N$232,2,FALSE)</f>
        <v>#N/A</v>
      </c>
      <c r="C13" s="316" t="e">
        <f>VLOOKUP($A13,Master!$B$50:$N$232,8,FALSE)</f>
        <v>#N/A</v>
      </c>
      <c r="D13" s="316" t="e">
        <f>VLOOKUP($A13,Master!$B$50:$N$232,9,FALSE)</f>
        <v>#N/A</v>
      </c>
      <c r="E13" s="317" t="e">
        <f>VLOOKUP($A13,Master!$B$50:$N$232,11,FALSE)</f>
        <v>#N/A</v>
      </c>
      <c r="F13" s="318">
        <v>1</v>
      </c>
      <c r="G13" s="354" t="s">
        <v>62</v>
      </c>
      <c r="H13" s="320">
        <v>12800</v>
      </c>
      <c r="I13" s="321" t="b">
        <v>1</v>
      </c>
      <c r="J13" s="322">
        <v>1</v>
      </c>
      <c r="K13" s="323">
        <v>17800</v>
      </c>
      <c r="L13" s="324">
        <f t="shared" si="0"/>
        <v>17800</v>
      </c>
      <c r="M13" s="325"/>
    </row>
    <row r="14" spans="1:13" ht="15.75" customHeight="1">
      <c r="A14" s="18" t="s">
        <v>524</v>
      </c>
      <c r="B14" s="316" t="e">
        <f>VLOOKUP($A14,Master!$B$50:$N$232,2,FALSE)</f>
        <v>#N/A</v>
      </c>
      <c r="C14" s="316" t="e">
        <f>VLOOKUP($A14,Master!$B$50:$N$232,8,FALSE)</f>
        <v>#N/A</v>
      </c>
      <c r="D14" s="316" t="e">
        <f>VLOOKUP($A14,Master!$B$50:$N$232,9,FALSE)</f>
        <v>#N/A</v>
      </c>
      <c r="E14" s="317" t="e">
        <f>VLOOKUP($A14,Master!$B$50:$N$232,11,FALSE)</f>
        <v>#N/A</v>
      </c>
      <c r="F14" s="318">
        <v>6</v>
      </c>
      <c r="G14" s="354" t="s">
        <v>108</v>
      </c>
      <c r="H14" s="320">
        <v>75600</v>
      </c>
      <c r="I14" s="321" t="b">
        <v>1</v>
      </c>
      <c r="J14" s="322">
        <v>6</v>
      </c>
      <c r="K14" s="326" t="e">
        <f>VLOOKUP($A14,Master!$B$50:$N$232,6,FALSE)</f>
        <v>#N/A</v>
      </c>
      <c r="L14" s="327" t="e">
        <f t="shared" si="0"/>
        <v>#N/A</v>
      </c>
      <c r="M14" s="325"/>
    </row>
    <row r="15" spans="1:13" ht="15.75" customHeight="1">
      <c r="A15" s="18" t="s">
        <v>574</v>
      </c>
      <c r="B15" s="316" t="e">
        <f>VLOOKUP($A15,Master!$B$50:$N$232,2,FALSE)</f>
        <v>#N/A</v>
      </c>
      <c r="C15" s="316" t="e">
        <f>VLOOKUP($A15,Master!$B$50:$N$232,8,FALSE)</f>
        <v>#N/A</v>
      </c>
      <c r="D15" s="316" t="e">
        <f>VLOOKUP($A15,Master!$B$50:$N$232,9,FALSE)</f>
        <v>#N/A</v>
      </c>
      <c r="E15" s="317" t="e">
        <f>VLOOKUP($A15,Master!$B$50:$N$232,11,FALSE)</f>
        <v>#N/A</v>
      </c>
      <c r="F15" s="318">
        <v>1</v>
      </c>
      <c r="G15" s="354" t="s">
        <v>62</v>
      </c>
      <c r="H15" s="320">
        <v>170000</v>
      </c>
      <c r="I15" s="321" t="b">
        <v>1</v>
      </c>
      <c r="J15" s="322">
        <v>1</v>
      </c>
      <c r="K15" s="326" t="e">
        <f>VLOOKUP($A15,Master!$B$50:$N$232,6,FALSE)</f>
        <v>#N/A</v>
      </c>
      <c r="L15" s="327" t="e">
        <f t="shared" si="0"/>
        <v>#N/A</v>
      </c>
      <c r="M15" s="325"/>
    </row>
    <row r="16" spans="1:13" ht="15.75" customHeight="1">
      <c r="A16" s="18" t="s">
        <v>578</v>
      </c>
      <c r="B16" s="316" t="e">
        <f>VLOOKUP($A16,Master!$B$50:$N$232,2,FALSE)</f>
        <v>#N/A</v>
      </c>
      <c r="C16" s="316" t="e">
        <f>VLOOKUP($A16,Master!$B$50:$N$232,8,FALSE)</f>
        <v>#N/A</v>
      </c>
      <c r="D16" s="316" t="e">
        <f>VLOOKUP($A16,Master!$B$50:$N$232,9,FALSE)</f>
        <v>#N/A</v>
      </c>
      <c r="E16" s="317" t="e">
        <f>VLOOKUP($A16,Master!$B$50:$N$232,11,FALSE)</f>
        <v>#N/A</v>
      </c>
      <c r="F16" s="318">
        <v>1</v>
      </c>
      <c r="G16" s="354" t="s">
        <v>62</v>
      </c>
      <c r="H16" s="320">
        <v>220000</v>
      </c>
      <c r="I16" s="321" t="b">
        <v>1</v>
      </c>
      <c r="J16" s="322">
        <v>1</v>
      </c>
      <c r="K16" s="326" t="e">
        <f>VLOOKUP($A16,Master!$B$50:$N$232,6,FALSE)</f>
        <v>#N/A</v>
      </c>
      <c r="L16" s="327" t="e">
        <f t="shared" si="0"/>
        <v>#N/A</v>
      </c>
      <c r="M16" s="325"/>
    </row>
    <row r="17" spans="1:13" ht="15.75" customHeight="1">
      <c r="A17" s="18" t="s">
        <v>883</v>
      </c>
      <c r="B17" s="316" t="str">
        <f>VLOOKUP($A17,Master!$B$50:$N$232,2,FALSE)</f>
        <v>B096</v>
      </c>
      <c r="C17" s="316">
        <f>VLOOKUP($A17,Master!$B$50:$N$232,8,FALSE)</f>
        <v>1000</v>
      </c>
      <c r="D17" s="316" t="str">
        <f>VLOOKUP($A17,Master!$B$50:$N$232,9,FALSE)</f>
        <v>gr</v>
      </c>
      <c r="E17" s="317" t="str">
        <f>VLOOKUP($A17,Master!$B$50:$N$232,11,FALSE)</f>
        <v>Pasar Cihapit</v>
      </c>
      <c r="F17" s="318">
        <v>1</v>
      </c>
      <c r="G17" s="354" t="s">
        <v>36</v>
      </c>
      <c r="H17" s="320">
        <v>148500</v>
      </c>
      <c r="I17" s="321" t="b">
        <v>1</v>
      </c>
      <c r="J17" s="322">
        <v>1</v>
      </c>
      <c r="K17" s="323">
        <v>105000</v>
      </c>
      <c r="L17" s="324">
        <f t="shared" si="0"/>
        <v>105000</v>
      </c>
      <c r="M17" s="325" t="s">
        <v>1573</v>
      </c>
    </row>
    <row r="18" spans="1:13" ht="15.75" customHeight="1">
      <c r="A18" s="18" t="s">
        <v>651</v>
      </c>
      <c r="B18" s="316" t="str">
        <f>VLOOKUP($A18,Master!$B$50:$N$232,2,FALSE)</f>
        <v>B035</v>
      </c>
      <c r="C18" s="316">
        <f>VLOOKUP($A18,Master!$B$50:$N$232,8,FALSE)</f>
        <v>1000</v>
      </c>
      <c r="D18" s="316" t="str">
        <f>VLOOKUP($A18,Master!$B$50:$N$232,9,FALSE)</f>
        <v>gr</v>
      </c>
      <c r="E18" s="317" t="str">
        <f>VLOOKUP($A18,Master!$B$50:$N$232,11,FALSE)</f>
        <v>Eden Farm</v>
      </c>
      <c r="F18" s="318">
        <v>2</v>
      </c>
      <c r="G18" s="354" t="s">
        <v>36</v>
      </c>
      <c r="H18" s="320">
        <v>19400</v>
      </c>
      <c r="I18" s="321" t="b">
        <v>1</v>
      </c>
      <c r="J18" s="322">
        <v>1.5</v>
      </c>
      <c r="K18" s="323">
        <v>9900</v>
      </c>
      <c r="L18" s="324">
        <f t="shared" si="0"/>
        <v>14850</v>
      </c>
      <c r="M18" s="325"/>
    </row>
    <row r="19" spans="1:13" ht="15.75" customHeight="1">
      <c r="A19" s="18" t="s">
        <v>655</v>
      </c>
      <c r="B19" s="316" t="str">
        <f>VLOOKUP($A19,Master!$B$50:$N$232,2,FALSE)</f>
        <v>B036</v>
      </c>
      <c r="C19" s="316">
        <f>VLOOKUP($A19,Master!$B$50:$N$232,8,FALSE)</f>
        <v>1000</v>
      </c>
      <c r="D19" s="316" t="str">
        <f>VLOOKUP($A19,Master!$B$50:$N$232,9,FALSE)</f>
        <v>gr</v>
      </c>
      <c r="E19" s="317" t="str">
        <f>VLOOKUP($A19,Master!$B$50:$N$232,11,FALSE)</f>
        <v>Toko Lain</v>
      </c>
      <c r="F19" s="318">
        <v>4</v>
      </c>
      <c r="G19" s="354" t="s">
        <v>36</v>
      </c>
      <c r="H19" s="320">
        <v>195600</v>
      </c>
      <c r="I19" s="321" t="b">
        <v>1</v>
      </c>
      <c r="J19" s="322">
        <v>4</v>
      </c>
      <c r="K19" s="323">
        <v>51800</v>
      </c>
      <c r="L19" s="324">
        <f t="shared" si="0"/>
        <v>207200</v>
      </c>
      <c r="M19" s="325"/>
    </row>
    <row r="20" spans="1:13" ht="15.75" customHeight="1">
      <c r="A20" s="18" t="s">
        <v>667</v>
      </c>
      <c r="B20" s="316" t="str">
        <f>VLOOKUP($A20,Master!$B$50:$N$232,2,FALSE)</f>
        <v>B039</v>
      </c>
      <c r="C20" s="316">
        <f>VLOOKUP($A20,Master!$B$50:$N$232,8,FALSE)</f>
        <v>1000</v>
      </c>
      <c r="D20" s="316" t="str">
        <f>VLOOKUP($A20,Master!$B$50:$N$232,9,FALSE)</f>
        <v>gr</v>
      </c>
      <c r="E20" s="317" t="str">
        <f>VLOOKUP($A20,Master!$B$50:$N$232,11,FALSE)</f>
        <v>Eden Farm</v>
      </c>
      <c r="F20" s="318">
        <v>1</v>
      </c>
      <c r="G20" s="354" t="s">
        <v>36</v>
      </c>
      <c r="H20" s="320">
        <v>89800</v>
      </c>
      <c r="I20" s="321" t="b">
        <v>1</v>
      </c>
      <c r="J20" s="322">
        <v>1</v>
      </c>
      <c r="K20" s="323">
        <v>88700</v>
      </c>
      <c r="L20" s="324">
        <f t="shared" si="0"/>
        <v>88700</v>
      </c>
      <c r="M20" s="325"/>
    </row>
    <row r="21" spans="1:13" ht="15.75" customHeight="1">
      <c r="A21" s="18" t="s">
        <v>696</v>
      </c>
      <c r="B21" s="316" t="e">
        <f>VLOOKUP($A21,Master!$B$50:$N$232,2,FALSE)</f>
        <v>#N/A</v>
      </c>
      <c r="C21" s="316" t="e">
        <f>VLOOKUP($A21,Master!$B$50:$N$232,8,FALSE)</f>
        <v>#N/A</v>
      </c>
      <c r="D21" s="316" t="e">
        <f>VLOOKUP($A21,Master!$B$50:$N$232,9,FALSE)</f>
        <v>#N/A</v>
      </c>
      <c r="E21" s="317" t="e">
        <f>VLOOKUP($A21,Master!$B$50:$N$232,11,FALSE)</f>
        <v>#N/A</v>
      </c>
      <c r="F21" s="318">
        <v>3</v>
      </c>
      <c r="G21" s="354" t="s">
        <v>62</v>
      </c>
      <c r="H21" s="320">
        <v>42000</v>
      </c>
      <c r="I21" s="321" t="b">
        <v>1</v>
      </c>
      <c r="J21" s="322">
        <v>3</v>
      </c>
      <c r="K21" s="323">
        <v>12750</v>
      </c>
      <c r="L21" s="324">
        <f t="shared" si="0"/>
        <v>38250</v>
      </c>
      <c r="M21" s="325"/>
    </row>
    <row r="22" spans="1:13" ht="15.75" customHeight="1">
      <c r="A22" s="18" t="s">
        <v>712</v>
      </c>
      <c r="B22" s="316" t="str">
        <f>VLOOKUP($A22,Master!$B$50:$N$232,2,FALSE)</f>
        <v>B050</v>
      </c>
      <c r="C22" s="316">
        <f>VLOOKUP($A22,Master!$B$50:$N$232,8,FALSE)</f>
        <v>1000</v>
      </c>
      <c r="D22" s="316" t="str">
        <f>VLOOKUP($A22,Master!$B$50:$N$232,9,FALSE)</f>
        <v>gr</v>
      </c>
      <c r="E22" s="317" t="str">
        <f>VLOOKUP($A22,Master!$B$50:$N$232,11,FALSE)</f>
        <v>Eden Farm</v>
      </c>
      <c r="F22" s="318">
        <v>1</v>
      </c>
      <c r="G22" s="354" t="s">
        <v>36</v>
      </c>
      <c r="H22" s="320">
        <v>24200</v>
      </c>
      <c r="I22" s="321" t="b">
        <v>1</v>
      </c>
      <c r="J22" s="322">
        <v>1</v>
      </c>
      <c r="K22" s="323">
        <v>18100</v>
      </c>
      <c r="L22" s="324">
        <f t="shared" si="0"/>
        <v>18100</v>
      </c>
      <c r="M22" s="325"/>
    </row>
    <row r="23" spans="1:13" ht="15.75" customHeight="1">
      <c r="A23" s="18" t="s">
        <v>716</v>
      </c>
      <c r="B23" s="316" t="str">
        <f>VLOOKUP($A23,Master!$B$50:$N$232,2,FALSE)</f>
        <v>B051</v>
      </c>
      <c r="C23" s="316">
        <f>VLOOKUP($A23,Master!$B$50:$N$232,8,FALSE)</f>
        <v>1000</v>
      </c>
      <c r="D23" s="316" t="str">
        <f>VLOOKUP($A23,Master!$B$50:$N$232,9,FALSE)</f>
        <v>gr</v>
      </c>
      <c r="E23" s="317" t="str">
        <f>VLOOKUP($A23,Master!$B$50:$N$232,11,FALSE)</f>
        <v>Eden Farm</v>
      </c>
      <c r="F23" s="318">
        <v>1</v>
      </c>
      <c r="G23" s="354" t="s">
        <v>36</v>
      </c>
      <c r="H23" s="320">
        <v>41700</v>
      </c>
      <c r="I23" s="321" t="b">
        <v>1</v>
      </c>
      <c r="J23" s="322">
        <v>1</v>
      </c>
      <c r="K23" s="323">
        <v>40000</v>
      </c>
      <c r="L23" s="324">
        <f t="shared" si="0"/>
        <v>40000</v>
      </c>
      <c r="M23" s="325" t="s">
        <v>1520</v>
      </c>
    </row>
    <row r="24" spans="1:13" ht="15.75" customHeight="1">
      <c r="A24" s="18" t="s">
        <v>732</v>
      </c>
      <c r="B24" s="316" t="str">
        <f>VLOOKUP($A24,Master!$B$50:$N$232,2,FALSE)</f>
        <v>B055</v>
      </c>
      <c r="C24" s="316">
        <f>VLOOKUP($A24,Master!$B$50:$N$232,8,FALSE)</f>
        <v>1000</v>
      </c>
      <c r="D24" s="316" t="str">
        <f>VLOOKUP($A24,Master!$B$50:$N$232,9,FALSE)</f>
        <v>gr</v>
      </c>
      <c r="E24" s="317" t="str">
        <f>VLOOKUP($A24,Master!$B$50:$N$232,11,FALSE)</f>
        <v>Eden Farm</v>
      </c>
      <c r="F24" s="318">
        <v>1</v>
      </c>
      <c r="G24" s="354" t="s">
        <v>36</v>
      </c>
      <c r="H24" s="320">
        <v>18900</v>
      </c>
      <c r="I24" s="321" t="b">
        <v>1</v>
      </c>
      <c r="J24" s="322">
        <v>1</v>
      </c>
      <c r="K24" s="323">
        <v>16900</v>
      </c>
      <c r="L24" s="324">
        <f t="shared" si="0"/>
        <v>16900</v>
      </c>
      <c r="M24" s="325"/>
    </row>
    <row r="25" spans="1:13" ht="15.75" customHeight="1">
      <c r="A25" s="18" t="s">
        <v>744</v>
      </c>
      <c r="B25" s="316" t="str">
        <f>VLOOKUP($A25,Master!$B$50:$N$232,2,FALSE)</f>
        <v>B058</v>
      </c>
      <c r="C25" s="316">
        <f>VLOOKUP($A25,Master!$B$50:$N$232,8,FALSE)</f>
        <v>1000</v>
      </c>
      <c r="D25" s="316" t="str">
        <f>VLOOKUP($A25,Master!$B$50:$N$232,9,FALSE)</f>
        <v>gr</v>
      </c>
      <c r="E25" s="317" t="str">
        <f>VLOOKUP($A25,Master!$B$50:$N$232,11,FALSE)</f>
        <v>Eden Farm</v>
      </c>
      <c r="F25" s="318">
        <v>1</v>
      </c>
      <c r="G25" s="354" t="s">
        <v>36</v>
      </c>
      <c r="H25" s="320">
        <v>44900</v>
      </c>
      <c r="I25" s="321" t="b">
        <v>1</v>
      </c>
      <c r="J25" s="322">
        <v>0.75</v>
      </c>
      <c r="K25" s="323">
        <v>40600</v>
      </c>
      <c r="L25" s="324">
        <f t="shared" si="0"/>
        <v>30450</v>
      </c>
      <c r="M25" s="325"/>
    </row>
    <row r="26" spans="1:13" ht="15.75" customHeight="1">
      <c r="A26" s="18" t="s">
        <v>782</v>
      </c>
      <c r="B26" s="316" t="str">
        <f>VLOOKUP($A26,Master!$B$50:$N$232,2,FALSE)</f>
        <v>B069</v>
      </c>
      <c r="C26" s="316">
        <f>VLOOKUP($A26,Master!$B$50:$N$232,8,FALSE)</f>
        <v>500</v>
      </c>
      <c r="D26" s="316" t="str">
        <f>VLOOKUP($A26,Master!$B$50:$N$232,9,FALSE)</f>
        <v>gr</v>
      </c>
      <c r="E26" s="317" t="str">
        <f>VLOOKUP($A26,Master!$B$50:$N$232,11,FALSE)</f>
        <v>Toko Lain</v>
      </c>
      <c r="F26" s="318">
        <v>2</v>
      </c>
      <c r="G26" s="354" t="s">
        <v>62</v>
      </c>
      <c r="H26" s="320">
        <v>15000</v>
      </c>
      <c r="I26" s="321" t="b">
        <v>1</v>
      </c>
      <c r="J26" s="322">
        <v>2</v>
      </c>
      <c r="K26" s="323">
        <v>7700</v>
      </c>
      <c r="L26" s="324">
        <f t="shared" si="0"/>
        <v>15400</v>
      </c>
      <c r="M26" s="325"/>
    </row>
    <row r="27" spans="1:13" ht="15.75" customHeight="1">
      <c r="A27" s="18" t="s">
        <v>919</v>
      </c>
      <c r="B27" s="316" t="str">
        <f>VLOOKUP($A27,Master!$B$50:$N$232,2,FALSE)</f>
        <v>B109</v>
      </c>
      <c r="C27" s="316">
        <f>VLOOKUP($A27,Master!$B$50:$N$232,8,FALSE)</f>
        <v>1000</v>
      </c>
      <c r="D27" s="316" t="str">
        <f>VLOOKUP($A27,Master!$B$50:$N$232,9,FALSE)</f>
        <v>gr</v>
      </c>
      <c r="E27" s="317" t="str">
        <f>VLOOKUP($A27,Master!$B$50:$N$232,11,FALSE)</f>
        <v>Eden Farm</v>
      </c>
      <c r="F27" s="318">
        <v>1</v>
      </c>
      <c r="G27" s="354" t="s">
        <v>62</v>
      </c>
      <c r="H27" s="320">
        <v>20900</v>
      </c>
      <c r="I27" s="321" t="b">
        <v>1</v>
      </c>
      <c r="J27" s="322">
        <v>1</v>
      </c>
      <c r="K27" s="323">
        <v>29200</v>
      </c>
      <c r="L27" s="324">
        <f t="shared" si="0"/>
        <v>29200</v>
      </c>
      <c r="M27" s="325"/>
    </row>
    <row r="28" spans="1:13" ht="15.75" customHeight="1">
      <c r="A28" s="18" t="s">
        <v>1020</v>
      </c>
      <c r="B28" s="316" t="str">
        <f>VLOOKUP($A28,Master!$B$50:$N$232,2,FALSE)</f>
        <v>B144</v>
      </c>
      <c r="C28" s="316">
        <f>VLOOKUP($A28,Master!$B$50:$N$232,8,FALSE)</f>
        <v>1000</v>
      </c>
      <c r="D28" s="316" t="str">
        <f>VLOOKUP($A28,Master!$B$50:$N$232,9,FALSE)</f>
        <v>gr</v>
      </c>
      <c r="E28" s="317" t="str">
        <f>VLOOKUP($A28,Master!$B$50:$N$232,11,FALSE)</f>
        <v>Eden Farm</v>
      </c>
      <c r="F28" s="318">
        <v>1</v>
      </c>
      <c r="G28" s="354" t="s">
        <v>36</v>
      </c>
      <c r="H28" s="320">
        <v>21800</v>
      </c>
      <c r="I28" s="321" t="b">
        <v>1</v>
      </c>
      <c r="J28" s="322">
        <v>0.5</v>
      </c>
      <c r="K28" s="323">
        <v>10600</v>
      </c>
      <c r="L28" s="324">
        <f t="shared" si="0"/>
        <v>5300</v>
      </c>
      <c r="M28" s="325"/>
    </row>
    <row r="29" spans="1:13" ht="15.75" customHeight="1">
      <c r="A29" s="18" t="s">
        <v>1050</v>
      </c>
      <c r="B29" s="316" t="e">
        <f>VLOOKUP($A29,Master!$B$50:$N$232,2,FALSE)</f>
        <v>#N/A</v>
      </c>
      <c r="C29" s="316" t="e">
        <f>VLOOKUP($A29,Master!$B$50:$N$232,8,FALSE)</f>
        <v>#N/A</v>
      </c>
      <c r="D29" s="316" t="e">
        <f>VLOOKUP($A29,Master!$B$50:$N$232,9,FALSE)</f>
        <v>#N/A</v>
      </c>
      <c r="E29" s="317" t="e">
        <f>VLOOKUP($A29,Master!$B$50:$N$232,11,FALSE)</f>
        <v>#N/A</v>
      </c>
      <c r="F29" s="318">
        <v>1</v>
      </c>
      <c r="G29" s="354" t="s">
        <v>36</v>
      </c>
      <c r="H29" s="320">
        <v>8700</v>
      </c>
      <c r="I29" s="321" t="b">
        <v>1</v>
      </c>
      <c r="J29" s="322">
        <v>0.5</v>
      </c>
      <c r="K29" s="323">
        <v>8400</v>
      </c>
      <c r="L29" s="324">
        <f t="shared" si="0"/>
        <v>4200</v>
      </c>
      <c r="M29" s="325"/>
    </row>
    <row r="30" spans="1:13" ht="15.75" customHeight="1">
      <c r="A30" s="18" t="s">
        <v>659</v>
      </c>
      <c r="B30" s="316" t="str">
        <f>VLOOKUP($A30,Master!$B$50:$N$232,2,FALSE)</f>
        <v>B037</v>
      </c>
      <c r="C30" s="316">
        <f>VLOOKUP($A30,Master!$B$50:$N$232,8,FALSE)</f>
        <v>15</v>
      </c>
      <c r="D30" s="316" t="str">
        <f>VLOOKUP($A30,Master!$B$50:$N$232,9,FALSE)</f>
        <v>pcs</v>
      </c>
      <c r="E30" s="317" t="str">
        <f>VLOOKUP($A30,Master!$B$50:$N$232,11,FALSE)</f>
        <v>Feri Supriadi (Telur , Beras , Minyak )</v>
      </c>
      <c r="F30" s="318">
        <v>3</v>
      </c>
      <c r="G30" s="354" t="s">
        <v>36</v>
      </c>
      <c r="H30" s="320">
        <v>82500</v>
      </c>
      <c r="I30" s="321" t="b">
        <v>1</v>
      </c>
      <c r="J30" s="322">
        <v>3</v>
      </c>
      <c r="K30" s="323">
        <v>30000</v>
      </c>
      <c r="L30" s="324">
        <f t="shared" si="0"/>
        <v>90000</v>
      </c>
      <c r="M30" s="325"/>
    </row>
    <row r="31" spans="1:13" ht="15.75" customHeight="1">
      <c r="A31" s="18" t="s">
        <v>1574</v>
      </c>
      <c r="B31" s="316" t="str">
        <f>VLOOKUP($A31,Master!$B$50:$N$232,2,FALSE)</f>
        <v>B062</v>
      </c>
      <c r="C31" s="316">
        <f>VLOOKUP($A31,Master!$B$50:$N$232,8,FALSE)</f>
        <v>25000</v>
      </c>
      <c r="D31" s="316" t="str">
        <f>VLOOKUP($A31,Master!$B$50:$N$232,9,FALSE)</f>
        <v>gr</v>
      </c>
      <c r="E31" s="317" t="str">
        <f>VLOOKUP($A31,Master!$B$50:$N$232,11,FALSE)</f>
        <v>Feri Supriadi (Telur , Beras , Minyak )</v>
      </c>
      <c r="F31" s="318">
        <v>25</v>
      </c>
      <c r="G31" s="354" t="s">
        <v>36</v>
      </c>
      <c r="H31" s="320">
        <v>2900000</v>
      </c>
      <c r="I31" s="321" t="b">
        <v>1</v>
      </c>
      <c r="J31" s="322">
        <v>5</v>
      </c>
      <c r="K31" s="323">
        <v>12960</v>
      </c>
      <c r="L31" s="324">
        <f t="shared" si="0"/>
        <v>64800</v>
      </c>
      <c r="M31" s="325" t="s">
        <v>297</v>
      </c>
    </row>
    <row r="32" spans="1:13" ht="15.75" customHeight="1">
      <c r="A32" s="18" t="s">
        <v>1504</v>
      </c>
      <c r="B32" s="316" t="e">
        <f>VLOOKUP($A32,Master!$B$50:$N$232,2,FALSE)</f>
        <v>#N/A</v>
      </c>
      <c r="C32" s="316" t="e">
        <f>VLOOKUP($A32,Master!$B$50:$N$232,8,FALSE)</f>
        <v>#N/A</v>
      </c>
      <c r="D32" s="316" t="e">
        <f>VLOOKUP($A32,Master!$B$50:$N$232,9,FALSE)</f>
        <v>#N/A</v>
      </c>
      <c r="E32" s="337" t="e">
        <f>VLOOKUP($A32,Master!$B$50:$N$232,11,FALSE)</f>
        <v>#N/A</v>
      </c>
      <c r="F32" s="318">
        <v>1</v>
      </c>
      <c r="G32" s="354" t="s">
        <v>97</v>
      </c>
      <c r="H32" s="320">
        <v>137000</v>
      </c>
      <c r="I32" s="321" t="b">
        <v>1</v>
      </c>
      <c r="J32" s="322">
        <v>1</v>
      </c>
      <c r="K32" s="323">
        <v>135420</v>
      </c>
      <c r="L32" s="324">
        <f t="shared" si="0"/>
        <v>135420</v>
      </c>
      <c r="M32" s="325"/>
    </row>
    <row r="33" spans="1:13" ht="15.75" customHeight="1">
      <c r="A33" s="18" t="s">
        <v>1505</v>
      </c>
      <c r="B33" s="316" t="e">
        <f>VLOOKUP($A33,Master!$B$50:$N$232,2,FALSE)</f>
        <v>#N/A</v>
      </c>
      <c r="C33" s="316" t="e">
        <f>VLOOKUP($A33,Master!$B$50:$N$232,8,FALSE)</f>
        <v>#N/A</v>
      </c>
      <c r="D33" s="316" t="e">
        <f>VLOOKUP($A33,Master!$B$50:$N$232,9,FALSE)</f>
        <v>#N/A</v>
      </c>
      <c r="E33" s="337" t="e">
        <f>VLOOKUP($A33,Master!$B$50:$N$232,11,FALSE)</f>
        <v>#N/A</v>
      </c>
      <c r="F33" s="318">
        <v>1</v>
      </c>
      <c r="G33" s="354" t="s">
        <v>97</v>
      </c>
      <c r="H33" s="320">
        <v>137000</v>
      </c>
      <c r="I33" s="321" t="b">
        <v>1</v>
      </c>
      <c r="J33" s="322">
        <v>1</v>
      </c>
      <c r="K33" s="323">
        <v>135420</v>
      </c>
      <c r="L33" s="324">
        <f t="shared" si="0"/>
        <v>135420</v>
      </c>
      <c r="M33" s="325"/>
    </row>
    <row r="34" spans="1:13" ht="15.75" customHeight="1">
      <c r="A34" s="18" t="s">
        <v>1506</v>
      </c>
      <c r="B34" s="316" t="e">
        <f>VLOOKUP($A34,Master!$B$50:$N$232,2,FALSE)</f>
        <v>#N/A</v>
      </c>
      <c r="C34" s="316" t="e">
        <f>VLOOKUP($A34,Master!$B$50:$N$232,8,FALSE)</f>
        <v>#N/A</v>
      </c>
      <c r="D34" s="316" t="e">
        <f>VLOOKUP($A34,Master!$B$50:$N$232,9,FALSE)</f>
        <v>#N/A</v>
      </c>
      <c r="E34" s="337" t="e">
        <f>VLOOKUP($A34,Master!$B$50:$N$232,11,FALSE)</f>
        <v>#N/A</v>
      </c>
      <c r="F34" s="318">
        <v>1</v>
      </c>
      <c r="G34" s="354" t="s">
        <v>97</v>
      </c>
      <c r="H34" s="320">
        <v>137000</v>
      </c>
      <c r="I34" s="321" t="b">
        <v>1</v>
      </c>
      <c r="J34" s="322">
        <v>1</v>
      </c>
      <c r="K34" s="323">
        <v>135420</v>
      </c>
      <c r="L34" s="324">
        <f t="shared" si="0"/>
        <v>135420</v>
      </c>
      <c r="M34" s="325"/>
    </row>
    <row r="35" spans="1:13" ht="15.75" customHeight="1">
      <c r="A35" s="18" t="s">
        <v>675</v>
      </c>
      <c r="B35" s="316" t="str">
        <f>VLOOKUP($A35,Master!$B$50:$N$232,2,FALSE)</f>
        <v>B041</v>
      </c>
      <c r="C35" s="316">
        <f>VLOOKUP($A35,Master!$B$50:$N$232,8,FALSE)</f>
        <v>20</v>
      </c>
      <c r="D35" s="316" t="str">
        <f>VLOOKUP($A35,Master!$B$50:$N$232,9,FALSE)</f>
        <v>unit</v>
      </c>
      <c r="E35" s="317" t="str">
        <f>VLOOKUP($A35,Master!$B$50:$N$232,11,FALSE)</f>
        <v>RSB, Dago</v>
      </c>
      <c r="F35" s="318">
        <v>15</v>
      </c>
      <c r="G35" s="354" t="s">
        <v>62</v>
      </c>
      <c r="H35" s="320">
        <v>90000</v>
      </c>
      <c r="I35" s="321" t="b">
        <v>1</v>
      </c>
      <c r="J35" s="322">
        <v>10</v>
      </c>
      <c r="K35" s="326">
        <f>VLOOKUP($A35,Master!$B$50:$N$232,6,FALSE)</f>
        <v>13500</v>
      </c>
      <c r="L35" s="327">
        <f t="shared" si="0"/>
        <v>135000</v>
      </c>
      <c r="M35" s="325"/>
    </row>
    <row r="36" spans="1:13" ht="15.75" customHeight="1">
      <c r="A36" s="18" t="s">
        <v>795</v>
      </c>
      <c r="B36" s="316" t="str">
        <f>VLOOKUP($A36,Master!$B$50:$N$232,2,FALSE)</f>
        <v>B073</v>
      </c>
      <c r="C36" s="316">
        <f>VLOOKUP($A36,Master!$B$50:$N$232,8,FALSE)</f>
        <v>10</v>
      </c>
      <c r="D36" s="316" t="str">
        <f>VLOOKUP($A36,Master!$B$50:$N$232,9,FALSE)</f>
        <v>unit</v>
      </c>
      <c r="E36" s="317" t="str">
        <f>VLOOKUP($A36,Master!$B$50:$N$232,11,FALSE)</f>
        <v>Toko Lain</v>
      </c>
      <c r="F36" s="318">
        <v>10</v>
      </c>
      <c r="G36" s="354" t="s">
        <v>62</v>
      </c>
      <c r="H36" s="320">
        <v>50000</v>
      </c>
      <c r="I36" s="321" t="b">
        <v>1</v>
      </c>
      <c r="J36" s="322">
        <v>10</v>
      </c>
      <c r="K36" s="323">
        <v>7000</v>
      </c>
      <c r="L36" s="324">
        <f t="shared" si="0"/>
        <v>70000</v>
      </c>
      <c r="M36" s="325" t="s">
        <v>1520</v>
      </c>
    </row>
    <row r="37" spans="1:13" ht="15.75" customHeight="1">
      <c r="A37" s="18" t="s">
        <v>881</v>
      </c>
      <c r="B37" s="316" t="str">
        <f>VLOOKUP($A37,Master!$B$50:$N$232,2,FALSE)</f>
        <v>B095</v>
      </c>
      <c r="C37" s="316">
        <f>VLOOKUP($A37,Master!$B$50:$N$232,8,FALSE)</f>
        <v>1000</v>
      </c>
      <c r="D37" s="316" t="str">
        <f>VLOOKUP($A37,Master!$B$50:$N$232,9,FALSE)</f>
        <v>gr</v>
      </c>
      <c r="E37" s="317" t="str">
        <f>VLOOKUP($A37,Master!$B$50:$N$232,11,FALSE)</f>
        <v>Pasar Cihapit</v>
      </c>
      <c r="F37" s="318">
        <v>1</v>
      </c>
      <c r="G37" s="354" t="s">
        <v>36</v>
      </c>
      <c r="H37" s="320">
        <v>69000</v>
      </c>
      <c r="I37" s="321" t="b">
        <v>1</v>
      </c>
      <c r="J37" s="322">
        <v>0.29799999999999999</v>
      </c>
      <c r="K37" s="323">
        <v>71900</v>
      </c>
      <c r="L37" s="324">
        <f t="shared" si="0"/>
        <v>21426.2</v>
      </c>
      <c r="M37" s="325"/>
    </row>
    <row r="38" spans="1:13" ht="15.75" customHeight="1">
      <c r="A38" s="18" t="s">
        <v>1575</v>
      </c>
      <c r="B38" s="316" t="e">
        <f>VLOOKUP($A38,Master!$B$50:$N$232,2,FALSE)</f>
        <v>#N/A</v>
      </c>
      <c r="C38" s="316" t="e">
        <f>VLOOKUP($A38,Master!$B$50:$N$232,8,FALSE)</f>
        <v>#N/A</v>
      </c>
      <c r="D38" s="316" t="e">
        <f>VLOOKUP($A38,Master!$B$50:$N$232,9,FALSE)</f>
        <v>#N/A</v>
      </c>
      <c r="E38" s="317" t="e">
        <f>VLOOKUP($A38,Master!$B$50:$N$232,11,FALSE)</f>
        <v>#N/A</v>
      </c>
      <c r="F38" s="318">
        <v>2</v>
      </c>
      <c r="G38" s="354" t="s">
        <v>36</v>
      </c>
      <c r="H38" s="320">
        <v>28000</v>
      </c>
      <c r="I38" s="321" t="b">
        <v>1</v>
      </c>
      <c r="J38" s="322">
        <v>2</v>
      </c>
      <c r="K38" s="323">
        <v>13800</v>
      </c>
      <c r="L38" s="324">
        <f t="shared" si="0"/>
        <v>27600</v>
      </c>
      <c r="M38" s="325"/>
    </row>
    <row r="39" spans="1:13" ht="15.75" customHeight="1">
      <c r="A39" s="18" t="s">
        <v>528</v>
      </c>
      <c r="B39" s="316" t="e">
        <f>VLOOKUP($A39,Master!$B$50:$N$232,2,FALSE)</f>
        <v>#N/A</v>
      </c>
      <c r="C39" s="316" t="e">
        <f>VLOOKUP($A39,Master!$B$50:$N$232,8,FALSE)</f>
        <v>#N/A</v>
      </c>
      <c r="D39" s="316" t="e">
        <f>VLOOKUP($A39,Master!$B$50:$N$232,9,FALSE)</f>
        <v>#N/A</v>
      </c>
      <c r="E39" s="317" t="e">
        <f>VLOOKUP($A39,Master!$B$50:$N$232,11,FALSE)</f>
        <v>#N/A</v>
      </c>
      <c r="F39" s="318">
        <v>2</v>
      </c>
      <c r="G39" s="354" t="s">
        <v>50</v>
      </c>
      <c r="H39" s="320">
        <v>32000</v>
      </c>
      <c r="I39" s="321" t="b">
        <v>1</v>
      </c>
      <c r="J39" s="322">
        <v>2</v>
      </c>
      <c r="K39" s="326" t="e">
        <f>VLOOKUP($A39,Master!$B$50:$N$232,6,FALSE)</f>
        <v>#N/A</v>
      </c>
      <c r="L39" s="327" t="e">
        <f t="shared" si="0"/>
        <v>#N/A</v>
      </c>
      <c r="M39" s="325"/>
    </row>
    <row r="40" spans="1:13" ht="15.75" customHeight="1">
      <c r="A40" s="18" t="s">
        <v>635</v>
      </c>
      <c r="B40" s="316" t="e">
        <f>VLOOKUP($A40,Master!$B$50:$N$232,2,FALSE)</f>
        <v>#N/A</v>
      </c>
      <c r="C40" s="316" t="e">
        <f>VLOOKUP($A40,Master!$B$50:$N$232,8,FALSE)</f>
        <v>#N/A</v>
      </c>
      <c r="D40" s="316" t="e">
        <f>VLOOKUP($A40,Master!$B$50:$N$232,9,FALSE)</f>
        <v>#N/A</v>
      </c>
      <c r="E40" s="317" t="e">
        <f>VLOOKUP($A40,Master!$B$50:$N$232,11,FALSE)</f>
        <v>#N/A</v>
      </c>
      <c r="F40" s="318">
        <v>8</v>
      </c>
      <c r="G40" s="354" t="s">
        <v>50</v>
      </c>
      <c r="H40" s="320">
        <v>75200</v>
      </c>
      <c r="I40" s="321" t="b">
        <v>1</v>
      </c>
      <c r="J40" s="322">
        <v>8</v>
      </c>
      <c r="K40" s="323">
        <v>11000</v>
      </c>
      <c r="L40" s="324">
        <f t="shared" si="0"/>
        <v>88000</v>
      </c>
      <c r="M40" s="325"/>
    </row>
    <row r="41" spans="1:13" ht="15.75" customHeight="1">
      <c r="A41" s="18" t="s">
        <v>643</v>
      </c>
      <c r="B41" s="316" t="str">
        <f>VLOOKUP($A41,Master!$B$50:$N$232,2,FALSE)</f>
        <v>B033</v>
      </c>
      <c r="C41" s="316">
        <f>VLOOKUP($A41,Master!$B$50:$N$232,8,FALSE)</f>
        <v>1000</v>
      </c>
      <c r="D41" s="316" t="str">
        <f>VLOOKUP($A41,Master!$B$50:$N$232,9,FALSE)</f>
        <v>gr</v>
      </c>
      <c r="E41" s="317" t="str">
        <f>VLOOKUP($A41,Master!$B$50:$N$232,11,FALSE)</f>
        <v>PD Aroma Jaya</v>
      </c>
      <c r="F41" s="318">
        <v>1</v>
      </c>
      <c r="G41" s="354" t="s">
        <v>36</v>
      </c>
      <c r="H41" s="320">
        <v>16000</v>
      </c>
      <c r="I41" s="321" t="b">
        <v>1</v>
      </c>
      <c r="J41" s="322">
        <v>1</v>
      </c>
      <c r="K41" s="326">
        <f>VLOOKUP($A41,Master!$B$50:$N$232,6,FALSE)</f>
        <v>17000</v>
      </c>
      <c r="L41" s="327">
        <f t="shared" si="0"/>
        <v>17000</v>
      </c>
      <c r="M41" s="325"/>
    </row>
    <row r="42" spans="1:13" ht="15.75" customHeight="1">
      <c r="A42" s="18" t="s">
        <v>680</v>
      </c>
      <c r="B42" s="316" t="e">
        <f>VLOOKUP($A42,Master!$B$50:$N$232,2,FALSE)</f>
        <v>#N/A</v>
      </c>
      <c r="C42" s="316" t="e">
        <f>VLOOKUP($A42,Master!$B$50:$N$232,8,FALSE)</f>
        <v>#N/A</v>
      </c>
      <c r="D42" s="316" t="e">
        <f>VLOOKUP($A42,Master!$B$50:$N$232,9,FALSE)</f>
        <v>#N/A</v>
      </c>
      <c r="E42" s="317" t="e">
        <f>VLOOKUP($A42,Master!$B$50:$N$232,11,FALSE)</f>
        <v>#N/A</v>
      </c>
      <c r="F42" s="318">
        <v>7</v>
      </c>
      <c r="G42" s="354" t="s">
        <v>97</v>
      </c>
      <c r="H42" s="320">
        <v>210000</v>
      </c>
      <c r="I42" s="321" t="b">
        <v>1</v>
      </c>
      <c r="J42" s="322">
        <v>6</v>
      </c>
      <c r="K42" s="323">
        <v>31000</v>
      </c>
      <c r="L42" s="324">
        <f t="shared" si="0"/>
        <v>186000</v>
      </c>
      <c r="M42" s="325"/>
    </row>
    <row r="43" spans="1:13" ht="15.75" customHeight="1">
      <c r="A43" s="18" t="s">
        <v>720</v>
      </c>
      <c r="B43" s="316" t="str">
        <f>VLOOKUP($A43,Master!$B$50:$N$232,2,FALSE)</f>
        <v>B052</v>
      </c>
      <c r="C43" s="316">
        <f>VLOOKUP($A43,Master!$B$50:$N$232,8,FALSE)</f>
        <v>100</v>
      </c>
      <c r="D43" s="316" t="str">
        <f>VLOOKUP($A43,Master!$B$50:$N$232,9,FALSE)</f>
        <v>gr</v>
      </c>
      <c r="E43" s="317" t="str">
        <f>VLOOKUP($A43,Master!$B$50:$N$232,11,FALSE)</f>
        <v>PD Aroma Jaya</v>
      </c>
      <c r="F43" s="318">
        <v>4</v>
      </c>
      <c r="G43" s="354" t="s">
        <v>97</v>
      </c>
      <c r="H43" s="320">
        <v>112000</v>
      </c>
      <c r="I43" s="321" t="b">
        <v>1</v>
      </c>
      <c r="J43" s="322">
        <v>1</v>
      </c>
      <c r="K43" s="326">
        <f>VLOOKUP($A43,Master!$B$50:$N$232,6,FALSE)</f>
        <v>28000</v>
      </c>
      <c r="L43" s="327">
        <f t="shared" si="0"/>
        <v>28000</v>
      </c>
      <c r="M43" s="325" t="s">
        <v>1576</v>
      </c>
    </row>
    <row r="44" spans="1:13" ht="15.75" customHeight="1">
      <c r="A44" s="18" t="s">
        <v>767</v>
      </c>
      <c r="B44" s="316" t="e">
        <f>VLOOKUP($A44,Master!$B$50:$N$232,2,FALSE)</f>
        <v>#N/A</v>
      </c>
      <c r="C44" s="316" t="e">
        <f>VLOOKUP($A44,Master!$B$50:$N$232,8,FALSE)</f>
        <v>#N/A</v>
      </c>
      <c r="D44" s="316" t="e">
        <f>VLOOKUP($A44,Master!$B$50:$N$232,9,FALSE)</f>
        <v>#N/A</v>
      </c>
      <c r="E44" s="317" t="e">
        <f>VLOOKUP($A44,Master!$B$50:$N$232,11,FALSE)</f>
        <v>#N/A</v>
      </c>
      <c r="F44" s="318">
        <v>1</v>
      </c>
      <c r="G44" s="354" t="s">
        <v>62</v>
      </c>
      <c r="H44" s="320">
        <v>19500</v>
      </c>
      <c r="I44" s="321" t="b">
        <v>1</v>
      </c>
      <c r="J44" s="322">
        <v>1</v>
      </c>
      <c r="K44" s="326" t="e">
        <f>VLOOKUP($A44,Master!$B$50:$N$232,6,FALSE)</f>
        <v>#N/A</v>
      </c>
      <c r="L44" s="327" t="e">
        <f t="shared" si="0"/>
        <v>#N/A</v>
      </c>
      <c r="M44" s="325"/>
    </row>
    <row r="45" spans="1:13" ht="15.75" customHeight="1">
      <c r="A45" s="18" t="s">
        <v>773</v>
      </c>
      <c r="B45" s="316" t="e">
        <f>VLOOKUP($A45,Master!$B$50:$N$232,2,FALSE)</f>
        <v>#N/A</v>
      </c>
      <c r="C45" s="316" t="e">
        <f>VLOOKUP($A45,Master!$B$50:$N$232,8,FALSE)</f>
        <v>#N/A</v>
      </c>
      <c r="D45" s="316" t="e">
        <f>VLOOKUP($A45,Master!$B$50:$N$232,9,FALSE)</f>
        <v>#N/A</v>
      </c>
      <c r="E45" s="317" t="e">
        <f>VLOOKUP($A45,Master!$B$50:$N$232,11,FALSE)</f>
        <v>#N/A</v>
      </c>
      <c r="F45" s="318">
        <v>3</v>
      </c>
      <c r="G45" s="354" t="s">
        <v>62</v>
      </c>
      <c r="H45" s="320">
        <v>42000</v>
      </c>
      <c r="I45" s="321" t="b">
        <v>1</v>
      </c>
      <c r="J45" s="322">
        <v>3</v>
      </c>
      <c r="K45" s="326" t="e">
        <f>VLOOKUP($A45,Master!$B$50:$N$232,6,FALSE)</f>
        <v>#N/A</v>
      </c>
      <c r="L45" s="327" t="e">
        <f t="shared" si="0"/>
        <v>#N/A</v>
      </c>
      <c r="M45" s="325"/>
    </row>
    <row r="46" spans="1:13" ht="15.75" customHeight="1">
      <c r="A46" s="18" t="s">
        <v>879</v>
      </c>
      <c r="B46" s="316" t="e">
        <f>VLOOKUP($A46,Master!$B$50:$N$232,2,FALSE)</f>
        <v>#N/A</v>
      </c>
      <c r="C46" s="316" t="e">
        <f>VLOOKUP($A46,Master!$B$50:$N$232,8,FALSE)</f>
        <v>#N/A</v>
      </c>
      <c r="D46" s="316" t="e">
        <f>VLOOKUP($A46,Master!$B$50:$N$232,9,FALSE)</f>
        <v>#N/A</v>
      </c>
      <c r="E46" s="317" t="e">
        <f>VLOOKUP($A46,Master!$B$50:$N$232,11,FALSE)</f>
        <v>#N/A</v>
      </c>
      <c r="F46" s="318">
        <v>1</v>
      </c>
      <c r="G46" s="354" t="s">
        <v>62</v>
      </c>
      <c r="H46" s="320">
        <v>38000</v>
      </c>
      <c r="I46" s="321" t="b">
        <v>1</v>
      </c>
      <c r="J46" s="322">
        <v>1</v>
      </c>
      <c r="K46" s="326" t="e">
        <f>VLOOKUP($A46,Master!$B$50:$N$232,6,FALSE)</f>
        <v>#N/A</v>
      </c>
      <c r="L46" s="327" t="e">
        <f t="shared" si="0"/>
        <v>#N/A</v>
      </c>
      <c r="M46" s="325"/>
    </row>
    <row r="47" spans="1:13" ht="15.75" customHeight="1">
      <c r="A47" s="18" t="s">
        <v>934</v>
      </c>
      <c r="B47" s="316" t="e">
        <f>VLOOKUP($A47,Master!$B$50:$N$232,2,FALSE)</f>
        <v>#N/A</v>
      </c>
      <c r="C47" s="316" t="e">
        <f>VLOOKUP($A47,Master!$B$50:$N$232,8,FALSE)</f>
        <v>#N/A</v>
      </c>
      <c r="D47" s="316" t="e">
        <f>VLOOKUP($A47,Master!$B$50:$N$232,9,FALSE)</f>
        <v>#N/A</v>
      </c>
      <c r="E47" s="317" t="e">
        <f>VLOOKUP($A47,Master!$B$50:$N$232,11,FALSE)</f>
        <v>#N/A</v>
      </c>
      <c r="F47" s="318">
        <v>4</v>
      </c>
      <c r="G47" s="354" t="s">
        <v>62</v>
      </c>
      <c r="H47" s="320">
        <v>31600</v>
      </c>
      <c r="I47" s="321" t="b">
        <v>1</v>
      </c>
      <c r="J47" s="322">
        <v>4</v>
      </c>
      <c r="K47" s="326" t="e">
        <f>VLOOKUP($A47,Master!$B$50:$N$232,6,FALSE)</f>
        <v>#N/A</v>
      </c>
      <c r="L47" s="327" t="e">
        <f t="shared" si="0"/>
        <v>#N/A</v>
      </c>
      <c r="M47" s="325"/>
    </row>
    <row r="48" spans="1:13" ht="15.75" customHeight="1">
      <c r="A48" s="18" t="s">
        <v>943</v>
      </c>
      <c r="B48" s="316" t="e">
        <f>VLOOKUP($A48,Master!$B$50:$N$232,2,FALSE)</f>
        <v>#N/A</v>
      </c>
      <c r="C48" s="316" t="e">
        <f>VLOOKUP($A48,Master!$B$50:$N$232,8,FALSE)</f>
        <v>#N/A</v>
      </c>
      <c r="D48" s="316" t="e">
        <f>VLOOKUP($A48,Master!$B$50:$N$232,9,FALSE)</f>
        <v>#N/A</v>
      </c>
      <c r="E48" s="317" t="e">
        <f>VLOOKUP($A48,Master!$B$50:$N$232,11,FALSE)</f>
        <v>#N/A</v>
      </c>
      <c r="F48" s="318">
        <v>2</v>
      </c>
      <c r="G48" s="354" t="s">
        <v>62</v>
      </c>
      <c r="H48" s="320">
        <v>15800</v>
      </c>
      <c r="I48" s="321" t="b">
        <v>1</v>
      </c>
      <c r="J48" s="322">
        <v>2</v>
      </c>
      <c r="K48" s="326" t="e">
        <f>VLOOKUP($A48,Master!$B$50:$N$232,6,FALSE)</f>
        <v>#N/A</v>
      </c>
      <c r="L48" s="327" t="e">
        <f t="shared" si="0"/>
        <v>#N/A</v>
      </c>
      <c r="M48" s="325"/>
    </row>
    <row r="49" spans="1:13" ht="15.75" customHeight="1">
      <c r="A49" s="18" t="s">
        <v>982</v>
      </c>
      <c r="B49" s="316" t="str">
        <f>VLOOKUP($A49,Master!$B$50:$N$232,2,FALSE)</f>
        <v>B130</v>
      </c>
      <c r="C49" s="316">
        <f>VLOOKUP($A49,Master!$B$50:$N$232,8,FALSE)</f>
        <v>12</v>
      </c>
      <c r="D49" s="316" t="str">
        <f>VLOOKUP($A49,Master!$B$50:$N$232,9,FALSE)</f>
        <v>pcs</v>
      </c>
      <c r="E49" s="317" t="str">
        <f>VLOOKUP($A49,Master!$B$50:$N$232,11,FALSE)</f>
        <v>PD Aroma Jaya</v>
      </c>
      <c r="F49" s="318">
        <v>1</v>
      </c>
      <c r="G49" s="354" t="s">
        <v>62</v>
      </c>
      <c r="H49" s="320">
        <v>22000</v>
      </c>
      <c r="I49" s="321" t="b">
        <v>1</v>
      </c>
      <c r="J49" s="322">
        <v>2</v>
      </c>
      <c r="K49" s="326">
        <f>VLOOKUP($A49,Master!$B$50:$N$232,6,FALSE)</f>
        <v>18000</v>
      </c>
      <c r="L49" s="327">
        <f t="shared" si="0"/>
        <v>36000</v>
      </c>
      <c r="M49" s="325"/>
    </row>
    <row r="50" spans="1:13" ht="15.75" customHeight="1">
      <c r="A50" s="18" t="s">
        <v>961</v>
      </c>
      <c r="B50" s="316" t="e">
        <f>VLOOKUP($A50,Master!$B$50:$N$232,2,FALSE)</f>
        <v>#N/A</v>
      </c>
      <c r="C50" s="316" t="e">
        <f>VLOOKUP($A50,Master!$B$50:$N$232,8,FALSE)</f>
        <v>#N/A</v>
      </c>
      <c r="D50" s="316" t="e">
        <f>VLOOKUP($A50,Master!$B$50:$N$232,9,FALSE)</f>
        <v>#N/A</v>
      </c>
      <c r="E50" s="317" t="e">
        <f>VLOOKUP($A50,Master!$B$50:$N$232,11,FALSE)</f>
        <v>#N/A</v>
      </c>
      <c r="F50" s="318">
        <v>1</v>
      </c>
      <c r="G50" s="354" t="s">
        <v>97</v>
      </c>
      <c r="H50" s="320">
        <v>94350</v>
      </c>
      <c r="I50" s="321" t="b">
        <v>0</v>
      </c>
      <c r="J50" s="322"/>
      <c r="K50" s="326" t="e">
        <f>VLOOKUP($A50,Master!$B$50:$N$232,6,FALSE)</f>
        <v>#N/A</v>
      </c>
      <c r="L50" s="327" t="e">
        <f t="shared" si="0"/>
        <v>#N/A</v>
      </c>
      <c r="M50" s="325"/>
    </row>
    <row r="51" spans="1:13" ht="13">
      <c r="A51" s="18" t="s">
        <v>548</v>
      </c>
      <c r="B51" s="316" t="e">
        <f>VLOOKUP($A51,Master!$B$50:$N$232,2,FALSE)</f>
        <v>#N/A</v>
      </c>
      <c r="C51" s="316" t="e">
        <f>VLOOKUP($A51,Master!$B$50:$N$232,8,FALSE)</f>
        <v>#N/A</v>
      </c>
      <c r="D51" s="316" t="e">
        <f>VLOOKUP($A51,Master!$B$50:$N$232,9,FALSE)</f>
        <v>#N/A</v>
      </c>
      <c r="E51" s="317" t="e">
        <f>VLOOKUP($A51,Master!$B$50:$N$232,11,FALSE)</f>
        <v>#N/A</v>
      </c>
      <c r="F51" s="318">
        <v>2</v>
      </c>
      <c r="G51" s="354" t="s">
        <v>87</v>
      </c>
      <c r="H51" s="320">
        <v>315130</v>
      </c>
      <c r="I51" s="321" t="b">
        <v>1</v>
      </c>
      <c r="J51" s="322">
        <v>2</v>
      </c>
      <c r="K51" s="323">
        <v>141951</v>
      </c>
      <c r="L51" s="324">
        <f t="shared" si="0"/>
        <v>283902</v>
      </c>
      <c r="M51" s="325"/>
    </row>
    <row r="52" spans="1:13" ht="13">
      <c r="A52" s="18" t="s">
        <v>623</v>
      </c>
      <c r="B52" s="316" t="e">
        <f>VLOOKUP($A52,Master!$B$50:$N$232,2,FALSE)</f>
        <v>#N/A</v>
      </c>
      <c r="C52" s="316" t="e">
        <f>VLOOKUP($A52,Master!$B$50:$N$232,8,FALSE)</f>
        <v>#N/A</v>
      </c>
      <c r="D52" s="316" t="e">
        <f>VLOOKUP($A52,Master!$B$50:$N$232,9,FALSE)</f>
        <v>#N/A</v>
      </c>
      <c r="E52" s="317" t="e">
        <f>VLOOKUP($A52,Master!$B$50:$N$232,11,FALSE)</f>
        <v>#N/A</v>
      </c>
      <c r="F52" s="318">
        <v>2</v>
      </c>
      <c r="G52" s="354" t="s">
        <v>143</v>
      </c>
      <c r="H52" s="320">
        <v>363858</v>
      </c>
      <c r="I52" s="321" t="b">
        <v>1</v>
      </c>
      <c r="J52" s="322">
        <v>2</v>
      </c>
      <c r="K52" s="323">
        <v>163900</v>
      </c>
      <c r="L52" s="324">
        <f t="shared" si="0"/>
        <v>327800</v>
      </c>
      <c r="M52" s="325"/>
    </row>
    <row r="53" spans="1:13" ht="13">
      <c r="A53" s="18" t="s">
        <v>704</v>
      </c>
      <c r="B53" s="316" t="e">
        <f>VLOOKUP($A53,Master!$B$50:$N$232,2,FALSE)</f>
        <v>#N/A</v>
      </c>
      <c r="C53" s="316" t="e">
        <f>VLOOKUP($A53,Master!$B$50:$N$232,8,FALSE)</f>
        <v>#N/A</v>
      </c>
      <c r="D53" s="316" t="e">
        <f>VLOOKUP($A53,Master!$B$50:$N$232,9,FALSE)</f>
        <v>#N/A</v>
      </c>
      <c r="E53" s="317" t="e">
        <f>VLOOKUP($A53,Master!$B$50:$N$232,11,FALSE)</f>
        <v>#N/A</v>
      </c>
      <c r="F53" s="318">
        <v>2</v>
      </c>
      <c r="G53" s="354" t="s">
        <v>143</v>
      </c>
      <c r="H53" s="320">
        <v>405594</v>
      </c>
      <c r="I53" s="321" t="b">
        <v>1</v>
      </c>
      <c r="J53" s="322">
        <v>2</v>
      </c>
      <c r="K53" s="323">
        <v>182700</v>
      </c>
      <c r="L53" s="324">
        <f t="shared" si="0"/>
        <v>365400</v>
      </c>
      <c r="M53" s="325"/>
    </row>
    <row r="54" spans="1:13" ht="13">
      <c r="A54" s="18" t="s">
        <v>949</v>
      </c>
      <c r="B54" s="316" t="e">
        <f>VLOOKUP($A54,Master!$B$50:$N$232,2,FALSE)</f>
        <v>#N/A</v>
      </c>
      <c r="C54" s="316" t="e">
        <f>VLOOKUP($A54,Master!$B$50:$N$232,8,FALSE)</f>
        <v>#N/A</v>
      </c>
      <c r="D54" s="316" t="e">
        <f>VLOOKUP($A54,Master!$B$50:$N$232,9,FALSE)</f>
        <v>#N/A</v>
      </c>
      <c r="E54" s="317" t="e">
        <f>VLOOKUP($A54,Master!$B$50:$N$232,11,FALSE)</f>
        <v>#N/A</v>
      </c>
      <c r="F54" s="318">
        <v>1</v>
      </c>
      <c r="G54" s="354" t="s">
        <v>97</v>
      </c>
      <c r="H54" s="320">
        <v>25752</v>
      </c>
      <c r="I54" s="321" t="b">
        <v>0</v>
      </c>
      <c r="J54" s="322"/>
      <c r="K54" s="326" t="e">
        <f>VLOOKUP($A54,Master!$B$50:$N$232,6,FALSE)</f>
        <v>#N/A</v>
      </c>
      <c r="L54" s="327" t="e">
        <f t="shared" si="0"/>
        <v>#N/A</v>
      </c>
      <c r="M54" s="325"/>
    </row>
    <row r="55" spans="1:13" ht="13">
      <c r="A55" s="18" t="s">
        <v>1550</v>
      </c>
      <c r="B55" s="316" t="e">
        <f>VLOOKUP($A55,Master!$B$50:$N$232,2,FALSE)</f>
        <v>#N/A</v>
      </c>
      <c r="C55" s="316" t="e">
        <f>VLOOKUP($A55,Master!$B$50:$N$232,8,FALSE)</f>
        <v>#N/A</v>
      </c>
      <c r="D55" s="316" t="e">
        <f>VLOOKUP($A55,Master!$B$50:$N$232,9,FALSE)</f>
        <v>#N/A</v>
      </c>
      <c r="E55" s="317" t="e">
        <f>VLOOKUP($A55,Master!$B$50:$N$232,11,FALSE)</f>
        <v>#N/A</v>
      </c>
      <c r="F55" s="318">
        <v>2</v>
      </c>
      <c r="G55" s="354" t="s">
        <v>97</v>
      </c>
      <c r="H55" s="320">
        <v>210000</v>
      </c>
      <c r="I55" s="321" t="b">
        <v>1</v>
      </c>
      <c r="J55" s="322">
        <v>2</v>
      </c>
      <c r="K55" s="323" t="e">
        <f>VLOOKUP($A55,Master!$B$50:$N$232,6,FALSE)</f>
        <v>#N/A</v>
      </c>
      <c r="L55" s="324" t="e">
        <f t="shared" si="0"/>
        <v>#N/A</v>
      </c>
      <c r="M55" s="325"/>
    </row>
    <row r="57" spans="1:13" ht="13">
      <c r="F57" s="427">
        <v>44718</v>
      </c>
      <c r="G57" s="428"/>
      <c r="H57" s="424"/>
      <c r="J57" s="429">
        <f>F57+1</f>
        <v>44719</v>
      </c>
      <c r="K57" s="428"/>
      <c r="L57" s="424"/>
    </row>
    <row r="58" spans="1:13" ht="13">
      <c r="F58" s="425" t="s">
        <v>1490</v>
      </c>
      <c r="G58" s="426"/>
      <c r="H58" s="304">
        <f>SUM(H60:H207)</f>
        <v>531714429</v>
      </c>
      <c r="J58" s="425" t="s">
        <v>1491</v>
      </c>
      <c r="K58" s="426"/>
      <c r="L58" s="304" t="e">
        <f>SUM(L60:L207)</f>
        <v>#N/A</v>
      </c>
    </row>
    <row r="59" spans="1:13" ht="13">
      <c r="A59" s="2" t="s">
        <v>4</v>
      </c>
      <c r="B59" s="305" t="s">
        <v>5</v>
      </c>
      <c r="C59" s="305" t="s">
        <v>1492</v>
      </c>
      <c r="D59" s="305" t="s">
        <v>12</v>
      </c>
      <c r="E59" s="306" t="s">
        <v>1493</v>
      </c>
      <c r="F59" s="307" t="s">
        <v>1494</v>
      </c>
      <c r="G59" s="308" t="s">
        <v>10</v>
      </c>
      <c r="H59" s="309" t="s">
        <v>1495</v>
      </c>
      <c r="I59" s="310" t="s">
        <v>1289</v>
      </c>
      <c r="J59" s="311" t="s">
        <v>1496</v>
      </c>
      <c r="K59" s="312" t="s">
        <v>1497</v>
      </c>
      <c r="L59" s="313" t="s">
        <v>1498</v>
      </c>
      <c r="M59" s="314" t="s">
        <v>16</v>
      </c>
    </row>
    <row r="60" spans="1:13" ht="13">
      <c r="A60" s="18" t="s">
        <v>979</v>
      </c>
      <c r="B60" s="316" t="str">
        <f>VLOOKUP($A60,Master!$B$50:$N$232,2,FALSE)</f>
        <v>B129</v>
      </c>
      <c r="C60" s="316">
        <f>VLOOKUP($A60,Master!$B$50:$N$232,8,FALSE)</f>
        <v>100</v>
      </c>
      <c r="D60" s="316" t="str">
        <f>VLOOKUP($A60,Master!$B$50:$N$232,9,FALSE)</f>
        <v>pcs</v>
      </c>
      <c r="E60" s="317" t="str">
        <f>VLOOKUP($A60,Master!$B$50:$N$232,11,FALSE)</f>
        <v>Ade Widya Plastik Cikutra</v>
      </c>
      <c r="F60" s="318">
        <v>1</v>
      </c>
      <c r="G60" s="354" t="s">
        <v>62</v>
      </c>
      <c r="H60" s="320">
        <v>3600</v>
      </c>
      <c r="I60" s="321" t="b">
        <v>1</v>
      </c>
      <c r="J60" s="322">
        <v>1</v>
      </c>
      <c r="K60" s="323">
        <v>27000</v>
      </c>
      <c r="L60" s="324">
        <f t="shared" ref="L60:L61" si="1">J60*K60</f>
        <v>27000</v>
      </c>
      <c r="M60" s="325"/>
    </row>
    <row r="61" spans="1:13" ht="13">
      <c r="A61" s="18" t="s">
        <v>1096</v>
      </c>
      <c r="B61" s="316" t="e">
        <f>VLOOKUP($A61,Master!$B$50:$N$232,2,FALSE)</f>
        <v>#N/A</v>
      </c>
      <c r="C61" s="316" t="e">
        <f>VLOOKUP($A61,Master!$B$50:$N$232,8,FALSE)</f>
        <v>#N/A</v>
      </c>
      <c r="D61" s="316" t="e">
        <f>VLOOKUP($A61,Master!$B$50:$N$232,9,FALSE)</f>
        <v>#N/A</v>
      </c>
      <c r="E61" s="317" t="e">
        <f>VLOOKUP($A61,Master!$B$50:$N$232,11,FALSE)</f>
        <v>#N/A</v>
      </c>
      <c r="F61" s="318">
        <v>1</v>
      </c>
      <c r="G61" s="354" t="s">
        <v>62</v>
      </c>
      <c r="H61" s="320">
        <v>4700</v>
      </c>
      <c r="I61" s="321" t="b">
        <v>1</v>
      </c>
      <c r="J61" s="322">
        <v>1</v>
      </c>
      <c r="K61" s="323">
        <v>22900</v>
      </c>
      <c r="L61" s="324">
        <f t="shared" si="1"/>
        <v>22900</v>
      </c>
      <c r="M61" s="325"/>
    </row>
    <row r="62" spans="1:13" ht="13">
      <c r="A62" s="18" t="s">
        <v>544</v>
      </c>
      <c r="B62" s="316" t="e">
        <f>VLOOKUP($A62,Master!$B$50:$N$232,2,FALSE)</f>
        <v>#N/A</v>
      </c>
      <c r="C62" s="316" t="e">
        <f>VLOOKUP($A62,Master!$B$50:$N$232,8,FALSE)</f>
        <v>#N/A</v>
      </c>
      <c r="D62" s="316" t="e">
        <f>VLOOKUP($A62,Master!$B$50:$N$232,9,FALSE)</f>
        <v>#N/A</v>
      </c>
      <c r="E62" s="317" t="e">
        <f>VLOOKUP($A62,Master!$B$50:$N$232,11,FALSE)</f>
        <v>#N/A</v>
      </c>
      <c r="F62" s="318">
        <v>2</v>
      </c>
      <c r="G62" s="354" t="s">
        <v>62</v>
      </c>
      <c r="H62" s="320">
        <v>30400</v>
      </c>
      <c r="I62" s="321" t="b">
        <v>1</v>
      </c>
      <c r="J62" s="322">
        <v>2</v>
      </c>
      <c r="K62" s="323">
        <v>24250</v>
      </c>
      <c r="L62" s="324">
        <v>32495</v>
      </c>
      <c r="M62" s="325"/>
    </row>
    <row r="63" spans="1:13" ht="13">
      <c r="A63" s="18" t="s">
        <v>586</v>
      </c>
      <c r="B63" s="316" t="str">
        <f>VLOOKUP($A63,Master!$B$50:$N$232,2,FALSE)</f>
        <v>B018</v>
      </c>
      <c r="C63" s="316">
        <f>VLOOKUP($A63,Master!$B$50:$N$232,8,FALSE)</f>
        <v>20</v>
      </c>
      <c r="D63" s="316" t="str">
        <f>VLOOKUP($A63,Master!$B$50:$N$232,9,FALSE)</f>
        <v>pcs</v>
      </c>
      <c r="E63" s="317" t="str">
        <f>VLOOKUP($A63,Master!$B$50:$N$232,11,FALSE)</f>
        <v>Kurnia Mas</v>
      </c>
      <c r="F63" s="318">
        <v>2</v>
      </c>
      <c r="G63" s="354" t="s">
        <v>62</v>
      </c>
      <c r="H63" s="320">
        <v>14600</v>
      </c>
      <c r="I63" s="321" t="b">
        <v>1</v>
      </c>
      <c r="J63" s="322">
        <v>2</v>
      </c>
      <c r="K63" s="323">
        <v>7550</v>
      </c>
      <c r="L63" s="324">
        <v>14944</v>
      </c>
      <c r="M63" s="325"/>
    </row>
    <row r="64" spans="1:13" ht="13">
      <c r="A64" s="18" t="s">
        <v>627</v>
      </c>
      <c r="B64" s="316" t="str">
        <f>VLOOKUP($A64,Master!$B$50:$N$232,2,FALSE)</f>
        <v>B029</v>
      </c>
      <c r="C64" s="316">
        <f>VLOOKUP($A64,Master!$B$50:$N$232,8,FALSE)</f>
        <v>1000</v>
      </c>
      <c r="D64" s="316" t="str">
        <f>VLOOKUP($A64,Master!$B$50:$N$232,9,FALSE)</f>
        <v>gr</v>
      </c>
      <c r="E64" s="317" t="str">
        <f>VLOOKUP($A64,Master!$B$50:$N$232,11,FALSE)</f>
        <v>Borma</v>
      </c>
      <c r="F64" s="318">
        <v>1</v>
      </c>
      <c r="G64" s="354" t="s">
        <v>36</v>
      </c>
      <c r="H64" s="320">
        <v>31900</v>
      </c>
      <c r="I64" s="321" t="b">
        <v>1</v>
      </c>
      <c r="J64" s="322">
        <v>1</v>
      </c>
      <c r="K64" s="323">
        <v>65500</v>
      </c>
      <c r="L64" s="324">
        <v>49900</v>
      </c>
      <c r="M64" s="325"/>
    </row>
    <row r="65" spans="1:13" ht="13">
      <c r="A65" s="18" t="s">
        <v>770</v>
      </c>
      <c r="B65" s="316" t="e">
        <f>VLOOKUP($A65,Master!$B$50:$N$232,2,FALSE)</f>
        <v>#N/A</v>
      </c>
      <c r="C65" s="316" t="e">
        <f>VLOOKUP($A65,Master!$B$50:$N$232,8,FALSE)</f>
        <v>#N/A</v>
      </c>
      <c r="D65" s="316" t="e">
        <f>VLOOKUP($A65,Master!$B$50:$N$232,9,FALSE)</f>
        <v>#N/A</v>
      </c>
      <c r="E65" s="317" t="e">
        <f>VLOOKUP($A65,Master!$B$50:$N$232,11,FALSE)</f>
        <v>#N/A</v>
      </c>
      <c r="F65" s="318">
        <v>1</v>
      </c>
      <c r="G65" s="354" t="s">
        <v>97</v>
      </c>
      <c r="H65" s="320">
        <v>25300</v>
      </c>
      <c r="I65" s="321" t="b">
        <v>1</v>
      </c>
      <c r="J65" s="322">
        <v>1</v>
      </c>
      <c r="K65" s="323">
        <v>26350</v>
      </c>
      <c r="L65" s="324">
        <f>J65*K65</f>
        <v>26350</v>
      </c>
      <c r="M65" s="325"/>
    </row>
    <row r="66" spans="1:13" ht="13">
      <c r="A66" s="18" t="s">
        <v>1501</v>
      </c>
      <c r="B66" s="316" t="e">
        <f>VLOOKUP($A66,Master!$B$50:$N$232,2,FALSE)</f>
        <v>#N/A</v>
      </c>
      <c r="C66" s="316" t="e">
        <f>VLOOKUP($A66,Master!$B$50:$N$232,8,FALSE)</f>
        <v>#N/A</v>
      </c>
      <c r="D66" s="316" t="e">
        <f>VLOOKUP($A66,Master!$B$50:$N$232,9,FALSE)</f>
        <v>#N/A</v>
      </c>
      <c r="E66" s="317" t="e">
        <f>VLOOKUP($A66,Master!$B$50:$N$232,11,FALSE)</f>
        <v>#N/A</v>
      </c>
      <c r="F66" s="318">
        <v>3</v>
      </c>
      <c r="G66" s="354" t="s">
        <v>741</v>
      </c>
      <c r="H66" s="320">
        <v>4050</v>
      </c>
      <c r="I66" s="321" t="b">
        <v>1</v>
      </c>
      <c r="J66" s="322">
        <v>3</v>
      </c>
      <c r="K66" s="323">
        <v>5950</v>
      </c>
      <c r="L66" s="324">
        <v>16065</v>
      </c>
      <c r="M66" s="325"/>
    </row>
    <row r="67" spans="1:13" ht="13">
      <c r="A67" s="18" t="s">
        <v>949</v>
      </c>
      <c r="B67" s="316" t="e">
        <f>VLOOKUP($A67,Master!$B$50:$N$232,2,FALSE)</f>
        <v>#N/A</v>
      </c>
      <c r="C67" s="316" t="e">
        <f>VLOOKUP($A67,Master!$B$50:$N$232,8,FALSE)</f>
        <v>#N/A</v>
      </c>
      <c r="D67" s="316" t="e">
        <f>VLOOKUP($A67,Master!$B$50:$N$232,9,FALSE)</f>
        <v>#N/A</v>
      </c>
      <c r="E67" s="317" t="e">
        <f>VLOOKUP($A67,Master!$B$50:$N$232,11,FALSE)</f>
        <v>#N/A</v>
      </c>
      <c r="F67" s="318">
        <v>1</v>
      </c>
      <c r="G67" s="354" t="s">
        <v>97</v>
      </c>
      <c r="H67" s="320">
        <v>25752</v>
      </c>
      <c r="I67" s="321" t="b">
        <v>1</v>
      </c>
      <c r="J67" s="322">
        <v>1</v>
      </c>
      <c r="K67" s="323">
        <v>29000</v>
      </c>
      <c r="L67" s="324">
        <f>J67*K67</f>
        <v>29000</v>
      </c>
      <c r="M67" s="325"/>
    </row>
    <row r="68" spans="1:13" ht="13">
      <c r="A68" s="18" t="s">
        <v>1037</v>
      </c>
      <c r="B68" s="316" t="e">
        <f>VLOOKUP($A68,Master!$B$50:$N$232,2,FALSE)</f>
        <v>#N/A</v>
      </c>
      <c r="C68" s="316" t="e">
        <f>VLOOKUP($A68,Master!$B$50:$N$232,8,FALSE)</f>
        <v>#N/A</v>
      </c>
      <c r="D68" s="316" t="e">
        <f>VLOOKUP($A68,Master!$B$50:$N$232,9,FALSE)</f>
        <v>#N/A</v>
      </c>
      <c r="E68" s="317" t="e">
        <f>VLOOKUP($A68,Master!$B$50:$N$232,11,FALSE)</f>
        <v>#N/A</v>
      </c>
      <c r="F68" s="318">
        <v>1</v>
      </c>
      <c r="G68" s="354" t="s">
        <v>62</v>
      </c>
      <c r="H68" s="320">
        <v>22300</v>
      </c>
      <c r="I68" s="321" t="b">
        <v>1</v>
      </c>
      <c r="J68" s="322">
        <v>1</v>
      </c>
      <c r="K68" s="323">
        <v>18100</v>
      </c>
      <c r="L68" s="324">
        <v>15900</v>
      </c>
      <c r="M68" s="325"/>
    </row>
    <row r="69" spans="1:13" ht="13">
      <c r="A69" s="18" t="s">
        <v>1094</v>
      </c>
      <c r="B69" s="316" t="e">
        <f>VLOOKUP($A69,Master!$B$50:$N$232,2,FALSE)</f>
        <v>#N/A</v>
      </c>
      <c r="C69" s="316" t="e">
        <f>VLOOKUP($A69,Master!$B$50:$N$232,8,FALSE)</f>
        <v>#N/A</v>
      </c>
      <c r="D69" s="316" t="e">
        <f>VLOOKUP($A69,Master!$B$50:$N$232,9,FALSE)</f>
        <v>#N/A</v>
      </c>
      <c r="E69" s="317" t="e">
        <f>VLOOKUP($A69,Master!$B$50:$N$232,11,FALSE)</f>
        <v>#N/A</v>
      </c>
      <c r="F69" s="318">
        <v>1</v>
      </c>
      <c r="G69" s="354" t="s">
        <v>62</v>
      </c>
      <c r="H69" s="320">
        <v>17300</v>
      </c>
      <c r="I69" s="321" t="b">
        <v>1</v>
      </c>
      <c r="J69" s="322">
        <v>1</v>
      </c>
      <c r="K69" s="323">
        <v>19650</v>
      </c>
      <c r="L69" s="324">
        <v>19454</v>
      </c>
      <c r="M69" s="325"/>
    </row>
    <row r="70" spans="1:13" ht="13">
      <c r="A70" s="18" t="s">
        <v>651</v>
      </c>
      <c r="B70" s="316" t="str">
        <f>VLOOKUP($A70,Master!$B$50:$N$232,2,FALSE)</f>
        <v>B035</v>
      </c>
      <c r="C70" s="316">
        <f>VLOOKUP($A70,Master!$B$50:$N$232,8,FALSE)</f>
        <v>1000</v>
      </c>
      <c r="D70" s="316" t="str">
        <f>VLOOKUP($A70,Master!$B$50:$N$232,9,FALSE)</f>
        <v>gr</v>
      </c>
      <c r="E70" s="317" t="str">
        <f>VLOOKUP($A70,Master!$B$50:$N$232,11,FALSE)</f>
        <v>Eden Farm</v>
      </c>
      <c r="F70" s="318">
        <v>1</v>
      </c>
      <c r="G70" s="354" t="s">
        <v>36</v>
      </c>
      <c r="H70" s="320">
        <v>9700</v>
      </c>
      <c r="I70" s="321" t="b">
        <v>1</v>
      </c>
      <c r="J70" s="322">
        <v>1</v>
      </c>
      <c r="K70" s="323">
        <v>10800</v>
      </c>
      <c r="L70" s="324">
        <f t="shared" ref="L70:L75" si="2">J70*K70</f>
        <v>10800</v>
      </c>
      <c r="M70" s="325"/>
    </row>
    <row r="71" spans="1:13" ht="13">
      <c r="A71" s="18" t="s">
        <v>655</v>
      </c>
      <c r="B71" s="316" t="str">
        <f>VLOOKUP($A71,Master!$B$50:$N$232,2,FALSE)</f>
        <v>B036</v>
      </c>
      <c r="C71" s="316">
        <f>VLOOKUP($A71,Master!$B$50:$N$232,8,FALSE)</f>
        <v>1000</v>
      </c>
      <c r="D71" s="316" t="str">
        <f>VLOOKUP($A71,Master!$B$50:$N$232,9,FALSE)</f>
        <v>gr</v>
      </c>
      <c r="E71" s="317" t="str">
        <f>VLOOKUP($A71,Master!$B$50:$N$232,11,FALSE)</f>
        <v>Toko Lain</v>
      </c>
      <c r="F71" s="318">
        <v>3</v>
      </c>
      <c r="G71" s="354" t="s">
        <v>36</v>
      </c>
      <c r="H71" s="320">
        <v>146700</v>
      </c>
      <c r="I71" s="321" t="b">
        <v>1</v>
      </c>
      <c r="J71" s="322">
        <v>3</v>
      </c>
      <c r="K71" s="323">
        <v>51800</v>
      </c>
      <c r="L71" s="324">
        <f t="shared" si="2"/>
        <v>155400</v>
      </c>
      <c r="M71" s="325"/>
    </row>
    <row r="72" spans="1:13" ht="13">
      <c r="A72" s="18" t="s">
        <v>667</v>
      </c>
      <c r="B72" s="316" t="str">
        <f>VLOOKUP($A72,Master!$B$50:$N$232,2,FALSE)</f>
        <v>B039</v>
      </c>
      <c r="C72" s="316">
        <f>VLOOKUP($A72,Master!$B$50:$N$232,8,FALSE)</f>
        <v>1000</v>
      </c>
      <c r="D72" s="316" t="str">
        <f>VLOOKUP($A72,Master!$B$50:$N$232,9,FALSE)</f>
        <v>gr</v>
      </c>
      <c r="E72" s="317" t="str">
        <f>VLOOKUP($A72,Master!$B$50:$N$232,11,FALSE)</f>
        <v>Eden Farm</v>
      </c>
      <c r="F72" s="318">
        <v>1</v>
      </c>
      <c r="G72" s="354" t="s">
        <v>36</v>
      </c>
      <c r="H72" s="320">
        <v>89800</v>
      </c>
      <c r="I72" s="321" t="b">
        <v>1</v>
      </c>
      <c r="J72" s="322">
        <v>1</v>
      </c>
      <c r="K72" s="323">
        <v>88700</v>
      </c>
      <c r="L72" s="324">
        <f t="shared" si="2"/>
        <v>88700</v>
      </c>
      <c r="M72" s="325"/>
    </row>
    <row r="73" spans="1:13" ht="13">
      <c r="A73" s="18" t="s">
        <v>671</v>
      </c>
      <c r="B73" s="316" t="str">
        <f>VLOOKUP($A73,Master!$B$50:$N$232,2,FALSE)</f>
        <v>B040</v>
      </c>
      <c r="C73" s="316">
        <f>VLOOKUP($A73,Master!$B$50:$N$232,8,FALSE)</f>
        <v>1000</v>
      </c>
      <c r="D73" s="316" t="str">
        <f>VLOOKUP($A73,Master!$B$50:$N$232,9,FALSE)</f>
        <v>gr</v>
      </c>
      <c r="E73" s="317" t="str">
        <f>VLOOKUP($A73,Master!$B$50:$N$232,11,FALSE)</f>
        <v>Eden Farm</v>
      </c>
      <c r="F73" s="318">
        <v>1</v>
      </c>
      <c r="G73" s="354" t="s">
        <v>36</v>
      </c>
      <c r="H73" s="320">
        <v>28300</v>
      </c>
      <c r="I73" s="321" t="b">
        <v>1</v>
      </c>
      <c r="J73" s="322">
        <v>1</v>
      </c>
      <c r="K73" s="323">
        <v>90400</v>
      </c>
      <c r="L73" s="324">
        <f t="shared" si="2"/>
        <v>90400</v>
      </c>
      <c r="M73" s="325"/>
    </row>
    <row r="74" spans="1:13" ht="13">
      <c r="A74" s="18" t="s">
        <v>712</v>
      </c>
      <c r="B74" s="316" t="str">
        <f>VLOOKUP($A74,Master!$B$50:$N$232,2,FALSE)</f>
        <v>B050</v>
      </c>
      <c r="C74" s="316">
        <f>VLOOKUP($A74,Master!$B$50:$N$232,8,FALSE)</f>
        <v>1000</v>
      </c>
      <c r="D74" s="316" t="str">
        <f>VLOOKUP($A74,Master!$B$50:$N$232,9,FALSE)</f>
        <v>gr</v>
      </c>
      <c r="E74" s="317" t="str">
        <f>VLOOKUP($A74,Master!$B$50:$N$232,11,FALSE)</f>
        <v>Eden Farm</v>
      </c>
      <c r="F74" s="318">
        <v>1</v>
      </c>
      <c r="G74" s="354" t="s">
        <v>36</v>
      </c>
      <c r="H74" s="320">
        <v>24200</v>
      </c>
      <c r="I74" s="321" t="b">
        <v>1</v>
      </c>
      <c r="J74" s="322">
        <v>1</v>
      </c>
      <c r="K74" s="323">
        <v>18100</v>
      </c>
      <c r="L74" s="324">
        <f t="shared" si="2"/>
        <v>18100</v>
      </c>
      <c r="M74" s="325"/>
    </row>
    <row r="75" spans="1:13" ht="13">
      <c r="A75" s="18" t="s">
        <v>732</v>
      </c>
      <c r="B75" s="316" t="str">
        <f>VLOOKUP($A75,Master!$B$50:$N$232,2,FALSE)</f>
        <v>B055</v>
      </c>
      <c r="C75" s="316">
        <f>VLOOKUP($A75,Master!$B$50:$N$232,8,FALSE)</f>
        <v>1000</v>
      </c>
      <c r="D75" s="316" t="str">
        <f>VLOOKUP($A75,Master!$B$50:$N$232,9,FALSE)</f>
        <v>gr</v>
      </c>
      <c r="E75" s="317" t="str">
        <f>VLOOKUP($A75,Master!$B$50:$N$232,11,FALSE)</f>
        <v>Eden Farm</v>
      </c>
      <c r="F75" s="318">
        <v>3</v>
      </c>
      <c r="G75" s="354" t="s">
        <v>36</v>
      </c>
      <c r="H75" s="320">
        <v>56700</v>
      </c>
      <c r="I75" s="321" t="b">
        <v>1</v>
      </c>
      <c r="J75" s="322">
        <v>1</v>
      </c>
      <c r="K75" s="323">
        <v>17500</v>
      </c>
      <c r="L75" s="324">
        <f t="shared" si="2"/>
        <v>17500</v>
      </c>
      <c r="M75" s="325"/>
    </row>
    <row r="76" spans="1:13" ht="13">
      <c r="A76" s="18" t="s">
        <v>744</v>
      </c>
      <c r="B76" s="316" t="str">
        <f>VLOOKUP($A76,Master!$B$50:$N$232,2,FALSE)</f>
        <v>B058</v>
      </c>
      <c r="C76" s="316">
        <f>VLOOKUP($A76,Master!$B$50:$N$232,8,FALSE)</f>
        <v>1000</v>
      </c>
      <c r="D76" s="316" t="str">
        <f>VLOOKUP($A76,Master!$B$50:$N$232,9,FALSE)</f>
        <v>gr</v>
      </c>
      <c r="E76" s="317" t="str">
        <f>VLOOKUP($A76,Master!$B$50:$N$232,11,FALSE)</f>
        <v>Eden Farm</v>
      </c>
      <c r="F76" s="318">
        <v>4</v>
      </c>
      <c r="G76" s="354" t="s">
        <v>306</v>
      </c>
      <c r="H76" s="320">
        <v>44900</v>
      </c>
      <c r="I76" s="321" t="b">
        <v>1</v>
      </c>
      <c r="J76" s="322">
        <v>1</v>
      </c>
      <c r="K76" s="326">
        <f>VLOOKUP($A76,Master!$B$50:$N$232,6,FALSE)</f>
        <v>58600</v>
      </c>
      <c r="L76" s="324">
        <v>40600</v>
      </c>
      <c r="M76" s="325" t="s">
        <v>1577</v>
      </c>
    </row>
    <row r="77" spans="1:13" ht="13">
      <c r="A77" s="18" t="s">
        <v>782</v>
      </c>
      <c r="B77" s="316" t="str">
        <f>VLOOKUP($A77,Master!$B$50:$N$232,2,FALSE)</f>
        <v>B069</v>
      </c>
      <c r="C77" s="316">
        <f>VLOOKUP($A77,Master!$B$50:$N$232,8,FALSE)</f>
        <v>500</v>
      </c>
      <c r="D77" s="316" t="str">
        <f>VLOOKUP($A77,Master!$B$50:$N$232,9,FALSE)</f>
        <v>gr</v>
      </c>
      <c r="E77" s="317" t="str">
        <f>VLOOKUP($A77,Master!$B$50:$N$232,11,FALSE)</f>
        <v>Toko Lain</v>
      </c>
      <c r="F77" s="318">
        <v>2</v>
      </c>
      <c r="G77" s="354" t="s">
        <v>62</v>
      </c>
      <c r="H77" s="320">
        <v>15000</v>
      </c>
      <c r="I77" s="321" t="b">
        <v>1</v>
      </c>
      <c r="J77" s="322">
        <v>2</v>
      </c>
      <c r="K77" s="323">
        <v>7700</v>
      </c>
      <c r="L77" s="324">
        <f t="shared" ref="L77:L81" si="3">J77*K77</f>
        <v>15400</v>
      </c>
      <c r="M77" s="325"/>
    </row>
    <row r="78" spans="1:13" ht="13">
      <c r="A78" s="18" t="s">
        <v>1050</v>
      </c>
      <c r="B78" s="316" t="e">
        <f>VLOOKUP($A78,Master!$B$50:$N$232,2,FALSE)</f>
        <v>#N/A</v>
      </c>
      <c r="C78" s="316" t="e">
        <f>VLOOKUP($A78,Master!$B$50:$N$232,8,FALSE)</f>
        <v>#N/A</v>
      </c>
      <c r="D78" s="316" t="e">
        <f>VLOOKUP($A78,Master!$B$50:$N$232,9,FALSE)</f>
        <v>#N/A</v>
      </c>
      <c r="E78" s="317" t="e">
        <f>VLOOKUP($A78,Master!$B$50:$N$232,11,FALSE)</f>
        <v>#N/A</v>
      </c>
      <c r="F78" s="318">
        <v>0.5</v>
      </c>
      <c r="G78" s="354" t="s">
        <v>36</v>
      </c>
      <c r="H78" s="320">
        <v>8700</v>
      </c>
      <c r="I78" s="321" t="b">
        <v>1</v>
      </c>
      <c r="J78" s="322">
        <v>0.5</v>
      </c>
      <c r="K78" s="323">
        <v>8300</v>
      </c>
      <c r="L78" s="324">
        <f t="shared" si="3"/>
        <v>4150</v>
      </c>
      <c r="M78" s="325"/>
    </row>
    <row r="79" spans="1:13" ht="13">
      <c r="A79" s="18" t="s">
        <v>659</v>
      </c>
      <c r="B79" s="316" t="str">
        <f>VLOOKUP($A79,Master!$B$50:$N$232,2,FALSE)</f>
        <v>B037</v>
      </c>
      <c r="C79" s="316">
        <f>VLOOKUP($A79,Master!$B$50:$N$232,8,FALSE)</f>
        <v>15</v>
      </c>
      <c r="D79" s="316" t="str">
        <f>VLOOKUP($A79,Master!$B$50:$N$232,9,FALSE)</f>
        <v>pcs</v>
      </c>
      <c r="E79" s="317" t="str">
        <f>VLOOKUP($A79,Master!$B$50:$N$232,11,FALSE)</f>
        <v>Feri Supriadi (Telur , Beras , Minyak )</v>
      </c>
      <c r="F79" s="318">
        <v>3</v>
      </c>
      <c r="G79" s="354" t="s">
        <v>36</v>
      </c>
      <c r="H79" s="320">
        <v>82500</v>
      </c>
      <c r="I79" s="321" t="b">
        <v>1</v>
      </c>
      <c r="J79" s="322">
        <v>3</v>
      </c>
      <c r="K79" s="323">
        <v>28700</v>
      </c>
      <c r="L79" s="324">
        <f t="shared" si="3"/>
        <v>86100</v>
      </c>
      <c r="M79" s="325"/>
    </row>
    <row r="80" spans="1:13" ht="13">
      <c r="A80" s="18" t="s">
        <v>1574</v>
      </c>
      <c r="B80" s="316" t="str">
        <f>VLOOKUP($A80,Master!$B$50:$N$232,2,FALSE)</f>
        <v>B062</v>
      </c>
      <c r="C80" s="316">
        <f>VLOOKUP($A80,Master!$B$50:$N$232,8,FALSE)</f>
        <v>25000</v>
      </c>
      <c r="D80" s="316" t="str">
        <f>VLOOKUP($A80,Master!$B$50:$N$232,9,FALSE)</f>
        <v>gr</v>
      </c>
      <c r="E80" s="317" t="str">
        <f>VLOOKUP($A80,Master!$B$50:$N$232,11,FALSE)</f>
        <v>Feri Supriadi (Telur , Beras , Minyak )</v>
      </c>
      <c r="F80" s="318">
        <v>20</v>
      </c>
      <c r="G80" s="354" t="s">
        <v>36</v>
      </c>
      <c r="H80" s="320">
        <v>2900000</v>
      </c>
      <c r="I80" s="321" t="b">
        <v>1</v>
      </c>
      <c r="J80" s="322">
        <v>20</v>
      </c>
      <c r="K80" s="323">
        <v>11600</v>
      </c>
      <c r="L80" s="324">
        <f t="shared" si="3"/>
        <v>232000</v>
      </c>
      <c r="M80" s="325"/>
    </row>
    <row r="81" spans="1:13" ht="13">
      <c r="A81" s="18" t="s">
        <v>843</v>
      </c>
      <c r="B81" s="316" t="str">
        <f>VLOOKUP($A81,Master!$B$50:$N$232,2,FALSE)</f>
        <v>B085</v>
      </c>
      <c r="C81" s="316">
        <f>VLOOKUP($A81,Master!$B$50:$N$232,8,FALSE)</f>
        <v>50</v>
      </c>
      <c r="D81" s="316" t="str">
        <f>VLOOKUP($A81,Master!$B$50:$N$232,9,FALSE)</f>
        <v>pcs</v>
      </c>
      <c r="E81" s="317" t="str">
        <f>VLOOKUP($A81,Master!$B$50:$N$232,11,FALSE)</f>
        <v>Lingga Jaya Pack</v>
      </c>
      <c r="F81" s="318">
        <v>2</v>
      </c>
      <c r="G81" s="354" t="s">
        <v>62</v>
      </c>
      <c r="H81" s="320">
        <v>1900</v>
      </c>
      <c r="I81" s="321" t="b">
        <v>1</v>
      </c>
      <c r="J81" s="322">
        <v>2</v>
      </c>
      <c r="K81" s="323">
        <v>28000</v>
      </c>
      <c r="L81" s="324">
        <f t="shared" si="3"/>
        <v>56000</v>
      </c>
      <c r="M81" s="325"/>
    </row>
    <row r="82" spans="1:13" ht="13">
      <c r="A82" s="18" t="s">
        <v>663</v>
      </c>
      <c r="B82" s="316" t="str">
        <f>VLOOKUP($A82,Master!$B$50:$N$232,2,FALSE)</f>
        <v>B038</v>
      </c>
      <c r="C82" s="316">
        <f>VLOOKUP($A82,Master!$B$50:$N$232,8,FALSE)</f>
        <v>1000</v>
      </c>
      <c r="D82" s="316" t="str">
        <f>VLOOKUP($A82,Master!$B$50:$N$232,9,FALSE)</f>
        <v>gr</v>
      </c>
      <c r="E82" s="317" t="str">
        <f>VLOOKUP($A82,Master!$B$50:$N$232,11,FALSE)</f>
        <v>Toko Lain</v>
      </c>
      <c r="F82" s="318">
        <v>2</v>
      </c>
      <c r="G82" s="354" t="s">
        <v>36</v>
      </c>
      <c r="H82" s="320">
        <v>89000</v>
      </c>
      <c r="I82" s="321" t="b">
        <v>1</v>
      </c>
      <c r="J82" s="322">
        <v>2.1280000000000001</v>
      </c>
      <c r="K82" s="326">
        <f>VLOOKUP($A82,Master!$B$50:$N$232,6,FALSE)</f>
        <v>45000</v>
      </c>
      <c r="L82" s="324">
        <v>85228</v>
      </c>
      <c r="M82" s="325" t="s">
        <v>1578</v>
      </c>
    </row>
    <row r="83" spans="1:13" ht="13">
      <c r="A83" s="18" t="s">
        <v>675</v>
      </c>
      <c r="B83" s="316" t="str">
        <f>VLOOKUP($A83,Master!$B$50:$N$232,2,FALSE)</f>
        <v>B041</v>
      </c>
      <c r="C83" s="316">
        <f>VLOOKUP($A83,Master!$B$50:$N$232,8,FALSE)</f>
        <v>20</v>
      </c>
      <c r="D83" s="316" t="str">
        <f>VLOOKUP($A83,Master!$B$50:$N$232,9,FALSE)</f>
        <v>unit</v>
      </c>
      <c r="E83" s="317" t="str">
        <f>VLOOKUP($A83,Master!$B$50:$N$232,11,FALSE)</f>
        <v>RSB, Dago</v>
      </c>
      <c r="F83" s="318">
        <v>10</v>
      </c>
      <c r="G83" s="354" t="s">
        <v>62</v>
      </c>
      <c r="H83" s="320">
        <v>60000</v>
      </c>
      <c r="I83" s="321" t="b">
        <v>1</v>
      </c>
      <c r="J83" s="322">
        <v>15</v>
      </c>
      <c r="K83" s="326">
        <f>VLOOKUP($A83,Master!$B$50:$N$232,6,FALSE)</f>
        <v>13500</v>
      </c>
      <c r="L83" s="327">
        <f t="shared" ref="L83:L101" si="4">J83*K83</f>
        <v>202500</v>
      </c>
      <c r="M83" s="325"/>
    </row>
    <row r="84" spans="1:13" ht="13">
      <c r="A84" s="18" t="s">
        <v>889</v>
      </c>
      <c r="B84" s="316" t="str">
        <f>VLOOKUP($A84,Master!$B$50:$N$232,2,FALSE)</f>
        <v>B099</v>
      </c>
      <c r="C84" s="316">
        <f>VLOOKUP($A84,Master!$B$50:$N$232,8,FALSE)</f>
        <v>10</v>
      </c>
      <c r="D84" s="316" t="str">
        <f>VLOOKUP($A84,Master!$B$50:$N$232,9,FALSE)</f>
        <v>sachet</v>
      </c>
      <c r="E84" s="317" t="str">
        <f>VLOOKUP($A84,Master!$B$50:$N$232,11,FALSE)</f>
        <v>Pasar Cihapit</v>
      </c>
      <c r="F84" s="318">
        <v>1</v>
      </c>
      <c r="G84" s="354" t="s">
        <v>62</v>
      </c>
      <c r="H84" s="320">
        <v>22000</v>
      </c>
      <c r="I84" s="321" t="b">
        <v>1</v>
      </c>
      <c r="J84" s="322">
        <v>1</v>
      </c>
      <c r="K84" s="323">
        <v>20000</v>
      </c>
      <c r="L84" s="324">
        <f t="shared" si="4"/>
        <v>20000</v>
      </c>
      <c r="M84" s="325"/>
    </row>
    <row r="85" spans="1:13" ht="13">
      <c r="A85" s="18" t="s">
        <v>528</v>
      </c>
      <c r="B85" s="316" t="e">
        <f>VLOOKUP($A85,Master!$B$50:$N$232,2,FALSE)</f>
        <v>#N/A</v>
      </c>
      <c r="C85" s="316" t="e">
        <f>VLOOKUP($A85,Master!$B$50:$N$232,8,FALSE)</f>
        <v>#N/A</v>
      </c>
      <c r="D85" s="316" t="e">
        <f>VLOOKUP($A85,Master!$B$50:$N$232,9,FALSE)</f>
        <v>#N/A</v>
      </c>
      <c r="E85" s="317" t="e">
        <f>VLOOKUP($A85,Master!$B$50:$N$232,11,FALSE)</f>
        <v>#N/A</v>
      </c>
      <c r="F85" s="318">
        <v>2</v>
      </c>
      <c r="G85" s="354" t="s">
        <v>50</v>
      </c>
      <c r="H85" s="320">
        <v>32000</v>
      </c>
      <c r="I85" s="321" t="b">
        <v>1</v>
      </c>
      <c r="J85" s="322">
        <v>2</v>
      </c>
      <c r="K85" s="326" t="e">
        <f>VLOOKUP($A85,Master!$B$50:$N$232,6,FALSE)</f>
        <v>#N/A</v>
      </c>
      <c r="L85" s="327" t="e">
        <f t="shared" si="4"/>
        <v>#N/A</v>
      </c>
      <c r="M85" s="325"/>
    </row>
    <row r="86" spans="1:13" ht="13">
      <c r="A86" s="18" t="s">
        <v>635</v>
      </c>
      <c r="B86" s="316" t="e">
        <f>VLOOKUP($A86,Master!$B$50:$N$232,2,FALSE)</f>
        <v>#N/A</v>
      </c>
      <c r="C86" s="316" t="e">
        <f>VLOOKUP($A86,Master!$B$50:$N$232,8,FALSE)</f>
        <v>#N/A</v>
      </c>
      <c r="D86" s="316" t="e">
        <f>VLOOKUP($A86,Master!$B$50:$N$232,9,FALSE)</f>
        <v>#N/A</v>
      </c>
      <c r="E86" s="317" t="e">
        <f>VLOOKUP($A86,Master!$B$50:$N$232,11,FALSE)</f>
        <v>#N/A</v>
      </c>
      <c r="F86" s="318">
        <v>4</v>
      </c>
      <c r="G86" s="354" t="s">
        <v>50</v>
      </c>
      <c r="H86" s="320">
        <v>37600</v>
      </c>
      <c r="I86" s="321" t="b">
        <v>1</v>
      </c>
      <c r="J86" s="322">
        <v>4</v>
      </c>
      <c r="K86" s="323">
        <v>11000</v>
      </c>
      <c r="L86" s="324">
        <f t="shared" si="4"/>
        <v>44000</v>
      </c>
      <c r="M86" s="325"/>
    </row>
    <row r="87" spans="1:13" ht="13">
      <c r="A87" s="18" t="s">
        <v>680</v>
      </c>
      <c r="B87" s="316" t="e">
        <f>VLOOKUP($A87,Master!$B$50:$N$232,2,FALSE)</f>
        <v>#N/A</v>
      </c>
      <c r="C87" s="316" t="e">
        <f>VLOOKUP($A87,Master!$B$50:$N$232,8,FALSE)</f>
        <v>#N/A</v>
      </c>
      <c r="D87" s="316" t="e">
        <f>VLOOKUP($A87,Master!$B$50:$N$232,9,FALSE)</f>
        <v>#N/A</v>
      </c>
      <c r="E87" s="317" t="e">
        <f>VLOOKUP($A87,Master!$B$50:$N$232,11,FALSE)</f>
        <v>#N/A</v>
      </c>
      <c r="F87" s="318">
        <v>4</v>
      </c>
      <c r="G87" s="354" t="s">
        <v>97</v>
      </c>
      <c r="H87" s="320">
        <v>120000</v>
      </c>
      <c r="I87" s="321" t="b">
        <v>1</v>
      </c>
      <c r="J87" s="322">
        <v>10</v>
      </c>
      <c r="K87" s="323">
        <v>32000</v>
      </c>
      <c r="L87" s="324">
        <f t="shared" si="4"/>
        <v>320000</v>
      </c>
      <c r="M87" s="325"/>
    </row>
    <row r="88" spans="1:13" ht="13">
      <c r="A88" s="18" t="s">
        <v>684</v>
      </c>
      <c r="B88" s="316" t="e">
        <f>VLOOKUP($A88,Master!$B$50:$N$232,2,FALSE)</f>
        <v>#N/A</v>
      </c>
      <c r="C88" s="316" t="e">
        <f>VLOOKUP($A88,Master!$B$50:$N$232,8,FALSE)</f>
        <v>#N/A</v>
      </c>
      <c r="D88" s="316" t="e">
        <f>VLOOKUP($A88,Master!$B$50:$N$232,9,FALSE)</f>
        <v>#N/A</v>
      </c>
      <c r="E88" s="317" t="e">
        <f>VLOOKUP($A88,Master!$B$50:$N$232,11,FALSE)</f>
        <v>#N/A</v>
      </c>
      <c r="F88" s="318">
        <v>2</v>
      </c>
      <c r="G88" s="354" t="s">
        <v>97</v>
      </c>
      <c r="H88" s="320">
        <v>60000</v>
      </c>
      <c r="I88" s="321" t="b">
        <v>1</v>
      </c>
      <c r="J88" s="322">
        <v>2</v>
      </c>
      <c r="K88" s="326" t="e">
        <f>VLOOKUP($A88,Master!$B$50:$N$232,6,FALSE)</f>
        <v>#N/A</v>
      </c>
      <c r="L88" s="327" t="e">
        <f t="shared" si="4"/>
        <v>#N/A</v>
      </c>
      <c r="M88" s="325"/>
    </row>
    <row r="89" spans="1:13" ht="13">
      <c r="A89" s="18" t="s">
        <v>688</v>
      </c>
      <c r="B89" s="316" t="e">
        <f>VLOOKUP($A89,Master!$B$50:$N$232,2,FALSE)</f>
        <v>#N/A</v>
      </c>
      <c r="C89" s="316" t="e">
        <f>VLOOKUP($A89,Master!$B$50:$N$232,8,FALSE)</f>
        <v>#N/A</v>
      </c>
      <c r="D89" s="316" t="e">
        <f>VLOOKUP($A89,Master!$B$50:$N$232,9,FALSE)</f>
        <v>#N/A</v>
      </c>
      <c r="E89" s="317" t="e">
        <f>VLOOKUP($A89,Master!$B$50:$N$232,11,FALSE)</f>
        <v>#N/A</v>
      </c>
      <c r="F89" s="318">
        <v>2</v>
      </c>
      <c r="G89" s="354" t="s">
        <v>62</v>
      </c>
      <c r="H89" s="320">
        <v>125000</v>
      </c>
      <c r="I89" s="321" t="b">
        <v>1</v>
      </c>
      <c r="J89" s="322">
        <v>2</v>
      </c>
      <c r="K89" s="323">
        <v>62000</v>
      </c>
      <c r="L89" s="324">
        <f t="shared" si="4"/>
        <v>124000</v>
      </c>
      <c r="M89" s="325"/>
    </row>
    <row r="90" spans="1:13" ht="13">
      <c r="A90" s="18" t="s">
        <v>696</v>
      </c>
      <c r="B90" s="316" t="e">
        <f>VLOOKUP($A90,Master!$B$50:$N$232,2,FALSE)</f>
        <v>#N/A</v>
      </c>
      <c r="C90" s="316" t="e">
        <f>VLOOKUP($A90,Master!$B$50:$N$232,8,FALSE)</f>
        <v>#N/A</v>
      </c>
      <c r="D90" s="316" t="e">
        <f>VLOOKUP($A90,Master!$B$50:$N$232,9,FALSE)</f>
        <v>#N/A</v>
      </c>
      <c r="E90" s="317" t="e">
        <f>VLOOKUP($A90,Master!$B$50:$N$232,11,FALSE)</f>
        <v>#N/A</v>
      </c>
      <c r="F90" s="318">
        <v>2</v>
      </c>
      <c r="G90" s="354" t="s">
        <v>62</v>
      </c>
      <c r="H90" s="320">
        <v>28000</v>
      </c>
      <c r="I90" s="321" t="b">
        <v>1</v>
      </c>
      <c r="J90" s="322">
        <v>2</v>
      </c>
      <c r="K90" s="323">
        <v>13250</v>
      </c>
      <c r="L90" s="324">
        <f t="shared" si="4"/>
        <v>26500</v>
      </c>
      <c r="M90" s="325"/>
    </row>
    <row r="91" spans="1:13" ht="13">
      <c r="A91" s="18" t="s">
        <v>1579</v>
      </c>
      <c r="B91" s="316" t="e">
        <f>VLOOKUP($A91,Master!$B$50:$N$232,2,FALSE)</f>
        <v>#N/A</v>
      </c>
      <c r="C91" s="316" t="e">
        <f>VLOOKUP($A91,Master!$B$50:$N$232,8,FALSE)</f>
        <v>#N/A</v>
      </c>
      <c r="D91" s="316" t="e">
        <f>VLOOKUP($A91,Master!$B$50:$N$232,9,FALSE)</f>
        <v>#N/A</v>
      </c>
      <c r="E91" s="317" t="e">
        <f>VLOOKUP($A91,Master!$B$50:$N$232,11,FALSE)</f>
        <v>#N/A</v>
      </c>
      <c r="F91" s="318">
        <v>1</v>
      </c>
      <c r="G91" s="354" t="s">
        <v>143</v>
      </c>
      <c r="H91" s="320">
        <v>475000</v>
      </c>
      <c r="I91" s="321" t="b">
        <v>1</v>
      </c>
      <c r="J91" s="322">
        <v>1</v>
      </c>
      <c r="K91" s="323">
        <v>470000</v>
      </c>
      <c r="L91" s="324">
        <f t="shared" si="4"/>
        <v>470000</v>
      </c>
      <c r="M91" s="325"/>
    </row>
    <row r="92" spans="1:13" ht="13">
      <c r="A92" s="18" t="s">
        <v>720</v>
      </c>
      <c r="B92" s="316" t="str">
        <f>VLOOKUP($A92,Master!$B$50:$N$232,2,FALSE)</f>
        <v>B052</v>
      </c>
      <c r="C92" s="316">
        <f>VLOOKUP($A92,Master!$B$50:$N$232,8,FALSE)</f>
        <v>100</v>
      </c>
      <c r="D92" s="316" t="str">
        <f>VLOOKUP($A92,Master!$B$50:$N$232,9,FALSE)</f>
        <v>gr</v>
      </c>
      <c r="E92" s="317" t="str">
        <f>VLOOKUP($A92,Master!$B$50:$N$232,11,FALSE)</f>
        <v>PD Aroma Jaya</v>
      </c>
      <c r="F92" s="318">
        <v>4</v>
      </c>
      <c r="G92" s="354" t="s">
        <v>62</v>
      </c>
      <c r="H92" s="320">
        <v>112000</v>
      </c>
      <c r="I92" s="321" t="b">
        <v>1</v>
      </c>
      <c r="J92" s="322">
        <v>2</v>
      </c>
      <c r="K92" s="326">
        <f>VLOOKUP($A92,Master!$B$50:$N$232,6,FALSE)</f>
        <v>28000</v>
      </c>
      <c r="L92" s="327">
        <f t="shared" si="4"/>
        <v>56000</v>
      </c>
      <c r="M92" s="325"/>
    </row>
    <row r="93" spans="1:13" ht="13">
      <c r="A93" s="18" t="s">
        <v>748</v>
      </c>
      <c r="B93" s="316" t="e">
        <f>VLOOKUP($A93,Master!$B$50:$N$232,2,FALSE)</f>
        <v>#N/A</v>
      </c>
      <c r="C93" s="316" t="e">
        <f>VLOOKUP($A93,Master!$B$50:$N$232,8,FALSE)</f>
        <v>#N/A</v>
      </c>
      <c r="D93" s="316" t="e">
        <f>VLOOKUP($A93,Master!$B$50:$N$232,9,FALSE)</f>
        <v>#N/A</v>
      </c>
      <c r="E93" s="317" t="e">
        <f>VLOOKUP($A93,Master!$B$50:$N$232,11,FALSE)</f>
        <v>#N/A</v>
      </c>
      <c r="F93" s="318">
        <v>3</v>
      </c>
      <c r="G93" s="354" t="s">
        <v>62</v>
      </c>
      <c r="H93" s="320">
        <v>82500</v>
      </c>
      <c r="I93" s="321" t="b">
        <v>1</v>
      </c>
      <c r="J93" s="322">
        <v>3</v>
      </c>
      <c r="K93" s="326" t="e">
        <f>VLOOKUP($A93,Master!$B$50:$N$232,6,FALSE)</f>
        <v>#N/A</v>
      </c>
      <c r="L93" s="327" t="e">
        <f t="shared" si="4"/>
        <v>#N/A</v>
      </c>
      <c r="M93" s="325"/>
    </row>
    <row r="94" spans="1:13" ht="13">
      <c r="A94" s="18" t="s">
        <v>752</v>
      </c>
      <c r="B94" s="316" t="e">
        <f>VLOOKUP($A94,Master!$B$50:$N$232,2,FALSE)</f>
        <v>#N/A</v>
      </c>
      <c r="C94" s="316" t="e">
        <f>VLOOKUP($A94,Master!$B$50:$N$232,8,FALSE)</f>
        <v>#N/A</v>
      </c>
      <c r="D94" s="316" t="e">
        <f>VLOOKUP($A94,Master!$B$50:$N$232,9,FALSE)</f>
        <v>#N/A</v>
      </c>
      <c r="E94" s="317" t="e">
        <f>VLOOKUP($A94,Master!$B$50:$N$232,11,FALSE)</f>
        <v>#N/A</v>
      </c>
      <c r="F94" s="318">
        <v>1</v>
      </c>
      <c r="G94" s="354" t="s">
        <v>62</v>
      </c>
      <c r="H94" s="320">
        <v>38000</v>
      </c>
      <c r="I94" s="321" t="b">
        <v>1</v>
      </c>
      <c r="J94" s="322">
        <v>1</v>
      </c>
      <c r="K94" s="326" t="e">
        <f>VLOOKUP($A94,Master!$B$50:$N$232,6,FALSE)</f>
        <v>#N/A</v>
      </c>
      <c r="L94" s="327" t="e">
        <f t="shared" si="4"/>
        <v>#N/A</v>
      </c>
      <c r="M94" s="325"/>
    </row>
    <row r="95" spans="1:13" ht="13">
      <c r="A95" s="18" t="s">
        <v>767</v>
      </c>
      <c r="B95" s="316" t="e">
        <f>VLOOKUP($A95,Master!$B$50:$N$232,2,FALSE)</f>
        <v>#N/A</v>
      </c>
      <c r="C95" s="316" t="e">
        <f>VLOOKUP($A95,Master!$B$50:$N$232,8,FALSE)</f>
        <v>#N/A</v>
      </c>
      <c r="D95" s="316" t="e">
        <f>VLOOKUP($A95,Master!$B$50:$N$232,9,FALSE)</f>
        <v>#N/A</v>
      </c>
      <c r="E95" s="317" t="e">
        <f>VLOOKUP($A95,Master!$B$50:$N$232,11,FALSE)</f>
        <v>#N/A</v>
      </c>
      <c r="F95" s="318">
        <v>1</v>
      </c>
      <c r="G95" s="354" t="s">
        <v>62</v>
      </c>
      <c r="H95" s="320">
        <v>19500</v>
      </c>
      <c r="I95" s="321" t="b">
        <v>1</v>
      </c>
      <c r="J95" s="322">
        <v>1</v>
      </c>
      <c r="K95" s="326" t="e">
        <f>VLOOKUP($A95,Master!$B$50:$N$232,6,FALSE)</f>
        <v>#N/A</v>
      </c>
      <c r="L95" s="327" t="e">
        <f t="shared" si="4"/>
        <v>#N/A</v>
      </c>
      <c r="M95" s="325"/>
    </row>
    <row r="96" spans="1:13" ht="13">
      <c r="A96" s="18" t="s">
        <v>773</v>
      </c>
      <c r="B96" s="316" t="e">
        <f>VLOOKUP($A96,Master!$B$50:$N$232,2,FALSE)</f>
        <v>#N/A</v>
      </c>
      <c r="C96" s="316" t="e">
        <f>VLOOKUP($A96,Master!$B$50:$N$232,8,FALSE)</f>
        <v>#N/A</v>
      </c>
      <c r="D96" s="316" t="e">
        <f>VLOOKUP($A96,Master!$B$50:$N$232,9,FALSE)</f>
        <v>#N/A</v>
      </c>
      <c r="E96" s="317" t="e">
        <f>VLOOKUP($A96,Master!$B$50:$N$232,11,FALSE)</f>
        <v>#N/A</v>
      </c>
      <c r="F96" s="318">
        <v>3</v>
      </c>
      <c r="G96" s="354" t="s">
        <v>62</v>
      </c>
      <c r="H96" s="320">
        <v>42000</v>
      </c>
      <c r="I96" s="321" t="b">
        <v>1</v>
      </c>
      <c r="J96" s="322">
        <v>3</v>
      </c>
      <c r="K96" s="326" t="e">
        <f>VLOOKUP($A96,Master!$B$50:$N$232,6,FALSE)</f>
        <v>#N/A</v>
      </c>
      <c r="L96" s="327" t="e">
        <f t="shared" si="4"/>
        <v>#N/A</v>
      </c>
      <c r="M96" s="325"/>
    </row>
    <row r="97" spans="1:13" ht="13">
      <c r="A97" s="18" t="s">
        <v>785</v>
      </c>
      <c r="B97" s="316" t="e">
        <f>VLOOKUP($A97,Master!$B$50:$N$232,2,FALSE)</f>
        <v>#N/A</v>
      </c>
      <c r="C97" s="316" t="e">
        <f>VLOOKUP($A97,Master!$B$50:$N$232,8,FALSE)</f>
        <v>#N/A</v>
      </c>
      <c r="D97" s="316" t="e">
        <f>VLOOKUP($A97,Master!$B$50:$N$232,9,FALSE)</f>
        <v>#N/A</v>
      </c>
      <c r="E97" s="317" t="e">
        <f>VLOOKUP($A97,Master!$B$50:$N$232,11,FALSE)</f>
        <v>#N/A</v>
      </c>
      <c r="F97" s="318">
        <v>1</v>
      </c>
      <c r="G97" s="354" t="s">
        <v>62</v>
      </c>
      <c r="H97" s="320">
        <v>44500</v>
      </c>
      <c r="I97" s="321" t="b">
        <v>1</v>
      </c>
      <c r="J97" s="322">
        <v>1</v>
      </c>
      <c r="K97" s="323">
        <v>45000</v>
      </c>
      <c r="L97" s="324">
        <f t="shared" si="4"/>
        <v>45000</v>
      </c>
      <c r="M97" s="325"/>
    </row>
    <row r="98" spans="1:13" ht="13">
      <c r="A98" s="18" t="s">
        <v>787</v>
      </c>
      <c r="B98" s="316" t="e">
        <f>VLOOKUP($A98,Master!$B$50:$N$232,2,FALSE)</f>
        <v>#N/A</v>
      </c>
      <c r="C98" s="316" t="e">
        <f>VLOOKUP($A98,Master!$B$50:$N$232,8,FALSE)</f>
        <v>#N/A</v>
      </c>
      <c r="D98" s="316" t="e">
        <f>VLOOKUP($A98,Master!$B$50:$N$232,9,FALSE)</f>
        <v>#N/A</v>
      </c>
      <c r="E98" s="317" t="e">
        <f>VLOOKUP($A98,Master!$B$50:$N$232,11,FALSE)</f>
        <v>#N/A</v>
      </c>
      <c r="F98" s="318">
        <v>1</v>
      </c>
      <c r="G98" s="354" t="s">
        <v>97</v>
      </c>
      <c r="H98" s="320">
        <v>20250</v>
      </c>
      <c r="I98" s="321" t="b">
        <v>1</v>
      </c>
      <c r="J98" s="322">
        <v>1</v>
      </c>
      <c r="K98" s="326" t="e">
        <f>VLOOKUP($A98,Master!$B$50:$N$232,6,FALSE)</f>
        <v>#N/A</v>
      </c>
      <c r="L98" s="327" t="e">
        <f t="shared" si="4"/>
        <v>#N/A</v>
      </c>
      <c r="M98" s="325"/>
    </row>
    <row r="99" spans="1:13" ht="13">
      <c r="A99" s="18" t="s">
        <v>799</v>
      </c>
      <c r="B99" s="316" t="str">
        <f>VLOOKUP($A99,Master!$B$50:$N$232,2,FALSE)</f>
        <v>B074</v>
      </c>
      <c r="C99" s="316">
        <f>VLOOKUP($A99,Master!$B$50:$N$232,8,FALSE)</f>
        <v>1000</v>
      </c>
      <c r="D99" s="316" t="str">
        <f>VLOOKUP($A99,Master!$B$50:$N$232,9,FALSE)</f>
        <v>gr</v>
      </c>
      <c r="E99" s="317" t="str">
        <f>VLOOKUP($A99,Master!$B$50:$N$232,11,FALSE)</f>
        <v>PD Aroma Jaya</v>
      </c>
      <c r="F99" s="318">
        <v>0.5</v>
      </c>
      <c r="G99" s="354" t="s">
        <v>36</v>
      </c>
      <c r="H99" s="320">
        <v>88000</v>
      </c>
      <c r="I99" s="321" t="b">
        <v>1</v>
      </c>
      <c r="J99" s="322">
        <v>0.5</v>
      </c>
      <c r="K99" s="323">
        <v>88000</v>
      </c>
      <c r="L99" s="324">
        <f t="shared" si="4"/>
        <v>44000</v>
      </c>
      <c r="M99" s="325"/>
    </row>
    <row r="100" spans="1:13" ht="13">
      <c r="A100" s="18" t="s">
        <v>831</v>
      </c>
      <c r="B100" s="316" t="str">
        <f>VLOOKUP($A100,Master!$B$50:$N$232,2,FALSE)</f>
        <v>B082</v>
      </c>
      <c r="C100" s="316">
        <f>VLOOKUP($A100,Master!$B$50:$N$232,8,FALSE)</f>
        <v>1000</v>
      </c>
      <c r="D100" s="316" t="str">
        <f>VLOOKUP($A100,Master!$B$50:$N$232,9,FALSE)</f>
        <v>gr</v>
      </c>
      <c r="E100" s="317" t="str">
        <f>VLOOKUP($A100,Master!$B$50:$N$232,11,FALSE)</f>
        <v>PD Aroma Jaya</v>
      </c>
      <c r="F100" s="318">
        <v>0.5</v>
      </c>
      <c r="G100" s="354" t="s">
        <v>36</v>
      </c>
      <c r="H100" s="320">
        <v>9000</v>
      </c>
      <c r="I100" s="321" t="b">
        <v>1</v>
      </c>
      <c r="J100" s="322">
        <v>1</v>
      </c>
      <c r="K100" s="323">
        <v>18500</v>
      </c>
      <c r="L100" s="324">
        <f t="shared" si="4"/>
        <v>18500</v>
      </c>
      <c r="M100" s="325"/>
    </row>
    <row r="101" spans="1:13" ht="13">
      <c r="A101" s="18" t="s">
        <v>892</v>
      </c>
      <c r="B101" s="316" t="e">
        <f>VLOOKUP($A101,Master!$B$50:$N$232,2,FALSE)</f>
        <v>#N/A</v>
      </c>
      <c r="C101" s="316" t="e">
        <f>VLOOKUP($A101,Master!$B$50:$N$232,8,FALSE)</f>
        <v>#N/A</v>
      </c>
      <c r="D101" s="316" t="e">
        <f>VLOOKUP($A101,Master!$B$50:$N$232,9,FALSE)</f>
        <v>#N/A</v>
      </c>
      <c r="E101" s="317" t="e">
        <f>VLOOKUP($A101,Master!$B$50:$N$232,11,FALSE)</f>
        <v>#N/A</v>
      </c>
      <c r="F101" s="318">
        <v>2</v>
      </c>
      <c r="G101" s="354" t="s">
        <v>36</v>
      </c>
      <c r="H101" s="320">
        <v>215000</v>
      </c>
      <c r="I101" s="321" t="b">
        <v>1</v>
      </c>
      <c r="J101" s="322">
        <v>1</v>
      </c>
      <c r="K101" s="322">
        <v>221450</v>
      </c>
      <c r="L101" s="324">
        <f t="shared" si="4"/>
        <v>221450</v>
      </c>
      <c r="M101" s="325"/>
    </row>
    <row r="102" spans="1:13" ht="13">
      <c r="A102" s="18" t="s">
        <v>934</v>
      </c>
      <c r="B102" s="316" t="e">
        <f>VLOOKUP($A102,Master!$B$50:$N$232,2,FALSE)</f>
        <v>#N/A</v>
      </c>
      <c r="C102" s="316" t="e">
        <f>VLOOKUP($A102,Master!$B$50:$N$232,8,FALSE)</f>
        <v>#N/A</v>
      </c>
      <c r="D102" s="316" t="e">
        <f>VLOOKUP($A102,Master!$B$50:$N$232,9,FALSE)</f>
        <v>#N/A</v>
      </c>
      <c r="E102" s="317" t="e">
        <f>VLOOKUP($A102,Master!$B$50:$N$232,11,FALSE)</f>
        <v>#N/A</v>
      </c>
      <c r="F102" s="318">
        <v>3</v>
      </c>
      <c r="G102" s="354" t="s">
        <v>62</v>
      </c>
      <c r="H102" s="320">
        <v>23700</v>
      </c>
      <c r="I102" s="321" t="b">
        <v>1</v>
      </c>
      <c r="J102" s="322">
        <v>3</v>
      </c>
      <c r="K102" s="323">
        <v>8500</v>
      </c>
      <c r="L102" s="324">
        <v>25245</v>
      </c>
      <c r="M102" s="325"/>
    </row>
    <row r="103" spans="1:13" ht="13">
      <c r="A103" s="18" t="s">
        <v>989</v>
      </c>
      <c r="B103" s="316" t="str">
        <f>VLOOKUP($A103,Master!$B$50:$N$232,2,FALSE)</f>
        <v>B133</v>
      </c>
      <c r="C103" s="316">
        <f>VLOOKUP($A103,Master!$B$50:$N$232,8,FALSE)</f>
        <v>5000</v>
      </c>
      <c r="D103" s="316" t="str">
        <f>VLOOKUP($A103,Master!$B$50:$N$232,9,FALSE)</f>
        <v>ml</v>
      </c>
      <c r="E103" s="317" t="str">
        <f>VLOOKUP($A103,Master!$B$50:$N$232,11,FALSE)</f>
        <v>Kurnia Mas</v>
      </c>
      <c r="F103" s="318">
        <v>1</v>
      </c>
      <c r="G103" s="354" t="s">
        <v>62</v>
      </c>
      <c r="H103" s="320">
        <v>19500</v>
      </c>
      <c r="I103" s="321" t="b">
        <v>1</v>
      </c>
      <c r="J103" s="322">
        <v>1</v>
      </c>
      <c r="K103" s="326">
        <f>VLOOKUP($A103,Master!$B$50:$N$232,6,FALSE)</f>
        <v>54500</v>
      </c>
      <c r="L103" s="327">
        <f t="shared" ref="L103:L113" si="5">J103*K103</f>
        <v>54500</v>
      </c>
      <c r="M103" s="325"/>
    </row>
    <row r="104" spans="1:13" ht="13">
      <c r="A104" s="18" t="s">
        <v>1017</v>
      </c>
      <c r="B104" s="316" t="str">
        <f>VLOOKUP($A104,Master!$B$50:$N$232,2,FALSE)</f>
        <v>B143</v>
      </c>
      <c r="C104" s="316">
        <f>VLOOKUP($A104,Master!$B$50:$N$232,8,FALSE)</f>
        <v>1</v>
      </c>
      <c r="D104" s="316" t="str">
        <f>VLOOKUP($A104,Master!$B$50:$N$232,9,FALSE)</f>
        <v>pcs</v>
      </c>
      <c r="E104" s="317" t="str">
        <f>VLOOKUP($A104,Master!$B$50:$N$232,11,FALSE)</f>
        <v>PD Aroma Jaya</v>
      </c>
      <c r="F104" s="318">
        <v>2</v>
      </c>
      <c r="G104" s="354" t="s">
        <v>62</v>
      </c>
      <c r="H104" s="320">
        <v>5600</v>
      </c>
      <c r="I104" s="321" t="b">
        <v>1</v>
      </c>
      <c r="J104" s="322">
        <v>2</v>
      </c>
      <c r="K104" s="326">
        <f>VLOOKUP($A104,Master!$B$50:$N$232,6,FALSE)</f>
        <v>2800</v>
      </c>
      <c r="L104" s="327">
        <f t="shared" si="5"/>
        <v>5600</v>
      </c>
      <c r="M104" s="325"/>
    </row>
    <row r="105" spans="1:13" ht="13">
      <c r="A105" s="18" t="s">
        <v>562</v>
      </c>
      <c r="B105" s="316" t="e">
        <f>VLOOKUP($A105,Master!$B$50:$N$232,2,FALSE)</f>
        <v>#N/A</v>
      </c>
      <c r="C105" s="316" t="e">
        <f>VLOOKUP($A105,Master!$B$50:$N$232,8,FALSE)</f>
        <v>#N/A</v>
      </c>
      <c r="D105" s="316" t="e">
        <f>VLOOKUP($A105,Master!$B$50:$N$232,9,FALSE)</f>
        <v>#N/A</v>
      </c>
      <c r="E105" s="317" t="e">
        <f>VLOOKUP($A105,Master!$B$50:$N$232,11,FALSE)</f>
        <v>#N/A</v>
      </c>
      <c r="F105" s="318">
        <v>1</v>
      </c>
      <c r="G105" s="354" t="s">
        <v>97</v>
      </c>
      <c r="H105" s="320">
        <v>216450</v>
      </c>
      <c r="I105" s="321" t="b">
        <v>1</v>
      </c>
      <c r="J105" s="322">
        <v>1</v>
      </c>
      <c r="K105" s="326" t="e">
        <f>VLOOKUP($A105,Master!$B$50:$N$232,6,FALSE)</f>
        <v>#N/A</v>
      </c>
      <c r="L105" s="327" t="e">
        <f t="shared" si="5"/>
        <v>#N/A</v>
      </c>
      <c r="M105" s="325"/>
    </row>
    <row r="106" spans="1:13" ht="13">
      <c r="A106" s="18" t="s">
        <v>961</v>
      </c>
      <c r="B106" s="316" t="e">
        <f>VLOOKUP($A106,Master!$B$50:$N$232,2,FALSE)</f>
        <v>#N/A</v>
      </c>
      <c r="C106" s="316" t="e">
        <f>VLOOKUP($A106,Master!$B$50:$N$232,8,FALSE)</f>
        <v>#N/A</v>
      </c>
      <c r="D106" s="316" t="e">
        <f>VLOOKUP($A106,Master!$B$50:$N$232,9,FALSE)</f>
        <v>#N/A</v>
      </c>
      <c r="E106" s="317" t="e">
        <f>VLOOKUP($A106,Master!$B$50:$N$232,11,FALSE)</f>
        <v>#N/A</v>
      </c>
      <c r="F106" s="318">
        <v>1</v>
      </c>
      <c r="G106" s="354" t="s">
        <v>97</v>
      </c>
      <c r="H106" s="320">
        <v>94350</v>
      </c>
      <c r="I106" s="321" t="b">
        <v>1</v>
      </c>
      <c r="J106" s="322">
        <v>2</v>
      </c>
      <c r="K106" s="326" t="e">
        <f>VLOOKUP($A106,Master!$B$50:$N$232,6,FALSE)</f>
        <v>#N/A</v>
      </c>
      <c r="L106" s="327" t="e">
        <f t="shared" si="5"/>
        <v>#N/A</v>
      </c>
      <c r="M106" s="325"/>
    </row>
    <row r="107" spans="1:13" ht="13">
      <c r="A107" s="18" t="s">
        <v>639</v>
      </c>
      <c r="B107" s="316" t="str">
        <f>VLOOKUP($A107,Master!$B$50:$N$232,2,FALSE)</f>
        <v>B032</v>
      </c>
      <c r="C107" s="316">
        <f>VLOOKUP($A107,Master!$B$50:$N$232,8,FALSE)</f>
        <v>1000</v>
      </c>
      <c r="D107" s="316" t="str">
        <f>VLOOKUP($A107,Master!$B$50:$N$232,9,FALSE)</f>
        <v>gr</v>
      </c>
      <c r="E107" s="317" t="str">
        <f>VLOOKUP($A107,Master!$B$50:$N$232,11,FALSE)</f>
        <v>BISS (Topside)</v>
      </c>
      <c r="F107" s="318">
        <v>2</v>
      </c>
      <c r="G107" s="354" t="s">
        <v>36</v>
      </c>
      <c r="H107" s="320">
        <v>290000</v>
      </c>
      <c r="I107" s="321" t="b">
        <v>1</v>
      </c>
      <c r="J107" s="322">
        <v>2</v>
      </c>
      <c r="K107" s="323">
        <v>130000</v>
      </c>
      <c r="L107" s="324">
        <f t="shared" si="5"/>
        <v>260000</v>
      </c>
      <c r="M107" s="325"/>
    </row>
    <row r="108" spans="1:13" ht="13">
      <c r="A108" s="18" t="s">
        <v>925</v>
      </c>
      <c r="B108" s="316" t="str">
        <f>VLOOKUP($A108,Master!$B$50:$N$232,2,FALSE)</f>
        <v>B111</v>
      </c>
      <c r="C108" s="316">
        <f>VLOOKUP($A108,Master!$B$50:$N$232,8,FALSE)</f>
        <v>1000</v>
      </c>
      <c r="D108" s="316" t="str">
        <f>VLOOKUP($A108,Master!$B$50:$N$232,9,FALSE)</f>
        <v>gr</v>
      </c>
      <c r="E108" s="317" t="str">
        <f>VLOOKUP($A108,Master!$B$50:$N$232,11,FALSE)</f>
        <v>PT Sukanda Djaya</v>
      </c>
      <c r="F108" s="318">
        <v>1</v>
      </c>
      <c r="G108" s="354" t="s">
        <v>143</v>
      </c>
      <c r="H108" s="320">
        <v>419978</v>
      </c>
      <c r="I108" s="321" t="b">
        <v>1</v>
      </c>
      <c r="J108" s="322">
        <v>1</v>
      </c>
      <c r="K108" s="323">
        <v>333600</v>
      </c>
      <c r="L108" s="324">
        <f t="shared" si="5"/>
        <v>333600</v>
      </c>
      <c r="M108" s="325"/>
    </row>
    <row r="109" spans="1:13" ht="13">
      <c r="A109" s="344" t="s">
        <v>1550</v>
      </c>
      <c r="B109" s="346" t="e">
        <f>VLOOKUP($A109,Master!$B$50:$N$232,2,FALSE)</f>
        <v>#N/A</v>
      </c>
      <c r="C109" s="346" t="e">
        <f>VLOOKUP($A109,Master!$B$50:$N$232,8,FALSE)</f>
        <v>#N/A</v>
      </c>
      <c r="D109" s="346" t="e">
        <f>VLOOKUP($A109,Master!$B$50:$N$232,9,FALSE)</f>
        <v>#N/A</v>
      </c>
      <c r="E109" s="347" t="e">
        <f>VLOOKUP($A109,Master!$B$50:$N$232,11,FALSE)</f>
        <v>#N/A</v>
      </c>
      <c r="F109" s="318">
        <v>1</v>
      </c>
      <c r="G109" s="354" t="s">
        <v>97</v>
      </c>
      <c r="H109" s="320">
        <v>105000</v>
      </c>
      <c r="I109" s="321" t="b">
        <v>0</v>
      </c>
      <c r="J109" s="322"/>
      <c r="K109" s="323" t="e">
        <f>VLOOKUP($A109,Master!$B$50:$N$232,6,FALSE)</f>
        <v>#N/A</v>
      </c>
      <c r="L109" s="324" t="e">
        <f t="shared" si="5"/>
        <v>#N/A</v>
      </c>
      <c r="M109" s="325" t="s">
        <v>1580</v>
      </c>
    </row>
    <row r="110" spans="1:13" ht="13">
      <c r="A110" s="18" t="s">
        <v>958</v>
      </c>
      <c r="B110" s="316" t="e">
        <f>VLOOKUP($A110,Master!$B$50:$N$232,2,FALSE)</f>
        <v>#N/A</v>
      </c>
      <c r="C110" s="316" t="e">
        <f>VLOOKUP($A110,Master!$B$50:$N$232,8,FALSE)</f>
        <v>#N/A</v>
      </c>
      <c r="D110" s="316" t="e">
        <f>VLOOKUP($A110,Master!$B$50:$N$232,9,FALSE)</f>
        <v>#N/A</v>
      </c>
      <c r="E110" s="317" t="e">
        <f>VLOOKUP($A110,Master!$B$50:$N$232,11,FALSE)</f>
        <v>#N/A</v>
      </c>
      <c r="F110" s="318">
        <v>1</v>
      </c>
      <c r="G110" s="354" t="s">
        <v>97</v>
      </c>
      <c r="H110" s="320">
        <v>129000</v>
      </c>
      <c r="I110" s="321" t="b">
        <v>1</v>
      </c>
      <c r="J110" s="322">
        <v>1</v>
      </c>
      <c r="K110" s="323">
        <v>143000</v>
      </c>
      <c r="L110" s="324">
        <f t="shared" si="5"/>
        <v>143000</v>
      </c>
      <c r="M110" s="325"/>
    </row>
    <row r="111" spans="1:13" ht="13">
      <c r="A111" s="18" t="s">
        <v>967</v>
      </c>
      <c r="B111" s="316" t="e">
        <f>VLOOKUP($A111,Master!$B$50:$N$232,2,FALSE)</f>
        <v>#N/A</v>
      </c>
      <c r="C111" s="316" t="e">
        <f>VLOOKUP($A111,Master!$B$50:$N$232,8,FALSE)</f>
        <v>#N/A</v>
      </c>
      <c r="D111" s="316" t="e">
        <f>VLOOKUP($A111,Master!$B$50:$N$232,9,FALSE)</f>
        <v>#N/A</v>
      </c>
      <c r="E111" s="317" t="e">
        <f>VLOOKUP($A111,Master!$B$50:$N$232,11,FALSE)</f>
        <v>#N/A</v>
      </c>
      <c r="F111" s="318">
        <v>1</v>
      </c>
      <c r="G111" s="354" t="s">
        <v>97</v>
      </c>
      <c r="H111" s="320">
        <v>129000</v>
      </c>
      <c r="I111" s="321" t="b">
        <v>1</v>
      </c>
      <c r="J111" s="322">
        <v>1</v>
      </c>
      <c r="K111" s="323">
        <v>140200</v>
      </c>
      <c r="L111" s="324">
        <f t="shared" si="5"/>
        <v>140200</v>
      </c>
      <c r="M111" s="325"/>
    </row>
    <row r="112" spans="1:13" ht="13">
      <c r="A112" s="18" t="s">
        <v>795</v>
      </c>
      <c r="B112" s="316" t="str">
        <f>VLOOKUP($A112,Master!$B$50:$N$232,2,FALSE)</f>
        <v>B073</v>
      </c>
      <c r="C112" s="316">
        <f>VLOOKUP($A112,Master!$B$50:$N$232,8,FALSE)</f>
        <v>10</v>
      </c>
      <c r="D112" s="316" t="str">
        <f>VLOOKUP($A112,Master!$B$50:$N$232,9,FALSE)</f>
        <v>unit</v>
      </c>
      <c r="E112" s="317" t="str">
        <f>VLOOKUP($A112,Master!$B$50:$N$232,11,FALSE)</f>
        <v>Toko Lain</v>
      </c>
      <c r="F112" s="318">
        <v>10</v>
      </c>
      <c r="G112" s="354" t="s">
        <v>62</v>
      </c>
      <c r="H112" s="320">
        <v>50000</v>
      </c>
      <c r="I112" s="321" t="b">
        <v>1</v>
      </c>
      <c r="J112" s="322">
        <v>10</v>
      </c>
      <c r="K112" s="323">
        <v>7000</v>
      </c>
      <c r="L112" s="324">
        <f t="shared" si="5"/>
        <v>70000</v>
      </c>
      <c r="M112" s="325" t="s">
        <v>1520</v>
      </c>
    </row>
    <row r="113" spans="1:13" ht="13">
      <c r="A113" s="18" t="s">
        <v>631</v>
      </c>
      <c r="B113" s="316" t="str">
        <f>VLOOKUP($A113,Master!$B$50:$N$232,2,FALSE)</f>
        <v>B030</v>
      </c>
      <c r="C113" s="316">
        <f>VLOOKUP($A113,Master!$B$50:$N$232,8,FALSE)</f>
        <v>1000</v>
      </c>
      <c r="D113" s="316" t="str">
        <f>VLOOKUP($A113,Master!$B$50:$N$232,9,FALSE)</f>
        <v>gr</v>
      </c>
      <c r="E113" s="317" t="str">
        <f>VLOOKUP($A113,Master!$B$50:$N$232,11,FALSE)</f>
        <v>Borma</v>
      </c>
      <c r="F113" s="318">
        <v>1</v>
      </c>
      <c r="G113" s="354" t="s">
        <v>36</v>
      </c>
      <c r="H113" s="320">
        <v>16000</v>
      </c>
      <c r="I113" s="321" t="b">
        <v>1</v>
      </c>
      <c r="J113" s="322">
        <v>1</v>
      </c>
      <c r="K113" s="323">
        <v>15000</v>
      </c>
      <c r="L113" s="324">
        <f t="shared" si="5"/>
        <v>15000</v>
      </c>
      <c r="M113" s="325"/>
    </row>
    <row r="114" spans="1:13" ht="13">
      <c r="A114" s="18" t="s">
        <v>756</v>
      </c>
      <c r="B114" s="316" t="str">
        <f>VLOOKUP($A114,Master!$B$50:$N$232,2,FALSE)</f>
        <v>B061</v>
      </c>
      <c r="C114" s="316">
        <f>VLOOKUP($A114,Master!$B$50:$N$232,8,FALSE)</f>
        <v>700</v>
      </c>
      <c r="D114" s="316" t="str">
        <f>VLOOKUP($A114,Master!$B$50:$N$232,9,FALSE)</f>
        <v>gr</v>
      </c>
      <c r="E114" s="317" t="str">
        <f>VLOOKUP($A114,Master!$B$50:$N$232,11,FALSE)</f>
        <v>RSB, Dago</v>
      </c>
      <c r="F114" s="318">
        <v>1</v>
      </c>
      <c r="G114" s="354" t="s">
        <v>62</v>
      </c>
      <c r="H114" s="320">
        <v>25000</v>
      </c>
      <c r="I114" s="321" t="b">
        <v>1</v>
      </c>
      <c r="J114" s="322">
        <v>1</v>
      </c>
      <c r="K114" s="323">
        <v>35900</v>
      </c>
      <c r="L114" s="324">
        <v>35541</v>
      </c>
      <c r="M114" s="325" t="s">
        <v>1581</v>
      </c>
    </row>
    <row r="115" spans="1:13" ht="13">
      <c r="A115" s="18" t="s">
        <v>536</v>
      </c>
      <c r="B115" s="316" t="str">
        <f>VLOOKUP($A115,Master!$B$50:$N$232,2,FALSE)</f>
        <v>B005</v>
      </c>
      <c r="C115" s="316">
        <f>VLOOKUP($A115,Master!$B$50:$N$232,8,FALSE)</f>
        <v>100</v>
      </c>
      <c r="D115" s="316" t="str">
        <f>VLOOKUP($A115,Master!$B$50:$N$232,9,FALSE)</f>
        <v>gr</v>
      </c>
      <c r="E115" s="317" t="str">
        <f>VLOOKUP($A115,Master!$B$50:$N$232,11,FALSE)</f>
        <v>PD Aroma Jaya</v>
      </c>
      <c r="F115" s="318">
        <v>1</v>
      </c>
      <c r="G115" s="354" t="s">
        <v>62</v>
      </c>
      <c r="H115" s="320">
        <v>19000</v>
      </c>
      <c r="I115" s="321" t="b">
        <v>1</v>
      </c>
      <c r="J115" s="322">
        <v>1</v>
      </c>
      <c r="K115" s="326">
        <f>VLOOKUP($A115,Master!$B$50:$N$232,6,FALSE)</f>
        <v>21000</v>
      </c>
      <c r="L115" s="327">
        <f>J115*K115</f>
        <v>21000</v>
      </c>
      <c r="M115" s="325"/>
    </row>
    <row r="117" spans="1:13" ht="13">
      <c r="F117" s="427">
        <v>44722</v>
      </c>
      <c r="G117" s="428"/>
      <c r="H117" s="424"/>
      <c r="J117" s="429">
        <f>F117+1</f>
        <v>44723</v>
      </c>
      <c r="K117" s="428"/>
      <c r="L117" s="424"/>
    </row>
    <row r="118" spans="1:13" ht="13">
      <c r="F118" s="425" t="s">
        <v>1490</v>
      </c>
      <c r="G118" s="426"/>
      <c r="H118" s="304">
        <f>SUM(H120:H268)</f>
        <v>318774950</v>
      </c>
      <c r="J118" s="425" t="s">
        <v>1491</v>
      </c>
      <c r="K118" s="426"/>
      <c r="L118" s="304" t="e">
        <f>SUM(L120:L268)</f>
        <v>#N/A</v>
      </c>
    </row>
    <row r="119" spans="1:13" ht="13">
      <c r="A119" s="2" t="s">
        <v>4</v>
      </c>
      <c r="B119" s="305" t="s">
        <v>5</v>
      </c>
      <c r="C119" s="305" t="s">
        <v>1492</v>
      </c>
      <c r="D119" s="305" t="s">
        <v>12</v>
      </c>
      <c r="E119" s="306" t="s">
        <v>1493</v>
      </c>
      <c r="F119" s="307" t="s">
        <v>1494</v>
      </c>
      <c r="G119" s="308" t="s">
        <v>10</v>
      </c>
      <c r="H119" s="309" t="s">
        <v>1495</v>
      </c>
      <c r="I119" s="310" t="s">
        <v>1289</v>
      </c>
      <c r="J119" s="311" t="s">
        <v>1496</v>
      </c>
      <c r="K119" s="312" t="s">
        <v>1497</v>
      </c>
      <c r="L119" s="313" t="s">
        <v>1498</v>
      </c>
      <c r="M119" s="314" t="s">
        <v>16</v>
      </c>
    </row>
    <row r="120" spans="1:13" ht="13">
      <c r="A120" s="4" t="s">
        <v>979</v>
      </c>
      <c r="B120" s="316" t="str">
        <f>VLOOKUP($A120,Master!$B$50:$N$232,2,FALSE)</f>
        <v>B129</v>
      </c>
      <c r="C120" s="316">
        <f>VLOOKUP($A120,Master!$B$50:$N$232,8,FALSE)</f>
        <v>100</v>
      </c>
      <c r="D120" s="316" t="str">
        <f>VLOOKUP($A120,Master!$B$50:$N$232,9,FALSE)</f>
        <v>pcs</v>
      </c>
      <c r="E120" s="317" t="str">
        <f>VLOOKUP($A120,Master!$B$50:$N$232,11,FALSE)</f>
        <v>Ade Widya Plastik Cikutra</v>
      </c>
      <c r="F120" s="318">
        <v>1</v>
      </c>
      <c r="G120" s="354" t="s">
        <v>62</v>
      </c>
      <c r="H120" s="320">
        <v>3600</v>
      </c>
      <c r="I120" s="321" t="b">
        <v>1</v>
      </c>
      <c r="J120" s="322">
        <v>1</v>
      </c>
      <c r="K120" s="323">
        <v>27000</v>
      </c>
      <c r="L120" s="324">
        <f t="shared" ref="L120:L123" si="6">J120*K120</f>
        <v>27000</v>
      </c>
      <c r="M120" s="325"/>
    </row>
    <row r="121" spans="1:13" ht="13">
      <c r="A121" s="18" t="s">
        <v>1046</v>
      </c>
      <c r="B121" s="316" t="e">
        <f>VLOOKUP($A121,Master!$B$50:$N$232,2,FALSE)</f>
        <v>#N/A</v>
      </c>
      <c r="C121" s="316" t="e">
        <f>VLOOKUP($A121,Master!$B$50:$N$232,8,FALSE)</f>
        <v>#N/A</v>
      </c>
      <c r="D121" s="316" t="e">
        <f>VLOOKUP($A121,Master!$B$50:$N$232,9,FALSE)</f>
        <v>#N/A</v>
      </c>
      <c r="E121" s="317" t="e">
        <f>VLOOKUP($A121,Master!$B$50:$N$232,11,FALSE)</f>
        <v>#N/A</v>
      </c>
      <c r="F121" s="318">
        <v>1</v>
      </c>
      <c r="G121" s="354" t="s">
        <v>62</v>
      </c>
      <c r="H121" s="320">
        <v>18000</v>
      </c>
      <c r="I121" s="321" t="b">
        <v>1</v>
      </c>
      <c r="J121" s="322">
        <v>1</v>
      </c>
      <c r="K121" s="323">
        <v>15000</v>
      </c>
      <c r="L121" s="324">
        <f t="shared" si="6"/>
        <v>15000</v>
      </c>
      <c r="M121" s="325"/>
    </row>
    <row r="122" spans="1:13" ht="13">
      <c r="A122" s="18" t="s">
        <v>1096</v>
      </c>
      <c r="B122" s="316" t="e">
        <f>VLOOKUP($A122,Master!$B$50:$N$232,2,FALSE)</f>
        <v>#N/A</v>
      </c>
      <c r="C122" s="316" t="e">
        <f>VLOOKUP($A122,Master!$B$50:$N$232,8,FALSE)</f>
        <v>#N/A</v>
      </c>
      <c r="D122" s="316" t="e">
        <f>VLOOKUP($A122,Master!$B$50:$N$232,9,FALSE)</f>
        <v>#N/A</v>
      </c>
      <c r="E122" s="317" t="e">
        <f>VLOOKUP($A122,Master!$B$50:$N$232,11,FALSE)</f>
        <v>#N/A</v>
      </c>
      <c r="F122" s="318">
        <v>2</v>
      </c>
      <c r="G122" s="354" t="s">
        <v>62</v>
      </c>
      <c r="H122" s="320">
        <v>9400</v>
      </c>
      <c r="I122" s="321" t="b">
        <v>1</v>
      </c>
      <c r="J122" s="322">
        <v>1</v>
      </c>
      <c r="K122" s="323">
        <v>22671</v>
      </c>
      <c r="L122" s="324">
        <f t="shared" si="6"/>
        <v>22671</v>
      </c>
      <c r="M122" s="325"/>
    </row>
    <row r="123" spans="1:13" ht="13">
      <c r="A123" s="18" t="s">
        <v>866</v>
      </c>
      <c r="B123" s="316" t="str">
        <f>VLOOKUP($A123,Master!$B$50:$N$232,2,FALSE)</f>
        <v>B090</v>
      </c>
      <c r="C123" s="316">
        <f>VLOOKUP($A123,Master!$B$50:$N$232,8,FALSE)</f>
        <v>25</v>
      </c>
      <c r="D123" s="316" t="str">
        <f>VLOOKUP($A123,Master!$B$50:$N$232,9,FALSE)</f>
        <v>pcs</v>
      </c>
      <c r="E123" s="317" t="str">
        <f>VLOOKUP($A123,Master!$B$50:$N$232,11,FALSE)</f>
        <v>B5 Coffee &amp; Roastery</v>
      </c>
      <c r="F123" s="318">
        <v>1</v>
      </c>
      <c r="G123" s="354" t="s">
        <v>62</v>
      </c>
      <c r="H123" s="320">
        <v>35000</v>
      </c>
      <c r="I123" s="321" t="b">
        <v>1</v>
      </c>
      <c r="J123" s="322">
        <v>1</v>
      </c>
      <c r="K123" s="323">
        <v>32500</v>
      </c>
      <c r="L123" s="324">
        <f t="shared" si="6"/>
        <v>32500</v>
      </c>
      <c r="M123" s="325"/>
    </row>
    <row r="124" spans="1:13" ht="13">
      <c r="A124" s="18" t="s">
        <v>544</v>
      </c>
      <c r="B124" s="316" t="e">
        <f>VLOOKUP($A124,Master!$B$50:$N$232,2,FALSE)</f>
        <v>#N/A</v>
      </c>
      <c r="C124" s="316" t="e">
        <f>VLOOKUP($A124,Master!$B$50:$N$232,8,FALSE)</f>
        <v>#N/A</v>
      </c>
      <c r="D124" s="316" t="e">
        <f>VLOOKUP($A124,Master!$B$50:$N$232,9,FALSE)</f>
        <v>#N/A</v>
      </c>
      <c r="E124" s="317" t="e">
        <f>VLOOKUP($A124,Master!$B$50:$N$232,11,FALSE)</f>
        <v>#N/A</v>
      </c>
      <c r="F124" s="318">
        <v>2</v>
      </c>
      <c r="G124" s="354" t="s">
        <v>62</v>
      </c>
      <c r="H124" s="320">
        <v>30400</v>
      </c>
      <c r="I124" s="321" t="b">
        <v>1</v>
      </c>
      <c r="J124" s="322">
        <v>3</v>
      </c>
      <c r="K124" s="323">
        <v>24250</v>
      </c>
      <c r="L124" s="324">
        <v>48743</v>
      </c>
      <c r="M124" s="325"/>
    </row>
    <row r="125" spans="1:13" ht="13">
      <c r="A125" s="18" t="s">
        <v>586</v>
      </c>
      <c r="B125" s="316" t="str">
        <f>VLOOKUP($A125,Master!$B$50:$N$232,2,FALSE)</f>
        <v>B018</v>
      </c>
      <c r="C125" s="316">
        <f>VLOOKUP($A125,Master!$B$50:$N$232,8,FALSE)</f>
        <v>20</v>
      </c>
      <c r="D125" s="316" t="str">
        <f>VLOOKUP($A125,Master!$B$50:$N$232,9,FALSE)</f>
        <v>pcs</v>
      </c>
      <c r="E125" s="317" t="str">
        <f>VLOOKUP($A125,Master!$B$50:$N$232,11,FALSE)</f>
        <v>Kurnia Mas</v>
      </c>
      <c r="F125" s="318">
        <v>3</v>
      </c>
      <c r="G125" s="354" t="s">
        <v>62</v>
      </c>
      <c r="H125" s="320">
        <v>21900</v>
      </c>
      <c r="I125" s="321" t="b">
        <v>1</v>
      </c>
      <c r="J125" s="322">
        <v>3</v>
      </c>
      <c r="K125" s="323">
        <v>7550</v>
      </c>
      <c r="L125" s="324">
        <v>22424</v>
      </c>
      <c r="M125" s="325"/>
    </row>
    <row r="126" spans="1:13" ht="13">
      <c r="A126" s="18" t="s">
        <v>770</v>
      </c>
      <c r="B126" s="316" t="e">
        <f>VLOOKUP($A126,Master!$B$50:$N$232,2,FALSE)</f>
        <v>#N/A</v>
      </c>
      <c r="C126" s="316" t="e">
        <f>VLOOKUP($A126,Master!$B$50:$N$232,8,FALSE)</f>
        <v>#N/A</v>
      </c>
      <c r="D126" s="316" t="e">
        <f>VLOOKUP($A126,Master!$B$50:$N$232,9,FALSE)</f>
        <v>#N/A</v>
      </c>
      <c r="E126" s="317" t="e">
        <f>VLOOKUP($A126,Master!$B$50:$N$232,11,FALSE)</f>
        <v>#N/A</v>
      </c>
      <c r="F126" s="318">
        <v>1</v>
      </c>
      <c r="G126" s="354" t="s">
        <v>97</v>
      </c>
      <c r="H126" s="320">
        <v>25300</v>
      </c>
      <c r="I126" s="321" t="b">
        <v>1</v>
      </c>
      <c r="J126" s="322">
        <v>1</v>
      </c>
      <c r="K126" s="323">
        <v>26350</v>
      </c>
      <c r="L126" s="324">
        <v>26087</v>
      </c>
      <c r="M126" s="325"/>
    </row>
    <row r="127" spans="1:13" ht="13">
      <c r="A127" s="18" t="s">
        <v>803</v>
      </c>
      <c r="B127" s="316" t="e">
        <f>VLOOKUP($A127,Master!$B$50:$N$232,2,FALSE)</f>
        <v>#N/A</v>
      </c>
      <c r="C127" s="316" t="e">
        <f>VLOOKUP($A127,Master!$B$50:$N$232,8,FALSE)</f>
        <v>#N/A</v>
      </c>
      <c r="D127" s="316" t="e">
        <f>VLOOKUP($A127,Master!$B$50:$N$232,9,FALSE)</f>
        <v>#N/A</v>
      </c>
      <c r="E127" s="317" t="e">
        <f>VLOOKUP($A127,Master!$B$50:$N$232,11,FALSE)</f>
        <v>#N/A</v>
      </c>
      <c r="F127" s="318">
        <v>1</v>
      </c>
      <c r="G127" s="354" t="s">
        <v>97</v>
      </c>
      <c r="H127" s="320">
        <v>6000</v>
      </c>
      <c r="I127" s="321" t="b">
        <v>1</v>
      </c>
      <c r="J127" s="322">
        <v>1</v>
      </c>
      <c r="K127" s="323">
        <v>8900</v>
      </c>
      <c r="L127" s="324">
        <v>7565</v>
      </c>
      <c r="M127" s="325"/>
    </row>
    <row r="128" spans="1:13" ht="13">
      <c r="A128" s="18" t="s">
        <v>937</v>
      </c>
      <c r="B128" s="316" t="str">
        <f>VLOOKUP($A128,Master!$B$50:$N$232,2,FALSE)</f>
        <v>B115</v>
      </c>
      <c r="C128" s="316">
        <f>VLOOKUP($A128,Master!$B$50:$N$232,8,FALSE)</f>
        <v>20</v>
      </c>
      <c r="D128" s="316" t="str">
        <f>VLOOKUP($A128,Master!$B$50:$N$232,9,FALSE)</f>
        <v>pcs</v>
      </c>
      <c r="E128" s="317" t="str">
        <f>VLOOKUP($A128,Master!$B$50:$N$232,11,FALSE)</f>
        <v>Borma</v>
      </c>
      <c r="F128" s="318">
        <v>2</v>
      </c>
      <c r="G128" s="354" t="s">
        <v>62</v>
      </c>
      <c r="H128" s="320">
        <v>14600</v>
      </c>
      <c r="I128" s="321" t="b">
        <v>0</v>
      </c>
      <c r="J128" s="322"/>
      <c r="K128" s="326">
        <f>VLOOKUP($A128,Master!$B$50:$N$232,6,FALSE)</f>
        <v>8500</v>
      </c>
      <c r="L128" s="327">
        <f t="shared" ref="L128:L130" si="7">J128*K128</f>
        <v>0</v>
      </c>
      <c r="M128" s="325" t="s">
        <v>1507</v>
      </c>
    </row>
    <row r="129" spans="1:13" ht="13">
      <c r="A129" s="18" t="s">
        <v>949</v>
      </c>
      <c r="B129" s="316" t="e">
        <f>VLOOKUP($A129,Master!$B$50:$N$232,2,FALSE)</f>
        <v>#N/A</v>
      </c>
      <c r="C129" s="316" t="e">
        <f>VLOOKUP($A129,Master!$B$50:$N$232,8,FALSE)</f>
        <v>#N/A</v>
      </c>
      <c r="D129" s="316" t="e">
        <f>VLOOKUP($A129,Master!$B$50:$N$232,9,FALSE)</f>
        <v>#N/A</v>
      </c>
      <c r="E129" s="317" t="e">
        <f>VLOOKUP($A129,Master!$B$50:$N$232,11,FALSE)</f>
        <v>#N/A</v>
      </c>
      <c r="F129" s="318">
        <v>2</v>
      </c>
      <c r="G129" s="354" t="s">
        <v>97</v>
      </c>
      <c r="H129" s="320">
        <v>51504</v>
      </c>
      <c r="I129" s="321" t="b">
        <v>1</v>
      </c>
      <c r="J129" s="322">
        <v>2</v>
      </c>
      <c r="K129" s="323">
        <v>27000</v>
      </c>
      <c r="L129" s="324">
        <f t="shared" si="7"/>
        <v>54000</v>
      </c>
      <c r="M129" s="325"/>
    </row>
    <row r="130" spans="1:13" ht="13">
      <c r="A130" s="18" t="s">
        <v>952</v>
      </c>
      <c r="B130" s="316" t="e">
        <f>VLOOKUP($A130,Master!$B$50:$N$232,2,FALSE)</f>
        <v>#N/A</v>
      </c>
      <c r="C130" s="316" t="e">
        <f>VLOOKUP($A130,Master!$B$50:$N$232,8,FALSE)</f>
        <v>#N/A</v>
      </c>
      <c r="D130" s="316" t="e">
        <f>VLOOKUP($A130,Master!$B$50:$N$232,9,FALSE)</f>
        <v>#N/A</v>
      </c>
      <c r="E130" s="317" t="e">
        <f>VLOOKUP($A130,Master!$B$50:$N$232,11,FALSE)</f>
        <v>#N/A</v>
      </c>
      <c r="F130" s="318">
        <v>1</v>
      </c>
      <c r="G130" s="354" t="s">
        <v>97</v>
      </c>
      <c r="H130" s="320">
        <v>30303</v>
      </c>
      <c r="I130" s="321" t="b">
        <v>1</v>
      </c>
      <c r="J130" s="322">
        <v>1</v>
      </c>
      <c r="K130" s="323">
        <v>27000</v>
      </c>
      <c r="L130" s="324">
        <f t="shared" si="7"/>
        <v>27000</v>
      </c>
      <c r="M130" s="325"/>
    </row>
    <row r="131" spans="1:13" ht="13">
      <c r="A131" s="18" t="s">
        <v>1094</v>
      </c>
      <c r="B131" s="316" t="e">
        <f>VLOOKUP($A131,Master!$B$50:$N$232,2,FALSE)</f>
        <v>#N/A</v>
      </c>
      <c r="C131" s="316" t="e">
        <f>VLOOKUP($A131,Master!$B$50:$N$232,8,FALSE)</f>
        <v>#N/A</v>
      </c>
      <c r="D131" s="316" t="e">
        <f>VLOOKUP($A131,Master!$B$50:$N$232,9,FALSE)</f>
        <v>#N/A</v>
      </c>
      <c r="E131" s="317" t="e">
        <f>VLOOKUP($A131,Master!$B$50:$N$232,11,FALSE)</f>
        <v>#N/A</v>
      </c>
      <c r="F131" s="318">
        <v>2</v>
      </c>
      <c r="G131" s="354" t="s">
        <v>62</v>
      </c>
      <c r="H131" s="320">
        <v>34600</v>
      </c>
      <c r="I131" s="321" t="b">
        <v>1</v>
      </c>
      <c r="J131" s="322">
        <v>3</v>
      </c>
      <c r="K131" s="323">
        <v>19650</v>
      </c>
      <c r="L131" s="324">
        <v>58361</v>
      </c>
      <c r="M131" s="325"/>
    </row>
    <row r="132" spans="1:13" ht="13">
      <c r="A132" s="18" t="s">
        <v>1101</v>
      </c>
      <c r="B132" s="316" t="e">
        <f>VLOOKUP($A132,Master!$B$50:$N$232,2,FALSE)</f>
        <v>#N/A</v>
      </c>
      <c r="C132" s="316" t="e">
        <f>VLOOKUP($A132,Master!$B$50:$N$232,8,FALSE)</f>
        <v>#N/A</v>
      </c>
      <c r="D132" s="316" t="e">
        <f>VLOOKUP($A132,Master!$B$50:$N$232,9,FALSE)</f>
        <v>#N/A</v>
      </c>
      <c r="E132" s="317" t="e">
        <f>VLOOKUP($A132,Master!$B$50:$N$232,11,FALSE)</f>
        <v>#N/A</v>
      </c>
      <c r="F132" s="318">
        <v>2</v>
      </c>
      <c r="G132" s="354" t="s">
        <v>62</v>
      </c>
      <c r="H132" s="320">
        <v>32200</v>
      </c>
      <c r="I132" s="321" t="b">
        <v>1</v>
      </c>
      <c r="J132" s="322">
        <v>2</v>
      </c>
      <c r="K132" s="323">
        <v>14100</v>
      </c>
      <c r="L132" s="324">
        <v>27918</v>
      </c>
      <c r="M132" s="325"/>
    </row>
    <row r="133" spans="1:13" ht="13">
      <c r="A133" s="18" t="s">
        <v>851</v>
      </c>
      <c r="B133" s="316" t="e">
        <f>VLOOKUP($A133,Master!$B$50:$N$232,2,FALSE)</f>
        <v>#N/A</v>
      </c>
      <c r="C133" s="316" t="e">
        <f>VLOOKUP($A133,Master!$B$50:$N$232,8,FALSE)</f>
        <v>#N/A</v>
      </c>
      <c r="D133" s="316" t="e">
        <f>VLOOKUP($A133,Master!$B$50:$N$232,9,FALSE)</f>
        <v>#N/A</v>
      </c>
      <c r="E133" s="317" t="e">
        <f>VLOOKUP($A133,Master!$B$50:$N$232,11,FALSE)</f>
        <v>#N/A</v>
      </c>
      <c r="F133" s="318">
        <v>2</v>
      </c>
      <c r="G133" s="354" t="s">
        <v>143</v>
      </c>
      <c r="H133" s="320">
        <v>60000</v>
      </c>
      <c r="I133" s="321" t="b">
        <v>1</v>
      </c>
      <c r="J133" s="322">
        <v>2</v>
      </c>
      <c r="K133" s="323">
        <v>30400</v>
      </c>
      <c r="L133" s="324">
        <f t="shared" ref="L133:L142" si="8">J133*K133</f>
        <v>60800</v>
      </c>
      <c r="M133" s="325"/>
    </row>
    <row r="134" spans="1:13" ht="13">
      <c r="A134" s="18" t="s">
        <v>578</v>
      </c>
      <c r="B134" s="316" t="e">
        <f>VLOOKUP($A134,Master!$B$50:$N$232,2,FALSE)</f>
        <v>#N/A</v>
      </c>
      <c r="C134" s="316" t="e">
        <f>VLOOKUP($A134,Master!$B$50:$N$232,8,FALSE)</f>
        <v>#N/A</v>
      </c>
      <c r="D134" s="316" t="e">
        <f>VLOOKUP($A134,Master!$B$50:$N$232,9,FALSE)</f>
        <v>#N/A</v>
      </c>
      <c r="E134" s="317" t="e">
        <f>VLOOKUP($A134,Master!$B$50:$N$232,11,FALSE)</f>
        <v>#N/A</v>
      </c>
      <c r="F134" s="318">
        <v>2</v>
      </c>
      <c r="G134" s="354" t="s">
        <v>62</v>
      </c>
      <c r="H134" s="320">
        <v>440000</v>
      </c>
      <c r="I134" s="321" t="b">
        <v>1</v>
      </c>
      <c r="J134" s="322">
        <v>2</v>
      </c>
      <c r="K134" s="326" t="e">
        <f>VLOOKUP($A134,Master!$B$50:$N$232,6,FALSE)</f>
        <v>#N/A</v>
      </c>
      <c r="L134" s="327" t="e">
        <f t="shared" si="8"/>
        <v>#N/A</v>
      </c>
      <c r="M134" s="325"/>
    </row>
    <row r="135" spans="1:13" ht="13">
      <c r="A135" s="18" t="s">
        <v>651</v>
      </c>
      <c r="B135" s="316" t="str">
        <f>VLOOKUP($A135,Master!$B$50:$N$232,2,FALSE)</f>
        <v>B035</v>
      </c>
      <c r="C135" s="316">
        <f>VLOOKUP($A135,Master!$B$50:$N$232,8,FALSE)</f>
        <v>1000</v>
      </c>
      <c r="D135" s="316" t="str">
        <f>VLOOKUP($A135,Master!$B$50:$N$232,9,FALSE)</f>
        <v>gr</v>
      </c>
      <c r="E135" s="317" t="str">
        <f>VLOOKUP($A135,Master!$B$50:$N$232,11,FALSE)</f>
        <v>Eden Farm</v>
      </c>
      <c r="F135" s="318">
        <v>0.5</v>
      </c>
      <c r="G135" s="354" t="s">
        <v>36</v>
      </c>
      <c r="H135" s="320">
        <v>9700</v>
      </c>
      <c r="I135" s="321" t="b">
        <v>1</v>
      </c>
      <c r="J135" s="322">
        <v>1.5</v>
      </c>
      <c r="K135" s="323">
        <v>12000</v>
      </c>
      <c r="L135" s="324">
        <f t="shared" si="8"/>
        <v>18000</v>
      </c>
      <c r="M135" s="325" t="s">
        <v>1520</v>
      </c>
    </row>
    <row r="136" spans="1:13" ht="13">
      <c r="A136" s="18" t="s">
        <v>655</v>
      </c>
      <c r="B136" s="316" t="str">
        <f>VLOOKUP($A136,Master!$B$50:$N$232,2,FALSE)</f>
        <v>B036</v>
      </c>
      <c r="C136" s="316">
        <f>VLOOKUP($A136,Master!$B$50:$N$232,8,FALSE)</f>
        <v>1000</v>
      </c>
      <c r="D136" s="316" t="str">
        <f>VLOOKUP($A136,Master!$B$50:$N$232,9,FALSE)</f>
        <v>gr</v>
      </c>
      <c r="E136" s="317" t="str">
        <f>VLOOKUP($A136,Master!$B$50:$N$232,11,FALSE)</f>
        <v>Toko Lain</v>
      </c>
      <c r="F136" s="318">
        <v>2</v>
      </c>
      <c r="G136" s="354" t="s">
        <v>36</v>
      </c>
      <c r="H136" s="320">
        <v>97800</v>
      </c>
      <c r="I136" s="321" t="b">
        <v>1</v>
      </c>
      <c r="J136" s="322">
        <v>2</v>
      </c>
      <c r="K136" s="323">
        <v>58800</v>
      </c>
      <c r="L136" s="324">
        <f t="shared" si="8"/>
        <v>117600</v>
      </c>
      <c r="M136" s="325"/>
    </row>
    <row r="137" spans="1:13" ht="13">
      <c r="A137" s="18" t="s">
        <v>744</v>
      </c>
      <c r="B137" s="316" t="str">
        <f>VLOOKUP($A137,Master!$B$50:$N$232,2,FALSE)</f>
        <v>B058</v>
      </c>
      <c r="C137" s="316">
        <f>VLOOKUP($A137,Master!$B$50:$N$232,8,FALSE)</f>
        <v>1000</v>
      </c>
      <c r="D137" s="316" t="str">
        <f>VLOOKUP($A137,Master!$B$50:$N$232,9,FALSE)</f>
        <v>gr</v>
      </c>
      <c r="E137" s="317" t="str">
        <f>VLOOKUP($A137,Master!$B$50:$N$232,11,FALSE)</f>
        <v>Eden Farm</v>
      </c>
      <c r="F137" s="318">
        <v>0.5</v>
      </c>
      <c r="G137" s="354" t="s">
        <v>36</v>
      </c>
      <c r="H137" s="320">
        <v>44900</v>
      </c>
      <c r="I137" s="321" t="b">
        <v>1</v>
      </c>
      <c r="J137" s="322">
        <v>0.5</v>
      </c>
      <c r="K137" s="323">
        <v>40600</v>
      </c>
      <c r="L137" s="324">
        <f t="shared" si="8"/>
        <v>20300</v>
      </c>
      <c r="M137" s="325"/>
    </row>
    <row r="138" spans="1:13" ht="13">
      <c r="A138" s="18" t="s">
        <v>782</v>
      </c>
      <c r="B138" s="316" t="str">
        <f>VLOOKUP($A138,Master!$B$50:$N$232,2,FALSE)</f>
        <v>B069</v>
      </c>
      <c r="C138" s="316">
        <f>VLOOKUP($A138,Master!$B$50:$N$232,8,FALSE)</f>
        <v>500</v>
      </c>
      <c r="D138" s="316" t="str">
        <f>VLOOKUP($A138,Master!$B$50:$N$232,9,FALSE)</f>
        <v>gr</v>
      </c>
      <c r="E138" s="317" t="str">
        <f>VLOOKUP($A138,Master!$B$50:$N$232,11,FALSE)</f>
        <v>Toko Lain</v>
      </c>
      <c r="F138" s="318">
        <v>2</v>
      </c>
      <c r="G138" s="354" t="s">
        <v>62</v>
      </c>
      <c r="H138" s="320">
        <v>15000</v>
      </c>
      <c r="I138" s="321" t="b">
        <v>1</v>
      </c>
      <c r="J138" s="322">
        <v>2</v>
      </c>
      <c r="K138" s="323">
        <v>7700</v>
      </c>
      <c r="L138" s="324">
        <f t="shared" si="8"/>
        <v>15400</v>
      </c>
      <c r="M138" s="325"/>
    </row>
    <row r="139" spans="1:13" ht="13">
      <c r="A139" s="18" t="s">
        <v>922</v>
      </c>
      <c r="B139" s="316" t="str">
        <f>VLOOKUP($A139,Master!$B$50:$N$232,2,FALSE)</f>
        <v>B110</v>
      </c>
      <c r="C139" s="316">
        <f>VLOOKUP($A139,Master!$B$50:$N$232,8,FALSE)</f>
        <v>400</v>
      </c>
      <c r="D139" s="316" t="str">
        <f>VLOOKUP($A139,Master!$B$50:$N$232,9,FALSE)</f>
        <v>gr</v>
      </c>
      <c r="E139" s="317" t="str">
        <f>VLOOKUP($A139,Master!$B$50:$N$232,11,FALSE)</f>
        <v>Eden Farm</v>
      </c>
      <c r="F139" s="318">
        <v>0.5</v>
      </c>
      <c r="G139" s="354" t="s">
        <v>36</v>
      </c>
      <c r="H139" s="320">
        <v>32100</v>
      </c>
      <c r="I139" s="321" t="b">
        <v>1</v>
      </c>
      <c r="J139" s="322">
        <v>3</v>
      </c>
      <c r="K139" s="323">
        <v>22100</v>
      </c>
      <c r="L139" s="324">
        <f t="shared" si="8"/>
        <v>66300</v>
      </c>
      <c r="M139" s="325"/>
    </row>
    <row r="140" spans="1:13" ht="13">
      <c r="A140" s="18" t="s">
        <v>659</v>
      </c>
      <c r="B140" s="316" t="str">
        <f>VLOOKUP($A140,Master!$B$50:$N$232,2,FALSE)</f>
        <v>B037</v>
      </c>
      <c r="C140" s="316">
        <f>VLOOKUP($A140,Master!$B$50:$N$232,8,FALSE)</f>
        <v>15</v>
      </c>
      <c r="D140" s="316" t="str">
        <f>VLOOKUP($A140,Master!$B$50:$N$232,9,FALSE)</f>
        <v>pcs</v>
      </c>
      <c r="E140" s="317" t="str">
        <f>VLOOKUP($A140,Master!$B$50:$N$232,11,FALSE)</f>
        <v>Feri Supriadi (Telur , Beras , Minyak )</v>
      </c>
      <c r="F140" s="318">
        <v>5</v>
      </c>
      <c r="G140" s="354" t="s">
        <v>36</v>
      </c>
      <c r="H140" s="320">
        <v>137500</v>
      </c>
      <c r="I140" s="321" t="b">
        <v>1</v>
      </c>
      <c r="J140" s="322">
        <v>5</v>
      </c>
      <c r="K140" s="323">
        <v>28300</v>
      </c>
      <c r="L140" s="324">
        <f t="shared" si="8"/>
        <v>141500</v>
      </c>
      <c r="M140" s="325"/>
    </row>
    <row r="141" spans="1:13" ht="13">
      <c r="A141" s="18" t="s">
        <v>1574</v>
      </c>
      <c r="B141" s="316" t="str">
        <f>VLOOKUP($A141,Master!$B$50:$N$232,2,FALSE)</f>
        <v>B062</v>
      </c>
      <c r="C141" s="316">
        <f>VLOOKUP($A141,Master!$B$50:$N$232,8,FALSE)</f>
        <v>25000</v>
      </c>
      <c r="D141" s="316" t="str">
        <f>VLOOKUP($A141,Master!$B$50:$N$232,9,FALSE)</f>
        <v>gr</v>
      </c>
      <c r="E141" s="317" t="str">
        <f>VLOOKUP($A141,Master!$B$50:$N$232,11,FALSE)</f>
        <v>Feri Supriadi (Telur , Beras , Minyak )</v>
      </c>
      <c r="F141" s="318">
        <v>10</v>
      </c>
      <c r="G141" s="354" t="s">
        <v>36</v>
      </c>
      <c r="H141" s="320">
        <v>1160000</v>
      </c>
      <c r="I141" s="321" t="b">
        <v>1</v>
      </c>
      <c r="J141" s="322">
        <v>10</v>
      </c>
      <c r="K141" s="323">
        <v>11600</v>
      </c>
      <c r="L141" s="324">
        <f t="shared" si="8"/>
        <v>116000</v>
      </c>
      <c r="M141" s="325"/>
    </row>
    <row r="142" spans="1:13" ht="13">
      <c r="A142" s="18" t="s">
        <v>675</v>
      </c>
      <c r="B142" s="316" t="str">
        <f>VLOOKUP($A142,Master!$B$50:$N$232,2,FALSE)</f>
        <v>B041</v>
      </c>
      <c r="C142" s="316">
        <f>VLOOKUP($A142,Master!$B$50:$N$232,8,FALSE)</f>
        <v>20</v>
      </c>
      <c r="D142" s="316" t="str">
        <f>VLOOKUP($A142,Master!$B$50:$N$232,9,FALSE)</f>
        <v>unit</v>
      </c>
      <c r="E142" s="317" t="str">
        <f>VLOOKUP($A142,Master!$B$50:$N$232,11,FALSE)</f>
        <v>RSB, Dago</v>
      </c>
      <c r="F142" s="318">
        <v>10</v>
      </c>
      <c r="G142" s="354" t="s">
        <v>62</v>
      </c>
      <c r="H142" s="320">
        <v>60000</v>
      </c>
      <c r="I142" s="321" t="b">
        <v>1</v>
      </c>
      <c r="J142" s="322">
        <v>12</v>
      </c>
      <c r="K142" s="326">
        <f>VLOOKUP($A142,Master!$B$50:$N$232,6,FALSE)</f>
        <v>13500</v>
      </c>
      <c r="L142" s="327">
        <f t="shared" si="8"/>
        <v>162000</v>
      </c>
      <c r="M142" s="325"/>
    </row>
    <row r="143" spans="1:13" ht="13">
      <c r="A143" s="18" t="s">
        <v>881</v>
      </c>
      <c r="B143" s="316" t="str">
        <f>VLOOKUP($A143,Master!$B$50:$N$232,2,FALSE)</f>
        <v>B095</v>
      </c>
      <c r="C143" s="316">
        <f>VLOOKUP($A143,Master!$B$50:$N$232,8,FALSE)</f>
        <v>1000</v>
      </c>
      <c r="D143" s="316" t="str">
        <f>VLOOKUP($A143,Master!$B$50:$N$232,9,FALSE)</f>
        <v>gr</v>
      </c>
      <c r="E143" s="317" t="str">
        <f>VLOOKUP($A143,Master!$B$50:$N$232,11,FALSE)</f>
        <v>Pasar Cihapit</v>
      </c>
      <c r="F143" s="318">
        <v>0.5</v>
      </c>
      <c r="G143" s="354" t="s">
        <v>36</v>
      </c>
      <c r="H143" s="320">
        <v>69000</v>
      </c>
      <c r="I143" s="321" t="b">
        <v>1</v>
      </c>
      <c r="J143" s="322">
        <v>0.502</v>
      </c>
      <c r="K143" s="323">
        <v>71900</v>
      </c>
      <c r="L143" s="324">
        <v>30680</v>
      </c>
      <c r="M143" s="325"/>
    </row>
    <row r="144" spans="1:13" ht="13">
      <c r="A144" s="18" t="s">
        <v>883</v>
      </c>
      <c r="B144" s="316" t="str">
        <f>VLOOKUP($A144,Master!$B$50:$N$232,2,FALSE)</f>
        <v>B096</v>
      </c>
      <c r="C144" s="316">
        <f>VLOOKUP($A144,Master!$B$50:$N$232,8,FALSE)</f>
        <v>1000</v>
      </c>
      <c r="D144" s="316" t="str">
        <f>VLOOKUP($A144,Master!$B$50:$N$232,9,FALSE)</f>
        <v>gr</v>
      </c>
      <c r="E144" s="317" t="str">
        <f>VLOOKUP($A144,Master!$B$50:$N$232,11,FALSE)</f>
        <v>Pasar Cihapit</v>
      </c>
      <c r="F144" s="318">
        <v>300</v>
      </c>
      <c r="G144" s="354" t="s">
        <v>36</v>
      </c>
      <c r="H144" s="320">
        <v>148500</v>
      </c>
      <c r="I144" s="321" t="b">
        <v>1</v>
      </c>
      <c r="J144" s="322">
        <v>0.3</v>
      </c>
      <c r="K144" s="323">
        <v>157800</v>
      </c>
      <c r="L144" s="324">
        <v>46867</v>
      </c>
      <c r="M144" s="325"/>
    </row>
    <row r="145" spans="1:13" ht="13">
      <c r="A145" s="18" t="s">
        <v>519</v>
      </c>
      <c r="B145" s="316" t="e">
        <f>VLOOKUP($A145,Master!$B$50:$N$232,2,FALSE)</f>
        <v>#N/A</v>
      </c>
      <c r="C145" s="316" t="e">
        <f>VLOOKUP($A145,Master!$B$50:$N$232,8,FALSE)</f>
        <v>#N/A</v>
      </c>
      <c r="D145" s="316" t="e">
        <f>VLOOKUP($A145,Master!$B$50:$N$232,9,FALSE)</f>
        <v>#N/A</v>
      </c>
      <c r="E145" s="317" t="e">
        <f>VLOOKUP($A145,Master!$B$50:$N$232,11,FALSE)</f>
        <v>#N/A</v>
      </c>
      <c r="F145" s="318">
        <v>2</v>
      </c>
      <c r="G145" s="354" t="s">
        <v>36</v>
      </c>
      <c r="H145" s="320">
        <v>28000</v>
      </c>
      <c r="I145" s="321" t="b">
        <v>1</v>
      </c>
      <c r="J145" s="322">
        <v>2</v>
      </c>
      <c r="K145" s="326" t="e">
        <f>VLOOKUP($A145,Master!$B$50:$N$232,6,FALSE)</f>
        <v>#N/A</v>
      </c>
      <c r="L145" s="327" t="e">
        <f t="shared" ref="L145:L168" si="9">J145*K145</f>
        <v>#N/A</v>
      </c>
      <c r="M145" s="325"/>
    </row>
    <row r="146" spans="1:13" ht="13">
      <c r="A146" s="18" t="s">
        <v>528</v>
      </c>
      <c r="B146" s="316" t="e">
        <f>VLOOKUP($A146,Master!$B$50:$N$232,2,FALSE)</f>
        <v>#N/A</v>
      </c>
      <c r="C146" s="316" t="e">
        <f>VLOOKUP($A146,Master!$B$50:$N$232,8,FALSE)</f>
        <v>#N/A</v>
      </c>
      <c r="D146" s="316" t="e">
        <f>VLOOKUP($A146,Master!$B$50:$N$232,9,FALSE)</f>
        <v>#N/A</v>
      </c>
      <c r="E146" s="317" t="e">
        <f>VLOOKUP($A146,Master!$B$50:$N$232,11,FALSE)</f>
        <v>#N/A</v>
      </c>
      <c r="F146" s="318">
        <v>3</v>
      </c>
      <c r="G146" s="354" t="s">
        <v>50</v>
      </c>
      <c r="H146" s="320">
        <v>48000</v>
      </c>
      <c r="I146" s="321" t="b">
        <v>1</v>
      </c>
      <c r="J146" s="322">
        <v>3</v>
      </c>
      <c r="K146" s="326" t="e">
        <f>VLOOKUP($A146,Master!$B$50:$N$232,6,FALSE)</f>
        <v>#N/A</v>
      </c>
      <c r="L146" s="327" t="e">
        <f t="shared" si="9"/>
        <v>#N/A</v>
      </c>
      <c r="M146" s="325"/>
    </row>
    <row r="147" spans="1:13" ht="13">
      <c r="A147" s="18" t="s">
        <v>536</v>
      </c>
      <c r="B147" s="316" t="str">
        <f>VLOOKUP($A147,Master!$B$50:$N$232,2,FALSE)</f>
        <v>B005</v>
      </c>
      <c r="C147" s="316">
        <f>VLOOKUP($A147,Master!$B$50:$N$232,8,FALSE)</f>
        <v>100</v>
      </c>
      <c r="D147" s="316" t="str">
        <f>VLOOKUP($A147,Master!$B$50:$N$232,9,FALSE)</f>
        <v>gr</v>
      </c>
      <c r="E147" s="317" t="str">
        <f>VLOOKUP($A147,Master!$B$50:$N$232,11,FALSE)</f>
        <v>PD Aroma Jaya</v>
      </c>
      <c r="F147" s="318">
        <v>1</v>
      </c>
      <c r="G147" s="354" t="s">
        <v>62</v>
      </c>
      <c r="H147" s="320">
        <v>19000</v>
      </c>
      <c r="I147" s="321" t="b">
        <v>1</v>
      </c>
      <c r="J147" s="322">
        <v>1</v>
      </c>
      <c r="K147" s="326">
        <f>VLOOKUP($A147,Master!$B$50:$N$232,6,FALSE)</f>
        <v>21000</v>
      </c>
      <c r="L147" s="327">
        <f t="shared" si="9"/>
        <v>21000</v>
      </c>
      <c r="M147" s="325"/>
    </row>
    <row r="148" spans="1:13" ht="13">
      <c r="A148" s="18" t="s">
        <v>635</v>
      </c>
      <c r="B148" s="316" t="e">
        <f>VLOOKUP($A148,Master!$B$50:$N$232,2,FALSE)</f>
        <v>#N/A</v>
      </c>
      <c r="C148" s="316" t="e">
        <f>VLOOKUP($A148,Master!$B$50:$N$232,8,FALSE)</f>
        <v>#N/A</v>
      </c>
      <c r="D148" s="316" t="e">
        <f>VLOOKUP($A148,Master!$B$50:$N$232,9,FALSE)</f>
        <v>#N/A</v>
      </c>
      <c r="E148" s="317" t="e">
        <f>VLOOKUP($A148,Master!$B$50:$N$232,11,FALSE)</f>
        <v>#N/A</v>
      </c>
      <c r="F148" s="318">
        <v>6</v>
      </c>
      <c r="G148" s="354" t="s">
        <v>50</v>
      </c>
      <c r="H148" s="320">
        <v>56400</v>
      </c>
      <c r="I148" s="321" t="b">
        <v>1</v>
      </c>
      <c r="J148" s="322">
        <v>6</v>
      </c>
      <c r="K148" s="323">
        <v>11000</v>
      </c>
      <c r="L148" s="324">
        <f t="shared" si="9"/>
        <v>66000</v>
      </c>
      <c r="M148" s="325"/>
    </row>
    <row r="149" spans="1:13" ht="13">
      <c r="A149" s="18" t="s">
        <v>643</v>
      </c>
      <c r="B149" s="316" t="str">
        <f>VLOOKUP($A149,Master!$B$50:$N$232,2,FALSE)</f>
        <v>B033</v>
      </c>
      <c r="C149" s="316">
        <f>VLOOKUP($A149,Master!$B$50:$N$232,8,FALSE)</f>
        <v>1000</v>
      </c>
      <c r="D149" s="316" t="str">
        <f>VLOOKUP($A149,Master!$B$50:$N$232,9,FALSE)</f>
        <v>gr</v>
      </c>
      <c r="E149" s="317" t="str">
        <f>VLOOKUP($A149,Master!$B$50:$N$232,11,FALSE)</f>
        <v>PD Aroma Jaya</v>
      </c>
      <c r="F149" s="318">
        <v>2</v>
      </c>
      <c r="G149" s="354" t="s">
        <v>36</v>
      </c>
      <c r="H149" s="320">
        <v>32000</v>
      </c>
      <c r="I149" s="321" t="b">
        <v>1</v>
      </c>
      <c r="J149" s="322">
        <v>2</v>
      </c>
      <c r="K149" s="326">
        <f>VLOOKUP($A149,Master!$B$50:$N$232,6,FALSE)</f>
        <v>17000</v>
      </c>
      <c r="L149" s="327">
        <f t="shared" si="9"/>
        <v>34000</v>
      </c>
      <c r="M149" s="325"/>
    </row>
    <row r="150" spans="1:13" ht="13">
      <c r="A150" s="18" t="s">
        <v>684</v>
      </c>
      <c r="B150" s="316" t="e">
        <f>VLOOKUP($A150,Master!$B$50:$N$232,2,FALSE)</f>
        <v>#N/A</v>
      </c>
      <c r="C150" s="316" t="e">
        <f>VLOOKUP($A150,Master!$B$50:$N$232,8,FALSE)</f>
        <v>#N/A</v>
      </c>
      <c r="D150" s="316" t="e">
        <f>VLOOKUP($A150,Master!$B$50:$N$232,9,FALSE)</f>
        <v>#N/A</v>
      </c>
      <c r="E150" s="317" t="e">
        <f>VLOOKUP($A150,Master!$B$50:$N$232,11,FALSE)</f>
        <v>#N/A</v>
      </c>
      <c r="F150" s="318">
        <v>2</v>
      </c>
      <c r="G150" s="354" t="s">
        <v>97</v>
      </c>
      <c r="H150" s="320">
        <v>60000</v>
      </c>
      <c r="I150" s="321" t="b">
        <v>1</v>
      </c>
      <c r="J150" s="322">
        <v>2</v>
      </c>
      <c r="K150" s="326" t="e">
        <f>VLOOKUP($A150,Master!$B$50:$N$232,6,FALSE)</f>
        <v>#N/A</v>
      </c>
      <c r="L150" s="327" t="e">
        <f t="shared" si="9"/>
        <v>#N/A</v>
      </c>
      <c r="M150" s="325"/>
    </row>
    <row r="151" spans="1:13" ht="13">
      <c r="A151" s="18" t="s">
        <v>688</v>
      </c>
      <c r="B151" s="316" t="e">
        <f>VLOOKUP($A151,Master!$B$50:$N$232,2,FALSE)</f>
        <v>#N/A</v>
      </c>
      <c r="C151" s="316" t="e">
        <f>VLOOKUP($A151,Master!$B$50:$N$232,8,FALSE)</f>
        <v>#N/A</v>
      </c>
      <c r="D151" s="316" t="e">
        <f>VLOOKUP($A151,Master!$B$50:$N$232,9,FALSE)</f>
        <v>#N/A</v>
      </c>
      <c r="E151" s="317" t="e">
        <f>VLOOKUP($A151,Master!$B$50:$N$232,11,FALSE)</f>
        <v>#N/A</v>
      </c>
      <c r="F151" s="318">
        <v>2</v>
      </c>
      <c r="G151" s="354" t="s">
        <v>62</v>
      </c>
      <c r="H151" s="320">
        <v>125000</v>
      </c>
      <c r="I151" s="321" t="b">
        <v>1</v>
      </c>
      <c r="J151" s="322">
        <v>2</v>
      </c>
      <c r="K151" s="323">
        <v>62000</v>
      </c>
      <c r="L151" s="324">
        <f t="shared" si="9"/>
        <v>124000</v>
      </c>
      <c r="M151" s="325"/>
    </row>
    <row r="152" spans="1:13" ht="13">
      <c r="A152" s="18" t="s">
        <v>696</v>
      </c>
      <c r="B152" s="316" t="e">
        <f>VLOOKUP($A152,Master!$B$50:$N$232,2,FALSE)</f>
        <v>#N/A</v>
      </c>
      <c r="C152" s="316" t="e">
        <f>VLOOKUP($A152,Master!$B$50:$N$232,8,FALSE)</f>
        <v>#N/A</v>
      </c>
      <c r="D152" s="316" t="e">
        <f>VLOOKUP($A152,Master!$B$50:$N$232,9,FALSE)</f>
        <v>#N/A</v>
      </c>
      <c r="E152" s="317" t="e">
        <f>VLOOKUP($A152,Master!$B$50:$N$232,11,FALSE)</f>
        <v>#N/A</v>
      </c>
      <c r="F152" s="318">
        <v>3</v>
      </c>
      <c r="G152" s="354" t="s">
        <v>62</v>
      </c>
      <c r="H152" s="320">
        <v>42000</v>
      </c>
      <c r="I152" s="321" t="b">
        <v>1</v>
      </c>
      <c r="J152" s="322">
        <v>3</v>
      </c>
      <c r="K152" s="323">
        <v>13250</v>
      </c>
      <c r="L152" s="324">
        <f t="shared" si="9"/>
        <v>39750</v>
      </c>
      <c r="M152" s="325"/>
    </row>
    <row r="153" spans="1:13" ht="13">
      <c r="A153" s="18" t="s">
        <v>720</v>
      </c>
      <c r="B153" s="316" t="str">
        <f>VLOOKUP($A153,Master!$B$50:$N$232,2,FALSE)</f>
        <v>B052</v>
      </c>
      <c r="C153" s="316">
        <f>VLOOKUP($A153,Master!$B$50:$N$232,8,FALSE)</f>
        <v>100</v>
      </c>
      <c r="D153" s="316" t="str">
        <f>VLOOKUP($A153,Master!$B$50:$N$232,9,FALSE)</f>
        <v>gr</v>
      </c>
      <c r="E153" s="317" t="str">
        <f>VLOOKUP($A153,Master!$B$50:$N$232,11,FALSE)</f>
        <v>PD Aroma Jaya</v>
      </c>
      <c r="F153" s="318">
        <v>2</v>
      </c>
      <c r="G153" s="354" t="s">
        <v>62</v>
      </c>
      <c r="H153" s="320">
        <v>56000</v>
      </c>
      <c r="I153" s="321" t="b">
        <v>1</v>
      </c>
      <c r="J153" s="322">
        <v>2</v>
      </c>
      <c r="K153" s="326">
        <f>VLOOKUP($A153,Master!$B$50:$N$232,6,FALSE)</f>
        <v>28000</v>
      </c>
      <c r="L153" s="327">
        <f t="shared" si="9"/>
        <v>56000</v>
      </c>
      <c r="M153" s="325"/>
    </row>
    <row r="154" spans="1:13" ht="13">
      <c r="A154" s="18" t="s">
        <v>748</v>
      </c>
      <c r="B154" s="316" t="e">
        <f>VLOOKUP($A154,Master!$B$50:$N$232,2,FALSE)</f>
        <v>#N/A</v>
      </c>
      <c r="C154" s="316" t="e">
        <f>VLOOKUP($A154,Master!$B$50:$N$232,8,FALSE)</f>
        <v>#N/A</v>
      </c>
      <c r="D154" s="316" t="e">
        <f>VLOOKUP($A154,Master!$B$50:$N$232,9,FALSE)</f>
        <v>#N/A</v>
      </c>
      <c r="E154" s="317" t="e">
        <f>VLOOKUP($A154,Master!$B$50:$N$232,11,FALSE)</f>
        <v>#N/A</v>
      </c>
      <c r="F154" s="318">
        <v>1</v>
      </c>
      <c r="G154" s="354" t="s">
        <v>62</v>
      </c>
      <c r="H154" s="320">
        <v>27500</v>
      </c>
      <c r="I154" s="321" t="b">
        <v>1</v>
      </c>
      <c r="J154" s="322">
        <v>1</v>
      </c>
      <c r="K154" s="326" t="e">
        <f>VLOOKUP($A154,Master!$B$50:$N$232,6,FALSE)</f>
        <v>#N/A</v>
      </c>
      <c r="L154" s="327" t="e">
        <f t="shared" si="9"/>
        <v>#N/A</v>
      </c>
      <c r="M154" s="325"/>
    </row>
    <row r="155" spans="1:13" ht="13">
      <c r="A155" s="18" t="s">
        <v>767</v>
      </c>
      <c r="B155" s="316" t="e">
        <f>VLOOKUP($A155,Master!$B$50:$N$232,2,FALSE)</f>
        <v>#N/A</v>
      </c>
      <c r="C155" s="316" t="e">
        <f>VLOOKUP($A155,Master!$B$50:$N$232,8,FALSE)</f>
        <v>#N/A</v>
      </c>
      <c r="D155" s="316" t="e">
        <f>VLOOKUP($A155,Master!$B$50:$N$232,9,FALSE)</f>
        <v>#N/A</v>
      </c>
      <c r="E155" s="317" t="e">
        <f>VLOOKUP($A155,Master!$B$50:$N$232,11,FALSE)</f>
        <v>#N/A</v>
      </c>
      <c r="F155" s="318">
        <v>1</v>
      </c>
      <c r="G155" s="354" t="s">
        <v>62</v>
      </c>
      <c r="H155" s="320">
        <v>19500</v>
      </c>
      <c r="I155" s="321" t="b">
        <v>1</v>
      </c>
      <c r="J155" s="322">
        <v>1</v>
      </c>
      <c r="K155" s="326" t="e">
        <f>VLOOKUP($A155,Master!$B$50:$N$232,6,FALSE)</f>
        <v>#N/A</v>
      </c>
      <c r="L155" s="327" t="e">
        <f t="shared" si="9"/>
        <v>#N/A</v>
      </c>
      <c r="M155" s="325"/>
    </row>
    <row r="156" spans="1:13" ht="13">
      <c r="A156" s="18" t="s">
        <v>773</v>
      </c>
      <c r="B156" s="316" t="e">
        <f>VLOOKUP($A156,Master!$B$50:$N$232,2,FALSE)</f>
        <v>#N/A</v>
      </c>
      <c r="C156" s="316" t="e">
        <f>VLOOKUP($A156,Master!$B$50:$N$232,8,FALSE)</f>
        <v>#N/A</v>
      </c>
      <c r="D156" s="316" t="e">
        <f>VLOOKUP($A156,Master!$B$50:$N$232,9,FALSE)</f>
        <v>#N/A</v>
      </c>
      <c r="E156" s="317" t="e">
        <f>VLOOKUP($A156,Master!$B$50:$N$232,11,FALSE)</f>
        <v>#N/A</v>
      </c>
      <c r="F156" s="318">
        <v>8</v>
      </c>
      <c r="G156" s="354" t="s">
        <v>62</v>
      </c>
      <c r="H156" s="320">
        <v>112000</v>
      </c>
      <c r="I156" s="321" t="b">
        <v>1</v>
      </c>
      <c r="J156" s="322">
        <v>8</v>
      </c>
      <c r="K156" s="326" t="e">
        <f>VLOOKUP($A156,Master!$B$50:$N$232,6,FALSE)</f>
        <v>#N/A</v>
      </c>
      <c r="L156" s="327" t="e">
        <f t="shared" si="9"/>
        <v>#N/A</v>
      </c>
      <c r="M156" s="325"/>
    </row>
    <row r="157" spans="1:13" ht="13">
      <c r="A157" s="18" t="s">
        <v>787</v>
      </c>
      <c r="B157" s="316" t="e">
        <f>VLOOKUP($A157,Master!$B$50:$N$232,2,FALSE)</f>
        <v>#N/A</v>
      </c>
      <c r="C157" s="316" t="e">
        <f>VLOOKUP($A157,Master!$B$50:$N$232,8,FALSE)</f>
        <v>#N/A</v>
      </c>
      <c r="D157" s="316" t="e">
        <f>VLOOKUP($A157,Master!$B$50:$N$232,9,FALSE)</f>
        <v>#N/A</v>
      </c>
      <c r="E157" s="317" t="e">
        <f>VLOOKUP($A157,Master!$B$50:$N$232,11,FALSE)</f>
        <v>#N/A</v>
      </c>
      <c r="F157" s="318">
        <v>1</v>
      </c>
      <c r="G157" s="354" t="s">
        <v>97</v>
      </c>
      <c r="H157" s="320">
        <v>20250</v>
      </c>
      <c r="I157" s="321" t="b">
        <v>1</v>
      </c>
      <c r="J157" s="322">
        <v>1</v>
      </c>
      <c r="K157" s="326" t="e">
        <f>VLOOKUP($A157,Master!$B$50:$N$232,6,FALSE)</f>
        <v>#N/A</v>
      </c>
      <c r="L157" s="327" t="e">
        <f t="shared" si="9"/>
        <v>#N/A</v>
      </c>
      <c r="M157" s="325"/>
    </row>
    <row r="158" spans="1:13" ht="13">
      <c r="A158" s="18" t="s">
        <v>811</v>
      </c>
      <c r="B158" s="316" t="str">
        <f>VLOOKUP($A158,Master!$B$50:$N$232,2,FALSE)</f>
        <v>B077</v>
      </c>
      <c r="C158" s="316">
        <f>VLOOKUP($A158,Master!$B$50:$N$232,8,FALSE)</f>
        <v>100</v>
      </c>
      <c r="D158" s="316" t="str">
        <f>VLOOKUP($A158,Master!$B$50:$N$232,9,FALSE)</f>
        <v>gr</v>
      </c>
      <c r="E158" s="317" t="str">
        <f>VLOOKUP($A158,Master!$B$50:$N$232,11,FALSE)</f>
        <v>PD Aroma Jaya</v>
      </c>
      <c r="F158" s="318">
        <v>1</v>
      </c>
      <c r="G158" s="354" t="s">
        <v>62</v>
      </c>
      <c r="H158" s="320">
        <v>38000</v>
      </c>
      <c r="I158" s="321" t="b">
        <v>1</v>
      </c>
      <c r="J158" s="322">
        <v>1</v>
      </c>
      <c r="K158" s="326">
        <f>VLOOKUP($A158,Master!$B$50:$N$232,6,FALSE)</f>
        <v>38000</v>
      </c>
      <c r="L158" s="327">
        <f t="shared" si="9"/>
        <v>38000</v>
      </c>
      <c r="M158" s="325"/>
    </row>
    <row r="159" spans="1:13" ht="13">
      <c r="A159" s="18" t="s">
        <v>892</v>
      </c>
      <c r="B159" s="316" t="e">
        <f>VLOOKUP($A159,Master!$B$50:$N$232,2,FALSE)</f>
        <v>#N/A</v>
      </c>
      <c r="C159" s="316" t="e">
        <f>VLOOKUP($A159,Master!$B$50:$N$232,8,FALSE)</f>
        <v>#N/A</v>
      </c>
      <c r="D159" s="316" t="e">
        <f>VLOOKUP($A159,Master!$B$50:$N$232,9,FALSE)</f>
        <v>#N/A</v>
      </c>
      <c r="E159" s="317" t="e">
        <f>VLOOKUP($A159,Master!$B$50:$N$232,11,FALSE)</f>
        <v>#N/A</v>
      </c>
      <c r="F159" s="318">
        <v>2</v>
      </c>
      <c r="G159" s="354" t="s">
        <v>36</v>
      </c>
      <c r="H159" s="320">
        <v>215000</v>
      </c>
      <c r="I159" s="321" t="b">
        <v>1</v>
      </c>
      <c r="J159" s="322">
        <v>2</v>
      </c>
      <c r="K159" s="323">
        <v>110725</v>
      </c>
      <c r="L159" s="324">
        <f t="shared" si="9"/>
        <v>221450</v>
      </c>
      <c r="M159" s="325"/>
    </row>
    <row r="160" spans="1:13" ht="13">
      <c r="A160" s="18" t="s">
        <v>934</v>
      </c>
      <c r="B160" s="316" t="e">
        <f>VLOOKUP($A160,Master!$B$50:$N$232,2,FALSE)</f>
        <v>#N/A</v>
      </c>
      <c r="C160" s="316" t="e">
        <f>VLOOKUP($A160,Master!$B$50:$N$232,8,FALSE)</f>
        <v>#N/A</v>
      </c>
      <c r="D160" s="316" t="e">
        <f>VLOOKUP($A160,Master!$B$50:$N$232,9,FALSE)</f>
        <v>#N/A</v>
      </c>
      <c r="E160" s="317" t="e">
        <f>VLOOKUP($A160,Master!$B$50:$N$232,11,FALSE)</f>
        <v>#N/A</v>
      </c>
      <c r="F160" s="318">
        <v>1</v>
      </c>
      <c r="G160" s="354" t="s">
        <v>62</v>
      </c>
      <c r="H160" s="320">
        <v>7900</v>
      </c>
      <c r="I160" s="321" t="b">
        <v>1</v>
      </c>
      <c r="J160" s="322">
        <v>1</v>
      </c>
      <c r="K160" s="326" t="e">
        <f>VLOOKUP($A160,Master!$B$50:$N$232,6,FALSE)</f>
        <v>#N/A</v>
      </c>
      <c r="L160" s="327" t="e">
        <f t="shared" si="9"/>
        <v>#N/A</v>
      </c>
      <c r="M160" s="325"/>
    </row>
    <row r="161" spans="1:13" ht="13">
      <c r="A161" s="18" t="s">
        <v>943</v>
      </c>
      <c r="B161" s="316" t="e">
        <f>VLOOKUP($A161,Master!$B$50:$N$232,2,FALSE)</f>
        <v>#N/A</v>
      </c>
      <c r="C161" s="316" t="e">
        <f>VLOOKUP($A161,Master!$B$50:$N$232,8,FALSE)</f>
        <v>#N/A</v>
      </c>
      <c r="D161" s="316" t="e">
        <f>VLOOKUP($A161,Master!$B$50:$N$232,9,FALSE)</f>
        <v>#N/A</v>
      </c>
      <c r="E161" s="317" t="e">
        <f>VLOOKUP($A161,Master!$B$50:$N$232,11,FALSE)</f>
        <v>#N/A</v>
      </c>
      <c r="F161" s="318">
        <v>2</v>
      </c>
      <c r="G161" s="354" t="s">
        <v>62</v>
      </c>
      <c r="H161" s="320">
        <v>15800</v>
      </c>
      <c r="I161" s="321" t="b">
        <v>1</v>
      </c>
      <c r="J161" s="322">
        <v>2</v>
      </c>
      <c r="K161" s="326" t="e">
        <f>VLOOKUP($A161,Master!$B$50:$N$232,6,FALSE)</f>
        <v>#N/A</v>
      </c>
      <c r="L161" s="327" t="e">
        <f t="shared" si="9"/>
        <v>#N/A</v>
      </c>
      <c r="M161" s="325"/>
    </row>
    <row r="162" spans="1:13" ht="13">
      <c r="A162" s="18" t="s">
        <v>989</v>
      </c>
      <c r="B162" s="316" t="str">
        <f>VLOOKUP($A162,Master!$B$50:$N$232,2,FALSE)</f>
        <v>B133</v>
      </c>
      <c r="C162" s="316">
        <f>VLOOKUP($A162,Master!$B$50:$N$232,8,FALSE)</f>
        <v>5000</v>
      </c>
      <c r="D162" s="316" t="str">
        <f>VLOOKUP($A162,Master!$B$50:$N$232,9,FALSE)</f>
        <v>ml</v>
      </c>
      <c r="E162" s="317" t="str">
        <f>VLOOKUP($A162,Master!$B$50:$N$232,11,FALSE)</f>
        <v>Kurnia Mas</v>
      </c>
      <c r="F162" s="318">
        <v>2</v>
      </c>
      <c r="G162" s="354" t="s">
        <v>62</v>
      </c>
      <c r="H162" s="320">
        <v>39000</v>
      </c>
      <c r="I162" s="321" t="b">
        <v>1</v>
      </c>
      <c r="J162" s="322">
        <v>2</v>
      </c>
      <c r="K162" s="323">
        <v>19000</v>
      </c>
      <c r="L162" s="324">
        <f t="shared" si="9"/>
        <v>38000</v>
      </c>
      <c r="M162" s="325"/>
    </row>
    <row r="163" spans="1:13" ht="13">
      <c r="A163" s="18" t="s">
        <v>1000</v>
      </c>
      <c r="B163" s="316" t="str">
        <f>VLOOKUP($A163,Master!$B$50:$N$232,2,FALSE)</f>
        <v>B137</v>
      </c>
      <c r="C163" s="316">
        <f>VLOOKUP($A163,Master!$B$50:$N$232,8,FALSE)</f>
        <v>1000</v>
      </c>
      <c r="D163" s="316" t="str">
        <f>VLOOKUP($A163,Master!$B$50:$N$232,9,FALSE)</f>
        <v>gr</v>
      </c>
      <c r="E163" s="317" t="str">
        <f>VLOOKUP($A163,Master!$B$50:$N$232,11,FALSE)</f>
        <v>PD Aroma Jaya</v>
      </c>
      <c r="F163" s="318">
        <v>1</v>
      </c>
      <c r="G163" s="354" t="s">
        <v>62</v>
      </c>
      <c r="H163" s="320">
        <v>41000</v>
      </c>
      <c r="I163" s="321" t="b">
        <v>1</v>
      </c>
      <c r="J163" s="322">
        <v>1</v>
      </c>
      <c r="K163" s="323">
        <v>42000</v>
      </c>
      <c r="L163" s="324">
        <f t="shared" si="9"/>
        <v>42000</v>
      </c>
      <c r="M163" s="325"/>
    </row>
    <row r="164" spans="1:13" ht="13">
      <c r="A164" s="18" t="s">
        <v>562</v>
      </c>
      <c r="B164" s="316" t="e">
        <f>VLOOKUP($A164,Master!$B$50:$N$232,2,FALSE)</f>
        <v>#N/A</v>
      </c>
      <c r="C164" s="316" t="e">
        <f>VLOOKUP($A164,Master!$B$50:$N$232,8,FALSE)</f>
        <v>#N/A</v>
      </c>
      <c r="D164" s="316" t="e">
        <f>VLOOKUP($A164,Master!$B$50:$N$232,9,FALSE)</f>
        <v>#N/A</v>
      </c>
      <c r="E164" s="317" t="e">
        <f>VLOOKUP($A164,Master!$B$50:$N$232,11,FALSE)</f>
        <v>#N/A</v>
      </c>
      <c r="F164" s="318">
        <v>1</v>
      </c>
      <c r="G164" s="354" t="s">
        <v>97</v>
      </c>
      <c r="H164" s="320">
        <v>216450</v>
      </c>
      <c r="I164" s="321" t="b">
        <v>1</v>
      </c>
      <c r="J164" s="322">
        <v>1</v>
      </c>
      <c r="K164" s="326" t="e">
        <f>VLOOKUP($A164,Master!$B$50:$N$232,6,FALSE)</f>
        <v>#N/A</v>
      </c>
      <c r="L164" s="327" t="e">
        <f t="shared" si="9"/>
        <v>#N/A</v>
      </c>
      <c r="M164" s="325"/>
    </row>
    <row r="165" spans="1:13" ht="13">
      <c r="A165" s="18" t="s">
        <v>570</v>
      </c>
      <c r="B165" s="316" t="e">
        <f>VLOOKUP($A165,Master!$B$50:$N$232,2,FALSE)</f>
        <v>#N/A</v>
      </c>
      <c r="C165" s="316" t="e">
        <f>VLOOKUP($A165,Master!$B$50:$N$232,8,FALSE)</f>
        <v>#N/A</v>
      </c>
      <c r="D165" s="316" t="e">
        <f>VLOOKUP($A165,Master!$B$50:$N$232,9,FALSE)</f>
        <v>#N/A</v>
      </c>
      <c r="E165" s="317" t="e">
        <f>VLOOKUP($A165,Master!$B$50:$N$232,11,FALSE)</f>
        <v>#N/A</v>
      </c>
      <c r="F165" s="318">
        <v>1</v>
      </c>
      <c r="G165" s="354" t="s">
        <v>62</v>
      </c>
      <c r="H165" s="320">
        <v>148500</v>
      </c>
      <c r="I165" s="321" t="b">
        <v>1</v>
      </c>
      <c r="J165" s="322">
        <v>1</v>
      </c>
      <c r="K165" s="326" t="e">
        <f>VLOOKUP($A165,Master!$B$50:$N$232,6,FALSE)</f>
        <v>#N/A</v>
      </c>
      <c r="L165" s="327" t="e">
        <f t="shared" si="9"/>
        <v>#N/A</v>
      </c>
      <c r="M165" s="325"/>
    </row>
    <row r="166" spans="1:13" ht="13">
      <c r="A166" s="18" t="s">
        <v>639</v>
      </c>
      <c r="B166" s="316" t="str">
        <f>VLOOKUP($A166,Master!$B$50:$N$232,2,FALSE)</f>
        <v>B032</v>
      </c>
      <c r="C166" s="316">
        <f>VLOOKUP($A166,Master!$B$50:$N$232,8,FALSE)</f>
        <v>1000</v>
      </c>
      <c r="D166" s="316" t="str">
        <f>VLOOKUP($A166,Master!$B$50:$N$232,9,FALSE)</f>
        <v>gr</v>
      </c>
      <c r="E166" s="317" t="str">
        <f>VLOOKUP($A166,Master!$B$50:$N$232,11,FALSE)</f>
        <v>BISS (Topside)</v>
      </c>
      <c r="F166" s="318">
        <v>2</v>
      </c>
      <c r="G166" s="354" t="s">
        <v>36</v>
      </c>
      <c r="H166" s="320">
        <v>290000</v>
      </c>
      <c r="I166" s="321" t="b">
        <v>1</v>
      </c>
      <c r="J166" s="322">
        <v>2</v>
      </c>
      <c r="K166" s="323">
        <v>130000</v>
      </c>
      <c r="L166" s="324">
        <f t="shared" si="9"/>
        <v>260000</v>
      </c>
      <c r="M166" s="325"/>
    </row>
    <row r="167" spans="1:13" ht="13">
      <c r="A167" s="18" t="s">
        <v>548</v>
      </c>
      <c r="B167" s="316" t="e">
        <f>VLOOKUP($A167,Master!$B$50:$N$232,2,FALSE)</f>
        <v>#N/A</v>
      </c>
      <c r="C167" s="316" t="e">
        <f>VLOOKUP($A167,Master!$B$50:$N$232,8,FALSE)</f>
        <v>#N/A</v>
      </c>
      <c r="D167" s="316" t="e">
        <f>VLOOKUP($A167,Master!$B$50:$N$232,9,FALSE)</f>
        <v>#N/A</v>
      </c>
      <c r="E167" s="317" t="e">
        <f>VLOOKUP($A167,Master!$B$50:$N$232,11,FALSE)</f>
        <v>#N/A</v>
      </c>
      <c r="F167" s="318">
        <v>2</v>
      </c>
      <c r="G167" s="354" t="s">
        <v>87</v>
      </c>
      <c r="H167" s="320">
        <v>315130</v>
      </c>
      <c r="I167" s="321" t="b">
        <v>1</v>
      </c>
      <c r="J167" s="322">
        <v>2</v>
      </c>
      <c r="K167" s="326" t="e">
        <f>VLOOKUP($A167,Master!$B$50:$N$232,6,FALSE)</f>
        <v>#N/A</v>
      </c>
      <c r="L167" s="327" t="e">
        <f t="shared" si="9"/>
        <v>#N/A</v>
      </c>
      <c r="M167" s="325"/>
    </row>
    <row r="168" spans="1:13" ht="13">
      <c r="A168" s="18" t="s">
        <v>704</v>
      </c>
      <c r="B168" s="316" t="e">
        <f>VLOOKUP($A168,Master!$B$50:$N$232,2,FALSE)</f>
        <v>#N/A</v>
      </c>
      <c r="C168" s="316" t="e">
        <f>VLOOKUP($A168,Master!$B$50:$N$232,8,FALSE)</f>
        <v>#N/A</v>
      </c>
      <c r="D168" s="316" t="e">
        <f>VLOOKUP($A168,Master!$B$50:$N$232,9,FALSE)</f>
        <v>#N/A</v>
      </c>
      <c r="E168" s="317" t="e">
        <f>VLOOKUP($A168,Master!$B$50:$N$232,11,FALSE)</f>
        <v>#N/A</v>
      </c>
      <c r="F168" s="318">
        <v>3</v>
      </c>
      <c r="G168" s="354" t="s">
        <v>143</v>
      </c>
      <c r="H168" s="320">
        <v>608391</v>
      </c>
      <c r="I168" s="321" t="b">
        <v>1</v>
      </c>
      <c r="J168" s="322">
        <v>3</v>
      </c>
      <c r="K168" s="326" t="e">
        <f>VLOOKUP($A168,Master!$B$50:$N$232,6,FALSE)</f>
        <v>#N/A</v>
      </c>
      <c r="L168" s="327" t="e">
        <f t="shared" si="9"/>
        <v>#N/A</v>
      </c>
      <c r="M168" s="325"/>
    </row>
    <row r="169" spans="1:13" ht="13">
      <c r="A169" s="18" t="s">
        <v>756</v>
      </c>
      <c r="B169" s="316" t="str">
        <f>VLOOKUP($A169,Master!$B$50:$N$232,2,FALSE)</f>
        <v>B061</v>
      </c>
      <c r="C169" s="316">
        <f>VLOOKUP($A169,Master!$B$50:$N$232,8,FALSE)</f>
        <v>700</v>
      </c>
      <c r="D169" s="316" t="str">
        <f>VLOOKUP($A169,Master!$B$50:$N$232,9,FALSE)</f>
        <v>gr</v>
      </c>
      <c r="E169" s="317" t="str">
        <f>VLOOKUP($A169,Master!$B$50:$N$232,11,FALSE)</f>
        <v>RSB, Dago</v>
      </c>
      <c r="F169" s="318">
        <v>1</v>
      </c>
      <c r="G169" s="354" t="s">
        <v>62</v>
      </c>
      <c r="H169" s="320">
        <v>25000</v>
      </c>
      <c r="I169" s="321" t="b">
        <v>1</v>
      </c>
      <c r="J169" s="322">
        <v>1</v>
      </c>
      <c r="K169" s="323">
        <v>35900</v>
      </c>
      <c r="L169" s="324">
        <v>35541</v>
      </c>
      <c r="M169" s="325"/>
    </row>
    <row r="170" spans="1:13" ht="13">
      <c r="A170" s="18" t="s">
        <v>964</v>
      </c>
      <c r="B170" s="316" t="e">
        <f>VLOOKUP($A170,Master!$B$50:$N$232,2,FALSE)</f>
        <v>#N/A</v>
      </c>
      <c r="C170" s="316" t="e">
        <f>VLOOKUP($A170,Master!$B$50:$N$232,8,FALSE)</f>
        <v>#N/A</v>
      </c>
      <c r="D170" s="316" t="e">
        <f>VLOOKUP($A170,Master!$B$50:$N$232,9,FALSE)</f>
        <v>#N/A</v>
      </c>
      <c r="E170" s="317" t="e">
        <f>VLOOKUP($A170,Master!$B$50:$N$232,11,FALSE)</f>
        <v>#N/A</v>
      </c>
      <c r="F170" s="318">
        <v>1</v>
      </c>
      <c r="G170" s="354" t="s">
        <v>97</v>
      </c>
      <c r="H170" s="320">
        <v>129000</v>
      </c>
      <c r="I170" s="321" t="b">
        <v>1</v>
      </c>
      <c r="J170" s="322">
        <v>1</v>
      </c>
      <c r="K170" s="323">
        <v>140200</v>
      </c>
      <c r="L170" s="324">
        <f t="shared" ref="L170:L172" si="10">J170*K170</f>
        <v>140200</v>
      </c>
      <c r="M170" s="325"/>
    </row>
    <row r="171" spans="1:13" ht="13">
      <c r="A171" s="18" t="s">
        <v>1112</v>
      </c>
      <c r="B171" s="316" t="s">
        <v>1113</v>
      </c>
      <c r="C171" s="316">
        <v>1</v>
      </c>
      <c r="D171" s="316" t="s">
        <v>306</v>
      </c>
      <c r="E171" s="317" t="s">
        <v>272</v>
      </c>
      <c r="F171" s="318">
        <v>2</v>
      </c>
      <c r="G171" s="354" t="s">
        <v>132</v>
      </c>
      <c r="H171" s="320">
        <v>387400</v>
      </c>
      <c r="I171" s="321" t="b">
        <v>1</v>
      </c>
      <c r="J171" s="322">
        <v>2</v>
      </c>
      <c r="K171" s="326">
        <v>193700</v>
      </c>
      <c r="L171" s="327">
        <f t="shared" si="10"/>
        <v>387400</v>
      </c>
      <c r="M171" s="325"/>
    </row>
    <row r="172" spans="1:13" ht="13">
      <c r="A172" s="18" t="s">
        <v>716</v>
      </c>
      <c r="B172" s="316" t="str">
        <f>VLOOKUP($A172,Master!$B$50:$N$232,2,FALSE)</f>
        <v>B051</v>
      </c>
      <c r="C172" s="316">
        <f>VLOOKUP($A172,Master!$B$50:$N$232,8,FALSE)</f>
        <v>1000</v>
      </c>
      <c r="D172" s="316" t="str">
        <f>VLOOKUP($A172,Master!$B$50:$N$232,9,FALSE)</f>
        <v>gr</v>
      </c>
      <c r="E172" s="317" t="str">
        <f>VLOOKUP($A172,Master!$B$50:$N$232,11,FALSE)</f>
        <v>Eden Farm</v>
      </c>
      <c r="F172" s="318">
        <v>1</v>
      </c>
      <c r="G172" s="354" t="s">
        <v>36</v>
      </c>
      <c r="H172" s="320">
        <v>41700</v>
      </c>
      <c r="I172" s="321" t="b">
        <v>1</v>
      </c>
      <c r="J172" s="322">
        <v>1</v>
      </c>
      <c r="K172" s="323">
        <v>40600</v>
      </c>
      <c r="L172" s="324">
        <f t="shared" si="10"/>
        <v>40600</v>
      </c>
      <c r="M172" s="325"/>
    </row>
    <row r="174" spans="1:13" ht="13">
      <c r="F174" s="427">
        <v>44725</v>
      </c>
      <c r="G174" s="428"/>
      <c r="H174" s="424"/>
      <c r="J174" s="429">
        <f>F174+1</f>
        <v>44726</v>
      </c>
      <c r="K174" s="428"/>
      <c r="L174" s="424"/>
    </row>
    <row r="175" spans="1:13" ht="13">
      <c r="F175" s="425" t="s">
        <v>1490</v>
      </c>
      <c r="G175" s="426"/>
      <c r="H175" s="304">
        <f>SUM(H177:H328)</f>
        <v>198534971</v>
      </c>
      <c r="J175" s="425" t="s">
        <v>1491</v>
      </c>
      <c r="K175" s="426"/>
      <c r="L175" s="304" t="e">
        <f>SUM(L177:L328)</f>
        <v>#N/A</v>
      </c>
    </row>
    <row r="176" spans="1:13" ht="13">
      <c r="A176" s="2" t="s">
        <v>4</v>
      </c>
      <c r="B176" s="305" t="s">
        <v>5</v>
      </c>
      <c r="C176" s="305" t="s">
        <v>1492</v>
      </c>
      <c r="D176" s="305" t="s">
        <v>12</v>
      </c>
      <c r="E176" s="306" t="s">
        <v>1493</v>
      </c>
      <c r="F176" s="307" t="s">
        <v>1494</v>
      </c>
      <c r="G176" s="308" t="s">
        <v>10</v>
      </c>
      <c r="H176" s="309" t="s">
        <v>1495</v>
      </c>
      <c r="I176" s="310" t="s">
        <v>1289</v>
      </c>
      <c r="J176" s="311" t="s">
        <v>1496</v>
      </c>
      <c r="K176" s="312" t="s">
        <v>1497</v>
      </c>
      <c r="L176" s="313" t="s">
        <v>1498</v>
      </c>
      <c r="M176" s="314" t="s">
        <v>16</v>
      </c>
    </row>
    <row r="177" spans="1:13" ht="13">
      <c r="A177" s="4" t="s">
        <v>940</v>
      </c>
      <c r="B177" s="316" t="str">
        <f>VLOOKUP($A177,Master!$B$50:$N$232,2,FALSE)</f>
        <v>B116</v>
      </c>
      <c r="C177" s="316">
        <f>VLOOKUP($A177,Master!$B$50:$N$232,8,FALSE)</f>
        <v>100</v>
      </c>
      <c r="D177" s="316" t="str">
        <f>VLOOKUP($A177,Master!$B$50:$N$232,9,FALSE)</f>
        <v>gr</v>
      </c>
      <c r="E177" s="317" t="str">
        <f>VLOOKUP($A177,Master!$B$50:$N$232,11,FALSE)</f>
        <v>Kurnia Mas</v>
      </c>
      <c r="F177" s="318">
        <v>0.25</v>
      </c>
      <c r="G177" s="319" t="s">
        <v>36</v>
      </c>
      <c r="H177" s="320">
        <v>100000</v>
      </c>
      <c r="I177" s="321" t="b">
        <v>0</v>
      </c>
      <c r="J177" s="322"/>
      <c r="K177" s="326">
        <f>VLOOKUP($A177,Master!$B$50:$N$232,6,FALSE)</f>
        <v>20000</v>
      </c>
      <c r="L177" s="327">
        <f t="shared" ref="L177:L181" si="11">J177*K177</f>
        <v>0</v>
      </c>
      <c r="M177" s="325"/>
    </row>
    <row r="178" spans="1:13" ht="13">
      <c r="A178" s="18" t="s">
        <v>1096</v>
      </c>
      <c r="B178" s="316" t="e">
        <f>VLOOKUP($A178,Master!$B$50:$N$232,2,FALSE)</f>
        <v>#N/A</v>
      </c>
      <c r="C178" s="316" t="e">
        <f>VLOOKUP($A178,Master!$B$50:$N$232,8,FALSE)</f>
        <v>#N/A</v>
      </c>
      <c r="D178" s="316" t="e">
        <f>VLOOKUP($A178,Master!$B$50:$N$232,9,FALSE)</f>
        <v>#N/A</v>
      </c>
      <c r="E178" s="317" t="e">
        <f>VLOOKUP($A178,Master!$B$50:$N$232,11,FALSE)</f>
        <v>#N/A</v>
      </c>
      <c r="F178" s="318">
        <v>1</v>
      </c>
      <c r="G178" s="319" t="s">
        <v>62</v>
      </c>
      <c r="H178" s="320">
        <v>4700</v>
      </c>
      <c r="I178" s="321" t="b">
        <v>1</v>
      </c>
      <c r="J178" s="322">
        <v>4</v>
      </c>
      <c r="K178" s="323">
        <v>9200</v>
      </c>
      <c r="L178" s="324">
        <f t="shared" si="11"/>
        <v>36800</v>
      </c>
      <c r="M178" s="325"/>
    </row>
    <row r="179" spans="1:13" ht="13">
      <c r="A179" s="18" t="s">
        <v>544</v>
      </c>
      <c r="B179" s="316" t="e">
        <f>VLOOKUP($A179,Master!$B$50:$N$232,2,FALSE)</f>
        <v>#N/A</v>
      </c>
      <c r="C179" s="316" t="e">
        <f>VLOOKUP($A179,Master!$B$50:$N$232,8,FALSE)</f>
        <v>#N/A</v>
      </c>
      <c r="D179" s="316" t="e">
        <f>VLOOKUP($A179,Master!$B$50:$N$232,9,FALSE)</f>
        <v>#N/A</v>
      </c>
      <c r="E179" s="317" t="e">
        <f>VLOOKUP($A179,Master!$B$50:$N$232,11,FALSE)</f>
        <v>#N/A</v>
      </c>
      <c r="F179" s="318">
        <v>2</v>
      </c>
      <c r="G179" s="319" t="s">
        <v>62</v>
      </c>
      <c r="H179" s="320">
        <v>30400</v>
      </c>
      <c r="I179" s="321" t="b">
        <v>0</v>
      </c>
      <c r="J179" s="322"/>
      <c r="K179" s="326" t="e">
        <f>VLOOKUP($A179,Master!$B$50:$N$232,6,FALSE)</f>
        <v>#N/A</v>
      </c>
      <c r="L179" s="327" t="e">
        <f t="shared" si="11"/>
        <v>#N/A</v>
      </c>
      <c r="M179" s="325"/>
    </row>
    <row r="180" spans="1:13" ht="13">
      <c r="A180" s="18" t="s">
        <v>586</v>
      </c>
      <c r="B180" s="316" t="str">
        <f>VLOOKUP($A180,Master!$B$50:$N$232,2,FALSE)</f>
        <v>B018</v>
      </c>
      <c r="C180" s="316">
        <f>VLOOKUP($A180,Master!$B$50:$N$232,8,FALSE)</f>
        <v>20</v>
      </c>
      <c r="D180" s="316" t="str">
        <f>VLOOKUP($A180,Master!$B$50:$N$232,9,FALSE)</f>
        <v>pcs</v>
      </c>
      <c r="E180" s="317" t="str">
        <f>VLOOKUP($A180,Master!$B$50:$N$232,11,FALSE)</f>
        <v>Kurnia Mas</v>
      </c>
      <c r="F180" s="318">
        <v>3</v>
      </c>
      <c r="G180" s="319" t="s">
        <v>62</v>
      </c>
      <c r="H180" s="320">
        <v>21900</v>
      </c>
      <c r="I180" s="321" t="b">
        <v>1</v>
      </c>
      <c r="J180" s="322">
        <v>3</v>
      </c>
      <c r="K180" s="323">
        <v>7600</v>
      </c>
      <c r="L180" s="324">
        <f t="shared" si="11"/>
        <v>22800</v>
      </c>
      <c r="M180" s="325"/>
    </row>
    <row r="181" spans="1:13" ht="13">
      <c r="A181" s="18" t="s">
        <v>770</v>
      </c>
      <c r="B181" s="316" t="e">
        <f>VLOOKUP($A181,Master!$B$50:$N$232,2,FALSE)</f>
        <v>#N/A</v>
      </c>
      <c r="C181" s="316" t="e">
        <f>VLOOKUP($A181,Master!$B$50:$N$232,8,FALSE)</f>
        <v>#N/A</v>
      </c>
      <c r="D181" s="316" t="e">
        <f>VLOOKUP($A181,Master!$B$50:$N$232,9,FALSE)</f>
        <v>#N/A</v>
      </c>
      <c r="E181" s="317" t="e">
        <f>VLOOKUP($A181,Master!$B$50:$N$232,11,FALSE)</f>
        <v>#N/A</v>
      </c>
      <c r="F181" s="318">
        <v>2</v>
      </c>
      <c r="G181" s="319" t="s">
        <v>97</v>
      </c>
      <c r="H181" s="320">
        <v>50600</v>
      </c>
      <c r="I181" s="321" t="b">
        <v>1</v>
      </c>
      <c r="J181" s="322">
        <v>1</v>
      </c>
      <c r="K181" s="326" t="e">
        <f>VLOOKUP($A181,Master!$B$50:$N$232,6,FALSE)</f>
        <v>#N/A</v>
      </c>
      <c r="L181" s="327" t="e">
        <f t="shared" si="11"/>
        <v>#N/A</v>
      </c>
      <c r="M181" s="325"/>
    </row>
    <row r="182" spans="1:13" ht="13">
      <c r="A182" s="18" t="s">
        <v>1501</v>
      </c>
      <c r="B182" s="316" t="e">
        <f>VLOOKUP($A182,Master!$B$50:$N$232,2,FALSE)</f>
        <v>#N/A</v>
      </c>
      <c r="C182" s="316" t="e">
        <f>VLOOKUP($A182,Master!$B$50:$N$232,8,FALSE)</f>
        <v>#N/A</v>
      </c>
      <c r="D182" s="316" t="e">
        <f>VLOOKUP($A182,Master!$B$50:$N$232,9,FALSE)</f>
        <v>#N/A</v>
      </c>
      <c r="E182" s="317" t="e">
        <f>VLOOKUP($A182,Master!$B$50:$N$232,11,FALSE)</f>
        <v>#N/A</v>
      </c>
      <c r="F182" s="318">
        <v>0.3</v>
      </c>
      <c r="G182" s="319" t="s">
        <v>36</v>
      </c>
      <c r="H182" s="320">
        <v>4050</v>
      </c>
      <c r="I182" s="321" t="b">
        <v>1</v>
      </c>
      <c r="J182" s="322">
        <v>0.32400000000000001</v>
      </c>
      <c r="K182" s="323">
        <v>30000</v>
      </c>
      <c r="L182" s="324">
        <v>8748</v>
      </c>
      <c r="M182" s="325"/>
    </row>
    <row r="183" spans="1:13" ht="13">
      <c r="A183" s="18" t="s">
        <v>937</v>
      </c>
      <c r="B183" s="316" t="str">
        <f>VLOOKUP($A183,Master!$B$50:$N$232,2,FALSE)</f>
        <v>B115</v>
      </c>
      <c r="C183" s="316">
        <f>VLOOKUP($A183,Master!$B$50:$N$232,8,FALSE)</f>
        <v>20</v>
      </c>
      <c r="D183" s="316" t="str">
        <f>VLOOKUP($A183,Master!$B$50:$N$232,9,FALSE)</f>
        <v>pcs</v>
      </c>
      <c r="E183" s="317" t="str">
        <f>VLOOKUP($A183,Master!$B$50:$N$232,11,FALSE)</f>
        <v>Borma</v>
      </c>
      <c r="F183" s="318">
        <v>2</v>
      </c>
      <c r="G183" s="319" t="s">
        <v>62</v>
      </c>
      <c r="H183" s="320">
        <v>14600</v>
      </c>
      <c r="I183" s="321" t="b">
        <v>0</v>
      </c>
      <c r="J183" s="322"/>
      <c r="K183" s="326">
        <f>VLOOKUP($A183,Master!$B$50:$N$232,6,FALSE)</f>
        <v>8500</v>
      </c>
      <c r="L183" s="327">
        <f t="shared" ref="L183:L209" si="12">J183*K183</f>
        <v>0</v>
      </c>
      <c r="M183" s="325"/>
    </row>
    <row r="184" spans="1:13" ht="13">
      <c r="A184" s="18" t="s">
        <v>1037</v>
      </c>
      <c r="B184" s="316" t="e">
        <f>VLOOKUP($A184,Master!$B$50:$N$232,2,FALSE)</f>
        <v>#N/A</v>
      </c>
      <c r="C184" s="316" t="e">
        <f>VLOOKUP($A184,Master!$B$50:$N$232,8,FALSE)</f>
        <v>#N/A</v>
      </c>
      <c r="D184" s="316" t="e">
        <f>VLOOKUP($A184,Master!$B$50:$N$232,9,FALSE)</f>
        <v>#N/A</v>
      </c>
      <c r="E184" s="317" t="e">
        <f>VLOOKUP($A184,Master!$B$50:$N$232,11,FALSE)</f>
        <v>#N/A</v>
      </c>
      <c r="F184" s="318">
        <v>3</v>
      </c>
      <c r="G184" s="319" t="s">
        <v>62</v>
      </c>
      <c r="H184" s="320">
        <v>66900</v>
      </c>
      <c r="I184" s="321" t="b">
        <v>1</v>
      </c>
      <c r="J184" s="322">
        <v>3</v>
      </c>
      <c r="K184" s="323">
        <v>19000</v>
      </c>
      <c r="L184" s="324">
        <f t="shared" si="12"/>
        <v>57000</v>
      </c>
      <c r="M184" s="325"/>
    </row>
    <row r="185" spans="1:13" ht="13">
      <c r="A185" s="18" t="s">
        <v>1041</v>
      </c>
      <c r="B185" s="316" t="e">
        <f>VLOOKUP($A185,Master!$B$50:$N$232,2,FALSE)</f>
        <v>#N/A</v>
      </c>
      <c r="C185" s="316" t="e">
        <f>VLOOKUP($A185,Master!$B$50:$N$232,8,FALSE)</f>
        <v>#N/A</v>
      </c>
      <c r="D185" s="316" t="e">
        <f>VLOOKUP($A185,Master!$B$50:$N$232,9,FALSE)</f>
        <v>#N/A</v>
      </c>
      <c r="E185" s="317" t="e">
        <f>VLOOKUP($A185,Master!$B$50:$N$232,11,FALSE)</f>
        <v>#N/A</v>
      </c>
      <c r="F185" s="318">
        <v>2</v>
      </c>
      <c r="G185" s="319" t="s">
        <v>62</v>
      </c>
      <c r="H185" s="320">
        <v>25600</v>
      </c>
      <c r="I185" s="321" t="b">
        <v>1</v>
      </c>
      <c r="J185" s="322">
        <v>2</v>
      </c>
      <c r="K185" s="323">
        <v>17800</v>
      </c>
      <c r="L185" s="324">
        <f t="shared" si="12"/>
        <v>35600</v>
      </c>
      <c r="M185" s="325"/>
    </row>
    <row r="186" spans="1:13" ht="13">
      <c r="A186" s="18" t="s">
        <v>524</v>
      </c>
      <c r="B186" s="316" t="e">
        <f>VLOOKUP($A186,Master!$B$50:$N$232,2,FALSE)</f>
        <v>#N/A</v>
      </c>
      <c r="C186" s="316" t="e">
        <f>VLOOKUP($A186,Master!$B$50:$N$232,8,FALSE)</f>
        <v>#N/A</v>
      </c>
      <c r="D186" s="316" t="e">
        <f>VLOOKUP($A186,Master!$B$50:$N$232,9,FALSE)</f>
        <v>#N/A</v>
      </c>
      <c r="E186" s="317" t="e">
        <f>VLOOKUP($A186,Master!$B$50:$N$232,11,FALSE)</f>
        <v>#N/A</v>
      </c>
      <c r="F186" s="318">
        <v>6</v>
      </c>
      <c r="G186" s="319" t="s">
        <v>108</v>
      </c>
      <c r="H186" s="320">
        <v>75600</v>
      </c>
      <c r="I186" s="321" t="b">
        <v>0</v>
      </c>
      <c r="J186" s="322"/>
      <c r="K186" s="326" t="e">
        <f>VLOOKUP($A186,Master!$B$50:$N$232,6,FALSE)</f>
        <v>#N/A</v>
      </c>
      <c r="L186" s="327" t="e">
        <f t="shared" si="12"/>
        <v>#N/A</v>
      </c>
      <c r="M186" s="325"/>
    </row>
    <row r="187" spans="1:13" ht="13">
      <c r="A187" s="18" t="s">
        <v>574</v>
      </c>
      <c r="B187" s="316" t="e">
        <f>VLOOKUP($A187,Master!$B$50:$N$232,2,FALSE)</f>
        <v>#N/A</v>
      </c>
      <c r="C187" s="316" t="e">
        <f>VLOOKUP($A187,Master!$B$50:$N$232,8,FALSE)</f>
        <v>#N/A</v>
      </c>
      <c r="D187" s="316" t="e">
        <f>VLOOKUP($A187,Master!$B$50:$N$232,9,FALSE)</f>
        <v>#N/A</v>
      </c>
      <c r="E187" s="317" t="e">
        <f>VLOOKUP($A187,Master!$B$50:$N$232,11,FALSE)</f>
        <v>#N/A</v>
      </c>
      <c r="F187" s="318">
        <v>1</v>
      </c>
      <c r="G187" s="319" t="s">
        <v>62</v>
      </c>
      <c r="H187" s="320">
        <v>170000</v>
      </c>
      <c r="I187" s="321" t="b">
        <v>1</v>
      </c>
      <c r="J187" s="322">
        <v>1</v>
      </c>
      <c r="K187" s="326" t="e">
        <f>VLOOKUP($A187,Master!$B$50:$N$232,6,FALSE)</f>
        <v>#N/A</v>
      </c>
      <c r="L187" s="327" t="e">
        <f t="shared" si="12"/>
        <v>#N/A</v>
      </c>
      <c r="M187" s="325"/>
    </row>
    <row r="188" spans="1:13" ht="13">
      <c r="A188" s="18" t="s">
        <v>578</v>
      </c>
      <c r="B188" s="316" t="e">
        <f>VLOOKUP($A188,Master!$B$50:$N$232,2,FALSE)</f>
        <v>#N/A</v>
      </c>
      <c r="C188" s="316" t="e">
        <f>VLOOKUP($A188,Master!$B$50:$N$232,8,FALSE)</f>
        <v>#N/A</v>
      </c>
      <c r="D188" s="316" t="e">
        <f>VLOOKUP($A188,Master!$B$50:$N$232,9,FALSE)</f>
        <v>#N/A</v>
      </c>
      <c r="E188" s="317" t="e">
        <f>VLOOKUP($A188,Master!$B$50:$N$232,11,FALSE)</f>
        <v>#N/A</v>
      </c>
      <c r="F188" s="318">
        <v>1</v>
      </c>
      <c r="G188" s="319" t="s">
        <v>62</v>
      </c>
      <c r="H188" s="320">
        <v>220000</v>
      </c>
      <c r="I188" s="321" t="b">
        <v>1</v>
      </c>
      <c r="J188" s="322">
        <v>1</v>
      </c>
      <c r="K188" s="326" t="e">
        <f>VLOOKUP($A188,Master!$B$50:$N$232,6,FALSE)</f>
        <v>#N/A</v>
      </c>
      <c r="L188" s="327" t="e">
        <f t="shared" si="12"/>
        <v>#N/A</v>
      </c>
      <c r="M188" s="325"/>
    </row>
    <row r="189" spans="1:13" ht="13">
      <c r="A189" s="18" t="s">
        <v>651</v>
      </c>
      <c r="B189" s="316" t="str">
        <f>VLOOKUP($A189,Master!$B$50:$N$232,2,FALSE)</f>
        <v>B035</v>
      </c>
      <c r="C189" s="316">
        <f>VLOOKUP($A189,Master!$B$50:$N$232,8,FALSE)</f>
        <v>1000</v>
      </c>
      <c r="D189" s="316" t="str">
        <f>VLOOKUP($A189,Master!$B$50:$N$232,9,FALSE)</f>
        <v>gr</v>
      </c>
      <c r="E189" s="317" t="str">
        <f>VLOOKUP($A189,Master!$B$50:$N$232,11,FALSE)</f>
        <v>Eden Farm</v>
      </c>
      <c r="F189" s="318">
        <v>1</v>
      </c>
      <c r="G189" s="319" t="s">
        <v>36</v>
      </c>
      <c r="H189" s="320">
        <v>9700</v>
      </c>
      <c r="I189" s="321" t="b">
        <v>1</v>
      </c>
      <c r="J189" s="322">
        <v>1</v>
      </c>
      <c r="K189" s="323">
        <v>10400</v>
      </c>
      <c r="L189" s="324">
        <f t="shared" si="12"/>
        <v>10400</v>
      </c>
      <c r="M189" s="325"/>
    </row>
    <row r="190" spans="1:13" ht="13">
      <c r="A190" s="18" t="s">
        <v>655</v>
      </c>
      <c r="B190" s="316" t="str">
        <f>VLOOKUP($A190,Master!$B$50:$N$232,2,FALSE)</f>
        <v>B036</v>
      </c>
      <c r="C190" s="316">
        <f>VLOOKUP($A190,Master!$B$50:$N$232,8,FALSE)</f>
        <v>1000</v>
      </c>
      <c r="D190" s="316" t="str">
        <f>VLOOKUP($A190,Master!$B$50:$N$232,9,FALSE)</f>
        <v>gr</v>
      </c>
      <c r="E190" s="317" t="str">
        <f>VLOOKUP($A190,Master!$B$50:$N$232,11,FALSE)</f>
        <v>Toko Lain</v>
      </c>
      <c r="F190" s="318">
        <v>1</v>
      </c>
      <c r="G190" s="319" t="s">
        <v>36</v>
      </c>
      <c r="H190" s="320">
        <v>48900</v>
      </c>
      <c r="I190" s="321" t="b">
        <v>1</v>
      </c>
      <c r="J190" s="322">
        <v>1</v>
      </c>
      <c r="K190" s="323">
        <v>58800</v>
      </c>
      <c r="L190" s="324">
        <f t="shared" si="12"/>
        <v>58800</v>
      </c>
      <c r="M190" s="325"/>
    </row>
    <row r="191" spans="1:13" ht="13">
      <c r="A191" s="18" t="s">
        <v>712</v>
      </c>
      <c r="B191" s="316" t="str">
        <f>VLOOKUP($A191,Master!$B$50:$N$232,2,FALSE)</f>
        <v>B050</v>
      </c>
      <c r="C191" s="316">
        <f>VLOOKUP($A191,Master!$B$50:$N$232,8,FALSE)</f>
        <v>1000</v>
      </c>
      <c r="D191" s="316" t="str">
        <f>VLOOKUP($A191,Master!$B$50:$N$232,9,FALSE)</f>
        <v>gr</v>
      </c>
      <c r="E191" s="317" t="str">
        <f>VLOOKUP($A191,Master!$B$50:$N$232,11,FALSE)</f>
        <v>Eden Farm</v>
      </c>
      <c r="F191" s="318">
        <v>1</v>
      </c>
      <c r="G191" s="319" t="s">
        <v>36</v>
      </c>
      <c r="H191" s="320">
        <v>24200</v>
      </c>
      <c r="I191" s="321" t="b">
        <v>1</v>
      </c>
      <c r="J191" s="322">
        <v>1</v>
      </c>
      <c r="K191" s="323">
        <v>18700</v>
      </c>
      <c r="L191" s="324">
        <f t="shared" si="12"/>
        <v>18700</v>
      </c>
      <c r="M191" s="325"/>
    </row>
    <row r="192" spans="1:13" ht="13">
      <c r="A192" s="18" t="s">
        <v>744</v>
      </c>
      <c r="B192" s="316" t="str">
        <f>VLOOKUP($A192,Master!$B$50:$N$232,2,FALSE)</f>
        <v>B058</v>
      </c>
      <c r="C192" s="316">
        <f>VLOOKUP($A192,Master!$B$50:$N$232,8,FALSE)</f>
        <v>1000</v>
      </c>
      <c r="D192" s="316" t="str">
        <f>VLOOKUP($A192,Master!$B$50:$N$232,9,FALSE)</f>
        <v>gr</v>
      </c>
      <c r="E192" s="317" t="str">
        <f>VLOOKUP($A192,Master!$B$50:$N$232,11,FALSE)</f>
        <v>Eden Farm</v>
      </c>
      <c r="F192" s="318">
        <v>0.5</v>
      </c>
      <c r="G192" s="319" t="s">
        <v>36</v>
      </c>
      <c r="H192" s="320">
        <v>44900</v>
      </c>
      <c r="I192" s="321" t="b">
        <v>1</v>
      </c>
      <c r="J192" s="322">
        <v>0.5</v>
      </c>
      <c r="K192" s="326">
        <f>VLOOKUP($A192,Master!$B$50:$N$232,6,FALSE)</f>
        <v>58600</v>
      </c>
      <c r="L192" s="327">
        <f t="shared" si="12"/>
        <v>29300</v>
      </c>
      <c r="M192" s="325"/>
    </row>
    <row r="193" spans="1:13" ht="13">
      <c r="A193" s="18" t="s">
        <v>782</v>
      </c>
      <c r="B193" s="316" t="str">
        <f>VLOOKUP($A193,Master!$B$50:$N$232,2,FALSE)</f>
        <v>B069</v>
      </c>
      <c r="C193" s="316">
        <f>VLOOKUP($A193,Master!$B$50:$N$232,8,FALSE)</f>
        <v>500</v>
      </c>
      <c r="D193" s="316" t="str">
        <f>VLOOKUP($A193,Master!$B$50:$N$232,9,FALSE)</f>
        <v>gr</v>
      </c>
      <c r="E193" s="317" t="str">
        <f>VLOOKUP($A193,Master!$B$50:$N$232,11,FALSE)</f>
        <v>Toko Lain</v>
      </c>
      <c r="F193" s="318">
        <v>3</v>
      </c>
      <c r="G193" s="319" t="s">
        <v>62</v>
      </c>
      <c r="H193" s="320">
        <v>23100</v>
      </c>
      <c r="I193" s="321" t="b">
        <v>0</v>
      </c>
      <c r="J193" s="322"/>
      <c r="K193" s="326">
        <f>VLOOKUP($A193,Master!$B$50:$N$232,6,FALSE)</f>
        <v>25000</v>
      </c>
      <c r="L193" s="327">
        <f t="shared" si="12"/>
        <v>0</v>
      </c>
      <c r="M193" s="325" t="s">
        <v>1507</v>
      </c>
    </row>
    <row r="194" spans="1:13" ht="13">
      <c r="A194" s="18" t="s">
        <v>815</v>
      </c>
      <c r="B194" s="316" t="str">
        <f>VLOOKUP($A194,Master!$B$50:$N$232,2,FALSE)</f>
        <v>B078</v>
      </c>
      <c r="C194" s="316">
        <f>VLOOKUP($A194,Master!$B$50:$N$232,8,FALSE)</f>
        <v>1000</v>
      </c>
      <c r="D194" s="316" t="str">
        <f>VLOOKUP($A194,Master!$B$50:$N$232,9,FALSE)</f>
        <v>gr</v>
      </c>
      <c r="E194" s="317" t="str">
        <f>VLOOKUP($A194,Master!$B$50:$N$232,11,FALSE)</f>
        <v>Eden Farm</v>
      </c>
      <c r="F194" s="318">
        <v>0.5</v>
      </c>
      <c r="G194" s="319" t="s">
        <v>36</v>
      </c>
      <c r="H194" s="320">
        <v>11600</v>
      </c>
      <c r="I194" s="321" t="b">
        <v>1</v>
      </c>
      <c r="J194" s="322">
        <v>0.5</v>
      </c>
      <c r="K194" s="323">
        <v>12500</v>
      </c>
      <c r="L194" s="324">
        <f t="shared" si="12"/>
        <v>6250</v>
      </c>
      <c r="M194" s="325"/>
    </row>
    <row r="195" spans="1:13" ht="13">
      <c r="A195" s="18" t="s">
        <v>919</v>
      </c>
      <c r="B195" s="316" t="str">
        <f>VLOOKUP($A195,Master!$B$50:$N$232,2,FALSE)</f>
        <v>B109</v>
      </c>
      <c r="C195" s="316">
        <f>VLOOKUP($A195,Master!$B$50:$N$232,8,FALSE)</f>
        <v>1000</v>
      </c>
      <c r="D195" s="316" t="str">
        <f>VLOOKUP($A195,Master!$B$50:$N$232,9,FALSE)</f>
        <v>gr</v>
      </c>
      <c r="E195" s="317" t="str">
        <f>VLOOKUP($A195,Master!$B$50:$N$232,11,FALSE)</f>
        <v>Eden Farm</v>
      </c>
      <c r="F195" s="318">
        <v>1</v>
      </c>
      <c r="G195" s="319" t="s">
        <v>62</v>
      </c>
      <c r="H195" s="320">
        <v>20900</v>
      </c>
      <c r="I195" s="321" t="b">
        <v>1</v>
      </c>
      <c r="J195" s="322">
        <v>1</v>
      </c>
      <c r="K195" s="323">
        <v>38000</v>
      </c>
      <c r="L195" s="324">
        <f t="shared" si="12"/>
        <v>38000</v>
      </c>
      <c r="M195" s="325"/>
    </row>
    <row r="196" spans="1:13" ht="13">
      <c r="A196" s="18" t="s">
        <v>1020</v>
      </c>
      <c r="B196" s="316" t="str">
        <f>VLOOKUP($A196,Master!$B$50:$N$232,2,FALSE)</f>
        <v>B144</v>
      </c>
      <c r="C196" s="316">
        <f>VLOOKUP($A196,Master!$B$50:$N$232,8,FALSE)</f>
        <v>1000</v>
      </c>
      <c r="D196" s="316" t="str">
        <f>VLOOKUP($A196,Master!$B$50:$N$232,9,FALSE)</f>
        <v>gr</v>
      </c>
      <c r="E196" s="317" t="str">
        <f>VLOOKUP($A196,Master!$B$50:$N$232,11,FALSE)</f>
        <v>Eden Farm</v>
      </c>
      <c r="F196" s="318">
        <v>1</v>
      </c>
      <c r="G196" s="319" t="s">
        <v>36</v>
      </c>
      <c r="H196" s="320">
        <v>21800</v>
      </c>
      <c r="I196" s="321" t="b">
        <v>1</v>
      </c>
      <c r="J196" s="322">
        <v>1</v>
      </c>
      <c r="K196" s="323">
        <v>13300</v>
      </c>
      <c r="L196" s="324">
        <f t="shared" si="12"/>
        <v>13300</v>
      </c>
      <c r="M196" s="325"/>
    </row>
    <row r="197" spans="1:13" ht="13">
      <c r="A197" s="18" t="s">
        <v>1050</v>
      </c>
      <c r="B197" s="316" t="e">
        <f>VLOOKUP($A197,Master!$B$50:$N$232,2,FALSE)</f>
        <v>#N/A</v>
      </c>
      <c r="C197" s="316" t="e">
        <f>VLOOKUP($A197,Master!$B$50:$N$232,8,FALSE)</f>
        <v>#N/A</v>
      </c>
      <c r="D197" s="316" t="e">
        <f>VLOOKUP($A197,Master!$B$50:$N$232,9,FALSE)</f>
        <v>#N/A</v>
      </c>
      <c r="E197" s="317" t="e">
        <f>VLOOKUP($A197,Master!$B$50:$N$232,11,FALSE)</f>
        <v>#N/A</v>
      </c>
      <c r="F197" s="318">
        <v>0.5</v>
      </c>
      <c r="G197" s="319" t="s">
        <v>36</v>
      </c>
      <c r="H197" s="320">
        <v>8700</v>
      </c>
      <c r="I197" s="321" t="b">
        <v>1</v>
      </c>
      <c r="J197" s="322">
        <v>0.5</v>
      </c>
      <c r="K197" s="323">
        <v>8900</v>
      </c>
      <c r="L197" s="324">
        <f t="shared" si="12"/>
        <v>4450</v>
      </c>
      <c r="M197" s="325"/>
    </row>
    <row r="198" spans="1:13" ht="13">
      <c r="A198" s="18" t="s">
        <v>659</v>
      </c>
      <c r="B198" s="316" t="str">
        <f>VLOOKUP($A198,Master!$B$50:$N$232,2,FALSE)</f>
        <v>B037</v>
      </c>
      <c r="C198" s="316">
        <f>VLOOKUP($A198,Master!$B$50:$N$232,8,FALSE)</f>
        <v>15</v>
      </c>
      <c r="D198" s="316" t="str">
        <f>VLOOKUP($A198,Master!$B$50:$N$232,9,FALSE)</f>
        <v>pcs</v>
      </c>
      <c r="E198" s="317" t="str">
        <f>VLOOKUP($A198,Master!$B$50:$N$232,11,FALSE)</f>
        <v>Feri Supriadi (Telur , Beras , Minyak )</v>
      </c>
      <c r="F198" s="318">
        <v>3</v>
      </c>
      <c r="G198" s="319" t="s">
        <v>36</v>
      </c>
      <c r="H198" s="320">
        <v>82500</v>
      </c>
      <c r="I198" s="321" t="b">
        <v>1</v>
      </c>
      <c r="J198" s="322">
        <v>3</v>
      </c>
      <c r="K198" s="323">
        <v>28500</v>
      </c>
      <c r="L198" s="324">
        <f t="shared" si="12"/>
        <v>85500</v>
      </c>
      <c r="M198" s="325"/>
    </row>
    <row r="199" spans="1:13" ht="13">
      <c r="A199" s="18" t="s">
        <v>1505</v>
      </c>
      <c r="B199" s="316" t="e">
        <f>VLOOKUP($A199,Master!$B$50:$N$232,2,FALSE)</f>
        <v>#N/A</v>
      </c>
      <c r="C199" s="316" t="e">
        <f>VLOOKUP($A199,Master!$B$50:$N$232,8,FALSE)</f>
        <v>#N/A</v>
      </c>
      <c r="D199" s="316" t="e">
        <f>VLOOKUP($A199,Master!$B$50:$N$232,9,FALSE)</f>
        <v>#N/A</v>
      </c>
      <c r="E199" s="317" t="e">
        <f>VLOOKUP($A199,Master!$B$50:$N$232,11,FALSE)</f>
        <v>#N/A</v>
      </c>
      <c r="F199" s="318">
        <v>1</v>
      </c>
      <c r="G199" s="319" t="s">
        <v>97</v>
      </c>
      <c r="H199" s="320">
        <v>137000</v>
      </c>
      <c r="I199" s="321" t="b">
        <v>1</v>
      </c>
      <c r="J199" s="322">
        <v>1</v>
      </c>
      <c r="K199" s="323">
        <v>135420</v>
      </c>
      <c r="L199" s="324">
        <f t="shared" si="12"/>
        <v>135420</v>
      </c>
      <c r="M199" s="325"/>
    </row>
    <row r="200" spans="1:13" ht="13">
      <c r="A200" s="18" t="s">
        <v>1506</v>
      </c>
      <c r="B200" s="316" t="e">
        <f>VLOOKUP($A200,Master!$B$50:$N$232,2,FALSE)</f>
        <v>#N/A</v>
      </c>
      <c r="C200" s="316" t="e">
        <f>VLOOKUP($A200,Master!$B$50:$N$232,8,FALSE)</f>
        <v>#N/A</v>
      </c>
      <c r="D200" s="316" t="e">
        <f>VLOOKUP($A200,Master!$B$50:$N$232,9,FALSE)</f>
        <v>#N/A</v>
      </c>
      <c r="E200" s="317" t="e">
        <f>VLOOKUP($A200,Master!$B$50:$N$232,11,FALSE)</f>
        <v>#N/A</v>
      </c>
      <c r="F200" s="318">
        <v>1</v>
      </c>
      <c r="G200" s="319" t="s">
        <v>97</v>
      </c>
      <c r="H200" s="320">
        <v>137000</v>
      </c>
      <c r="I200" s="321" t="b">
        <v>1</v>
      </c>
      <c r="J200" s="322">
        <v>1</v>
      </c>
      <c r="K200" s="323">
        <v>135420</v>
      </c>
      <c r="L200" s="324">
        <f t="shared" si="12"/>
        <v>135420</v>
      </c>
      <c r="M200" s="325"/>
    </row>
    <row r="201" spans="1:13" ht="13">
      <c r="A201" s="18" t="s">
        <v>1575</v>
      </c>
      <c r="B201" s="316" t="e">
        <f>VLOOKUP($A201,Master!$B$50:$N$232,2,FALSE)</f>
        <v>#N/A</v>
      </c>
      <c r="C201" s="316" t="e">
        <f>VLOOKUP($A201,Master!$B$50:$N$232,8,FALSE)</f>
        <v>#N/A</v>
      </c>
      <c r="D201" s="316" t="e">
        <f>VLOOKUP($A201,Master!$B$50:$N$232,9,FALSE)</f>
        <v>#N/A</v>
      </c>
      <c r="E201" s="317" t="e">
        <f>VLOOKUP($A201,Master!$B$50:$N$232,11,FALSE)</f>
        <v>#N/A</v>
      </c>
      <c r="F201" s="318">
        <v>2</v>
      </c>
      <c r="G201" s="319" t="s">
        <v>36</v>
      </c>
      <c r="H201" s="320">
        <v>28000</v>
      </c>
      <c r="I201" s="321" t="b">
        <v>1</v>
      </c>
      <c r="J201" s="322">
        <v>2</v>
      </c>
      <c r="K201" s="323" t="e">
        <f>VLOOKUP($A201,Master!$B$50:$N$232,6,FALSE)</f>
        <v>#N/A</v>
      </c>
      <c r="L201" s="324" t="e">
        <f t="shared" si="12"/>
        <v>#N/A</v>
      </c>
      <c r="M201" s="325"/>
    </row>
    <row r="202" spans="1:13" ht="13">
      <c r="A202" s="18" t="s">
        <v>635</v>
      </c>
      <c r="B202" s="316" t="e">
        <f>VLOOKUP($A202,Master!$B$50:$N$232,2,FALSE)</f>
        <v>#N/A</v>
      </c>
      <c r="C202" s="316" t="e">
        <f>VLOOKUP($A202,Master!$B$50:$N$232,8,FALSE)</f>
        <v>#N/A</v>
      </c>
      <c r="D202" s="316" t="e">
        <f>VLOOKUP($A202,Master!$B$50:$N$232,9,FALSE)</f>
        <v>#N/A</v>
      </c>
      <c r="E202" s="317" t="e">
        <f>VLOOKUP($A202,Master!$B$50:$N$232,11,FALSE)</f>
        <v>#N/A</v>
      </c>
      <c r="F202" s="318">
        <v>6</v>
      </c>
      <c r="G202" s="319" t="s">
        <v>50</v>
      </c>
      <c r="H202" s="320">
        <v>56400</v>
      </c>
      <c r="I202" s="321" t="b">
        <v>1</v>
      </c>
      <c r="J202" s="322">
        <v>6</v>
      </c>
      <c r="K202" s="323">
        <v>11000</v>
      </c>
      <c r="L202" s="324">
        <f t="shared" si="12"/>
        <v>66000</v>
      </c>
      <c r="M202" s="325"/>
    </row>
    <row r="203" spans="1:13" ht="13">
      <c r="A203" s="18" t="s">
        <v>680</v>
      </c>
      <c r="B203" s="316" t="e">
        <f>VLOOKUP($A203,Master!$B$50:$N$232,2,FALSE)</f>
        <v>#N/A</v>
      </c>
      <c r="C203" s="316" t="e">
        <f>VLOOKUP($A203,Master!$B$50:$N$232,8,FALSE)</f>
        <v>#N/A</v>
      </c>
      <c r="D203" s="316" t="e">
        <f>VLOOKUP($A203,Master!$B$50:$N$232,9,FALSE)</f>
        <v>#N/A</v>
      </c>
      <c r="E203" s="317" t="e">
        <f>VLOOKUP($A203,Master!$B$50:$N$232,11,FALSE)</f>
        <v>#N/A</v>
      </c>
      <c r="F203" s="318">
        <v>5</v>
      </c>
      <c r="G203" s="319" t="s">
        <v>97</v>
      </c>
      <c r="H203" s="320">
        <v>150000</v>
      </c>
      <c r="I203" s="321" t="b">
        <v>0</v>
      </c>
      <c r="J203" s="322"/>
      <c r="K203" s="326" t="e">
        <f>VLOOKUP($A203,Master!$B$50:$N$232,6,FALSE)</f>
        <v>#N/A</v>
      </c>
      <c r="L203" s="327" t="e">
        <f t="shared" si="12"/>
        <v>#N/A</v>
      </c>
      <c r="M203" s="325" t="s">
        <v>1582</v>
      </c>
    </row>
    <row r="204" spans="1:13" ht="13">
      <c r="A204" s="18" t="s">
        <v>688</v>
      </c>
      <c r="B204" s="316" t="e">
        <f>VLOOKUP($A204,Master!$B$50:$N$232,2,FALSE)</f>
        <v>#N/A</v>
      </c>
      <c r="C204" s="316" t="e">
        <f>VLOOKUP($A204,Master!$B$50:$N$232,8,FALSE)</f>
        <v>#N/A</v>
      </c>
      <c r="D204" s="316" t="e">
        <f>VLOOKUP($A204,Master!$B$50:$N$232,9,FALSE)</f>
        <v>#N/A</v>
      </c>
      <c r="E204" s="317" t="e">
        <f>VLOOKUP($A204,Master!$B$50:$N$232,11,FALSE)</f>
        <v>#N/A</v>
      </c>
      <c r="F204" s="318">
        <v>2</v>
      </c>
      <c r="G204" s="319" t="s">
        <v>62</v>
      </c>
      <c r="H204" s="320">
        <v>125000</v>
      </c>
      <c r="I204" s="321" t="b">
        <v>1</v>
      </c>
      <c r="J204" s="322">
        <v>2</v>
      </c>
      <c r="K204" s="323">
        <v>62000</v>
      </c>
      <c r="L204" s="324">
        <f t="shared" si="12"/>
        <v>124000</v>
      </c>
      <c r="M204" s="325"/>
    </row>
    <row r="205" spans="1:13" ht="13">
      <c r="A205" s="18" t="s">
        <v>696</v>
      </c>
      <c r="B205" s="316" t="e">
        <f>VLOOKUP($A205,Master!$B$50:$N$232,2,FALSE)</f>
        <v>#N/A</v>
      </c>
      <c r="C205" s="316" t="e">
        <f>VLOOKUP($A205,Master!$B$50:$N$232,8,FALSE)</f>
        <v>#N/A</v>
      </c>
      <c r="D205" s="316" t="e">
        <f>VLOOKUP($A205,Master!$B$50:$N$232,9,FALSE)</f>
        <v>#N/A</v>
      </c>
      <c r="E205" s="317" t="e">
        <f>VLOOKUP($A205,Master!$B$50:$N$232,11,FALSE)</f>
        <v>#N/A</v>
      </c>
      <c r="F205" s="318">
        <v>3</v>
      </c>
      <c r="G205" s="319" t="s">
        <v>62</v>
      </c>
      <c r="H205" s="320">
        <v>42000</v>
      </c>
      <c r="I205" s="321" t="b">
        <v>1</v>
      </c>
      <c r="J205" s="322">
        <v>3</v>
      </c>
      <c r="K205" s="323">
        <v>13250</v>
      </c>
      <c r="L205" s="324">
        <f t="shared" si="12"/>
        <v>39750</v>
      </c>
      <c r="M205" s="325"/>
    </row>
    <row r="206" spans="1:13" ht="13">
      <c r="A206" s="18" t="s">
        <v>748</v>
      </c>
      <c r="B206" s="316" t="e">
        <f>VLOOKUP($A206,Master!$B$50:$N$232,2,FALSE)</f>
        <v>#N/A</v>
      </c>
      <c r="C206" s="316" t="e">
        <f>VLOOKUP($A206,Master!$B$50:$N$232,8,FALSE)</f>
        <v>#N/A</v>
      </c>
      <c r="D206" s="316" t="e">
        <f>VLOOKUP($A206,Master!$B$50:$N$232,9,FALSE)</f>
        <v>#N/A</v>
      </c>
      <c r="E206" s="317" t="e">
        <f>VLOOKUP($A206,Master!$B$50:$N$232,11,FALSE)</f>
        <v>#N/A</v>
      </c>
      <c r="F206" s="318">
        <v>1</v>
      </c>
      <c r="G206" s="319" t="s">
        <v>62</v>
      </c>
      <c r="H206" s="320">
        <v>27500</v>
      </c>
      <c r="I206" s="321" t="b">
        <v>1</v>
      </c>
      <c r="J206" s="322">
        <v>1</v>
      </c>
      <c r="K206" s="326" t="e">
        <f>VLOOKUP($A206,Master!$B$50:$N$232,6,FALSE)</f>
        <v>#N/A</v>
      </c>
      <c r="L206" s="327" t="e">
        <f t="shared" si="12"/>
        <v>#N/A</v>
      </c>
      <c r="M206" s="325"/>
    </row>
    <row r="207" spans="1:13" ht="13">
      <c r="A207" s="18" t="s">
        <v>767</v>
      </c>
      <c r="B207" s="316" t="e">
        <f>VLOOKUP($A207,Master!$B$50:$N$232,2,FALSE)</f>
        <v>#N/A</v>
      </c>
      <c r="C207" s="316" t="e">
        <f>VLOOKUP($A207,Master!$B$50:$N$232,8,FALSE)</f>
        <v>#N/A</v>
      </c>
      <c r="D207" s="316" t="e">
        <f>VLOOKUP($A207,Master!$B$50:$N$232,9,FALSE)</f>
        <v>#N/A</v>
      </c>
      <c r="E207" s="317" t="e">
        <f>VLOOKUP($A207,Master!$B$50:$N$232,11,FALSE)</f>
        <v>#N/A</v>
      </c>
      <c r="F207" s="318">
        <v>1</v>
      </c>
      <c r="G207" s="319" t="s">
        <v>62</v>
      </c>
      <c r="H207" s="320">
        <v>19500</v>
      </c>
      <c r="I207" s="321" t="b">
        <v>0</v>
      </c>
      <c r="J207" s="322"/>
      <c r="K207" s="326" t="e">
        <f>VLOOKUP($A207,Master!$B$50:$N$232,6,FALSE)</f>
        <v>#N/A</v>
      </c>
      <c r="L207" s="327" t="e">
        <f t="shared" si="12"/>
        <v>#N/A</v>
      </c>
      <c r="M207" s="325"/>
    </row>
    <row r="208" spans="1:13" ht="13">
      <c r="A208" s="18" t="s">
        <v>773</v>
      </c>
      <c r="B208" s="316" t="e">
        <f>VLOOKUP($A208,Master!$B$50:$N$232,2,FALSE)</f>
        <v>#N/A</v>
      </c>
      <c r="C208" s="316" t="e">
        <f>VLOOKUP($A208,Master!$B$50:$N$232,8,FALSE)</f>
        <v>#N/A</v>
      </c>
      <c r="D208" s="316" t="e">
        <f>VLOOKUP($A208,Master!$B$50:$N$232,9,FALSE)</f>
        <v>#N/A</v>
      </c>
      <c r="E208" s="317" t="e">
        <f>VLOOKUP($A208,Master!$B$50:$N$232,11,FALSE)</f>
        <v>#N/A</v>
      </c>
      <c r="F208" s="318">
        <v>1</v>
      </c>
      <c r="G208" s="319" t="s">
        <v>62</v>
      </c>
      <c r="H208" s="320">
        <v>14000</v>
      </c>
      <c r="I208" s="321" t="b">
        <v>1</v>
      </c>
      <c r="J208" s="322">
        <v>1</v>
      </c>
      <c r="K208" s="326" t="e">
        <f>VLOOKUP($A208,Master!$B$50:$N$232,6,FALSE)</f>
        <v>#N/A</v>
      </c>
      <c r="L208" s="327" t="e">
        <f t="shared" si="12"/>
        <v>#N/A</v>
      </c>
      <c r="M208" s="325"/>
    </row>
    <row r="209" spans="1:13" ht="13">
      <c r="A209" s="18" t="s">
        <v>887</v>
      </c>
      <c r="B209" s="316" t="str">
        <f>VLOOKUP($A209,Master!$B$50:$N$232,2,FALSE)</f>
        <v>B098</v>
      </c>
      <c r="C209" s="316">
        <f>VLOOKUP($A209,Master!$B$50:$N$232,8,FALSE)</f>
        <v>500</v>
      </c>
      <c r="D209" s="316" t="str">
        <f>VLOOKUP($A209,Master!$B$50:$N$232,9,FALSE)</f>
        <v>gr</v>
      </c>
      <c r="E209" s="317" t="str">
        <f>VLOOKUP($A209,Master!$B$50:$N$232,11,FALSE)</f>
        <v>PD Aroma Jaya</v>
      </c>
      <c r="F209" s="318">
        <v>0.5</v>
      </c>
      <c r="G209" s="319" t="s">
        <v>36</v>
      </c>
      <c r="H209" s="320">
        <v>13000</v>
      </c>
      <c r="I209" s="321" t="b">
        <v>1</v>
      </c>
      <c r="J209" s="322">
        <v>0.5</v>
      </c>
      <c r="K209" s="323">
        <v>130000</v>
      </c>
      <c r="L209" s="324">
        <f t="shared" si="12"/>
        <v>65000</v>
      </c>
      <c r="M209" s="325"/>
    </row>
    <row r="210" spans="1:13" ht="13">
      <c r="A210" s="18" t="s">
        <v>892</v>
      </c>
      <c r="B210" s="316" t="e">
        <f>VLOOKUP($A210,Master!$B$50:$N$232,2,FALSE)</f>
        <v>#N/A</v>
      </c>
      <c r="C210" s="316" t="e">
        <f>VLOOKUP($A210,Master!$B$50:$N$232,8,FALSE)</f>
        <v>#N/A</v>
      </c>
      <c r="D210" s="316" t="e">
        <f>VLOOKUP($A210,Master!$B$50:$N$232,9,FALSE)</f>
        <v>#N/A</v>
      </c>
      <c r="E210" s="317" t="e">
        <f>VLOOKUP($A210,Master!$B$50:$N$232,11,FALSE)</f>
        <v>#N/A</v>
      </c>
      <c r="F210" s="318">
        <v>3</v>
      </c>
      <c r="G210" s="319" t="s">
        <v>36</v>
      </c>
      <c r="H210" s="320">
        <v>322500</v>
      </c>
      <c r="I210" s="321" t="b">
        <v>1</v>
      </c>
      <c r="J210" s="322">
        <v>3</v>
      </c>
      <c r="K210" s="326" t="e">
        <f>VLOOKUP($A210,Master!$B$50:$N$232,6,FALSE)</f>
        <v>#N/A</v>
      </c>
      <c r="L210" s="324">
        <v>332175</v>
      </c>
      <c r="M210" s="325"/>
    </row>
    <row r="211" spans="1:13" ht="13">
      <c r="A211" s="18" t="s">
        <v>934</v>
      </c>
      <c r="B211" s="316" t="e">
        <f>VLOOKUP($A211,Master!$B$50:$N$232,2,FALSE)</f>
        <v>#N/A</v>
      </c>
      <c r="C211" s="316" t="e">
        <f>VLOOKUP($A211,Master!$B$50:$N$232,8,FALSE)</f>
        <v>#N/A</v>
      </c>
      <c r="D211" s="316" t="e">
        <f>VLOOKUP($A211,Master!$B$50:$N$232,9,FALSE)</f>
        <v>#N/A</v>
      </c>
      <c r="E211" s="317" t="e">
        <f>VLOOKUP($A211,Master!$B$50:$N$232,11,FALSE)</f>
        <v>#N/A</v>
      </c>
      <c r="F211" s="318">
        <v>5</v>
      </c>
      <c r="G211" s="319" t="s">
        <v>62</v>
      </c>
      <c r="H211" s="320">
        <v>39500</v>
      </c>
      <c r="I211" s="321" t="b">
        <v>1</v>
      </c>
      <c r="J211" s="322">
        <v>5</v>
      </c>
      <c r="K211" s="326" t="e">
        <f>VLOOKUP($A211,Master!$B$50:$N$232,6,FALSE)</f>
        <v>#N/A</v>
      </c>
      <c r="L211" s="327" t="e">
        <f t="shared" ref="L211:L217" si="13">J211*K211</f>
        <v>#N/A</v>
      </c>
      <c r="M211" s="325"/>
    </row>
    <row r="212" spans="1:13" ht="13">
      <c r="A212" s="18" t="s">
        <v>989</v>
      </c>
      <c r="B212" s="316" t="str">
        <f>VLOOKUP($A212,Master!$B$50:$N$232,2,FALSE)</f>
        <v>B133</v>
      </c>
      <c r="C212" s="316">
        <f>VLOOKUP($A212,Master!$B$50:$N$232,8,FALSE)</f>
        <v>5000</v>
      </c>
      <c r="D212" s="316" t="str">
        <f>VLOOKUP($A212,Master!$B$50:$N$232,9,FALSE)</f>
        <v>ml</v>
      </c>
      <c r="E212" s="317" t="str">
        <f>VLOOKUP($A212,Master!$B$50:$N$232,11,FALSE)</f>
        <v>Kurnia Mas</v>
      </c>
      <c r="F212" s="318">
        <v>2</v>
      </c>
      <c r="G212" s="319" t="s">
        <v>62</v>
      </c>
      <c r="H212" s="320">
        <v>39000</v>
      </c>
      <c r="I212" s="321" t="b">
        <v>1</v>
      </c>
      <c r="J212" s="322">
        <v>2</v>
      </c>
      <c r="K212" s="323">
        <v>19000</v>
      </c>
      <c r="L212" s="324">
        <f t="shared" si="13"/>
        <v>38000</v>
      </c>
      <c r="M212" s="325"/>
    </row>
    <row r="213" spans="1:13" ht="13">
      <c r="A213" s="18" t="s">
        <v>552</v>
      </c>
      <c r="B213" s="316" t="e">
        <f>VLOOKUP($A213,Master!$B$50:$N$232,2,FALSE)</f>
        <v>#N/A</v>
      </c>
      <c r="C213" s="316" t="e">
        <f>VLOOKUP($A213,Master!$B$50:$N$232,8,FALSE)</f>
        <v>#N/A</v>
      </c>
      <c r="D213" s="316" t="e">
        <f>VLOOKUP($A213,Master!$B$50:$N$232,9,FALSE)</f>
        <v>#N/A</v>
      </c>
      <c r="E213" s="317" t="e">
        <f>VLOOKUP($A213,Master!$B$50:$N$232,11,FALSE)</f>
        <v>#N/A</v>
      </c>
      <c r="F213" s="318">
        <v>2</v>
      </c>
      <c r="G213" s="319" t="s">
        <v>121</v>
      </c>
      <c r="H213" s="320">
        <v>114000</v>
      </c>
      <c r="I213" s="321" t="b">
        <v>1</v>
      </c>
      <c r="J213" s="322">
        <v>4</v>
      </c>
      <c r="K213" s="326" t="e">
        <f>VLOOKUP($A213,Master!$B$50:$N$232,6,FALSE)</f>
        <v>#N/A</v>
      </c>
      <c r="L213" s="327" t="e">
        <f t="shared" si="13"/>
        <v>#N/A</v>
      </c>
      <c r="M213" s="325"/>
    </row>
    <row r="214" spans="1:13" ht="13">
      <c r="A214" s="18" t="s">
        <v>623</v>
      </c>
      <c r="B214" s="316" t="e">
        <f>VLOOKUP($A214,Master!$B$50:$N$232,2,FALSE)</f>
        <v>#N/A</v>
      </c>
      <c r="C214" s="316" t="e">
        <f>VLOOKUP($A214,Master!$B$50:$N$232,8,FALSE)</f>
        <v>#N/A</v>
      </c>
      <c r="D214" s="316" t="e">
        <f>VLOOKUP($A214,Master!$B$50:$N$232,9,FALSE)</f>
        <v>#N/A</v>
      </c>
      <c r="E214" s="317" t="e">
        <f>VLOOKUP($A214,Master!$B$50:$N$232,11,FALSE)</f>
        <v>#N/A</v>
      </c>
      <c r="F214" s="318">
        <v>5</v>
      </c>
      <c r="G214" s="319" t="s">
        <v>143</v>
      </c>
      <c r="H214" s="320">
        <v>909645</v>
      </c>
      <c r="I214" s="321" t="b">
        <v>1</v>
      </c>
      <c r="J214" s="322">
        <v>5</v>
      </c>
      <c r="K214" s="326" t="e">
        <f>VLOOKUP($A214,Master!$B$50:$N$232,6,FALSE)</f>
        <v>#N/A</v>
      </c>
      <c r="L214" s="327" t="e">
        <f t="shared" si="13"/>
        <v>#N/A</v>
      </c>
      <c r="M214" s="325"/>
    </row>
    <row r="215" spans="1:13" ht="13">
      <c r="A215" s="18" t="s">
        <v>704</v>
      </c>
      <c r="B215" s="316" t="e">
        <f>VLOOKUP($A215,Master!$B$50:$N$232,2,FALSE)</f>
        <v>#N/A</v>
      </c>
      <c r="C215" s="316" t="e">
        <f>VLOOKUP($A215,Master!$B$50:$N$232,8,FALSE)</f>
        <v>#N/A</v>
      </c>
      <c r="D215" s="316" t="e">
        <f>VLOOKUP($A215,Master!$B$50:$N$232,9,FALSE)</f>
        <v>#N/A</v>
      </c>
      <c r="E215" s="317" t="e">
        <f>VLOOKUP($A215,Master!$B$50:$N$232,11,FALSE)</f>
        <v>#N/A</v>
      </c>
      <c r="F215" s="318">
        <v>2</v>
      </c>
      <c r="G215" s="319" t="s">
        <v>143</v>
      </c>
      <c r="H215" s="320">
        <v>405594</v>
      </c>
      <c r="I215" s="321" t="b">
        <v>1</v>
      </c>
      <c r="J215" s="322">
        <v>2</v>
      </c>
      <c r="K215" s="323">
        <v>182700</v>
      </c>
      <c r="L215" s="324">
        <f t="shared" si="13"/>
        <v>365400</v>
      </c>
      <c r="M215" s="325"/>
    </row>
    <row r="216" spans="1:13" ht="13">
      <c r="A216" s="18" t="s">
        <v>779</v>
      </c>
      <c r="B216" s="316" t="e">
        <f>VLOOKUP($A216,Master!$B$50:$N$232,2,FALSE)</f>
        <v>#N/A</v>
      </c>
      <c r="C216" s="316" t="e">
        <f>VLOOKUP($A216,Master!$B$50:$N$232,8,FALSE)</f>
        <v>#N/A</v>
      </c>
      <c r="D216" s="316" t="e">
        <f>VLOOKUP($A216,Master!$B$50:$N$232,9,FALSE)</f>
        <v>#N/A</v>
      </c>
      <c r="E216" s="317" t="e">
        <f>VLOOKUP($A216,Master!$B$50:$N$232,11,FALSE)</f>
        <v>#N/A</v>
      </c>
      <c r="F216" s="318">
        <v>3</v>
      </c>
      <c r="G216" s="319" t="s">
        <v>62</v>
      </c>
      <c r="H216" s="320">
        <v>96000</v>
      </c>
      <c r="I216" s="321" t="b">
        <v>1</v>
      </c>
      <c r="J216" s="322">
        <v>4</v>
      </c>
      <c r="K216" s="323">
        <v>34000</v>
      </c>
      <c r="L216" s="324">
        <f t="shared" si="13"/>
        <v>136000</v>
      </c>
      <c r="M216" s="325"/>
    </row>
    <row r="217" spans="1:13" ht="13">
      <c r="A217" s="18" t="s">
        <v>910</v>
      </c>
      <c r="B217" s="316" t="str">
        <f>VLOOKUP($A217,Master!$B$50:$N$232,2,FALSE)</f>
        <v>B106</v>
      </c>
      <c r="C217" s="316">
        <f>VLOOKUP($A217,Master!$B$50:$N$232,8,FALSE)</f>
        <v>10</v>
      </c>
      <c r="D217" s="316" t="str">
        <f>VLOOKUP($A217,Master!$B$50:$N$232,9,FALSE)</f>
        <v>pcs</v>
      </c>
      <c r="E217" s="317" t="str">
        <f>VLOOKUP($A217,Master!$B$50:$N$232,11,FALSE)</f>
        <v>Setiabudi Market</v>
      </c>
      <c r="F217" s="318">
        <v>5</v>
      </c>
      <c r="G217" s="319" t="s">
        <v>62</v>
      </c>
      <c r="H217" s="320">
        <v>65000</v>
      </c>
      <c r="I217" s="321" t="b">
        <v>0</v>
      </c>
      <c r="J217" s="322"/>
      <c r="K217" s="326">
        <f>VLOOKUP($A217,Master!$B$50:$N$232,6,FALSE)</f>
        <v>16900</v>
      </c>
      <c r="L217" s="327">
        <f t="shared" si="13"/>
        <v>0</v>
      </c>
      <c r="M217" s="325"/>
    </row>
    <row r="219" spans="1:13" ht="13">
      <c r="F219" s="427">
        <v>44729</v>
      </c>
      <c r="G219" s="428"/>
      <c r="H219" s="424"/>
      <c r="J219" s="429">
        <f>F219+1</f>
        <v>44730</v>
      </c>
      <c r="K219" s="428"/>
      <c r="L219" s="424"/>
    </row>
    <row r="220" spans="1:13" ht="13">
      <c r="F220" s="425" t="s">
        <v>1490</v>
      </c>
      <c r="G220" s="426"/>
      <c r="H220" s="304">
        <f>SUM(H222:H376)</f>
        <v>105804012</v>
      </c>
      <c r="J220" s="425" t="s">
        <v>1491</v>
      </c>
      <c r="K220" s="426"/>
      <c r="L220" s="304" t="e">
        <f>SUM(L222:L376)</f>
        <v>#N/A</v>
      </c>
    </row>
    <row r="221" spans="1:13" ht="13">
      <c r="A221" s="2" t="s">
        <v>4</v>
      </c>
      <c r="B221" s="305" t="s">
        <v>5</v>
      </c>
      <c r="C221" s="305" t="s">
        <v>1492</v>
      </c>
      <c r="D221" s="305" t="s">
        <v>12</v>
      </c>
      <c r="E221" s="306" t="s">
        <v>1493</v>
      </c>
      <c r="F221" s="307" t="s">
        <v>1494</v>
      </c>
      <c r="G221" s="308" t="s">
        <v>10</v>
      </c>
      <c r="H221" s="309" t="s">
        <v>1495</v>
      </c>
      <c r="I221" s="310" t="s">
        <v>1289</v>
      </c>
      <c r="J221" s="311" t="s">
        <v>1496</v>
      </c>
      <c r="K221" s="312" t="s">
        <v>1497</v>
      </c>
      <c r="L221" s="313" t="s">
        <v>1498</v>
      </c>
      <c r="M221" s="314" t="s">
        <v>16</v>
      </c>
    </row>
    <row r="222" spans="1:13" ht="13">
      <c r="A222" s="18" t="s">
        <v>1046</v>
      </c>
      <c r="B222" s="316" t="e">
        <f>VLOOKUP($A222,Master!$B$50:$N$232,2,FALSE)</f>
        <v>#N/A</v>
      </c>
      <c r="C222" s="316" t="e">
        <f>VLOOKUP($A222,Master!$B$50:$N$232,8,FALSE)</f>
        <v>#N/A</v>
      </c>
      <c r="D222" s="316" t="e">
        <f>VLOOKUP($A222,Master!$B$50:$N$232,9,FALSE)</f>
        <v>#N/A</v>
      </c>
      <c r="E222" s="317" t="e">
        <f>VLOOKUP($A222,Master!$B$50:$N$232,11,FALSE)</f>
        <v>#N/A</v>
      </c>
      <c r="F222" s="318">
        <v>1</v>
      </c>
      <c r="G222" s="319" t="s">
        <v>62</v>
      </c>
      <c r="H222" s="320">
        <v>18000</v>
      </c>
      <c r="I222" s="321" t="b">
        <v>1</v>
      </c>
      <c r="J222" s="322">
        <v>1</v>
      </c>
      <c r="K222" s="323" t="e">
        <f>VLOOKUP($A222,Master!$B$50:$N$232,6,FALSE)</f>
        <v>#N/A</v>
      </c>
      <c r="L222" s="324">
        <v>30195</v>
      </c>
      <c r="M222" s="325" t="s">
        <v>1583</v>
      </c>
    </row>
    <row r="223" spans="1:13" ht="13">
      <c r="A223" s="18" t="s">
        <v>1099</v>
      </c>
      <c r="B223" s="316" t="e">
        <f>VLOOKUP($A223,Master!$B$50:$N$232,2,FALSE)</f>
        <v>#N/A</v>
      </c>
      <c r="C223" s="316" t="e">
        <f>VLOOKUP($A223,Master!$B$50:$N$232,8,FALSE)</f>
        <v>#N/A</v>
      </c>
      <c r="D223" s="316" t="e">
        <f>VLOOKUP($A223,Master!$B$50:$N$232,9,FALSE)</f>
        <v>#N/A</v>
      </c>
      <c r="E223" s="317" t="e">
        <f>VLOOKUP($A223,Master!$B$50:$N$232,11,FALSE)</f>
        <v>#N/A</v>
      </c>
      <c r="F223" s="318">
        <v>2</v>
      </c>
      <c r="G223" s="319" t="s">
        <v>36</v>
      </c>
      <c r="H223" s="320">
        <v>260000</v>
      </c>
      <c r="I223" s="321" t="b">
        <v>1</v>
      </c>
      <c r="J223" s="322">
        <v>2</v>
      </c>
      <c r="K223" s="323" t="e">
        <f>VLOOKUP($A223,Master!$B$50:$N$232,6,FALSE)</f>
        <v>#N/A</v>
      </c>
      <c r="L223" s="324" t="e">
        <f>J223*K223</f>
        <v>#N/A</v>
      </c>
      <c r="M223" s="325"/>
    </row>
    <row r="224" spans="1:13" ht="13">
      <c r="A224" s="18" t="s">
        <v>544</v>
      </c>
      <c r="B224" s="316" t="e">
        <f>VLOOKUP($A224,Master!$B$50:$N$232,2,FALSE)</f>
        <v>#N/A</v>
      </c>
      <c r="C224" s="316" t="e">
        <f>VLOOKUP($A224,Master!$B$50:$N$232,8,FALSE)</f>
        <v>#N/A</v>
      </c>
      <c r="D224" s="316" t="e">
        <f>VLOOKUP($A224,Master!$B$50:$N$232,9,FALSE)</f>
        <v>#N/A</v>
      </c>
      <c r="E224" s="317" t="e">
        <f>VLOOKUP($A224,Master!$B$50:$N$232,11,FALSE)</f>
        <v>#N/A</v>
      </c>
      <c r="F224" s="318">
        <v>4</v>
      </c>
      <c r="G224" s="319" t="s">
        <v>62</v>
      </c>
      <c r="H224" s="320">
        <v>60800</v>
      </c>
      <c r="I224" s="321" t="b">
        <v>1</v>
      </c>
      <c r="J224" s="322">
        <v>5</v>
      </c>
      <c r="K224" s="323">
        <v>16248</v>
      </c>
      <c r="L224" s="324">
        <v>81238</v>
      </c>
      <c r="M224" s="325" t="s">
        <v>1500</v>
      </c>
    </row>
    <row r="225" spans="1:13" ht="13">
      <c r="A225" s="18" t="s">
        <v>586</v>
      </c>
      <c r="B225" s="316" t="str">
        <f>VLOOKUP($A225,Master!$B$50:$N$232,2,FALSE)</f>
        <v>B018</v>
      </c>
      <c r="C225" s="316">
        <f>VLOOKUP($A225,Master!$B$50:$N$232,8,FALSE)</f>
        <v>20</v>
      </c>
      <c r="D225" s="316" t="str">
        <f>VLOOKUP($A225,Master!$B$50:$N$232,9,FALSE)</f>
        <v>pcs</v>
      </c>
      <c r="E225" s="317" t="str">
        <f>VLOOKUP($A225,Master!$B$50:$N$232,11,FALSE)</f>
        <v>Kurnia Mas</v>
      </c>
      <c r="F225" s="318">
        <v>3</v>
      </c>
      <c r="G225" s="319" t="s">
        <v>62</v>
      </c>
      <c r="H225" s="320">
        <v>21900</v>
      </c>
      <c r="I225" s="321" t="b">
        <v>1</v>
      </c>
      <c r="J225" s="322">
        <v>4</v>
      </c>
      <c r="K225" s="326">
        <f>VLOOKUP($A225,Master!$B$50:$N$232,6,FALSE)</f>
        <v>8500</v>
      </c>
      <c r="L225" s="324">
        <v>29898</v>
      </c>
      <c r="M225" s="325" t="s">
        <v>1500</v>
      </c>
    </row>
    <row r="226" spans="1:13" ht="13">
      <c r="A226" s="18" t="s">
        <v>631</v>
      </c>
      <c r="B226" s="316" t="str">
        <f>VLOOKUP($A226,Master!$B$50:$N$232,2,FALSE)</f>
        <v>B030</v>
      </c>
      <c r="C226" s="316">
        <f>VLOOKUP($A226,Master!$B$50:$N$232,8,FALSE)</f>
        <v>1000</v>
      </c>
      <c r="D226" s="316" t="str">
        <f>VLOOKUP($A226,Master!$B$50:$N$232,9,FALSE)</f>
        <v>gr</v>
      </c>
      <c r="E226" s="317" t="str">
        <f>VLOOKUP($A226,Master!$B$50:$N$232,11,FALSE)</f>
        <v>Borma</v>
      </c>
      <c r="F226" s="318">
        <v>1</v>
      </c>
      <c r="G226" s="319" t="s">
        <v>36</v>
      </c>
      <c r="H226" s="320">
        <v>16000</v>
      </c>
      <c r="I226" s="321" t="b">
        <v>1</v>
      </c>
      <c r="J226" s="322">
        <v>1</v>
      </c>
      <c r="K226" s="326">
        <f>VLOOKUP($A226,Master!$B$50:$N$232,6,FALSE)</f>
        <v>18000</v>
      </c>
      <c r="L226" s="324">
        <v>15000</v>
      </c>
      <c r="M226" s="325"/>
    </row>
    <row r="227" spans="1:13" ht="13">
      <c r="A227" s="18" t="s">
        <v>770</v>
      </c>
      <c r="B227" s="316" t="e">
        <f>VLOOKUP($A227,Master!$B$50:$N$232,2,FALSE)</f>
        <v>#N/A</v>
      </c>
      <c r="C227" s="316" t="e">
        <f>VLOOKUP($A227,Master!$B$50:$N$232,8,FALSE)</f>
        <v>#N/A</v>
      </c>
      <c r="D227" s="316" t="e">
        <f>VLOOKUP($A227,Master!$B$50:$N$232,9,FALSE)</f>
        <v>#N/A</v>
      </c>
      <c r="E227" s="317" t="e">
        <f>VLOOKUP($A227,Master!$B$50:$N$232,11,FALSE)</f>
        <v>#N/A</v>
      </c>
      <c r="F227" s="318">
        <v>1</v>
      </c>
      <c r="G227" s="319" t="s">
        <v>97</v>
      </c>
      <c r="H227" s="320">
        <v>25300</v>
      </c>
      <c r="I227" s="321" t="b">
        <v>1</v>
      </c>
      <c r="J227" s="322">
        <v>1</v>
      </c>
      <c r="K227" s="326" t="e">
        <f>VLOOKUP($A227,Master!$B$50:$N$232,6,FALSE)</f>
        <v>#N/A</v>
      </c>
      <c r="L227" s="324">
        <v>26087</v>
      </c>
      <c r="M227" s="325" t="s">
        <v>1500</v>
      </c>
    </row>
    <row r="228" spans="1:13" ht="13">
      <c r="A228" s="18" t="s">
        <v>937</v>
      </c>
      <c r="B228" s="316" t="str">
        <f>VLOOKUP($A228,Master!$B$50:$N$232,2,FALSE)</f>
        <v>B115</v>
      </c>
      <c r="C228" s="316">
        <f>VLOOKUP($A228,Master!$B$50:$N$232,8,FALSE)</f>
        <v>20</v>
      </c>
      <c r="D228" s="316" t="str">
        <f>VLOOKUP($A228,Master!$B$50:$N$232,9,FALSE)</f>
        <v>pcs</v>
      </c>
      <c r="E228" s="317" t="str">
        <f>VLOOKUP($A228,Master!$B$50:$N$232,11,FALSE)</f>
        <v>Borma</v>
      </c>
      <c r="F228" s="318">
        <v>2</v>
      </c>
      <c r="G228" s="319" t="s">
        <v>62</v>
      </c>
      <c r="H228" s="320">
        <v>14600</v>
      </c>
      <c r="I228" s="321" t="b">
        <v>1</v>
      </c>
      <c r="J228" s="322">
        <v>2</v>
      </c>
      <c r="K228" s="326">
        <f>VLOOKUP($A228,Master!$B$50:$N$232,6,FALSE)</f>
        <v>8500</v>
      </c>
      <c r="L228" s="324">
        <v>14949</v>
      </c>
      <c r="M228" s="325" t="s">
        <v>1500</v>
      </c>
    </row>
    <row r="229" spans="1:13" ht="13">
      <c r="A229" s="18" t="s">
        <v>1094</v>
      </c>
      <c r="B229" s="316" t="e">
        <f>VLOOKUP($A229,Master!$B$50:$N$232,2,FALSE)</f>
        <v>#N/A</v>
      </c>
      <c r="C229" s="316" t="e">
        <f>VLOOKUP($A229,Master!$B$50:$N$232,8,FALSE)</f>
        <v>#N/A</v>
      </c>
      <c r="D229" s="316" t="e">
        <f>VLOOKUP($A229,Master!$B$50:$N$232,9,FALSE)</f>
        <v>#N/A</v>
      </c>
      <c r="E229" s="317" t="e">
        <f>VLOOKUP($A229,Master!$B$50:$N$232,11,FALSE)</f>
        <v>#N/A</v>
      </c>
      <c r="F229" s="318">
        <v>1</v>
      </c>
      <c r="G229" s="319" t="s">
        <v>62</v>
      </c>
      <c r="H229" s="320">
        <v>17300</v>
      </c>
      <c r="I229" s="321" t="b">
        <v>1</v>
      </c>
      <c r="J229" s="322">
        <v>1</v>
      </c>
      <c r="K229" s="323" t="e">
        <f>VLOOKUP($A229,Master!$B$50:$N$232,6,FALSE)</f>
        <v>#N/A</v>
      </c>
      <c r="L229" s="324">
        <v>19454</v>
      </c>
      <c r="M229" s="325" t="s">
        <v>1500</v>
      </c>
    </row>
    <row r="230" spans="1:13" ht="13">
      <c r="A230" s="18" t="s">
        <v>1101</v>
      </c>
      <c r="B230" s="316" t="e">
        <f>VLOOKUP($A230,Master!$B$50:$N$232,2,FALSE)</f>
        <v>#N/A</v>
      </c>
      <c r="C230" s="316" t="e">
        <f>VLOOKUP($A230,Master!$B$50:$N$232,8,FALSE)</f>
        <v>#N/A</v>
      </c>
      <c r="D230" s="316" t="e">
        <f>VLOOKUP($A230,Master!$B$50:$N$232,9,FALSE)</f>
        <v>#N/A</v>
      </c>
      <c r="E230" s="317" t="e">
        <f>VLOOKUP($A230,Master!$B$50:$N$232,11,FALSE)</f>
        <v>#N/A</v>
      </c>
      <c r="F230" s="318">
        <v>1</v>
      </c>
      <c r="G230" s="319" t="s">
        <v>62</v>
      </c>
      <c r="H230" s="320">
        <v>16100</v>
      </c>
      <c r="I230" s="321" t="b">
        <v>1</v>
      </c>
      <c r="J230" s="322">
        <v>2</v>
      </c>
      <c r="K230" s="323">
        <v>5742</v>
      </c>
      <c r="L230" s="324">
        <f t="shared" ref="L230:L233" si="14">J230*K230</f>
        <v>11484</v>
      </c>
      <c r="M230" s="325" t="s">
        <v>1500</v>
      </c>
    </row>
    <row r="231" spans="1:13" ht="13">
      <c r="A231" s="18" t="s">
        <v>851</v>
      </c>
      <c r="B231" s="316" t="e">
        <f>VLOOKUP($A231,Master!$B$50:$N$232,2,FALSE)</f>
        <v>#N/A</v>
      </c>
      <c r="C231" s="316" t="e">
        <f>VLOOKUP($A231,Master!$B$50:$N$232,8,FALSE)</f>
        <v>#N/A</v>
      </c>
      <c r="D231" s="316" t="e">
        <f>VLOOKUP($A231,Master!$B$50:$N$232,9,FALSE)</f>
        <v>#N/A</v>
      </c>
      <c r="E231" s="317" t="e">
        <f>VLOOKUP($A231,Master!$B$50:$N$232,11,FALSE)</f>
        <v>#N/A</v>
      </c>
      <c r="F231" s="318">
        <v>3</v>
      </c>
      <c r="G231" s="319" t="s">
        <v>143</v>
      </c>
      <c r="H231" s="320">
        <v>90000</v>
      </c>
      <c r="I231" s="321" t="b">
        <v>1</v>
      </c>
      <c r="J231" s="322">
        <v>3</v>
      </c>
      <c r="K231" s="323">
        <v>30400</v>
      </c>
      <c r="L231" s="324">
        <f t="shared" si="14"/>
        <v>91200</v>
      </c>
      <c r="M231" s="325"/>
    </row>
    <row r="232" spans="1:13" ht="13">
      <c r="A232" s="18" t="s">
        <v>651</v>
      </c>
      <c r="B232" s="316" t="str">
        <f>VLOOKUP($A232,Master!$B$50:$N$232,2,FALSE)</f>
        <v>B035</v>
      </c>
      <c r="C232" s="316">
        <f>VLOOKUP($A232,Master!$B$50:$N$232,8,FALSE)</f>
        <v>1000</v>
      </c>
      <c r="D232" s="316" t="str">
        <f>VLOOKUP($A232,Master!$B$50:$N$232,9,FALSE)</f>
        <v>gr</v>
      </c>
      <c r="E232" s="317" t="str">
        <f>VLOOKUP($A232,Master!$B$50:$N$232,11,FALSE)</f>
        <v>Eden Farm</v>
      </c>
      <c r="F232" s="318">
        <v>1</v>
      </c>
      <c r="G232" s="319" t="s">
        <v>36</v>
      </c>
      <c r="H232" s="320">
        <v>9700</v>
      </c>
      <c r="I232" s="321" t="b">
        <v>1</v>
      </c>
      <c r="J232" s="322">
        <v>1</v>
      </c>
      <c r="K232" s="323">
        <v>10400</v>
      </c>
      <c r="L232" s="324">
        <f t="shared" si="14"/>
        <v>10400</v>
      </c>
      <c r="M232" s="325"/>
    </row>
    <row r="233" spans="1:13" ht="13">
      <c r="A233" s="18" t="s">
        <v>655</v>
      </c>
      <c r="B233" s="316" t="str">
        <f>VLOOKUP($A233,Master!$B$50:$N$232,2,FALSE)</f>
        <v>B036</v>
      </c>
      <c r="C233" s="316">
        <f>VLOOKUP($A233,Master!$B$50:$N$232,8,FALSE)</f>
        <v>1000</v>
      </c>
      <c r="D233" s="316" t="str">
        <f>VLOOKUP($A233,Master!$B$50:$N$232,9,FALSE)</f>
        <v>gr</v>
      </c>
      <c r="E233" s="317" t="str">
        <f>VLOOKUP($A233,Master!$B$50:$N$232,11,FALSE)</f>
        <v>Toko Lain</v>
      </c>
      <c r="F233" s="318">
        <v>3</v>
      </c>
      <c r="G233" s="319" t="s">
        <v>36</v>
      </c>
      <c r="H233" s="320">
        <v>146700</v>
      </c>
      <c r="I233" s="321" t="b">
        <v>1</v>
      </c>
      <c r="J233" s="322">
        <v>3</v>
      </c>
      <c r="K233" s="323">
        <v>58800</v>
      </c>
      <c r="L233" s="324">
        <f t="shared" si="14"/>
        <v>176400</v>
      </c>
      <c r="M233" s="325"/>
    </row>
    <row r="234" spans="1:13" ht="13">
      <c r="A234" s="18" t="s">
        <v>667</v>
      </c>
      <c r="B234" s="316" t="str">
        <f>VLOOKUP($A234,Master!$B$50:$N$232,2,FALSE)</f>
        <v>B039</v>
      </c>
      <c r="C234" s="316">
        <f>VLOOKUP($A234,Master!$B$50:$N$232,8,FALSE)</f>
        <v>1000</v>
      </c>
      <c r="D234" s="316" t="str">
        <f>VLOOKUP($A234,Master!$B$50:$N$232,9,FALSE)</f>
        <v>gr</v>
      </c>
      <c r="E234" s="317" t="str">
        <f>VLOOKUP($A234,Master!$B$50:$N$232,11,FALSE)</f>
        <v>Eden Farm</v>
      </c>
      <c r="F234" s="318">
        <v>1</v>
      </c>
      <c r="G234" s="319" t="s">
        <v>36</v>
      </c>
      <c r="H234" s="320">
        <v>89800</v>
      </c>
      <c r="I234" s="321" t="b">
        <v>1</v>
      </c>
      <c r="J234" s="322">
        <v>1</v>
      </c>
      <c r="K234" s="326">
        <f>VLOOKUP($A234,Master!$B$50:$N$232,6,FALSE)</f>
        <v>161600</v>
      </c>
      <c r="L234" s="324">
        <v>100200</v>
      </c>
      <c r="M234" s="325"/>
    </row>
    <row r="235" spans="1:13" ht="13">
      <c r="A235" s="18" t="s">
        <v>712</v>
      </c>
      <c r="B235" s="316" t="str">
        <f>VLOOKUP($A235,Master!$B$50:$N$232,2,FALSE)</f>
        <v>B050</v>
      </c>
      <c r="C235" s="316">
        <f>VLOOKUP($A235,Master!$B$50:$N$232,8,FALSE)</f>
        <v>1000</v>
      </c>
      <c r="D235" s="316" t="str">
        <f>VLOOKUP($A235,Master!$B$50:$N$232,9,FALSE)</f>
        <v>gr</v>
      </c>
      <c r="E235" s="317" t="str">
        <f>VLOOKUP($A235,Master!$B$50:$N$232,11,FALSE)</f>
        <v>Eden Farm</v>
      </c>
      <c r="F235" s="318">
        <v>3</v>
      </c>
      <c r="G235" s="319" t="s">
        <v>36</v>
      </c>
      <c r="H235" s="320">
        <v>72600</v>
      </c>
      <c r="I235" s="321" t="b">
        <v>1</v>
      </c>
      <c r="J235" s="322">
        <v>3</v>
      </c>
      <c r="K235" s="326">
        <f>VLOOKUP($A235,Master!$B$50:$N$232,6,FALSE)</f>
        <v>40000</v>
      </c>
      <c r="L235" s="324">
        <v>56100</v>
      </c>
      <c r="M235" s="325"/>
    </row>
    <row r="236" spans="1:13" ht="13">
      <c r="A236" s="18" t="s">
        <v>716</v>
      </c>
      <c r="B236" s="316" t="str">
        <f>VLOOKUP($A236,Master!$B$50:$N$232,2,FALSE)</f>
        <v>B051</v>
      </c>
      <c r="C236" s="316">
        <f>VLOOKUP($A236,Master!$B$50:$N$232,8,FALSE)</f>
        <v>1000</v>
      </c>
      <c r="D236" s="316" t="str">
        <f>VLOOKUP($A236,Master!$B$50:$N$232,9,FALSE)</f>
        <v>gr</v>
      </c>
      <c r="E236" s="317" t="str">
        <f>VLOOKUP($A236,Master!$B$50:$N$232,11,FALSE)</f>
        <v>Eden Farm</v>
      </c>
      <c r="F236" s="318">
        <v>2</v>
      </c>
      <c r="G236" s="319" t="s">
        <v>36</v>
      </c>
      <c r="H236" s="320">
        <v>83400</v>
      </c>
      <c r="I236" s="321" t="b">
        <v>1</v>
      </c>
      <c r="J236" s="322">
        <v>2</v>
      </c>
      <c r="K236" s="326">
        <f>VLOOKUP($A236,Master!$B$50:$N$232,6,FALSE)</f>
        <v>45000</v>
      </c>
      <c r="L236" s="324">
        <v>80000</v>
      </c>
      <c r="M236" s="325" t="s">
        <v>287</v>
      </c>
    </row>
    <row r="237" spans="1:13" ht="13">
      <c r="A237" s="18" t="s">
        <v>732</v>
      </c>
      <c r="B237" s="316" t="str">
        <f>VLOOKUP($A237,Master!$B$50:$N$232,2,FALSE)</f>
        <v>B055</v>
      </c>
      <c r="C237" s="316">
        <f>VLOOKUP($A237,Master!$B$50:$N$232,8,FALSE)</f>
        <v>1000</v>
      </c>
      <c r="D237" s="316" t="str">
        <f>VLOOKUP($A237,Master!$B$50:$N$232,9,FALSE)</f>
        <v>gr</v>
      </c>
      <c r="E237" s="317" t="str">
        <f>VLOOKUP($A237,Master!$B$50:$N$232,11,FALSE)</f>
        <v>Eden Farm</v>
      </c>
      <c r="F237" s="318">
        <v>5</v>
      </c>
      <c r="G237" s="319" t="s">
        <v>36</v>
      </c>
      <c r="H237" s="320">
        <v>94500</v>
      </c>
      <c r="I237" s="321" t="b">
        <v>1</v>
      </c>
      <c r="J237" s="322">
        <v>5</v>
      </c>
      <c r="K237" s="326">
        <f>VLOOKUP($A237,Master!$B$50:$N$232,6,FALSE)</f>
        <v>40000</v>
      </c>
      <c r="L237" s="324">
        <v>90000</v>
      </c>
      <c r="M237" s="325"/>
    </row>
    <row r="238" spans="1:13" ht="13">
      <c r="A238" s="18" t="s">
        <v>782</v>
      </c>
      <c r="B238" s="316" t="str">
        <f>VLOOKUP($A238,Master!$B$50:$N$232,2,FALSE)</f>
        <v>B069</v>
      </c>
      <c r="C238" s="316">
        <f>VLOOKUP($A238,Master!$B$50:$N$232,8,FALSE)</f>
        <v>500</v>
      </c>
      <c r="D238" s="316" t="str">
        <f>VLOOKUP($A238,Master!$B$50:$N$232,9,FALSE)</f>
        <v>gr</v>
      </c>
      <c r="E238" s="317" t="str">
        <f>VLOOKUP($A238,Master!$B$50:$N$232,11,FALSE)</f>
        <v>Toko Lain</v>
      </c>
      <c r="F238" s="318">
        <v>3</v>
      </c>
      <c r="G238" s="319" t="s">
        <v>62</v>
      </c>
      <c r="H238" s="320">
        <v>23100</v>
      </c>
      <c r="I238" s="321" t="b">
        <v>1</v>
      </c>
      <c r="J238" s="322">
        <v>3</v>
      </c>
      <c r="K238" s="326">
        <f>VLOOKUP($A238,Master!$B$50:$N$232,6,FALSE)</f>
        <v>25000</v>
      </c>
      <c r="L238" s="324">
        <v>41433</v>
      </c>
      <c r="M238" s="325" t="s">
        <v>1583</v>
      </c>
    </row>
    <row r="239" spans="1:13" ht="13">
      <c r="A239" s="18" t="s">
        <v>795</v>
      </c>
      <c r="B239" s="316" t="str">
        <f>VLOOKUP($A239,Master!$B$50:$N$232,2,FALSE)</f>
        <v>B073</v>
      </c>
      <c r="C239" s="316">
        <f>VLOOKUP($A239,Master!$B$50:$N$232,8,FALSE)</f>
        <v>10</v>
      </c>
      <c r="D239" s="316" t="str">
        <f>VLOOKUP($A239,Master!$B$50:$N$232,9,FALSE)</f>
        <v>unit</v>
      </c>
      <c r="E239" s="317" t="str">
        <f>VLOOKUP($A239,Master!$B$50:$N$232,11,FALSE)</f>
        <v>Toko Lain</v>
      </c>
      <c r="F239" s="318">
        <v>5</v>
      </c>
      <c r="G239" s="319" t="s">
        <v>62</v>
      </c>
      <c r="H239" s="320">
        <v>25000</v>
      </c>
      <c r="I239" s="321" t="b">
        <v>1</v>
      </c>
      <c r="J239" s="322">
        <v>5</v>
      </c>
      <c r="K239" s="323">
        <v>7800</v>
      </c>
      <c r="L239" s="324">
        <f t="shared" ref="L239:L240" si="15">J239*K239</f>
        <v>39000</v>
      </c>
      <c r="M239" s="325"/>
    </row>
    <row r="240" spans="1:13" ht="13">
      <c r="A240" s="18" t="s">
        <v>919</v>
      </c>
      <c r="B240" s="316" t="str">
        <f>VLOOKUP($A240,Master!$B$50:$N$232,2,FALSE)</f>
        <v>B109</v>
      </c>
      <c r="C240" s="316">
        <f>VLOOKUP($A240,Master!$B$50:$N$232,8,FALSE)</f>
        <v>1000</v>
      </c>
      <c r="D240" s="316" t="str">
        <f>VLOOKUP($A240,Master!$B$50:$N$232,9,FALSE)</f>
        <v>gr</v>
      </c>
      <c r="E240" s="317" t="str">
        <f>VLOOKUP($A240,Master!$B$50:$N$232,11,FALSE)</f>
        <v>Eden Farm</v>
      </c>
      <c r="F240" s="318">
        <v>1</v>
      </c>
      <c r="G240" s="319" t="s">
        <v>62</v>
      </c>
      <c r="H240" s="320">
        <v>20900</v>
      </c>
      <c r="I240" s="321" t="b">
        <v>1</v>
      </c>
      <c r="J240" s="322">
        <v>1</v>
      </c>
      <c r="K240" s="323">
        <v>38000</v>
      </c>
      <c r="L240" s="324">
        <f t="shared" si="15"/>
        <v>38000</v>
      </c>
      <c r="M240" s="325"/>
    </row>
    <row r="241" spans="1:13" ht="13">
      <c r="A241" s="18" t="s">
        <v>1020</v>
      </c>
      <c r="B241" s="316" t="str">
        <f>VLOOKUP($A241,Master!$B$50:$N$232,2,FALSE)</f>
        <v>B144</v>
      </c>
      <c r="C241" s="316">
        <f>VLOOKUP($A241,Master!$B$50:$N$232,8,FALSE)</f>
        <v>1000</v>
      </c>
      <c r="D241" s="316" t="str">
        <f>VLOOKUP($A241,Master!$B$50:$N$232,9,FALSE)</f>
        <v>gr</v>
      </c>
      <c r="E241" s="317" t="str">
        <f>VLOOKUP($A241,Master!$B$50:$N$232,11,FALSE)</f>
        <v>Eden Farm</v>
      </c>
      <c r="F241" s="318">
        <v>1</v>
      </c>
      <c r="G241" s="319" t="s">
        <v>36</v>
      </c>
      <c r="H241" s="320">
        <v>21800</v>
      </c>
      <c r="I241" s="321" t="b">
        <v>1</v>
      </c>
      <c r="J241" s="322">
        <v>1</v>
      </c>
      <c r="K241" s="326">
        <f>VLOOKUP($A241,Master!$B$50:$N$232,6,FALSE)</f>
        <v>24000</v>
      </c>
      <c r="L241" s="324">
        <v>13300</v>
      </c>
      <c r="M241" s="325"/>
    </row>
    <row r="242" spans="1:13" ht="13">
      <c r="A242" s="18" t="s">
        <v>1050</v>
      </c>
      <c r="B242" s="316" t="e">
        <f>VLOOKUP($A242,Master!$B$50:$N$232,2,FALSE)</f>
        <v>#N/A</v>
      </c>
      <c r="C242" s="316" t="e">
        <f>VLOOKUP($A242,Master!$B$50:$N$232,8,FALSE)</f>
        <v>#N/A</v>
      </c>
      <c r="D242" s="316" t="e">
        <f>VLOOKUP($A242,Master!$B$50:$N$232,9,FALSE)</f>
        <v>#N/A</v>
      </c>
      <c r="E242" s="317" t="e">
        <f>VLOOKUP($A242,Master!$B$50:$N$232,11,FALSE)</f>
        <v>#N/A</v>
      </c>
      <c r="F242" s="318">
        <v>0.5</v>
      </c>
      <c r="G242" s="319" t="s">
        <v>36</v>
      </c>
      <c r="H242" s="320">
        <v>8700</v>
      </c>
      <c r="I242" s="321" t="b">
        <v>1</v>
      </c>
      <c r="J242" s="322">
        <v>0.5</v>
      </c>
      <c r="K242" s="323">
        <v>8900</v>
      </c>
      <c r="L242" s="324">
        <f t="shared" ref="L242:L244" si="16">J242*K242</f>
        <v>4450</v>
      </c>
      <c r="M242" s="325"/>
    </row>
    <row r="243" spans="1:13" ht="13">
      <c r="A243" s="18" t="s">
        <v>659</v>
      </c>
      <c r="B243" s="316" t="str">
        <f>VLOOKUP($A243,Master!$B$50:$N$232,2,FALSE)</f>
        <v>B037</v>
      </c>
      <c r="C243" s="316">
        <f>VLOOKUP($A243,Master!$B$50:$N$232,8,FALSE)</f>
        <v>15</v>
      </c>
      <c r="D243" s="316" t="str">
        <f>VLOOKUP($A243,Master!$B$50:$N$232,9,FALSE)</f>
        <v>pcs</v>
      </c>
      <c r="E243" s="317" t="str">
        <f>VLOOKUP($A243,Master!$B$50:$N$232,11,FALSE)</f>
        <v>Feri Supriadi (Telur , Beras , Minyak )</v>
      </c>
      <c r="F243" s="318">
        <v>5</v>
      </c>
      <c r="G243" s="319" t="s">
        <v>36</v>
      </c>
      <c r="H243" s="320">
        <v>137500</v>
      </c>
      <c r="I243" s="321" t="b">
        <v>1</v>
      </c>
      <c r="J243" s="322">
        <v>5</v>
      </c>
      <c r="K243" s="323">
        <v>28300</v>
      </c>
      <c r="L243" s="324">
        <f t="shared" si="16"/>
        <v>141500</v>
      </c>
      <c r="M243" s="325"/>
    </row>
    <row r="244" spans="1:13" ht="13">
      <c r="A244" s="18" t="s">
        <v>675</v>
      </c>
      <c r="B244" s="316" t="str">
        <f>VLOOKUP($A244,Master!$B$50:$N$232,2,FALSE)</f>
        <v>B041</v>
      </c>
      <c r="C244" s="316">
        <f>VLOOKUP($A244,Master!$B$50:$N$232,8,FALSE)</f>
        <v>20</v>
      </c>
      <c r="D244" s="316" t="str">
        <f>VLOOKUP($A244,Master!$B$50:$N$232,9,FALSE)</f>
        <v>unit</v>
      </c>
      <c r="E244" s="317" t="str">
        <f>VLOOKUP($A244,Master!$B$50:$N$232,11,FALSE)</f>
        <v>RSB, Dago</v>
      </c>
      <c r="F244" s="318">
        <v>20</v>
      </c>
      <c r="G244" s="319" t="s">
        <v>62</v>
      </c>
      <c r="H244" s="320">
        <v>120000</v>
      </c>
      <c r="I244" s="321" t="b">
        <v>1</v>
      </c>
      <c r="J244" s="322">
        <v>20</v>
      </c>
      <c r="K244" s="326">
        <f>VLOOKUP($A244,Master!$B$50:$N$232,6,FALSE)</f>
        <v>13500</v>
      </c>
      <c r="L244" s="327">
        <f t="shared" si="16"/>
        <v>270000</v>
      </c>
      <c r="M244" s="325"/>
    </row>
    <row r="245" spans="1:13" ht="13">
      <c r="A245" s="18" t="s">
        <v>889</v>
      </c>
      <c r="B245" s="316" t="str">
        <f>VLOOKUP($A245,Master!$B$50:$N$232,2,FALSE)</f>
        <v>B099</v>
      </c>
      <c r="C245" s="316">
        <f>VLOOKUP($A245,Master!$B$50:$N$232,8,FALSE)</f>
        <v>10</v>
      </c>
      <c r="D245" s="316" t="str">
        <f>VLOOKUP($A245,Master!$B$50:$N$232,9,FALSE)</f>
        <v>sachet</v>
      </c>
      <c r="E245" s="317" t="str">
        <f>VLOOKUP($A245,Master!$B$50:$N$232,11,FALSE)</f>
        <v>Pasar Cihapit</v>
      </c>
      <c r="F245" s="318">
        <v>1</v>
      </c>
      <c r="G245" s="319" t="s">
        <v>62</v>
      </c>
      <c r="H245" s="320">
        <v>22000</v>
      </c>
      <c r="I245" s="321" t="b">
        <v>1</v>
      </c>
      <c r="J245" s="322">
        <v>1</v>
      </c>
      <c r="K245" s="326">
        <f>VLOOKUP($A245,Master!$B$50:$N$232,6,FALSE)</f>
        <v>22000</v>
      </c>
      <c r="L245" s="324">
        <v>20000</v>
      </c>
      <c r="M245" s="325"/>
    </row>
    <row r="246" spans="1:13" ht="13">
      <c r="A246" s="18" t="s">
        <v>528</v>
      </c>
      <c r="B246" s="316" t="e">
        <f>VLOOKUP($A246,Master!$B$50:$N$232,2,FALSE)</f>
        <v>#N/A</v>
      </c>
      <c r="C246" s="316" t="e">
        <f>VLOOKUP($A246,Master!$B$50:$N$232,8,FALSE)</f>
        <v>#N/A</v>
      </c>
      <c r="D246" s="316" t="e">
        <f>VLOOKUP($A246,Master!$B$50:$N$232,9,FALSE)</f>
        <v>#N/A</v>
      </c>
      <c r="E246" s="317" t="e">
        <f>VLOOKUP($A246,Master!$B$50:$N$232,11,FALSE)</f>
        <v>#N/A</v>
      </c>
      <c r="F246" s="318">
        <v>6</v>
      </c>
      <c r="G246" s="319" t="s">
        <v>50</v>
      </c>
      <c r="H246" s="320">
        <v>96000</v>
      </c>
      <c r="I246" s="321" t="b">
        <v>1</v>
      </c>
      <c r="J246" s="322">
        <v>6</v>
      </c>
      <c r="K246" s="326" t="e">
        <f>VLOOKUP($A246,Master!$B$50:$N$232,6,FALSE)</f>
        <v>#N/A</v>
      </c>
      <c r="L246" s="327" t="e">
        <f t="shared" ref="L246:L248" si="17">J246*K246</f>
        <v>#N/A</v>
      </c>
      <c r="M246" s="325"/>
    </row>
    <row r="247" spans="1:13" ht="13">
      <c r="A247" s="18" t="s">
        <v>635</v>
      </c>
      <c r="B247" s="316" t="e">
        <f>VLOOKUP($A247,Master!$B$50:$N$232,2,FALSE)</f>
        <v>#N/A</v>
      </c>
      <c r="C247" s="316" t="e">
        <f>VLOOKUP($A247,Master!$B$50:$N$232,8,FALSE)</f>
        <v>#N/A</v>
      </c>
      <c r="D247" s="316" t="e">
        <f>VLOOKUP($A247,Master!$B$50:$N$232,9,FALSE)</f>
        <v>#N/A</v>
      </c>
      <c r="E247" s="317" t="e">
        <f>VLOOKUP($A247,Master!$B$50:$N$232,11,FALSE)</f>
        <v>#N/A</v>
      </c>
      <c r="F247" s="318">
        <v>6</v>
      </c>
      <c r="G247" s="319" t="s">
        <v>50</v>
      </c>
      <c r="H247" s="320">
        <v>56400</v>
      </c>
      <c r="I247" s="321" t="b">
        <v>1</v>
      </c>
      <c r="J247" s="322">
        <v>6</v>
      </c>
      <c r="K247" s="323">
        <v>11000</v>
      </c>
      <c r="L247" s="324">
        <f t="shared" si="17"/>
        <v>66000</v>
      </c>
      <c r="M247" s="325"/>
    </row>
    <row r="248" spans="1:13" ht="13">
      <c r="A248" s="18" t="s">
        <v>680</v>
      </c>
      <c r="B248" s="316" t="e">
        <f>VLOOKUP($A248,Master!$B$50:$N$232,2,FALSE)</f>
        <v>#N/A</v>
      </c>
      <c r="C248" s="316" t="e">
        <f>VLOOKUP($A248,Master!$B$50:$N$232,8,FALSE)</f>
        <v>#N/A</v>
      </c>
      <c r="D248" s="316" t="e">
        <f>VLOOKUP($A248,Master!$B$50:$N$232,9,FALSE)</f>
        <v>#N/A</v>
      </c>
      <c r="E248" s="317" t="e">
        <f>VLOOKUP($A248,Master!$B$50:$N$232,11,FALSE)</f>
        <v>#N/A</v>
      </c>
      <c r="F248" s="318">
        <v>8</v>
      </c>
      <c r="G248" s="319" t="s">
        <v>97</v>
      </c>
      <c r="H248" s="320">
        <v>240000</v>
      </c>
      <c r="I248" s="321" t="b">
        <v>1</v>
      </c>
      <c r="J248" s="322">
        <v>8</v>
      </c>
      <c r="K248" s="326" t="e">
        <f>VLOOKUP($A248,Master!$B$50:$N$232,6,FALSE)</f>
        <v>#N/A</v>
      </c>
      <c r="L248" s="327" t="e">
        <f t="shared" si="17"/>
        <v>#N/A</v>
      </c>
      <c r="M248" s="325"/>
    </row>
    <row r="249" spans="1:13" ht="13">
      <c r="A249" s="18" t="s">
        <v>688</v>
      </c>
      <c r="B249" s="316" t="e">
        <f>VLOOKUP($A249,Master!$B$50:$N$232,2,FALSE)</f>
        <v>#N/A</v>
      </c>
      <c r="C249" s="316" t="e">
        <f>VLOOKUP($A249,Master!$B$50:$N$232,8,FALSE)</f>
        <v>#N/A</v>
      </c>
      <c r="D249" s="316" t="e">
        <f>VLOOKUP($A249,Master!$B$50:$N$232,9,FALSE)</f>
        <v>#N/A</v>
      </c>
      <c r="E249" s="317" t="e">
        <f>VLOOKUP($A249,Master!$B$50:$N$232,11,FALSE)</f>
        <v>#N/A</v>
      </c>
      <c r="F249" s="318">
        <v>2</v>
      </c>
      <c r="G249" s="319" t="s">
        <v>62</v>
      </c>
      <c r="H249" s="320">
        <v>125000</v>
      </c>
      <c r="I249" s="321" t="b">
        <v>1</v>
      </c>
      <c r="J249" s="322">
        <v>2</v>
      </c>
      <c r="K249" s="326" t="e">
        <f>VLOOKUP($A249,Master!$B$50:$N$232,6,FALSE)</f>
        <v>#N/A</v>
      </c>
      <c r="L249" s="324">
        <v>124000</v>
      </c>
      <c r="M249" s="325"/>
    </row>
    <row r="250" spans="1:13" ht="13">
      <c r="A250" s="18" t="s">
        <v>696</v>
      </c>
      <c r="B250" s="316" t="e">
        <f>VLOOKUP($A250,Master!$B$50:$N$232,2,FALSE)</f>
        <v>#N/A</v>
      </c>
      <c r="C250" s="316" t="e">
        <f>VLOOKUP($A250,Master!$B$50:$N$232,8,FALSE)</f>
        <v>#N/A</v>
      </c>
      <c r="D250" s="316" t="e">
        <f>VLOOKUP($A250,Master!$B$50:$N$232,9,FALSE)</f>
        <v>#N/A</v>
      </c>
      <c r="E250" s="317" t="e">
        <f>VLOOKUP($A250,Master!$B$50:$N$232,11,FALSE)</f>
        <v>#N/A</v>
      </c>
      <c r="F250" s="318">
        <v>5</v>
      </c>
      <c r="G250" s="319" t="s">
        <v>62</v>
      </c>
      <c r="H250" s="320">
        <v>70000</v>
      </c>
      <c r="I250" s="321" t="b">
        <v>1</v>
      </c>
      <c r="J250" s="322">
        <v>5</v>
      </c>
      <c r="K250" s="326" t="e">
        <f>VLOOKUP($A250,Master!$B$50:$N$232,6,FALSE)</f>
        <v>#N/A</v>
      </c>
      <c r="L250" s="324">
        <v>66250</v>
      </c>
      <c r="M250" s="325"/>
    </row>
    <row r="251" spans="1:13" ht="13">
      <c r="A251" s="18" t="s">
        <v>1579</v>
      </c>
      <c r="B251" s="316" t="e">
        <f>VLOOKUP($A251,Master!$B$50:$N$232,2,FALSE)</f>
        <v>#N/A</v>
      </c>
      <c r="C251" s="316" t="e">
        <f>VLOOKUP($A251,Master!$B$50:$N$232,8,FALSE)</f>
        <v>#N/A</v>
      </c>
      <c r="D251" s="316" t="e">
        <f>VLOOKUP($A251,Master!$B$50:$N$232,9,FALSE)</f>
        <v>#N/A</v>
      </c>
      <c r="E251" s="317" t="e">
        <f>VLOOKUP($A251,Master!$B$50:$N$232,11,FALSE)</f>
        <v>#N/A</v>
      </c>
      <c r="F251" s="318">
        <v>1</v>
      </c>
      <c r="G251" s="319" t="s">
        <v>143</v>
      </c>
      <c r="H251" s="320">
        <v>475000</v>
      </c>
      <c r="I251" s="321" t="b">
        <v>1</v>
      </c>
      <c r="J251" s="322">
        <v>1</v>
      </c>
      <c r="K251" s="323" t="e">
        <f>VLOOKUP($A251,Master!$B$50:$N$232,6,FALSE)</f>
        <v>#N/A</v>
      </c>
      <c r="L251" s="324">
        <v>365000</v>
      </c>
      <c r="M251" s="325"/>
    </row>
    <row r="252" spans="1:13" ht="13">
      <c r="A252" s="18" t="s">
        <v>748</v>
      </c>
      <c r="B252" s="316" t="e">
        <f>VLOOKUP($A252,Master!$B$50:$N$232,2,FALSE)</f>
        <v>#N/A</v>
      </c>
      <c r="C252" s="316" t="e">
        <f>VLOOKUP($A252,Master!$B$50:$N$232,8,FALSE)</f>
        <v>#N/A</v>
      </c>
      <c r="D252" s="316" t="e">
        <f>VLOOKUP($A252,Master!$B$50:$N$232,9,FALSE)</f>
        <v>#N/A</v>
      </c>
      <c r="E252" s="317" t="e">
        <f>VLOOKUP($A252,Master!$B$50:$N$232,11,FALSE)</f>
        <v>#N/A</v>
      </c>
      <c r="F252" s="318">
        <v>2</v>
      </c>
      <c r="G252" s="319" t="s">
        <v>62</v>
      </c>
      <c r="H252" s="320">
        <v>55000</v>
      </c>
      <c r="I252" s="321" t="b">
        <v>1</v>
      </c>
      <c r="J252" s="322">
        <v>2</v>
      </c>
      <c r="K252" s="326" t="e">
        <f>VLOOKUP($A252,Master!$B$50:$N$232,6,FALSE)</f>
        <v>#N/A</v>
      </c>
      <c r="L252" s="327" t="e">
        <f t="shared" ref="L252:L259" si="18">J252*K252</f>
        <v>#N/A</v>
      </c>
      <c r="M252" s="325"/>
    </row>
    <row r="253" spans="1:13" ht="13">
      <c r="A253" s="18" t="s">
        <v>752</v>
      </c>
      <c r="B253" s="316" t="e">
        <f>VLOOKUP($A253,Master!$B$50:$N$232,2,FALSE)</f>
        <v>#N/A</v>
      </c>
      <c r="C253" s="316" t="e">
        <f>VLOOKUP($A253,Master!$B$50:$N$232,8,FALSE)</f>
        <v>#N/A</v>
      </c>
      <c r="D253" s="316" t="e">
        <f>VLOOKUP($A253,Master!$B$50:$N$232,9,FALSE)</f>
        <v>#N/A</v>
      </c>
      <c r="E253" s="317" t="e">
        <f>VLOOKUP($A253,Master!$B$50:$N$232,11,FALSE)</f>
        <v>#N/A</v>
      </c>
      <c r="F253" s="318">
        <v>1</v>
      </c>
      <c r="G253" s="319" t="s">
        <v>62</v>
      </c>
      <c r="H253" s="320">
        <v>38000</v>
      </c>
      <c r="I253" s="321" t="b">
        <v>1</v>
      </c>
      <c r="J253" s="322">
        <v>1</v>
      </c>
      <c r="K253" s="326" t="e">
        <f>VLOOKUP($A253,Master!$B$50:$N$232,6,FALSE)</f>
        <v>#N/A</v>
      </c>
      <c r="L253" s="327" t="e">
        <f t="shared" si="18"/>
        <v>#N/A</v>
      </c>
      <c r="M253" s="325"/>
    </row>
    <row r="254" spans="1:13" ht="13">
      <c r="A254" s="18" t="s">
        <v>767</v>
      </c>
      <c r="B254" s="316" t="e">
        <f>VLOOKUP($A254,Master!$B$50:$N$232,2,FALSE)</f>
        <v>#N/A</v>
      </c>
      <c r="C254" s="316" t="e">
        <f>VLOOKUP($A254,Master!$B$50:$N$232,8,FALSE)</f>
        <v>#N/A</v>
      </c>
      <c r="D254" s="316" t="e">
        <f>VLOOKUP($A254,Master!$B$50:$N$232,9,FALSE)</f>
        <v>#N/A</v>
      </c>
      <c r="E254" s="317" t="e">
        <f>VLOOKUP($A254,Master!$B$50:$N$232,11,FALSE)</f>
        <v>#N/A</v>
      </c>
      <c r="F254" s="318">
        <v>2</v>
      </c>
      <c r="G254" s="319" t="s">
        <v>62</v>
      </c>
      <c r="H254" s="320">
        <v>39000</v>
      </c>
      <c r="I254" s="321" t="b">
        <v>1</v>
      </c>
      <c r="J254" s="322">
        <v>2</v>
      </c>
      <c r="K254" s="326" t="e">
        <f>VLOOKUP($A254,Master!$B$50:$N$232,6,FALSE)</f>
        <v>#N/A</v>
      </c>
      <c r="L254" s="327" t="e">
        <f t="shared" si="18"/>
        <v>#N/A</v>
      </c>
      <c r="M254" s="325"/>
    </row>
    <row r="255" spans="1:13" ht="13">
      <c r="A255" s="18" t="s">
        <v>773</v>
      </c>
      <c r="B255" s="316" t="e">
        <f>VLOOKUP($A255,Master!$B$50:$N$232,2,FALSE)</f>
        <v>#N/A</v>
      </c>
      <c r="C255" s="316" t="e">
        <f>VLOOKUP($A255,Master!$B$50:$N$232,8,FALSE)</f>
        <v>#N/A</v>
      </c>
      <c r="D255" s="316" t="e">
        <f>VLOOKUP($A255,Master!$B$50:$N$232,9,FALSE)</f>
        <v>#N/A</v>
      </c>
      <c r="E255" s="317" t="e">
        <f>VLOOKUP($A255,Master!$B$50:$N$232,11,FALSE)</f>
        <v>#N/A</v>
      </c>
      <c r="F255" s="318">
        <v>2</v>
      </c>
      <c r="G255" s="319" t="s">
        <v>62</v>
      </c>
      <c r="H255" s="320">
        <v>28000</v>
      </c>
      <c r="I255" s="321" t="b">
        <v>1</v>
      </c>
      <c r="J255" s="322">
        <v>2</v>
      </c>
      <c r="K255" s="326" t="e">
        <f>VLOOKUP($A255,Master!$B$50:$N$232,6,FALSE)</f>
        <v>#N/A</v>
      </c>
      <c r="L255" s="327" t="e">
        <f t="shared" si="18"/>
        <v>#N/A</v>
      </c>
      <c r="M255" s="325"/>
    </row>
    <row r="256" spans="1:13" ht="13">
      <c r="A256" s="18" t="s">
        <v>787</v>
      </c>
      <c r="B256" s="316" t="e">
        <f>VLOOKUP($A256,Master!$B$50:$N$232,2,FALSE)</f>
        <v>#N/A</v>
      </c>
      <c r="C256" s="316" t="e">
        <f>VLOOKUP($A256,Master!$B$50:$N$232,8,FALSE)</f>
        <v>#N/A</v>
      </c>
      <c r="D256" s="316" t="e">
        <f>VLOOKUP($A256,Master!$B$50:$N$232,9,FALSE)</f>
        <v>#N/A</v>
      </c>
      <c r="E256" s="317" t="e">
        <f>VLOOKUP($A256,Master!$B$50:$N$232,11,FALSE)</f>
        <v>#N/A</v>
      </c>
      <c r="F256" s="318">
        <v>2</v>
      </c>
      <c r="G256" s="319" t="s">
        <v>97</v>
      </c>
      <c r="H256" s="320">
        <v>40500</v>
      </c>
      <c r="I256" s="321" t="b">
        <v>1</v>
      </c>
      <c r="J256" s="322">
        <v>2</v>
      </c>
      <c r="K256" s="326" t="e">
        <f>VLOOKUP($A256,Master!$B$50:$N$232,6,FALSE)</f>
        <v>#N/A</v>
      </c>
      <c r="L256" s="327" t="e">
        <f t="shared" si="18"/>
        <v>#N/A</v>
      </c>
      <c r="M256" s="325"/>
    </row>
    <row r="257" spans="1:13" ht="13">
      <c r="A257" s="18" t="s">
        <v>892</v>
      </c>
      <c r="B257" s="316" t="e">
        <f>VLOOKUP($A257,Master!$B$50:$N$232,2,FALSE)</f>
        <v>#N/A</v>
      </c>
      <c r="C257" s="316" t="e">
        <f>VLOOKUP($A257,Master!$B$50:$N$232,8,FALSE)</f>
        <v>#N/A</v>
      </c>
      <c r="D257" s="316" t="e">
        <f>VLOOKUP($A257,Master!$B$50:$N$232,9,FALSE)</f>
        <v>#N/A</v>
      </c>
      <c r="E257" s="317" t="e">
        <f>VLOOKUP($A257,Master!$B$50:$N$232,11,FALSE)</f>
        <v>#N/A</v>
      </c>
      <c r="F257" s="318">
        <v>2</v>
      </c>
      <c r="G257" s="319" t="s">
        <v>36</v>
      </c>
      <c r="H257" s="320">
        <v>215000</v>
      </c>
      <c r="I257" s="321" t="b">
        <v>1</v>
      </c>
      <c r="J257" s="322">
        <v>2</v>
      </c>
      <c r="K257" s="326" t="e">
        <f>VLOOKUP($A257,Master!$B$50:$N$232,6,FALSE)</f>
        <v>#N/A</v>
      </c>
      <c r="L257" s="327" t="e">
        <f t="shared" si="18"/>
        <v>#N/A</v>
      </c>
      <c r="M257" s="325"/>
    </row>
    <row r="258" spans="1:13" ht="13">
      <c r="A258" s="18" t="s">
        <v>934</v>
      </c>
      <c r="B258" s="316" t="e">
        <f>VLOOKUP($A258,Master!$B$50:$N$232,2,FALSE)</f>
        <v>#N/A</v>
      </c>
      <c r="C258" s="316" t="e">
        <f>VLOOKUP($A258,Master!$B$50:$N$232,8,FALSE)</f>
        <v>#N/A</v>
      </c>
      <c r="D258" s="316" t="e">
        <f>VLOOKUP($A258,Master!$B$50:$N$232,9,FALSE)</f>
        <v>#N/A</v>
      </c>
      <c r="E258" s="317" t="e">
        <f>VLOOKUP($A258,Master!$B$50:$N$232,11,FALSE)</f>
        <v>#N/A</v>
      </c>
      <c r="F258" s="318">
        <v>4</v>
      </c>
      <c r="G258" s="319" t="s">
        <v>62</v>
      </c>
      <c r="H258" s="320">
        <v>31600</v>
      </c>
      <c r="I258" s="321" t="b">
        <v>1</v>
      </c>
      <c r="J258" s="322">
        <v>4</v>
      </c>
      <c r="K258" s="326" t="e">
        <f>VLOOKUP($A258,Master!$B$50:$N$232,6,FALSE)</f>
        <v>#N/A</v>
      </c>
      <c r="L258" s="327" t="e">
        <f t="shared" si="18"/>
        <v>#N/A</v>
      </c>
      <c r="M258" s="325"/>
    </row>
    <row r="259" spans="1:13" ht="13">
      <c r="A259" s="18" t="s">
        <v>982</v>
      </c>
      <c r="B259" s="316" t="str">
        <f>VLOOKUP($A259,Master!$B$50:$N$232,2,FALSE)</f>
        <v>B130</v>
      </c>
      <c r="C259" s="316">
        <f>VLOOKUP($A259,Master!$B$50:$N$232,8,FALSE)</f>
        <v>12</v>
      </c>
      <c r="D259" s="316" t="str">
        <f>VLOOKUP($A259,Master!$B$50:$N$232,9,FALSE)</f>
        <v>pcs</v>
      </c>
      <c r="E259" s="317" t="str">
        <f>VLOOKUP($A259,Master!$B$50:$N$232,11,FALSE)</f>
        <v>PD Aroma Jaya</v>
      </c>
      <c r="F259" s="318">
        <v>3</v>
      </c>
      <c r="G259" s="319" t="s">
        <v>62</v>
      </c>
      <c r="H259" s="320">
        <v>66000</v>
      </c>
      <c r="I259" s="321" t="b">
        <v>1</v>
      </c>
      <c r="J259" s="322">
        <v>3</v>
      </c>
      <c r="K259" s="326">
        <f>VLOOKUP($A259,Master!$B$50:$N$232,6,FALSE)</f>
        <v>18000</v>
      </c>
      <c r="L259" s="327">
        <f t="shared" si="18"/>
        <v>54000</v>
      </c>
      <c r="M259" s="325"/>
    </row>
    <row r="260" spans="1:13" ht="13">
      <c r="A260" s="18" t="s">
        <v>989</v>
      </c>
      <c r="B260" s="316" t="str">
        <f>VLOOKUP($A260,Master!$B$50:$N$232,2,FALSE)</f>
        <v>B133</v>
      </c>
      <c r="C260" s="316">
        <f>VLOOKUP($A260,Master!$B$50:$N$232,8,FALSE)</f>
        <v>5000</v>
      </c>
      <c r="D260" s="316" t="str">
        <f>VLOOKUP($A260,Master!$B$50:$N$232,9,FALSE)</f>
        <v>ml</v>
      </c>
      <c r="E260" s="317" t="str">
        <f>VLOOKUP($A260,Master!$B$50:$N$232,11,FALSE)</f>
        <v>Kurnia Mas</v>
      </c>
      <c r="F260" s="318">
        <v>3</v>
      </c>
      <c r="G260" s="319" t="s">
        <v>62</v>
      </c>
      <c r="H260" s="320">
        <v>58500</v>
      </c>
      <c r="I260" s="321" t="b">
        <v>1</v>
      </c>
      <c r="J260" s="322">
        <v>3</v>
      </c>
      <c r="K260" s="326">
        <f>VLOOKUP($A260,Master!$B$50:$N$232,6,FALSE)</f>
        <v>54500</v>
      </c>
      <c r="L260" s="324">
        <v>57000</v>
      </c>
      <c r="M260" s="325"/>
    </row>
    <row r="261" spans="1:13" ht="13">
      <c r="A261" s="18" t="s">
        <v>1106</v>
      </c>
      <c r="B261" s="316" t="e">
        <f>VLOOKUP($A261,Master!$B$50:$N$232,2,FALSE)</f>
        <v>#N/A</v>
      </c>
      <c r="C261" s="316" t="e">
        <f>VLOOKUP($A261,Master!$B$50:$N$232,8,FALSE)</f>
        <v>#N/A</v>
      </c>
      <c r="D261" s="316" t="e">
        <f>VLOOKUP($A261,Master!$B$50:$N$232,9,FALSE)</f>
        <v>#N/A</v>
      </c>
      <c r="E261" s="317" t="e">
        <f>VLOOKUP($A261,Master!$B$50:$N$232,11,FALSE)</f>
        <v>#N/A</v>
      </c>
      <c r="F261" s="318">
        <v>1</v>
      </c>
      <c r="G261" s="319" t="s">
        <v>62</v>
      </c>
      <c r="H261" s="320">
        <v>65000</v>
      </c>
      <c r="I261" s="321" t="b">
        <v>1</v>
      </c>
      <c r="J261" s="322">
        <v>1</v>
      </c>
      <c r="K261" s="323" t="e">
        <f>VLOOKUP($A261,Master!$B$50:$N$232,6,FALSE)</f>
        <v>#N/A</v>
      </c>
      <c r="L261" s="324" t="e">
        <f t="shared" ref="L261:L262" si="19">J261*K261</f>
        <v>#N/A</v>
      </c>
      <c r="M261" s="325"/>
    </row>
    <row r="262" spans="1:13" ht="13">
      <c r="A262" s="344" t="s">
        <v>961</v>
      </c>
      <c r="B262" s="316" t="e">
        <f>VLOOKUP($A262,Master!$B$50:$N$232,2,FALSE)</f>
        <v>#N/A</v>
      </c>
      <c r="C262" s="316" t="e">
        <f>VLOOKUP($A262,Master!$B$50:$N$232,8,FALSE)</f>
        <v>#N/A</v>
      </c>
      <c r="D262" s="316" t="e">
        <f>VLOOKUP($A262,Master!$B$50:$N$232,9,FALSE)</f>
        <v>#N/A</v>
      </c>
      <c r="E262" s="317" t="e">
        <f>VLOOKUP($A262,Master!$B$50:$N$232,11,FALSE)</f>
        <v>#N/A</v>
      </c>
      <c r="F262" s="318">
        <v>1</v>
      </c>
      <c r="G262" s="319" t="s">
        <v>97</v>
      </c>
      <c r="H262" s="320">
        <v>94350</v>
      </c>
      <c r="I262" s="321" t="b">
        <v>0</v>
      </c>
      <c r="J262" s="322"/>
      <c r="K262" s="326" t="e">
        <f>VLOOKUP($A262,Master!$B$50:$N$232,6,FALSE)</f>
        <v>#N/A</v>
      </c>
      <c r="L262" s="327" t="e">
        <f t="shared" si="19"/>
        <v>#N/A</v>
      </c>
      <c r="M262" s="325" t="s">
        <v>1510</v>
      </c>
    </row>
    <row r="263" spans="1:13" ht="13">
      <c r="A263" s="18" t="s">
        <v>639</v>
      </c>
      <c r="B263" s="316" t="str">
        <f>VLOOKUP($A263,Master!$B$50:$N$232,2,FALSE)</f>
        <v>B032</v>
      </c>
      <c r="C263" s="316">
        <f>VLOOKUP($A263,Master!$B$50:$N$232,8,FALSE)</f>
        <v>1000</v>
      </c>
      <c r="D263" s="316" t="str">
        <f>VLOOKUP($A263,Master!$B$50:$N$232,9,FALSE)</f>
        <v>gr</v>
      </c>
      <c r="E263" s="317" t="str">
        <f>VLOOKUP($A263,Master!$B$50:$N$232,11,FALSE)</f>
        <v>BISS (Topside)</v>
      </c>
      <c r="F263" s="318">
        <v>2</v>
      </c>
      <c r="G263" s="319" t="s">
        <v>36</v>
      </c>
      <c r="H263" s="320">
        <v>290000</v>
      </c>
      <c r="I263" s="321" t="b">
        <v>1</v>
      </c>
      <c r="J263" s="322">
        <v>1</v>
      </c>
      <c r="K263" s="326">
        <f>VLOOKUP($A263,Master!$B$50:$N$232,6,FALSE)</f>
        <v>145000</v>
      </c>
      <c r="L263" s="324">
        <v>130000</v>
      </c>
      <c r="M263" s="325" t="s">
        <v>1584</v>
      </c>
    </row>
    <row r="264" spans="1:13" ht="13">
      <c r="A264" s="18" t="s">
        <v>910</v>
      </c>
      <c r="B264" s="316" t="str">
        <f>VLOOKUP($A264,Master!$B$50:$N$232,2,FALSE)</f>
        <v>B106</v>
      </c>
      <c r="C264" s="316">
        <f>VLOOKUP($A264,Master!$B$50:$N$232,8,FALSE)</f>
        <v>10</v>
      </c>
      <c r="D264" s="316" t="str">
        <f>VLOOKUP($A264,Master!$B$50:$N$232,9,FALSE)</f>
        <v>pcs</v>
      </c>
      <c r="E264" s="317" t="str">
        <f>VLOOKUP($A264,Master!$B$50:$N$232,11,FALSE)</f>
        <v>Setiabudi Market</v>
      </c>
      <c r="F264" s="318">
        <v>7</v>
      </c>
      <c r="G264" s="319" t="s">
        <v>62</v>
      </c>
      <c r="H264" s="320">
        <v>91000</v>
      </c>
      <c r="I264" s="321" t="b">
        <v>1</v>
      </c>
      <c r="J264" s="322">
        <v>5</v>
      </c>
      <c r="K264" s="326">
        <f>VLOOKUP($A264,Master!$B$50:$N$232,6,FALSE)</f>
        <v>16900</v>
      </c>
      <c r="L264" s="324">
        <v>69795</v>
      </c>
      <c r="M264" s="325" t="s">
        <v>1583</v>
      </c>
    </row>
    <row r="265" spans="1:13" ht="13">
      <c r="A265" s="18" t="s">
        <v>524</v>
      </c>
      <c r="B265" s="316" t="e">
        <f>VLOOKUP($A265,Master!$B$50:$N$232,2,FALSE)</f>
        <v>#N/A</v>
      </c>
      <c r="C265" s="316" t="e">
        <f>VLOOKUP($A265,Master!$B$50:$N$232,8,FALSE)</f>
        <v>#N/A</v>
      </c>
      <c r="D265" s="316" t="e">
        <f>VLOOKUP($A265,Master!$B$50:$N$232,9,FALSE)</f>
        <v>#N/A</v>
      </c>
      <c r="E265" s="317" t="e">
        <f>VLOOKUP($A265,Master!$B$50:$N$232,11,FALSE)</f>
        <v>#N/A</v>
      </c>
      <c r="F265" s="318">
        <v>9</v>
      </c>
      <c r="G265" s="319" t="s">
        <v>1585</v>
      </c>
      <c r="H265" s="320">
        <v>113400</v>
      </c>
      <c r="I265" s="321" t="b">
        <v>1</v>
      </c>
      <c r="J265" s="322">
        <v>9</v>
      </c>
      <c r="K265" s="326" t="e">
        <f>VLOOKUP($A265,Master!$B$50:$N$232,6,FALSE)</f>
        <v>#N/A</v>
      </c>
      <c r="L265" s="327" t="e">
        <f t="shared" ref="L265:L268" si="20">J265*K265</f>
        <v>#N/A</v>
      </c>
      <c r="M265" s="325"/>
    </row>
    <row r="266" spans="1:13" ht="13">
      <c r="A266" s="18" t="s">
        <v>913</v>
      </c>
      <c r="B266" s="316"/>
      <c r="C266" s="316"/>
      <c r="D266" s="316"/>
      <c r="E266" s="317"/>
      <c r="F266" s="318">
        <v>2</v>
      </c>
      <c r="G266" s="319" t="s">
        <v>62</v>
      </c>
      <c r="H266" s="320"/>
      <c r="I266" s="321" t="b">
        <v>1</v>
      </c>
      <c r="J266" s="322">
        <v>2</v>
      </c>
      <c r="K266" s="323">
        <v>7376</v>
      </c>
      <c r="L266" s="324">
        <f t="shared" si="20"/>
        <v>14752</v>
      </c>
      <c r="M266" s="325"/>
    </row>
    <row r="267" spans="1:13" ht="13">
      <c r="A267" s="18" t="s">
        <v>1558</v>
      </c>
      <c r="B267" s="316"/>
      <c r="C267" s="316"/>
      <c r="D267" s="316"/>
      <c r="E267" s="317"/>
      <c r="F267" s="318">
        <v>1</v>
      </c>
      <c r="G267" s="319" t="s">
        <v>62</v>
      </c>
      <c r="H267" s="320"/>
      <c r="I267" s="321" t="b">
        <v>1</v>
      </c>
      <c r="J267" s="322">
        <v>2</v>
      </c>
      <c r="K267" s="323">
        <v>5940</v>
      </c>
      <c r="L267" s="324">
        <f t="shared" si="20"/>
        <v>11880</v>
      </c>
      <c r="M267" s="325"/>
    </row>
    <row r="268" spans="1:13" ht="13">
      <c r="A268" s="18" t="s">
        <v>760</v>
      </c>
      <c r="B268" s="316" t="str">
        <f>VLOOKUP($A268,Master!$B$50:$N$232,2,FALSE)</f>
        <v>B062</v>
      </c>
      <c r="C268" s="316">
        <f>VLOOKUP($A268,Master!$B$50:$N$232,8,FALSE)</f>
        <v>25000</v>
      </c>
      <c r="D268" s="316" t="str">
        <f>VLOOKUP($A268,Master!$B$50:$N$232,9,FALSE)</f>
        <v>gr</v>
      </c>
      <c r="E268" s="317" t="str">
        <f>VLOOKUP($A268,Master!$B$50:$N$232,11,FALSE)</f>
        <v>Feri Supriadi (Telur , Beras , Minyak )</v>
      </c>
      <c r="F268" s="318">
        <v>10</v>
      </c>
      <c r="G268" s="354" t="s">
        <v>36</v>
      </c>
      <c r="H268" s="320">
        <v>1160000</v>
      </c>
      <c r="I268" s="321" t="b">
        <v>1</v>
      </c>
      <c r="J268" s="322">
        <v>10</v>
      </c>
      <c r="K268" s="326">
        <v>11600</v>
      </c>
      <c r="L268" s="327">
        <f t="shared" si="20"/>
        <v>116000</v>
      </c>
      <c r="M268" s="325"/>
    </row>
    <row r="270" spans="1:13" ht="13">
      <c r="F270" s="427">
        <v>44731</v>
      </c>
      <c r="G270" s="428"/>
      <c r="H270" s="424"/>
      <c r="J270" s="429">
        <f>F270+1</f>
        <v>44732</v>
      </c>
      <c r="K270" s="428"/>
      <c r="L270" s="424"/>
    </row>
    <row r="271" spans="1:13" ht="13">
      <c r="F271" s="425" t="s">
        <v>1490</v>
      </c>
      <c r="G271" s="426"/>
      <c r="H271" s="304">
        <f>SUM(H273:H391)</f>
        <v>51235406</v>
      </c>
      <c r="J271" s="425" t="s">
        <v>1491</v>
      </c>
      <c r="K271" s="426"/>
      <c r="L271" s="304" t="e">
        <f>SUM(L273:L391)</f>
        <v>#N/A</v>
      </c>
    </row>
    <row r="272" spans="1:13" ht="13">
      <c r="A272" s="2" t="s">
        <v>4</v>
      </c>
      <c r="B272" s="305" t="s">
        <v>5</v>
      </c>
      <c r="C272" s="305" t="s">
        <v>1492</v>
      </c>
      <c r="D272" s="305" t="s">
        <v>12</v>
      </c>
      <c r="E272" s="306" t="s">
        <v>1493</v>
      </c>
      <c r="F272" s="307" t="s">
        <v>1494</v>
      </c>
      <c r="G272" s="308" t="s">
        <v>10</v>
      </c>
      <c r="H272" s="309" t="s">
        <v>1495</v>
      </c>
      <c r="I272" s="310" t="s">
        <v>1289</v>
      </c>
      <c r="J272" s="311" t="s">
        <v>1496</v>
      </c>
      <c r="K272" s="312" t="s">
        <v>1497</v>
      </c>
      <c r="L272" s="313" t="s">
        <v>1498</v>
      </c>
      <c r="M272" s="314" t="s">
        <v>16</v>
      </c>
    </row>
    <row r="273" spans="1:13" ht="13">
      <c r="A273" s="18" t="s">
        <v>651</v>
      </c>
      <c r="B273" s="316" t="str">
        <f>VLOOKUP($A273,Master!$B$50:$N$232,2,FALSE)</f>
        <v>B035</v>
      </c>
      <c r="C273" s="316">
        <f>VLOOKUP($A273,Master!$B$50:$N$232,8,FALSE)</f>
        <v>1000</v>
      </c>
      <c r="D273" s="316" t="str">
        <f>VLOOKUP($A273,Master!$B$50:$N$232,9,FALSE)</f>
        <v>gr</v>
      </c>
      <c r="E273" s="317" t="str">
        <f>VLOOKUP($A273,Master!$B$50:$N$232,11,FALSE)</f>
        <v>Eden Farm</v>
      </c>
      <c r="F273" s="318">
        <v>1.5</v>
      </c>
      <c r="G273" s="319" t="s">
        <v>36</v>
      </c>
      <c r="H273" s="320">
        <v>19400</v>
      </c>
      <c r="I273" s="321" t="b">
        <v>1</v>
      </c>
      <c r="J273" s="322">
        <v>1.5</v>
      </c>
      <c r="K273" s="323">
        <v>6000</v>
      </c>
      <c r="L273" s="324">
        <v>18000</v>
      </c>
      <c r="M273" s="325" t="s">
        <v>287</v>
      </c>
    </row>
    <row r="274" spans="1:13" ht="13">
      <c r="A274" s="18" t="s">
        <v>744</v>
      </c>
      <c r="B274" s="316" t="str">
        <f>VLOOKUP($A274,Master!$B$50:$N$232,2,FALSE)</f>
        <v>B058</v>
      </c>
      <c r="C274" s="316">
        <f>VLOOKUP($A274,Master!$B$50:$N$232,8,FALSE)</f>
        <v>1000</v>
      </c>
      <c r="D274" s="316" t="str">
        <f>VLOOKUP($A274,Master!$B$50:$N$232,9,FALSE)</f>
        <v>gr</v>
      </c>
      <c r="E274" s="317" t="str">
        <f>VLOOKUP($A274,Master!$B$50:$N$232,11,FALSE)</f>
        <v>Eden Farm</v>
      </c>
      <c r="F274" s="318">
        <v>1</v>
      </c>
      <c r="G274" s="319" t="s">
        <v>36</v>
      </c>
      <c r="H274" s="320">
        <v>44900</v>
      </c>
      <c r="I274" s="321" t="b">
        <v>1</v>
      </c>
      <c r="J274" s="322">
        <v>1</v>
      </c>
      <c r="K274" s="326">
        <f>VLOOKUP($A274,Master!$B$50:$N$232,6,FALSE)</f>
        <v>58600</v>
      </c>
      <c r="L274" s="324">
        <v>36000</v>
      </c>
      <c r="M274" s="325" t="s">
        <v>287</v>
      </c>
    </row>
    <row r="275" spans="1:13" ht="13">
      <c r="A275" s="18" t="s">
        <v>919</v>
      </c>
      <c r="B275" s="316" t="str">
        <f>VLOOKUP($A275,Master!$B$50:$N$232,2,FALSE)</f>
        <v>B109</v>
      </c>
      <c r="C275" s="316">
        <f>VLOOKUP($A275,Master!$B$50:$N$232,8,FALSE)</f>
        <v>1000</v>
      </c>
      <c r="D275" s="316" t="str">
        <f>VLOOKUP($A275,Master!$B$50:$N$232,9,FALSE)</f>
        <v>gr</v>
      </c>
      <c r="E275" s="317" t="str">
        <f>VLOOKUP($A275,Master!$B$50:$N$232,11,FALSE)</f>
        <v>Eden Farm</v>
      </c>
      <c r="F275" s="318">
        <v>1</v>
      </c>
      <c r="G275" s="319" t="s">
        <v>62</v>
      </c>
      <c r="H275" s="320">
        <v>20900</v>
      </c>
      <c r="I275" s="321" t="b">
        <v>1</v>
      </c>
      <c r="J275" s="322">
        <v>1</v>
      </c>
      <c r="K275" s="326">
        <f>VLOOKUP($A275,Master!$B$50:$N$232,6,FALSE)</f>
        <v>50000</v>
      </c>
      <c r="L275" s="324">
        <v>40000</v>
      </c>
      <c r="M275" s="325" t="s">
        <v>287</v>
      </c>
    </row>
    <row r="276" spans="1:13" ht="13">
      <c r="A276" s="18" t="s">
        <v>1020</v>
      </c>
      <c r="B276" s="316" t="str">
        <f>VLOOKUP($A276,Master!$B$50:$N$232,2,FALSE)</f>
        <v>B144</v>
      </c>
      <c r="C276" s="316">
        <f>VLOOKUP($A276,Master!$B$50:$N$232,8,FALSE)</f>
        <v>1000</v>
      </c>
      <c r="D276" s="316" t="str">
        <f>VLOOKUP($A276,Master!$B$50:$N$232,9,FALSE)</f>
        <v>gr</v>
      </c>
      <c r="E276" s="317" t="str">
        <f>VLOOKUP($A276,Master!$B$50:$N$232,11,FALSE)</f>
        <v>Eden Farm</v>
      </c>
      <c r="F276" s="318">
        <v>0.5</v>
      </c>
      <c r="G276" s="319" t="s">
        <v>36</v>
      </c>
      <c r="H276" s="320">
        <v>21800</v>
      </c>
      <c r="I276" s="321" t="b">
        <v>1</v>
      </c>
      <c r="J276" s="322">
        <v>0.5</v>
      </c>
      <c r="K276" s="326">
        <f>VLOOKUP($A276,Master!$B$50:$N$232,6,FALSE)</f>
        <v>24000</v>
      </c>
      <c r="L276" s="324">
        <v>10000</v>
      </c>
      <c r="M276" s="325" t="s">
        <v>287</v>
      </c>
    </row>
    <row r="277" spans="1:13" ht="13">
      <c r="A277" s="18" t="s">
        <v>1050</v>
      </c>
      <c r="B277" s="316" t="e">
        <f>VLOOKUP($A277,Master!$B$50:$N$232,2,FALSE)</f>
        <v>#N/A</v>
      </c>
      <c r="C277" s="316" t="e">
        <f>VLOOKUP($A277,Master!$B$50:$N$232,8,FALSE)</f>
        <v>#N/A</v>
      </c>
      <c r="D277" s="316" t="e">
        <f>VLOOKUP($A277,Master!$B$50:$N$232,9,FALSE)</f>
        <v>#N/A</v>
      </c>
      <c r="E277" s="317" t="e">
        <f>VLOOKUP($A277,Master!$B$50:$N$232,11,FALSE)</f>
        <v>#N/A</v>
      </c>
      <c r="F277" s="318">
        <v>0.5</v>
      </c>
      <c r="G277" s="319" t="s">
        <v>36</v>
      </c>
      <c r="H277" s="320">
        <v>8700</v>
      </c>
      <c r="I277" s="321" t="b">
        <v>1</v>
      </c>
      <c r="J277" s="322">
        <v>0.5</v>
      </c>
      <c r="K277" s="323" t="e">
        <f>VLOOKUP($A277,Master!$B$50:$N$232,6,FALSE)</f>
        <v>#N/A</v>
      </c>
      <c r="L277" s="324">
        <v>7000</v>
      </c>
      <c r="M277" s="325" t="s">
        <v>287</v>
      </c>
    </row>
    <row r="278" spans="1:13" ht="13">
      <c r="A278" s="18" t="s">
        <v>874</v>
      </c>
      <c r="B278" s="316" t="str">
        <f>VLOOKUP($A278,Master!$B$50:$N$232,2,FALSE)</f>
        <v>B092</v>
      </c>
      <c r="C278" s="316">
        <f>VLOOKUP($A278,Master!$B$50:$N$232,8,FALSE)</f>
        <v>10</v>
      </c>
      <c r="D278" s="316" t="str">
        <f>VLOOKUP($A278,Master!$B$50:$N$232,9,FALSE)</f>
        <v>pcs</v>
      </c>
      <c r="E278" s="317" t="str">
        <f>VLOOKUP($A278,Master!$B$50:$N$232,11,FALSE)</f>
        <v>RSB, Dago</v>
      </c>
      <c r="F278" s="318">
        <v>10</v>
      </c>
      <c r="G278" s="319" t="s">
        <v>62</v>
      </c>
      <c r="H278" s="320">
        <v>160000</v>
      </c>
      <c r="I278" s="321" t="b">
        <v>1</v>
      </c>
      <c r="J278" s="322">
        <v>10</v>
      </c>
      <c r="K278" s="323">
        <v>17000</v>
      </c>
      <c r="L278" s="324">
        <v>170000</v>
      </c>
      <c r="M278" s="325"/>
    </row>
    <row r="280" spans="1:13" ht="13">
      <c r="F280" s="427">
        <v>44732</v>
      </c>
      <c r="G280" s="428"/>
      <c r="H280" s="424"/>
      <c r="J280" s="429">
        <f>F280+1</f>
        <v>44733</v>
      </c>
      <c r="K280" s="428"/>
      <c r="L280" s="424"/>
    </row>
    <row r="281" spans="1:13" ht="13">
      <c r="F281" s="425" t="s">
        <v>1490</v>
      </c>
      <c r="G281" s="426"/>
      <c r="H281" s="304">
        <f>SUM(H283:H401)</f>
        <v>26668928</v>
      </c>
      <c r="J281" s="425" t="s">
        <v>1491</v>
      </c>
      <c r="K281" s="426"/>
      <c r="L281" s="304" t="e">
        <f>SUM(L283:L401)</f>
        <v>#N/A</v>
      </c>
    </row>
    <row r="282" spans="1:13" ht="13">
      <c r="A282" s="2" t="s">
        <v>4</v>
      </c>
      <c r="B282" s="305" t="s">
        <v>5</v>
      </c>
      <c r="C282" s="305" t="s">
        <v>1492</v>
      </c>
      <c r="D282" s="305" t="s">
        <v>12</v>
      </c>
      <c r="E282" s="306" t="s">
        <v>1493</v>
      </c>
      <c r="F282" s="307" t="s">
        <v>1494</v>
      </c>
      <c r="G282" s="308" t="s">
        <v>10</v>
      </c>
      <c r="H282" s="309" t="s">
        <v>1495</v>
      </c>
      <c r="I282" s="310" t="s">
        <v>1289</v>
      </c>
      <c r="J282" s="311" t="s">
        <v>1496</v>
      </c>
      <c r="K282" s="312" t="s">
        <v>1497</v>
      </c>
      <c r="L282" s="313" t="s">
        <v>1498</v>
      </c>
      <c r="M282" s="314" t="s">
        <v>16</v>
      </c>
    </row>
    <row r="283" spans="1:13" ht="13">
      <c r="A283" s="4" t="s">
        <v>544</v>
      </c>
      <c r="B283" s="316" t="e">
        <f>VLOOKUP($A283,Master!$B$50:$N$232,2,FALSE)</f>
        <v>#N/A</v>
      </c>
      <c r="C283" s="316" t="e">
        <f>VLOOKUP($A283,Master!$B$50:$N$232,8,FALSE)</f>
        <v>#N/A</v>
      </c>
      <c r="D283" s="316" t="e">
        <f>VLOOKUP($A283,Master!$B$50:$N$232,9,FALSE)</f>
        <v>#N/A</v>
      </c>
      <c r="E283" s="317" t="e">
        <f>VLOOKUP($A283,Master!$B$50:$N$232,11,FALSE)</f>
        <v>#N/A</v>
      </c>
      <c r="F283" s="318">
        <v>2</v>
      </c>
      <c r="G283" s="319" t="s">
        <v>62</v>
      </c>
      <c r="H283" s="320">
        <v>30400</v>
      </c>
      <c r="I283" s="321" t="b">
        <v>1</v>
      </c>
      <c r="J283" s="322">
        <v>3</v>
      </c>
      <c r="K283" s="326" t="e">
        <f>VLOOKUP($A283,Master!$B$50:$N$232,6,FALSE)</f>
        <v>#N/A</v>
      </c>
      <c r="L283" s="324">
        <v>48743</v>
      </c>
      <c r="M283" s="325"/>
    </row>
    <row r="284" spans="1:13" ht="13">
      <c r="A284" s="18" t="s">
        <v>586</v>
      </c>
      <c r="B284" s="316" t="str">
        <f>VLOOKUP($A284,Master!$B$50:$N$232,2,FALSE)</f>
        <v>B018</v>
      </c>
      <c r="C284" s="316">
        <f>VLOOKUP($A284,Master!$B$50:$N$232,8,FALSE)</f>
        <v>20</v>
      </c>
      <c r="D284" s="316" t="str">
        <f>VLOOKUP($A284,Master!$B$50:$N$232,9,FALSE)</f>
        <v>pcs</v>
      </c>
      <c r="E284" s="317" t="str">
        <f>VLOOKUP($A284,Master!$B$50:$N$232,11,FALSE)</f>
        <v>Kurnia Mas</v>
      </c>
      <c r="F284" s="318">
        <v>2</v>
      </c>
      <c r="G284" s="319" t="s">
        <v>62</v>
      </c>
      <c r="H284" s="320">
        <v>14600</v>
      </c>
      <c r="I284" s="321" t="b">
        <v>1</v>
      </c>
      <c r="J284" s="322">
        <v>2</v>
      </c>
      <c r="K284" s="323">
        <v>7550</v>
      </c>
      <c r="L284" s="324">
        <v>14949</v>
      </c>
      <c r="M284" s="325"/>
    </row>
    <row r="285" spans="1:13" ht="13">
      <c r="A285" s="18" t="s">
        <v>627</v>
      </c>
      <c r="B285" s="316" t="str">
        <f>VLOOKUP($A285,Master!$B$50:$N$232,2,FALSE)</f>
        <v>B029</v>
      </c>
      <c r="C285" s="316">
        <f>VLOOKUP($A285,Master!$B$50:$N$232,8,FALSE)</f>
        <v>1000</v>
      </c>
      <c r="D285" s="316" t="str">
        <f>VLOOKUP($A285,Master!$B$50:$N$232,9,FALSE)</f>
        <v>gr</v>
      </c>
      <c r="E285" s="317" t="str">
        <f>VLOOKUP($A285,Master!$B$50:$N$232,11,FALSE)</f>
        <v>Borma</v>
      </c>
      <c r="F285" s="318">
        <v>1</v>
      </c>
      <c r="G285" s="319" t="s">
        <v>36</v>
      </c>
      <c r="H285" s="320">
        <v>31900</v>
      </c>
      <c r="I285" s="321" t="b">
        <v>1</v>
      </c>
      <c r="J285" s="322">
        <v>1.06</v>
      </c>
      <c r="K285" s="326">
        <f>VLOOKUP($A285,Master!$B$50:$N$232,6,FALSE)</f>
        <v>35550</v>
      </c>
      <c r="L285" s="324">
        <v>26710</v>
      </c>
      <c r="M285" s="325"/>
    </row>
    <row r="286" spans="1:13" ht="13">
      <c r="A286" s="18" t="s">
        <v>770</v>
      </c>
      <c r="B286" s="316" t="e">
        <f>VLOOKUP($A286,Master!$B$50:$N$232,2,FALSE)</f>
        <v>#N/A</v>
      </c>
      <c r="C286" s="316" t="e">
        <f>VLOOKUP($A286,Master!$B$50:$N$232,8,FALSE)</f>
        <v>#N/A</v>
      </c>
      <c r="D286" s="316" t="e">
        <f>VLOOKUP($A286,Master!$B$50:$N$232,9,FALSE)</f>
        <v>#N/A</v>
      </c>
      <c r="E286" s="317" t="e">
        <f>VLOOKUP($A286,Master!$B$50:$N$232,11,FALSE)</f>
        <v>#N/A</v>
      </c>
      <c r="F286" s="318">
        <v>2</v>
      </c>
      <c r="G286" s="319" t="s">
        <v>97</v>
      </c>
      <c r="H286" s="320">
        <v>50600</v>
      </c>
      <c r="I286" s="321" t="b">
        <v>1</v>
      </c>
      <c r="J286" s="322">
        <v>2</v>
      </c>
      <c r="K286" s="323">
        <v>26350</v>
      </c>
      <c r="L286" s="324">
        <v>52173</v>
      </c>
      <c r="M286" s="325"/>
    </row>
    <row r="287" spans="1:13" ht="13">
      <c r="A287" s="18" t="s">
        <v>937</v>
      </c>
      <c r="B287" s="316" t="str">
        <f>VLOOKUP($A287,Master!$B$50:$N$232,2,FALSE)</f>
        <v>B115</v>
      </c>
      <c r="C287" s="316">
        <f>VLOOKUP($A287,Master!$B$50:$N$232,8,FALSE)</f>
        <v>20</v>
      </c>
      <c r="D287" s="316" t="str">
        <f>VLOOKUP($A287,Master!$B$50:$N$232,9,FALSE)</f>
        <v>pcs</v>
      </c>
      <c r="E287" s="317" t="str">
        <f>VLOOKUP($A287,Master!$B$50:$N$232,11,FALSE)</f>
        <v>Borma</v>
      </c>
      <c r="F287" s="318">
        <v>1</v>
      </c>
      <c r="G287" s="319" t="s">
        <v>62</v>
      </c>
      <c r="H287" s="320">
        <v>7300</v>
      </c>
      <c r="I287" s="321" t="b">
        <v>1</v>
      </c>
      <c r="J287" s="322">
        <v>1</v>
      </c>
      <c r="K287" s="323">
        <v>7550</v>
      </c>
      <c r="L287" s="324">
        <v>7475</v>
      </c>
      <c r="M287" s="325"/>
    </row>
    <row r="288" spans="1:13" ht="13">
      <c r="A288" s="18" t="s">
        <v>987</v>
      </c>
      <c r="B288" s="316" t="str">
        <f>VLOOKUP($A288,Master!$B$50:$N$232,2,FALSE)</f>
        <v>B132</v>
      </c>
      <c r="C288" s="316">
        <f>VLOOKUP($A288,Master!$B$50:$N$232,8,FALSE)</f>
        <v>1700</v>
      </c>
      <c r="D288" s="316" t="str">
        <f>VLOOKUP($A288,Master!$B$50:$N$232,9,FALSE)</f>
        <v>gr</v>
      </c>
      <c r="E288" s="317" t="str">
        <f>VLOOKUP($A288,Master!$B$50:$N$232,11,FALSE)</f>
        <v>Borma</v>
      </c>
      <c r="F288" s="318">
        <v>1</v>
      </c>
      <c r="G288" s="319" t="s">
        <v>62</v>
      </c>
      <c r="H288" s="320">
        <v>17000</v>
      </c>
      <c r="I288" s="321" t="b">
        <v>1</v>
      </c>
      <c r="J288" s="322">
        <v>1</v>
      </c>
      <c r="K288" s="323">
        <v>17900</v>
      </c>
      <c r="L288" s="324">
        <v>16900</v>
      </c>
      <c r="M288" s="325"/>
    </row>
    <row r="289" spans="1:13" ht="13">
      <c r="A289" s="18" t="s">
        <v>1037</v>
      </c>
      <c r="B289" s="316" t="e">
        <f>VLOOKUP($A289,Master!$B$50:$N$232,2,FALSE)</f>
        <v>#N/A</v>
      </c>
      <c r="C289" s="316" t="e">
        <f>VLOOKUP($A289,Master!$B$50:$N$232,8,FALSE)</f>
        <v>#N/A</v>
      </c>
      <c r="D289" s="316" t="e">
        <f>VLOOKUP($A289,Master!$B$50:$N$232,9,FALSE)</f>
        <v>#N/A</v>
      </c>
      <c r="E289" s="317" t="e">
        <f>VLOOKUP($A289,Master!$B$50:$N$232,11,FALSE)</f>
        <v>#N/A</v>
      </c>
      <c r="F289" s="318">
        <v>1</v>
      </c>
      <c r="G289" s="319" t="s">
        <v>62</v>
      </c>
      <c r="H289" s="320">
        <v>22300</v>
      </c>
      <c r="I289" s="321" t="b">
        <v>1</v>
      </c>
      <c r="J289" s="322">
        <v>1</v>
      </c>
      <c r="K289" s="323" t="e">
        <f>VLOOKUP($A289,Master!$B$50:$N$232,6,FALSE)</f>
        <v>#N/A</v>
      </c>
      <c r="L289" s="324">
        <v>17919</v>
      </c>
      <c r="M289" s="325"/>
    </row>
    <row r="290" spans="1:13" ht="13">
      <c r="A290" s="18" t="s">
        <v>1094</v>
      </c>
      <c r="B290" s="316" t="e">
        <f>VLOOKUP($A290,Master!$B$50:$N$232,2,FALSE)</f>
        <v>#N/A</v>
      </c>
      <c r="C290" s="316" t="e">
        <f>VLOOKUP($A290,Master!$B$50:$N$232,8,FALSE)</f>
        <v>#N/A</v>
      </c>
      <c r="D290" s="316" t="e">
        <f>VLOOKUP($A290,Master!$B$50:$N$232,9,FALSE)</f>
        <v>#N/A</v>
      </c>
      <c r="E290" s="317" t="e">
        <f>VLOOKUP($A290,Master!$B$50:$N$232,11,FALSE)</f>
        <v>#N/A</v>
      </c>
      <c r="F290" s="318">
        <v>2</v>
      </c>
      <c r="G290" s="319" t="s">
        <v>62</v>
      </c>
      <c r="H290" s="320">
        <v>34600</v>
      </c>
      <c r="I290" s="321" t="b">
        <v>1</v>
      </c>
      <c r="J290" s="322">
        <v>2</v>
      </c>
      <c r="K290" s="323">
        <v>19650</v>
      </c>
      <c r="L290" s="324">
        <v>38907</v>
      </c>
      <c r="M290" s="325"/>
    </row>
    <row r="291" spans="1:13" ht="13">
      <c r="A291" s="18" t="s">
        <v>1096</v>
      </c>
      <c r="B291" s="316" t="e">
        <f>VLOOKUP($A291,Master!$B$50:$N$232,2,FALSE)</f>
        <v>#N/A</v>
      </c>
      <c r="C291" s="316" t="e">
        <f>VLOOKUP($A291,Master!$B$50:$N$232,8,FALSE)</f>
        <v>#N/A</v>
      </c>
      <c r="D291" s="316" t="e">
        <f>VLOOKUP($A291,Master!$B$50:$N$232,9,FALSE)</f>
        <v>#N/A</v>
      </c>
      <c r="E291" s="317" t="e">
        <f>VLOOKUP($A291,Master!$B$50:$N$232,11,FALSE)</f>
        <v>#N/A</v>
      </c>
      <c r="F291" s="318">
        <v>1</v>
      </c>
      <c r="G291" s="319" t="s">
        <v>62</v>
      </c>
      <c r="H291" s="320">
        <v>4700</v>
      </c>
      <c r="I291" s="321" t="b">
        <v>1</v>
      </c>
      <c r="J291" s="322">
        <v>7</v>
      </c>
      <c r="K291" s="323">
        <v>4800</v>
      </c>
      <c r="L291" s="324">
        <v>38000</v>
      </c>
      <c r="M291" s="325"/>
    </row>
    <row r="292" spans="1:13" ht="13">
      <c r="A292" s="18" t="s">
        <v>524</v>
      </c>
      <c r="B292" s="316" t="e">
        <f>VLOOKUP($A292,Master!$B$50:$N$232,2,FALSE)</f>
        <v>#N/A</v>
      </c>
      <c r="C292" s="316" t="e">
        <f>VLOOKUP($A292,Master!$B$50:$N$232,8,FALSE)</f>
        <v>#N/A</v>
      </c>
      <c r="D292" s="316" t="e">
        <f>VLOOKUP($A292,Master!$B$50:$N$232,9,FALSE)</f>
        <v>#N/A</v>
      </c>
      <c r="E292" s="317" t="e">
        <f>VLOOKUP($A292,Master!$B$50:$N$232,11,FALSE)</f>
        <v>#N/A</v>
      </c>
      <c r="F292" s="318">
        <v>5</v>
      </c>
      <c r="G292" s="319" t="s">
        <v>108</v>
      </c>
      <c r="H292" s="320">
        <v>63000</v>
      </c>
      <c r="I292" s="321" t="b">
        <v>0</v>
      </c>
      <c r="J292" s="322"/>
      <c r="K292" s="326" t="e">
        <f>VLOOKUP($A292,Master!$B$50:$N$232,6,FALSE)</f>
        <v>#N/A</v>
      </c>
      <c r="L292" s="327" t="e">
        <f t="shared" ref="L292:L295" si="21">J292*K292</f>
        <v>#N/A</v>
      </c>
      <c r="M292" s="325" t="s">
        <v>1586</v>
      </c>
    </row>
    <row r="293" spans="1:13" ht="13">
      <c r="A293" s="18" t="s">
        <v>574</v>
      </c>
      <c r="B293" s="316" t="e">
        <f>VLOOKUP($A293,Master!$B$50:$N$232,2,FALSE)</f>
        <v>#N/A</v>
      </c>
      <c r="C293" s="316" t="e">
        <f>VLOOKUP($A293,Master!$B$50:$N$232,8,FALSE)</f>
        <v>#N/A</v>
      </c>
      <c r="D293" s="316" t="e">
        <f>VLOOKUP($A293,Master!$B$50:$N$232,9,FALSE)</f>
        <v>#N/A</v>
      </c>
      <c r="E293" s="317" t="e">
        <f>VLOOKUP($A293,Master!$B$50:$N$232,11,FALSE)</f>
        <v>#N/A</v>
      </c>
      <c r="F293" s="318">
        <v>2</v>
      </c>
      <c r="G293" s="319" t="s">
        <v>62</v>
      </c>
      <c r="H293" s="320">
        <v>340000</v>
      </c>
      <c r="I293" s="321" t="b">
        <v>1</v>
      </c>
      <c r="J293" s="322">
        <v>2</v>
      </c>
      <c r="K293" s="326" t="e">
        <f>VLOOKUP($A293,Master!$B$50:$N$232,6,FALSE)</f>
        <v>#N/A</v>
      </c>
      <c r="L293" s="327" t="e">
        <f t="shared" si="21"/>
        <v>#N/A</v>
      </c>
      <c r="M293" s="325"/>
    </row>
    <row r="294" spans="1:13" ht="13">
      <c r="A294" s="18" t="s">
        <v>651</v>
      </c>
      <c r="B294" s="316" t="str">
        <f>VLOOKUP($A294,Master!$B$50:$N$232,2,FALSE)</f>
        <v>B035</v>
      </c>
      <c r="C294" s="316">
        <f>VLOOKUP($A294,Master!$B$50:$N$232,8,FALSE)</f>
        <v>1000</v>
      </c>
      <c r="D294" s="316" t="str">
        <f>VLOOKUP($A294,Master!$B$50:$N$232,9,FALSE)</f>
        <v>gr</v>
      </c>
      <c r="E294" s="317" t="str">
        <f>VLOOKUP($A294,Master!$B$50:$N$232,11,FALSE)</f>
        <v>Eden Farm</v>
      </c>
      <c r="F294" s="318">
        <v>1</v>
      </c>
      <c r="G294" s="319" t="s">
        <v>36</v>
      </c>
      <c r="H294" s="320">
        <v>9700</v>
      </c>
      <c r="I294" s="321" t="b">
        <v>1</v>
      </c>
      <c r="J294" s="322">
        <v>1</v>
      </c>
      <c r="K294" s="323">
        <v>10800</v>
      </c>
      <c r="L294" s="324">
        <f t="shared" si="21"/>
        <v>10800</v>
      </c>
      <c r="M294" s="325"/>
    </row>
    <row r="295" spans="1:13" ht="13">
      <c r="A295" s="18" t="s">
        <v>655</v>
      </c>
      <c r="B295" s="316" t="str">
        <f>VLOOKUP($A295,Master!$B$50:$N$232,2,FALSE)</f>
        <v>B036</v>
      </c>
      <c r="C295" s="316">
        <f>VLOOKUP($A295,Master!$B$50:$N$232,8,FALSE)</f>
        <v>1000</v>
      </c>
      <c r="D295" s="316" t="str">
        <f>VLOOKUP($A295,Master!$B$50:$N$232,9,FALSE)</f>
        <v>gr</v>
      </c>
      <c r="E295" s="317" t="str">
        <f>VLOOKUP($A295,Master!$B$50:$N$232,11,FALSE)</f>
        <v>Toko Lain</v>
      </c>
      <c r="F295" s="318">
        <v>2</v>
      </c>
      <c r="G295" s="319" t="s">
        <v>36</v>
      </c>
      <c r="H295" s="320">
        <v>97800</v>
      </c>
      <c r="I295" s="321" t="b">
        <v>1</v>
      </c>
      <c r="J295" s="322">
        <v>2</v>
      </c>
      <c r="K295" s="323">
        <v>77500</v>
      </c>
      <c r="L295" s="324">
        <f t="shared" si="21"/>
        <v>155000</v>
      </c>
      <c r="M295" s="325"/>
    </row>
    <row r="296" spans="1:13" ht="13">
      <c r="A296" s="18" t="s">
        <v>782</v>
      </c>
      <c r="B296" s="316" t="str">
        <f>VLOOKUP($A296,Master!$B$50:$N$232,2,FALSE)</f>
        <v>B069</v>
      </c>
      <c r="C296" s="316">
        <f>VLOOKUP($A296,Master!$B$50:$N$232,8,FALSE)</f>
        <v>500</v>
      </c>
      <c r="D296" s="316" t="str">
        <f>VLOOKUP($A296,Master!$B$50:$N$232,9,FALSE)</f>
        <v>gr</v>
      </c>
      <c r="E296" s="317" t="str">
        <f>VLOOKUP($A296,Master!$B$50:$N$232,11,FALSE)</f>
        <v>Toko Lain</v>
      </c>
      <c r="F296" s="318">
        <v>3</v>
      </c>
      <c r="G296" s="319" t="s">
        <v>62</v>
      </c>
      <c r="H296" s="320">
        <v>23100</v>
      </c>
      <c r="I296" s="321" t="b">
        <v>1</v>
      </c>
      <c r="J296" s="322">
        <v>4</v>
      </c>
      <c r="K296" s="326">
        <f>VLOOKUP($A296,Master!$B$50:$N$232,6,FALSE)</f>
        <v>25000</v>
      </c>
      <c r="L296" s="324">
        <v>48000</v>
      </c>
      <c r="M296" s="325" t="s">
        <v>297</v>
      </c>
    </row>
    <row r="297" spans="1:13" ht="13">
      <c r="A297" s="18" t="s">
        <v>795</v>
      </c>
      <c r="B297" s="316" t="str">
        <f>VLOOKUP($A297,Master!$B$50:$N$232,2,FALSE)</f>
        <v>B073</v>
      </c>
      <c r="C297" s="316">
        <f>VLOOKUP($A297,Master!$B$50:$N$232,8,FALSE)</f>
        <v>10</v>
      </c>
      <c r="D297" s="316" t="str">
        <f>VLOOKUP($A297,Master!$B$50:$N$232,9,FALSE)</f>
        <v>unit</v>
      </c>
      <c r="E297" s="317" t="str">
        <f>VLOOKUP($A297,Master!$B$50:$N$232,11,FALSE)</f>
        <v>Toko Lain</v>
      </c>
      <c r="F297" s="318">
        <v>8</v>
      </c>
      <c r="G297" s="319" t="s">
        <v>62</v>
      </c>
      <c r="H297" s="320">
        <v>40000</v>
      </c>
      <c r="I297" s="321" t="b">
        <v>1</v>
      </c>
      <c r="J297" s="322">
        <v>8</v>
      </c>
      <c r="K297" s="323">
        <v>7800</v>
      </c>
      <c r="L297" s="324">
        <f t="shared" ref="L297:L300" si="22">J297*K297</f>
        <v>62400</v>
      </c>
      <c r="M297" s="325"/>
    </row>
    <row r="298" spans="1:13" ht="13">
      <c r="A298" s="18" t="s">
        <v>1050</v>
      </c>
      <c r="B298" s="316" t="e">
        <f>VLOOKUP($A298,Master!$B$50:$N$232,2,FALSE)</f>
        <v>#N/A</v>
      </c>
      <c r="C298" s="316" t="e">
        <f>VLOOKUP($A298,Master!$B$50:$N$232,8,FALSE)</f>
        <v>#N/A</v>
      </c>
      <c r="D298" s="316" t="e">
        <f>VLOOKUP($A298,Master!$B$50:$N$232,9,FALSE)</f>
        <v>#N/A</v>
      </c>
      <c r="E298" s="317" t="e">
        <f>VLOOKUP($A298,Master!$B$50:$N$232,11,FALSE)</f>
        <v>#N/A</v>
      </c>
      <c r="F298" s="318">
        <v>0.5</v>
      </c>
      <c r="G298" s="319" t="s">
        <v>36</v>
      </c>
      <c r="H298" s="320">
        <v>8700</v>
      </c>
      <c r="I298" s="321" t="b">
        <v>1</v>
      </c>
      <c r="J298" s="322">
        <v>0.5</v>
      </c>
      <c r="K298" s="323">
        <v>9500</v>
      </c>
      <c r="L298" s="324">
        <f t="shared" si="22"/>
        <v>4750</v>
      </c>
      <c r="M298" s="325"/>
    </row>
    <row r="299" spans="1:13" ht="13">
      <c r="A299" s="18" t="s">
        <v>659</v>
      </c>
      <c r="B299" s="316" t="str">
        <f>VLOOKUP($A299,Master!$B$50:$N$232,2,FALSE)</f>
        <v>B037</v>
      </c>
      <c r="C299" s="316">
        <f>VLOOKUP($A299,Master!$B$50:$N$232,8,FALSE)</f>
        <v>15</v>
      </c>
      <c r="D299" s="316" t="str">
        <f>VLOOKUP($A299,Master!$B$50:$N$232,9,FALSE)</f>
        <v>pcs</v>
      </c>
      <c r="E299" s="317" t="str">
        <f>VLOOKUP($A299,Master!$B$50:$N$232,11,FALSE)</f>
        <v>Feri Supriadi (Telur , Beras , Minyak )</v>
      </c>
      <c r="F299" s="318">
        <v>3</v>
      </c>
      <c r="G299" s="319" t="s">
        <v>36</v>
      </c>
      <c r="H299" s="320">
        <v>82500</v>
      </c>
      <c r="I299" s="321" t="b">
        <v>1</v>
      </c>
      <c r="J299" s="322">
        <v>3</v>
      </c>
      <c r="K299" s="323">
        <v>28000</v>
      </c>
      <c r="L299" s="324">
        <f t="shared" si="22"/>
        <v>84000</v>
      </c>
      <c r="M299" s="325"/>
    </row>
    <row r="300" spans="1:13" ht="13">
      <c r="A300" s="18" t="s">
        <v>675</v>
      </c>
      <c r="B300" s="316" t="str">
        <f>VLOOKUP($A300,Master!$B$50:$N$232,2,FALSE)</f>
        <v>B041</v>
      </c>
      <c r="C300" s="316">
        <f>VLOOKUP($A300,Master!$B$50:$N$232,8,FALSE)</f>
        <v>20</v>
      </c>
      <c r="D300" s="316" t="str">
        <f>VLOOKUP($A300,Master!$B$50:$N$232,9,FALSE)</f>
        <v>unit</v>
      </c>
      <c r="E300" s="317" t="str">
        <f>VLOOKUP($A300,Master!$B$50:$N$232,11,FALSE)</f>
        <v>RSB, Dago</v>
      </c>
      <c r="F300" s="318">
        <v>10</v>
      </c>
      <c r="G300" s="319" t="s">
        <v>62</v>
      </c>
      <c r="H300" s="320">
        <v>60000</v>
      </c>
      <c r="I300" s="321" t="b">
        <v>1</v>
      </c>
      <c r="J300" s="322">
        <v>15</v>
      </c>
      <c r="K300" s="326">
        <f>VLOOKUP($A300,Master!$B$50:$N$232,6,FALSE)</f>
        <v>13500</v>
      </c>
      <c r="L300" s="327">
        <f t="shared" si="22"/>
        <v>202500</v>
      </c>
      <c r="M300" s="325"/>
    </row>
    <row r="301" spans="1:13" ht="13">
      <c r="A301" s="18" t="s">
        <v>735</v>
      </c>
      <c r="B301" s="316" t="str">
        <f>VLOOKUP($A301,Master!$B$50:$N$232,2,FALSE)</f>
        <v>B056</v>
      </c>
      <c r="C301" s="316">
        <f>VLOOKUP($A301,Master!$B$50:$N$232,8,FALSE)</f>
        <v>700</v>
      </c>
      <c r="D301" s="316" t="str">
        <f>VLOOKUP($A301,Master!$B$50:$N$232,9,FALSE)</f>
        <v>gr</v>
      </c>
      <c r="E301" s="317" t="str">
        <f>VLOOKUP($A301,Master!$B$50:$N$232,11,FALSE)</f>
        <v>Kurnia Mas</v>
      </c>
      <c r="F301" s="318">
        <v>1</v>
      </c>
      <c r="G301" s="319" t="s">
        <v>97</v>
      </c>
      <c r="H301" s="320">
        <v>46000</v>
      </c>
      <c r="I301" s="321" t="b">
        <v>1</v>
      </c>
      <c r="J301" s="322">
        <v>1</v>
      </c>
      <c r="K301" s="326">
        <f>VLOOKUP($A301,Master!$B$50:$N$232,6,FALSE)</f>
        <v>52500</v>
      </c>
      <c r="L301" s="324">
        <v>53955</v>
      </c>
      <c r="M301" s="325" t="s">
        <v>297</v>
      </c>
    </row>
    <row r="302" spans="1:13" ht="13">
      <c r="A302" s="18" t="s">
        <v>1575</v>
      </c>
      <c r="B302" s="316" t="e">
        <f>VLOOKUP($A302,Master!$B$50:$N$232,2,FALSE)</f>
        <v>#N/A</v>
      </c>
      <c r="C302" s="316" t="e">
        <f>VLOOKUP($A302,Master!$B$50:$N$232,8,FALSE)</f>
        <v>#N/A</v>
      </c>
      <c r="D302" s="316" t="e">
        <f>VLOOKUP($A302,Master!$B$50:$N$232,9,FALSE)</f>
        <v>#N/A</v>
      </c>
      <c r="E302" s="317" t="e">
        <f>VLOOKUP($A302,Master!$B$50:$N$232,11,FALSE)</f>
        <v>#N/A</v>
      </c>
      <c r="F302" s="318">
        <v>2</v>
      </c>
      <c r="G302" s="319" t="s">
        <v>36</v>
      </c>
      <c r="H302" s="320">
        <v>28000</v>
      </c>
      <c r="I302" s="321" t="b">
        <v>1</v>
      </c>
      <c r="J302" s="322">
        <v>2</v>
      </c>
      <c r="K302" s="323" t="e">
        <f>VLOOKUP($A302,Master!$B$50:$N$232,6,FALSE)</f>
        <v>#N/A</v>
      </c>
      <c r="L302" s="324" t="e">
        <f t="shared" ref="L302:L305" si="23">J302*K302</f>
        <v>#N/A</v>
      </c>
      <c r="M302" s="325"/>
    </row>
    <row r="303" spans="1:13" ht="13">
      <c r="A303" s="18" t="s">
        <v>528</v>
      </c>
      <c r="B303" s="316" t="e">
        <f>VLOOKUP($A303,Master!$B$50:$N$232,2,FALSE)</f>
        <v>#N/A</v>
      </c>
      <c r="C303" s="316" t="e">
        <f>VLOOKUP($A303,Master!$B$50:$N$232,8,FALSE)</f>
        <v>#N/A</v>
      </c>
      <c r="D303" s="316" t="e">
        <f>VLOOKUP($A303,Master!$B$50:$N$232,9,FALSE)</f>
        <v>#N/A</v>
      </c>
      <c r="E303" s="317" t="e">
        <f>VLOOKUP($A303,Master!$B$50:$N$232,11,FALSE)</f>
        <v>#N/A</v>
      </c>
      <c r="F303" s="318">
        <v>4</v>
      </c>
      <c r="G303" s="319" t="s">
        <v>50</v>
      </c>
      <c r="H303" s="320">
        <v>64000</v>
      </c>
      <c r="I303" s="321" t="b">
        <v>1</v>
      </c>
      <c r="J303" s="322">
        <v>4</v>
      </c>
      <c r="K303" s="326" t="e">
        <f>VLOOKUP($A303,Master!$B$50:$N$232,6,FALSE)</f>
        <v>#N/A</v>
      </c>
      <c r="L303" s="327" t="e">
        <f t="shared" si="23"/>
        <v>#N/A</v>
      </c>
      <c r="M303" s="325"/>
    </row>
    <row r="304" spans="1:13" ht="13">
      <c r="A304" s="18" t="s">
        <v>635</v>
      </c>
      <c r="B304" s="316" t="e">
        <f>VLOOKUP($A304,Master!$B$50:$N$232,2,FALSE)</f>
        <v>#N/A</v>
      </c>
      <c r="C304" s="316" t="e">
        <f>VLOOKUP($A304,Master!$B$50:$N$232,8,FALSE)</f>
        <v>#N/A</v>
      </c>
      <c r="D304" s="316" t="e">
        <f>VLOOKUP($A304,Master!$B$50:$N$232,9,FALSE)</f>
        <v>#N/A</v>
      </c>
      <c r="E304" s="317" t="e">
        <f>VLOOKUP($A304,Master!$B$50:$N$232,11,FALSE)</f>
        <v>#N/A</v>
      </c>
      <c r="F304" s="318">
        <v>8</v>
      </c>
      <c r="G304" s="319" t="s">
        <v>50</v>
      </c>
      <c r="H304" s="320">
        <v>75200</v>
      </c>
      <c r="I304" s="321" t="b">
        <v>1</v>
      </c>
      <c r="J304" s="322">
        <v>8</v>
      </c>
      <c r="K304" s="323">
        <v>11000</v>
      </c>
      <c r="L304" s="324">
        <f t="shared" si="23"/>
        <v>88000</v>
      </c>
      <c r="M304" s="325"/>
    </row>
    <row r="305" spans="1:13" ht="13">
      <c r="A305" s="18" t="s">
        <v>643</v>
      </c>
      <c r="B305" s="316" t="str">
        <f>VLOOKUP($A305,Master!$B$50:$N$232,2,FALSE)</f>
        <v>B033</v>
      </c>
      <c r="C305" s="316">
        <f>VLOOKUP($A305,Master!$B$50:$N$232,8,FALSE)</f>
        <v>1000</v>
      </c>
      <c r="D305" s="316" t="str">
        <f>VLOOKUP($A305,Master!$B$50:$N$232,9,FALSE)</f>
        <v>gr</v>
      </c>
      <c r="E305" s="317" t="str">
        <f>VLOOKUP($A305,Master!$B$50:$N$232,11,FALSE)</f>
        <v>PD Aroma Jaya</v>
      </c>
      <c r="F305" s="318">
        <v>1</v>
      </c>
      <c r="G305" s="319" t="s">
        <v>36</v>
      </c>
      <c r="H305" s="320">
        <v>16000</v>
      </c>
      <c r="I305" s="321" t="b">
        <v>1</v>
      </c>
      <c r="J305" s="322">
        <v>1</v>
      </c>
      <c r="K305" s="326">
        <f>VLOOKUP($A305,Master!$B$50:$N$232,6,FALSE)</f>
        <v>17000</v>
      </c>
      <c r="L305" s="327">
        <f t="shared" si="23"/>
        <v>17000</v>
      </c>
      <c r="M305" s="325"/>
    </row>
    <row r="306" spans="1:13" ht="13">
      <c r="A306" s="18" t="s">
        <v>688</v>
      </c>
      <c r="B306" s="316" t="e">
        <f>VLOOKUP($A306,Master!$B$50:$N$232,2,FALSE)</f>
        <v>#N/A</v>
      </c>
      <c r="C306" s="316" t="e">
        <f>VLOOKUP($A306,Master!$B$50:$N$232,8,FALSE)</f>
        <v>#N/A</v>
      </c>
      <c r="D306" s="316" t="e">
        <f>VLOOKUP($A306,Master!$B$50:$N$232,9,FALSE)</f>
        <v>#N/A</v>
      </c>
      <c r="E306" s="317" t="e">
        <f>VLOOKUP($A306,Master!$B$50:$N$232,11,FALSE)</f>
        <v>#N/A</v>
      </c>
      <c r="F306" s="318">
        <v>2</v>
      </c>
      <c r="G306" s="319" t="s">
        <v>62</v>
      </c>
      <c r="H306" s="320">
        <v>125000</v>
      </c>
      <c r="I306" s="321" t="b">
        <v>1</v>
      </c>
      <c r="J306" s="322">
        <v>2</v>
      </c>
      <c r="K306" s="326" t="e">
        <f>VLOOKUP($A306,Master!$B$50:$N$232,6,FALSE)</f>
        <v>#N/A</v>
      </c>
      <c r="L306" s="324">
        <v>124000</v>
      </c>
      <c r="M306" s="325"/>
    </row>
    <row r="307" spans="1:13" ht="13">
      <c r="A307" s="18" t="s">
        <v>696</v>
      </c>
      <c r="B307" s="316" t="e">
        <f>VLOOKUP($A307,Master!$B$50:$N$232,2,FALSE)</f>
        <v>#N/A</v>
      </c>
      <c r="C307" s="316" t="e">
        <f>VLOOKUP($A307,Master!$B$50:$N$232,8,FALSE)</f>
        <v>#N/A</v>
      </c>
      <c r="D307" s="316" t="e">
        <f>VLOOKUP($A307,Master!$B$50:$N$232,9,FALSE)</f>
        <v>#N/A</v>
      </c>
      <c r="E307" s="317" t="e">
        <f>VLOOKUP($A307,Master!$B$50:$N$232,11,FALSE)</f>
        <v>#N/A</v>
      </c>
      <c r="F307" s="318">
        <v>3</v>
      </c>
      <c r="G307" s="319" t="s">
        <v>62</v>
      </c>
      <c r="H307" s="320">
        <v>42000</v>
      </c>
      <c r="I307" s="321" t="b">
        <v>1</v>
      </c>
      <c r="J307" s="322">
        <v>3</v>
      </c>
      <c r="K307" s="326" t="e">
        <f>VLOOKUP($A307,Master!$B$50:$N$232,6,FALSE)</f>
        <v>#N/A</v>
      </c>
      <c r="L307" s="324">
        <v>39750</v>
      </c>
      <c r="M307" s="325"/>
    </row>
    <row r="308" spans="1:13" ht="13">
      <c r="A308" s="18" t="s">
        <v>1579</v>
      </c>
      <c r="B308" s="316" t="e">
        <f>VLOOKUP($A308,Master!$B$50:$N$232,2,FALSE)</f>
        <v>#N/A</v>
      </c>
      <c r="C308" s="316" t="e">
        <f>VLOOKUP($A308,Master!$B$50:$N$232,8,FALSE)</f>
        <v>#N/A</v>
      </c>
      <c r="D308" s="316" t="e">
        <f>VLOOKUP($A308,Master!$B$50:$N$232,9,FALSE)</f>
        <v>#N/A</v>
      </c>
      <c r="E308" s="317" t="e">
        <f>VLOOKUP($A308,Master!$B$50:$N$232,11,FALSE)</f>
        <v>#N/A</v>
      </c>
      <c r="F308" s="318">
        <v>1</v>
      </c>
      <c r="G308" s="319" t="s">
        <v>143</v>
      </c>
      <c r="H308" s="320">
        <v>475000</v>
      </c>
      <c r="I308" s="321" t="b">
        <v>1</v>
      </c>
      <c r="J308" s="322">
        <v>1</v>
      </c>
      <c r="K308" s="323" t="e">
        <f>VLOOKUP($A308,Master!$B$50:$N$232,6,FALSE)</f>
        <v>#N/A</v>
      </c>
      <c r="L308" s="324">
        <v>365000</v>
      </c>
      <c r="M308" s="325"/>
    </row>
    <row r="309" spans="1:13" ht="13">
      <c r="A309" s="18" t="s">
        <v>720</v>
      </c>
      <c r="B309" s="316" t="str">
        <f>VLOOKUP($A309,Master!$B$50:$N$232,2,FALSE)</f>
        <v>B052</v>
      </c>
      <c r="C309" s="316">
        <f>VLOOKUP($A309,Master!$B$50:$N$232,8,FALSE)</f>
        <v>100</v>
      </c>
      <c r="D309" s="316" t="str">
        <f>VLOOKUP($A309,Master!$B$50:$N$232,9,FALSE)</f>
        <v>gr</v>
      </c>
      <c r="E309" s="317" t="str">
        <f>VLOOKUP($A309,Master!$B$50:$N$232,11,FALSE)</f>
        <v>PD Aroma Jaya</v>
      </c>
      <c r="F309" s="318">
        <v>2</v>
      </c>
      <c r="G309" s="319" t="s">
        <v>62</v>
      </c>
      <c r="H309" s="320">
        <v>56000</v>
      </c>
      <c r="I309" s="321" t="b">
        <v>1</v>
      </c>
      <c r="J309" s="322">
        <v>2</v>
      </c>
      <c r="K309" s="326">
        <f>VLOOKUP($A309,Master!$B$50:$N$232,6,FALSE)</f>
        <v>28000</v>
      </c>
      <c r="L309" s="327">
        <f t="shared" ref="L309:L311" si="24">J309*K309</f>
        <v>56000</v>
      </c>
      <c r="M309" s="325"/>
    </row>
    <row r="310" spans="1:13" ht="13">
      <c r="A310" s="18" t="s">
        <v>787</v>
      </c>
      <c r="B310" s="316" t="e">
        <f>VLOOKUP($A310,Master!$B$50:$N$232,2,FALSE)</f>
        <v>#N/A</v>
      </c>
      <c r="C310" s="316" t="e">
        <f>VLOOKUP($A310,Master!$B$50:$N$232,8,FALSE)</f>
        <v>#N/A</v>
      </c>
      <c r="D310" s="316" t="e">
        <f>VLOOKUP($A310,Master!$B$50:$N$232,9,FALSE)</f>
        <v>#N/A</v>
      </c>
      <c r="E310" s="317" t="e">
        <f>VLOOKUP($A310,Master!$B$50:$N$232,11,FALSE)</f>
        <v>#N/A</v>
      </c>
      <c r="F310" s="318">
        <v>1</v>
      </c>
      <c r="G310" s="319" t="s">
        <v>97</v>
      </c>
      <c r="H310" s="320">
        <v>20250</v>
      </c>
      <c r="I310" s="321" t="b">
        <v>1</v>
      </c>
      <c r="J310" s="322">
        <v>1</v>
      </c>
      <c r="K310" s="326" t="e">
        <f>VLOOKUP($A310,Master!$B$50:$N$232,6,FALSE)</f>
        <v>#N/A</v>
      </c>
      <c r="L310" s="327" t="e">
        <f t="shared" si="24"/>
        <v>#N/A</v>
      </c>
      <c r="M310" s="325"/>
    </row>
    <row r="311" spans="1:13" ht="13">
      <c r="A311" s="18" t="s">
        <v>955</v>
      </c>
      <c r="B311" s="316" t="e">
        <f>VLOOKUP($A311,Master!$B$50:$N$232,2,FALSE)</f>
        <v>#N/A</v>
      </c>
      <c r="C311" s="316" t="e">
        <f>VLOOKUP($A311,Master!$B$50:$N$232,8,FALSE)</f>
        <v>#N/A</v>
      </c>
      <c r="D311" s="316" t="e">
        <f>VLOOKUP($A311,Master!$B$50:$N$232,9,FALSE)</f>
        <v>#N/A</v>
      </c>
      <c r="E311" s="317" t="e">
        <f>VLOOKUP($A311,Master!$B$50:$N$232,11,FALSE)</f>
        <v>#N/A</v>
      </c>
      <c r="F311" s="318">
        <v>1</v>
      </c>
      <c r="G311" s="319" t="s">
        <v>97</v>
      </c>
      <c r="H311" s="320">
        <v>20250</v>
      </c>
      <c r="I311" s="321" t="b">
        <v>1</v>
      </c>
      <c r="J311" s="322">
        <v>1</v>
      </c>
      <c r="K311" s="326" t="e">
        <f>VLOOKUP($A311,Master!$B$50:$N$232,6,FALSE)</f>
        <v>#N/A</v>
      </c>
      <c r="L311" s="327" t="e">
        <f t="shared" si="24"/>
        <v>#N/A</v>
      </c>
      <c r="M311" s="325"/>
    </row>
    <row r="312" spans="1:13" ht="13">
      <c r="A312" s="18" t="s">
        <v>989</v>
      </c>
      <c r="B312" s="316" t="str">
        <f>VLOOKUP($A312,Master!$B$50:$N$232,2,FALSE)</f>
        <v>B133</v>
      </c>
      <c r="C312" s="316">
        <f>VLOOKUP($A312,Master!$B$50:$N$232,8,FALSE)</f>
        <v>5000</v>
      </c>
      <c r="D312" s="316" t="str">
        <f>VLOOKUP($A312,Master!$B$50:$N$232,9,FALSE)</f>
        <v>ml</v>
      </c>
      <c r="E312" s="317" t="str">
        <f>VLOOKUP($A312,Master!$B$50:$N$232,11,FALSE)</f>
        <v>Kurnia Mas</v>
      </c>
      <c r="F312" s="318">
        <v>2</v>
      </c>
      <c r="G312" s="319" t="s">
        <v>62</v>
      </c>
      <c r="H312" s="320">
        <v>39000</v>
      </c>
      <c r="I312" s="321" t="b">
        <v>1</v>
      </c>
      <c r="J312" s="322">
        <v>2</v>
      </c>
      <c r="K312" s="326">
        <f>VLOOKUP($A312,Master!$B$50:$N$232,6,FALSE)</f>
        <v>54500</v>
      </c>
      <c r="L312" s="324">
        <v>38000</v>
      </c>
      <c r="M312" s="325"/>
    </row>
    <row r="313" spans="1:13" ht="13">
      <c r="A313" s="18" t="s">
        <v>1023</v>
      </c>
      <c r="B313" s="316" t="e">
        <f>VLOOKUP($A313,Master!$B$50:$N$232,2,FALSE)</f>
        <v>#N/A</v>
      </c>
      <c r="C313" s="316" t="e">
        <f>VLOOKUP($A313,Master!$B$50:$N$232,8,FALSE)</f>
        <v>#N/A</v>
      </c>
      <c r="D313" s="316" t="e">
        <f>VLOOKUP($A313,Master!$B$50:$N$232,9,FALSE)</f>
        <v>#N/A</v>
      </c>
      <c r="E313" s="317" t="e">
        <f>VLOOKUP($A313,Master!$B$50:$N$232,11,FALSE)</f>
        <v>#N/A</v>
      </c>
      <c r="F313" s="318">
        <v>1</v>
      </c>
      <c r="G313" s="319" t="s">
        <v>62</v>
      </c>
      <c r="H313" s="320">
        <v>20000</v>
      </c>
      <c r="I313" s="321" t="b">
        <v>1</v>
      </c>
      <c r="J313" s="322">
        <v>1</v>
      </c>
      <c r="K313" s="323" t="e">
        <f>VLOOKUP($A313,Master!$B$50:$N$232,6,FALSE)</f>
        <v>#N/A</v>
      </c>
      <c r="L313" s="324" t="e">
        <f t="shared" ref="L313:L324" si="25">J313*K313</f>
        <v>#N/A</v>
      </c>
      <c r="M313" s="325"/>
    </row>
    <row r="314" spans="1:13" ht="13">
      <c r="A314" s="18" t="s">
        <v>1027</v>
      </c>
      <c r="B314" s="316" t="e">
        <f>VLOOKUP($A314,Master!$B$50:$N$232,2,FALSE)</f>
        <v>#N/A</v>
      </c>
      <c r="C314" s="316" t="e">
        <f>VLOOKUP($A314,Master!$B$50:$N$232,8,FALSE)</f>
        <v>#N/A</v>
      </c>
      <c r="D314" s="316" t="e">
        <f>VLOOKUP($A314,Master!$B$50:$N$232,9,FALSE)</f>
        <v>#N/A</v>
      </c>
      <c r="E314" s="317" t="e">
        <f>VLOOKUP($A314,Master!$B$50:$N$232,11,FALSE)</f>
        <v>#N/A</v>
      </c>
      <c r="F314" s="318">
        <v>1</v>
      </c>
      <c r="G314" s="319" t="s">
        <v>62</v>
      </c>
      <c r="H314" s="320">
        <v>20000</v>
      </c>
      <c r="I314" s="321" t="b">
        <v>1</v>
      </c>
      <c r="J314" s="322">
        <v>1</v>
      </c>
      <c r="K314" s="323" t="e">
        <f>VLOOKUP($A314,Master!$B$50:$N$232,6,FALSE)</f>
        <v>#N/A</v>
      </c>
      <c r="L314" s="324" t="e">
        <f t="shared" si="25"/>
        <v>#N/A</v>
      </c>
      <c r="M314" s="325"/>
    </row>
    <row r="315" spans="1:13" ht="13">
      <c r="A315" s="18" t="s">
        <v>1106</v>
      </c>
      <c r="B315" s="316" t="e">
        <f>VLOOKUP($A315,Master!$B$50:$N$232,2,FALSE)</f>
        <v>#N/A</v>
      </c>
      <c r="C315" s="316" t="e">
        <f>VLOOKUP($A315,Master!$B$50:$N$232,8,FALSE)</f>
        <v>#N/A</v>
      </c>
      <c r="D315" s="316" t="e">
        <f>VLOOKUP($A315,Master!$B$50:$N$232,9,FALSE)</f>
        <v>#N/A</v>
      </c>
      <c r="E315" s="317" t="e">
        <f>VLOOKUP($A315,Master!$B$50:$N$232,11,FALSE)</f>
        <v>#N/A</v>
      </c>
      <c r="F315" s="318">
        <v>1</v>
      </c>
      <c r="G315" s="319" t="s">
        <v>62</v>
      </c>
      <c r="H315" s="320">
        <v>65000</v>
      </c>
      <c r="I315" s="321" t="b">
        <v>1</v>
      </c>
      <c r="J315" s="322">
        <v>1</v>
      </c>
      <c r="K315" s="323" t="e">
        <f>VLOOKUP($A315,Master!$B$50:$N$232,6,FALSE)</f>
        <v>#N/A</v>
      </c>
      <c r="L315" s="324" t="e">
        <f t="shared" si="25"/>
        <v>#N/A</v>
      </c>
      <c r="M315" s="325"/>
    </row>
    <row r="316" spans="1:13" ht="13">
      <c r="A316" s="18" t="s">
        <v>566</v>
      </c>
      <c r="B316" s="316" t="e">
        <f>VLOOKUP($A316,Master!$B$50:$N$232,2,FALSE)</f>
        <v>#N/A</v>
      </c>
      <c r="C316" s="316" t="e">
        <f>VLOOKUP($A316,Master!$B$50:$N$232,8,FALSE)</f>
        <v>#N/A</v>
      </c>
      <c r="D316" s="316" t="e">
        <f>VLOOKUP($A316,Master!$B$50:$N$232,9,FALSE)</f>
        <v>#N/A</v>
      </c>
      <c r="E316" s="317" t="e">
        <f>VLOOKUP($A316,Master!$B$50:$N$232,11,FALSE)</f>
        <v>#N/A</v>
      </c>
      <c r="F316" s="318">
        <v>1</v>
      </c>
      <c r="G316" s="319" t="s">
        <v>62</v>
      </c>
      <c r="H316" s="320">
        <v>148500</v>
      </c>
      <c r="I316" s="321" t="b">
        <v>1</v>
      </c>
      <c r="J316" s="322">
        <v>1</v>
      </c>
      <c r="K316" s="326" t="e">
        <f>VLOOKUP($A316,Master!$B$50:$N$232,6,FALSE)</f>
        <v>#N/A</v>
      </c>
      <c r="L316" s="327" t="e">
        <f t="shared" si="25"/>
        <v>#N/A</v>
      </c>
      <c r="M316" s="325"/>
    </row>
    <row r="317" spans="1:13" ht="13">
      <c r="A317" s="18" t="s">
        <v>570</v>
      </c>
      <c r="B317" s="316" t="e">
        <f>VLOOKUP($A317,Master!$B$50:$N$232,2,FALSE)</f>
        <v>#N/A</v>
      </c>
      <c r="C317" s="316" t="e">
        <f>VLOOKUP($A317,Master!$B$50:$N$232,8,FALSE)</f>
        <v>#N/A</v>
      </c>
      <c r="D317" s="316" t="e">
        <f>VLOOKUP($A317,Master!$B$50:$N$232,9,FALSE)</f>
        <v>#N/A</v>
      </c>
      <c r="E317" s="317" t="e">
        <f>VLOOKUP($A317,Master!$B$50:$N$232,11,FALSE)</f>
        <v>#N/A</v>
      </c>
      <c r="F317" s="318">
        <v>1</v>
      </c>
      <c r="G317" s="319" t="s">
        <v>62</v>
      </c>
      <c r="H317" s="320">
        <v>148500</v>
      </c>
      <c r="I317" s="321" t="b">
        <v>1</v>
      </c>
      <c r="J317" s="322">
        <v>1</v>
      </c>
      <c r="K317" s="326" t="e">
        <f>VLOOKUP($A317,Master!$B$50:$N$232,6,FALSE)</f>
        <v>#N/A</v>
      </c>
      <c r="L317" s="327" t="e">
        <f t="shared" si="25"/>
        <v>#N/A</v>
      </c>
      <c r="M317" s="325"/>
    </row>
    <row r="318" spans="1:13" ht="13">
      <c r="A318" s="18" t="s">
        <v>548</v>
      </c>
      <c r="B318" s="316" t="e">
        <f>VLOOKUP($A318,Master!$B$50:$N$232,2,FALSE)</f>
        <v>#N/A</v>
      </c>
      <c r="C318" s="316" t="e">
        <f>VLOOKUP($A318,Master!$B$50:$N$232,8,FALSE)</f>
        <v>#N/A</v>
      </c>
      <c r="D318" s="316" t="e">
        <f>VLOOKUP($A318,Master!$B$50:$N$232,9,FALSE)</f>
        <v>#N/A</v>
      </c>
      <c r="E318" s="317" t="e">
        <f>VLOOKUP($A318,Master!$B$50:$N$232,11,FALSE)</f>
        <v>#N/A</v>
      </c>
      <c r="F318" s="318">
        <v>2</v>
      </c>
      <c r="G318" s="319" t="s">
        <v>87</v>
      </c>
      <c r="H318" s="320">
        <v>315130</v>
      </c>
      <c r="I318" s="321" t="b">
        <v>1</v>
      </c>
      <c r="J318" s="322">
        <v>2</v>
      </c>
      <c r="K318" s="326" t="e">
        <f>VLOOKUP($A318,Master!$B$50:$N$232,6,FALSE)</f>
        <v>#N/A</v>
      </c>
      <c r="L318" s="327" t="e">
        <f t="shared" si="25"/>
        <v>#N/A</v>
      </c>
      <c r="M318" s="325"/>
    </row>
    <row r="319" spans="1:13" ht="13">
      <c r="A319" s="18" t="s">
        <v>623</v>
      </c>
      <c r="B319" s="316" t="e">
        <f>VLOOKUP($A319,Master!$B$50:$N$232,2,FALSE)</f>
        <v>#N/A</v>
      </c>
      <c r="C319" s="316" t="e">
        <f>VLOOKUP($A319,Master!$B$50:$N$232,8,FALSE)</f>
        <v>#N/A</v>
      </c>
      <c r="D319" s="316" t="e">
        <f>VLOOKUP($A319,Master!$B$50:$N$232,9,FALSE)</f>
        <v>#N/A</v>
      </c>
      <c r="E319" s="317" t="e">
        <f>VLOOKUP($A319,Master!$B$50:$N$232,11,FALSE)</f>
        <v>#N/A</v>
      </c>
      <c r="F319" s="318">
        <v>3</v>
      </c>
      <c r="G319" s="319" t="s">
        <v>143</v>
      </c>
      <c r="H319" s="320">
        <v>545787</v>
      </c>
      <c r="I319" s="321" t="b">
        <v>1</v>
      </c>
      <c r="J319" s="322">
        <v>3</v>
      </c>
      <c r="K319" s="326" t="e">
        <f>VLOOKUP($A319,Master!$B$50:$N$232,6,FALSE)</f>
        <v>#N/A</v>
      </c>
      <c r="L319" s="327" t="e">
        <f t="shared" si="25"/>
        <v>#N/A</v>
      </c>
      <c r="M319" s="325"/>
    </row>
    <row r="320" spans="1:13" ht="13">
      <c r="A320" s="18" t="s">
        <v>704</v>
      </c>
      <c r="B320" s="316" t="e">
        <f>VLOOKUP($A320,Master!$B$50:$N$232,2,FALSE)</f>
        <v>#N/A</v>
      </c>
      <c r="C320" s="316" t="e">
        <f>VLOOKUP($A320,Master!$B$50:$N$232,8,FALSE)</f>
        <v>#N/A</v>
      </c>
      <c r="D320" s="316" t="e">
        <f>VLOOKUP($A320,Master!$B$50:$N$232,9,FALSE)</f>
        <v>#N/A</v>
      </c>
      <c r="E320" s="317" t="e">
        <f>VLOOKUP($A320,Master!$B$50:$N$232,11,FALSE)</f>
        <v>#N/A</v>
      </c>
      <c r="F320" s="318">
        <v>3</v>
      </c>
      <c r="G320" s="319" t="s">
        <v>143</v>
      </c>
      <c r="H320" s="320">
        <v>608391</v>
      </c>
      <c r="I320" s="321" t="b">
        <v>1</v>
      </c>
      <c r="J320" s="322">
        <v>3</v>
      </c>
      <c r="K320" s="326" t="e">
        <f>VLOOKUP($A320,Master!$B$50:$N$232,6,FALSE)</f>
        <v>#N/A</v>
      </c>
      <c r="L320" s="327" t="e">
        <f t="shared" si="25"/>
        <v>#N/A</v>
      </c>
      <c r="M320" s="325"/>
    </row>
    <row r="321" spans="1:13" ht="13">
      <c r="A321" s="18" t="s">
        <v>925</v>
      </c>
      <c r="B321" s="316" t="str">
        <f>VLOOKUP($A321,Master!$B$50:$N$232,2,FALSE)</f>
        <v>B111</v>
      </c>
      <c r="C321" s="316">
        <f>VLOOKUP($A321,Master!$B$50:$N$232,8,FALSE)</f>
        <v>1000</v>
      </c>
      <c r="D321" s="316" t="str">
        <f>VLOOKUP($A321,Master!$B$50:$N$232,9,FALSE)</f>
        <v>gr</v>
      </c>
      <c r="E321" s="317" t="str">
        <f>VLOOKUP($A321,Master!$B$50:$N$232,11,FALSE)</f>
        <v>PT Sukanda Djaya</v>
      </c>
      <c r="F321" s="318">
        <v>1</v>
      </c>
      <c r="G321" s="319" t="s">
        <v>143</v>
      </c>
      <c r="H321" s="320">
        <v>419978</v>
      </c>
      <c r="I321" s="321" t="b">
        <v>1</v>
      </c>
      <c r="J321" s="322">
        <v>1</v>
      </c>
      <c r="K321" s="326">
        <f>VLOOKUP($A321,Master!$B$50:$N$232,6,FALSE)</f>
        <v>39738</v>
      </c>
      <c r="L321" s="327">
        <f t="shared" si="25"/>
        <v>39738</v>
      </c>
      <c r="M321" s="325"/>
    </row>
    <row r="322" spans="1:13" ht="13">
      <c r="A322" s="18" t="s">
        <v>958</v>
      </c>
      <c r="B322" s="316" t="e">
        <f>VLOOKUP($A322,Master!$B$50:$N$232,2,FALSE)</f>
        <v>#N/A</v>
      </c>
      <c r="C322" s="316" t="e">
        <f>VLOOKUP($A322,Master!$B$50:$N$232,8,FALSE)</f>
        <v>#N/A</v>
      </c>
      <c r="D322" s="316" t="e">
        <f>VLOOKUP($A322,Master!$B$50:$N$232,9,FALSE)</f>
        <v>#N/A</v>
      </c>
      <c r="E322" s="317" t="e">
        <f>VLOOKUP($A322,Master!$B$50:$N$232,11,FALSE)</f>
        <v>#N/A</v>
      </c>
      <c r="F322" s="318">
        <v>1</v>
      </c>
      <c r="G322" s="319" t="s">
        <v>97</v>
      </c>
      <c r="H322" s="320">
        <v>129000</v>
      </c>
      <c r="I322" s="321" t="b">
        <v>1</v>
      </c>
      <c r="J322" s="322">
        <v>1</v>
      </c>
      <c r="K322" s="323">
        <v>140200</v>
      </c>
      <c r="L322" s="324">
        <f t="shared" si="25"/>
        <v>140200</v>
      </c>
      <c r="M322" s="325"/>
    </row>
    <row r="323" spans="1:13" ht="13">
      <c r="A323" s="18" t="s">
        <v>540</v>
      </c>
      <c r="B323" s="316" t="str">
        <f>VLOOKUP($A323,Master!$B$50:$N$232,2,FALSE)</f>
        <v>B006</v>
      </c>
      <c r="C323" s="316">
        <f>VLOOKUP($A323,Master!$B$50:$N$232,8,FALSE)</f>
        <v>1000</v>
      </c>
      <c r="D323" s="316" t="str">
        <f>VLOOKUP($A323,Master!$B$50:$N$232,9,FALSE)</f>
        <v>gr</v>
      </c>
      <c r="E323" s="317" t="str">
        <f>VLOOKUP($A323,Master!$B$50:$N$232,11,FALSE)</f>
        <v>Woodlane</v>
      </c>
      <c r="F323" s="318">
        <v>4</v>
      </c>
      <c r="G323" s="319" t="s">
        <v>36</v>
      </c>
      <c r="H323" s="320">
        <v>680000</v>
      </c>
      <c r="I323" s="321" t="b">
        <v>1</v>
      </c>
      <c r="J323" s="322">
        <v>4</v>
      </c>
      <c r="K323" s="326">
        <f>VLOOKUP($A323,Master!$B$50:$N$232,6,FALSE)</f>
        <v>170000</v>
      </c>
      <c r="L323" s="327">
        <f t="shared" si="25"/>
        <v>680000</v>
      </c>
      <c r="M323" s="325"/>
    </row>
    <row r="324" spans="1:13" ht="13">
      <c r="A324" s="18" t="s">
        <v>590</v>
      </c>
      <c r="B324" s="316" t="str">
        <f>VLOOKUP($A324,Master!$B$50:$N$232,2,FALSE)</f>
        <v>B019</v>
      </c>
      <c r="C324" s="316">
        <f>VLOOKUP($A324,Master!$B$50:$N$232,8,FALSE)</f>
        <v>200</v>
      </c>
      <c r="D324" s="316" t="str">
        <f>VLOOKUP($A324,Master!$B$50:$N$232,9,FALSE)</f>
        <v>gr</v>
      </c>
      <c r="E324" s="317" t="str">
        <f>VLOOKUP($A324,Master!$B$50:$N$232,11,FALSE)</f>
        <v>Woodlane</v>
      </c>
      <c r="F324" s="318">
        <v>3</v>
      </c>
      <c r="G324" s="319" t="s">
        <v>62</v>
      </c>
      <c r="H324" s="320">
        <v>255000</v>
      </c>
      <c r="I324" s="321" t="b">
        <v>1</v>
      </c>
      <c r="J324" s="322">
        <v>3</v>
      </c>
      <c r="K324" s="326">
        <f>VLOOKUP($A324,Master!$B$50:$N$240,6,FALSE)</f>
        <v>85000</v>
      </c>
      <c r="L324" s="327">
        <f t="shared" si="25"/>
        <v>255000</v>
      </c>
      <c r="M324" s="325"/>
    </row>
    <row r="325" spans="1:13" ht="13">
      <c r="A325" s="355" t="s">
        <v>1110</v>
      </c>
      <c r="B325" s="316" t="e">
        <f>VLOOKUP($A325,Master!$B$50:$N$240,2,FALSE)</f>
        <v>#N/A</v>
      </c>
      <c r="C325" s="316" t="e">
        <f>VLOOKUP($A325,Master!$B$50:$N$240,8,FALSE)</f>
        <v>#N/A</v>
      </c>
      <c r="D325" s="316" t="e">
        <f>VLOOKUP($A325,Master!$B$50:$N$240,9,FALSE)</f>
        <v>#N/A</v>
      </c>
      <c r="E325" s="132" t="s">
        <v>369</v>
      </c>
      <c r="F325" s="318">
        <v>1</v>
      </c>
      <c r="G325" s="319" t="s">
        <v>62</v>
      </c>
      <c r="H325" s="320">
        <v>56000</v>
      </c>
      <c r="I325" s="321" t="b">
        <v>1</v>
      </c>
      <c r="J325" s="322">
        <v>1</v>
      </c>
      <c r="K325" s="326">
        <v>56000</v>
      </c>
      <c r="L325" s="324">
        <v>76000</v>
      </c>
      <c r="M325" s="325"/>
    </row>
    <row r="326" spans="1:13" ht="13">
      <c r="A326" s="18" t="s">
        <v>866</v>
      </c>
      <c r="B326" s="316" t="str">
        <f>VLOOKUP($A326,Master!$B$50:$N$232,2,FALSE)</f>
        <v>B090</v>
      </c>
      <c r="C326" s="316">
        <f>VLOOKUP($A326,Master!$B$50:$N$232,8,FALSE)</f>
        <v>25</v>
      </c>
      <c r="D326" s="316" t="str">
        <f>VLOOKUP($A326,Master!$B$50:$N$232,9,FALSE)</f>
        <v>pcs</v>
      </c>
      <c r="E326" s="317" t="str">
        <f>VLOOKUP($A326,Master!$B$50:$N$232,11,FALSE)</f>
        <v>B5 Coffee &amp; Roastery</v>
      </c>
      <c r="F326" s="318">
        <v>2</v>
      </c>
      <c r="G326" s="319" t="s">
        <v>62</v>
      </c>
      <c r="H326" s="320">
        <v>255000</v>
      </c>
      <c r="I326" s="321" t="b">
        <v>1</v>
      </c>
      <c r="J326" s="322">
        <v>2</v>
      </c>
      <c r="K326" s="326">
        <v>77000</v>
      </c>
      <c r="L326" s="324">
        <v>106000</v>
      </c>
      <c r="M326" s="325" t="s">
        <v>1587</v>
      </c>
    </row>
    <row r="327" spans="1:13" ht="13">
      <c r="A327" s="18" t="s">
        <v>1588</v>
      </c>
      <c r="B327" s="316"/>
      <c r="C327" s="316">
        <v>25</v>
      </c>
      <c r="D327" s="316" t="s">
        <v>306</v>
      </c>
      <c r="E327" s="317"/>
      <c r="F327" s="318">
        <v>2</v>
      </c>
      <c r="G327" s="319" t="s">
        <v>62</v>
      </c>
      <c r="H327" s="320">
        <v>255000</v>
      </c>
      <c r="I327" s="321" t="b">
        <v>1</v>
      </c>
      <c r="J327" s="322">
        <v>2</v>
      </c>
      <c r="K327" s="326">
        <v>22000</v>
      </c>
      <c r="L327" s="327">
        <f>J327*K327</f>
        <v>44000</v>
      </c>
      <c r="M327" s="325"/>
    </row>
    <row r="329" spans="1:13" ht="13">
      <c r="F329" s="427">
        <v>44736</v>
      </c>
      <c r="G329" s="428"/>
      <c r="H329" s="424"/>
      <c r="J329" s="429">
        <f>F329+1</f>
        <v>44737</v>
      </c>
      <c r="K329" s="428"/>
      <c r="L329" s="424"/>
    </row>
    <row r="330" spans="1:13" ht="13">
      <c r="F330" s="425" t="s">
        <v>1490</v>
      </c>
      <c r="G330" s="426"/>
      <c r="H330" s="304">
        <f>SUM(H332:H458)</f>
        <v>11136146</v>
      </c>
      <c r="J330" s="425" t="s">
        <v>1491</v>
      </c>
      <c r="K330" s="426"/>
      <c r="L330" s="304" t="e">
        <f>SUM(L332:L458)</f>
        <v>#N/A</v>
      </c>
    </row>
    <row r="331" spans="1:13" ht="13">
      <c r="A331" s="2" t="s">
        <v>4</v>
      </c>
      <c r="B331" s="305" t="s">
        <v>5</v>
      </c>
      <c r="C331" s="305" t="s">
        <v>1492</v>
      </c>
      <c r="D331" s="305" t="s">
        <v>12</v>
      </c>
      <c r="E331" s="306" t="s">
        <v>1493</v>
      </c>
      <c r="F331" s="307" t="s">
        <v>1494</v>
      </c>
      <c r="G331" s="308" t="s">
        <v>10</v>
      </c>
      <c r="H331" s="309" t="s">
        <v>1495</v>
      </c>
      <c r="I331" s="310" t="s">
        <v>1289</v>
      </c>
      <c r="J331" s="311" t="s">
        <v>1496</v>
      </c>
      <c r="K331" s="312" t="s">
        <v>1497</v>
      </c>
      <c r="L331" s="313" t="s">
        <v>1498</v>
      </c>
      <c r="M331" s="314" t="s">
        <v>16</v>
      </c>
    </row>
    <row r="332" spans="1:13" ht="13">
      <c r="A332" s="4" t="s">
        <v>940</v>
      </c>
      <c r="B332" s="316" t="str">
        <f>VLOOKUP($A332,Master!$B$50:$N$232,2,FALSE)</f>
        <v>B116</v>
      </c>
      <c r="C332" s="316">
        <f>VLOOKUP($A332,Master!$B$50:$N$232,8,FALSE)</f>
        <v>100</v>
      </c>
      <c r="D332" s="316" t="str">
        <f>VLOOKUP($A332,Master!$B$50:$N$232,9,FALSE)</f>
        <v>gr</v>
      </c>
      <c r="E332" s="317" t="str">
        <f>VLOOKUP($A332,Master!$B$50:$N$232,11,FALSE)</f>
        <v>Kurnia Mas</v>
      </c>
      <c r="F332" s="318">
        <v>0.25</v>
      </c>
      <c r="G332" s="319" t="s">
        <v>36</v>
      </c>
      <c r="H332" s="320">
        <v>100000</v>
      </c>
      <c r="I332" s="321" t="b">
        <v>1</v>
      </c>
      <c r="J332" s="322">
        <v>1</v>
      </c>
      <c r="K332" s="326">
        <f>VLOOKUP($A332,Master!$B$50:$N$232,6,FALSE)</f>
        <v>20000</v>
      </c>
      <c r="L332" s="324">
        <v>25000</v>
      </c>
      <c r="M332" s="325"/>
    </row>
    <row r="333" spans="1:13" ht="13">
      <c r="A333" s="18" t="s">
        <v>586</v>
      </c>
      <c r="B333" s="316" t="str">
        <f>VLOOKUP($A333,Master!$B$50:$N$232,2,FALSE)</f>
        <v>B018</v>
      </c>
      <c r="C333" s="316">
        <f>VLOOKUP($A333,Master!$B$50:$N$232,8,FALSE)</f>
        <v>20</v>
      </c>
      <c r="D333" s="316" t="str">
        <f>VLOOKUP($A333,Master!$B$50:$N$232,9,FALSE)</f>
        <v>pcs</v>
      </c>
      <c r="E333" s="317" t="str">
        <f>VLOOKUP($A333,Master!$B$50:$N$232,11,FALSE)</f>
        <v>Kurnia Mas</v>
      </c>
      <c r="F333" s="318">
        <v>2</v>
      </c>
      <c r="G333" s="319" t="s">
        <v>62</v>
      </c>
      <c r="H333" s="320">
        <v>14600</v>
      </c>
      <c r="I333" s="321" t="b">
        <v>1</v>
      </c>
      <c r="J333" s="322">
        <v>2</v>
      </c>
      <c r="K333" s="326">
        <f>VLOOKUP($A333,Master!$B$50:$N$232,6,FALSE)</f>
        <v>8500</v>
      </c>
      <c r="L333" s="324">
        <v>14949</v>
      </c>
      <c r="M333" s="325"/>
    </row>
    <row r="334" spans="1:13" ht="13">
      <c r="A334" s="18" t="s">
        <v>627</v>
      </c>
      <c r="B334" s="316" t="str">
        <f>VLOOKUP($A334,Master!$B$50:$N$232,2,FALSE)</f>
        <v>B029</v>
      </c>
      <c r="C334" s="316">
        <f>VLOOKUP($A334,Master!$B$50:$N$232,8,FALSE)</f>
        <v>1000</v>
      </c>
      <c r="D334" s="316" t="str">
        <f>VLOOKUP($A334,Master!$B$50:$N$232,9,FALSE)</f>
        <v>gr</v>
      </c>
      <c r="E334" s="317" t="str">
        <f>VLOOKUP($A334,Master!$B$50:$N$232,11,FALSE)</f>
        <v>Borma</v>
      </c>
      <c r="F334" s="318">
        <v>0.5</v>
      </c>
      <c r="G334" s="319" t="s">
        <v>36</v>
      </c>
      <c r="H334" s="320">
        <v>31900</v>
      </c>
      <c r="I334" s="321" t="b">
        <v>1</v>
      </c>
      <c r="J334" s="322">
        <v>0.75800000000000001</v>
      </c>
      <c r="K334" s="323">
        <v>29500</v>
      </c>
      <c r="L334" s="324">
        <v>16600</v>
      </c>
      <c r="M334" s="325"/>
    </row>
    <row r="335" spans="1:13" ht="13">
      <c r="A335" s="18" t="s">
        <v>631</v>
      </c>
      <c r="B335" s="316" t="str">
        <f>VLOOKUP($A335,Master!$B$50:$N$232,2,FALSE)</f>
        <v>B030</v>
      </c>
      <c r="C335" s="316">
        <f>VLOOKUP($A335,Master!$B$50:$N$232,8,FALSE)</f>
        <v>1000</v>
      </c>
      <c r="D335" s="316" t="str">
        <f>VLOOKUP($A335,Master!$B$50:$N$232,9,FALSE)</f>
        <v>gr</v>
      </c>
      <c r="E335" s="317" t="str">
        <f>VLOOKUP($A335,Master!$B$50:$N$232,11,FALSE)</f>
        <v>Borma</v>
      </c>
      <c r="F335" s="318">
        <v>0.5</v>
      </c>
      <c r="G335" s="319" t="s">
        <v>36</v>
      </c>
      <c r="H335" s="320">
        <v>16000</v>
      </c>
      <c r="I335" s="321" t="b">
        <v>1</v>
      </c>
      <c r="J335" s="322">
        <v>1</v>
      </c>
      <c r="K335" s="326">
        <f>VLOOKUP($A335,Master!$B$50:$N$232,6,FALSE)</f>
        <v>18000</v>
      </c>
      <c r="L335" s="324">
        <v>10000</v>
      </c>
      <c r="M335" s="325" t="s">
        <v>1520</v>
      </c>
    </row>
    <row r="336" spans="1:13" ht="13">
      <c r="A336" s="18" t="s">
        <v>952</v>
      </c>
      <c r="B336" s="316" t="e">
        <f>VLOOKUP($A336,Master!$B$50:$N$232,2,FALSE)</f>
        <v>#N/A</v>
      </c>
      <c r="C336" s="316" t="e">
        <f>VLOOKUP($A336,Master!$B$50:$N$232,8,FALSE)</f>
        <v>#N/A</v>
      </c>
      <c r="D336" s="316" t="e">
        <f>VLOOKUP($A336,Master!$B$50:$N$232,9,FALSE)</f>
        <v>#N/A</v>
      </c>
      <c r="E336" s="317" t="e">
        <f>VLOOKUP($A336,Master!$B$50:$N$232,11,FALSE)</f>
        <v>#N/A</v>
      </c>
      <c r="F336" s="318">
        <v>1</v>
      </c>
      <c r="G336" s="319" t="s">
        <v>97</v>
      </c>
      <c r="H336" s="320">
        <v>30303</v>
      </c>
      <c r="I336" s="321" t="b">
        <v>1</v>
      </c>
      <c r="J336" s="322">
        <v>1</v>
      </c>
      <c r="K336" s="326" t="e">
        <f>VLOOKUP($A336,Master!$B$50:$N$232,6,FALSE)</f>
        <v>#N/A</v>
      </c>
      <c r="L336" s="327" t="e">
        <f>J336*K336</f>
        <v>#N/A</v>
      </c>
      <c r="M336" s="325"/>
    </row>
    <row r="337" spans="1:13" ht="13">
      <c r="A337" s="18" t="s">
        <v>1043</v>
      </c>
      <c r="B337" s="316" t="e">
        <f>VLOOKUP($A337,Master!$B$50:$N$232,2,FALSE)</f>
        <v>#N/A</v>
      </c>
      <c r="C337" s="316" t="e">
        <f>VLOOKUP($A337,Master!$B$50:$N$232,8,FALSE)</f>
        <v>#N/A</v>
      </c>
      <c r="D337" s="316" t="e">
        <f>VLOOKUP($A337,Master!$B$50:$N$232,9,FALSE)</f>
        <v>#N/A</v>
      </c>
      <c r="E337" s="317" t="e">
        <f>VLOOKUP($A337,Master!$B$50:$N$232,11,FALSE)</f>
        <v>#N/A</v>
      </c>
      <c r="F337" s="318">
        <v>1</v>
      </c>
      <c r="G337" s="319" t="s">
        <v>50</v>
      </c>
      <c r="H337" s="320">
        <v>32200</v>
      </c>
      <c r="I337" s="321" t="b">
        <v>1</v>
      </c>
      <c r="J337" s="322">
        <v>1</v>
      </c>
      <c r="K337" s="323" t="e">
        <f>VLOOKUP($A337,Master!$B$50:$N$232,6,FALSE)</f>
        <v>#N/A</v>
      </c>
      <c r="L337" s="324">
        <v>57668</v>
      </c>
      <c r="M337" s="325"/>
    </row>
    <row r="338" spans="1:13" ht="13">
      <c r="A338" s="18" t="s">
        <v>524</v>
      </c>
      <c r="B338" s="316" t="e">
        <f>VLOOKUP($A338,Master!$B$50:$N$232,2,FALSE)</f>
        <v>#N/A</v>
      </c>
      <c r="C338" s="316" t="e">
        <f>VLOOKUP($A338,Master!$B$50:$N$232,8,FALSE)</f>
        <v>#N/A</v>
      </c>
      <c r="D338" s="316" t="e">
        <f>VLOOKUP($A338,Master!$B$50:$N$232,9,FALSE)</f>
        <v>#N/A</v>
      </c>
      <c r="E338" s="317" t="e">
        <f>VLOOKUP($A338,Master!$B$50:$N$232,11,FALSE)</f>
        <v>#N/A</v>
      </c>
      <c r="F338" s="318">
        <v>11</v>
      </c>
      <c r="G338" s="319" t="s">
        <v>108</v>
      </c>
      <c r="H338" s="320">
        <v>138600</v>
      </c>
      <c r="I338" s="321" t="b">
        <v>1</v>
      </c>
      <c r="J338" s="322">
        <v>7</v>
      </c>
      <c r="K338" s="326" t="e">
        <f>VLOOKUP($A338,Master!$B$50:$N$232,6,FALSE)</f>
        <v>#N/A</v>
      </c>
      <c r="L338" s="327" t="e">
        <f t="shared" ref="L338:L340" si="26">J338*K338</f>
        <v>#N/A</v>
      </c>
      <c r="M338" s="325"/>
    </row>
    <row r="339" spans="1:13" ht="13">
      <c r="A339" s="18" t="s">
        <v>851</v>
      </c>
      <c r="B339" s="316" t="e">
        <f>VLOOKUP($A339,Master!$B$50:$N$232,2,FALSE)</f>
        <v>#N/A</v>
      </c>
      <c r="C339" s="316" t="e">
        <f>VLOOKUP($A339,Master!$B$50:$N$232,8,FALSE)</f>
        <v>#N/A</v>
      </c>
      <c r="D339" s="316" t="e">
        <f>VLOOKUP($A339,Master!$B$50:$N$232,9,FALSE)</f>
        <v>#N/A</v>
      </c>
      <c r="E339" s="317" t="e">
        <f>VLOOKUP($A339,Master!$B$50:$N$232,11,FALSE)</f>
        <v>#N/A</v>
      </c>
      <c r="F339" s="318">
        <v>2</v>
      </c>
      <c r="G339" s="319" t="s">
        <v>143</v>
      </c>
      <c r="H339" s="320">
        <v>60000</v>
      </c>
      <c r="I339" s="321" t="b">
        <v>1</v>
      </c>
      <c r="J339" s="322">
        <v>2</v>
      </c>
      <c r="K339" s="323">
        <v>30400</v>
      </c>
      <c r="L339" s="324">
        <f t="shared" si="26"/>
        <v>60800</v>
      </c>
      <c r="M339" s="325"/>
    </row>
    <row r="340" spans="1:13" ht="13">
      <c r="A340" s="18" t="s">
        <v>651</v>
      </c>
      <c r="B340" s="316" t="str">
        <f>VLOOKUP($A340,Master!$B$50:$N$232,2,FALSE)</f>
        <v>B035</v>
      </c>
      <c r="C340" s="316">
        <f>VLOOKUP($A340,Master!$B$50:$N$232,8,FALSE)</f>
        <v>1000</v>
      </c>
      <c r="D340" s="316" t="str">
        <f>VLOOKUP($A340,Master!$B$50:$N$232,9,FALSE)</f>
        <v>gr</v>
      </c>
      <c r="E340" s="317" t="str">
        <f>VLOOKUP($A340,Master!$B$50:$N$232,11,FALSE)</f>
        <v>Eden Farm</v>
      </c>
      <c r="F340" s="318">
        <v>1</v>
      </c>
      <c r="G340" s="319" t="s">
        <v>36</v>
      </c>
      <c r="H340" s="320">
        <v>9700</v>
      </c>
      <c r="I340" s="321" t="b">
        <v>1</v>
      </c>
      <c r="J340" s="322">
        <v>1</v>
      </c>
      <c r="K340" s="323">
        <v>10800</v>
      </c>
      <c r="L340" s="324">
        <f t="shared" si="26"/>
        <v>10800</v>
      </c>
      <c r="M340" s="325"/>
    </row>
    <row r="341" spans="1:13" ht="13">
      <c r="A341" s="18" t="s">
        <v>712</v>
      </c>
      <c r="B341" s="316" t="str">
        <f>VLOOKUP($A341,Master!$B$50:$N$232,2,FALSE)</f>
        <v>B050</v>
      </c>
      <c r="C341" s="316">
        <f>VLOOKUP($A341,Master!$B$50:$N$232,8,FALSE)</f>
        <v>1000</v>
      </c>
      <c r="D341" s="316" t="str">
        <f>VLOOKUP($A341,Master!$B$50:$N$232,9,FALSE)</f>
        <v>gr</v>
      </c>
      <c r="E341" s="317" t="str">
        <f>VLOOKUP($A341,Master!$B$50:$N$232,11,FALSE)</f>
        <v>Eden Farm</v>
      </c>
      <c r="F341" s="318">
        <v>1</v>
      </c>
      <c r="G341" s="319" t="s">
        <v>36</v>
      </c>
      <c r="H341" s="320">
        <v>24200</v>
      </c>
      <c r="I341" s="321" t="b">
        <v>1</v>
      </c>
      <c r="J341" s="322">
        <v>1</v>
      </c>
      <c r="K341" s="326">
        <f>VLOOKUP($A341,Master!$B$50:$N$232,6,FALSE)</f>
        <v>40000</v>
      </c>
      <c r="L341" s="324">
        <v>18800</v>
      </c>
      <c r="M341" s="325"/>
    </row>
    <row r="342" spans="1:13" ht="13">
      <c r="A342" s="18" t="s">
        <v>732</v>
      </c>
      <c r="B342" s="316" t="str">
        <f>VLOOKUP($A342,Master!$B$50:$N$232,2,FALSE)</f>
        <v>B055</v>
      </c>
      <c r="C342" s="316">
        <f>VLOOKUP($A342,Master!$B$50:$N$232,8,FALSE)</f>
        <v>1000</v>
      </c>
      <c r="D342" s="316" t="str">
        <f>VLOOKUP($A342,Master!$B$50:$N$232,9,FALSE)</f>
        <v>gr</v>
      </c>
      <c r="E342" s="317" t="str">
        <f>VLOOKUP($A342,Master!$B$50:$N$232,11,FALSE)</f>
        <v>Eden Farm</v>
      </c>
      <c r="F342" s="318">
        <v>3</v>
      </c>
      <c r="G342" s="319" t="s">
        <v>36</v>
      </c>
      <c r="H342" s="320">
        <v>56700</v>
      </c>
      <c r="I342" s="321" t="b">
        <v>1</v>
      </c>
      <c r="J342" s="322">
        <v>3</v>
      </c>
      <c r="K342" s="326">
        <f>VLOOKUP($A342,Master!$B$50:$N$232,6,FALSE)</f>
        <v>40000</v>
      </c>
      <c r="L342" s="324">
        <v>54000</v>
      </c>
      <c r="M342" s="325"/>
    </row>
    <row r="343" spans="1:13" ht="13">
      <c r="A343" s="18" t="s">
        <v>744</v>
      </c>
      <c r="B343" s="316" t="str">
        <f>VLOOKUP($A343,Master!$B$50:$N$232,2,FALSE)</f>
        <v>B058</v>
      </c>
      <c r="C343" s="316">
        <f>VLOOKUP($A343,Master!$B$50:$N$232,8,FALSE)</f>
        <v>1000</v>
      </c>
      <c r="D343" s="316" t="str">
        <f>VLOOKUP($A343,Master!$B$50:$N$232,9,FALSE)</f>
        <v>gr</v>
      </c>
      <c r="E343" s="317" t="str">
        <f>VLOOKUP($A343,Master!$B$50:$N$232,11,FALSE)</f>
        <v>Eden Farm</v>
      </c>
      <c r="F343" s="318">
        <v>0.5</v>
      </c>
      <c r="G343" s="319" t="s">
        <v>36</v>
      </c>
      <c r="H343" s="320">
        <v>44900</v>
      </c>
      <c r="I343" s="321" t="b">
        <v>1</v>
      </c>
      <c r="J343" s="322">
        <v>0.5</v>
      </c>
      <c r="K343" s="323">
        <v>47400</v>
      </c>
      <c r="L343" s="324">
        <f>J343*K343</f>
        <v>23700</v>
      </c>
      <c r="M343" s="325"/>
    </row>
    <row r="344" spans="1:13" ht="13">
      <c r="A344" s="18" t="s">
        <v>782</v>
      </c>
      <c r="B344" s="316" t="str">
        <f>VLOOKUP($A344,Master!$B$50:$N$232,2,FALSE)</f>
        <v>B069</v>
      </c>
      <c r="C344" s="316">
        <f>VLOOKUP($A344,Master!$B$50:$N$232,8,FALSE)</f>
        <v>500</v>
      </c>
      <c r="D344" s="316" t="str">
        <f>VLOOKUP($A344,Master!$B$50:$N$232,9,FALSE)</f>
        <v>gr</v>
      </c>
      <c r="E344" s="317" t="str">
        <f>VLOOKUP($A344,Master!$B$50:$N$232,11,FALSE)</f>
        <v>Toko Lain</v>
      </c>
      <c r="F344" s="318">
        <v>2</v>
      </c>
      <c r="G344" s="319" t="s">
        <v>62</v>
      </c>
      <c r="H344" s="320">
        <v>15400</v>
      </c>
      <c r="I344" s="321" t="b">
        <v>1</v>
      </c>
      <c r="J344" s="322">
        <v>1</v>
      </c>
      <c r="K344" s="326">
        <f>VLOOKUP($A344,Master!$B$50:$N$232,6,FALSE)</f>
        <v>25000</v>
      </c>
      <c r="L344" s="324">
        <v>44055</v>
      </c>
      <c r="M344" s="325" t="s">
        <v>1589</v>
      </c>
    </row>
    <row r="345" spans="1:13" ht="13">
      <c r="A345" s="18" t="s">
        <v>795</v>
      </c>
      <c r="B345" s="316" t="str">
        <f>VLOOKUP($A345,Master!$B$50:$N$232,2,FALSE)</f>
        <v>B073</v>
      </c>
      <c r="C345" s="316">
        <f>VLOOKUP($A345,Master!$B$50:$N$232,8,FALSE)</f>
        <v>10</v>
      </c>
      <c r="D345" s="316" t="str">
        <f>VLOOKUP($A345,Master!$B$50:$N$232,9,FALSE)</f>
        <v>unit</v>
      </c>
      <c r="E345" s="317" t="str">
        <f>VLOOKUP($A345,Master!$B$50:$N$232,11,FALSE)</f>
        <v>Toko Lain</v>
      </c>
      <c r="F345" s="318">
        <v>10</v>
      </c>
      <c r="G345" s="319" t="s">
        <v>62</v>
      </c>
      <c r="H345" s="320">
        <v>50000</v>
      </c>
      <c r="I345" s="321" t="b">
        <v>1</v>
      </c>
      <c r="J345" s="322">
        <v>10</v>
      </c>
      <c r="K345" s="323">
        <v>7800</v>
      </c>
      <c r="L345" s="324">
        <f>J345*K345</f>
        <v>78000</v>
      </c>
      <c r="M345" s="325"/>
    </row>
    <row r="346" spans="1:13" ht="13">
      <c r="A346" s="18" t="s">
        <v>922</v>
      </c>
      <c r="B346" s="316" t="str">
        <f>VLOOKUP($A346,Master!$B$50:$N$232,2,FALSE)</f>
        <v>B110</v>
      </c>
      <c r="C346" s="316">
        <f>VLOOKUP($A346,Master!$B$50:$N$232,8,FALSE)</f>
        <v>400</v>
      </c>
      <c r="D346" s="316" t="str">
        <f>VLOOKUP($A346,Master!$B$50:$N$232,9,FALSE)</f>
        <v>gr</v>
      </c>
      <c r="E346" s="317" t="str">
        <f>VLOOKUP($A346,Master!$B$50:$N$232,11,FALSE)</f>
        <v>Eden Farm</v>
      </c>
      <c r="F346" s="318">
        <v>0.5</v>
      </c>
      <c r="G346" s="319" t="s">
        <v>36</v>
      </c>
      <c r="H346" s="320">
        <v>32100</v>
      </c>
      <c r="I346" s="321" t="b">
        <v>1</v>
      </c>
      <c r="J346" s="322">
        <v>2</v>
      </c>
      <c r="K346" s="326">
        <f>VLOOKUP($A346,Master!$B$50:$N$232,6,FALSE)</f>
        <v>41400</v>
      </c>
      <c r="L346" s="324">
        <v>49000</v>
      </c>
      <c r="M346" s="325"/>
    </row>
    <row r="347" spans="1:13" ht="13">
      <c r="A347" s="18" t="s">
        <v>1020</v>
      </c>
      <c r="B347" s="316" t="str">
        <f>VLOOKUP($A347,Master!$B$50:$N$232,2,FALSE)</f>
        <v>B144</v>
      </c>
      <c r="C347" s="316">
        <f>VLOOKUP($A347,Master!$B$50:$N$232,8,FALSE)</f>
        <v>1000</v>
      </c>
      <c r="D347" s="316" t="str">
        <f>VLOOKUP($A347,Master!$B$50:$N$232,9,FALSE)</f>
        <v>gr</v>
      </c>
      <c r="E347" s="317" t="str">
        <f>VLOOKUP($A347,Master!$B$50:$N$232,11,FALSE)</f>
        <v>Eden Farm</v>
      </c>
      <c r="F347" s="318">
        <v>0.5</v>
      </c>
      <c r="G347" s="319" t="s">
        <v>36</v>
      </c>
      <c r="H347" s="320">
        <v>21800</v>
      </c>
      <c r="I347" s="321" t="b">
        <v>1</v>
      </c>
      <c r="J347" s="322">
        <v>0.5</v>
      </c>
      <c r="K347" s="326">
        <f>VLOOKUP($A347,Master!$B$50:$N$232,6,FALSE)</f>
        <v>24000</v>
      </c>
      <c r="L347" s="324">
        <v>7600</v>
      </c>
      <c r="M347" s="325"/>
    </row>
    <row r="348" spans="1:13" ht="13">
      <c r="A348" s="18" t="s">
        <v>1050</v>
      </c>
      <c r="B348" s="316" t="e">
        <f>VLOOKUP($A348,Master!$B$50:$N$232,2,FALSE)</f>
        <v>#N/A</v>
      </c>
      <c r="C348" s="316" t="e">
        <f>VLOOKUP($A348,Master!$B$50:$N$232,8,FALSE)</f>
        <v>#N/A</v>
      </c>
      <c r="D348" s="316" t="e">
        <f>VLOOKUP($A348,Master!$B$50:$N$232,9,FALSE)</f>
        <v>#N/A</v>
      </c>
      <c r="E348" s="317" t="e">
        <f>VLOOKUP($A348,Master!$B$50:$N$232,11,FALSE)</f>
        <v>#N/A</v>
      </c>
      <c r="F348" s="318">
        <v>1</v>
      </c>
      <c r="G348" s="319" t="s">
        <v>36</v>
      </c>
      <c r="H348" s="320">
        <v>8700</v>
      </c>
      <c r="I348" s="321" t="b">
        <v>1</v>
      </c>
      <c r="J348" s="322">
        <v>1</v>
      </c>
      <c r="K348" s="323">
        <v>9500</v>
      </c>
      <c r="L348" s="324">
        <f t="shared" ref="L348:L350" si="27">J348*K348</f>
        <v>9500</v>
      </c>
      <c r="M348" s="325"/>
    </row>
    <row r="349" spans="1:13" ht="13">
      <c r="A349" s="18" t="s">
        <v>659</v>
      </c>
      <c r="B349" s="316" t="str">
        <f>VLOOKUP($A349,Master!$B$50:$N$232,2,FALSE)</f>
        <v>B037</v>
      </c>
      <c r="C349" s="316">
        <f>VLOOKUP($A349,Master!$B$50:$N$232,8,FALSE)</f>
        <v>15</v>
      </c>
      <c r="D349" s="316" t="str">
        <f>VLOOKUP($A349,Master!$B$50:$N$232,9,FALSE)</f>
        <v>pcs</v>
      </c>
      <c r="E349" s="317" t="str">
        <f>VLOOKUP($A349,Master!$B$50:$N$232,11,FALSE)</f>
        <v>Feri Supriadi (Telur , Beras , Minyak )</v>
      </c>
      <c r="F349" s="318">
        <v>5</v>
      </c>
      <c r="G349" s="319" t="s">
        <v>36</v>
      </c>
      <c r="H349" s="320">
        <v>137500</v>
      </c>
      <c r="I349" s="321" t="b">
        <v>1</v>
      </c>
      <c r="J349" s="322">
        <v>5</v>
      </c>
      <c r="K349" s="323">
        <v>27900</v>
      </c>
      <c r="L349" s="324">
        <f t="shared" si="27"/>
        <v>139500</v>
      </c>
      <c r="M349" s="325"/>
    </row>
    <row r="350" spans="1:13" ht="13">
      <c r="A350" s="18" t="s">
        <v>1574</v>
      </c>
      <c r="B350" s="316" t="str">
        <f>VLOOKUP($A350,Master!$B$50:$N$232,2,FALSE)</f>
        <v>B062</v>
      </c>
      <c r="C350" s="316">
        <f>VLOOKUP($A350,Master!$B$50:$N$232,8,FALSE)</f>
        <v>25000</v>
      </c>
      <c r="D350" s="316" t="str">
        <f>VLOOKUP($A350,Master!$B$50:$N$232,9,FALSE)</f>
        <v>gr</v>
      </c>
      <c r="E350" s="317" t="str">
        <f>VLOOKUP($A350,Master!$B$50:$N$232,11,FALSE)</f>
        <v>Feri Supriadi (Telur , Beras , Minyak )</v>
      </c>
      <c r="F350" s="318">
        <v>10</v>
      </c>
      <c r="G350" s="319" t="s">
        <v>36</v>
      </c>
      <c r="H350" s="320">
        <v>1160000</v>
      </c>
      <c r="I350" s="321" t="b">
        <v>1</v>
      </c>
      <c r="J350" s="322">
        <v>10</v>
      </c>
      <c r="K350" s="323">
        <v>11600</v>
      </c>
      <c r="L350" s="324">
        <f t="shared" si="27"/>
        <v>116000</v>
      </c>
      <c r="M350" s="325"/>
    </row>
    <row r="351" spans="1:13" ht="13">
      <c r="A351" s="18" t="s">
        <v>881</v>
      </c>
      <c r="B351" s="316" t="str">
        <f>VLOOKUP($A351,Master!$B$50:$N$232,2,FALSE)</f>
        <v>B095</v>
      </c>
      <c r="C351" s="316">
        <f>VLOOKUP($A351,Master!$B$50:$N$232,8,FALSE)</f>
        <v>1000</v>
      </c>
      <c r="D351" s="316" t="str">
        <f>VLOOKUP($A351,Master!$B$50:$N$232,9,FALSE)</f>
        <v>gr</v>
      </c>
      <c r="E351" s="317" t="str">
        <f>VLOOKUP($A351,Master!$B$50:$N$232,11,FALSE)</f>
        <v>Pasar Cihapit</v>
      </c>
      <c r="F351" s="318">
        <v>0.25</v>
      </c>
      <c r="G351" s="319" t="s">
        <v>36</v>
      </c>
      <c r="H351" s="320">
        <v>69000</v>
      </c>
      <c r="I351" s="321" t="b">
        <v>1</v>
      </c>
      <c r="J351" s="322">
        <v>0.26600000000000001</v>
      </c>
      <c r="K351" s="326">
        <f>VLOOKUP($A351,Master!$B$50:$N$232,6,FALSE)</f>
        <v>69000</v>
      </c>
      <c r="L351" s="324">
        <v>16257</v>
      </c>
      <c r="M351" s="325"/>
    </row>
    <row r="352" spans="1:13" ht="13">
      <c r="A352" s="18" t="s">
        <v>883</v>
      </c>
      <c r="B352" s="316" t="str">
        <f>VLOOKUP($A352,Master!$B$50:$N$232,2,FALSE)</f>
        <v>B096</v>
      </c>
      <c r="C352" s="316">
        <f>VLOOKUP($A352,Master!$B$50:$N$232,8,FALSE)</f>
        <v>1000</v>
      </c>
      <c r="D352" s="316" t="str">
        <f>VLOOKUP($A352,Master!$B$50:$N$232,9,FALSE)</f>
        <v>gr</v>
      </c>
      <c r="E352" s="317" t="str">
        <f>VLOOKUP($A352,Master!$B$50:$N$232,11,FALSE)</f>
        <v>Pasar Cihapit</v>
      </c>
      <c r="F352" s="318">
        <v>0.35</v>
      </c>
      <c r="G352" s="319" t="s">
        <v>36</v>
      </c>
      <c r="H352" s="320">
        <v>148500</v>
      </c>
      <c r="I352" s="321" t="b">
        <v>1</v>
      </c>
      <c r="J352" s="322">
        <v>0.34200000000000003</v>
      </c>
      <c r="K352" s="326">
        <f>VLOOKUP($A352,Master!$B$50:$N$232,6,FALSE)</f>
        <v>156222</v>
      </c>
      <c r="L352" s="324">
        <v>62757</v>
      </c>
      <c r="M352" s="325"/>
    </row>
    <row r="353" spans="1:13" ht="13">
      <c r="A353" s="18" t="s">
        <v>1575</v>
      </c>
      <c r="B353" s="316" t="e">
        <f>VLOOKUP($A353,Master!$B$50:$N$232,2,FALSE)</f>
        <v>#N/A</v>
      </c>
      <c r="C353" s="316" t="e">
        <f>VLOOKUP($A353,Master!$B$50:$N$232,8,FALSE)</f>
        <v>#N/A</v>
      </c>
      <c r="D353" s="316" t="e">
        <f>VLOOKUP($A353,Master!$B$50:$N$232,9,FALSE)</f>
        <v>#N/A</v>
      </c>
      <c r="E353" s="317" t="e">
        <f>VLOOKUP($A353,Master!$B$50:$N$232,11,FALSE)</f>
        <v>#N/A</v>
      </c>
      <c r="F353" s="318">
        <v>2</v>
      </c>
      <c r="G353" s="319" t="s">
        <v>36</v>
      </c>
      <c r="H353" s="320">
        <v>28000</v>
      </c>
      <c r="I353" s="321" t="b">
        <v>1</v>
      </c>
      <c r="J353" s="322">
        <v>2</v>
      </c>
      <c r="K353" s="323" t="e">
        <f>VLOOKUP($A353,Master!$B$50:$N$232,6,FALSE)</f>
        <v>#N/A</v>
      </c>
      <c r="L353" s="324" t="e">
        <f t="shared" ref="L353:L359" si="28">J353*K353</f>
        <v>#N/A</v>
      </c>
      <c r="M353" s="325"/>
    </row>
    <row r="354" spans="1:13" ht="13">
      <c r="A354" s="18" t="s">
        <v>528</v>
      </c>
      <c r="B354" s="316" t="e">
        <f>VLOOKUP($A354,Master!$B$50:$N$232,2,FALSE)</f>
        <v>#N/A</v>
      </c>
      <c r="C354" s="316" t="e">
        <f>VLOOKUP($A354,Master!$B$50:$N$232,8,FALSE)</f>
        <v>#N/A</v>
      </c>
      <c r="D354" s="316" t="e">
        <f>VLOOKUP($A354,Master!$B$50:$N$232,9,FALSE)</f>
        <v>#N/A</v>
      </c>
      <c r="E354" s="317" t="e">
        <f>VLOOKUP($A354,Master!$B$50:$N$232,11,FALSE)</f>
        <v>#N/A</v>
      </c>
      <c r="F354" s="318">
        <v>3</v>
      </c>
      <c r="G354" s="319" t="s">
        <v>50</v>
      </c>
      <c r="H354" s="320">
        <v>48000</v>
      </c>
      <c r="I354" s="321" t="b">
        <v>1</v>
      </c>
      <c r="J354" s="322">
        <v>3</v>
      </c>
      <c r="K354" s="326" t="e">
        <f>VLOOKUP($A354,Master!$B$50:$N$232,6,FALSE)</f>
        <v>#N/A</v>
      </c>
      <c r="L354" s="327" t="e">
        <f t="shared" si="28"/>
        <v>#N/A</v>
      </c>
      <c r="M354" s="325"/>
    </row>
    <row r="355" spans="1:13" ht="13">
      <c r="A355" s="18" t="s">
        <v>532</v>
      </c>
      <c r="B355" s="316" t="e">
        <f>VLOOKUP($A355,Master!$B$50:$N$232,2,FALSE)</f>
        <v>#N/A</v>
      </c>
      <c r="C355" s="316" t="e">
        <f>VLOOKUP($A355,Master!$B$50:$N$232,8,FALSE)</f>
        <v>#N/A</v>
      </c>
      <c r="D355" s="316" t="e">
        <f>VLOOKUP($A355,Master!$B$50:$N$232,9,FALSE)</f>
        <v>#N/A</v>
      </c>
      <c r="E355" s="317" t="e">
        <f>VLOOKUP($A355,Master!$B$50:$N$232,11,FALSE)</f>
        <v>#N/A</v>
      </c>
      <c r="F355" s="318">
        <v>1</v>
      </c>
      <c r="G355" s="319" t="s">
        <v>62</v>
      </c>
      <c r="H355" s="320">
        <v>56000</v>
      </c>
      <c r="I355" s="321" t="b">
        <v>1</v>
      </c>
      <c r="J355" s="322">
        <v>1</v>
      </c>
      <c r="K355" s="326" t="e">
        <f>VLOOKUP($A355,Master!$B$50:$N$232,6,FALSE)</f>
        <v>#N/A</v>
      </c>
      <c r="L355" s="327" t="e">
        <f t="shared" si="28"/>
        <v>#N/A</v>
      </c>
      <c r="M355" s="325"/>
    </row>
    <row r="356" spans="1:13" ht="13">
      <c r="A356" s="18" t="s">
        <v>635</v>
      </c>
      <c r="B356" s="316" t="e">
        <f>VLOOKUP($A356,Master!$B$50:$N$232,2,FALSE)</f>
        <v>#N/A</v>
      </c>
      <c r="C356" s="316" t="e">
        <f>VLOOKUP($A356,Master!$B$50:$N$232,8,FALSE)</f>
        <v>#N/A</v>
      </c>
      <c r="D356" s="316" t="e">
        <f>VLOOKUP($A356,Master!$B$50:$N$232,9,FALSE)</f>
        <v>#N/A</v>
      </c>
      <c r="E356" s="317" t="e">
        <f>VLOOKUP($A356,Master!$B$50:$N$232,11,FALSE)</f>
        <v>#N/A</v>
      </c>
      <c r="F356" s="318">
        <v>6</v>
      </c>
      <c r="G356" s="319" t="s">
        <v>50</v>
      </c>
      <c r="H356" s="320">
        <v>56400</v>
      </c>
      <c r="I356" s="321" t="b">
        <v>1</v>
      </c>
      <c r="J356" s="322">
        <v>6</v>
      </c>
      <c r="K356" s="323">
        <v>11000</v>
      </c>
      <c r="L356" s="324">
        <f t="shared" si="28"/>
        <v>66000</v>
      </c>
      <c r="M356" s="325"/>
    </row>
    <row r="357" spans="1:13" ht="13">
      <c r="A357" s="18" t="s">
        <v>643</v>
      </c>
      <c r="B357" s="316" t="str">
        <f>VLOOKUP($A357,Master!$B$50:$N$232,2,FALSE)</f>
        <v>B033</v>
      </c>
      <c r="C357" s="316">
        <f>VLOOKUP($A357,Master!$B$50:$N$232,8,FALSE)</f>
        <v>1000</v>
      </c>
      <c r="D357" s="316" t="str">
        <f>VLOOKUP($A357,Master!$B$50:$N$232,9,FALSE)</f>
        <v>gr</v>
      </c>
      <c r="E357" s="317" t="str">
        <f>VLOOKUP($A357,Master!$B$50:$N$232,11,FALSE)</f>
        <v>PD Aroma Jaya</v>
      </c>
      <c r="F357" s="318">
        <v>1</v>
      </c>
      <c r="G357" s="319" t="s">
        <v>36</v>
      </c>
      <c r="H357" s="320">
        <v>16000</v>
      </c>
      <c r="I357" s="321" t="b">
        <v>1</v>
      </c>
      <c r="J357" s="322">
        <v>1</v>
      </c>
      <c r="K357" s="326">
        <f>VLOOKUP($A357,Master!$B$50:$N$232,6,FALSE)</f>
        <v>17000</v>
      </c>
      <c r="L357" s="327">
        <f t="shared" si="28"/>
        <v>17000</v>
      </c>
      <c r="M357" s="325"/>
    </row>
    <row r="358" spans="1:13" ht="13">
      <c r="A358" s="18" t="s">
        <v>680</v>
      </c>
      <c r="B358" s="316" t="e">
        <f>VLOOKUP($A358,Master!$B$50:$N$232,2,FALSE)</f>
        <v>#N/A</v>
      </c>
      <c r="C358" s="316" t="e">
        <f>VLOOKUP($A358,Master!$B$50:$N$232,8,FALSE)</f>
        <v>#N/A</v>
      </c>
      <c r="D358" s="316" t="e">
        <f>VLOOKUP($A358,Master!$B$50:$N$232,9,FALSE)</f>
        <v>#N/A</v>
      </c>
      <c r="E358" s="317" t="e">
        <f>VLOOKUP($A358,Master!$B$50:$N$232,11,FALSE)</f>
        <v>#N/A</v>
      </c>
      <c r="F358" s="318">
        <v>5</v>
      </c>
      <c r="G358" s="319" t="s">
        <v>97</v>
      </c>
      <c r="H358" s="320">
        <v>150000</v>
      </c>
      <c r="I358" s="321" t="b">
        <v>1</v>
      </c>
      <c r="J358" s="322">
        <v>5</v>
      </c>
      <c r="K358" s="326" t="e">
        <f>VLOOKUP($A358,Master!$B$50:$N$232,6,FALSE)</f>
        <v>#N/A</v>
      </c>
      <c r="L358" s="327" t="e">
        <f t="shared" si="28"/>
        <v>#N/A</v>
      </c>
      <c r="M358" s="325"/>
    </row>
    <row r="359" spans="1:13" ht="13">
      <c r="A359" s="18" t="s">
        <v>688</v>
      </c>
      <c r="B359" s="316" t="e">
        <f>VLOOKUP($A359,Master!$B$50:$N$232,2,FALSE)</f>
        <v>#N/A</v>
      </c>
      <c r="C359" s="316" t="e">
        <f>VLOOKUP($A359,Master!$B$50:$N$232,8,FALSE)</f>
        <v>#N/A</v>
      </c>
      <c r="D359" s="316" t="e">
        <f>VLOOKUP($A359,Master!$B$50:$N$232,9,FALSE)</f>
        <v>#N/A</v>
      </c>
      <c r="E359" s="317" t="e">
        <f>VLOOKUP($A359,Master!$B$50:$N$232,11,FALSE)</f>
        <v>#N/A</v>
      </c>
      <c r="F359" s="318">
        <v>2</v>
      </c>
      <c r="G359" s="319" t="s">
        <v>62</v>
      </c>
      <c r="H359" s="320">
        <v>125000</v>
      </c>
      <c r="I359" s="321" t="b">
        <v>1</v>
      </c>
      <c r="J359" s="322">
        <v>2</v>
      </c>
      <c r="K359" s="326" t="e">
        <f>VLOOKUP($A359,Master!$B$50:$N$232,6,FALSE)</f>
        <v>#N/A</v>
      </c>
      <c r="L359" s="327" t="e">
        <f t="shared" si="28"/>
        <v>#N/A</v>
      </c>
      <c r="M359" s="325"/>
    </row>
    <row r="360" spans="1:13" ht="13">
      <c r="A360" s="18" t="s">
        <v>696</v>
      </c>
      <c r="B360" s="316" t="e">
        <f>VLOOKUP($A360,Master!$B$50:$N$232,2,FALSE)</f>
        <v>#N/A</v>
      </c>
      <c r="C360" s="316" t="e">
        <f>VLOOKUP($A360,Master!$B$50:$N$232,8,FALSE)</f>
        <v>#N/A</v>
      </c>
      <c r="D360" s="316" t="e">
        <f>VLOOKUP($A360,Master!$B$50:$N$232,9,FALSE)</f>
        <v>#N/A</v>
      </c>
      <c r="E360" s="317" t="e">
        <f>VLOOKUP($A360,Master!$B$50:$N$232,11,FALSE)</f>
        <v>#N/A</v>
      </c>
      <c r="F360" s="318">
        <v>3</v>
      </c>
      <c r="G360" s="319" t="s">
        <v>62</v>
      </c>
      <c r="H360" s="320">
        <v>42000</v>
      </c>
      <c r="I360" s="321" t="b">
        <v>1</v>
      </c>
      <c r="J360" s="322">
        <v>3</v>
      </c>
      <c r="K360" s="326" t="e">
        <f>VLOOKUP($A360,Master!$B$50:$N$232,6,FALSE)</f>
        <v>#N/A</v>
      </c>
      <c r="L360" s="324">
        <v>39750</v>
      </c>
      <c r="M360" s="325"/>
    </row>
    <row r="361" spans="1:13" ht="13">
      <c r="A361" s="18" t="s">
        <v>748</v>
      </c>
      <c r="B361" s="316" t="e">
        <f>VLOOKUP($A361,Master!$B$50:$N$232,2,FALSE)</f>
        <v>#N/A</v>
      </c>
      <c r="C361" s="316" t="e">
        <f>VLOOKUP($A361,Master!$B$50:$N$232,8,FALSE)</f>
        <v>#N/A</v>
      </c>
      <c r="D361" s="316" t="e">
        <f>VLOOKUP($A361,Master!$B$50:$N$232,9,FALSE)</f>
        <v>#N/A</v>
      </c>
      <c r="E361" s="317" t="e">
        <f>VLOOKUP($A361,Master!$B$50:$N$232,11,FALSE)</f>
        <v>#N/A</v>
      </c>
      <c r="F361" s="318">
        <v>1</v>
      </c>
      <c r="G361" s="319" t="s">
        <v>62</v>
      </c>
      <c r="H361" s="320">
        <v>27500</v>
      </c>
      <c r="I361" s="321" t="b">
        <v>1</v>
      </c>
      <c r="J361" s="322">
        <v>1</v>
      </c>
      <c r="K361" s="326" t="e">
        <f>VLOOKUP($A361,Master!$B$50:$N$232,6,FALSE)</f>
        <v>#N/A</v>
      </c>
      <c r="L361" s="324">
        <v>27000</v>
      </c>
      <c r="M361" s="325"/>
    </row>
    <row r="362" spans="1:13" ht="13">
      <c r="A362" s="18" t="s">
        <v>752</v>
      </c>
      <c r="B362" s="316" t="e">
        <f>VLOOKUP($A362,Master!$B$50:$N$232,2,FALSE)</f>
        <v>#N/A</v>
      </c>
      <c r="C362" s="316" t="e">
        <f>VLOOKUP($A362,Master!$B$50:$N$232,8,FALSE)</f>
        <v>#N/A</v>
      </c>
      <c r="D362" s="316" t="e">
        <f>VLOOKUP($A362,Master!$B$50:$N$232,9,FALSE)</f>
        <v>#N/A</v>
      </c>
      <c r="E362" s="317" t="e">
        <f>VLOOKUP($A362,Master!$B$50:$N$232,11,FALSE)</f>
        <v>#N/A</v>
      </c>
      <c r="F362" s="318">
        <v>1</v>
      </c>
      <c r="G362" s="319" t="s">
        <v>62</v>
      </c>
      <c r="H362" s="320">
        <v>38000</v>
      </c>
      <c r="I362" s="321" t="b">
        <v>1</v>
      </c>
      <c r="J362" s="322">
        <v>1</v>
      </c>
      <c r="K362" s="326" t="e">
        <f>VLOOKUP($A362,Master!$B$50:$N$232,6,FALSE)</f>
        <v>#N/A</v>
      </c>
      <c r="L362" s="327" t="e">
        <f t="shared" ref="L362:L366" si="29">J362*K362</f>
        <v>#N/A</v>
      </c>
      <c r="M362" s="325"/>
    </row>
    <row r="363" spans="1:13" ht="13">
      <c r="A363" s="18" t="s">
        <v>767</v>
      </c>
      <c r="B363" s="316" t="e">
        <f>VLOOKUP($A363,Master!$B$50:$N$232,2,FALSE)</f>
        <v>#N/A</v>
      </c>
      <c r="C363" s="316" t="e">
        <f>VLOOKUP($A363,Master!$B$50:$N$232,8,FALSE)</f>
        <v>#N/A</v>
      </c>
      <c r="D363" s="316" t="e">
        <f>VLOOKUP($A363,Master!$B$50:$N$232,9,FALSE)</f>
        <v>#N/A</v>
      </c>
      <c r="E363" s="317" t="e">
        <f>VLOOKUP($A363,Master!$B$50:$N$232,11,FALSE)</f>
        <v>#N/A</v>
      </c>
      <c r="F363" s="318">
        <v>2</v>
      </c>
      <c r="G363" s="319" t="s">
        <v>62</v>
      </c>
      <c r="H363" s="320">
        <v>39000</v>
      </c>
      <c r="I363" s="321" t="b">
        <v>1</v>
      </c>
      <c r="J363" s="322">
        <v>2</v>
      </c>
      <c r="K363" s="326" t="e">
        <f>VLOOKUP($A363,Master!$B$50:$N$232,6,FALSE)</f>
        <v>#N/A</v>
      </c>
      <c r="L363" s="327" t="e">
        <f t="shared" si="29"/>
        <v>#N/A</v>
      </c>
      <c r="M363" s="325"/>
    </row>
    <row r="364" spans="1:13" ht="13">
      <c r="A364" s="18" t="s">
        <v>773</v>
      </c>
      <c r="B364" s="316" t="e">
        <f>VLOOKUP($A364,Master!$B$50:$N$232,2,FALSE)</f>
        <v>#N/A</v>
      </c>
      <c r="C364" s="316" t="e">
        <f>VLOOKUP($A364,Master!$B$50:$N$232,8,FALSE)</f>
        <v>#N/A</v>
      </c>
      <c r="D364" s="316" t="e">
        <f>VLOOKUP($A364,Master!$B$50:$N$232,9,FALSE)</f>
        <v>#N/A</v>
      </c>
      <c r="E364" s="317" t="e">
        <f>VLOOKUP($A364,Master!$B$50:$N$232,11,FALSE)</f>
        <v>#N/A</v>
      </c>
      <c r="F364" s="318">
        <v>8</v>
      </c>
      <c r="G364" s="319" t="s">
        <v>62</v>
      </c>
      <c r="H364" s="320">
        <v>112000</v>
      </c>
      <c r="I364" s="321" t="b">
        <v>1</v>
      </c>
      <c r="J364" s="322">
        <v>8</v>
      </c>
      <c r="K364" s="326" t="e">
        <f>VLOOKUP($A364,Master!$B$50:$N$232,6,FALSE)</f>
        <v>#N/A</v>
      </c>
      <c r="L364" s="327" t="e">
        <f t="shared" si="29"/>
        <v>#N/A</v>
      </c>
      <c r="M364" s="325"/>
    </row>
    <row r="365" spans="1:13" ht="13">
      <c r="A365" s="18" t="s">
        <v>892</v>
      </c>
      <c r="B365" s="316" t="e">
        <f>VLOOKUP($A365,Master!$B$50:$N$232,2,FALSE)</f>
        <v>#N/A</v>
      </c>
      <c r="C365" s="316" t="e">
        <f>VLOOKUP($A365,Master!$B$50:$N$232,8,FALSE)</f>
        <v>#N/A</v>
      </c>
      <c r="D365" s="316" t="e">
        <f>VLOOKUP($A365,Master!$B$50:$N$232,9,FALSE)</f>
        <v>#N/A</v>
      </c>
      <c r="E365" s="317" t="e">
        <f>VLOOKUP($A365,Master!$B$50:$N$232,11,FALSE)</f>
        <v>#N/A</v>
      </c>
      <c r="F365" s="318">
        <v>2</v>
      </c>
      <c r="G365" s="319" t="s">
        <v>36</v>
      </c>
      <c r="H365" s="320">
        <v>215000</v>
      </c>
      <c r="I365" s="321" t="b">
        <v>1</v>
      </c>
      <c r="J365" s="322">
        <v>2</v>
      </c>
      <c r="K365" s="326" t="e">
        <f>VLOOKUP($A365,Master!$B$50:$N$232,6,FALSE)</f>
        <v>#N/A</v>
      </c>
      <c r="L365" s="327" t="e">
        <f t="shared" si="29"/>
        <v>#N/A</v>
      </c>
      <c r="M365" s="325"/>
    </row>
    <row r="366" spans="1:13" ht="13">
      <c r="A366" s="18" t="s">
        <v>934</v>
      </c>
      <c r="B366" s="316" t="e">
        <f>VLOOKUP($A366,Master!$B$50:$N$232,2,FALSE)</f>
        <v>#N/A</v>
      </c>
      <c r="C366" s="316" t="e">
        <f>VLOOKUP($A366,Master!$B$50:$N$232,8,FALSE)</f>
        <v>#N/A</v>
      </c>
      <c r="D366" s="316" t="e">
        <f>VLOOKUP($A366,Master!$B$50:$N$232,9,FALSE)</f>
        <v>#N/A</v>
      </c>
      <c r="E366" s="317" t="e">
        <f>VLOOKUP($A366,Master!$B$50:$N$232,11,FALSE)</f>
        <v>#N/A</v>
      </c>
      <c r="F366" s="318">
        <v>2</v>
      </c>
      <c r="G366" s="319" t="s">
        <v>62</v>
      </c>
      <c r="H366" s="320">
        <v>15800</v>
      </c>
      <c r="I366" s="321" t="b">
        <v>1</v>
      </c>
      <c r="J366" s="322">
        <v>2</v>
      </c>
      <c r="K366" s="326" t="e">
        <f>VLOOKUP($A366,Master!$B$50:$N$232,6,FALSE)</f>
        <v>#N/A</v>
      </c>
      <c r="L366" s="327" t="e">
        <f t="shared" si="29"/>
        <v>#N/A</v>
      </c>
      <c r="M366" s="325"/>
    </row>
    <row r="367" spans="1:13" ht="13">
      <c r="A367" s="18" t="s">
        <v>989</v>
      </c>
      <c r="B367" s="316" t="str">
        <f>VLOOKUP($A367,Master!$B$50:$N$232,2,FALSE)</f>
        <v>B133</v>
      </c>
      <c r="C367" s="316">
        <f>VLOOKUP($A367,Master!$B$50:$N$232,8,FALSE)</f>
        <v>5000</v>
      </c>
      <c r="D367" s="316" t="str">
        <f>VLOOKUP($A367,Master!$B$50:$N$232,9,FALSE)</f>
        <v>ml</v>
      </c>
      <c r="E367" s="317" t="str">
        <f>VLOOKUP($A367,Master!$B$50:$N$232,11,FALSE)</f>
        <v>Kurnia Mas</v>
      </c>
      <c r="F367" s="318">
        <v>2</v>
      </c>
      <c r="G367" s="319" t="s">
        <v>62</v>
      </c>
      <c r="H367" s="320">
        <v>39000</v>
      </c>
      <c r="I367" s="321" t="b">
        <v>1</v>
      </c>
      <c r="J367" s="322">
        <v>2</v>
      </c>
      <c r="K367" s="326">
        <f>VLOOKUP($A367,Master!$B$50:$N$232,6,FALSE)</f>
        <v>54500</v>
      </c>
      <c r="L367" s="324">
        <v>38000</v>
      </c>
      <c r="M367" s="325"/>
    </row>
    <row r="368" spans="1:13" ht="13">
      <c r="A368" s="18" t="s">
        <v>1548</v>
      </c>
      <c r="B368" s="316" t="e">
        <f>VLOOKUP($A368,Master!$B$50:$N$232,2,FALSE)</f>
        <v>#N/A</v>
      </c>
      <c r="C368" s="316" t="e">
        <f>VLOOKUP($A368,Master!$B$50:$N$232,8,FALSE)</f>
        <v>#N/A</v>
      </c>
      <c r="D368" s="316" t="e">
        <f>VLOOKUP($A368,Master!$B$50:$N$232,9,FALSE)</f>
        <v>#N/A</v>
      </c>
      <c r="E368" s="317" t="e">
        <f>VLOOKUP($A368,Master!$B$50:$N$232,11,FALSE)</f>
        <v>#N/A</v>
      </c>
      <c r="F368" s="318">
        <v>3</v>
      </c>
      <c r="G368" s="319" t="s">
        <v>62</v>
      </c>
      <c r="H368" s="320">
        <v>30000</v>
      </c>
      <c r="I368" s="321" t="b">
        <v>1</v>
      </c>
      <c r="J368" s="322">
        <v>3</v>
      </c>
      <c r="K368" s="323" t="e">
        <f>VLOOKUP($A368,Master!$B$50:$N$232,6,FALSE)</f>
        <v>#N/A</v>
      </c>
      <c r="L368" s="324">
        <v>29250</v>
      </c>
      <c r="M368" s="325"/>
    </row>
    <row r="369" spans="1:13" ht="13">
      <c r="A369" s="18" t="s">
        <v>562</v>
      </c>
      <c r="B369" s="316" t="e">
        <f>VLOOKUP($A369,Master!$B$50:$N$232,2,FALSE)</f>
        <v>#N/A</v>
      </c>
      <c r="C369" s="316" t="e">
        <f>VLOOKUP($A369,Master!$B$50:$N$232,8,FALSE)</f>
        <v>#N/A</v>
      </c>
      <c r="D369" s="316" t="e">
        <f>VLOOKUP($A369,Master!$B$50:$N$232,9,FALSE)</f>
        <v>#N/A</v>
      </c>
      <c r="E369" s="317" t="e">
        <f>VLOOKUP($A369,Master!$B$50:$N$232,11,FALSE)</f>
        <v>#N/A</v>
      </c>
      <c r="F369" s="318">
        <v>1</v>
      </c>
      <c r="G369" s="319" t="s">
        <v>97</v>
      </c>
      <c r="H369" s="320">
        <v>216450</v>
      </c>
      <c r="I369" s="321" t="b">
        <v>1</v>
      </c>
      <c r="J369" s="322">
        <v>1</v>
      </c>
      <c r="K369" s="326" t="e">
        <f>VLOOKUP($A369,Master!$B$50:$N$232,6,FALSE)</f>
        <v>#N/A</v>
      </c>
      <c r="L369" s="327" t="e">
        <f t="shared" ref="L369:L370" si="30">J369*K369</f>
        <v>#N/A</v>
      </c>
      <c r="M369" s="325"/>
    </row>
    <row r="370" spans="1:13" ht="13">
      <c r="A370" s="18" t="s">
        <v>992</v>
      </c>
      <c r="B370" s="316" t="e">
        <f>VLOOKUP($A370,Master!$B$50:$N$232,2,FALSE)</f>
        <v>#N/A</v>
      </c>
      <c r="C370" s="316" t="e">
        <f>VLOOKUP($A370,Master!$B$50:$N$232,8,FALSE)</f>
        <v>#N/A</v>
      </c>
      <c r="D370" s="316" t="e">
        <f>VLOOKUP($A370,Master!$B$50:$N$232,9,FALSE)</f>
        <v>#N/A</v>
      </c>
      <c r="E370" s="317" t="e">
        <f>VLOOKUP($A370,Master!$B$50:$N$232,11,FALSE)</f>
        <v>#N/A</v>
      </c>
      <c r="F370" s="318">
        <v>1</v>
      </c>
      <c r="G370" s="319" t="s">
        <v>143</v>
      </c>
      <c r="H370" s="320">
        <v>159025</v>
      </c>
      <c r="I370" s="321" t="b">
        <v>1</v>
      </c>
      <c r="J370" s="322">
        <v>1</v>
      </c>
      <c r="K370" s="326" t="e">
        <f>VLOOKUP($A370,Master!$B$50:$N$232,6,FALSE)</f>
        <v>#N/A</v>
      </c>
      <c r="L370" s="327" t="e">
        <f t="shared" si="30"/>
        <v>#N/A</v>
      </c>
      <c r="M370" s="325"/>
    </row>
    <row r="371" spans="1:13" ht="13">
      <c r="A371" s="18" t="s">
        <v>995</v>
      </c>
      <c r="B371" s="316" t="e">
        <f>VLOOKUP($A371,Master!$B$50:$N$232,2,FALSE)</f>
        <v>#N/A</v>
      </c>
      <c r="C371" s="316" t="e">
        <f>VLOOKUP($A371,Master!$B$50:$N$232,8,FALSE)</f>
        <v>#N/A</v>
      </c>
      <c r="D371" s="316" t="e">
        <f>VLOOKUP($A371,Master!$B$50:$N$232,9,FALSE)</f>
        <v>#N/A</v>
      </c>
      <c r="E371" s="317" t="e">
        <f>VLOOKUP($A371,Master!$B$50:$N$232,11,FALSE)</f>
        <v>#N/A</v>
      </c>
      <c r="F371" s="318">
        <v>1</v>
      </c>
      <c r="G371" s="319" t="s">
        <v>143</v>
      </c>
      <c r="H371" s="320">
        <v>385740</v>
      </c>
      <c r="I371" s="321" t="b">
        <v>1</v>
      </c>
      <c r="J371" s="322">
        <v>1</v>
      </c>
      <c r="K371" s="326" t="e">
        <f>VLOOKUP($A371,Master!$B$50:$N$232,6,FALSE)</f>
        <v>#N/A</v>
      </c>
      <c r="L371" s="324">
        <v>198419</v>
      </c>
      <c r="M371" s="325"/>
    </row>
    <row r="372" spans="1:13" ht="13">
      <c r="A372" s="18" t="s">
        <v>639</v>
      </c>
      <c r="B372" s="316" t="str">
        <f>VLOOKUP($A372,Master!$B$50:$N$232,2,FALSE)</f>
        <v>B032</v>
      </c>
      <c r="C372" s="316">
        <f>VLOOKUP($A372,Master!$B$50:$N$232,8,FALSE)</f>
        <v>1000</v>
      </c>
      <c r="D372" s="316" t="str">
        <f>VLOOKUP($A372,Master!$B$50:$N$232,9,FALSE)</f>
        <v>gr</v>
      </c>
      <c r="E372" s="337" t="str">
        <f>VLOOKUP($A372,Master!$B$50:$N$232,11,FALSE)</f>
        <v>BISS (Topside)</v>
      </c>
      <c r="F372" s="318">
        <v>2</v>
      </c>
      <c r="G372" s="319" t="s">
        <v>36</v>
      </c>
      <c r="H372" s="320">
        <v>290000</v>
      </c>
      <c r="I372" s="321" t="b">
        <v>1</v>
      </c>
      <c r="J372" s="322">
        <v>2</v>
      </c>
      <c r="K372" s="326">
        <f>VLOOKUP($A372,Master!$B$50:$N$232,6,FALSE)</f>
        <v>145000</v>
      </c>
      <c r="L372" s="324">
        <v>260000</v>
      </c>
      <c r="M372" s="325"/>
    </row>
    <row r="373" spans="1:13" ht="13">
      <c r="A373" s="18" t="s">
        <v>623</v>
      </c>
      <c r="B373" s="316" t="e">
        <f>VLOOKUP($A373,Master!$B$50:$N$232,2,FALSE)</f>
        <v>#N/A</v>
      </c>
      <c r="C373" s="316" t="e">
        <f>VLOOKUP($A373,Master!$B$50:$N$232,8,FALSE)</f>
        <v>#N/A</v>
      </c>
      <c r="D373" s="316" t="e">
        <f>VLOOKUP($A373,Master!$B$50:$N$232,9,FALSE)</f>
        <v>#N/A</v>
      </c>
      <c r="E373" s="317" t="e">
        <f>VLOOKUP($A373,Master!$B$50:$N$232,11,FALSE)</f>
        <v>#N/A</v>
      </c>
      <c r="F373" s="318">
        <v>3</v>
      </c>
      <c r="G373" s="319" t="s">
        <v>143</v>
      </c>
      <c r="H373" s="320">
        <v>545787</v>
      </c>
      <c r="I373" s="321" t="b">
        <v>1</v>
      </c>
      <c r="J373" s="322">
        <v>3</v>
      </c>
      <c r="K373" s="326" t="e">
        <f>VLOOKUP($A373,Master!$B$50:$N$232,6,FALSE)</f>
        <v>#N/A</v>
      </c>
      <c r="L373" s="327" t="e">
        <f t="shared" ref="L373:L380" si="31">J373*K373</f>
        <v>#N/A</v>
      </c>
      <c r="M373" s="325"/>
    </row>
    <row r="374" spans="1:13" ht="13">
      <c r="A374" s="18" t="s">
        <v>704</v>
      </c>
      <c r="B374" s="316" t="e">
        <f>VLOOKUP($A374,Master!$B$50:$N$232,2,FALSE)</f>
        <v>#N/A</v>
      </c>
      <c r="C374" s="316" t="e">
        <f>VLOOKUP($A374,Master!$B$50:$N$232,8,FALSE)</f>
        <v>#N/A</v>
      </c>
      <c r="D374" s="316" t="e">
        <f>VLOOKUP($A374,Master!$B$50:$N$232,9,FALSE)</f>
        <v>#N/A</v>
      </c>
      <c r="E374" s="317" t="e">
        <f>VLOOKUP($A374,Master!$B$50:$N$232,11,FALSE)</f>
        <v>#N/A</v>
      </c>
      <c r="F374" s="318">
        <v>3</v>
      </c>
      <c r="G374" s="319" t="s">
        <v>143</v>
      </c>
      <c r="H374" s="320">
        <v>608391</v>
      </c>
      <c r="I374" s="321" t="b">
        <v>1</v>
      </c>
      <c r="J374" s="322">
        <v>3</v>
      </c>
      <c r="K374" s="326" t="e">
        <f>VLOOKUP($A374,Master!$B$50:$N$232,6,FALSE)</f>
        <v>#N/A</v>
      </c>
      <c r="L374" s="327" t="e">
        <f t="shared" si="31"/>
        <v>#N/A</v>
      </c>
      <c r="M374" s="325"/>
    </row>
    <row r="375" spans="1:13" ht="13">
      <c r="A375" s="18" t="s">
        <v>967</v>
      </c>
      <c r="B375" s="316" t="e">
        <f>VLOOKUP($A375,Master!$B$50:$N$232,2,FALSE)</f>
        <v>#N/A</v>
      </c>
      <c r="C375" s="316" t="e">
        <f>VLOOKUP($A375,Master!$B$50:$N$232,8,FALSE)</f>
        <v>#N/A</v>
      </c>
      <c r="D375" s="316" t="e">
        <f>VLOOKUP($A375,Master!$B$50:$N$232,9,FALSE)</f>
        <v>#N/A</v>
      </c>
      <c r="E375" s="317" t="e">
        <f>VLOOKUP($A375,Master!$B$50:$N$232,11,FALSE)</f>
        <v>#N/A</v>
      </c>
      <c r="F375" s="318">
        <v>1</v>
      </c>
      <c r="G375" s="319" t="s">
        <v>97</v>
      </c>
      <c r="H375" s="320">
        <v>129000</v>
      </c>
      <c r="I375" s="321" t="b">
        <v>1</v>
      </c>
      <c r="J375" s="322">
        <v>1</v>
      </c>
      <c r="K375" s="323">
        <v>140200</v>
      </c>
      <c r="L375" s="324">
        <f t="shared" si="31"/>
        <v>140200</v>
      </c>
      <c r="M375" s="325"/>
    </row>
    <row r="376" spans="1:13" ht="13">
      <c r="A376" s="18" t="s">
        <v>847</v>
      </c>
      <c r="B376" s="316" t="str">
        <f>VLOOKUP($A376,Master!$B$50:$N$232,2,FALSE)</f>
        <v>B086</v>
      </c>
      <c r="C376" s="316">
        <f>VLOOKUP($A376,Master!$B$50:$N$232,8,FALSE)</f>
        <v>750</v>
      </c>
      <c r="D376" s="316" t="str">
        <f>VLOOKUP($A376,Master!$B$50:$N$232,9,FALSE)</f>
        <v>gr</v>
      </c>
      <c r="E376" s="317" t="str">
        <f>VLOOKUP($A376,Master!$B$50:$N$232,11,FALSE)</f>
        <v>Tokopedia</v>
      </c>
      <c r="F376" s="318">
        <v>4</v>
      </c>
      <c r="G376" s="319" t="s">
        <v>75</v>
      </c>
      <c r="H376" s="320">
        <v>184000</v>
      </c>
      <c r="I376" s="321" t="b">
        <v>1</v>
      </c>
      <c r="J376" s="322">
        <v>4</v>
      </c>
      <c r="K376" s="323">
        <v>50950</v>
      </c>
      <c r="L376" s="324">
        <f t="shared" si="31"/>
        <v>203800</v>
      </c>
      <c r="M376" s="325"/>
    </row>
    <row r="377" spans="1:13" ht="13">
      <c r="A377" s="18" t="s">
        <v>970</v>
      </c>
      <c r="B377" s="316" t="str">
        <f>VLOOKUP($A377,Master!$B$50:$N$232,2,FALSE)</f>
        <v>B126</v>
      </c>
      <c r="C377" s="316">
        <f>VLOOKUP($A377,Master!$B$50:$N$232,8,FALSE)</f>
        <v>35</v>
      </c>
      <c r="D377" s="316" t="str">
        <f>VLOOKUP($A377,Master!$B$50:$N$232,9,FALSE)</f>
        <v>gr</v>
      </c>
      <c r="E377" s="317" t="str">
        <f>VLOOKUP($A377,Master!$B$50:$N$232,11,FALSE)</f>
        <v>Tokopedia</v>
      </c>
      <c r="F377" s="318">
        <v>2</v>
      </c>
      <c r="G377" s="319" t="s">
        <v>75</v>
      </c>
      <c r="H377" s="320">
        <v>33000</v>
      </c>
      <c r="I377" s="321" t="b">
        <v>1</v>
      </c>
      <c r="J377" s="322">
        <v>3</v>
      </c>
      <c r="K377" s="323">
        <v>19500</v>
      </c>
      <c r="L377" s="324">
        <f t="shared" si="31"/>
        <v>58500</v>
      </c>
      <c r="M377" s="325"/>
    </row>
    <row r="378" spans="1:13" ht="13">
      <c r="A378" s="18" t="s">
        <v>540</v>
      </c>
      <c r="B378" s="316" t="str">
        <f>VLOOKUP($A378,Master!$B$50:$N$232,2,FALSE)</f>
        <v>B006</v>
      </c>
      <c r="C378" s="316">
        <f>VLOOKUP($A378,Master!$B$50:$N$232,8,FALSE)</f>
        <v>1000</v>
      </c>
      <c r="D378" s="316" t="str">
        <f>VLOOKUP($A378,Master!$B$50:$N$232,9,FALSE)</f>
        <v>gr</v>
      </c>
      <c r="E378" s="317" t="str">
        <f>VLOOKUP($A378,Master!$B$50:$N$232,11,FALSE)</f>
        <v>Woodlane</v>
      </c>
      <c r="F378" s="318">
        <v>4</v>
      </c>
      <c r="G378" s="319" t="s">
        <v>36</v>
      </c>
      <c r="H378" s="320">
        <v>680000</v>
      </c>
      <c r="I378" s="321" t="b">
        <v>1</v>
      </c>
      <c r="J378" s="322">
        <v>4</v>
      </c>
      <c r="K378" s="326">
        <f>VLOOKUP($A378,Master!$B$50:$N$232,6,FALSE)</f>
        <v>170000</v>
      </c>
      <c r="L378" s="327">
        <f t="shared" si="31"/>
        <v>680000</v>
      </c>
      <c r="M378" s="325"/>
    </row>
    <row r="379" spans="1:13" ht="13">
      <c r="A379" s="18" t="s">
        <v>590</v>
      </c>
      <c r="B379" s="316" t="str">
        <f>VLOOKUP($A379,Master!$B$50:$N$232,2,FALSE)</f>
        <v>B019</v>
      </c>
      <c r="C379" s="316">
        <f>VLOOKUP($A379,Master!$B$50:$N$232,8,FALSE)</f>
        <v>200</v>
      </c>
      <c r="D379" s="316" t="str">
        <f>VLOOKUP($A379,Master!$B$50:$N$232,9,FALSE)</f>
        <v>gr</v>
      </c>
      <c r="E379" s="317" t="str">
        <f>VLOOKUP($A379,Master!$B$50:$N$232,11,FALSE)</f>
        <v>Woodlane</v>
      </c>
      <c r="F379" s="318">
        <v>2</v>
      </c>
      <c r="G379" s="319" t="s">
        <v>62</v>
      </c>
      <c r="H379" s="320">
        <v>170000</v>
      </c>
      <c r="I379" s="321" t="b">
        <v>1</v>
      </c>
      <c r="J379" s="322">
        <v>2</v>
      </c>
      <c r="K379" s="326">
        <f>VLOOKUP($A379,Master!$B$50:$N$240,6,FALSE)</f>
        <v>85000</v>
      </c>
      <c r="L379" s="327">
        <f t="shared" si="31"/>
        <v>170000</v>
      </c>
      <c r="M379" s="325"/>
    </row>
    <row r="380" spans="1:13" ht="13">
      <c r="A380" s="18" t="s">
        <v>779</v>
      </c>
      <c r="B380" s="316" t="e">
        <f>VLOOKUP($A380,Master!$B$50:$N$232,2,FALSE)</f>
        <v>#N/A</v>
      </c>
      <c r="C380" s="316" t="e">
        <f>VLOOKUP($A380,Master!$B$50:$N$232,8,FALSE)</f>
        <v>#N/A</v>
      </c>
      <c r="D380" s="316" t="e">
        <f>VLOOKUP($A380,Master!$B$50:$N$232,9,FALSE)</f>
        <v>#N/A</v>
      </c>
      <c r="E380" s="317" t="e">
        <f>VLOOKUP($A380,Master!$B$50:$N$232,11,FALSE)</f>
        <v>#N/A</v>
      </c>
      <c r="F380" s="318">
        <v>3</v>
      </c>
      <c r="G380" s="319" t="s">
        <v>62</v>
      </c>
      <c r="H380" s="320">
        <v>96000</v>
      </c>
      <c r="I380" s="321" t="b">
        <v>1</v>
      </c>
      <c r="J380" s="322">
        <v>4</v>
      </c>
      <c r="K380" s="323">
        <v>34000</v>
      </c>
      <c r="L380" s="324">
        <f t="shared" si="31"/>
        <v>136000</v>
      </c>
      <c r="M380" s="325"/>
    </row>
    <row r="381" spans="1:13" ht="13">
      <c r="A381" s="18" t="s">
        <v>716</v>
      </c>
      <c r="B381" s="316" t="str">
        <f>VLOOKUP($A381,Master!$B$50:$N$232,2,FALSE)</f>
        <v>B051</v>
      </c>
      <c r="C381" s="316">
        <f>VLOOKUP($A381,Master!$B$50:$N$232,8,FALSE)</f>
        <v>1000</v>
      </c>
      <c r="D381" s="316" t="str">
        <f>VLOOKUP($A381,Master!$B$50:$N$232,9,FALSE)</f>
        <v>gr</v>
      </c>
      <c r="E381" s="317" t="str">
        <f>VLOOKUP($A381,Master!$B$50:$N$232,11,FALSE)</f>
        <v>Eden Farm</v>
      </c>
      <c r="F381" s="318">
        <v>0.5</v>
      </c>
      <c r="G381" s="319" t="s">
        <v>36</v>
      </c>
      <c r="H381" s="320">
        <v>41700</v>
      </c>
      <c r="I381" s="321" t="b">
        <v>1</v>
      </c>
      <c r="J381" s="322">
        <v>0.5</v>
      </c>
      <c r="K381" s="326">
        <f>VLOOKUP($A381,Master!$B$50:$N$232,6,FALSE)</f>
        <v>45000</v>
      </c>
      <c r="L381" s="324">
        <v>19450</v>
      </c>
      <c r="M381" s="325"/>
    </row>
    <row r="382" spans="1:13" ht="13">
      <c r="A382" s="18" t="s">
        <v>919</v>
      </c>
      <c r="B382" s="316" t="str">
        <f>VLOOKUP($A382,Master!$B$50:$N$232,2,FALSE)</f>
        <v>B109</v>
      </c>
      <c r="C382" s="316">
        <f>VLOOKUP($A382,Master!$B$50:$N$232,8,FALSE)</f>
        <v>1000</v>
      </c>
      <c r="D382" s="316" t="str">
        <f>VLOOKUP($A382,Master!$B$50:$N$232,9,FALSE)</f>
        <v>gr</v>
      </c>
      <c r="E382" s="317" t="str">
        <f>VLOOKUP($A382,Master!$B$50:$N$232,11,FALSE)</f>
        <v>Eden Farm</v>
      </c>
      <c r="F382" s="318">
        <v>1</v>
      </c>
      <c r="G382" s="319" t="s">
        <v>62</v>
      </c>
      <c r="H382" s="320">
        <v>20900</v>
      </c>
      <c r="I382" s="321" t="b">
        <v>1</v>
      </c>
      <c r="J382" s="322">
        <v>1</v>
      </c>
      <c r="K382" s="323">
        <v>39900</v>
      </c>
      <c r="L382" s="324">
        <f t="shared" ref="L382:L388" si="32">J382*K382</f>
        <v>39900</v>
      </c>
      <c r="M382" s="325"/>
    </row>
    <row r="383" spans="1:13" ht="13">
      <c r="A383" s="18" t="s">
        <v>1590</v>
      </c>
      <c r="B383" s="316"/>
      <c r="C383" s="316"/>
      <c r="D383" s="316"/>
      <c r="E383" s="317" t="s">
        <v>234</v>
      </c>
      <c r="F383" s="318">
        <v>1</v>
      </c>
      <c r="G383" s="319" t="s">
        <v>62</v>
      </c>
      <c r="H383" s="320">
        <v>247000</v>
      </c>
      <c r="I383" s="321" t="b">
        <v>1</v>
      </c>
      <c r="J383" s="322">
        <v>1</v>
      </c>
      <c r="K383" s="323">
        <v>247000</v>
      </c>
      <c r="L383" s="324">
        <f t="shared" si="32"/>
        <v>247000</v>
      </c>
      <c r="M383" s="325"/>
    </row>
    <row r="384" spans="1:13" ht="13">
      <c r="A384" s="18" t="s">
        <v>1591</v>
      </c>
      <c r="B384" s="316"/>
      <c r="C384" s="316"/>
      <c r="D384" s="316"/>
      <c r="E384" s="317" t="s">
        <v>234</v>
      </c>
      <c r="F384" s="318">
        <v>1</v>
      </c>
      <c r="G384" s="319" t="s">
        <v>62</v>
      </c>
      <c r="H384" s="320">
        <v>3000</v>
      </c>
      <c r="I384" s="321" t="b">
        <v>1</v>
      </c>
      <c r="J384" s="322">
        <v>9</v>
      </c>
      <c r="K384" s="323">
        <v>3000</v>
      </c>
      <c r="L384" s="324">
        <f t="shared" si="32"/>
        <v>27000</v>
      </c>
      <c r="M384" s="325"/>
    </row>
    <row r="385" spans="1:13" ht="13">
      <c r="A385" s="18" t="s">
        <v>1592</v>
      </c>
      <c r="B385" s="316"/>
      <c r="C385" s="316"/>
      <c r="D385" s="316"/>
      <c r="E385" s="317" t="s">
        <v>234</v>
      </c>
      <c r="F385" s="318">
        <v>1</v>
      </c>
      <c r="G385" s="319" t="s">
        <v>62</v>
      </c>
      <c r="H385" s="320">
        <v>17000</v>
      </c>
      <c r="I385" s="321" t="b">
        <v>1</v>
      </c>
      <c r="J385" s="322">
        <v>1</v>
      </c>
      <c r="K385" s="323">
        <v>17000</v>
      </c>
      <c r="L385" s="324">
        <f t="shared" si="32"/>
        <v>17000</v>
      </c>
      <c r="M385" s="325"/>
    </row>
    <row r="386" spans="1:13" ht="13">
      <c r="A386" s="18" t="s">
        <v>1593</v>
      </c>
      <c r="B386" s="316"/>
      <c r="C386" s="316"/>
      <c r="D386" s="316"/>
      <c r="E386" s="317" t="s">
        <v>234</v>
      </c>
      <c r="F386" s="318">
        <v>1</v>
      </c>
      <c r="G386" s="319" t="s">
        <v>62</v>
      </c>
      <c r="H386" s="320">
        <v>6000</v>
      </c>
      <c r="I386" s="321" t="b">
        <v>1</v>
      </c>
      <c r="J386" s="322">
        <v>1</v>
      </c>
      <c r="K386" s="323">
        <v>6000</v>
      </c>
      <c r="L386" s="324">
        <f t="shared" si="32"/>
        <v>6000</v>
      </c>
      <c r="M386" s="325"/>
    </row>
    <row r="387" spans="1:13" ht="13">
      <c r="A387" s="18" t="s">
        <v>1594</v>
      </c>
      <c r="B387" s="316"/>
      <c r="C387" s="316"/>
      <c r="D387" s="316"/>
      <c r="E387" s="317" t="s">
        <v>1595</v>
      </c>
      <c r="F387" s="318">
        <v>1</v>
      </c>
      <c r="G387" s="319" t="s">
        <v>62</v>
      </c>
      <c r="H387" s="320">
        <v>9000</v>
      </c>
      <c r="I387" s="321" t="b">
        <v>1</v>
      </c>
      <c r="J387" s="322">
        <v>1</v>
      </c>
      <c r="K387" s="323">
        <v>9000</v>
      </c>
      <c r="L387" s="324">
        <f t="shared" si="32"/>
        <v>9000</v>
      </c>
      <c r="M387" s="325"/>
    </row>
    <row r="388" spans="1:13" ht="13">
      <c r="A388" s="18" t="s">
        <v>1596</v>
      </c>
      <c r="B388" s="316"/>
      <c r="C388" s="316"/>
      <c r="D388" s="316"/>
      <c r="E388" s="317" t="s">
        <v>1595</v>
      </c>
      <c r="F388" s="318">
        <v>1</v>
      </c>
      <c r="G388" s="319" t="s">
        <v>62</v>
      </c>
      <c r="H388" s="320">
        <v>7000</v>
      </c>
      <c r="I388" s="321" t="b">
        <v>1</v>
      </c>
      <c r="J388" s="322">
        <v>1</v>
      </c>
      <c r="K388" s="323">
        <v>7000</v>
      </c>
      <c r="L388" s="324">
        <f t="shared" si="32"/>
        <v>7000</v>
      </c>
      <c r="M388" s="325"/>
    </row>
    <row r="389" spans="1:13" ht="13">
      <c r="A389" s="18" t="s">
        <v>1501</v>
      </c>
      <c r="B389" s="316" t="e">
        <f>VLOOKUP($A389,Master!$B$50:$N$232,2,FALSE)</f>
        <v>#N/A</v>
      </c>
      <c r="C389" s="316" t="e">
        <f>VLOOKUP($A389,Master!$B$50:$N$232,8,FALSE)</f>
        <v>#N/A</v>
      </c>
      <c r="D389" s="316" t="e">
        <f>VLOOKUP($A389,Master!$B$50:$N$232,9,FALSE)</f>
        <v>#N/A</v>
      </c>
      <c r="E389" s="317" t="e">
        <f>VLOOKUP($A389,Master!$B$50:$N$232,11,FALSE)</f>
        <v>#N/A</v>
      </c>
      <c r="F389" s="318">
        <v>1</v>
      </c>
      <c r="G389" s="319" t="s">
        <v>36</v>
      </c>
      <c r="H389" s="320">
        <v>4050</v>
      </c>
      <c r="I389" s="321" t="b">
        <v>1</v>
      </c>
      <c r="J389" s="322">
        <v>3</v>
      </c>
      <c r="K389" s="323">
        <v>39900</v>
      </c>
      <c r="L389" s="324">
        <v>17672</v>
      </c>
      <c r="M389" s="325" t="s">
        <v>1500</v>
      </c>
    </row>
    <row r="390" spans="1:13" ht="13">
      <c r="A390" s="18" t="s">
        <v>655</v>
      </c>
      <c r="B390" s="316" t="str">
        <f>VLOOKUP($A390,Master!$B$50:$N$232,2,FALSE)</f>
        <v>B036</v>
      </c>
      <c r="C390" s="316">
        <f>VLOOKUP($A390,Master!$B$50:$N$232,8,FALSE)</f>
        <v>1000</v>
      </c>
      <c r="D390" s="316" t="str">
        <f>VLOOKUP($A390,Master!$B$50:$N$232,9,FALSE)</f>
        <v>gr</v>
      </c>
      <c r="E390" s="317" t="str">
        <f>VLOOKUP($A390,Master!$B$50:$N$232,11,FALSE)</f>
        <v>Toko Lain</v>
      </c>
      <c r="F390" s="318">
        <v>4</v>
      </c>
      <c r="G390" s="319" t="s">
        <v>36</v>
      </c>
      <c r="H390" s="320">
        <v>195600</v>
      </c>
      <c r="I390" s="321" t="b">
        <v>1</v>
      </c>
      <c r="J390" s="322">
        <v>4.42</v>
      </c>
      <c r="K390" s="323">
        <v>39900</v>
      </c>
      <c r="L390" s="324">
        <v>225947</v>
      </c>
      <c r="M390" s="325" t="s">
        <v>1500</v>
      </c>
    </row>
    <row r="392" spans="1:13" ht="13">
      <c r="F392" s="427">
        <v>44739</v>
      </c>
      <c r="G392" s="428"/>
      <c r="H392" s="424"/>
      <c r="J392" s="429">
        <f>F392+1</f>
        <v>44740</v>
      </c>
      <c r="K392" s="428"/>
      <c r="L392" s="424"/>
    </row>
    <row r="393" spans="1:13" ht="13">
      <c r="F393" s="425" t="s">
        <v>1490</v>
      </c>
      <c r="G393" s="426"/>
      <c r="H393" s="304">
        <f>SUM(H395:H569)</f>
        <v>1923850</v>
      </c>
      <c r="J393" s="425" t="s">
        <v>1491</v>
      </c>
      <c r="K393" s="426"/>
      <c r="L393" s="304" t="e">
        <f>SUM(L395:L569)</f>
        <v>#N/A</v>
      </c>
    </row>
    <row r="394" spans="1:13" ht="13">
      <c r="A394" s="2" t="s">
        <v>4</v>
      </c>
      <c r="B394" s="305" t="s">
        <v>5</v>
      </c>
      <c r="C394" s="305" t="s">
        <v>1492</v>
      </c>
      <c r="D394" s="305" t="s">
        <v>12</v>
      </c>
      <c r="E394" s="306" t="s">
        <v>1493</v>
      </c>
      <c r="F394" s="307" t="s">
        <v>1494</v>
      </c>
      <c r="G394" s="308" t="s">
        <v>10</v>
      </c>
      <c r="H394" s="309" t="s">
        <v>1495</v>
      </c>
      <c r="I394" s="310" t="s">
        <v>1289</v>
      </c>
      <c r="J394" s="311" t="s">
        <v>1496</v>
      </c>
      <c r="K394" s="312" t="s">
        <v>1497</v>
      </c>
      <c r="L394" s="313" t="s">
        <v>1498</v>
      </c>
      <c r="M394" s="314" t="s">
        <v>16</v>
      </c>
    </row>
    <row r="395" spans="1:13" ht="13">
      <c r="A395" s="18" t="s">
        <v>976</v>
      </c>
      <c r="B395" s="316" t="str">
        <f>VLOOKUP($A395,Master!$B$50:$N$232,2,FALSE)</f>
        <v>B128</v>
      </c>
      <c r="C395" s="316">
        <f>VLOOKUP($A395,Master!$B$50:$N$232,8,FALSE)</f>
        <v>300</v>
      </c>
      <c r="D395" s="316" t="str">
        <f>VLOOKUP($A395,Master!$B$50:$N$232,9,FALSE)</f>
        <v>pcs</v>
      </c>
      <c r="E395" s="317" t="str">
        <f>VLOOKUP($A395,Master!$B$50:$N$232,11,FALSE)</f>
        <v>Kurnia Mas</v>
      </c>
      <c r="F395" s="318">
        <v>2</v>
      </c>
      <c r="G395" s="319" t="s">
        <v>62</v>
      </c>
      <c r="H395" s="320">
        <v>50000</v>
      </c>
      <c r="I395" s="321" t="b">
        <v>1</v>
      </c>
      <c r="J395" s="322">
        <v>2</v>
      </c>
      <c r="K395" s="323">
        <v>30000</v>
      </c>
      <c r="L395" s="324">
        <f t="shared" ref="L395:L401" si="33">J395*K395</f>
        <v>60000</v>
      </c>
      <c r="M395" s="325"/>
    </row>
    <row r="396" spans="1:13" ht="13">
      <c r="A396" s="18" t="s">
        <v>1046</v>
      </c>
      <c r="B396" s="316" t="e">
        <f>VLOOKUP($A396,Master!$B$50:$N$232,2,FALSE)</f>
        <v>#N/A</v>
      </c>
      <c r="C396" s="316" t="e">
        <f>VLOOKUP($A396,Master!$B$50:$N$232,8,FALSE)</f>
        <v>#N/A</v>
      </c>
      <c r="D396" s="316" t="e">
        <f>VLOOKUP($A396,Master!$B$50:$N$232,9,FALSE)</f>
        <v>#N/A</v>
      </c>
      <c r="E396" s="317" t="e">
        <f>VLOOKUP($A396,Master!$B$50:$N$232,11,FALSE)</f>
        <v>#N/A</v>
      </c>
      <c r="F396" s="318">
        <v>1</v>
      </c>
      <c r="G396" s="319" t="s">
        <v>62</v>
      </c>
      <c r="H396" s="320">
        <v>18000</v>
      </c>
      <c r="I396" s="321" t="b">
        <v>1</v>
      </c>
      <c r="J396" s="322">
        <v>1</v>
      </c>
      <c r="K396" s="323">
        <v>160000</v>
      </c>
      <c r="L396" s="324">
        <f t="shared" si="33"/>
        <v>160000</v>
      </c>
      <c r="M396" s="325"/>
    </row>
    <row r="397" spans="1:13" ht="13">
      <c r="A397" s="18" t="s">
        <v>647</v>
      </c>
      <c r="B397" s="316" t="str">
        <f>VLOOKUP($A397,Master!$B$50:$N$232,2,FALSE)</f>
        <v>B034</v>
      </c>
      <c r="C397" s="316">
        <f>VLOOKUP($A397,Master!$B$50:$N$232,8,FALSE)</f>
        <v>250</v>
      </c>
      <c r="D397" s="316" t="str">
        <f>VLOOKUP($A397,Master!$B$50:$N$232,9,FALSE)</f>
        <v>pcs</v>
      </c>
      <c r="E397" s="317" t="str">
        <f>VLOOKUP($A397,Master!$B$50:$N$232,11,FALSE)</f>
        <v>Kurnia Mas</v>
      </c>
      <c r="F397" s="318">
        <v>1</v>
      </c>
      <c r="G397" s="319" t="s">
        <v>75</v>
      </c>
      <c r="H397" s="320">
        <v>42500</v>
      </c>
      <c r="I397" s="321" t="b">
        <v>0</v>
      </c>
      <c r="J397" s="322"/>
      <c r="K397" s="326">
        <f>VLOOKUP($A397,Master!$B$50:$N$232,6,FALSE)</f>
        <v>65000</v>
      </c>
      <c r="L397" s="327">
        <f t="shared" si="33"/>
        <v>0</v>
      </c>
      <c r="M397" s="325"/>
    </row>
    <row r="398" spans="1:13" ht="13">
      <c r="A398" s="18" t="s">
        <v>586</v>
      </c>
      <c r="B398" s="316" t="str">
        <f>VLOOKUP($A398,Master!$B$50:$N$232,2,FALSE)</f>
        <v>B018</v>
      </c>
      <c r="C398" s="316">
        <f>VLOOKUP($A398,Master!$B$50:$N$232,8,FALSE)</f>
        <v>20</v>
      </c>
      <c r="D398" s="316" t="str">
        <f>VLOOKUP($A398,Master!$B$50:$N$232,9,FALSE)</f>
        <v>pcs</v>
      </c>
      <c r="E398" s="317" t="str">
        <f>VLOOKUP($A398,Master!$B$50:$N$232,11,FALSE)</f>
        <v>Kurnia Mas</v>
      </c>
      <c r="F398" s="318">
        <v>2</v>
      </c>
      <c r="G398" s="319" t="s">
        <v>62</v>
      </c>
      <c r="H398" s="320">
        <v>14600</v>
      </c>
      <c r="I398" s="321" t="b">
        <v>1</v>
      </c>
      <c r="J398" s="322">
        <v>2</v>
      </c>
      <c r="K398" s="326">
        <f>VLOOKUP($A398,Master!$B$50:$N$232,6,FALSE)</f>
        <v>8500</v>
      </c>
      <c r="L398" s="327">
        <f t="shared" si="33"/>
        <v>17000</v>
      </c>
      <c r="M398" s="325"/>
    </row>
    <row r="399" spans="1:13" ht="13">
      <c r="A399" s="18" t="s">
        <v>578</v>
      </c>
      <c r="B399" s="316" t="e">
        <f>VLOOKUP($A399,Master!$B$50:$N$232,2,FALSE)</f>
        <v>#N/A</v>
      </c>
      <c r="C399" s="316" t="e">
        <f>VLOOKUP($A399,Master!$B$50:$N$232,8,FALSE)</f>
        <v>#N/A</v>
      </c>
      <c r="D399" s="316" t="e">
        <f>VLOOKUP($A399,Master!$B$50:$N$232,9,FALSE)</f>
        <v>#N/A</v>
      </c>
      <c r="E399" s="317" t="e">
        <f>VLOOKUP($A399,Master!$B$50:$N$232,11,FALSE)</f>
        <v>#N/A</v>
      </c>
      <c r="F399" s="318">
        <v>1</v>
      </c>
      <c r="G399" s="319" t="s">
        <v>62</v>
      </c>
      <c r="H399" s="320">
        <v>220000</v>
      </c>
      <c r="I399" s="321" t="b">
        <v>1</v>
      </c>
      <c r="J399" s="322">
        <v>1</v>
      </c>
      <c r="K399" s="326" t="e">
        <f>VLOOKUP($A399,Master!$B$50:$N$232,6,FALSE)</f>
        <v>#N/A</v>
      </c>
      <c r="L399" s="327" t="e">
        <f t="shared" si="33"/>
        <v>#N/A</v>
      </c>
      <c r="M399" s="325"/>
    </row>
    <row r="400" spans="1:13" ht="13">
      <c r="A400" s="18" t="s">
        <v>651</v>
      </c>
      <c r="B400" s="316" t="str">
        <f>VLOOKUP($A400,Master!$B$50:$N$232,2,FALSE)</f>
        <v>B035</v>
      </c>
      <c r="C400" s="316">
        <f>VLOOKUP($A400,Master!$B$50:$N$232,8,FALSE)</f>
        <v>1000</v>
      </c>
      <c r="D400" s="316" t="str">
        <f>VLOOKUP($A400,Master!$B$50:$N$232,9,FALSE)</f>
        <v>gr</v>
      </c>
      <c r="E400" s="317" t="str">
        <f>VLOOKUP($A400,Master!$B$50:$N$232,11,FALSE)</f>
        <v>Eden Farm</v>
      </c>
      <c r="F400" s="318">
        <v>1.5</v>
      </c>
      <c r="G400" s="319" t="s">
        <v>36</v>
      </c>
      <c r="H400" s="320">
        <v>19400</v>
      </c>
      <c r="I400" s="321" t="b">
        <v>1</v>
      </c>
      <c r="J400" s="322">
        <v>1.5</v>
      </c>
      <c r="K400" s="323">
        <v>10400</v>
      </c>
      <c r="L400" s="324">
        <f t="shared" si="33"/>
        <v>15600</v>
      </c>
      <c r="M400" s="325"/>
    </row>
    <row r="401" spans="1:13" ht="13">
      <c r="A401" s="18" t="s">
        <v>667</v>
      </c>
      <c r="B401" s="316" t="str">
        <f>VLOOKUP($A401,Master!$B$50:$N$232,2,FALSE)</f>
        <v>B039</v>
      </c>
      <c r="C401" s="316">
        <f>VLOOKUP($A401,Master!$B$50:$N$232,8,FALSE)</f>
        <v>1000</v>
      </c>
      <c r="D401" s="316" t="str">
        <f>VLOOKUP($A401,Master!$B$50:$N$232,9,FALSE)</f>
        <v>gr</v>
      </c>
      <c r="E401" s="317" t="str">
        <f>VLOOKUP($A401,Master!$B$50:$N$232,11,FALSE)</f>
        <v>Eden Farm</v>
      </c>
      <c r="F401" s="318">
        <v>1</v>
      </c>
      <c r="G401" s="319" t="s">
        <v>36</v>
      </c>
      <c r="H401" s="320">
        <v>89800</v>
      </c>
      <c r="I401" s="321" t="b">
        <v>1</v>
      </c>
      <c r="J401" s="322">
        <v>1</v>
      </c>
      <c r="K401" s="323">
        <v>100300</v>
      </c>
      <c r="L401" s="324">
        <f t="shared" si="33"/>
        <v>100300</v>
      </c>
      <c r="M401" s="325"/>
    </row>
    <row r="402" spans="1:13" ht="13">
      <c r="A402" s="18" t="s">
        <v>732</v>
      </c>
      <c r="B402" s="316" t="str">
        <f>VLOOKUP($A402,Master!$B$50:$N$232,2,FALSE)</f>
        <v>B055</v>
      </c>
      <c r="C402" s="316">
        <f>VLOOKUP($A402,Master!$B$50:$N$232,8,FALSE)</f>
        <v>1000</v>
      </c>
      <c r="D402" s="316" t="str">
        <f>VLOOKUP($A402,Master!$B$50:$N$232,9,FALSE)</f>
        <v>gr</v>
      </c>
      <c r="E402" s="317" t="str">
        <f>VLOOKUP($A402,Master!$B$50:$N$232,11,FALSE)</f>
        <v>Eden Farm</v>
      </c>
      <c r="F402" s="318">
        <v>1</v>
      </c>
      <c r="G402" s="319" t="s">
        <v>36</v>
      </c>
      <c r="H402" s="320">
        <v>18900</v>
      </c>
      <c r="I402" s="321" t="b">
        <v>1</v>
      </c>
      <c r="J402" s="322">
        <v>1</v>
      </c>
      <c r="K402" s="326">
        <f>VLOOKUP($A402,Master!$B$50:$N$232,6,FALSE)</f>
        <v>40000</v>
      </c>
      <c r="L402" s="324">
        <v>18000</v>
      </c>
      <c r="M402" s="325"/>
    </row>
    <row r="403" spans="1:13" ht="13">
      <c r="A403" s="18" t="s">
        <v>744</v>
      </c>
      <c r="B403" s="316" t="str">
        <f>VLOOKUP($A403,Master!$B$50:$N$232,2,FALSE)</f>
        <v>B058</v>
      </c>
      <c r="C403" s="316">
        <f>VLOOKUP($A403,Master!$B$50:$N$232,8,FALSE)</f>
        <v>1000</v>
      </c>
      <c r="D403" s="316" t="str">
        <f>VLOOKUP($A403,Master!$B$50:$N$232,9,FALSE)</f>
        <v>gr</v>
      </c>
      <c r="E403" s="317" t="str">
        <f>VLOOKUP($A403,Master!$B$50:$N$232,11,FALSE)</f>
        <v>Eden Farm</v>
      </c>
      <c r="F403" s="318">
        <v>0.5</v>
      </c>
      <c r="G403" s="319" t="s">
        <v>36</v>
      </c>
      <c r="H403" s="320">
        <v>44900</v>
      </c>
      <c r="I403" s="321" t="b">
        <v>1</v>
      </c>
      <c r="J403" s="322">
        <v>0.5</v>
      </c>
      <c r="K403" s="323">
        <v>50700</v>
      </c>
      <c r="L403" s="324">
        <f t="shared" ref="L403:L405" si="34">J403*K403</f>
        <v>25350</v>
      </c>
      <c r="M403" s="325"/>
    </row>
    <row r="404" spans="1:13" ht="13">
      <c r="A404" s="18" t="s">
        <v>782</v>
      </c>
      <c r="B404" s="316" t="str">
        <f>VLOOKUP($A404,Master!$B$50:$N$232,2,FALSE)</f>
        <v>B069</v>
      </c>
      <c r="C404" s="316">
        <f>VLOOKUP($A404,Master!$B$50:$N$232,8,FALSE)</f>
        <v>500</v>
      </c>
      <c r="D404" s="316" t="str">
        <f>VLOOKUP($A404,Master!$B$50:$N$232,9,FALSE)</f>
        <v>gr</v>
      </c>
      <c r="E404" s="317" t="str">
        <f>VLOOKUP($A404,Master!$B$50:$N$232,11,FALSE)</f>
        <v>Toko Lain</v>
      </c>
      <c r="F404" s="318">
        <v>3</v>
      </c>
      <c r="G404" s="319" t="s">
        <v>62</v>
      </c>
      <c r="H404" s="320">
        <v>23100</v>
      </c>
      <c r="I404" s="321" t="b">
        <v>1</v>
      </c>
      <c r="J404" s="322">
        <v>3</v>
      </c>
      <c r="K404" s="323">
        <v>12000</v>
      </c>
      <c r="L404" s="324">
        <f t="shared" si="34"/>
        <v>36000</v>
      </c>
      <c r="M404" s="325" t="s">
        <v>287</v>
      </c>
    </row>
    <row r="405" spans="1:13" ht="13">
      <c r="A405" s="18" t="s">
        <v>795</v>
      </c>
      <c r="B405" s="316" t="str">
        <f>VLOOKUP($A405,Master!$B$50:$N$232,2,FALSE)</f>
        <v>B073</v>
      </c>
      <c r="C405" s="316">
        <f>VLOOKUP($A405,Master!$B$50:$N$232,8,FALSE)</f>
        <v>10</v>
      </c>
      <c r="D405" s="316" t="str">
        <f>VLOOKUP($A405,Master!$B$50:$N$232,9,FALSE)</f>
        <v>unit</v>
      </c>
      <c r="E405" s="317" t="str">
        <f>VLOOKUP($A405,Master!$B$50:$N$232,11,FALSE)</f>
        <v>Toko Lain</v>
      </c>
      <c r="F405" s="318">
        <v>3</v>
      </c>
      <c r="G405" s="319" t="s">
        <v>62</v>
      </c>
      <c r="H405" s="320">
        <v>23400</v>
      </c>
      <c r="I405" s="321" t="b">
        <v>1</v>
      </c>
      <c r="J405" s="322">
        <v>3</v>
      </c>
      <c r="K405" s="323">
        <v>8500</v>
      </c>
      <c r="L405" s="324">
        <f t="shared" si="34"/>
        <v>25500</v>
      </c>
      <c r="M405" s="325"/>
    </row>
    <row r="406" spans="1:13" ht="13">
      <c r="A406" s="18" t="s">
        <v>819</v>
      </c>
      <c r="B406" s="316" t="str">
        <f>VLOOKUP($A406,Master!$B$50:$N$232,2,FALSE)</f>
        <v>B079</v>
      </c>
      <c r="C406" s="316">
        <f>VLOOKUP($A406,Master!$B$50:$N$232,8,FALSE)</f>
        <v>1000</v>
      </c>
      <c r="D406" s="316" t="str">
        <f>VLOOKUP($A406,Master!$B$50:$N$232,9,FALSE)</f>
        <v>gr</v>
      </c>
      <c r="E406" s="317" t="str">
        <f>VLOOKUP($A406,Master!$B$50:$N$232,11,FALSE)</f>
        <v>Eden Farm</v>
      </c>
      <c r="F406" s="318">
        <v>0.5</v>
      </c>
      <c r="G406" s="319" t="s">
        <v>36</v>
      </c>
      <c r="H406" s="320">
        <v>13000</v>
      </c>
      <c r="I406" s="321" t="b">
        <v>1</v>
      </c>
      <c r="J406" s="322">
        <v>0.5</v>
      </c>
      <c r="K406" s="326">
        <f>VLOOKUP($A406,Master!$B$50:$N$232,6,FALSE)</f>
        <v>13000</v>
      </c>
      <c r="L406" s="324">
        <v>6050</v>
      </c>
      <c r="M406" s="325"/>
    </row>
    <row r="407" spans="1:13" ht="13">
      <c r="A407" s="18" t="s">
        <v>885</v>
      </c>
      <c r="B407" s="316" t="str">
        <f>VLOOKUP($A407,Master!$B$50:$N$232,2,FALSE)</f>
        <v>B097</v>
      </c>
      <c r="C407" s="316">
        <f>VLOOKUP($A407,Master!$B$50:$N$232,8,FALSE)</f>
        <v>1000</v>
      </c>
      <c r="D407" s="316" t="str">
        <f>VLOOKUP($A407,Master!$B$50:$N$232,9,FALSE)</f>
        <v>gr</v>
      </c>
      <c r="E407" s="317" t="str">
        <f>VLOOKUP($A407,Master!$B$50:$N$232,11,FALSE)</f>
        <v>Eden Farm</v>
      </c>
      <c r="F407" s="318">
        <v>0.5</v>
      </c>
      <c r="G407" s="319" t="s">
        <v>36</v>
      </c>
      <c r="H407" s="320">
        <v>25700</v>
      </c>
      <c r="I407" s="321" t="b">
        <v>1</v>
      </c>
      <c r="J407" s="322">
        <v>0.5</v>
      </c>
      <c r="K407" s="326">
        <f>VLOOKUP($A407,Master!$B$50:$N$232,6,FALSE)</f>
        <v>30500</v>
      </c>
      <c r="L407" s="327">
        <f>J407*K407</f>
        <v>15250</v>
      </c>
      <c r="M407" s="325"/>
    </row>
    <row r="408" spans="1:13" ht="13">
      <c r="A408" s="18" t="s">
        <v>919</v>
      </c>
      <c r="B408" s="316" t="str">
        <f>VLOOKUP($A408,Master!$B$50:$N$232,2,FALSE)</f>
        <v>B109</v>
      </c>
      <c r="C408" s="316">
        <f>VLOOKUP($A408,Master!$B$50:$N$232,8,FALSE)</f>
        <v>1000</v>
      </c>
      <c r="D408" s="316" t="str">
        <f>VLOOKUP($A408,Master!$B$50:$N$232,9,FALSE)</f>
        <v>gr</v>
      </c>
      <c r="E408" s="317" t="str">
        <f>VLOOKUP($A408,Master!$B$50:$N$232,11,FALSE)</f>
        <v>Eden Farm</v>
      </c>
      <c r="F408" s="318">
        <v>0.5</v>
      </c>
      <c r="G408" s="319" t="s">
        <v>36</v>
      </c>
      <c r="H408" s="320">
        <v>39900</v>
      </c>
      <c r="I408" s="321" t="b">
        <v>1</v>
      </c>
      <c r="J408" s="322">
        <v>0.5</v>
      </c>
      <c r="K408" s="326">
        <f>VLOOKUP($A408,Master!$B$50:$N$232,6,FALSE)</f>
        <v>50000</v>
      </c>
      <c r="L408" s="324">
        <v>19200</v>
      </c>
      <c r="M408" s="325"/>
    </row>
    <row r="409" spans="1:13" ht="13">
      <c r="A409" s="18" t="s">
        <v>1020</v>
      </c>
      <c r="B409" s="316" t="str">
        <f>VLOOKUP($A409,Master!$B$50:$N$232,2,FALSE)</f>
        <v>B144</v>
      </c>
      <c r="C409" s="316">
        <f>VLOOKUP($A409,Master!$B$50:$N$232,8,FALSE)</f>
        <v>1000</v>
      </c>
      <c r="D409" s="316" t="str">
        <f>VLOOKUP($A409,Master!$B$50:$N$232,9,FALSE)</f>
        <v>gr</v>
      </c>
      <c r="E409" s="317" t="str">
        <f>VLOOKUP($A409,Master!$B$50:$N$232,11,FALSE)</f>
        <v>Eden Farm</v>
      </c>
      <c r="F409" s="318">
        <v>0.5</v>
      </c>
      <c r="G409" s="319" t="s">
        <v>36</v>
      </c>
      <c r="H409" s="320">
        <v>21800</v>
      </c>
      <c r="I409" s="321" t="b">
        <v>1</v>
      </c>
      <c r="J409" s="322">
        <v>0.5</v>
      </c>
      <c r="K409" s="326">
        <f>VLOOKUP($A409,Master!$B$50:$N$232,6,FALSE)</f>
        <v>24000</v>
      </c>
      <c r="L409" s="324">
        <v>6850</v>
      </c>
      <c r="M409" s="325"/>
    </row>
    <row r="410" spans="1:13" ht="13">
      <c r="A410" s="18" t="s">
        <v>1050</v>
      </c>
      <c r="B410" s="316" t="e">
        <f>VLOOKUP($A410,Master!$B$50:$N$232,2,FALSE)</f>
        <v>#N/A</v>
      </c>
      <c r="C410" s="316" t="e">
        <f>VLOOKUP($A410,Master!$B$50:$N$232,8,FALSE)</f>
        <v>#N/A</v>
      </c>
      <c r="D410" s="316" t="e">
        <f>VLOOKUP($A410,Master!$B$50:$N$232,9,FALSE)</f>
        <v>#N/A</v>
      </c>
      <c r="E410" s="317" t="e">
        <f>VLOOKUP($A410,Master!$B$50:$N$232,11,FALSE)</f>
        <v>#N/A</v>
      </c>
      <c r="F410" s="318">
        <v>0.5</v>
      </c>
      <c r="G410" s="319" t="s">
        <v>36</v>
      </c>
      <c r="H410" s="320">
        <v>9500</v>
      </c>
      <c r="I410" s="321" t="b">
        <v>1</v>
      </c>
      <c r="J410" s="322">
        <v>0.5</v>
      </c>
      <c r="K410" s="323">
        <v>9700</v>
      </c>
      <c r="L410" s="324">
        <f t="shared" ref="L410:L416" si="35">J410*K410</f>
        <v>4850</v>
      </c>
      <c r="M410" s="325"/>
    </row>
    <row r="411" spans="1:13" ht="13">
      <c r="A411" s="18" t="s">
        <v>659</v>
      </c>
      <c r="B411" s="316" t="str">
        <f>VLOOKUP($A411,Master!$B$50:$N$232,2,FALSE)</f>
        <v>B037</v>
      </c>
      <c r="C411" s="316">
        <f>VLOOKUP($A411,Master!$B$50:$N$232,8,FALSE)</f>
        <v>15</v>
      </c>
      <c r="D411" s="316" t="str">
        <f>VLOOKUP($A411,Master!$B$50:$N$232,9,FALSE)</f>
        <v>pcs</v>
      </c>
      <c r="E411" s="317" t="str">
        <f>VLOOKUP($A411,Master!$B$50:$N$232,11,FALSE)</f>
        <v>Feri Supriadi (Telur , Beras , Minyak )</v>
      </c>
      <c r="F411" s="318">
        <v>2</v>
      </c>
      <c r="G411" s="319" t="s">
        <v>36</v>
      </c>
      <c r="H411" s="320">
        <v>55000</v>
      </c>
      <c r="I411" s="321" t="b">
        <v>1</v>
      </c>
      <c r="J411" s="322">
        <v>2</v>
      </c>
      <c r="K411" s="323">
        <v>28000</v>
      </c>
      <c r="L411" s="324">
        <f t="shared" si="35"/>
        <v>56000</v>
      </c>
      <c r="M411" s="325"/>
    </row>
    <row r="412" spans="1:13" ht="13">
      <c r="A412" s="18" t="s">
        <v>675</v>
      </c>
      <c r="B412" s="316" t="str">
        <f>VLOOKUP($A412,Master!$B$50:$N$232,2,FALSE)</f>
        <v>B041</v>
      </c>
      <c r="C412" s="316">
        <f>VLOOKUP($A412,Master!$B$50:$N$232,8,FALSE)</f>
        <v>20</v>
      </c>
      <c r="D412" s="316" t="str">
        <f>VLOOKUP($A412,Master!$B$50:$N$232,9,FALSE)</f>
        <v>unit</v>
      </c>
      <c r="E412" s="317" t="str">
        <f>VLOOKUP($A412,Master!$B$50:$N$232,11,FALSE)</f>
        <v>RSB, Dago</v>
      </c>
      <c r="F412" s="318">
        <v>10</v>
      </c>
      <c r="G412" s="319" t="s">
        <v>62</v>
      </c>
      <c r="H412" s="320">
        <v>60000</v>
      </c>
      <c r="I412" s="321" t="b">
        <v>1</v>
      </c>
      <c r="J412" s="322">
        <v>10</v>
      </c>
      <c r="K412" s="326">
        <f>VLOOKUP($A412,Master!$B$50:$N$232,6,FALSE)</f>
        <v>13500</v>
      </c>
      <c r="L412" s="327">
        <f t="shared" si="35"/>
        <v>135000</v>
      </c>
      <c r="M412" s="325"/>
    </row>
    <row r="413" spans="1:13" ht="13">
      <c r="A413" s="344" t="s">
        <v>881</v>
      </c>
      <c r="B413" s="316" t="str">
        <f>VLOOKUP($A413,Master!$B$50:$N$232,2,FALSE)</f>
        <v>B095</v>
      </c>
      <c r="C413" s="316">
        <f>VLOOKUP($A413,Master!$B$50:$N$232,8,FALSE)</f>
        <v>1000</v>
      </c>
      <c r="D413" s="316" t="str">
        <f>VLOOKUP($A413,Master!$B$50:$N$232,9,FALSE)</f>
        <v>gr</v>
      </c>
      <c r="E413" s="317" t="str">
        <f>VLOOKUP($A413,Master!$B$50:$N$232,11,FALSE)</f>
        <v>Pasar Cihapit</v>
      </c>
      <c r="F413" s="318">
        <v>0.35</v>
      </c>
      <c r="G413" s="319" t="s">
        <v>36</v>
      </c>
      <c r="H413" s="320">
        <v>69000</v>
      </c>
      <c r="I413" s="321" t="b">
        <v>0</v>
      </c>
      <c r="J413" s="322"/>
      <c r="K413" s="326">
        <f>VLOOKUP($A413,Master!$B$50:$N$232,6,FALSE)</f>
        <v>69000</v>
      </c>
      <c r="L413" s="327">
        <f t="shared" si="35"/>
        <v>0</v>
      </c>
      <c r="M413" s="325" t="s">
        <v>1597</v>
      </c>
    </row>
    <row r="414" spans="1:13" ht="13">
      <c r="A414" s="344" t="s">
        <v>883</v>
      </c>
      <c r="B414" s="316" t="str">
        <f>VLOOKUP($A414,Master!$B$50:$N$232,2,FALSE)</f>
        <v>B096</v>
      </c>
      <c r="C414" s="316">
        <f>VLOOKUP($A414,Master!$B$50:$N$232,8,FALSE)</f>
        <v>1000</v>
      </c>
      <c r="D414" s="316" t="str">
        <f>VLOOKUP($A414,Master!$B$50:$N$232,9,FALSE)</f>
        <v>gr</v>
      </c>
      <c r="E414" s="317" t="str">
        <f>VLOOKUP($A414,Master!$B$50:$N$232,11,FALSE)</f>
        <v>Pasar Cihapit</v>
      </c>
      <c r="F414" s="318">
        <v>0.25</v>
      </c>
      <c r="G414" s="319" t="s">
        <v>36</v>
      </c>
      <c r="H414" s="320">
        <v>148500</v>
      </c>
      <c r="I414" s="321" t="b">
        <v>0</v>
      </c>
      <c r="J414" s="322"/>
      <c r="K414" s="326">
        <f>VLOOKUP($A414,Master!$B$50:$N$232,6,FALSE)</f>
        <v>156222</v>
      </c>
      <c r="L414" s="327">
        <f t="shared" si="35"/>
        <v>0</v>
      </c>
      <c r="M414" s="325" t="s">
        <v>1597</v>
      </c>
    </row>
    <row r="415" spans="1:13" ht="13">
      <c r="A415" s="18" t="s">
        <v>528</v>
      </c>
      <c r="B415" s="316" t="e">
        <f>VLOOKUP($A415,Master!$B$50:$N$232,2,FALSE)</f>
        <v>#N/A</v>
      </c>
      <c r="C415" s="316" t="e">
        <f>VLOOKUP($A415,Master!$B$50:$N$232,8,FALSE)</f>
        <v>#N/A</v>
      </c>
      <c r="D415" s="316" t="e">
        <f>VLOOKUP($A415,Master!$B$50:$N$232,9,FALSE)</f>
        <v>#N/A</v>
      </c>
      <c r="E415" s="317" t="e">
        <f>VLOOKUP($A415,Master!$B$50:$N$232,11,FALSE)</f>
        <v>#N/A</v>
      </c>
      <c r="F415" s="318">
        <v>4</v>
      </c>
      <c r="G415" s="319" t="s">
        <v>50</v>
      </c>
      <c r="H415" s="320">
        <v>64000</v>
      </c>
      <c r="I415" s="321" t="b">
        <v>1</v>
      </c>
      <c r="J415" s="322">
        <v>4</v>
      </c>
      <c r="K415" s="326" t="e">
        <f>VLOOKUP($A415,Master!$B$50:$N$232,6,FALSE)</f>
        <v>#N/A</v>
      </c>
      <c r="L415" s="327" t="e">
        <f t="shared" si="35"/>
        <v>#N/A</v>
      </c>
      <c r="M415" s="325"/>
    </row>
    <row r="416" spans="1:13" ht="13">
      <c r="A416" s="18" t="s">
        <v>635</v>
      </c>
      <c r="B416" s="316" t="e">
        <f>VLOOKUP($A416,Master!$B$50:$N$232,2,FALSE)</f>
        <v>#N/A</v>
      </c>
      <c r="C416" s="316" t="e">
        <f>VLOOKUP($A416,Master!$B$50:$N$232,8,FALSE)</f>
        <v>#N/A</v>
      </c>
      <c r="D416" s="316" t="e">
        <f>VLOOKUP($A416,Master!$B$50:$N$232,9,FALSE)</f>
        <v>#N/A</v>
      </c>
      <c r="E416" s="317" t="e">
        <f>VLOOKUP($A416,Master!$B$50:$N$232,11,FALSE)</f>
        <v>#N/A</v>
      </c>
      <c r="F416" s="318">
        <v>8</v>
      </c>
      <c r="G416" s="319" t="s">
        <v>50</v>
      </c>
      <c r="H416" s="320">
        <v>88000</v>
      </c>
      <c r="I416" s="321" t="b">
        <v>1</v>
      </c>
      <c r="J416" s="322">
        <v>8</v>
      </c>
      <c r="K416" s="326" t="e">
        <f>VLOOKUP($A416,Master!$B$50:$N$232,6,FALSE)</f>
        <v>#N/A</v>
      </c>
      <c r="L416" s="327" t="e">
        <f t="shared" si="35"/>
        <v>#N/A</v>
      </c>
      <c r="M416" s="325"/>
    </row>
    <row r="417" spans="1:13" ht="13">
      <c r="A417" s="18" t="s">
        <v>688</v>
      </c>
      <c r="B417" s="316" t="e">
        <f>VLOOKUP($A417,Master!$B$50:$N$232,2,FALSE)</f>
        <v>#N/A</v>
      </c>
      <c r="C417" s="316" t="e">
        <f>VLOOKUP($A417,Master!$B$50:$N$232,8,FALSE)</f>
        <v>#N/A</v>
      </c>
      <c r="D417" s="316" t="e">
        <f>VLOOKUP($A417,Master!$B$50:$N$232,9,FALSE)</f>
        <v>#N/A</v>
      </c>
      <c r="E417" s="317" t="e">
        <f>VLOOKUP($A417,Master!$B$50:$N$232,11,FALSE)</f>
        <v>#N/A</v>
      </c>
      <c r="F417" s="318">
        <v>1</v>
      </c>
      <c r="G417" s="319" t="s">
        <v>62</v>
      </c>
      <c r="H417" s="320">
        <v>187500</v>
      </c>
      <c r="I417" s="321" t="b">
        <v>1</v>
      </c>
      <c r="J417" s="322">
        <v>1</v>
      </c>
      <c r="K417" s="326" t="e">
        <f>VLOOKUP($A417,Master!$B$50:$N$232,6,FALSE)</f>
        <v>#N/A</v>
      </c>
      <c r="L417" s="324">
        <v>62000</v>
      </c>
      <c r="M417" s="325"/>
    </row>
    <row r="418" spans="1:13" ht="13">
      <c r="A418" s="18" t="s">
        <v>696</v>
      </c>
      <c r="B418" s="316" t="e">
        <f>VLOOKUP($A418,Master!$B$50:$N$232,2,FALSE)</f>
        <v>#N/A</v>
      </c>
      <c r="C418" s="316" t="e">
        <f>VLOOKUP($A418,Master!$B$50:$N$232,8,FALSE)</f>
        <v>#N/A</v>
      </c>
      <c r="D418" s="316" t="e">
        <f>VLOOKUP($A418,Master!$B$50:$N$232,9,FALSE)</f>
        <v>#N/A</v>
      </c>
      <c r="E418" s="317" t="e">
        <f>VLOOKUP($A418,Master!$B$50:$N$232,11,FALSE)</f>
        <v>#N/A</v>
      </c>
      <c r="F418" s="318">
        <v>4</v>
      </c>
      <c r="G418" s="319" t="s">
        <v>62</v>
      </c>
      <c r="H418" s="320">
        <v>56000</v>
      </c>
      <c r="I418" s="321" t="b">
        <v>1</v>
      </c>
      <c r="J418" s="322">
        <v>4</v>
      </c>
      <c r="K418" s="326" t="e">
        <f>VLOOKUP($A418,Master!$B$50:$N$232,6,FALSE)</f>
        <v>#N/A</v>
      </c>
      <c r="L418" s="324">
        <v>53000</v>
      </c>
      <c r="M418" s="325"/>
    </row>
    <row r="419" spans="1:13" ht="13">
      <c r="A419" s="18" t="s">
        <v>748</v>
      </c>
      <c r="B419" s="316" t="e">
        <f>VLOOKUP($A419,Master!$B$50:$N$232,2,FALSE)</f>
        <v>#N/A</v>
      </c>
      <c r="C419" s="316" t="e">
        <f>VLOOKUP($A419,Master!$B$50:$N$232,8,FALSE)</f>
        <v>#N/A</v>
      </c>
      <c r="D419" s="316" t="e">
        <f>VLOOKUP($A419,Master!$B$50:$N$232,9,FALSE)</f>
        <v>#N/A</v>
      </c>
      <c r="E419" s="317" t="e">
        <f>VLOOKUP($A419,Master!$B$50:$N$232,11,FALSE)</f>
        <v>#N/A</v>
      </c>
      <c r="F419" s="318">
        <v>2</v>
      </c>
      <c r="G419" s="319" t="s">
        <v>62</v>
      </c>
      <c r="H419" s="320">
        <v>55000</v>
      </c>
      <c r="I419" s="321" t="b">
        <v>1</v>
      </c>
      <c r="J419" s="322">
        <v>2</v>
      </c>
      <c r="K419" s="326" t="e">
        <f>VLOOKUP($A419,Master!$B$50:$N$232,6,FALSE)</f>
        <v>#N/A</v>
      </c>
      <c r="L419" s="324">
        <v>54000</v>
      </c>
      <c r="M419" s="325"/>
    </row>
    <row r="420" spans="1:13" ht="13">
      <c r="A420" s="18" t="s">
        <v>787</v>
      </c>
      <c r="B420" s="316" t="e">
        <f>VLOOKUP($A420,Master!$B$50:$N$232,2,FALSE)</f>
        <v>#N/A</v>
      </c>
      <c r="C420" s="316" t="e">
        <f>VLOOKUP($A420,Master!$B$50:$N$232,8,FALSE)</f>
        <v>#N/A</v>
      </c>
      <c r="D420" s="316" t="e">
        <f>VLOOKUP($A420,Master!$B$50:$N$232,9,FALSE)</f>
        <v>#N/A</v>
      </c>
      <c r="E420" s="317" t="e">
        <f>VLOOKUP($A420,Master!$B$50:$N$232,11,FALSE)</f>
        <v>#N/A</v>
      </c>
      <c r="F420" s="318">
        <v>1</v>
      </c>
      <c r="G420" s="319" t="s">
        <v>97</v>
      </c>
      <c r="H420" s="320">
        <v>20250</v>
      </c>
      <c r="I420" s="321" t="b">
        <v>1</v>
      </c>
      <c r="J420" s="322">
        <v>1</v>
      </c>
      <c r="K420" s="326" t="e">
        <f>VLOOKUP($A420,Master!$B$50:$N$232,6,FALSE)</f>
        <v>#N/A</v>
      </c>
      <c r="L420" s="327" t="e">
        <f t="shared" ref="L420:L427" si="36">J420*K420</f>
        <v>#N/A</v>
      </c>
      <c r="M420" s="325"/>
    </row>
    <row r="421" spans="1:13" ht="13">
      <c r="A421" s="18" t="s">
        <v>799</v>
      </c>
      <c r="B421" s="316" t="str">
        <f>VLOOKUP($A421,Master!$B$50:$N$232,2,FALSE)</f>
        <v>B074</v>
      </c>
      <c r="C421" s="316">
        <f>VLOOKUP($A421,Master!$B$50:$N$232,8,FALSE)</f>
        <v>1000</v>
      </c>
      <c r="D421" s="316" t="str">
        <f>VLOOKUP($A421,Master!$B$50:$N$232,9,FALSE)</f>
        <v>gr</v>
      </c>
      <c r="E421" s="317" t="str">
        <f>VLOOKUP($A421,Master!$B$50:$N$232,11,FALSE)</f>
        <v>PD Aroma Jaya</v>
      </c>
      <c r="F421" s="318">
        <v>0.5</v>
      </c>
      <c r="G421" s="319" t="s">
        <v>36</v>
      </c>
      <c r="H421" s="320">
        <v>88000</v>
      </c>
      <c r="I421" s="321" t="b">
        <v>1</v>
      </c>
      <c r="J421" s="322">
        <v>0.5</v>
      </c>
      <c r="K421" s="326">
        <f>VLOOKUP($A421,Master!$B$50:$N$232,6,FALSE)</f>
        <v>90000</v>
      </c>
      <c r="L421" s="327">
        <f t="shared" si="36"/>
        <v>45000</v>
      </c>
      <c r="M421" s="325"/>
    </row>
    <row r="422" spans="1:13" ht="13">
      <c r="A422" s="18" t="s">
        <v>811</v>
      </c>
      <c r="B422" s="316" t="str">
        <f>VLOOKUP($A422,Master!$B$50:$N$232,2,FALSE)</f>
        <v>B077</v>
      </c>
      <c r="C422" s="316">
        <f>VLOOKUP($A422,Master!$B$50:$N$232,8,FALSE)</f>
        <v>100</v>
      </c>
      <c r="D422" s="316" t="str">
        <f>VLOOKUP($A422,Master!$B$50:$N$232,9,FALSE)</f>
        <v>gr</v>
      </c>
      <c r="E422" s="317" t="str">
        <f>VLOOKUP($A422,Master!$B$50:$N$232,11,FALSE)</f>
        <v>PD Aroma Jaya</v>
      </c>
      <c r="F422" s="318">
        <v>1</v>
      </c>
      <c r="G422" s="319" t="s">
        <v>62</v>
      </c>
      <c r="H422" s="320">
        <v>38000</v>
      </c>
      <c r="I422" s="321" t="b">
        <v>1</v>
      </c>
      <c r="J422" s="322">
        <v>1</v>
      </c>
      <c r="K422" s="326">
        <f>VLOOKUP($A422,Master!$B$50:$N$232,6,FALSE)</f>
        <v>38000</v>
      </c>
      <c r="L422" s="327">
        <f t="shared" si="36"/>
        <v>38000</v>
      </c>
      <c r="M422" s="325"/>
    </row>
    <row r="423" spans="1:13" ht="13">
      <c r="A423" s="18" t="s">
        <v>892</v>
      </c>
      <c r="B423" s="316" t="e">
        <f>VLOOKUP($A423,Master!$B$50:$N$232,2,FALSE)</f>
        <v>#N/A</v>
      </c>
      <c r="C423" s="316" t="e">
        <f>VLOOKUP($A423,Master!$B$50:$N$232,8,FALSE)</f>
        <v>#N/A</v>
      </c>
      <c r="D423" s="316" t="e">
        <f>VLOOKUP($A423,Master!$B$50:$N$232,9,FALSE)</f>
        <v>#N/A</v>
      </c>
      <c r="E423" s="317" t="e">
        <f>VLOOKUP($A423,Master!$B$50:$N$232,11,FALSE)</f>
        <v>#N/A</v>
      </c>
      <c r="F423" s="318">
        <v>1</v>
      </c>
      <c r="G423" s="319" t="s">
        <v>36</v>
      </c>
      <c r="H423" s="320">
        <v>215000</v>
      </c>
      <c r="I423" s="321" t="b">
        <v>1</v>
      </c>
      <c r="J423" s="322">
        <v>1</v>
      </c>
      <c r="K423" s="326" t="e">
        <f>VLOOKUP($A423,Master!$B$50:$N$232,6,FALSE)</f>
        <v>#N/A</v>
      </c>
      <c r="L423" s="327" t="e">
        <f t="shared" si="36"/>
        <v>#N/A</v>
      </c>
      <c r="M423" s="325"/>
    </row>
    <row r="424" spans="1:13" ht="13">
      <c r="A424" s="18" t="s">
        <v>934</v>
      </c>
      <c r="B424" s="316" t="e">
        <f>VLOOKUP($A424,Master!$B$50:$N$232,2,FALSE)</f>
        <v>#N/A</v>
      </c>
      <c r="C424" s="316" t="e">
        <f>VLOOKUP($A424,Master!$B$50:$N$232,8,FALSE)</f>
        <v>#N/A</v>
      </c>
      <c r="D424" s="316" t="e">
        <f>VLOOKUP($A424,Master!$B$50:$N$232,9,FALSE)</f>
        <v>#N/A</v>
      </c>
      <c r="E424" s="317" t="e">
        <f>VLOOKUP($A424,Master!$B$50:$N$232,11,FALSE)</f>
        <v>#N/A</v>
      </c>
      <c r="F424" s="318">
        <v>2</v>
      </c>
      <c r="G424" s="319" t="s">
        <v>62</v>
      </c>
      <c r="H424" s="320">
        <v>15800</v>
      </c>
      <c r="I424" s="321" t="b">
        <v>1</v>
      </c>
      <c r="J424" s="322">
        <v>2</v>
      </c>
      <c r="K424" s="326" t="e">
        <f>VLOOKUP($A424,Master!$B$50:$N$232,6,FALSE)</f>
        <v>#N/A</v>
      </c>
      <c r="L424" s="327" t="e">
        <f t="shared" si="36"/>
        <v>#N/A</v>
      </c>
      <c r="M424" s="325"/>
    </row>
    <row r="425" spans="1:13" ht="13">
      <c r="A425" s="18" t="s">
        <v>943</v>
      </c>
      <c r="B425" s="316" t="e">
        <f>VLOOKUP($A425,Master!$B$50:$N$232,2,FALSE)</f>
        <v>#N/A</v>
      </c>
      <c r="C425" s="316" t="e">
        <f>VLOOKUP($A425,Master!$B$50:$N$232,8,FALSE)</f>
        <v>#N/A</v>
      </c>
      <c r="D425" s="316" t="e">
        <f>VLOOKUP($A425,Master!$B$50:$N$232,9,FALSE)</f>
        <v>#N/A</v>
      </c>
      <c r="E425" s="317" t="e">
        <f>VLOOKUP($A425,Master!$B$50:$N$232,11,FALSE)</f>
        <v>#N/A</v>
      </c>
      <c r="F425" s="318">
        <v>2</v>
      </c>
      <c r="G425" s="319" t="s">
        <v>62</v>
      </c>
      <c r="H425" s="320">
        <v>15800</v>
      </c>
      <c r="I425" s="321" t="b">
        <v>1</v>
      </c>
      <c r="J425" s="322">
        <v>2</v>
      </c>
      <c r="K425" s="326" t="e">
        <f>VLOOKUP($A425,Master!$B$50:$N$232,6,FALSE)</f>
        <v>#N/A</v>
      </c>
      <c r="L425" s="327" t="e">
        <f t="shared" si="36"/>
        <v>#N/A</v>
      </c>
      <c r="M425" s="325"/>
    </row>
    <row r="426" spans="1:13" ht="13">
      <c r="A426" s="344" t="s">
        <v>989</v>
      </c>
      <c r="B426" s="346" t="str">
        <f>VLOOKUP($A426,Master!$B$50:$N$232,2,FALSE)</f>
        <v>B133</v>
      </c>
      <c r="C426" s="346">
        <f>VLOOKUP($A426,Master!$B$50:$N$232,8,FALSE)</f>
        <v>5000</v>
      </c>
      <c r="D426" s="346" t="str">
        <f>VLOOKUP($A426,Master!$B$50:$N$232,9,FALSE)</f>
        <v>ml</v>
      </c>
      <c r="E426" s="347" t="str">
        <f>VLOOKUP($A426,Master!$B$50:$N$232,11,FALSE)</f>
        <v>Kurnia Mas</v>
      </c>
      <c r="F426" s="318">
        <v>0</v>
      </c>
      <c r="G426" s="319" t="s">
        <v>62</v>
      </c>
      <c r="H426" s="320">
        <v>19500</v>
      </c>
      <c r="I426" s="321" t="b">
        <v>0</v>
      </c>
      <c r="J426" s="322"/>
      <c r="K426" s="326">
        <f>VLOOKUP($A426,Master!$B$50:$N$232,6,FALSE)</f>
        <v>54500</v>
      </c>
      <c r="L426" s="327">
        <f t="shared" si="36"/>
        <v>0</v>
      </c>
      <c r="M426" s="325" t="s">
        <v>1597</v>
      </c>
    </row>
    <row r="427" spans="1:13" ht="13">
      <c r="A427" s="344" t="s">
        <v>1017</v>
      </c>
      <c r="B427" s="346" t="str">
        <f>VLOOKUP($A427,Master!$B$50:$N$232,2,FALSE)</f>
        <v>B143</v>
      </c>
      <c r="C427" s="346">
        <f>VLOOKUP($A427,Master!$B$50:$N$232,8,FALSE)</f>
        <v>1</v>
      </c>
      <c r="D427" s="346" t="str">
        <f>VLOOKUP($A427,Master!$B$50:$N$232,9,FALSE)</f>
        <v>pcs</v>
      </c>
      <c r="E427" s="347" t="str">
        <f>VLOOKUP($A427,Master!$B$50:$N$232,11,FALSE)</f>
        <v>PD Aroma Jaya</v>
      </c>
      <c r="F427" s="318">
        <v>0</v>
      </c>
      <c r="G427" s="319" t="s">
        <v>62</v>
      </c>
      <c r="H427" s="320">
        <v>8400</v>
      </c>
      <c r="I427" s="321" t="b">
        <v>0</v>
      </c>
      <c r="J427" s="322"/>
      <c r="K427" s="326">
        <f>VLOOKUP($A427,Master!$B$50:$N$232,6,FALSE)</f>
        <v>2800</v>
      </c>
      <c r="L427" s="327">
        <f t="shared" si="36"/>
        <v>0</v>
      </c>
      <c r="M427" s="325" t="s">
        <v>1597</v>
      </c>
    </row>
    <row r="428" spans="1:13" ht="13">
      <c r="A428" s="18" t="s">
        <v>544</v>
      </c>
      <c r="B428" s="316" t="e">
        <f>VLOOKUP($A428,Master!$B$50:$N$232,2,FALSE)</f>
        <v>#N/A</v>
      </c>
      <c r="C428" s="316" t="e">
        <f>VLOOKUP($A428,Master!$B$50:$N$232,8,FALSE)</f>
        <v>#N/A</v>
      </c>
      <c r="D428" s="316" t="e">
        <f>VLOOKUP($A428,Master!$B$50:$N$232,9,FALSE)</f>
        <v>#N/A</v>
      </c>
      <c r="E428" s="317" t="e">
        <f>VLOOKUP($A428,Master!$B$50:$N$232,11,FALSE)</f>
        <v>#N/A</v>
      </c>
      <c r="F428" s="318">
        <v>3</v>
      </c>
      <c r="G428" s="319" t="s">
        <v>62</v>
      </c>
      <c r="H428" s="320">
        <v>45600</v>
      </c>
      <c r="I428" s="321" t="b">
        <v>1</v>
      </c>
      <c r="J428" s="322">
        <v>3</v>
      </c>
      <c r="K428" s="326" t="e">
        <f>VLOOKUP($A428,Master!$B$50:$N$232,6,FALSE)</f>
        <v>#N/A</v>
      </c>
      <c r="L428" s="324">
        <v>48743</v>
      </c>
      <c r="M428" s="325"/>
    </row>
  </sheetData>
  <mergeCells count="36">
    <mergeCell ref="F5:H5"/>
    <mergeCell ref="J5:L5"/>
    <mergeCell ref="F6:G6"/>
    <mergeCell ref="J6:K6"/>
    <mergeCell ref="F57:H57"/>
    <mergeCell ref="J57:L57"/>
    <mergeCell ref="J58:K58"/>
    <mergeCell ref="J174:L174"/>
    <mergeCell ref="J175:K175"/>
    <mergeCell ref="F58:G58"/>
    <mergeCell ref="F117:H117"/>
    <mergeCell ref="J117:L117"/>
    <mergeCell ref="F118:G118"/>
    <mergeCell ref="J118:K118"/>
    <mergeCell ref="F174:H174"/>
    <mergeCell ref="F175:G175"/>
    <mergeCell ref="F219:H219"/>
    <mergeCell ref="J219:L219"/>
    <mergeCell ref="F220:G220"/>
    <mergeCell ref="J220:K220"/>
    <mergeCell ref="F270:H270"/>
    <mergeCell ref="J270:L270"/>
    <mergeCell ref="F393:G393"/>
    <mergeCell ref="J393:K393"/>
    <mergeCell ref="F271:G271"/>
    <mergeCell ref="F280:H280"/>
    <mergeCell ref="J280:L280"/>
    <mergeCell ref="F281:G281"/>
    <mergeCell ref="J281:K281"/>
    <mergeCell ref="F329:H329"/>
    <mergeCell ref="F330:G330"/>
    <mergeCell ref="J271:K271"/>
    <mergeCell ref="J329:L329"/>
    <mergeCell ref="J330:K330"/>
    <mergeCell ref="F392:H392"/>
    <mergeCell ref="J392:L39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M503"/>
  <sheetViews>
    <sheetView workbookViewId="0"/>
  </sheetViews>
  <sheetFormatPr baseColWidth="10" defaultColWidth="12.6640625" defaultRowHeight="15.75" customHeight="1"/>
  <cols>
    <col min="1" max="1" width="23.83203125" customWidth="1"/>
    <col min="2" max="2" width="5.1640625" hidden="1" customWidth="1"/>
    <col min="3" max="3" width="4.6640625" customWidth="1"/>
    <col min="4" max="4" width="5.83203125" customWidth="1"/>
    <col min="5" max="5" width="17.6640625" customWidth="1"/>
    <col min="6" max="7" width="9.6640625" customWidth="1"/>
    <col min="8" max="8" width="11.5" customWidth="1"/>
    <col min="9" max="11" width="9.6640625" customWidth="1"/>
    <col min="12" max="12" width="11.5" customWidth="1"/>
  </cols>
  <sheetData>
    <row r="1" spans="1:13" ht="15.75" customHeight="1">
      <c r="A1" s="303" t="s">
        <v>1570</v>
      </c>
    </row>
    <row r="2" spans="1:13" ht="15.75" customHeight="1">
      <c r="A2" s="303" t="s">
        <v>2</v>
      </c>
    </row>
    <row r="4" spans="1:13" ht="15.75" customHeight="1">
      <c r="F4" s="427">
        <v>44685</v>
      </c>
      <c r="G4" s="428"/>
      <c r="H4" s="424"/>
      <c r="J4" s="429">
        <f>F4+1</f>
        <v>44686</v>
      </c>
      <c r="K4" s="428"/>
      <c r="L4" s="424"/>
    </row>
    <row r="5" spans="1:13" ht="15.75" customHeight="1">
      <c r="F5" s="425" t="s">
        <v>1490</v>
      </c>
      <c r="G5" s="426"/>
      <c r="H5" s="304">
        <f>SUM(H7:H47)</f>
        <v>1653914</v>
      </c>
      <c r="J5" s="425" t="s">
        <v>1491</v>
      </c>
      <c r="K5" s="426"/>
      <c r="L5" s="304" t="e">
        <f>SUM(L7:L47)</f>
        <v>#N/A</v>
      </c>
    </row>
    <row r="6" spans="1:13" ht="15.75" customHeight="1">
      <c r="A6" s="2" t="s">
        <v>4</v>
      </c>
      <c r="B6" s="305" t="s">
        <v>5</v>
      </c>
      <c r="C6" s="305" t="s">
        <v>11</v>
      </c>
      <c r="D6" s="305" t="s">
        <v>12</v>
      </c>
      <c r="E6" s="306" t="s">
        <v>6</v>
      </c>
      <c r="F6" s="307" t="s">
        <v>1494</v>
      </c>
      <c r="G6" s="308" t="s">
        <v>10</v>
      </c>
      <c r="H6" s="309" t="s">
        <v>1495</v>
      </c>
      <c r="I6" s="310" t="s">
        <v>1289</v>
      </c>
      <c r="J6" s="311" t="s">
        <v>1496</v>
      </c>
      <c r="K6" s="312" t="s">
        <v>1497</v>
      </c>
      <c r="L6" s="313" t="s">
        <v>1498</v>
      </c>
      <c r="M6" s="314" t="s">
        <v>16</v>
      </c>
    </row>
    <row r="7" spans="1:13" ht="15.75" customHeight="1">
      <c r="A7" s="316" t="s">
        <v>1598</v>
      </c>
      <c r="B7" s="316" t="s">
        <v>1973</v>
      </c>
      <c r="C7" s="316" t="e">
        <f>VLOOKUP($A7,Master!$B$50:$N$232,8,FALSE)</f>
        <v>#N/A</v>
      </c>
      <c r="D7" s="316" t="e">
        <f>VLOOKUP($A7,Master!$B$50:$N$232,9,FALSE)</f>
        <v>#N/A</v>
      </c>
      <c r="E7" s="317" t="e">
        <f>VLOOKUP($A7,Master!$B$50:$N$232,11,FALSE)</f>
        <v>#N/A</v>
      </c>
      <c r="F7" s="318">
        <v>2</v>
      </c>
      <c r="G7" s="354" t="s">
        <v>97</v>
      </c>
      <c r="H7" s="320">
        <v>20800</v>
      </c>
      <c r="I7" s="321" t="b">
        <v>1</v>
      </c>
      <c r="J7" s="322"/>
      <c r="K7" s="323" t="e">
        <f>VLOOKUP($A7,Master!$B$50:$N$232,6,FALSE)</f>
        <v>#N/A</v>
      </c>
      <c r="L7" s="324" t="e">
        <f t="shared" ref="L7:L47" si="0">J7*K7</f>
        <v>#N/A</v>
      </c>
      <c r="M7" s="325">
        <v>11500</v>
      </c>
    </row>
    <row r="8" spans="1:13" ht="15.75" customHeight="1">
      <c r="A8" s="316" t="s">
        <v>770</v>
      </c>
      <c r="B8" s="316" t="s">
        <v>1973</v>
      </c>
      <c r="C8" s="316" t="e">
        <f>VLOOKUP($A8,Master!$B$50:$N$232,8,FALSE)</f>
        <v>#N/A</v>
      </c>
      <c r="D8" s="316" t="e">
        <f>VLOOKUP($A8,Master!$B$50:$N$232,9,FALSE)</f>
        <v>#N/A</v>
      </c>
      <c r="E8" s="317" t="e">
        <f>VLOOKUP($A8,Master!$B$50:$N$232,11,FALSE)</f>
        <v>#N/A</v>
      </c>
      <c r="F8" s="318">
        <v>1</v>
      </c>
      <c r="G8" s="354" t="s">
        <v>97</v>
      </c>
      <c r="H8" s="320">
        <v>24400</v>
      </c>
      <c r="I8" s="321" t="b">
        <v>1</v>
      </c>
      <c r="J8" s="322"/>
      <c r="K8" s="326" t="e">
        <f>VLOOKUP($A8,Master!$B$50:$N$232,6,FALSE)</f>
        <v>#N/A</v>
      </c>
      <c r="L8" s="327" t="e">
        <f t="shared" si="0"/>
        <v>#N/A</v>
      </c>
      <c r="M8" s="325">
        <v>25900</v>
      </c>
    </row>
    <row r="9" spans="1:13" ht="15.75" customHeight="1">
      <c r="A9" s="316" t="s">
        <v>782</v>
      </c>
      <c r="B9" s="316" t="s">
        <v>1973</v>
      </c>
      <c r="C9" s="316">
        <f>VLOOKUP($A9,Master!$B$50:$N$232,8,FALSE)</f>
        <v>500</v>
      </c>
      <c r="D9" s="316" t="str">
        <f>VLOOKUP($A9,Master!$B$50:$N$232,9,FALSE)</f>
        <v>gr</v>
      </c>
      <c r="E9" s="317" t="str">
        <f>VLOOKUP($A9,Master!$B$50:$N$232,11,FALSE)</f>
        <v>Toko Lain</v>
      </c>
      <c r="F9" s="318">
        <v>1</v>
      </c>
      <c r="G9" s="354" t="s">
        <v>62</v>
      </c>
      <c r="H9" s="320">
        <v>12000</v>
      </c>
      <c r="I9" s="321" t="b">
        <v>1</v>
      </c>
      <c r="J9" s="322"/>
      <c r="K9" s="326">
        <f>VLOOKUP($A9,Master!$B$50:$N$232,6,FALSE)</f>
        <v>25000</v>
      </c>
      <c r="L9" s="327">
        <f t="shared" si="0"/>
        <v>0</v>
      </c>
      <c r="M9" s="325"/>
    </row>
    <row r="10" spans="1:13" ht="15.75" customHeight="1">
      <c r="A10" s="316" t="s">
        <v>919</v>
      </c>
      <c r="B10" s="316" t="s">
        <v>1973</v>
      </c>
      <c r="C10" s="316">
        <f>VLOOKUP($A10,Master!$B$50:$N$232,8,FALSE)</f>
        <v>1000</v>
      </c>
      <c r="D10" s="316" t="str">
        <f>VLOOKUP($A10,Master!$B$50:$N$232,9,FALSE)</f>
        <v>gr</v>
      </c>
      <c r="E10" s="317" t="str">
        <f>VLOOKUP($A10,Master!$B$50:$N$232,11,FALSE)</f>
        <v>Eden Farm</v>
      </c>
      <c r="F10" s="318">
        <v>3</v>
      </c>
      <c r="G10" s="354" t="s">
        <v>62</v>
      </c>
      <c r="H10" s="320">
        <v>26400</v>
      </c>
      <c r="I10" s="321" t="b">
        <v>1</v>
      </c>
      <c r="J10" s="322"/>
      <c r="K10" s="326">
        <f>VLOOKUP($A10,Master!$B$50:$N$232,6,FALSE)</f>
        <v>50000</v>
      </c>
      <c r="L10" s="327">
        <f t="shared" si="0"/>
        <v>0</v>
      </c>
      <c r="M10" s="325"/>
    </row>
    <row r="11" spans="1:13" ht="15.75" customHeight="1">
      <c r="A11" s="316" t="s">
        <v>937</v>
      </c>
      <c r="B11" s="316" t="s">
        <v>1973</v>
      </c>
      <c r="C11" s="316">
        <f>VLOOKUP($A11,Master!$B$50:$N$232,8,FALSE)</f>
        <v>20</v>
      </c>
      <c r="D11" s="316" t="str">
        <f>VLOOKUP($A11,Master!$B$50:$N$232,9,FALSE)</f>
        <v>pcs</v>
      </c>
      <c r="E11" s="317" t="str">
        <f>VLOOKUP($A11,Master!$B$50:$N$232,11,FALSE)</f>
        <v>Borma</v>
      </c>
      <c r="F11" s="318">
        <v>2</v>
      </c>
      <c r="G11" s="354" t="s">
        <v>62</v>
      </c>
      <c r="H11" s="320">
        <v>14400</v>
      </c>
      <c r="I11" s="321" t="b">
        <v>1</v>
      </c>
      <c r="J11" s="322"/>
      <c r="K11" s="326">
        <f>VLOOKUP($A11,Master!$B$50:$N$232,6,FALSE)</f>
        <v>8500</v>
      </c>
      <c r="L11" s="327">
        <f t="shared" si="0"/>
        <v>0</v>
      </c>
      <c r="M11" s="325">
        <v>7300</v>
      </c>
    </row>
    <row r="12" spans="1:13" ht="15.75" customHeight="1">
      <c r="A12" s="316" t="s">
        <v>639</v>
      </c>
      <c r="B12" s="316" t="s">
        <v>1973</v>
      </c>
      <c r="C12" s="316">
        <f>VLOOKUP($A12,Master!$B$50:$N$232,8,FALSE)</f>
        <v>1000</v>
      </c>
      <c r="D12" s="316" t="str">
        <f>VLOOKUP($A12,Master!$B$50:$N$232,9,FALSE)</f>
        <v>gr</v>
      </c>
      <c r="E12" s="317" t="str">
        <f>VLOOKUP($A12,Master!$B$50:$N$232,11,FALSE)</f>
        <v>BISS (Topside)</v>
      </c>
      <c r="F12" s="318">
        <v>1</v>
      </c>
      <c r="G12" s="354" t="s">
        <v>36</v>
      </c>
      <c r="H12" s="320">
        <v>125000</v>
      </c>
      <c r="I12" s="321" t="b">
        <v>1</v>
      </c>
      <c r="J12" s="322"/>
      <c r="K12" s="326">
        <f>VLOOKUP($A12,Master!$B$50:$N$232,6,FALSE)</f>
        <v>145000</v>
      </c>
      <c r="L12" s="327">
        <f t="shared" si="0"/>
        <v>0</v>
      </c>
      <c r="M12" s="325">
        <v>145000</v>
      </c>
    </row>
    <row r="13" spans="1:13" ht="15.75" customHeight="1">
      <c r="A13" s="316" t="s">
        <v>1599</v>
      </c>
      <c r="B13" s="316" t="s">
        <v>1973</v>
      </c>
      <c r="C13" s="316" t="e">
        <f>VLOOKUP($A13,Master!$B$50:$N$232,8,FALSE)</f>
        <v>#N/A</v>
      </c>
      <c r="D13" s="316" t="e">
        <f>VLOOKUP($A13,Master!$B$50:$N$232,9,FALSE)</f>
        <v>#N/A</v>
      </c>
      <c r="E13" s="317" t="e">
        <f>VLOOKUP($A13,Master!$B$50:$N$232,11,FALSE)</f>
        <v>#N/A</v>
      </c>
      <c r="F13" s="318">
        <v>2</v>
      </c>
      <c r="G13" s="354" t="s">
        <v>36</v>
      </c>
      <c r="H13" s="320">
        <v>20000</v>
      </c>
      <c r="I13" s="321" t="b">
        <v>1</v>
      </c>
      <c r="J13" s="322"/>
      <c r="K13" s="323" t="e">
        <f>VLOOKUP($A13,Master!$B$50:$N$232,6,FALSE)</f>
        <v>#N/A</v>
      </c>
      <c r="L13" s="324" t="e">
        <f t="shared" si="0"/>
        <v>#N/A</v>
      </c>
      <c r="M13" s="325"/>
    </row>
    <row r="14" spans="1:13" ht="15.75" customHeight="1">
      <c r="A14" s="316" t="s">
        <v>655</v>
      </c>
      <c r="B14" s="316" t="s">
        <v>1973</v>
      </c>
      <c r="C14" s="316">
        <f>VLOOKUP($A14,Master!$B$50:$N$232,8,FALSE)</f>
        <v>1000</v>
      </c>
      <c r="D14" s="316" t="str">
        <f>VLOOKUP($A14,Master!$B$50:$N$232,9,FALSE)</f>
        <v>gr</v>
      </c>
      <c r="E14" s="317" t="str">
        <f>VLOOKUP($A14,Master!$B$50:$N$232,11,FALSE)</f>
        <v>Toko Lain</v>
      </c>
      <c r="F14" s="318">
        <v>3</v>
      </c>
      <c r="G14" s="354" t="s">
        <v>36</v>
      </c>
      <c r="H14" s="320">
        <v>150000</v>
      </c>
      <c r="I14" s="321" t="b">
        <v>1</v>
      </c>
      <c r="J14" s="322"/>
      <c r="K14" s="326">
        <f>VLOOKUP($A14,Master!$B$50:$N$232,6,FALSE)</f>
        <v>50000</v>
      </c>
      <c r="L14" s="327">
        <f t="shared" si="0"/>
        <v>0</v>
      </c>
      <c r="M14" s="325">
        <v>60000</v>
      </c>
    </row>
    <row r="15" spans="1:13" ht="15.75" customHeight="1">
      <c r="A15" s="316" t="s">
        <v>667</v>
      </c>
      <c r="B15" s="316" t="s">
        <v>1973</v>
      </c>
      <c r="C15" s="316">
        <f>VLOOKUP($A15,Master!$B$50:$N$232,8,FALSE)</f>
        <v>1000</v>
      </c>
      <c r="D15" s="316" t="str">
        <f>VLOOKUP($A15,Master!$B$50:$N$232,9,FALSE)</f>
        <v>gr</v>
      </c>
      <c r="E15" s="317" t="str">
        <f>VLOOKUP($A15,Master!$B$50:$N$232,11,FALSE)</f>
        <v>Eden Farm</v>
      </c>
      <c r="F15" s="318">
        <v>0.5</v>
      </c>
      <c r="G15" s="354" t="s">
        <v>36</v>
      </c>
      <c r="H15" s="320">
        <v>34000</v>
      </c>
      <c r="I15" s="321" t="b">
        <v>1</v>
      </c>
      <c r="J15" s="322"/>
      <c r="K15" s="326">
        <f>VLOOKUP($A15,Master!$B$50:$N$232,6,FALSE)</f>
        <v>161600</v>
      </c>
      <c r="L15" s="327">
        <f t="shared" si="0"/>
        <v>0</v>
      </c>
      <c r="M15" s="325"/>
    </row>
    <row r="16" spans="1:13" ht="15.75" customHeight="1">
      <c r="A16" s="316" t="s">
        <v>675</v>
      </c>
      <c r="B16" s="316" t="s">
        <v>1973</v>
      </c>
      <c r="C16" s="316">
        <f>VLOOKUP($A16,Master!$B$50:$N$232,8,FALSE)</f>
        <v>20</v>
      </c>
      <c r="D16" s="316" t="str">
        <f>VLOOKUP($A16,Master!$B$50:$N$232,9,FALSE)</f>
        <v>unit</v>
      </c>
      <c r="E16" s="317" t="str">
        <f>VLOOKUP($A16,Master!$B$50:$N$232,11,FALSE)</f>
        <v>RSB, Dago</v>
      </c>
      <c r="F16" s="318">
        <v>8</v>
      </c>
      <c r="G16" s="354" t="s">
        <v>62</v>
      </c>
      <c r="H16" s="320">
        <v>36000</v>
      </c>
      <c r="I16" s="321" t="b">
        <v>1</v>
      </c>
      <c r="J16" s="322">
        <v>8</v>
      </c>
      <c r="K16" s="323">
        <v>11000</v>
      </c>
      <c r="L16" s="324">
        <f t="shared" si="0"/>
        <v>88000</v>
      </c>
      <c r="M16" s="325" t="s">
        <v>331</v>
      </c>
    </row>
    <row r="17" spans="1:13" ht="15.75" customHeight="1">
      <c r="A17" s="316" t="s">
        <v>712</v>
      </c>
      <c r="B17" s="316" t="s">
        <v>1973</v>
      </c>
      <c r="C17" s="316">
        <f>VLOOKUP($A17,Master!$B$50:$N$232,8,FALSE)</f>
        <v>1000</v>
      </c>
      <c r="D17" s="316" t="str">
        <f>VLOOKUP($A17,Master!$B$50:$N$232,9,FALSE)</f>
        <v>gr</v>
      </c>
      <c r="E17" s="317" t="str">
        <f>VLOOKUP($A17,Master!$B$50:$N$232,11,FALSE)</f>
        <v>Eden Farm</v>
      </c>
      <c r="F17" s="318">
        <v>1</v>
      </c>
      <c r="G17" s="354" t="s">
        <v>36</v>
      </c>
      <c r="H17" s="320">
        <v>24000</v>
      </c>
      <c r="I17" s="321" t="b">
        <v>1</v>
      </c>
      <c r="J17" s="322"/>
      <c r="K17" s="326">
        <f>VLOOKUP($A17,Master!$B$50:$N$232,6,FALSE)</f>
        <v>40000</v>
      </c>
      <c r="L17" s="327">
        <f t="shared" si="0"/>
        <v>0</v>
      </c>
      <c r="M17" s="325">
        <v>40000</v>
      </c>
    </row>
    <row r="18" spans="1:13" ht="15.75" customHeight="1">
      <c r="A18" s="316" t="s">
        <v>732</v>
      </c>
      <c r="B18" s="316" t="s">
        <v>1973</v>
      </c>
      <c r="C18" s="316">
        <f>VLOOKUP($A18,Master!$B$50:$N$232,8,FALSE)</f>
        <v>1000</v>
      </c>
      <c r="D18" s="316" t="str">
        <f>VLOOKUP($A18,Master!$B$50:$N$232,9,FALSE)</f>
        <v>gr</v>
      </c>
      <c r="E18" s="317" t="str">
        <f>VLOOKUP($A18,Master!$B$50:$N$232,11,FALSE)</f>
        <v>Eden Farm</v>
      </c>
      <c r="F18" s="318">
        <v>2</v>
      </c>
      <c r="G18" s="354" t="s">
        <v>36</v>
      </c>
      <c r="H18" s="320">
        <v>52000</v>
      </c>
      <c r="I18" s="321" t="b">
        <v>1</v>
      </c>
      <c r="J18" s="322"/>
      <c r="K18" s="326">
        <f>VLOOKUP($A18,Master!$B$50:$N$232,6,FALSE)</f>
        <v>40000</v>
      </c>
      <c r="L18" s="327">
        <f t="shared" si="0"/>
        <v>0</v>
      </c>
      <c r="M18" s="325">
        <v>47000</v>
      </c>
    </row>
    <row r="19" spans="1:13" ht="15.75" customHeight="1">
      <c r="A19" s="316" t="s">
        <v>744</v>
      </c>
      <c r="B19" s="316" t="s">
        <v>1973</v>
      </c>
      <c r="C19" s="316">
        <f>VLOOKUP($A19,Master!$B$50:$N$232,8,FALSE)</f>
        <v>1000</v>
      </c>
      <c r="D19" s="316" t="str">
        <f>VLOOKUP($A19,Master!$B$50:$N$232,9,FALSE)</f>
        <v>gr</v>
      </c>
      <c r="E19" s="317" t="str">
        <f>VLOOKUP($A19,Master!$B$50:$N$232,11,FALSE)</f>
        <v>Eden Farm</v>
      </c>
      <c r="F19" s="318">
        <v>1</v>
      </c>
      <c r="G19" s="354" t="s">
        <v>36</v>
      </c>
      <c r="H19" s="320">
        <v>70000</v>
      </c>
      <c r="I19" s="321" t="b">
        <v>1</v>
      </c>
      <c r="J19" s="322"/>
      <c r="K19" s="326">
        <f>VLOOKUP($A19,Master!$B$50:$N$232,6,FALSE)</f>
        <v>58600</v>
      </c>
      <c r="L19" s="327">
        <f t="shared" si="0"/>
        <v>0</v>
      </c>
      <c r="M19" s="325">
        <v>25000</v>
      </c>
    </row>
    <row r="20" spans="1:13" ht="15.75" customHeight="1">
      <c r="A20" s="316" t="s">
        <v>752</v>
      </c>
      <c r="B20" s="316" t="s">
        <v>1973</v>
      </c>
      <c r="C20" s="316" t="e">
        <f>VLOOKUP($A20,Master!$B$50:$N$232,8,FALSE)</f>
        <v>#N/A</v>
      </c>
      <c r="D20" s="316" t="e">
        <f>VLOOKUP($A20,Master!$B$50:$N$232,9,FALSE)</f>
        <v>#N/A</v>
      </c>
      <c r="E20" s="317" t="e">
        <f>VLOOKUP($A20,Master!$B$50:$N$232,11,FALSE)</f>
        <v>#N/A</v>
      </c>
      <c r="F20" s="318">
        <v>1</v>
      </c>
      <c r="G20" s="354" t="s">
        <v>62</v>
      </c>
      <c r="H20" s="320">
        <v>36000</v>
      </c>
      <c r="I20" s="321" t="b">
        <v>0</v>
      </c>
      <c r="J20" s="322"/>
      <c r="K20" s="326" t="e">
        <f>VLOOKUP($A20,Master!$B$50:$N$232,6,FALSE)</f>
        <v>#N/A</v>
      </c>
      <c r="L20" s="327" t="e">
        <f t="shared" si="0"/>
        <v>#N/A</v>
      </c>
      <c r="M20" s="325"/>
    </row>
    <row r="21" spans="1:13" ht="15.75" customHeight="1">
      <c r="A21" s="316" t="s">
        <v>767</v>
      </c>
      <c r="B21" s="316" t="s">
        <v>1973</v>
      </c>
      <c r="C21" s="316" t="e">
        <f>VLOOKUP($A21,Master!$B$50:$N$232,8,FALSE)</f>
        <v>#N/A</v>
      </c>
      <c r="D21" s="316" t="e">
        <f>VLOOKUP($A21,Master!$B$50:$N$232,9,FALSE)</f>
        <v>#N/A</v>
      </c>
      <c r="E21" s="317" t="e">
        <f>VLOOKUP($A21,Master!$B$50:$N$232,11,FALSE)</f>
        <v>#N/A</v>
      </c>
      <c r="F21" s="318">
        <v>5</v>
      </c>
      <c r="G21" s="354" t="s">
        <v>62</v>
      </c>
      <c r="H21" s="320">
        <v>100000</v>
      </c>
      <c r="I21" s="321" t="b">
        <v>1</v>
      </c>
      <c r="J21" s="322"/>
      <c r="K21" s="326" t="e">
        <f>VLOOKUP($A21,Master!$B$50:$N$232,6,FALSE)</f>
        <v>#N/A</v>
      </c>
      <c r="L21" s="327" t="e">
        <f t="shared" si="0"/>
        <v>#N/A</v>
      </c>
      <c r="M21" s="325">
        <v>21000</v>
      </c>
    </row>
    <row r="22" spans="1:13" ht="15.75" customHeight="1">
      <c r="A22" s="316" t="s">
        <v>773</v>
      </c>
      <c r="B22" s="316" t="s">
        <v>1973</v>
      </c>
      <c r="C22" s="316" t="e">
        <f>VLOOKUP($A22,Master!$B$50:$N$232,8,FALSE)</f>
        <v>#N/A</v>
      </c>
      <c r="D22" s="316" t="e">
        <f>VLOOKUP($A22,Master!$B$50:$N$232,9,FALSE)</f>
        <v>#N/A</v>
      </c>
      <c r="E22" s="317" t="e">
        <f>VLOOKUP($A22,Master!$B$50:$N$232,11,FALSE)</f>
        <v>#N/A</v>
      </c>
      <c r="F22" s="318">
        <v>5</v>
      </c>
      <c r="G22" s="354" t="s">
        <v>62</v>
      </c>
      <c r="H22" s="320">
        <v>75000</v>
      </c>
      <c r="I22" s="321" t="b">
        <v>1</v>
      </c>
      <c r="J22" s="322"/>
      <c r="K22" s="326" t="e">
        <f>VLOOKUP($A22,Master!$B$50:$N$232,6,FALSE)</f>
        <v>#N/A</v>
      </c>
      <c r="L22" s="327" t="e">
        <f t="shared" si="0"/>
        <v>#N/A</v>
      </c>
      <c r="M22" s="325">
        <v>14900</v>
      </c>
    </row>
    <row r="23" spans="1:13" ht="15.75" customHeight="1">
      <c r="A23" s="316" t="s">
        <v>795</v>
      </c>
      <c r="B23" s="316" t="s">
        <v>1973</v>
      </c>
      <c r="C23" s="316">
        <f>VLOOKUP($A23,Master!$B$50:$N$232,8,FALSE)</f>
        <v>10</v>
      </c>
      <c r="D23" s="316" t="str">
        <f>VLOOKUP($A23,Master!$B$50:$N$232,9,FALSE)</f>
        <v>unit</v>
      </c>
      <c r="E23" s="317" t="str">
        <f>VLOOKUP($A23,Master!$B$50:$N$232,11,FALSE)</f>
        <v>Toko Lain</v>
      </c>
      <c r="F23" s="318">
        <v>5</v>
      </c>
      <c r="G23" s="354" t="s">
        <v>62</v>
      </c>
      <c r="H23" s="320">
        <v>25000</v>
      </c>
      <c r="I23" s="321" t="b">
        <v>1</v>
      </c>
      <c r="J23" s="322"/>
      <c r="K23" s="326">
        <f>VLOOKUP($A23,Master!$B$50:$N$232,6,FALSE)</f>
        <v>8000</v>
      </c>
      <c r="L23" s="327">
        <f t="shared" si="0"/>
        <v>0</v>
      </c>
      <c r="M23" s="325">
        <v>28000</v>
      </c>
    </row>
    <row r="24" spans="1:13" ht="15.75" customHeight="1">
      <c r="A24" s="316" t="s">
        <v>815</v>
      </c>
      <c r="B24" s="316" t="s">
        <v>1973</v>
      </c>
      <c r="C24" s="316">
        <f>VLOOKUP($A24,Master!$B$50:$N$232,8,FALSE)</f>
        <v>1000</v>
      </c>
      <c r="D24" s="316" t="str">
        <f>VLOOKUP($A24,Master!$B$50:$N$232,9,FALSE)</f>
        <v>gr</v>
      </c>
      <c r="E24" s="317" t="str">
        <f>VLOOKUP($A24,Master!$B$50:$N$232,11,FALSE)</f>
        <v>Eden Farm</v>
      </c>
      <c r="F24" s="318">
        <v>0.25</v>
      </c>
      <c r="G24" s="354" t="s">
        <v>36</v>
      </c>
      <c r="H24" s="320">
        <v>3000</v>
      </c>
      <c r="I24" s="321" t="b">
        <v>1</v>
      </c>
      <c r="J24" s="322"/>
      <c r="K24" s="326">
        <f>VLOOKUP($A24,Master!$B$50:$N$232,6,FALSE)</f>
        <v>12000</v>
      </c>
      <c r="L24" s="327">
        <f t="shared" si="0"/>
        <v>0</v>
      </c>
      <c r="M24" s="325"/>
    </row>
    <row r="25" spans="1:13" ht="15.75" customHeight="1">
      <c r="A25" s="316" t="s">
        <v>819</v>
      </c>
      <c r="B25" s="316" t="s">
        <v>1973</v>
      </c>
      <c r="C25" s="316">
        <f>VLOOKUP($A25,Master!$B$50:$N$232,8,FALSE)</f>
        <v>1000</v>
      </c>
      <c r="D25" s="316" t="str">
        <f>VLOOKUP($A25,Master!$B$50:$N$232,9,FALSE)</f>
        <v>gr</v>
      </c>
      <c r="E25" s="317" t="str">
        <f>VLOOKUP($A25,Master!$B$50:$N$232,11,FALSE)</f>
        <v>Eden Farm</v>
      </c>
      <c r="F25" s="318">
        <v>0.15</v>
      </c>
      <c r="G25" s="354" t="s">
        <v>36</v>
      </c>
      <c r="H25" s="320">
        <v>3000</v>
      </c>
      <c r="I25" s="321" t="b">
        <v>1</v>
      </c>
      <c r="J25" s="322"/>
      <c r="K25" s="326">
        <f>VLOOKUP($A25,Master!$B$50:$N$232,6,FALSE)</f>
        <v>13000</v>
      </c>
      <c r="L25" s="327">
        <f t="shared" si="0"/>
        <v>0</v>
      </c>
      <c r="M25" s="325"/>
    </row>
    <row r="26" spans="1:13" ht="15.75" customHeight="1">
      <c r="A26" s="316" t="s">
        <v>831</v>
      </c>
      <c r="B26" s="316" t="s">
        <v>1973</v>
      </c>
      <c r="C26" s="316">
        <f>VLOOKUP($A26,Master!$B$50:$N$232,8,FALSE)</f>
        <v>1000</v>
      </c>
      <c r="D26" s="316" t="str">
        <f>VLOOKUP($A26,Master!$B$50:$N$232,9,FALSE)</f>
        <v>gr</v>
      </c>
      <c r="E26" s="317" t="str">
        <f>VLOOKUP($A26,Master!$B$50:$N$232,11,FALSE)</f>
        <v>PD Aroma Jaya</v>
      </c>
      <c r="F26" s="318">
        <v>1</v>
      </c>
      <c r="G26" s="354" t="s">
        <v>36</v>
      </c>
      <c r="H26" s="320">
        <v>18000</v>
      </c>
      <c r="I26" s="321" t="b">
        <v>1</v>
      </c>
      <c r="J26" s="322"/>
      <c r="K26" s="326">
        <f>VLOOKUP($A26,Master!$B$50:$N$232,6,FALSE)</f>
        <v>21250</v>
      </c>
      <c r="L26" s="327">
        <f t="shared" si="0"/>
        <v>0</v>
      </c>
      <c r="M26" s="325">
        <v>20000</v>
      </c>
    </row>
    <row r="27" spans="1:13" ht="15.75" customHeight="1">
      <c r="A27" s="316" t="s">
        <v>887</v>
      </c>
      <c r="B27" s="316" t="s">
        <v>1973</v>
      </c>
      <c r="C27" s="316">
        <f>VLOOKUP($A27,Master!$B$50:$N$232,8,FALSE)</f>
        <v>500</v>
      </c>
      <c r="D27" s="316" t="str">
        <f>VLOOKUP($A27,Master!$B$50:$N$232,9,FALSE)</f>
        <v>gr</v>
      </c>
      <c r="E27" s="317" t="str">
        <f>VLOOKUP($A27,Master!$B$50:$N$232,11,FALSE)</f>
        <v>PD Aroma Jaya</v>
      </c>
      <c r="F27" s="318">
        <v>0.3</v>
      </c>
      <c r="G27" s="354" t="s">
        <v>36</v>
      </c>
      <c r="H27" s="320">
        <v>36000</v>
      </c>
      <c r="I27" s="321" t="b">
        <v>1</v>
      </c>
      <c r="J27" s="322"/>
      <c r="K27" s="326">
        <f>VLOOKUP($A27,Master!$B$50:$N$232,6,FALSE)</f>
        <v>13000</v>
      </c>
      <c r="L27" s="327">
        <f t="shared" si="0"/>
        <v>0</v>
      </c>
      <c r="M27" s="325">
        <v>60000</v>
      </c>
    </row>
    <row r="28" spans="1:13" ht="15.75" customHeight="1">
      <c r="A28" s="316" t="s">
        <v>895</v>
      </c>
      <c r="B28" s="316" t="s">
        <v>1973</v>
      </c>
      <c r="C28" s="316">
        <f>VLOOKUP($A28,Master!$B$50:$N$232,8,FALSE)</f>
        <v>100</v>
      </c>
      <c r="D28" s="316" t="str">
        <f>VLOOKUP($A28,Master!$B$50:$N$232,9,FALSE)</f>
        <v>gr</v>
      </c>
      <c r="E28" s="317" t="str">
        <f>VLOOKUP($A28,Master!$B$50:$N$232,11,FALSE)</f>
        <v>Eden Farm</v>
      </c>
      <c r="F28" s="318">
        <v>3</v>
      </c>
      <c r="G28" s="354" t="s">
        <v>62</v>
      </c>
      <c r="H28" s="320">
        <v>7500</v>
      </c>
      <c r="I28" s="321" t="b">
        <v>0</v>
      </c>
      <c r="J28" s="322"/>
      <c r="K28" s="326">
        <f>VLOOKUP($A28,Master!$B$50:$N$232,6,FALSE)</f>
        <v>25600</v>
      </c>
      <c r="L28" s="327">
        <f t="shared" si="0"/>
        <v>0</v>
      </c>
      <c r="M28" s="325"/>
    </row>
    <row r="29" spans="1:13" ht="15.75" customHeight="1">
      <c r="A29" s="316" t="s">
        <v>671</v>
      </c>
      <c r="B29" s="316" t="s">
        <v>1973</v>
      </c>
      <c r="C29" s="316">
        <f>VLOOKUP($A29,Master!$B$50:$N$232,8,FALSE)</f>
        <v>1000</v>
      </c>
      <c r="D29" s="316" t="str">
        <f>VLOOKUP($A29,Master!$B$50:$N$232,9,FALSE)</f>
        <v>gr</v>
      </c>
      <c r="E29" s="317" t="str">
        <f>VLOOKUP($A29,Master!$B$50:$N$232,11,FALSE)</f>
        <v>Eden Farm</v>
      </c>
      <c r="F29" s="318">
        <v>0.5</v>
      </c>
      <c r="G29" s="354" t="s">
        <v>36</v>
      </c>
      <c r="H29" s="320">
        <v>34500</v>
      </c>
      <c r="I29" s="321" t="b">
        <v>1</v>
      </c>
      <c r="J29" s="322"/>
      <c r="K29" s="326">
        <f>VLOOKUP($A29,Master!$B$50:$N$232,6,FALSE)</f>
        <v>50000</v>
      </c>
      <c r="L29" s="327">
        <f t="shared" si="0"/>
        <v>0</v>
      </c>
      <c r="M29" s="325">
        <v>15000</v>
      </c>
    </row>
    <row r="30" spans="1:13" ht="15.75" customHeight="1">
      <c r="A30" s="316" t="s">
        <v>931</v>
      </c>
      <c r="B30" s="316" t="s">
        <v>1973</v>
      </c>
      <c r="C30" s="316">
        <f>VLOOKUP($A30,Master!$B$50:$N$232,8,FALSE)</f>
        <v>5000</v>
      </c>
      <c r="D30" s="316" t="str">
        <f>VLOOKUP($A30,Master!$B$50:$N$232,9,FALSE)</f>
        <v>gr</v>
      </c>
      <c r="E30" s="317" t="str">
        <f>VLOOKUP($A30,Master!$B$50:$N$232,11,FALSE)</f>
        <v>PD Aroma Jaya</v>
      </c>
      <c r="F30" s="318">
        <v>0.5</v>
      </c>
      <c r="G30" s="354" t="s">
        <v>36</v>
      </c>
      <c r="H30" s="320">
        <v>10000</v>
      </c>
      <c r="I30" s="321" t="b">
        <v>0</v>
      </c>
      <c r="J30" s="322"/>
      <c r="K30" s="326">
        <f>VLOOKUP($A30,Master!$B$50:$N$232,6,FALSE)</f>
        <v>92000</v>
      </c>
      <c r="L30" s="327">
        <f t="shared" si="0"/>
        <v>0</v>
      </c>
      <c r="M30" s="325"/>
    </row>
    <row r="31" spans="1:13" ht="15.75" customHeight="1">
      <c r="A31" s="316" t="s">
        <v>989</v>
      </c>
      <c r="B31" s="316" t="s">
        <v>1973</v>
      </c>
      <c r="C31" s="316">
        <f>VLOOKUP($A31,Master!$B$50:$N$232,8,FALSE)</f>
        <v>5000</v>
      </c>
      <c r="D31" s="316" t="str">
        <f>VLOOKUP($A31,Master!$B$50:$N$232,9,FALSE)</f>
        <v>ml</v>
      </c>
      <c r="E31" s="317" t="str">
        <f>VLOOKUP($A31,Master!$B$50:$N$232,11,FALSE)</f>
        <v>Kurnia Mas</v>
      </c>
      <c r="F31" s="318">
        <v>3</v>
      </c>
      <c r="G31" s="354" t="s">
        <v>62</v>
      </c>
      <c r="H31" s="320">
        <v>51000</v>
      </c>
      <c r="I31" s="321" t="b">
        <v>1</v>
      </c>
      <c r="J31" s="322"/>
      <c r="K31" s="326">
        <f>VLOOKUP($A31,Master!$B$50:$N$232,6,FALSE)</f>
        <v>54500</v>
      </c>
      <c r="L31" s="327">
        <f t="shared" si="0"/>
        <v>0</v>
      </c>
      <c r="M31" s="325">
        <v>40000</v>
      </c>
    </row>
    <row r="32" spans="1:13" ht="15.75" customHeight="1">
      <c r="A32" s="316" t="s">
        <v>1000</v>
      </c>
      <c r="B32" s="316" t="s">
        <v>1973</v>
      </c>
      <c r="C32" s="316">
        <f>VLOOKUP($A32,Master!$B$50:$N$232,8,FALSE)</f>
        <v>1000</v>
      </c>
      <c r="D32" s="316" t="str">
        <f>VLOOKUP($A32,Master!$B$50:$N$232,9,FALSE)</f>
        <v>gr</v>
      </c>
      <c r="E32" s="317" t="str">
        <f>VLOOKUP($A32,Master!$B$50:$N$232,11,FALSE)</f>
        <v>PD Aroma Jaya</v>
      </c>
      <c r="F32" s="318">
        <v>1</v>
      </c>
      <c r="G32" s="354" t="s">
        <v>62</v>
      </c>
      <c r="H32" s="320">
        <v>11500</v>
      </c>
      <c r="I32" s="321" t="b">
        <v>1</v>
      </c>
      <c r="J32" s="322"/>
      <c r="K32" s="326">
        <f>VLOOKUP($A32,Master!$B$50:$N$232,6,FALSE)</f>
        <v>44500</v>
      </c>
      <c r="L32" s="327">
        <f t="shared" si="0"/>
        <v>0</v>
      </c>
      <c r="M32" s="325">
        <v>12000</v>
      </c>
    </row>
    <row r="33" spans="1:13" ht="15.75" customHeight="1">
      <c r="A33" s="316" t="s">
        <v>1020</v>
      </c>
      <c r="B33" s="316" t="s">
        <v>1973</v>
      </c>
      <c r="C33" s="316">
        <f>VLOOKUP($A33,Master!$B$50:$N$232,8,FALSE)</f>
        <v>1000</v>
      </c>
      <c r="D33" s="316" t="str">
        <f>VLOOKUP($A33,Master!$B$50:$N$232,9,FALSE)</f>
        <v>gr</v>
      </c>
      <c r="E33" s="317" t="str">
        <f>VLOOKUP($A33,Master!$B$50:$N$232,11,FALSE)</f>
        <v>Eden Farm</v>
      </c>
      <c r="F33" s="318">
        <v>1</v>
      </c>
      <c r="G33" s="354" t="s">
        <v>36</v>
      </c>
      <c r="H33" s="320">
        <v>12000</v>
      </c>
      <c r="I33" s="321" t="b">
        <v>1</v>
      </c>
      <c r="J33" s="322"/>
      <c r="K33" s="326">
        <f>VLOOKUP($A33,Master!$B$50:$N$232,6,FALSE)</f>
        <v>24000</v>
      </c>
      <c r="L33" s="327">
        <f t="shared" si="0"/>
        <v>0</v>
      </c>
      <c r="M33" s="325"/>
    </row>
    <row r="34" spans="1:13" ht="15.75" customHeight="1">
      <c r="A34" s="316" t="s">
        <v>1600</v>
      </c>
      <c r="B34" s="316" t="s">
        <v>1973</v>
      </c>
      <c r="C34" s="316" t="e">
        <f>VLOOKUP($A34,Master!$B$50:$N$232,8,FALSE)</f>
        <v>#N/A</v>
      </c>
      <c r="D34" s="316" t="e">
        <f>VLOOKUP($A34,Master!$B$50:$N$232,9,FALSE)</f>
        <v>#N/A</v>
      </c>
      <c r="E34" s="317" t="e">
        <f>VLOOKUP($A34,Master!$B$50:$N$232,11,FALSE)</f>
        <v>#N/A</v>
      </c>
      <c r="F34" s="318">
        <v>1</v>
      </c>
      <c r="G34" s="354" t="s">
        <v>36</v>
      </c>
      <c r="H34" s="320">
        <v>10000</v>
      </c>
      <c r="I34" s="321" t="b">
        <v>1</v>
      </c>
      <c r="J34" s="322"/>
      <c r="K34" s="323" t="e">
        <f>VLOOKUP($A34,Master!$B$50:$N$232,6,FALSE)</f>
        <v>#N/A</v>
      </c>
      <c r="L34" s="324" t="e">
        <f t="shared" si="0"/>
        <v>#N/A</v>
      </c>
      <c r="M34" s="325">
        <v>12000</v>
      </c>
    </row>
    <row r="35" spans="1:13" ht="15.75" customHeight="1">
      <c r="A35" s="316" t="s">
        <v>982</v>
      </c>
      <c r="B35" s="316" t="s">
        <v>1973</v>
      </c>
      <c r="C35" s="316">
        <f>VLOOKUP($A35,Master!$B$50:$N$232,8,FALSE)</f>
        <v>12</v>
      </c>
      <c r="D35" s="316" t="str">
        <f>VLOOKUP($A35,Master!$B$50:$N$232,9,FALSE)</f>
        <v>pcs</v>
      </c>
      <c r="E35" s="317" t="str">
        <f>VLOOKUP($A35,Master!$B$50:$N$232,11,FALSE)</f>
        <v>PD Aroma Jaya</v>
      </c>
      <c r="F35" s="318">
        <v>2</v>
      </c>
      <c r="G35" s="354" t="s">
        <v>62</v>
      </c>
      <c r="H35" s="320">
        <v>44814</v>
      </c>
      <c r="I35" s="321" t="b">
        <v>0</v>
      </c>
      <c r="J35" s="322"/>
      <c r="K35" s="326">
        <f>VLOOKUP($A35,Master!$B$50:$N$232,6,FALSE)</f>
        <v>18000</v>
      </c>
      <c r="L35" s="327">
        <f t="shared" si="0"/>
        <v>0</v>
      </c>
      <c r="M35" s="325"/>
    </row>
    <row r="36" spans="1:13" ht="15.75" customHeight="1">
      <c r="A36" s="316" t="s">
        <v>776</v>
      </c>
      <c r="B36" s="316" t="s">
        <v>1973</v>
      </c>
      <c r="C36" s="316" t="e">
        <f>VLOOKUP($A36,Master!$B$50:$N$232,8,FALSE)</f>
        <v>#N/A</v>
      </c>
      <c r="D36" s="316" t="e">
        <f>VLOOKUP($A36,Master!$B$50:$N$232,9,FALSE)</f>
        <v>#N/A</v>
      </c>
      <c r="E36" s="317" t="e">
        <f>VLOOKUP($A36,Master!$B$50:$N$232,11,FALSE)</f>
        <v>#N/A</v>
      </c>
      <c r="F36" s="318">
        <v>2</v>
      </c>
      <c r="G36" s="354" t="s">
        <v>62</v>
      </c>
      <c r="H36" s="320">
        <v>83600</v>
      </c>
      <c r="I36" s="321" t="b">
        <v>1</v>
      </c>
      <c r="J36" s="322"/>
      <c r="K36" s="326" t="e">
        <f>VLOOKUP($A36,Master!$B$50:$N$232,6,FALSE)</f>
        <v>#N/A</v>
      </c>
      <c r="L36" s="327" t="e">
        <f t="shared" si="0"/>
        <v>#N/A</v>
      </c>
      <c r="M36" s="325">
        <v>50000</v>
      </c>
    </row>
    <row r="37" spans="1:13" ht="15.75" customHeight="1">
      <c r="A37" s="316" t="s">
        <v>779</v>
      </c>
      <c r="B37" s="316" t="s">
        <v>1973</v>
      </c>
      <c r="C37" s="316" t="e">
        <f>VLOOKUP($A37,Master!$B$50:$N$232,8,FALSE)</f>
        <v>#N/A</v>
      </c>
      <c r="D37" s="316" t="e">
        <f>VLOOKUP($A37,Master!$B$50:$N$232,9,FALSE)</f>
        <v>#N/A</v>
      </c>
      <c r="E37" s="317" t="e">
        <f>VLOOKUP($A37,Master!$B$50:$N$232,11,FALSE)</f>
        <v>#N/A</v>
      </c>
      <c r="F37" s="318">
        <v>2</v>
      </c>
      <c r="G37" s="354" t="s">
        <v>62</v>
      </c>
      <c r="H37" s="320">
        <v>77000</v>
      </c>
      <c r="I37" s="321" t="b">
        <v>1</v>
      </c>
      <c r="J37" s="322"/>
      <c r="K37" s="326" t="e">
        <f>VLOOKUP($A37,Master!$B$50:$N$232,6,FALSE)</f>
        <v>#N/A</v>
      </c>
      <c r="L37" s="327" t="e">
        <f t="shared" si="0"/>
        <v>#N/A</v>
      </c>
      <c r="M37" s="325">
        <v>32000</v>
      </c>
    </row>
    <row r="38" spans="1:13" ht="15.75" customHeight="1">
      <c r="A38" s="316" t="s">
        <v>643</v>
      </c>
      <c r="B38" s="316" t="s">
        <v>1973</v>
      </c>
      <c r="C38" s="316">
        <f>VLOOKUP($A38,Master!$B$50:$N$232,8,FALSE)</f>
        <v>1000</v>
      </c>
      <c r="D38" s="316" t="str">
        <f>VLOOKUP($A38,Master!$B$50:$N$232,9,FALSE)</f>
        <v>gr</v>
      </c>
      <c r="E38" s="317" t="str">
        <f>VLOOKUP($A38,Master!$B$50:$N$232,11,FALSE)</f>
        <v>PD Aroma Jaya</v>
      </c>
      <c r="F38" s="318">
        <v>0.5</v>
      </c>
      <c r="G38" s="354" t="s">
        <v>36</v>
      </c>
      <c r="H38" s="320">
        <v>7500</v>
      </c>
      <c r="I38" s="321" t="b">
        <v>1</v>
      </c>
      <c r="J38" s="322"/>
      <c r="K38" s="326">
        <f>VLOOKUP($A38,Master!$B$50:$N$232,6,FALSE)</f>
        <v>17000</v>
      </c>
      <c r="L38" s="327">
        <f t="shared" si="0"/>
        <v>0</v>
      </c>
      <c r="M38" s="325">
        <v>8000</v>
      </c>
    </row>
    <row r="39" spans="1:13" ht="15.75" customHeight="1">
      <c r="A39" s="316" t="s">
        <v>696</v>
      </c>
      <c r="B39" s="316" t="s">
        <v>1973</v>
      </c>
      <c r="C39" s="316" t="e">
        <f>VLOOKUP($A39,Master!$B$50:$N$232,8,FALSE)</f>
        <v>#N/A</v>
      </c>
      <c r="D39" s="316" t="e">
        <f>VLOOKUP($A39,Master!$B$50:$N$232,9,FALSE)</f>
        <v>#N/A</v>
      </c>
      <c r="E39" s="317" t="e">
        <f>VLOOKUP($A39,Master!$B$50:$N$232,11,FALSE)</f>
        <v>#N/A</v>
      </c>
      <c r="F39" s="318">
        <v>5</v>
      </c>
      <c r="G39" s="354" t="s">
        <v>62</v>
      </c>
      <c r="H39" s="320">
        <v>55000</v>
      </c>
      <c r="I39" s="321" t="b">
        <v>1</v>
      </c>
      <c r="J39" s="322"/>
      <c r="K39" s="326" t="e">
        <f>VLOOKUP($A39,Master!$B$50:$N$232,6,FALSE)</f>
        <v>#N/A</v>
      </c>
      <c r="L39" s="327" t="e">
        <f t="shared" si="0"/>
        <v>#N/A</v>
      </c>
      <c r="M39" s="325">
        <v>12400</v>
      </c>
    </row>
    <row r="40" spans="1:13" ht="15.75" customHeight="1">
      <c r="A40" s="316" t="s">
        <v>748</v>
      </c>
      <c r="B40" s="316" t="s">
        <v>1973</v>
      </c>
      <c r="C40" s="316" t="e">
        <f>VLOOKUP($A40,Master!$B$50:$N$232,8,FALSE)</f>
        <v>#N/A</v>
      </c>
      <c r="D40" s="316" t="e">
        <f>VLOOKUP($A40,Master!$B$50:$N$232,9,FALSE)</f>
        <v>#N/A</v>
      </c>
      <c r="E40" s="317" t="e">
        <f>VLOOKUP($A40,Master!$B$50:$N$232,11,FALSE)</f>
        <v>#N/A</v>
      </c>
      <c r="F40" s="318">
        <v>2</v>
      </c>
      <c r="G40" s="354" t="s">
        <v>62</v>
      </c>
      <c r="H40" s="320">
        <v>60000</v>
      </c>
      <c r="I40" s="321" t="b">
        <v>1</v>
      </c>
      <c r="J40" s="322"/>
      <c r="K40" s="326" t="e">
        <f>VLOOKUP($A40,Master!$B$50:$N$232,6,FALSE)</f>
        <v>#N/A</v>
      </c>
      <c r="L40" s="327" t="e">
        <f t="shared" si="0"/>
        <v>#N/A</v>
      </c>
      <c r="M40" s="325">
        <v>31000</v>
      </c>
    </row>
    <row r="41" spans="1:13" ht="15.75" customHeight="1">
      <c r="A41" s="316" t="s">
        <v>756</v>
      </c>
      <c r="B41" s="316" t="s">
        <v>1973</v>
      </c>
      <c r="C41" s="316">
        <f>VLOOKUP($A41,Master!$B$50:$N$232,8,FALSE)</f>
        <v>700</v>
      </c>
      <c r="D41" s="316" t="str">
        <f>VLOOKUP($A41,Master!$B$50:$N$232,9,FALSE)</f>
        <v>gr</v>
      </c>
      <c r="E41" s="317" t="str">
        <f>VLOOKUP($A41,Master!$B$50:$N$232,11,FALSE)</f>
        <v>RSB, Dago</v>
      </c>
      <c r="F41" s="318">
        <v>1</v>
      </c>
      <c r="G41" s="354" t="s">
        <v>62</v>
      </c>
      <c r="H41" s="320">
        <v>25000</v>
      </c>
      <c r="I41" s="321" t="b">
        <v>1</v>
      </c>
      <c r="J41" s="322"/>
      <c r="K41" s="326">
        <f>VLOOKUP($A41,Master!$B$50:$N$232,6,FALSE)</f>
        <v>35900</v>
      </c>
      <c r="L41" s="327">
        <f t="shared" si="0"/>
        <v>0</v>
      </c>
      <c r="M41" s="325">
        <v>36000</v>
      </c>
    </row>
    <row r="42" spans="1:13" ht="15.75" customHeight="1">
      <c r="A42" s="316" t="s">
        <v>889</v>
      </c>
      <c r="B42" s="316" t="s">
        <v>1973</v>
      </c>
      <c r="C42" s="316">
        <f>VLOOKUP($A42,Master!$B$50:$N$232,8,FALSE)</f>
        <v>10</v>
      </c>
      <c r="D42" s="316" t="str">
        <f>VLOOKUP($A42,Master!$B$50:$N$232,9,FALSE)</f>
        <v>sachet</v>
      </c>
      <c r="E42" s="317" t="str">
        <f>VLOOKUP($A42,Master!$B$50:$N$232,11,FALSE)</f>
        <v>Pasar Cihapit</v>
      </c>
      <c r="F42" s="318">
        <v>1</v>
      </c>
      <c r="G42" s="354" t="s">
        <v>62</v>
      </c>
      <c r="H42" s="320">
        <v>20000</v>
      </c>
      <c r="I42" s="321" t="b">
        <v>0</v>
      </c>
      <c r="J42" s="322"/>
      <c r="K42" s="326">
        <f>VLOOKUP($A42,Master!$B$50:$N$232,6,FALSE)</f>
        <v>22000</v>
      </c>
      <c r="L42" s="327">
        <f t="shared" si="0"/>
        <v>0</v>
      </c>
      <c r="M42" s="325"/>
    </row>
    <row r="43" spans="1:13" ht="15.75" customHeight="1">
      <c r="A43" s="316" t="s">
        <v>892</v>
      </c>
      <c r="B43" s="316" t="s">
        <v>1973</v>
      </c>
      <c r="C43" s="316" t="e">
        <f>VLOOKUP($A43,Master!$B$50:$N$232,8,FALSE)</f>
        <v>#N/A</v>
      </c>
      <c r="D43" s="316" t="e">
        <f>VLOOKUP($A43,Master!$B$50:$N$232,9,FALSE)</f>
        <v>#N/A</v>
      </c>
      <c r="E43" s="317" t="e">
        <f>VLOOKUP($A43,Master!$B$50:$N$232,11,FALSE)</f>
        <v>#N/A</v>
      </c>
      <c r="F43" s="318">
        <v>1</v>
      </c>
      <c r="G43" s="354" t="s">
        <v>36</v>
      </c>
      <c r="H43" s="320">
        <v>125000</v>
      </c>
      <c r="I43" s="321" t="b">
        <v>1</v>
      </c>
      <c r="J43" s="322"/>
      <c r="K43" s="326" t="e">
        <f>VLOOKUP($A43,Master!$B$50:$N$232,6,FALSE)</f>
        <v>#N/A</v>
      </c>
      <c r="L43" s="327" t="e">
        <f t="shared" si="0"/>
        <v>#N/A</v>
      </c>
      <c r="M43" s="325">
        <v>120000</v>
      </c>
    </row>
    <row r="44" spans="1:13" ht="15.75" customHeight="1">
      <c r="A44" s="316" t="s">
        <v>934</v>
      </c>
      <c r="B44" s="316" t="s">
        <v>1973</v>
      </c>
      <c r="C44" s="316" t="e">
        <f>VLOOKUP($A44,Master!$B$50:$N$232,8,FALSE)</f>
        <v>#N/A</v>
      </c>
      <c r="D44" s="316" t="e">
        <f>VLOOKUP($A44,Master!$B$50:$N$232,9,FALSE)</f>
        <v>#N/A</v>
      </c>
      <c r="E44" s="317" t="e">
        <f>VLOOKUP($A44,Master!$B$50:$N$232,11,FALSE)</f>
        <v>#N/A</v>
      </c>
      <c r="F44" s="318">
        <v>3</v>
      </c>
      <c r="G44" s="354" t="s">
        <v>62</v>
      </c>
      <c r="H44" s="320">
        <v>27000</v>
      </c>
      <c r="I44" s="321" t="b">
        <v>1</v>
      </c>
      <c r="J44" s="322"/>
      <c r="K44" s="326" t="e">
        <f>VLOOKUP($A44,Master!$B$50:$N$232,6,FALSE)</f>
        <v>#N/A</v>
      </c>
      <c r="L44" s="327" t="e">
        <f t="shared" si="0"/>
        <v>#N/A</v>
      </c>
      <c r="M44" s="325">
        <v>8700</v>
      </c>
    </row>
    <row r="45" spans="1:13" ht="15.75" customHeight="1">
      <c r="A45" s="316" t="s">
        <v>1548</v>
      </c>
      <c r="B45" s="316" t="s">
        <v>1973</v>
      </c>
      <c r="C45" s="316" t="e">
        <f>VLOOKUP($A45,Master!$B$50:$N$232,8,FALSE)</f>
        <v>#N/A</v>
      </c>
      <c r="D45" s="316" t="e">
        <f>VLOOKUP($A45,Master!$B$50:$N$232,9,FALSE)</f>
        <v>#N/A</v>
      </c>
      <c r="E45" s="317" t="e">
        <f>VLOOKUP($A45,Master!$B$50:$N$232,11,FALSE)</f>
        <v>#N/A</v>
      </c>
      <c r="F45" s="318">
        <v>4</v>
      </c>
      <c r="G45" s="354" t="s">
        <v>62</v>
      </c>
      <c r="H45" s="320">
        <v>48000</v>
      </c>
      <c r="I45" s="321" t="b">
        <v>0</v>
      </c>
      <c r="J45" s="322"/>
      <c r="K45" s="323" t="e">
        <f>VLOOKUP($A45,Master!$B$50:$N$232,6,FALSE)</f>
        <v>#N/A</v>
      </c>
      <c r="L45" s="324" t="e">
        <f t="shared" si="0"/>
        <v>#N/A</v>
      </c>
      <c r="M45" s="325"/>
    </row>
    <row r="46" spans="1:13" ht="15.75" customHeight="1">
      <c r="A46" s="316" t="s">
        <v>1548</v>
      </c>
      <c r="B46" s="316" t="s">
        <v>1973</v>
      </c>
      <c r="C46" s="316" t="e">
        <f>VLOOKUP($A46,Master!$B$50:$N$232,8,FALSE)</f>
        <v>#N/A</v>
      </c>
      <c r="D46" s="316" t="e">
        <f>VLOOKUP($A46,Master!$B$50:$N$232,9,FALSE)</f>
        <v>#N/A</v>
      </c>
      <c r="E46" s="317" t="e">
        <f>VLOOKUP($A46,Master!$B$50:$N$232,11,FALSE)</f>
        <v>#N/A</v>
      </c>
      <c r="F46" s="318">
        <v>4</v>
      </c>
      <c r="G46" s="354" t="s">
        <v>62</v>
      </c>
      <c r="H46" s="320">
        <v>32000</v>
      </c>
      <c r="I46" s="321" t="b">
        <v>0</v>
      </c>
      <c r="J46" s="322"/>
      <c r="K46" s="323" t="e">
        <f>VLOOKUP($A46,Master!$B$50:$N$232,6,FALSE)</f>
        <v>#N/A</v>
      </c>
      <c r="L46" s="324" t="e">
        <f t="shared" si="0"/>
        <v>#N/A</v>
      </c>
      <c r="M46" s="325"/>
    </row>
    <row r="47" spans="1:13" ht="15.75" customHeight="1">
      <c r="A47" s="316" t="s">
        <v>1017</v>
      </c>
      <c r="B47" s="316" t="s">
        <v>1973</v>
      </c>
      <c r="C47" s="316">
        <f>VLOOKUP($A47,Master!$B$50:$N$232,8,FALSE)</f>
        <v>1</v>
      </c>
      <c r="D47" s="316" t="str">
        <f>VLOOKUP($A47,Master!$B$50:$N$232,9,FALSE)</f>
        <v>pcs</v>
      </c>
      <c r="E47" s="317" t="str">
        <f>VLOOKUP($A47,Master!$B$50:$N$232,11,FALSE)</f>
        <v>PD Aroma Jaya</v>
      </c>
      <c r="F47" s="318">
        <v>3</v>
      </c>
      <c r="G47" s="354" t="s">
        <v>62</v>
      </c>
      <c r="H47" s="320">
        <v>7500</v>
      </c>
      <c r="I47" s="321" t="b">
        <v>0</v>
      </c>
      <c r="J47" s="322"/>
      <c r="K47" s="326">
        <f>VLOOKUP($A47,Master!$B$50:$N$232,6,FALSE)</f>
        <v>2800</v>
      </c>
      <c r="L47" s="327">
        <f t="shared" si="0"/>
        <v>0</v>
      </c>
      <c r="M47" s="325"/>
    </row>
    <row r="49" spans="1:13" ht="15.75" customHeight="1">
      <c r="F49" s="427">
        <v>44686</v>
      </c>
      <c r="G49" s="428"/>
      <c r="H49" s="424"/>
      <c r="J49" s="429">
        <f>F49+1</f>
        <v>44687</v>
      </c>
      <c r="K49" s="428"/>
      <c r="L49" s="424"/>
    </row>
    <row r="50" spans="1:13" ht="15.75" customHeight="1">
      <c r="F50" s="425" t="s">
        <v>1490</v>
      </c>
      <c r="G50" s="426"/>
      <c r="H50" s="304">
        <f>SUM(H52:H59)</f>
        <v>407000</v>
      </c>
      <c r="J50" s="425" t="s">
        <v>1491</v>
      </c>
      <c r="K50" s="426"/>
      <c r="L50" s="304" t="e">
        <f>SUM(L52:L59)</f>
        <v>#N/A</v>
      </c>
    </row>
    <row r="51" spans="1:13" ht="13">
      <c r="A51" s="2" t="s">
        <v>4</v>
      </c>
      <c r="B51" s="305" t="s">
        <v>5</v>
      </c>
      <c r="C51" s="305" t="s">
        <v>11</v>
      </c>
      <c r="D51" s="305" t="s">
        <v>12</v>
      </c>
      <c r="E51" s="306" t="s">
        <v>6</v>
      </c>
      <c r="F51" s="307" t="s">
        <v>1494</v>
      </c>
      <c r="G51" s="308" t="s">
        <v>10</v>
      </c>
      <c r="H51" s="309" t="s">
        <v>1495</v>
      </c>
      <c r="I51" s="310" t="s">
        <v>1289</v>
      </c>
      <c r="J51" s="311" t="s">
        <v>1496</v>
      </c>
      <c r="K51" s="312" t="s">
        <v>1497</v>
      </c>
      <c r="L51" s="313" t="s">
        <v>1498</v>
      </c>
      <c r="M51" s="314" t="s">
        <v>16</v>
      </c>
    </row>
    <row r="52" spans="1:13" ht="13">
      <c r="A52" s="316" t="s">
        <v>544</v>
      </c>
      <c r="B52" s="316" t="s">
        <v>1973</v>
      </c>
      <c r="C52" s="316" t="e">
        <f>VLOOKUP($A52,Master!$B$50:$N$232,8,FALSE)</f>
        <v>#N/A</v>
      </c>
      <c r="D52" s="316" t="e">
        <f>VLOOKUP($A52,Master!$B$50:$N$232,9,FALSE)</f>
        <v>#N/A</v>
      </c>
      <c r="E52" s="317" t="e">
        <f>VLOOKUP($A52,Master!$B$50:$N$232,11,FALSE)</f>
        <v>#N/A</v>
      </c>
      <c r="F52" s="318">
        <v>4</v>
      </c>
      <c r="G52" s="354" t="s">
        <v>62</v>
      </c>
      <c r="H52" s="320">
        <v>90400</v>
      </c>
      <c r="I52" s="321" t="b">
        <v>0</v>
      </c>
      <c r="J52" s="322"/>
      <c r="K52" s="326" t="e">
        <f>VLOOKUP($A52,Master!$B$50:$N$232,6,FALSE)</f>
        <v>#N/A</v>
      </c>
      <c r="L52" s="327" t="e">
        <f t="shared" ref="L52:L59" si="1">J52*K52</f>
        <v>#N/A</v>
      </c>
      <c r="M52" s="325"/>
    </row>
    <row r="53" spans="1:13" ht="13">
      <c r="A53" s="316" t="s">
        <v>586</v>
      </c>
      <c r="B53" s="316" t="s">
        <v>1973</v>
      </c>
      <c r="C53" s="316">
        <f>VLOOKUP($A53,Master!$B$50:$N$232,8,FALSE)</f>
        <v>20</v>
      </c>
      <c r="D53" s="316" t="str">
        <f>VLOOKUP($A53,Master!$B$50:$N$232,9,FALSE)</f>
        <v>pcs</v>
      </c>
      <c r="E53" s="317" t="str">
        <f>VLOOKUP($A53,Master!$B$50:$N$232,11,FALSE)</f>
        <v>Kurnia Mas</v>
      </c>
      <c r="F53" s="318">
        <v>4</v>
      </c>
      <c r="G53" s="354" t="s">
        <v>62</v>
      </c>
      <c r="H53" s="320">
        <v>28800</v>
      </c>
      <c r="I53" s="321" t="b">
        <v>0</v>
      </c>
      <c r="J53" s="322"/>
      <c r="K53" s="326">
        <f>VLOOKUP($A53,Master!$B$50:$N$232,6,FALSE)</f>
        <v>8500</v>
      </c>
      <c r="L53" s="327">
        <f t="shared" si="1"/>
        <v>0</v>
      </c>
      <c r="M53" s="325"/>
    </row>
    <row r="54" spans="1:13" ht="13">
      <c r="A54" s="18" t="s">
        <v>1094</v>
      </c>
      <c r="B54" s="316" t="s">
        <v>1973</v>
      </c>
      <c r="C54" s="316" t="e">
        <f>VLOOKUP($A54,Master!$B$50:$N$232,8,FALSE)</f>
        <v>#N/A</v>
      </c>
      <c r="D54" s="316" t="e">
        <f>VLOOKUP($A54,Master!$B$50:$N$232,9,FALSE)</f>
        <v>#N/A</v>
      </c>
      <c r="E54" s="317" t="e">
        <f>VLOOKUP($A54,Master!$B$50:$N$232,11,FALSE)</f>
        <v>#N/A</v>
      </c>
      <c r="F54" s="318">
        <v>1</v>
      </c>
      <c r="G54" s="354" t="s">
        <v>62</v>
      </c>
      <c r="H54" s="320">
        <v>17600</v>
      </c>
      <c r="I54" s="321" t="b">
        <v>0</v>
      </c>
      <c r="J54" s="322"/>
      <c r="K54" s="323" t="e">
        <f>VLOOKUP($A54,Master!$B$50:$N$232,6,FALSE)</f>
        <v>#N/A</v>
      </c>
      <c r="L54" s="324" t="e">
        <f t="shared" si="1"/>
        <v>#N/A</v>
      </c>
      <c r="M54" s="325"/>
    </row>
    <row r="55" spans="1:13" ht="13">
      <c r="A55" s="316" t="s">
        <v>528</v>
      </c>
      <c r="B55" s="316" t="s">
        <v>1973</v>
      </c>
      <c r="C55" s="316" t="e">
        <f>VLOOKUP($A55,Master!$B$50:$N$232,8,FALSE)</f>
        <v>#N/A</v>
      </c>
      <c r="D55" s="316" t="e">
        <f>VLOOKUP($A55,Master!$B$50:$N$232,9,FALSE)</f>
        <v>#N/A</v>
      </c>
      <c r="E55" s="317" t="e">
        <f>VLOOKUP($A55,Master!$B$50:$N$232,11,FALSE)</f>
        <v>#N/A</v>
      </c>
      <c r="F55" s="318">
        <v>3</v>
      </c>
      <c r="G55" s="354" t="s">
        <v>50</v>
      </c>
      <c r="H55" s="320">
        <v>48000</v>
      </c>
      <c r="I55" s="321" t="b">
        <v>0</v>
      </c>
      <c r="J55" s="322"/>
      <c r="K55" s="326" t="e">
        <f>VLOOKUP($A55,Master!$B$50:$N$232,6,FALSE)</f>
        <v>#N/A</v>
      </c>
      <c r="L55" s="327" t="e">
        <f t="shared" si="1"/>
        <v>#N/A</v>
      </c>
      <c r="M55" s="325"/>
    </row>
    <row r="56" spans="1:13" ht="13">
      <c r="A56" s="356" t="s">
        <v>532</v>
      </c>
      <c r="B56" s="316" t="s">
        <v>1973</v>
      </c>
      <c r="C56" s="316" t="e">
        <f>VLOOKUP($A56,Master!$B$50:$N$232,8,FALSE)</f>
        <v>#N/A</v>
      </c>
      <c r="D56" s="316" t="e">
        <f>VLOOKUP($A56,Master!$B$50:$N$232,9,FALSE)</f>
        <v>#N/A</v>
      </c>
      <c r="E56" s="317" t="e">
        <f>VLOOKUP($A56,Master!$B$50:$N$232,11,FALSE)</f>
        <v>#N/A</v>
      </c>
      <c r="F56" s="318">
        <v>1</v>
      </c>
      <c r="G56" s="354" t="s">
        <v>62</v>
      </c>
      <c r="H56" s="320">
        <v>60000</v>
      </c>
      <c r="I56" s="321" t="b">
        <v>0</v>
      </c>
      <c r="J56" s="322"/>
      <c r="K56" s="326" t="e">
        <f>VLOOKUP($A56,Master!$B$50:$N$232,6,FALSE)</f>
        <v>#N/A</v>
      </c>
      <c r="L56" s="327" t="e">
        <f t="shared" si="1"/>
        <v>#N/A</v>
      </c>
      <c r="M56" s="325"/>
    </row>
    <row r="57" spans="1:13" ht="13">
      <c r="A57" s="316" t="s">
        <v>635</v>
      </c>
      <c r="B57" s="316" t="s">
        <v>1973</v>
      </c>
      <c r="C57" s="316" t="e">
        <f>VLOOKUP($A57,Master!$B$50:$N$232,8,FALSE)</f>
        <v>#N/A</v>
      </c>
      <c r="D57" s="316" t="e">
        <f>VLOOKUP($A57,Master!$B$50:$N$232,9,FALSE)</f>
        <v>#N/A</v>
      </c>
      <c r="E57" s="317" t="e">
        <f>VLOOKUP($A57,Master!$B$50:$N$232,11,FALSE)</f>
        <v>#N/A</v>
      </c>
      <c r="F57" s="318">
        <v>6</v>
      </c>
      <c r="G57" s="354" t="s">
        <v>50</v>
      </c>
      <c r="H57" s="320">
        <v>60000</v>
      </c>
      <c r="I57" s="321" t="b">
        <v>0</v>
      </c>
      <c r="J57" s="322"/>
      <c r="K57" s="326" t="e">
        <f>VLOOKUP($A57,Master!$B$50:$N$232,6,FALSE)</f>
        <v>#N/A</v>
      </c>
      <c r="L57" s="327" t="e">
        <f t="shared" si="1"/>
        <v>#N/A</v>
      </c>
      <c r="M57" s="325"/>
    </row>
    <row r="58" spans="1:13" ht="13">
      <c r="A58" s="316" t="s">
        <v>680</v>
      </c>
      <c r="B58" s="316" t="s">
        <v>1973</v>
      </c>
      <c r="C58" s="316" t="e">
        <f>VLOOKUP($A58,Master!$B$50:$N$232,8,FALSE)</f>
        <v>#N/A</v>
      </c>
      <c r="D58" s="316" t="e">
        <f>VLOOKUP($A58,Master!$B$50:$N$232,9,FALSE)</f>
        <v>#N/A</v>
      </c>
      <c r="E58" s="317" t="e">
        <f>VLOOKUP($A58,Master!$B$50:$N$232,11,FALSE)</f>
        <v>#N/A</v>
      </c>
      <c r="F58" s="318">
        <v>2</v>
      </c>
      <c r="G58" s="354" t="s">
        <v>97</v>
      </c>
      <c r="H58" s="320">
        <v>62000</v>
      </c>
      <c r="I58" s="321" t="b">
        <v>0</v>
      </c>
      <c r="J58" s="322"/>
      <c r="K58" s="326" t="e">
        <f>VLOOKUP($A58,Master!$B$50:$N$232,6,FALSE)</f>
        <v>#N/A</v>
      </c>
      <c r="L58" s="327" t="e">
        <f t="shared" si="1"/>
        <v>#N/A</v>
      </c>
      <c r="M58" s="325"/>
    </row>
    <row r="59" spans="1:13" ht="13">
      <c r="A59" s="316" t="s">
        <v>1037</v>
      </c>
      <c r="B59" s="316" t="s">
        <v>1973</v>
      </c>
      <c r="C59" s="316" t="e">
        <f>VLOOKUP($A59,Master!$B$50:$N$232,8,FALSE)</f>
        <v>#N/A</v>
      </c>
      <c r="D59" s="316" t="e">
        <f>VLOOKUP($A59,Master!$B$50:$N$232,9,FALSE)</f>
        <v>#N/A</v>
      </c>
      <c r="E59" s="317" t="e">
        <f>VLOOKUP($A59,Master!$B$50:$N$232,11,FALSE)</f>
        <v>#N/A</v>
      </c>
      <c r="F59" s="318">
        <v>2</v>
      </c>
      <c r="G59" s="354" t="s">
        <v>62</v>
      </c>
      <c r="H59" s="320">
        <v>40200</v>
      </c>
      <c r="I59" s="321" t="b">
        <v>0</v>
      </c>
      <c r="J59" s="322"/>
      <c r="K59" s="323" t="e">
        <f>VLOOKUP($A59,Master!$B$50:$N$232,6,FALSE)</f>
        <v>#N/A</v>
      </c>
      <c r="L59" s="324" t="e">
        <f t="shared" si="1"/>
        <v>#N/A</v>
      </c>
      <c r="M59" s="325"/>
    </row>
    <row r="61" spans="1:13" ht="13">
      <c r="F61" s="427">
        <v>44690</v>
      </c>
      <c r="G61" s="428"/>
      <c r="H61" s="424"/>
      <c r="J61" s="429">
        <f>F61+1</f>
        <v>44691</v>
      </c>
      <c r="K61" s="428"/>
      <c r="L61" s="424"/>
    </row>
    <row r="62" spans="1:13" ht="13">
      <c r="F62" s="425" t="s">
        <v>1490</v>
      </c>
      <c r="G62" s="426"/>
      <c r="H62" s="304">
        <f>SUM(H64:H76)</f>
        <v>1136300</v>
      </c>
      <c r="J62" s="425" t="s">
        <v>1491</v>
      </c>
      <c r="K62" s="426"/>
      <c r="L62" s="304" t="e">
        <f>SUM(L64:L76)</f>
        <v>#N/A</v>
      </c>
    </row>
    <row r="63" spans="1:13" ht="13">
      <c r="A63" s="2" t="s">
        <v>4</v>
      </c>
      <c r="B63" s="305" t="s">
        <v>5</v>
      </c>
      <c r="C63" s="305" t="s">
        <v>11</v>
      </c>
      <c r="D63" s="305" t="s">
        <v>12</v>
      </c>
      <c r="E63" s="306" t="s">
        <v>6</v>
      </c>
      <c r="F63" s="307" t="s">
        <v>1494</v>
      </c>
      <c r="G63" s="308" t="s">
        <v>10</v>
      </c>
      <c r="H63" s="309" t="s">
        <v>1495</v>
      </c>
      <c r="I63" s="310" t="s">
        <v>1289</v>
      </c>
      <c r="J63" s="311" t="s">
        <v>1496</v>
      </c>
      <c r="K63" s="312" t="s">
        <v>1497</v>
      </c>
      <c r="L63" s="313" t="s">
        <v>1498</v>
      </c>
      <c r="M63" s="314" t="s">
        <v>16</v>
      </c>
    </row>
    <row r="64" spans="1:13" ht="13">
      <c r="A64" s="18" t="s">
        <v>1099</v>
      </c>
      <c r="B64" s="316" t="s">
        <v>1973</v>
      </c>
      <c r="C64" s="316" t="e">
        <f>VLOOKUP($A64,Master!$B$50:$N$232,8,FALSE)</f>
        <v>#N/A</v>
      </c>
      <c r="D64" s="316" t="e">
        <f>VLOOKUP($A64,Master!$B$50:$N$232,9,FALSE)</f>
        <v>#N/A</v>
      </c>
      <c r="E64" s="317" t="e">
        <f>VLOOKUP($A64,Master!$B$50:$N$232,11,FALSE)</f>
        <v>#N/A</v>
      </c>
      <c r="F64" s="318">
        <v>2</v>
      </c>
      <c r="G64" s="354" t="s">
        <v>36</v>
      </c>
      <c r="H64" s="320">
        <v>260000</v>
      </c>
      <c r="I64" s="321" t="b">
        <v>1</v>
      </c>
      <c r="J64" s="322">
        <v>2</v>
      </c>
      <c r="K64" s="323" t="e">
        <f>VLOOKUP($A64,Master!$B$50:$N$232,6,FALSE)</f>
        <v>#N/A</v>
      </c>
      <c r="L64" s="324" t="e">
        <f t="shared" ref="L64:L76" si="2">J64*K64</f>
        <v>#N/A</v>
      </c>
      <c r="M64" s="325"/>
    </row>
    <row r="65" spans="1:13" ht="13">
      <c r="A65" s="316" t="s">
        <v>586</v>
      </c>
      <c r="B65" s="316" t="s">
        <v>1973</v>
      </c>
      <c r="C65" s="316">
        <f>VLOOKUP($A65,Master!$B$50:$N$232,8,FALSE)</f>
        <v>20</v>
      </c>
      <c r="D65" s="316" t="str">
        <f>VLOOKUP($A65,Master!$B$50:$N$232,9,FALSE)</f>
        <v>pcs</v>
      </c>
      <c r="E65" s="317" t="str">
        <f>VLOOKUP($A65,Master!$B$50:$N$232,11,FALSE)</f>
        <v>Kurnia Mas</v>
      </c>
      <c r="F65" s="318">
        <v>2</v>
      </c>
      <c r="G65" s="354" t="s">
        <v>62</v>
      </c>
      <c r="H65" s="320">
        <v>14400</v>
      </c>
      <c r="I65" s="321" t="b">
        <v>0</v>
      </c>
      <c r="J65" s="322">
        <v>2</v>
      </c>
      <c r="K65" s="323">
        <v>7500</v>
      </c>
      <c r="L65" s="324">
        <f t="shared" si="2"/>
        <v>15000</v>
      </c>
      <c r="M65" s="325"/>
    </row>
    <row r="66" spans="1:13" ht="13">
      <c r="A66" s="316" t="s">
        <v>627</v>
      </c>
      <c r="B66" s="316" t="s">
        <v>1973</v>
      </c>
      <c r="C66" s="316">
        <f>VLOOKUP($A66,Master!$B$50:$N$232,8,FALSE)</f>
        <v>1000</v>
      </c>
      <c r="D66" s="316" t="str">
        <f>VLOOKUP($A66,Master!$B$50:$N$232,9,FALSE)</f>
        <v>gr</v>
      </c>
      <c r="E66" s="317" t="str">
        <f>VLOOKUP($A66,Master!$B$50:$N$232,11,FALSE)</f>
        <v>Borma</v>
      </c>
      <c r="F66" s="318">
        <v>1</v>
      </c>
      <c r="G66" s="354" t="s">
        <v>36</v>
      </c>
      <c r="H66" s="320">
        <v>37900</v>
      </c>
      <c r="I66" s="321" t="b">
        <v>1</v>
      </c>
      <c r="J66" s="322">
        <v>1</v>
      </c>
      <c r="K66" s="323">
        <v>52863</v>
      </c>
      <c r="L66" s="324">
        <f t="shared" si="2"/>
        <v>52863</v>
      </c>
      <c r="M66" s="325"/>
    </row>
    <row r="67" spans="1:13" ht="13">
      <c r="A67" s="316" t="s">
        <v>1601</v>
      </c>
      <c r="B67" s="316" t="s">
        <v>1973</v>
      </c>
      <c r="C67" s="316" t="e">
        <f>VLOOKUP($A67,Master!$B$50:$N$232,8,FALSE)</f>
        <v>#N/A</v>
      </c>
      <c r="D67" s="316" t="e">
        <f>VLOOKUP($A67,Master!$B$50:$N$232,9,FALSE)</f>
        <v>#N/A</v>
      </c>
      <c r="E67" s="317" t="e">
        <f>VLOOKUP($A67,Master!$B$50:$N$232,11,FALSE)</f>
        <v>#N/A</v>
      </c>
      <c r="F67" s="318">
        <v>2</v>
      </c>
      <c r="G67" s="354" t="s">
        <v>97</v>
      </c>
      <c r="H67" s="320">
        <v>42000</v>
      </c>
      <c r="I67" s="321" t="b">
        <v>1</v>
      </c>
      <c r="J67" s="322">
        <v>2</v>
      </c>
      <c r="K67" s="323" t="e">
        <f>VLOOKUP($A67,Master!$B$50:$N$232,6,FALSE)</f>
        <v>#N/A</v>
      </c>
      <c r="L67" s="324" t="e">
        <f t="shared" si="2"/>
        <v>#N/A</v>
      </c>
      <c r="M67" s="325"/>
    </row>
    <row r="68" spans="1:13" ht="13">
      <c r="A68" s="316" t="s">
        <v>562</v>
      </c>
      <c r="B68" s="316" t="s">
        <v>1973</v>
      </c>
      <c r="C68" s="316" t="e">
        <f>VLOOKUP($A68,Master!$B$50:$N$232,8,FALSE)</f>
        <v>#N/A</v>
      </c>
      <c r="D68" s="316" t="e">
        <f>VLOOKUP($A68,Master!$B$50:$N$232,9,FALSE)</f>
        <v>#N/A</v>
      </c>
      <c r="E68" s="317" t="e">
        <f>VLOOKUP($A68,Master!$B$50:$N$232,11,FALSE)</f>
        <v>#N/A</v>
      </c>
      <c r="F68" s="318">
        <v>1</v>
      </c>
      <c r="G68" s="354" t="s">
        <v>97</v>
      </c>
      <c r="H68" s="320">
        <v>195000</v>
      </c>
      <c r="I68" s="321" t="b">
        <v>0</v>
      </c>
      <c r="J68" s="322"/>
      <c r="K68" s="326" t="e">
        <f>VLOOKUP($A68,Master!$B$50:$N$232,6,FALSE)</f>
        <v>#N/A</v>
      </c>
      <c r="L68" s="327" t="e">
        <f t="shared" si="2"/>
        <v>#N/A</v>
      </c>
      <c r="M68" s="325"/>
    </row>
    <row r="69" spans="1:13" ht="13">
      <c r="A69" s="316" t="s">
        <v>1602</v>
      </c>
      <c r="B69" s="316" t="s">
        <v>1973</v>
      </c>
      <c r="C69" s="316" t="e">
        <f>VLOOKUP($A69,Master!$B$50:$N$232,8,FALSE)</f>
        <v>#N/A</v>
      </c>
      <c r="D69" s="316" t="e">
        <f>VLOOKUP($A69,Master!$B$50:$N$232,9,FALSE)</f>
        <v>#N/A</v>
      </c>
      <c r="E69" s="317" t="e">
        <f>VLOOKUP($A69,Master!$B$50:$N$232,11,FALSE)</f>
        <v>#N/A</v>
      </c>
      <c r="F69" s="318">
        <v>5</v>
      </c>
      <c r="G69" s="354" t="s">
        <v>36</v>
      </c>
      <c r="H69" s="320">
        <v>70000</v>
      </c>
      <c r="I69" s="321" t="b">
        <v>1</v>
      </c>
      <c r="J69" s="322">
        <v>5</v>
      </c>
      <c r="K69" s="323">
        <v>15000</v>
      </c>
      <c r="L69" s="324">
        <f t="shared" si="2"/>
        <v>75000</v>
      </c>
      <c r="M69" s="325"/>
    </row>
    <row r="70" spans="1:13" ht="13">
      <c r="A70" s="316" t="s">
        <v>528</v>
      </c>
      <c r="B70" s="316" t="s">
        <v>1973</v>
      </c>
      <c r="C70" s="316" t="e">
        <f>VLOOKUP($A70,Master!$B$50:$N$232,8,FALSE)</f>
        <v>#N/A</v>
      </c>
      <c r="D70" s="316" t="e">
        <f>VLOOKUP($A70,Master!$B$50:$N$232,9,FALSE)</f>
        <v>#N/A</v>
      </c>
      <c r="E70" s="317" t="e">
        <f>VLOOKUP($A70,Master!$B$50:$N$232,11,FALSE)</f>
        <v>#N/A</v>
      </c>
      <c r="F70" s="318">
        <v>4</v>
      </c>
      <c r="G70" s="354" t="s">
        <v>50</v>
      </c>
      <c r="H70" s="320">
        <v>64000</v>
      </c>
      <c r="I70" s="321" t="b">
        <v>1</v>
      </c>
      <c r="J70" s="322">
        <v>4</v>
      </c>
      <c r="K70" s="326" t="e">
        <f>VLOOKUP($A70,Master!$B$50:$N$232,6,FALSE)</f>
        <v>#N/A</v>
      </c>
      <c r="L70" s="327" t="e">
        <f t="shared" si="2"/>
        <v>#N/A</v>
      </c>
      <c r="M70" s="325"/>
    </row>
    <row r="71" spans="1:13" ht="13">
      <c r="A71" s="316" t="s">
        <v>1603</v>
      </c>
      <c r="B71" s="316" t="s">
        <v>1973</v>
      </c>
      <c r="C71" s="316" t="e">
        <f>VLOOKUP($A71,Master!$B$50:$N$232,8,FALSE)</f>
        <v>#N/A</v>
      </c>
      <c r="D71" s="316" t="e">
        <f>VLOOKUP($A71,Master!$B$50:$N$232,9,FALSE)</f>
        <v>#N/A</v>
      </c>
      <c r="E71" s="317" t="e">
        <f>VLOOKUP($A71,Master!$B$50:$N$232,11,FALSE)</f>
        <v>#N/A</v>
      </c>
      <c r="F71" s="318">
        <v>1</v>
      </c>
      <c r="G71" s="354" t="s">
        <v>62</v>
      </c>
      <c r="H71" s="320">
        <v>60000</v>
      </c>
      <c r="I71" s="321" t="b">
        <v>1</v>
      </c>
      <c r="J71" s="322">
        <v>1</v>
      </c>
      <c r="K71" s="323" t="e">
        <f>VLOOKUP($A71,Master!$B$50:$N$232,6,FALSE)</f>
        <v>#N/A</v>
      </c>
      <c r="L71" s="324" t="e">
        <f t="shared" si="2"/>
        <v>#N/A</v>
      </c>
      <c r="M71" s="325"/>
    </row>
    <row r="72" spans="1:13" ht="13">
      <c r="A72" s="316" t="s">
        <v>635</v>
      </c>
      <c r="B72" s="316" t="s">
        <v>1973</v>
      </c>
      <c r="C72" s="316" t="e">
        <f>VLOOKUP($A72,Master!$B$50:$N$232,8,FALSE)</f>
        <v>#N/A</v>
      </c>
      <c r="D72" s="316" t="e">
        <f>VLOOKUP($A72,Master!$B$50:$N$232,9,FALSE)</f>
        <v>#N/A</v>
      </c>
      <c r="E72" s="317" t="e">
        <f>VLOOKUP($A72,Master!$B$50:$N$232,11,FALSE)</f>
        <v>#N/A</v>
      </c>
      <c r="F72" s="318">
        <v>8</v>
      </c>
      <c r="G72" s="354" t="s">
        <v>50</v>
      </c>
      <c r="H72" s="320">
        <v>80000</v>
      </c>
      <c r="I72" s="321" t="b">
        <v>1</v>
      </c>
      <c r="J72" s="322">
        <v>8</v>
      </c>
      <c r="K72" s="323">
        <v>11000</v>
      </c>
      <c r="L72" s="324">
        <f t="shared" si="2"/>
        <v>88000</v>
      </c>
      <c r="M72" s="325"/>
    </row>
    <row r="73" spans="1:13" ht="13">
      <c r="A73" s="316" t="s">
        <v>647</v>
      </c>
      <c r="B73" s="316" t="s">
        <v>1973</v>
      </c>
      <c r="C73" s="316">
        <f>VLOOKUP($A73,Master!$B$50:$N$232,8,FALSE)</f>
        <v>250</v>
      </c>
      <c r="D73" s="316" t="str">
        <f>VLOOKUP($A73,Master!$B$50:$N$232,9,FALSE)</f>
        <v>pcs</v>
      </c>
      <c r="E73" s="317" t="str">
        <f>VLOOKUP($A73,Master!$B$50:$N$232,11,FALSE)</f>
        <v>Kurnia Mas</v>
      </c>
      <c r="F73" s="318">
        <v>1</v>
      </c>
      <c r="G73" s="354" t="s">
        <v>75</v>
      </c>
      <c r="H73" s="320">
        <v>48000</v>
      </c>
      <c r="I73" s="321" t="b">
        <v>1</v>
      </c>
      <c r="J73" s="322">
        <v>1</v>
      </c>
      <c r="K73" s="323">
        <v>42500</v>
      </c>
      <c r="L73" s="324">
        <f t="shared" si="2"/>
        <v>42500</v>
      </c>
      <c r="M73" s="325"/>
    </row>
    <row r="74" spans="1:13" ht="13">
      <c r="A74" s="316" t="s">
        <v>680</v>
      </c>
      <c r="B74" s="316" t="s">
        <v>1973</v>
      </c>
      <c r="C74" s="316" t="e">
        <f>VLOOKUP($A74,Master!$B$50:$N$232,8,FALSE)</f>
        <v>#N/A</v>
      </c>
      <c r="D74" s="316" t="e">
        <f>VLOOKUP($A74,Master!$B$50:$N$232,9,FALSE)</f>
        <v>#N/A</v>
      </c>
      <c r="E74" s="317" t="e">
        <f>VLOOKUP($A74,Master!$B$50:$N$232,11,FALSE)</f>
        <v>#N/A</v>
      </c>
      <c r="F74" s="318">
        <v>3</v>
      </c>
      <c r="G74" s="354" t="s">
        <v>97</v>
      </c>
      <c r="H74" s="320">
        <v>93000</v>
      </c>
      <c r="I74" s="321" t="b">
        <v>1</v>
      </c>
      <c r="J74" s="322">
        <v>3</v>
      </c>
      <c r="K74" s="326" t="e">
        <f>VLOOKUP($A74,Master!$B$50:$N$232,6,FALSE)</f>
        <v>#N/A</v>
      </c>
      <c r="L74" s="327" t="e">
        <f t="shared" si="2"/>
        <v>#N/A</v>
      </c>
      <c r="M74" s="325"/>
    </row>
    <row r="75" spans="1:13" ht="13">
      <c r="A75" s="316" t="s">
        <v>684</v>
      </c>
      <c r="B75" s="316" t="s">
        <v>1973</v>
      </c>
      <c r="C75" s="316" t="e">
        <f>VLOOKUP($A75,Master!$B$50:$N$232,8,FALSE)</f>
        <v>#N/A</v>
      </c>
      <c r="D75" s="316" t="e">
        <f>VLOOKUP($A75,Master!$B$50:$N$232,9,FALSE)</f>
        <v>#N/A</v>
      </c>
      <c r="E75" s="317" t="e">
        <f>VLOOKUP($A75,Master!$B$50:$N$232,11,FALSE)</f>
        <v>#N/A</v>
      </c>
      <c r="F75" s="318">
        <v>4</v>
      </c>
      <c r="G75" s="354" t="s">
        <v>97</v>
      </c>
      <c r="H75" s="320">
        <v>124000</v>
      </c>
      <c r="I75" s="321" t="b">
        <v>1</v>
      </c>
      <c r="J75" s="322">
        <v>4</v>
      </c>
      <c r="K75" s="326" t="e">
        <f>VLOOKUP($A75,Master!$B$50:$N$232,6,FALSE)</f>
        <v>#N/A</v>
      </c>
      <c r="L75" s="327" t="e">
        <f t="shared" si="2"/>
        <v>#N/A</v>
      </c>
      <c r="M75" s="325"/>
    </row>
    <row r="76" spans="1:13" ht="13">
      <c r="A76" s="316" t="s">
        <v>1604</v>
      </c>
      <c r="B76" s="316" t="s">
        <v>1973</v>
      </c>
      <c r="C76" s="316" t="e">
        <f>VLOOKUP($A76,Master!$B$50:$N$232,8,FALSE)</f>
        <v>#N/A</v>
      </c>
      <c r="D76" s="316" t="e">
        <f>VLOOKUP($A76,Master!$B$50:$N$232,9,FALSE)</f>
        <v>#N/A</v>
      </c>
      <c r="E76" s="317" t="e">
        <f>VLOOKUP($A76,Master!$B$50:$N$232,11,FALSE)</f>
        <v>#N/A</v>
      </c>
      <c r="F76" s="318">
        <v>1</v>
      </c>
      <c r="G76" s="354" t="s">
        <v>62</v>
      </c>
      <c r="H76" s="320">
        <v>48000</v>
      </c>
      <c r="I76" s="321" t="b">
        <v>1</v>
      </c>
      <c r="J76" s="322">
        <v>1</v>
      </c>
      <c r="K76" s="323">
        <v>27500</v>
      </c>
      <c r="L76" s="324">
        <f t="shared" si="2"/>
        <v>27500</v>
      </c>
      <c r="M76" s="325"/>
    </row>
    <row r="78" spans="1:13" ht="13">
      <c r="F78" s="427">
        <v>44691</v>
      </c>
      <c r="G78" s="428"/>
      <c r="H78" s="424"/>
      <c r="J78" s="429">
        <f>F78+1</f>
        <v>44692</v>
      </c>
      <c r="K78" s="428"/>
      <c r="L78" s="424"/>
    </row>
    <row r="79" spans="1:13" ht="13">
      <c r="F79" s="425" t="s">
        <v>1490</v>
      </c>
      <c r="G79" s="426"/>
      <c r="H79" s="304">
        <f>SUM(H81:H91)</f>
        <v>2810761</v>
      </c>
      <c r="J79" s="425" t="s">
        <v>1491</v>
      </c>
      <c r="K79" s="426"/>
      <c r="L79" s="304" t="e">
        <f>SUM(L81:L91)</f>
        <v>#VALUE!</v>
      </c>
    </row>
    <row r="80" spans="1:13" ht="13">
      <c r="A80" s="2" t="s">
        <v>4</v>
      </c>
      <c r="B80" s="305" t="s">
        <v>5</v>
      </c>
      <c r="C80" s="305" t="s">
        <v>11</v>
      </c>
      <c r="D80" s="305" t="s">
        <v>12</v>
      </c>
      <c r="E80" s="306" t="s">
        <v>6</v>
      </c>
      <c r="F80" s="307" t="s">
        <v>1494</v>
      </c>
      <c r="G80" s="308" t="s">
        <v>10</v>
      </c>
      <c r="H80" s="309" t="s">
        <v>1495</v>
      </c>
      <c r="I80" s="310" t="s">
        <v>1289</v>
      </c>
      <c r="J80" s="311" t="s">
        <v>1496</v>
      </c>
      <c r="K80" s="312" t="s">
        <v>1497</v>
      </c>
      <c r="L80" s="313" t="s">
        <v>1498</v>
      </c>
      <c r="M80" s="314" t="s">
        <v>16</v>
      </c>
    </row>
    <row r="81" spans="1:13" ht="13">
      <c r="A81" s="316" t="s">
        <v>1503</v>
      </c>
      <c r="B81" s="316" t="s">
        <v>1973</v>
      </c>
      <c r="C81" s="316" t="e">
        <f>VLOOKUP($A81,Master!$B$50:$N$232,8,FALSE)</f>
        <v>#N/A</v>
      </c>
      <c r="D81" s="316" t="e">
        <f>VLOOKUP($A81,Master!$B$50:$N$232,9,FALSE)</f>
        <v>#N/A</v>
      </c>
      <c r="E81" s="317" t="e">
        <f>VLOOKUP($A81,Master!$B$50:$N$232,11,FALSE)</f>
        <v>#N/A</v>
      </c>
      <c r="F81" s="318">
        <v>1</v>
      </c>
      <c r="G81" s="354" t="s">
        <v>97</v>
      </c>
      <c r="H81" s="320">
        <v>195000</v>
      </c>
      <c r="I81" s="321" t="b">
        <v>0</v>
      </c>
      <c r="J81" s="322"/>
      <c r="K81" s="323" t="s">
        <v>1973</v>
      </c>
      <c r="L81" s="324" t="e">
        <f t="shared" ref="L81:L91" si="3">J81*K81</f>
        <v>#VALUE!</v>
      </c>
      <c r="M81" s="325" t="s">
        <v>1605</v>
      </c>
    </row>
    <row r="82" spans="1:13" ht="13">
      <c r="A82" s="316" t="s">
        <v>562</v>
      </c>
      <c r="B82" s="316" t="s">
        <v>1973</v>
      </c>
      <c r="C82" s="316" t="e">
        <f>VLOOKUP($A82,Master!$B$50:$N$232,8,FALSE)</f>
        <v>#N/A</v>
      </c>
      <c r="D82" s="316" t="e">
        <f>VLOOKUP($A82,Master!$B$50:$N$232,9,FALSE)</f>
        <v>#N/A</v>
      </c>
      <c r="E82" s="317" t="e">
        <f>VLOOKUP($A82,Master!$B$50:$N$232,11,FALSE)</f>
        <v>#N/A</v>
      </c>
      <c r="F82" s="318">
        <v>2</v>
      </c>
      <c r="G82" s="354" t="s">
        <v>62</v>
      </c>
      <c r="H82" s="320">
        <v>400000</v>
      </c>
      <c r="I82" s="321" t="b">
        <v>1</v>
      </c>
      <c r="J82" s="322">
        <v>1</v>
      </c>
      <c r="K82" s="323" t="s">
        <v>1973</v>
      </c>
      <c r="L82" s="324" t="e">
        <f t="shared" si="3"/>
        <v>#VALUE!</v>
      </c>
      <c r="M82" s="325"/>
    </row>
    <row r="83" spans="1:13" ht="13">
      <c r="A83" s="316" t="s">
        <v>566</v>
      </c>
      <c r="B83" s="316" t="s">
        <v>1973</v>
      </c>
      <c r="C83" s="316" t="e">
        <f>VLOOKUP($A83,Master!$B$50:$N$232,8,FALSE)</f>
        <v>#N/A</v>
      </c>
      <c r="D83" s="316" t="e">
        <f>VLOOKUP($A83,Master!$B$50:$N$232,9,FALSE)</f>
        <v>#N/A</v>
      </c>
      <c r="E83" s="317" t="e">
        <f>VLOOKUP($A83,Master!$B$50:$N$232,11,FALSE)</f>
        <v>#N/A</v>
      </c>
      <c r="F83" s="318">
        <v>2</v>
      </c>
      <c r="G83" s="354" t="s">
        <v>62</v>
      </c>
      <c r="H83" s="320">
        <v>400000</v>
      </c>
      <c r="I83" s="321" t="b">
        <v>0</v>
      </c>
      <c r="J83" s="322"/>
      <c r="K83" s="323" t="s">
        <v>1973</v>
      </c>
      <c r="L83" s="324" t="e">
        <f t="shared" si="3"/>
        <v>#VALUE!</v>
      </c>
      <c r="M83" s="325"/>
    </row>
    <row r="84" spans="1:13" ht="13">
      <c r="A84" s="316" t="s">
        <v>570</v>
      </c>
      <c r="B84" s="316" t="s">
        <v>1973</v>
      </c>
      <c r="C84" s="316" t="e">
        <f>VLOOKUP($A84,Master!$B$50:$N$232,8,FALSE)</f>
        <v>#N/A</v>
      </c>
      <c r="D84" s="316" t="e">
        <f>VLOOKUP($A84,Master!$B$50:$N$232,9,FALSE)</f>
        <v>#N/A</v>
      </c>
      <c r="E84" s="317" t="e">
        <f>VLOOKUP($A84,Master!$B$50:$N$232,11,FALSE)</f>
        <v>#N/A</v>
      </c>
      <c r="F84" s="318">
        <v>2</v>
      </c>
      <c r="G84" s="354" t="s">
        <v>97</v>
      </c>
      <c r="H84" s="320">
        <v>154546</v>
      </c>
      <c r="I84" s="321" t="b">
        <v>0</v>
      </c>
      <c r="J84" s="322"/>
      <c r="K84" s="323" t="s">
        <v>1973</v>
      </c>
      <c r="L84" s="324" t="e">
        <f t="shared" si="3"/>
        <v>#VALUE!</v>
      </c>
      <c r="M84" s="325"/>
    </row>
    <row r="85" spans="1:13" ht="13">
      <c r="A85" s="316" t="s">
        <v>1504</v>
      </c>
      <c r="B85" s="316" t="s">
        <v>1973</v>
      </c>
      <c r="C85" s="316" t="e">
        <f>VLOOKUP($A85,Master!$B$50:$N$232,8,FALSE)</f>
        <v>#N/A</v>
      </c>
      <c r="D85" s="316" t="e">
        <f>VLOOKUP($A85,Master!$B$50:$N$232,9,FALSE)</f>
        <v>#N/A</v>
      </c>
      <c r="E85" s="317" t="e">
        <f>VLOOKUP($A85,Master!$B$50:$N$232,11,FALSE)</f>
        <v>#N/A</v>
      </c>
      <c r="F85" s="318">
        <v>1</v>
      </c>
      <c r="G85" s="354" t="s">
        <v>143</v>
      </c>
      <c r="H85" s="320">
        <v>149952</v>
      </c>
      <c r="I85" s="321" t="b">
        <v>1</v>
      </c>
      <c r="J85" s="322">
        <v>2</v>
      </c>
      <c r="K85" s="323" t="s">
        <v>1973</v>
      </c>
      <c r="L85" s="324" t="e">
        <f t="shared" si="3"/>
        <v>#VALUE!</v>
      </c>
      <c r="M85" s="325"/>
    </row>
    <row r="86" spans="1:13" ht="13">
      <c r="A86" s="316" t="s">
        <v>1505</v>
      </c>
      <c r="B86" s="316" t="s">
        <v>1973</v>
      </c>
      <c r="C86" s="316" t="e">
        <f>VLOOKUP($A86,Master!$B$50:$N$232,8,FALSE)</f>
        <v>#N/A</v>
      </c>
      <c r="D86" s="316" t="e">
        <f>VLOOKUP($A86,Master!$B$50:$N$232,9,FALSE)</f>
        <v>#N/A</v>
      </c>
      <c r="E86" s="317" t="e">
        <f>VLOOKUP($A86,Master!$B$50:$N$232,11,FALSE)</f>
        <v>#N/A</v>
      </c>
      <c r="F86" s="318">
        <v>1</v>
      </c>
      <c r="G86" s="354" t="s">
        <v>143</v>
      </c>
      <c r="H86" s="320">
        <v>199663</v>
      </c>
      <c r="I86" s="321" t="b">
        <v>1</v>
      </c>
      <c r="J86" s="322">
        <v>2</v>
      </c>
      <c r="K86" s="323" t="s">
        <v>1973</v>
      </c>
      <c r="L86" s="324" t="e">
        <f t="shared" si="3"/>
        <v>#VALUE!</v>
      </c>
      <c r="M86" s="325"/>
    </row>
    <row r="87" spans="1:13" ht="13">
      <c r="A87" s="316" t="s">
        <v>1506</v>
      </c>
      <c r="B87" s="316" t="s">
        <v>1973</v>
      </c>
      <c r="C87" s="316" t="e">
        <f>VLOOKUP($A87,Master!$B$50:$N$232,8,FALSE)</f>
        <v>#N/A</v>
      </c>
      <c r="D87" s="316" t="e">
        <f>VLOOKUP($A87,Master!$B$50:$N$232,9,FALSE)</f>
        <v>#N/A</v>
      </c>
      <c r="E87" s="317" t="e">
        <f>VLOOKUP($A87,Master!$B$50:$N$232,11,FALSE)</f>
        <v>#N/A</v>
      </c>
      <c r="F87" s="318">
        <v>2</v>
      </c>
      <c r="G87" s="354" t="s">
        <v>97</v>
      </c>
      <c r="H87" s="320">
        <v>268400</v>
      </c>
      <c r="I87" s="321" t="b">
        <v>1</v>
      </c>
      <c r="J87" s="322">
        <v>2</v>
      </c>
      <c r="K87" s="323" t="s">
        <v>1973</v>
      </c>
      <c r="L87" s="324" t="e">
        <f t="shared" si="3"/>
        <v>#VALUE!</v>
      </c>
      <c r="M87" s="325"/>
    </row>
    <row r="88" spans="1:13" ht="13">
      <c r="A88" s="316" t="s">
        <v>961</v>
      </c>
      <c r="B88" s="316" t="s">
        <v>1973</v>
      </c>
      <c r="C88" s="316" t="e">
        <f>VLOOKUP($A88,Master!$B$50:$N$232,8,FALSE)</f>
        <v>#N/A</v>
      </c>
      <c r="D88" s="316" t="e">
        <f>VLOOKUP($A88,Master!$B$50:$N$232,9,FALSE)</f>
        <v>#N/A</v>
      </c>
      <c r="E88" s="317" t="e">
        <f>VLOOKUP($A88,Master!$B$50:$N$232,11,FALSE)</f>
        <v>#N/A</v>
      </c>
      <c r="F88" s="318">
        <v>2</v>
      </c>
      <c r="G88" s="354" t="s">
        <v>97</v>
      </c>
      <c r="H88" s="320">
        <v>257400</v>
      </c>
      <c r="I88" s="321" t="b">
        <v>1</v>
      </c>
      <c r="J88" s="322">
        <v>2</v>
      </c>
      <c r="K88" s="323">
        <v>85000</v>
      </c>
      <c r="L88" s="324">
        <f t="shared" si="3"/>
        <v>170000</v>
      </c>
      <c r="M88" s="325"/>
    </row>
    <row r="89" spans="1:13" ht="13">
      <c r="A89" s="316" t="s">
        <v>992</v>
      </c>
      <c r="B89" s="316" t="s">
        <v>1973</v>
      </c>
      <c r="C89" s="316" t="e">
        <f>VLOOKUP($A89,Master!$B$50:$N$232,8,FALSE)</f>
        <v>#N/A</v>
      </c>
      <c r="D89" s="316" t="e">
        <f>VLOOKUP($A89,Master!$B$50:$N$232,9,FALSE)</f>
        <v>#N/A</v>
      </c>
      <c r="E89" s="317" t="e">
        <f>VLOOKUP($A89,Master!$B$50:$N$232,11,FALSE)</f>
        <v>#N/A</v>
      </c>
      <c r="F89" s="318">
        <v>2</v>
      </c>
      <c r="G89" s="354" t="s">
        <v>97</v>
      </c>
      <c r="H89" s="320">
        <v>257400</v>
      </c>
      <c r="I89" s="321" t="b">
        <v>1</v>
      </c>
      <c r="J89" s="322">
        <v>1</v>
      </c>
      <c r="K89" s="323">
        <v>143265</v>
      </c>
      <c r="L89" s="324">
        <f t="shared" si="3"/>
        <v>143265</v>
      </c>
      <c r="M89" s="325"/>
    </row>
    <row r="90" spans="1:13" ht="13">
      <c r="A90" s="316" t="s">
        <v>995</v>
      </c>
      <c r="B90" s="316" t="s">
        <v>1973</v>
      </c>
      <c r="C90" s="316" t="e">
        <f>VLOOKUP($A90,Master!$B$50:$N$232,8,FALSE)</f>
        <v>#N/A</v>
      </c>
      <c r="D90" s="316" t="e">
        <f>VLOOKUP($A90,Master!$B$50:$N$232,9,FALSE)</f>
        <v>#N/A</v>
      </c>
      <c r="E90" s="317" t="e">
        <f>VLOOKUP($A90,Master!$B$50:$N$232,11,FALSE)</f>
        <v>#N/A</v>
      </c>
      <c r="F90" s="318">
        <v>2</v>
      </c>
      <c r="G90" s="354" t="s">
        <v>97</v>
      </c>
      <c r="H90" s="320">
        <v>268400</v>
      </c>
      <c r="I90" s="321" t="b">
        <v>1</v>
      </c>
      <c r="J90" s="322">
        <v>1</v>
      </c>
      <c r="K90" s="323">
        <v>347513</v>
      </c>
      <c r="L90" s="324">
        <f t="shared" si="3"/>
        <v>347513</v>
      </c>
      <c r="M90" s="325"/>
    </row>
    <row r="91" spans="1:13" ht="13">
      <c r="A91" s="18" t="s">
        <v>1099</v>
      </c>
      <c r="B91" s="316" t="s">
        <v>1973</v>
      </c>
      <c r="C91" s="316" t="e">
        <f>VLOOKUP($A91,Master!$B$50:$N$232,8,FALSE)</f>
        <v>#N/A</v>
      </c>
      <c r="D91" s="316" t="e">
        <f>VLOOKUP($A91,Master!$B$50:$N$232,9,FALSE)</f>
        <v>#N/A</v>
      </c>
      <c r="E91" s="317" t="e">
        <f>VLOOKUP($A91,Master!$B$50:$N$232,11,FALSE)</f>
        <v>#N/A</v>
      </c>
      <c r="F91" s="318">
        <v>2</v>
      </c>
      <c r="G91" s="354" t="s">
        <v>36</v>
      </c>
      <c r="H91" s="320">
        <v>260000</v>
      </c>
      <c r="I91" s="321" t="b">
        <v>1</v>
      </c>
      <c r="J91" s="322">
        <v>2</v>
      </c>
      <c r="K91" s="323" t="e">
        <f>VLOOKUP($A91,'[1]Database Bahan &amp; Alat (Terupdat'!$B$50:$N$232,6,FALSE)</f>
        <v>#N/A</v>
      </c>
      <c r="L91" s="324" t="e">
        <f t="shared" si="3"/>
        <v>#N/A</v>
      </c>
      <c r="M91" s="325"/>
    </row>
    <row r="93" spans="1:13" ht="13">
      <c r="F93" s="427">
        <v>44686</v>
      </c>
      <c r="G93" s="428"/>
      <c r="H93" s="424"/>
      <c r="J93" s="429">
        <f>F93+1</f>
        <v>44687</v>
      </c>
      <c r="K93" s="428"/>
      <c r="L93" s="424"/>
    </row>
    <row r="94" spans="1:13" ht="13">
      <c r="F94" s="425" t="s">
        <v>1490</v>
      </c>
      <c r="G94" s="426"/>
      <c r="H94" s="304">
        <f>SUM(H96:H99)</f>
        <v>1947734</v>
      </c>
      <c r="J94" s="425" t="s">
        <v>1491</v>
      </c>
      <c r="K94" s="426"/>
      <c r="L94" s="304">
        <f>SUM(L96:L99)</f>
        <v>1906708</v>
      </c>
    </row>
    <row r="95" spans="1:13" ht="13">
      <c r="A95" s="2" t="s">
        <v>4</v>
      </c>
      <c r="B95" s="305" t="s">
        <v>5</v>
      </c>
      <c r="C95" s="305" t="s">
        <v>11</v>
      </c>
      <c r="D95" s="305" t="s">
        <v>12</v>
      </c>
      <c r="E95" s="306" t="s">
        <v>6</v>
      </c>
      <c r="F95" s="307" t="s">
        <v>1494</v>
      </c>
      <c r="G95" s="308" t="s">
        <v>10</v>
      </c>
      <c r="H95" s="309" t="s">
        <v>1495</v>
      </c>
      <c r="I95" s="310" t="s">
        <v>1289</v>
      </c>
      <c r="J95" s="311" t="s">
        <v>1496</v>
      </c>
      <c r="K95" s="312" t="s">
        <v>1497</v>
      </c>
      <c r="L95" s="313" t="s">
        <v>1498</v>
      </c>
      <c r="M95" s="314" t="s">
        <v>16</v>
      </c>
    </row>
    <row r="96" spans="1:13" ht="13">
      <c r="A96" s="316" t="s">
        <v>548</v>
      </c>
      <c r="B96" s="316" t="s">
        <v>1973</v>
      </c>
      <c r="C96" s="316" t="e">
        <f>VLOOKUP($A96,Master!$B$50:$N$232,8,FALSE)</f>
        <v>#N/A</v>
      </c>
      <c r="D96" s="316" t="e">
        <f>VLOOKUP($A96,Master!$B$50:$N$232,9,FALSE)</f>
        <v>#N/A</v>
      </c>
      <c r="E96" s="317" t="e">
        <f>VLOOKUP($A96,Master!$B$50:$N$232,11,FALSE)</f>
        <v>#N/A</v>
      </c>
      <c r="F96" s="318">
        <v>1</v>
      </c>
      <c r="G96" s="354" t="s">
        <v>87</v>
      </c>
      <c r="H96" s="320">
        <v>142120</v>
      </c>
      <c r="I96" s="321" t="b">
        <v>1</v>
      </c>
      <c r="J96" s="322">
        <v>1</v>
      </c>
      <c r="K96" s="323">
        <v>141950</v>
      </c>
      <c r="L96" s="324">
        <f t="shared" ref="L96:L99" si="4">J96*K96</f>
        <v>141950</v>
      </c>
      <c r="M96" s="325"/>
    </row>
    <row r="97" spans="1:13" ht="13">
      <c r="A97" s="316" t="s">
        <v>623</v>
      </c>
      <c r="B97" s="316" t="s">
        <v>1973</v>
      </c>
      <c r="C97" s="316" t="e">
        <f>VLOOKUP($A97,Master!$B$50:$N$232,8,FALSE)</f>
        <v>#N/A</v>
      </c>
      <c r="D97" s="316" t="e">
        <f>VLOOKUP($A97,Master!$B$50:$N$232,9,FALSE)</f>
        <v>#N/A</v>
      </c>
      <c r="E97" s="317" t="e">
        <f>VLOOKUP($A97,Master!$B$50:$N$232,11,FALSE)</f>
        <v>#N/A</v>
      </c>
      <c r="F97" s="318">
        <v>4</v>
      </c>
      <c r="G97" s="354" t="s">
        <v>143</v>
      </c>
      <c r="H97" s="320">
        <v>719400</v>
      </c>
      <c r="I97" s="321" t="b">
        <v>1</v>
      </c>
      <c r="J97" s="322">
        <v>4</v>
      </c>
      <c r="K97" s="323">
        <v>163900</v>
      </c>
      <c r="L97" s="324">
        <f t="shared" si="4"/>
        <v>655600</v>
      </c>
      <c r="M97" s="325"/>
    </row>
    <row r="98" spans="1:13" ht="13">
      <c r="A98" s="316" t="s">
        <v>704</v>
      </c>
      <c r="B98" s="316" t="s">
        <v>1973</v>
      </c>
      <c r="C98" s="316" t="e">
        <f>VLOOKUP($A98,Master!$B$50:$N$232,8,FALSE)</f>
        <v>#N/A</v>
      </c>
      <c r="D98" s="316" t="e">
        <f>VLOOKUP($A98,Master!$B$50:$N$232,9,FALSE)</f>
        <v>#N/A</v>
      </c>
      <c r="E98" s="317" t="e">
        <f>VLOOKUP($A98,Master!$B$50:$N$232,11,FALSE)</f>
        <v>#N/A</v>
      </c>
      <c r="F98" s="318">
        <v>4</v>
      </c>
      <c r="G98" s="354" t="s">
        <v>143</v>
      </c>
      <c r="H98" s="320">
        <v>729000</v>
      </c>
      <c r="I98" s="321" t="b">
        <v>1</v>
      </c>
      <c r="J98" s="322">
        <v>4</v>
      </c>
      <c r="K98" s="323">
        <v>182700</v>
      </c>
      <c r="L98" s="324">
        <f t="shared" si="4"/>
        <v>730800</v>
      </c>
      <c r="M98" s="325"/>
    </row>
    <row r="99" spans="1:13" ht="13">
      <c r="A99" s="316" t="s">
        <v>925</v>
      </c>
      <c r="B99" s="316" t="s">
        <v>1973</v>
      </c>
      <c r="C99" s="316">
        <f>VLOOKUP($A99,Master!$B$50:$N$232,8,FALSE)</f>
        <v>1000</v>
      </c>
      <c r="D99" s="316" t="str">
        <f>VLOOKUP($A99,Master!$B$50:$N$232,9,FALSE)</f>
        <v>gr</v>
      </c>
      <c r="E99" s="317" t="str">
        <f>VLOOKUP($A99,Master!$B$50:$N$232,11,FALSE)</f>
        <v>PT Sukanda Djaya</v>
      </c>
      <c r="F99" s="318">
        <v>1</v>
      </c>
      <c r="G99" s="354" t="s">
        <v>143</v>
      </c>
      <c r="H99" s="320">
        <v>357214</v>
      </c>
      <c r="I99" s="321" t="b">
        <v>1</v>
      </c>
      <c r="J99" s="322">
        <v>1</v>
      </c>
      <c r="K99" s="323">
        <v>378358</v>
      </c>
      <c r="L99" s="324">
        <f t="shared" si="4"/>
        <v>378358</v>
      </c>
      <c r="M99" s="325"/>
    </row>
    <row r="101" spans="1:13" ht="13">
      <c r="F101" s="427">
        <v>44694</v>
      </c>
      <c r="G101" s="428"/>
      <c r="H101" s="424"/>
      <c r="J101" s="429">
        <f>F101+1</f>
        <v>44695</v>
      </c>
      <c r="K101" s="428"/>
      <c r="L101" s="424"/>
    </row>
    <row r="102" spans="1:13" ht="13">
      <c r="F102" s="425" t="s">
        <v>1490</v>
      </c>
      <c r="G102" s="426"/>
      <c r="H102" s="304">
        <f>SUM(H104:H218)</f>
        <v>64165496</v>
      </c>
      <c r="J102" s="425" t="s">
        <v>1491</v>
      </c>
      <c r="K102" s="426"/>
      <c r="L102" s="304" t="e">
        <f>SUM(L104:L218)</f>
        <v>#N/A</v>
      </c>
    </row>
    <row r="103" spans="1:13" ht="13">
      <c r="A103" s="2" t="s">
        <v>4</v>
      </c>
      <c r="B103" s="305" t="s">
        <v>5</v>
      </c>
      <c r="C103" s="305" t="s">
        <v>11</v>
      </c>
      <c r="D103" s="305" t="s">
        <v>12</v>
      </c>
      <c r="E103" s="306" t="s">
        <v>6</v>
      </c>
      <c r="F103" s="307" t="s">
        <v>1494</v>
      </c>
      <c r="G103" s="308" t="s">
        <v>10</v>
      </c>
      <c r="H103" s="309" t="s">
        <v>1495</v>
      </c>
      <c r="I103" s="310" t="s">
        <v>1289</v>
      </c>
      <c r="J103" s="311" t="s">
        <v>1496</v>
      </c>
      <c r="K103" s="312" t="s">
        <v>1497</v>
      </c>
      <c r="L103" s="313" t="s">
        <v>1498</v>
      </c>
      <c r="M103" s="314" t="s">
        <v>16</v>
      </c>
    </row>
    <row r="104" spans="1:13" ht="13">
      <c r="A104" s="316" t="s">
        <v>544</v>
      </c>
      <c r="B104" s="316" t="s">
        <v>1973</v>
      </c>
      <c r="C104" s="316" t="e">
        <f>VLOOKUP($A104,Master!$B$50:$N$232,8,FALSE)</f>
        <v>#N/A</v>
      </c>
      <c r="D104" s="316" t="e">
        <f>VLOOKUP($A104,Master!$B$50:$N$232,9,FALSE)</f>
        <v>#N/A</v>
      </c>
      <c r="E104" s="317" t="e">
        <f>VLOOKUP($A104,Master!$B$50:$N$232,11,FALSE)</f>
        <v>#N/A</v>
      </c>
      <c r="F104" s="318">
        <v>2</v>
      </c>
      <c r="G104" s="354" t="s">
        <v>62</v>
      </c>
      <c r="H104" s="320">
        <v>45200</v>
      </c>
      <c r="I104" s="321" t="b">
        <v>1</v>
      </c>
      <c r="J104" s="322">
        <v>2</v>
      </c>
      <c r="K104" s="323">
        <v>15200</v>
      </c>
      <c r="L104" s="324">
        <f t="shared" ref="L104:L110" si="5">J104*K104</f>
        <v>30400</v>
      </c>
      <c r="M104" s="325"/>
    </row>
    <row r="105" spans="1:13" ht="13">
      <c r="A105" s="316" t="s">
        <v>586</v>
      </c>
      <c r="B105" s="316" t="s">
        <v>1973</v>
      </c>
      <c r="C105" s="316">
        <f>VLOOKUP($A105,Master!$B$50:$N$232,8,FALSE)</f>
        <v>20</v>
      </c>
      <c r="D105" s="316" t="str">
        <f>VLOOKUP($A105,Master!$B$50:$N$232,9,FALSE)</f>
        <v>pcs</v>
      </c>
      <c r="E105" s="317" t="str">
        <f>VLOOKUP($A105,Master!$B$50:$N$232,11,FALSE)</f>
        <v>Kurnia Mas</v>
      </c>
      <c r="F105" s="318">
        <v>4</v>
      </c>
      <c r="G105" s="354" t="s">
        <v>62</v>
      </c>
      <c r="H105" s="320">
        <v>28800</v>
      </c>
      <c r="I105" s="321" t="b">
        <v>1</v>
      </c>
      <c r="J105" s="322">
        <v>4</v>
      </c>
      <c r="K105" s="323">
        <v>7300</v>
      </c>
      <c r="L105" s="324">
        <f t="shared" si="5"/>
        <v>29200</v>
      </c>
      <c r="M105" s="325"/>
    </row>
    <row r="106" spans="1:13" ht="13">
      <c r="A106" s="316" t="s">
        <v>631</v>
      </c>
      <c r="B106" s="316" t="s">
        <v>1973</v>
      </c>
      <c r="C106" s="316">
        <f>VLOOKUP($A106,Master!$B$50:$N$232,8,FALSE)</f>
        <v>1000</v>
      </c>
      <c r="D106" s="316" t="str">
        <f>VLOOKUP($A106,Master!$B$50:$N$232,9,FALSE)</f>
        <v>gr</v>
      </c>
      <c r="E106" s="317" t="str">
        <f>VLOOKUP($A106,Master!$B$50:$N$232,11,FALSE)</f>
        <v>Borma</v>
      </c>
      <c r="F106" s="318">
        <v>1</v>
      </c>
      <c r="G106" s="354" t="s">
        <v>36</v>
      </c>
      <c r="H106" s="320">
        <v>16000</v>
      </c>
      <c r="I106" s="321" t="b">
        <v>1</v>
      </c>
      <c r="J106" s="322">
        <v>520</v>
      </c>
      <c r="K106" s="323">
        <v>29.9</v>
      </c>
      <c r="L106" s="324">
        <f t="shared" si="5"/>
        <v>15548</v>
      </c>
      <c r="M106" s="325"/>
    </row>
    <row r="107" spans="1:13" ht="13">
      <c r="A107" s="316" t="s">
        <v>1601</v>
      </c>
      <c r="B107" s="316" t="s">
        <v>1973</v>
      </c>
      <c r="C107" s="316" t="e">
        <f>VLOOKUP($A107,Master!$B$50:$N$232,8,FALSE)</f>
        <v>#N/A</v>
      </c>
      <c r="D107" s="316" t="e">
        <f>VLOOKUP($A107,Master!$B$50:$N$232,9,FALSE)</f>
        <v>#N/A</v>
      </c>
      <c r="E107" s="317" t="e">
        <f>VLOOKUP($A107,Master!$B$50:$N$232,11,FALSE)</f>
        <v>#N/A</v>
      </c>
      <c r="F107" s="318">
        <v>1</v>
      </c>
      <c r="G107" s="354" t="s">
        <v>97</v>
      </c>
      <c r="H107" s="320">
        <v>21000</v>
      </c>
      <c r="I107" s="321" t="b">
        <v>0</v>
      </c>
      <c r="J107" s="322"/>
      <c r="K107" s="323" t="e">
        <f>VLOOKUP($A107,'[1]Database Bahan &amp; Alat (Terupdat'!$B$50:$N$232,6,FALSE)</f>
        <v>#N/A</v>
      </c>
      <c r="L107" s="324" t="e">
        <f t="shared" si="5"/>
        <v>#N/A</v>
      </c>
      <c r="M107" s="325"/>
    </row>
    <row r="108" spans="1:13" ht="13">
      <c r="A108" s="316" t="s">
        <v>540</v>
      </c>
      <c r="B108" s="316" t="s">
        <v>1973</v>
      </c>
      <c r="C108" s="316">
        <f>VLOOKUP($A108,Master!$B$50:$N$232,8,FALSE)</f>
        <v>1000</v>
      </c>
      <c r="D108" s="316" t="str">
        <f>VLOOKUP($A108,Master!$B$50:$N$232,9,FALSE)</f>
        <v>gr</v>
      </c>
      <c r="E108" s="317" t="str">
        <f>VLOOKUP($A108,Master!$B$50:$N$232,11,FALSE)</f>
        <v>Woodlane</v>
      </c>
      <c r="F108" s="318">
        <v>5</v>
      </c>
      <c r="G108" s="354" t="s">
        <v>36</v>
      </c>
      <c r="H108" s="320">
        <v>850000</v>
      </c>
      <c r="I108" s="321" t="b">
        <v>1</v>
      </c>
      <c r="J108" s="322">
        <v>5</v>
      </c>
      <c r="K108" s="323">
        <v>170000</v>
      </c>
      <c r="L108" s="324">
        <f t="shared" si="5"/>
        <v>850000</v>
      </c>
      <c r="M108" s="325"/>
    </row>
    <row r="109" spans="1:13" ht="13">
      <c r="A109" s="316" t="s">
        <v>590</v>
      </c>
      <c r="B109" s="316" t="s">
        <v>1973</v>
      </c>
      <c r="C109" s="316">
        <f>VLOOKUP($A109,Master!$B$50:$N$232,8,FALSE)</f>
        <v>200</v>
      </c>
      <c r="D109" s="316" t="str">
        <f>VLOOKUP($A109,Master!$B$50:$N$232,9,FALSE)</f>
        <v>gr</v>
      </c>
      <c r="E109" s="317" t="str">
        <f>VLOOKUP($A109,Master!$B$50:$N$232,11,FALSE)</f>
        <v>Woodlane</v>
      </c>
      <c r="F109" s="318">
        <v>4</v>
      </c>
      <c r="G109" s="354" t="s">
        <v>62</v>
      </c>
      <c r="H109" s="320">
        <v>340000</v>
      </c>
      <c r="I109" s="321" t="b">
        <v>1</v>
      </c>
      <c r="J109" s="322">
        <v>4</v>
      </c>
      <c r="K109" s="323" t="s">
        <v>1973</v>
      </c>
      <c r="L109" s="324" t="e">
        <f t="shared" si="5"/>
        <v>#VALUE!</v>
      </c>
      <c r="M109" s="325"/>
    </row>
    <row r="110" spans="1:13" ht="13">
      <c r="A110" s="316" t="s">
        <v>680</v>
      </c>
      <c r="B110" s="316" t="s">
        <v>1973</v>
      </c>
      <c r="C110" s="316" t="e">
        <f>VLOOKUP($A110,Master!$B$50:$N$232,8,FALSE)</f>
        <v>#N/A</v>
      </c>
      <c r="D110" s="316" t="e">
        <f>VLOOKUP($A110,Master!$B$50:$N$232,9,FALSE)</f>
        <v>#N/A</v>
      </c>
      <c r="E110" s="317" t="e">
        <f>VLOOKUP($A110,Master!$B$50:$N$232,11,FALSE)</f>
        <v>#N/A</v>
      </c>
      <c r="F110" s="318">
        <v>2</v>
      </c>
      <c r="G110" s="354" t="s">
        <v>97</v>
      </c>
      <c r="H110" s="320">
        <v>62000</v>
      </c>
      <c r="I110" s="321" t="b">
        <v>0</v>
      </c>
      <c r="J110" s="322"/>
      <c r="K110" s="323" t="s">
        <v>1973</v>
      </c>
      <c r="L110" s="324" t="e">
        <f t="shared" si="5"/>
        <v>#VALUE!</v>
      </c>
      <c r="M110" s="325"/>
    </row>
    <row r="112" spans="1:13" ht="13">
      <c r="F112" s="427">
        <v>44695</v>
      </c>
      <c r="G112" s="428"/>
      <c r="H112" s="424"/>
      <c r="J112" s="429">
        <f>F112+1</f>
        <v>44696</v>
      </c>
      <c r="K112" s="428"/>
      <c r="L112" s="424"/>
    </row>
    <row r="113" spans="1:13" ht="13">
      <c r="F113" s="425" t="s">
        <v>1490</v>
      </c>
      <c r="G113" s="426"/>
      <c r="H113" s="304">
        <f>SUM(H115:H119)</f>
        <v>205700</v>
      </c>
      <c r="J113" s="425" t="s">
        <v>1491</v>
      </c>
      <c r="K113" s="426"/>
      <c r="L113" s="304" t="e">
        <f>SUM(L115:L119)</f>
        <v>#VALUE!</v>
      </c>
    </row>
    <row r="114" spans="1:13" ht="13">
      <c r="A114" s="2" t="s">
        <v>4</v>
      </c>
      <c r="B114" s="305" t="s">
        <v>5</v>
      </c>
      <c r="C114" s="305" t="s">
        <v>11</v>
      </c>
      <c r="D114" s="305" t="s">
        <v>12</v>
      </c>
      <c r="E114" s="306" t="s">
        <v>6</v>
      </c>
      <c r="F114" s="307" t="s">
        <v>1494</v>
      </c>
      <c r="G114" s="308" t="s">
        <v>10</v>
      </c>
      <c r="H114" s="309" t="s">
        <v>1495</v>
      </c>
      <c r="I114" s="310" t="s">
        <v>1289</v>
      </c>
      <c r="J114" s="311" t="s">
        <v>1496</v>
      </c>
      <c r="K114" s="312" t="s">
        <v>1497</v>
      </c>
      <c r="L114" s="313" t="s">
        <v>1498</v>
      </c>
      <c r="M114" s="314" t="s">
        <v>16</v>
      </c>
    </row>
    <row r="115" spans="1:13" ht="13">
      <c r="A115" s="316" t="s">
        <v>1602</v>
      </c>
      <c r="B115" s="316" t="s">
        <v>1973</v>
      </c>
      <c r="C115" s="316" t="e">
        <f>VLOOKUP($A115,Master!$B$50:$N$232,8,FALSE)</f>
        <v>#N/A</v>
      </c>
      <c r="D115" s="316" t="e">
        <f>VLOOKUP($A115,Master!$B$50:$N$232,9,FALSE)</f>
        <v>#N/A</v>
      </c>
      <c r="E115" s="317" t="e">
        <f>VLOOKUP($A115,Master!$B$50:$N$232,11,FALSE)</f>
        <v>#N/A</v>
      </c>
      <c r="F115" s="318">
        <v>1</v>
      </c>
      <c r="G115" s="354" t="s">
        <v>36</v>
      </c>
      <c r="H115" s="320">
        <v>43200</v>
      </c>
      <c r="I115" s="321" t="b">
        <v>0</v>
      </c>
      <c r="J115" s="322"/>
      <c r="K115" s="323" t="s">
        <v>1973</v>
      </c>
      <c r="L115" s="324" t="e">
        <f t="shared" ref="L115:L119" si="6">J115*K115</f>
        <v>#VALUE!</v>
      </c>
      <c r="M115" s="325"/>
    </row>
    <row r="116" spans="1:13" ht="13">
      <c r="A116" s="316" t="s">
        <v>732</v>
      </c>
      <c r="B116" s="316" t="s">
        <v>1973</v>
      </c>
      <c r="C116" s="316">
        <f>VLOOKUP($A116,Master!$B$50:$N$232,8,FALSE)</f>
        <v>1000</v>
      </c>
      <c r="D116" s="316" t="str">
        <f>VLOOKUP($A116,Master!$B$50:$N$232,9,FALSE)</f>
        <v>gr</v>
      </c>
      <c r="E116" s="317" t="str">
        <f>VLOOKUP($A116,Master!$B$50:$N$232,11,FALSE)</f>
        <v>Eden Farm</v>
      </c>
      <c r="F116" s="318">
        <v>1</v>
      </c>
      <c r="G116" s="354" t="s">
        <v>36</v>
      </c>
      <c r="H116" s="320">
        <v>30000</v>
      </c>
      <c r="I116" s="321" t="b">
        <v>0</v>
      </c>
      <c r="J116" s="322"/>
      <c r="K116" s="323" t="s">
        <v>1973</v>
      </c>
      <c r="L116" s="324" t="e">
        <f t="shared" si="6"/>
        <v>#VALUE!</v>
      </c>
      <c r="M116" s="325"/>
    </row>
    <row r="117" spans="1:13" ht="13">
      <c r="A117" s="316" t="s">
        <v>735</v>
      </c>
      <c r="B117" s="316" t="s">
        <v>1973</v>
      </c>
      <c r="C117" s="316">
        <f>VLOOKUP($A117,Master!$B$50:$N$232,8,FALSE)</f>
        <v>700</v>
      </c>
      <c r="D117" s="316" t="str">
        <f>VLOOKUP($A117,Master!$B$50:$N$232,9,FALSE)</f>
        <v>gr</v>
      </c>
      <c r="E117" s="317" t="str">
        <f>VLOOKUP($A117,Master!$B$50:$N$232,11,FALSE)</f>
        <v>Kurnia Mas</v>
      </c>
      <c r="F117" s="318">
        <v>4</v>
      </c>
      <c r="G117" s="354" t="s">
        <v>62</v>
      </c>
      <c r="H117" s="320">
        <v>52000</v>
      </c>
      <c r="I117" s="321" t="b">
        <v>0</v>
      </c>
      <c r="J117" s="322"/>
      <c r="K117" s="323" t="s">
        <v>1973</v>
      </c>
      <c r="L117" s="324" t="e">
        <f t="shared" si="6"/>
        <v>#VALUE!</v>
      </c>
      <c r="M117" s="325"/>
    </row>
    <row r="118" spans="1:13" ht="13">
      <c r="A118" s="316" t="s">
        <v>744</v>
      </c>
      <c r="B118" s="316" t="s">
        <v>1973</v>
      </c>
      <c r="C118" s="316">
        <f>VLOOKUP($A118,Master!$B$50:$N$232,8,FALSE)</f>
        <v>1000</v>
      </c>
      <c r="D118" s="316" t="str">
        <f>VLOOKUP($A118,Master!$B$50:$N$232,9,FALSE)</f>
        <v>gr</v>
      </c>
      <c r="E118" s="317" t="str">
        <f>VLOOKUP($A118,Master!$B$50:$N$232,11,FALSE)</f>
        <v>Eden Farm</v>
      </c>
      <c r="F118" s="318">
        <v>1</v>
      </c>
      <c r="G118" s="354" t="s">
        <v>62</v>
      </c>
      <c r="H118" s="320">
        <v>11500</v>
      </c>
      <c r="I118" s="321" t="b">
        <v>0</v>
      </c>
      <c r="J118" s="322"/>
      <c r="K118" s="323" t="s">
        <v>1973</v>
      </c>
      <c r="L118" s="324" t="e">
        <f t="shared" si="6"/>
        <v>#VALUE!</v>
      </c>
      <c r="M118" s="325"/>
    </row>
    <row r="119" spans="1:13" ht="13">
      <c r="A119" s="316" t="s">
        <v>752</v>
      </c>
      <c r="B119" s="316" t="s">
        <v>1973</v>
      </c>
      <c r="C119" s="316" t="e">
        <f>VLOOKUP($A119,Master!$B$50:$N$232,8,FALSE)</f>
        <v>#N/A</v>
      </c>
      <c r="D119" s="316" t="e">
        <f>VLOOKUP($A119,Master!$B$50:$N$232,9,FALSE)</f>
        <v>#N/A</v>
      </c>
      <c r="E119" s="317" t="e">
        <f>VLOOKUP($A119,Master!$B$50:$N$232,11,FALSE)</f>
        <v>#N/A</v>
      </c>
      <c r="F119" s="318">
        <v>1</v>
      </c>
      <c r="G119" s="354" t="s">
        <v>36</v>
      </c>
      <c r="H119" s="320">
        <v>69000</v>
      </c>
      <c r="I119" s="321" t="b">
        <v>0</v>
      </c>
      <c r="J119" s="322"/>
      <c r="K119" s="323" t="s">
        <v>1973</v>
      </c>
      <c r="L119" s="324" t="e">
        <f t="shared" si="6"/>
        <v>#VALUE!</v>
      </c>
      <c r="M119" s="325"/>
    </row>
    <row r="121" spans="1:13" ht="13">
      <c r="F121" s="427">
        <v>44695</v>
      </c>
      <c r="G121" s="428"/>
      <c r="H121" s="424"/>
      <c r="J121" s="429">
        <f>F121+1</f>
        <v>44696</v>
      </c>
      <c r="K121" s="428"/>
      <c r="L121" s="424"/>
    </row>
    <row r="122" spans="1:13" ht="13">
      <c r="F122" s="425" t="s">
        <v>1490</v>
      </c>
      <c r="G122" s="426"/>
      <c r="H122" s="304">
        <f>SUM(H124:H130)</f>
        <v>381640</v>
      </c>
      <c r="J122" s="425" t="s">
        <v>1491</v>
      </c>
      <c r="K122" s="426"/>
      <c r="L122" s="304" t="e">
        <f>SUM(L124:L130)</f>
        <v>#N/A</v>
      </c>
    </row>
    <row r="123" spans="1:13" ht="13">
      <c r="A123" s="2" t="s">
        <v>4</v>
      </c>
      <c r="B123" s="305" t="s">
        <v>5</v>
      </c>
      <c r="C123" s="305" t="s">
        <v>11</v>
      </c>
      <c r="D123" s="305" t="s">
        <v>12</v>
      </c>
      <c r="E123" s="306" t="s">
        <v>6</v>
      </c>
      <c r="F123" s="307" t="s">
        <v>1494</v>
      </c>
      <c r="G123" s="308" t="s">
        <v>10</v>
      </c>
      <c r="H123" s="309" t="s">
        <v>1495</v>
      </c>
      <c r="I123" s="310" t="s">
        <v>1289</v>
      </c>
      <c r="J123" s="311" t="s">
        <v>1496</v>
      </c>
      <c r="K123" s="312" t="s">
        <v>1497</v>
      </c>
      <c r="L123" s="313" t="s">
        <v>1498</v>
      </c>
      <c r="M123" s="314" t="s">
        <v>16</v>
      </c>
    </row>
    <row r="124" spans="1:13" ht="13">
      <c r="A124" s="316" t="s">
        <v>688</v>
      </c>
      <c r="B124" s="316" t="s">
        <v>1973</v>
      </c>
      <c r="C124" s="316" t="e">
        <f>VLOOKUP($A124,Master!$B$50:$N$232,8,FALSE)</f>
        <v>#N/A</v>
      </c>
      <c r="D124" s="316" t="e">
        <f>VLOOKUP($A124,Master!$B$50:$N$232,9,FALSE)</f>
        <v>#N/A</v>
      </c>
      <c r="E124" s="317" t="e">
        <f>VLOOKUP($A124,Master!$B$50:$N$232,11,FALSE)</f>
        <v>#N/A</v>
      </c>
      <c r="F124" s="318">
        <v>2</v>
      </c>
      <c r="G124" s="354" t="s">
        <v>62</v>
      </c>
      <c r="H124" s="320">
        <v>115940</v>
      </c>
      <c r="I124" s="321" t="b">
        <v>1</v>
      </c>
      <c r="J124" s="322">
        <v>2</v>
      </c>
      <c r="K124" s="323">
        <v>63800</v>
      </c>
      <c r="L124" s="324">
        <f t="shared" ref="L124:L130" si="7">J124*K124</f>
        <v>127600</v>
      </c>
      <c r="M124" s="325"/>
    </row>
    <row r="125" spans="1:13" ht="13">
      <c r="A125" s="316" t="s">
        <v>1606</v>
      </c>
      <c r="B125" s="316" t="s">
        <v>1973</v>
      </c>
      <c r="C125" s="316" t="e">
        <f>VLOOKUP($A125,Master!$B$50:$N$232,8,FALSE)</f>
        <v>#N/A</v>
      </c>
      <c r="D125" s="316" t="e">
        <f>VLOOKUP($A125,Master!$B$50:$N$232,9,FALSE)</f>
        <v>#N/A</v>
      </c>
      <c r="E125" s="317" t="e">
        <f>VLOOKUP($A125,Master!$B$50:$N$232,11,FALSE)</f>
        <v>#N/A</v>
      </c>
      <c r="F125" s="318">
        <v>1</v>
      </c>
      <c r="G125" s="354" t="s">
        <v>36</v>
      </c>
      <c r="H125" s="320">
        <v>43200</v>
      </c>
      <c r="I125" s="321" t="b">
        <v>1</v>
      </c>
      <c r="J125" s="322">
        <v>4</v>
      </c>
      <c r="K125" s="323">
        <v>15950</v>
      </c>
      <c r="L125" s="324">
        <f t="shared" si="7"/>
        <v>63800</v>
      </c>
      <c r="M125" s="325"/>
    </row>
    <row r="126" spans="1:13" ht="13">
      <c r="A126" s="316" t="s">
        <v>1501</v>
      </c>
      <c r="B126" s="316" t="s">
        <v>1973</v>
      </c>
      <c r="C126" s="316" t="e">
        <f>VLOOKUP($A126,Master!$B$50:$N$232,8,FALSE)</f>
        <v>#N/A</v>
      </c>
      <c r="D126" s="316" t="e">
        <f>VLOOKUP($A126,Master!$B$50:$N$232,9,FALSE)</f>
        <v>#N/A</v>
      </c>
      <c r="E126" s="317" t="e">
        <f>VLOOKUP($A126,Master!$B$50:$N$232,11,FALSE)</f>
        <v>#N/A</v>
      </c>
      <c r="F126" s="318">
        <v>1</v>
      </c>
      <c r="G126" s="354" t="s">
        <v>36</v>
      </c>
      <c r="H126" s="320">
        <v>30000</v>
      </c>
      <c r="I126" s="321" t="b">
        <v>0</v>
      </c>
      <c r="J126" s="322"/>
      <c r="K126" s="323" t="e">
        <f>VLOOKUP($A126,'[1]Database Bahan &amp; Alat (Terupdat'!$B$50:$N$232,6,FALSE)</f>
        <v>#N/A</v>
      </c>
      <c r="L126" s="324" t="e">
        <f t="shared" si="7"/>
        <v>#N/A</v>
      </c>
      <c r="M126" s="325"/>
    </row>
    <row r="127" spans="1:13" ht="13">
      <c r="A127" s="316" t="s">
        <v>910</v>
      </c>
      <c r="B127" s="316" t="s">
        <v>1973</v>
      </c>
      <c r="C127" s="316">
        <f>VLOOKUP($A127,Master!$B$50:$N$232,8,FALSE)</f>
        <v>10</v>
      </c>
      <c r="D127" s="316" t="str">
        <f>VLOOKUP($A127,Master!$B$50:$N$232,9,FALSE)</f>
        <v>pcs</v>
      </c>
      <c r="E127" s="317" t="str">
        <f>VLOOKUP($A127,Master!$B$50:$N$232,11,FALSE)</f>
        <v>Setiabudi Market</v>
      </c>
      <c r="F127" s="318">
        <v>4</v>
      </c>
      <c r="G127" s="354" t="s">
        <v>62</v>
      </c>
      <c r="H127" s="320">
        <v>52000</v>
      </c>
      <c r="I127" s="321" t="b">
        <v>1</v>
      </c>
      <c r="J127" s="322">
        <v>4</v>
      </c>
      <c r="K127" s="323">
        <v>14100</v>
      </c>
      <c r="L127" s="324">
        <f t="shared" si="7"/>
        <v>56400</v>
      </c>
      <c r="M127" s="325"/>
    </row>
    <row r="128" spans="1:13" ht="13">
      <c r="A128" s="316" t="s">
        <v>1607</v>
      </c>
      <c r="B128" s="316" t="s">
        <v>1973</v>
      </c>
      <c r="C128" s="316" t="e">
        <f>VLOOKUP($A128,Master!$B$50:$N$232,8,FALSE)</f>
        <v>#N/A</v>
      </c>
      <c r="D128" s="316" t="e">
        <f>VLOOKUP($A128,Master!$B$50:$N$232,9,FALSE)</f>
        <v>#N/A</v>
      </c>
      <c r="E128" s="317" t="e">
        <f>VLOOKUP($A128,Master!$B$50:$N$232,11,FALSE)</f>
        <v>#N/A</v>
      </c>
      <c r="F128" s="318">
        <v>1</v>
      </c>
      <c r="G128" s="354" t="s">
        <v>62</v>
      </c>
      <c r="H128" s="320">
        <v>11500</v>
      </c>
      <c r="I128" s="321" t="b">
        <v>1</v>
      </c>
      <c r="J128" s="322">
        <v>1</v>
      </c>
      <c r="K128" s="323">
        <v>10700</v>
      </c>
      <c r="L128" s="324">
        <f t="shared" si="7"/>
        <v>10700</v>
      </c>
      <c r="M128" s="325"/>
    </row>
    <row r="129" spans="1:13" ht="13">
      <c r="A129" s="316" t="s">
        <v>1608</v>
      </c>
      <c r="B129" s="316" t="s">
        <v>1973</v>
      </c>
      <c r="C129" s="316" t="e">
        <f>VLOOKUP($A129,Master!$B$50:$N$232,8,FALSE)</f>
        <v>#N/A</v>
      </c>
      <c r="D129" s="316" t="e">
        <f>VLOOKUP($A129,Master!$B$50:$N$232,9,FALSE)</f>
        <v>#N/A</v>
      </c>
      <c r="E129" s="317" t="e">
        <f>VLOOKUP($A129,Master!$B$50:$N$232,11,FALSE)</f>
        <v>#N/A</v>
      </c>
      <c r="F129" s="318">
        <v>1</v>
      </c>
      <c r="G129" s="354" t="s">
        <v>36</v>
      </c>
      <c r="H129" s="320">
        <v>69000</v>
      </c>
      <c r="I129" s="321" t="b">
        <v>1</v>
      </c>
      <c r="J129" s="322">
        <v>0.436</v>
      </c>
      <c r="K129" s="323">
        <v>69250</v>
      </c>
      <c r="L129" s="324">
        <f t="shared" si="7"/>
        <v>30193</v>
      </c>
      <c r="M129" s="325"/>
    </row>
    <row r="130" spans="1:13" ht="13">
      <c r="A130" s="18" t="s">
        <v>1609</v>
      </c>
      <c r="B130" s="316" t="s">
        <v>1973</v>
      </c>
      <c r="C130" s="316" t="e">
        <f>VLOOKUP($A130,Master!$B$50:$N$232,8,FALSE)</f>
        <v>#N/A</v>
      </c>
      <c r="D130" s="316" t="e">
        <f>VLOOKUP($A130,Master!$B$50:$N$232,9,FALSE)</f>
        <v>#N/A</v>
      </c>
      <c r="E130" s="317" t="e">
        <f>VLOOKUP($A130,Master!$B$50:$N$232,11,FALSE)</f>
        <v>#N/A</v>
      </c>
      <c r="F130" s="318">
        <v>3</v>
      </c>
      <c r="G130" s="354" t="s">
        <v>36</v>
      </c>
      <c r="H130" s="320">
        <v>60000</v>
      </c>
      <c r="I130" s="321" t="b">
        <v>1</v>
      </c>
      <c r="J130" s="322">
        <v>3</v>
      </c>
      <c r="K130" s="323">
        <v>23950</v>
      </c>
      <c r="L130" s="324">
        <f t="shared" si="7"/>
        <v>71850</v>
      </c>
      <c r="M130" s="325"/>
    </row>
    <row r="132" spans="1:13" ht="13">
      <c r="F132" s="427">
        <v>44695</v>
      </c>
      <c r="G132" s="428"/>
      <c r="H132" s="424"/>
      <c r="J132" s="429">
        <f>F132+1</f>
        <v>44696</v>
      </c>
      <c r="K132" s="428"/>
      <c r="L132" s="424"/>
    </row>
    <row r="133" spans="1:13" ht="13">
      <c r="F133" s="425" t="s">
        <v>1490</v>
      </c>
      <c r="G133" s="426"/>
      <c r="H133" s="304">
        <f>SUM(H135:H136)</f>
        <v>50500</v>
      </c>
      <c r="J133" s="425" t="s">
        <v>1491</v>
      </c>
      <c r="K133" s="426"/>
      <c r="L133" s="304">
        <f>SUM(L135:L136)</f>
        <v>51000</v>
      </c>
    </row>
    <row r="134" spans="1:13" ht="13">
      <c r="A134" s="2" t="s">
        <v>4</v>
      </c>
      <c r="B134" s="305" t="s">
        <v>5</v>
      </c>
      <c r="C134" s="305" t="s">
        <v>11</v>
      </c>
      <c r="D134" s="305" t="s">
        <v>12</v>
      </c>
      <c r="E134" s="306" t="s">
        <v>6</v>
      </c>
      <c r="F134" s="307" t="s">
        <v>1494</v>
      </c>
      <c r="G134" s="308" t="s">
        <v>10</v>
      </c>
      <c r="H134" s="309" t="s">
        <v>1495</v>
      </c>
      <c r="I134" s="310" t="s">
        <v>1289</v>
      </c>
      <c r="J134" s="311" t="s">
        <v>1496</v>
      </c>
      <c r="K134" s="312" t="s">
        <v>1497</v>
      </c>
      <c r="L134" s="313" t="s">
        <v>1498</v>
      </c>
      <c r="M134" s="314" t="s">
        <v>16</v>
      </c>
    </row>
    <row r="135" spans="1:13" ht="13">
      <c r="A135" s="316" t="s">
        <v>949</v>
      </c>
      <c r="B135" s="316" t="s">
        <v>1973</v>
      </c>
      <c r="C135" s="316" t="e">
        <f>VLOOKUP($A135,Master!$B$50:$N$232,8,FALSE)</f>
        <v>#N/A</v>
      </c>
      <c r="D135" s="316" t="e">
        <f>VLOOKUP($A135,Master!$B$50:$N$232,9,FALSE)</f>
        <v>#N/A</v>
      </c>
      <c r="E135" s="317" t="e">
        <f>VLOOKUP($A135,Master!$B$50:$N$232,11,FALSE)</f>
        <v>#N/A</v>
      </c>
      <c r="F135" s="318">
        <v>1</v>
      </c>
      <c r="G135" s="354" t="s">
        <v>97</v>
      </c>
      <c r="H135" s="320">
        <v>23200</v>
      </c>
      <c r="I135" s="321" t="b">
        <v>1</v>
      </c>
      <c r="J135" s="322">
        <v>1</v>
      </c>
      <c r="K135" s="323">
        <v>27600</v>
      </c>
      <c r="L135" s="324">
        <f t="shared" ref="L135:L136" si="8">J135*K135</f>
        <v>27600</v>
      </c>
      <c r="M135" s="325"/>
    </row>
    <row r="136" spans="1:13" ht="13">
      <c r="A136" s="316" t="s">
        <v>952</v>
      </c>
      <c r="B136" s="316" t="s">
        <v>1973</v>
      </c>
      <c r="C136" s="316" t="e">
        <f>VLOOKUP($A136,Master!$B$50:$N$232,8,FALSE)</f>
        <v>#N/A</v>
      </c>
      <c r="D136" s="316" t="e">
        <f>VLOOKUP($A136,Master!$B$50:$N$232,9,FALSE)</f>
        <v>#N/A</v>
      </c>
      <c r="E136" s="317" t="e">
        <f>VLOOKUP($A136,Master!$B$50:$N$232,11,FALSE)</f>
        <v>#N/A</v>
      </c>
      <c r="F136" s="318">
        <v>1</v>
      </c>
      <c r="G136" s="354" t="s">
        <v>97</v>
      </c>
      <c r="H136" s="320">
        <v>27300</v>
      </c>
      <c r="I136" s="321" t="b">
        <v>1</v>
      </c>
      <c r="J136" s="322">
        <v>1</v>
      </c>
      <c r="K136" s="323">
        <v>23400</v>
      </c>
      <c r="L136" s="324">
        <f t="shared" si="8"/>
        <v>23400</v>
      </c>
      <c r="M136" s="325"/>
    </row>
    <row r="138" spans="1:13" ht="13">
      <c r="F138" s="427">
        <v>44697</v>
      </c>
      <c r="G138" s="428"/>
      <c r="H138" s="424"/>
      <c r="J138" s="429">
        <f>F138+1</f>
        <v>44698</v>
      </c>
      <c r="K138" s="428"/>
      <c r="L138" s="424"/>
    </row>
    <row r="139" spans="1:13" ht="13">
      <c r="F139" s="425" t="s">
        <v>1490</v>
      </c>
      <c r="G139" s="426"/>
      <c r="H139" s="304">
        <f>SUM(H141:H170)</f>
        <v>2663440</v>
      </c>
      <c r="J139" s="425" t="s">
        <v>1491</v>
      </c>
      <c r="K139" s="426"/>
      <c r="L139" s="304" t="e">
        <f>SUM(L141:L170)</f>
        <v>#N/A</v>
      </c>
    </row>
    <row r="140" spans="1:13" ht="13">
      <c r="A140" s="2" t="s">
        <v>4</v>
      </c>
      <c r="B140" s="305" t="s">
        <v>5</v>
      </c>
      <c r="C140" s="305" t="s">
        <v>11</v>
      </c>
      <c r="D140" s="305" t="s">
        <v>12</v>
      </c>
      <c r="E140" s="306" t="s">
        <v>6</v>
      </c>
      <c r="F140" s="307" t="s">
        <v>1494</v>
      </c>
      <c r="G140" s="308" t="s">
        <v>10</v>
      </c>
      <c r="H140" s="309" t="s">
        <v>1495</v>
      </c>
      <c r="I140" s="310" t="s">
        <v>1289</v>
      </c>
      <c r="J140" s="311" t="s">
        <v>1496</v>
      </c>
      <c r="K140" s="312" t="s">
        <v>1497</v>
      </c>
      <c r="L140" s="313" t="s">
        <v>1498</v>
      </c>
      <c r="M140" s="314" t="s">
        <v>16</v>
      </c>
    </row>
    <row r="141" spans="1:13" ht="13">
      <c r="A141" s="316" t="s">
        <v>739</v>
      </c>
      <c r="B141" s="316" t="s">
        <v>1973</v>
      </c>
      <c r="C141" s="316">
        <f>VLOOKUP($A141,Master!$B$50:$N$232,8,FALSE)</f>
        <v>100</v>
      </c>
      <c r="D141" s="316" t="str">
        <f>VLOOKUP($A141,Master!$B$50:$N$232,9,FALSE)</f>
        <v>pack</v>
      </c>
      <c r="E141" s="317" t="str">
        <f>VLOOKUP($A141,Master!$B$50:$N$232,11,FALSE)</f>
        <v>B5 Coffee &amp; Roastery</v>
      </c>
      <c r="F141" s="318">
        <v>1</v>
      </c>
      <c r="G141" s="354" t="s">
        <v>62</v>
      </c>
      <c r="H141" s="320">
        <v>100000</v>
      </c>
      <c r="I141" s="321" t="b">
        <v>1</v>
      </c>
      <c r="J141" s="322">
        <v>1</v>
      </c>
      <c r="K141" s="323">
        <v>120000</v>
      </c>
      <c r="L141" s="324">
        <f t="shared" ref="L141:L148" si="9">J141*K141</f>
        <v>120000</v>
      </c>
      <c r="M141" s="325"/>
    </row>
    <row r="142" spans="1:13" ht="13">
      <c r="A142" s="316" t="s">
        <v>877</v>
      </c>
      <c r="B142" s="316" t="s">
        <v>1973</v>
      </c>
      <c r="C142" s="316">
        <f>VLOOKUP($A142,Master!$B$50:$N$232,8,FALSE)</f>
        <v>40</v>
      </c>
      <c r="D142" s="316" t="str">
        <f>VLOOKUP($A142,Master!$B$50:$N$232,9,FALSE)</f>
        <v>pcs</v>
      </c>
      <c r="E142" s="317" t="str">
        <f>VLOOKUP($A142,Master!$B$50:$N$232,11,FALSE)</f>
        <v>B5 Coffee &amp; Roastery</v>
      </c>
      <c r="F142" s="318">
        <v>1</v>
      </c>
      <c r="G142" s="354" t="s">
        <v>62</v>
      </c>
      <c r="H142" s="320">
        <v>35000</v>
      </c>
      <c r="I142" s="321" t="b">
        <v>0</v>
      </c>
      <c r="J142" s="322"/>
      <c r="K142" s="323" t="e">
        <f>VLOOKUP($A142,'[1]Database Bahan &amp; Alat (Terupdat'!$B$50:$N$232,6,FALSE)</f>
        <v>#N/A</v>
      </c>
      <c r="L142" s="324" t="e">
        <f t="shared" si="9"/>
        <v>#N/A</v>
      </c>
      <c r="M142" s="325"/>
    </row>
    <row r="143" spans="1:13" ht="13">
      <c r="A143" s="316" t="s">
        <v>544</v>
      </c>
      <c r="B143" s="316" t="s">
        <v>1973</v>
      </c>
      <c r="C143" s="316" t="e">
        <f>VLOOKUP($A143,Master!$B$50:$N$232,8,FALSE)</f>
        <v>#N/A</v>
      </c>
      <c r="D143" s="316" t="e">
        <f>VLOOKUP($A143,Master!$B$50:$N$232,9,FALSE)</f>
        <v>#N/A</v>
      </c>
      <c r="E143" s="317" t="e">
        <f>VLOOKUP($A143,Master!$B$50:$N$232,11,FALSE)</f>
        <v>#N/A</v>
      </c>
      <c r="F143" s="318">
        <v>2</v>
      </c>
      <c r="G143" s="354" t="s">
        <v>62</v>
      </c>
      <c r="H143" s="320">
        <v>45200</v>
      </c>
      <c r="I143" s="321" t="b">
        <v>1</v>
      </c>
      <c r="J143" s="322">
        <v>2</v>
      </c>
      <c r="K143" s="323">
        <v>15200</v>
      </c>
      <c r="L143" s="324">
        <f t="shared" si="9"/>
        <v>30400</v>
      </c>
      <c r="M143" s="325"/>
    </row>
    <row r="144" spans="1:13" ht="13">
      <c r="A144" s="316" t="s">
        <v>586</v>
      </c>
      <c r="B144" s="316" t="s">
        <v>1973</v>
      </c>
      <c r="C144" s="316">
        <f>VLOOKUP($A144,Master!$B$50:$N$232,8,FALSE)</f>
        <v>20</v>
      </c>
      <c r="D144" s="316" t="str">
        <f>VLOOKUP($A144,Master!$B$50:$N$232,9,FALSE)</f>
        <v>pcs</v>
      </c>
      <c r="E144" s="317" t="str">
        <f>VLOOKUP($A144,Master!$B$50:$N$232,11,FALSE)</f>
        <v>Kurnia Mas</v>
      </c>
      <c r="F144" s="318">
        <v>2</v>
      </c>
      <c r="G144" s="354" t="s">
        <v>62</v>
      </c>
      <c r="H144" s="320">
        <v>14400</v>
      </c>
      <c r="I144" s="321" t="b">
        <v>1</v>
      </c>
      <c r="J144" s="322">
        <v>2</v>
      </c>
      <c r="K144" s="323">
        <v>7550</v>
      </c>
      <c r="L144" s="324">
        <f t="shared" si="9"/>
        <v>15100</v>
      </c>
      <c r="M144" s="325"/>
    </row>
    <row r="145" spans="1:13" ht="13">
      <c r="A145" s="316" t="s">
        <v>1607</v>
      </c>
      <c r="B145" s="316" t="s">
        <v>1973</v>
      </c>
      <c r="C145" s="316" t="e">
        <f>VLOOKUP($A145,Master!$B$50:$N$232,8,FALSE)</f>
        <v>#N/A</v>
      </c>
      <c r="D145" s="316" t="e">
        <f>VLOOKUP($A145,Master!$B$50:$N$232,9,FALSE)</f>
        <v>#N/A</v>
      </c>
      <c r="E145" s="317" t="e">
        <f>VLOOKUP($A145,Master!$B$50:$N$232,11,FALSE)</f>
        <v>#N/A</v>
      </c>
      <c r="F145" s="318">
        <v>1</v>
      </c>
      <c r="G145" s="354" t="s">
        <v>62</v>
      </c>
      <c r="H145" s="320">
        <v>11500</v>
      </c>
      <c r="I145" s="321" t="b">
        <v>1</v>
      </c>
      <c r="J145" s="322">
        <v>1</v>
      </c>
      <c r="K145" s="323">
        <v>16300</v>
      </c>
      <c r="L145" s="324">
        <f t="shared" si="9"/>
        <v>16300</v>
      </c>
      <c r="M145" s="325"/>
    </row>
    <row r="146" spans="1:13" ht="13">
      <c r="A146" s="18" t="s">
        <v>1609</v>
      </c>
      <c r="B146" s="316" t="s">
        <v>1973</v>
      </c>
      <c r="C146" s="316" t="e">
        <f>VLOOKUP($A146,Master!$B$50:$N$232,8,FALSE)</f>
        <v>#N/A</v>
      </c>
      <c r="D146" s="316" t="e">
        <f>VLOOKUP($A146,Master!$B$50:$N$232,9,FALSE)</f>
        <v>#N/A</v>
      </c>
      <c r="E146" s="317" t="e">
        <f>VLOOKUP($A146,Master!$B$50:$N$232,11,FALSE)</f>
        <v>#N/A</v>
      </c>
      <c r="F146" s="318">
        <v>6</v>
      </c>
      <c r="G146" s="354" t="s">
        <v>36</v>
      </c>
      <c r="H146" s="320">
        <v>120000</v>
      </c>
      <c r="I146" s="321" t="b">
        <v>1</v>
      </c>
      <c r="J146" s="322">
        <v>6</v>
      </c>
      <c r="K146" s="323">
        <v>23950</v>
      </c>
      <c r="L146" s="324">
        <f t="shared" si="9"/>
        <v>143700</v>
      </c>
      <c r="M146" s="325"/>
    </row>
    <row r="147" spans="1:13" ht="13">
      <c r="A147" s="316" t="s">
        <v>1503</v>
      </c>
      <c r="B147" s="316" t="s">
        <v>1973</v>
      </c>
      <c r="C147" s="316" t="e">
        <f>VLOOKUP($A147,Master!$B$50:$N$232,8,FALSE)</f>
        <v>#N/A</v>
      </c>
      <c r="D147" s="316" t="e">
        <f>VLOOKUP($A147,Master!$B$50:$N$232,9,FALSE)</f>
        <v>#N/A</v>
      </c>
      <c r="E147" s="317" t="e">
        <f>VLOOKUP($A147,Master!$B$50:$N$232,11,FALSE)</f>
        <v>#N/A</v>
      </c>
      <c r="F147" s="318">
        <v>1</v>
      </c>
      <c r="G147" s="354" t="s">
        <v>97</v>
      </c>
      <c r="H147" s="320">
        <v>195000</v>
      </c>
      <c r="I147" s="321" t="b">
        <v>0</v>
      </c>
      <c r="J147" s="322"/>
      <c r="K147" s="323" t="e">
        <f>VLOOKUP($A147,'[1]Database Bahan &amp; Alat (Terupdat'!$B$50:$N$232,6,FALSE)</f>
        <v>#N/A</v>
      </c>
      <c r="L147" s="324" t="e">
        <f t="shared" si="9"/>
        <v>#N/A</v>
      </c>
      <c r="M147" s="325"/>
    </row>
    <row r="148" spans="1:13" ht="13">
      <c r="A148" s="316" t="s">
        <v>631</v>
      </c>
      <c r="B148" s="316" t="s">
        <v>1973</v>
      </c>
      <c r="C148" s="316">
        <f>VLOOKUP($A148,Master!$B$50:$N$232,8,FALSE)</f>
        <v>1000</v>
      </c>
      <c r="D148" s="316" t="str">
        <f>VLOOKUP($A148,Master!$B$50:$N$232,9,FALSE)</f>
        <v>gr</v>
      </c>
      <c r="E148" s="317" t="str">
        <f>VLOOKUP($A148,Master!$B$50:$N$232,11,FALSE)</f>
        <v>Borma</v>
      </c>
      <c r="F148" s="318">
        <v>1</v>
      </c>
      <c r="G148" s="354" t="s">
        <v>36</v>
      </c>
      <c r="H148" s="320">
        <v>16000</v>
      </c>
      <c r="I148" s="321" t="b">
        <v>1</v>
      </c>
      <c r="J148" s="322">
        <v>1</v>
      </c>
      <c r="K148" s="323">
        <v>12000</v>
      </c>
      <c r="L148" s="324">
        <f t="shared" si="9"/>
        <v>12000</v>
      </c>
      <c r="M148" s="325"/>
    </row>
    <row r="149" spans="1:13" ht="13">
      <c r="A149" s="316" t="s">
        <v>1610</v>
      </c>
      <c r="B149" s="316" t="s">
        <v>1973</v>
      </c>
      <c r="C149" s="316" t="e">
        <f>VLOOKUP($A149,Master!$B$50:$N$232,8,FALSE)</f>
        <v>#N/A</v>
      </c>
      <c r="D149" s="316" t="e">
        <f>VLOOKUP($A149,Master!$B$50:$N$232,9,FALSE)</f>
        <v>#N/A</v>
      </c>
      <c r="E149" s="317" t="e">
        <f>VLOOKUP($A149,Master!$B$50:$N$232,11,FALSE)</f>
        <v>#N/A</v>
      </c>
      <c r="F149" s="318">
        <v>1.5</v>
      </c>
      <c r="G149" s="354" t="s">
        <v>36</v>
      </c>
      <c r="H149" s="320">
        <v>15000</v>
      </c>
      <c r="I149" s="321" t="b">
        <v>1</v>
      </c>
      <c r="J149" s="322">
        <v>1.5</v>
      </c>
      <c r="K149" s="323">
        <v>18000</v>
      </c>
      <c r="L149" s="324">
        <v>18000</v>
      </c>
      <c r="M149" s="325"/>
    </row>
    <row r="150" spans="1:13" ht="13">
      <c r="A150" s="316" t="s">
        <v>1611</v>
      </c>
      <c r="B150" s="316" t="s">
        <v>1973</v>
      </c>
      <c r="C150" s="316" t="e">
        <f>VLOOKUP($A150,Master!$B$50:$N$232,8,FALSE)</f>
        <v>#N/A</v>
      </c>
      <c r="D150" s="316" t="e">
        <f>VLOOKUP($A150,Master!$B$50:$N$232,9,FALSE)</f>
        <v>#N/A</v>
      </c>
      <c r="E150" s="317" t="e">
        <f>VLOOKUP($A150,Master!$B$50:$N$232,11,FALSE)</f>
        <v>#N/A</v>
      </c>
      <c r="F150" s="318">
        <v>2</v>
      </c>
      <c r="G150" s="354" t="s">
        <v>36</v>
      </c>
      <c r="H150" s="320">
        <v>100000</v>
      </c>
      <c r="I150" s="321" t="b">
        <v>1</v>
      </c>
      <c r="J150" s="322">
        <v>1.5</v>
      </c>
      <c r="K150" s="323">
        <v>68500</v>
      </c>
      <c r="L150" s="324">
        <v>130150</v>
      </c>
      <c r="M150" s="325"/>
    </row>
    <row r="151" spans="1:13" ht="13">
      <c r="A151" s="316" t="s">
        <v>1612</v>
      </c>
      <c r="B151" s="316" t="s">
        <v>1973</v>
      </c>
      <c r="C151" s="316" t="e">
        <f>VLOOKUP($A151,Master!$B$50:$N$232,8,FALSE)</f>
        <v>#N/A</v>
      </c>
      <c r="D151" s="316" t="e">
        <f>VLOOKUP($A151,Master!$B$50:$N$232,9,FALSE)</f>
        <v>#N/A</v>
      </c>
      <c r="E151" s="317" t="e">
        <f>VLOOKUP($A151,Master!$B$50:$N$232,11,FALSE)</f>
        <v>#N/A</v>
      </c>
      <c r="F151" s="318">
        <v>2</v>
      </c>
      <c r="G151" s="354" t="s">
        <v>36</v>
      </c>
      <c r="H151" s="320">
        <v>50000</v>
      </c>
      <c r="I151" s="321" t="b">
        <v>1</v>
      </c>
      <c r="J151" s="322">
        <v>1.784</v>
      </c>
      <c r="K151" s="323">
        <v>24950</v>
      </c>
      <c r="L151" s="324">
        <f t="shared" ref="L151:L155" si="10">J151*K151</f>
        <v>44510.8</v>
      </c>
      <c r="M151" s="325"/>
    </row>
    <row r="152" spans="1:13" ht="13">
      <c r="A152" s="316" t="s">
        <v>675</v>
      </c>
      <c r="B152" s="316" t="s">
        <v>1973</v>
      </c>
      <c r="C152" s="316">
        <f>VLOOKUP($A152,Master!$B$50:$N$232,8,FALSE)</f>
        <v>20</v>
      </c>
      <c r="D152" s="316" t="str">
        <f>VLOOKUP($A152,Master!$B$50:$N$232,9,FALSE)</f>
        <v>unit</v>
      </c>
      <c r="E152" s="317" t="str">
        <f>VLOOKUP($A152,Master!$B$50:$N$232,11,FALSE)</f>
        <v>RSB, Dago</v>
      </c>
      <c r="F152" s="318">
        <v>10</v>
      </c>
      <c r="G152" s="354" t="s">
        <v>62</v>
      </c>
      <c r="H152" s="320">
        <v>45000</v>
      </c>
      <c r="I152" s="321" t="b">
        <v>1</v>
      </c>
      <c r="J152" s="322">
        <v>10</v>
      </c>
      <c r="K152" s="323">
        <v>6000</v>
      </c>
      <c r="L152" s="324">
        <f t="shared" si="10"/>
        <v>60000</v>
      </c>
      <c r="M152" s="325"/>
    </row>
    <row r="153" spans="1:13" ht="13">
      <c r="A153" s="316" t="s">
        <v>732</v>
      </c>
      <c r="B153" s="316" t="s">
        <v>1973</v>
      </c>
      <c r="C153" s="316">
        <f>VLOOKUP($A153,Master!$B$50:$N$232,8,FALSE)</f>
        <v>1000</v>
      </c>
      <c r="D153" s="316" t="str">
        <f>VLOOKUP($A153,Master!$B$50:$N$232,9,FALSE)</f>
        <v>gr</v>
      </c>
      <c r="E153" s="317" t="str">
        <f>VLOOKUP($A153,Master!$B$50:$N$232,11,FALSE)</f>
        <v>Eden Farm</v>
      </c>
      <c r="F153" s="318">
        <v>1</v>
      </c>
      <c r="G153" s="354" t="s">
        <v>36</v>
      </c>
      <c r="H153" s="320">
        <v>26000</v>
      </c>
      <c r="I153" s="321" t="b">
        <v>1</v>
      </c>
      <c r="J153" s="322">
        <v>1</v>
      </c>
      <c r="K153" s="323">
        <v>30000</v>
      </c>
      <c r="L153" s="324">
        <f t="shared" si="10"/>
        <v>30000</v>
      </c>
      <c r="M153" s="325"/>
    </row>
    <row r="154" spans="1:13" ht="13">
      <c r="A154" s="316" t="s">
        <v>1601</v>
      </c>
      <c r="B154" s="316" t="s">
        <v>1973</v>
      </c>
      <c r="C154" s="316" t="e">
        <f>VLOOKUP($A154,Master!$B$50:$N$232,8,FALSE)</f>
        <v>#N/A</v>
      </c>
      <c r="D154" s="316" t="e">
        <f>VLOOKUP($A154,Master!$B$50:$N$232,9,FALSE)</f>
        <v>#N/A</v>
      </c>
      <c r="E154" s="317" t="e">
        <f>VLOOKUP($A154,Master!$B$50:$N$232,11,FALSE)</f>
        <v>#N/A</v>
      </c>
      <c r="F154" s="318">
        <v>1</v>
      </c>
      <c r="G154" s="354" t="s">
        <v>97</v>
      </c>
      <c r="H154" s="320">
        <v>21000</v>
      </c>
      <c r="I154" s="321" t="b">
        <v>0</v>
      </c>
      <c r="J154" s="322"/>
      <c r="K154" s="323" t="e">
        <f>VLOOKUP($A154,'[1]Database Bahan &amp; Alat (Terupdat'!$B$50:$N$232,6,FALSE)</f>
        <v>#N/A</v>
      </c>
      <c r="L154" s="324" t="e">
        <f t="shared" si="10"/>
        <v>#N/A</v>
      </c>
      <c r="M154" s="325"/>
    </row>
    <row r="155" spans="1:13" ht="13">
      <c r="A155" s="316" t="s">
        <v>795</v>
      </c>
      <c r="B155" s="316" t="s">
        <v>1973</v>
      </c>
      <c r="C155" s="316">
        <f>VLOOKUP($A155,Master!$B$50:$N$232,8,FALSE)</f>
        <v>10</v>
      </c>
      <c r="D155" s="316" t="str">
        <f>VLOOKUP($A155,Master!$B$50:$N$232,9,FALSE)</f>
        <v>unit</v>
      </c>
      <c r="E155" s="317" t="str">
        <f>VLOOKUP($A155,Master!$B$50:$N$232,11,FALSE)</f>
        <v>Toko Lain</v>
      </c>
      <c r="F155" s="318">
        <v>4</v>
      </c>
      <c r="G155" s="354" t="s">
        <v>62</v>
      </c>
      <c r="H155" s="320">
        <v>20000</v>
      </c>
      <c r="I155" s="321" t="b">
        <v>1</v>
      </c>
      <c r="J155" s="322">
        <v>4</v>
      </c>
      <c r="K155" s="323">
        <v>6000</v>
      </c>
      <c r="L155" s="324">
        <f t="shared" si="10"/>
        <v>24000</v>
      </c>
      <c r="M155" s="325"/>
    </row>
    <row r="156" spans="1:13" ht="13">
      <c r="A156" s="316" t="s">
        <v>819</v>
      </c>
      <c r="B156" s="316" t="s">
        <v>1973</v>
      </c>
      <c r="C156" s="316">
        <f>VLOOKUP($A156,Master!$B$50:$N$232,8,FALSE)</f>
        <v>1000</v>
      </c>
      <c r="D156" s="316" t="str">
        <f>VLOOKUP($A156,Master!$B$50:$N$232,9,FALSE)</f>
        <v>gr</v>
      </c>
      <c r="E156" s="317" t="str">
        <f>VLOOKUP($A156,Master!$B$50:$N$232,11,FALSE)</f>
        <v>Eden Farm</v>
      </c>
      <c r="F156" s="318">
        <v>0.25</v>
      </c>
      <c r="G156" s="354" t="s">
        <v>36</v>
      </c>
      <c r="H156" s="320">
        <v>5000</v>
      </c>
      <c r="I156" s="321" t="b">
        <v>1</v>
      </c>
      <c r="J156" s="322">
        <v>0.25</v>
      </c>
      <c r="K156" s="323">
        <v>5000</v>
      </c>
      <c r="L156" s="324">
        <v>5000</v>
      </c>
      <c r="M156" s="325"/>
    </row>
    <row r="157" spans="1:13" ht="13">
      <c r="A157" s="316" t="s">
        <v>1613</v>
      </c>
      <c r="B157" s="316" t="s">
        <v>1973</v>
      </c>
      <c r="C157" s="316" t="e">
        <f>VLOOKUP($A157,Master!$B$50:$N$232,8,FALSE)</f>
        <v>#N/A</v>
      </c>
      <c r="D157" s="316" t="e">
        <f>VLOOKUP($A157,Master!$B$50:$N$232,9,FALSE)</f>
        <v>#N/A</v>
      </c>
      <c r="E157" s="317" t="e">
        <f>VLOOKUP($A157,Master!$B$50:$N$232,11,FALSE)</f>
        <v>#N/A</v>
      </c>
      <c r="F157" s="318">
        <v>0.3</v>
      </c>
      <c r="G157" s="354" t="s">
        <v>36</v>
      </c>
      <c r="H157" s="320">
        <v>12900</v>
      </c>
      <c r="I157" s="321" t="b">
        <v>1</v>
      </c>
      <c r="J157" s="322">
        <v>0.314</v>
      </c>
      <c r="K157" s="323">
        <v>69000</v>
      </c>
      <c r="L157" s="324">
        <f t="shared" ref="L157:L170" si="11">J157*K157</f>
        <v>21666</v>
      </c>
      <c r="M157" s="325"/>
    </row>
    <row r="158" spans="1:13" ht="13">
      <c r="A158" s="316" t="s">
        <v>1614</v>
      </c>
      <c r="B158" s="316" t="s">
        <v>1973</v>
      </c>
      <c r="C158" s="316" t="e">
        <f>VLOOKUP($A158,Master!$B$50:$N$232,8,FALSE)</f>
        <v>#N/A</v>
      </c>
      <c r="D158" s="316" t="e">
        <f>VLOOKUP($A158,Master!$B$50:$N$232,9,FALSE)</f>
        <v>#N/A</v>
      </c>
      <c r="E158" s="317" t="e">
        <f>VLOOKUP($A158,Master!$B$50:$N$232,11,FALSE)</f>
        <v>#N/A</v>
      </c>
      <c r="F158" s="318">
        <v>0.2</v>
      </c>
      <c r="G158" s="354" t="s">
        <v>36</v>
      </c>
      <c r="H158" s="320">
        <v>27000</v>
      </c>
      <c r="I158" s="321" t="b">
        <v>1</v>
      </c>
      <c r="J158" s="322">
        <v>0.23200000000000001</v>
      </c>
      <c r="K158" s="323">
        <v>148500</v>
      </c>
      <c r="L158" s="324">
        <f t="shared" si="11"/>
        <v>34452</v>
      </c>
      <c r="M158" s="325"/>
    </row>
    <row r="159" spans="1:13" ht="13">
      <c r="A159" s="316" t="s">
        <v>1501</v>
      </c>
      <c r="B159" s="316" t="s">
        <v>1973</v>
      </c>
      <c r="C159" s="316" t="e">
        <f>VLOOKUP($A159,Master!$B$50:$N$232,8,FALSE)</f>
        <v>#N/A</v>
      </c>
      <c r="D159" s="316" t="e">
        <f>VLOOKUP($A159,Master!$B$50:$N$232,9,FALSE)</f>
        <v>#N/A</v>
      </c>
      <c r="E159" s="317" t="e">
        <f>VLOOKUP($A159,Master!$B$50:$N$232,11,FALSE)</f>
        <v>#N/A</v>
      </c>
      <c r="F159" s="318">
        <v>0.75</v>
      </c>
      <c r="G159" s="354" t="s">
        <v>36</v>
      </c>
      <c r="H159" s="320">
        <v>22500</v>
      </c>
      <c r="I159" s="321" t="b">
        <v>0</v>
      </c>
      <c r="J159" s="322"/>
      <c r="K159" s="323" t="s">
        <v>1973</v>
      </c>
      <c r="L159" s="324" t="e">
        <f t="shared" si="11"/>
        <v>#VALUE!</v>
      </c>
      <c r="M159" s="325"/>
    </row>
    <row r="160" spans="1:13" ht="13">
      <c r="A160" s="316" t="s">
        <v>562</v>
      </c>
      <c r="B160" s="316" t="s">
        <v>1973</v>
      </c>
      <c r="C160" s="316" t="e">
        <f>VLOOKUP($A160,Master!$B$50:$N$232,8,FALSE)</f>
        <v>#N/A</v>
      </c>
      <c r="D160" s="316" t="e">
        <f>VLOOKUP($A160,Master!$B$50:$N$232,9,FALSE)</f>
        <v>#N/A</v>
      </c>
      <c r="E160" s="317" t="e">
        <f>VLOOKUP($A160,Master!$B$50:$N$232,11,FALSE)</f>
        <v>#N/A</v>
      </c>
      <c r="F160" s="318">
        <v>2</v>
      </c>
      <c r="G160" s="354" t="s">
        <v>62</v>
      </c>
      <c r="H160" s="320">
        <v>400000</v>
      </c>
      <c r="I160" s="321" t="b">
        <v>0</v>
      </c>
      <c r="J160" s="322"/>
      <c r="K160" s="323" t="s">
        <v>1973</v>
      </c>
      <c r="L160" s="324" t="e">
        <f t="shared" si="11"/>
        <v>#VALUE!</v>
      </c>
      <c r="M160" s="325"/>
    </row>
    <row r="161" spans="1:13" ht="13">
      <c r="A161" s="316" t="s">
        <v>566</v>
      </c>
      <c r="B161" s="316" t="s">
        <v>1973</v>
      </c>
      <c r="C161" s="316" t="e">
        <f>VLOOKUP($A161,Master!$B$50:$N$232,8,FALSE)</f>
        <v>#N/A</v>
      </c>
      <c r="D161" s="316" t="e">
        <f>VLOOKUP($A161,Master!$B$50:$N$232,9,FALSE)</f>
        <v>#N/A</v>
      </c>
      <c r="E161" s="317" t="e">
        <f>VLOOKUP($A161,Master!$B$50:$N$232,11,FALSE)</f>
        <v>#N/A</v>
      </c>
      <c r="F161" s="318">
        <v>2</v>
      </c>
      <c r="G161" s="354" t="s">
        <v>62</v>
      </c>
      <c r="H161" s="320">
        <v>400000</v>
      </c>
      <c r="I161" s="321" t="b">
        <v>1</v>
      </c>
      <c r="J161" s="322">
        <v>2</v>
      </c>
      <c r="K161" s="323">
        <v>202000</v>
      </c>
      <c r="L161" s="324">
        <f t="shared" si="11"/>
        <v>404000</v>
      </c>
      <c r="M161" s="325"/>
    </row>
    <row r="162" spans="1:13" ht="13">
      <c r="A162" s="316" t="s">
        <v>1541</v>
      </c>
      <c r="B162" s="316" t="s">
        <v>1973</v>
      </c>
      <c r="C162" s="316" t="e">
        <f>VLOOKUP($A162,Master!$B$50:$N$232,8,FALSE)</f>
        <v>#N/A</v>
      </c>
      <c r="D162" s="316" t="e">
        <f>VLOOKUP($A162,Master!$B$50:$N$232,9,FALSE)</f>
        <v>#N/A</v>
      </c>
      <c r="E162" s="317" t="e">
        <f>VLOOKUP($A162,Master!$B$50:$N$232,11,FALSE)</f>
        <v>#N/A</v>
      </c>
      <c r="F162" s="318">
        <v>1</v>
      </c>
      <c r="G162" s="354" t="s">
        <v>97</v>
      </c>
      <c r="H162" s="320">
        <v>195000</v>
      </c>
      <c r="I162" s="321" t="b">
        <v>1</v>
      </c>
      <c r="J162" s="322">
        <v>1</v>
      </c>
      <c r="K162" s="323" t="e">
        <f>VLOOKUP($A162,'[1]Database Bahan &amp; Alat (Terupdat'!$B$50:$N$232,6,FALSE)</f>
        <v>#N/A</v>
      </c>
      <c r="L162" s="324" t="e">
        <f t="shared" si="11"/>
        <v>#N/A</v>
      </c>
      <c r="M162" s="325"/>
    </row>
    <row r="163" spans="1:13" ht="13">
      <c r="A163" s="316" t="s">
        <v>688</v>
      </c>
      <c r="B163" s="316" t="s">
        <v>1973</v>
      </c>
      <c r="C163" s="316" t="e">
        <f>VLOOKUP($A163,Master!$B$50:$N$232,8,FALSE)</f>
        <v>#N/A</v>
      </c>
      <c r="D163" s="316" t="e">
        <f>VLOOKUP($A163,Master!$B$50:$N$232,9,FALSE)</f>
        <v>#N/A</v>
      </c>
      <c r="E163" s="317" t="e">
        <f>VLOOKUP($A163,Master!$B$50:$N$232,11,FALSE)</f>
        <v>#N/A</v>
      </c>
      <c r="F163" s="318">
        <v>2</v>
      </c>
      <c r="G163" s="354" t="s">
        <v>62</v>
      </c>
      <c r="H163" s="320">
        <v>115940</v>
      </c>
      <c r="I163" s="321" t="b">
        <v>1</v>
      </c>
      <c r="J163" s="322">
        <v>2</v>
      </c>
      <c r="K163" s="323">
        <v>63800</v>
      </c>
      <c r="L163" s="324">
        <f t="shared" si="11"/>
        <v>127600</v>
      </c>
      <c r="M163" s="325"/>
    </row>
    <row r="164" spans="1:13" ht="13">
      <c r="A164" s="316" t="s">
        <v>910</v>
      </c>
      <c r="B164" s="316" t="s">
        <v>1973</v>
      </c>
      <c r="C164" s="316">
        <f>VLOOKUP($A164,Master!$B$50:$N$232,8,FALSE)</f>
        <v>10</v>
      </c>
      <c r="D164" s="316" t="str">
        <f>VLOOKUP($A164,Master!$B$50:$N$232,9,FALSE)</f>
        <v>pcs</v>
      </c>
      <c r="E164" s="317" t="str">
        <f>VLOOKUP($A164,Master!$B$50:$N$232,11,FALSE)</f>
        <v>Setiabudi Market</v>
      </c>
      <c r="F164" s="318">
        <v>2</v>
      </c>
      <c r="G164" s="354" t="s">
        <v>62</v>
      </c>
      <c r="H164" s="320">
        <v>26000</v>
      </c>
      <c r="I164" s="321" t="b">
        <v>1</v>
      </c>
      <c r="J164" s="322">
        <v>2</v>
      </c>
      <c r="K164" s="323">
        <v>14100</v>
      </c>
      <c r="L164" s="324">
        <f t="shared" si="11"/>
        <v>28200</v>
      </c>
      <c r="M164" s="325"/>
    </row>
    <row r="165" spans="1:13" ht="13">
      <c r="A165" s="316" t="s">
        <v>1602</v>
      </c>
      <c r="B165" s="316" t="s">
        <v>1973</v>
      </c>
      <c r="C165" s="316" t="e">
        <f>VLOOKUP($A165,Master!$B$50:$N$232,8,FALSE)</f>
        <v>#N/A</v>
      </c>
      <c r="D165" s="316" t="e">
        <f>VLOOKUP($A165,Master!$B$50:$N$232,9,FALSE)</f>
        <v>#N/A</v>
      </c>
      <c r="E165" s="317" t="e">
        <f>VLOOKUP($A165,Master!$B$50:$N$232,11,FALSE)</f>
        <v>#N/A</v>
      </c>
      <c r="F165" s="318">
        <v>2</v>
      </c>
      <c r="G165" s="354" t="s">
        <v>36</v>
      </c>
      <c r="H165" s="320">
        <v>28000</v>
      </c>
      <c r="I165" s="321" t="b">
        <v>1</v>
      </c>
      <c r="J165" s="322">
        <v>2</v>
      </c>
      <c r="K165" s="323">
        <v>15000</v>
      </c>
      <c r="L165" s="324">
        <f t="shared" si="11"/>
        <v>30000</v>
      </c>
      <c r="M165" s="325"/>
    </row>
    <row r="166" spans="1:13" ht="13">
      <c r="A166" s="316" t="s">
        <v>528</v>
      </c>
      <c r="B166" s="316" t="s">
        <v>1973</v>
      </c>
      <c r="C166" s="316" t="e">
        <f>VLOOKUP($A166,Master!$B$50:$N$232,8,FALSE)</f>
        <v>#N/A</v>
      </c>
      <c r="D166" s="316" t="e">
        <f>VLOOKUP($A166,Master!$B$50:$N$232,9,FALSE)</f>
        <v>#N/A</v>
      </c>
      <c r="E166" s="317" t="e">
        <f>VLOOKUP($A166,Master!$B$50:$N$232,11,FALSE)</f>
        <v>#N/A</v>
      </c>
      <c r="F166" s="318">
        <v>3</v>
      </c>
      <c r="G166" s="354" t="s">
        <v>50</v>
      </c>
      <c r="H166" s="320">
        <v>48000</v>
      </c>
      <c r="I166" s="321" t="b">
        <v>1</v>
      </c>
      <c r="J166" s="322">
        <v>3</v>
      </c>
      <c r="K166" s="323">
        <v>17000</v>
      </c>
      <c r="L166" s="324">
        <f t="shared" si="11"/>
        <v>51000</v>
      </c>
      <c r="M166" s="325"/>
    </row>
    <row r="167" spans="1:13" ht="13">
      <c r="A167" s="316" t="s">
        <v>635</v>
      </c>
      <c r="B167" s="316" t="s">
        <v>1973</v>
      </c>
      <c r="C167" s="316" t="e">
        <f>VLOOKUP($A167,Master!$B$50:$N$232,8,FALSE)</f>
        <v>#N/A</v>
      </c>
      <c r="D167" s="316" t="e">
        <f>VLOOKUP($A167,Master!$B$50:$N$232,9,FALSE)</f>
        <v>#N/A</v>
      </c>
      <c r="E167" s="317" t="e">
        <f>VLOOKUP($A167,Master!$B$50:$N$232,11,FALSE)</f>
        <v>#N/A</v>
      </c>
      <c r="F167" s="318">
        <v>6</v>
      </c>
      <c r="G167" s="354" t="s">
        <v>50</v>
      </c>
      <c r="H167" s="320">
        <v>60000</v>
      </c>
      <c r="I167" s="321" t="b">
        <v>1</v>
      </c>
      <c r="J167" s="322">
        <v>6</v>
      </c>
      <c r="K167" s="323">
        <v>10500</v>
      </c>
      <c r="L167" s="324">
        <f t="shared" si="11"/>
        <v>63000</v>
      </c>
      <c r="M167" s="325"/>
    </row>
    <row r="168" spans="1:13" ht="13">
      <c r="A168" s="316" t="s">
        <v>680</v>
      </c>
      <c r="B168" s="316" t="s">
        <v>1973</v>
      </c>
      <c r="C168" s="316" t="e">
        <f>VLOOKUP($A168,Master!$B$50:$N$232,8,FALSE)</f>
        <v>#N/A</v>
      </c>
      <c r="D168" s="316" t="e">
        <f>VLOOKUP($A168,Master!$B$50:$N$232,9,FALSE)</f>
        <v>#N/A</v>
      </c>
      <c r="E168" s="317" t="e">
        <f>VLOOKUP($A168,Master!$B$50:$N$232,11,FALSE)</f>
        <v>#N/A</v>
      </c>
      <c r="F168" s="318">
        <v>3</v>
      </c>
      <c r="G168" s="354" t="s">
        <v>97</v>
      </c>
      <c r="H168" s="320">
        <v>93000</v>
      </c>
      <c r="I168" s="321" t="b">
        <v>1</v>
      </c>
      <c r="J168" s="322">
        <v>3</v>
      </c>
      <c r="K168" s="323">
        <v>31500</v>
      </c>
      <c r="L168" s="324">
        <f t="shared" si="11"/>
        <v>94500</v>
      </c>
      <c r="M168" s="325"/>
    </row>
    <row r="169" spans="1:13" ht="13">
      <c r="A169" s="316" t="s">
        <v>1615</v>
      </c>
      <c r="B169" s="316" t="s">
        <v>1973</v>
      </c>
      <c r="C169" s="316" t="e">
        <f>VLOOKUP($A169,Master!$B$50:$N$232,8,FALSE)</f>
        <v>#N/A</v>
      </c>
      <c r="D169" s="316" t="e">
        <f>VLOOKUP($A169,Master!$B$50:$N$232,9,FALSE)</f>
        <v>#N/A</v>
      </c>
      <c r="E169" s="317" t="e">
        <f>VLOOKUP($A169,Master!$B$50:$N$232,11,FALSE)</f>
        <v>#N/A</v>
      </c>
      <c r="F169" s="318">
        <v>2</v>
      </c>
      <c r="G169" s="354" t="s">
        <v>62</v>
      </c>
      <c r="H169" s="320">
        <v>16000</v>
      </c>
      <c r="I169" s="321" t="b">
        <v>0</v>
      </c>
      <c r="J169" s="322"/>
      <c r="K169" s="323" t="s">
        <v>1973</v>
      </c>
      <c r="L169" s="324" t="e">
        <f t="shared" si="11"/>
        <v>#VALUE!</v>
      </c>
      <c r="M169" s="325"/>
    </row>
    <row r="170" spans="1:13" ht="13">
      <c r="A170" s="316" t="s">
        <v>562</v>
      </c>
      <c r="B170" s="316" t="s">
        <v>1973</v>
      </c>
      <c r="C170" s="316" t="e">
        <f>VLOOKUP($A170,Master!$B$50:$N$232,8,FALSE)</f>
        <v>#N/A</v>
      </c>
      <c r="D170" s="316" t="e">
        <f>VLOOKUP($A170,Master!$B$50:$N$232,9,FALSE)</f>
        <v>#N/A</v>
      </c>
      <c r="E170" s="317" t="e">
        <f>VLOOKUP($A170,Master!$B$50:$N$232,11,FALSE)</f>
        <v>#N/A</v>
      </c>
      <c r="F170" s="318">
        <v>2</v>
      </c>
      <c r="G170" s="354" t="s">
        <v>62</v>
      </c>
      <c r="H170" s="320">
        <v>400000</v>
      </c>
      <c r="I170" s="321" t="b">
        <v>0</v>
      </c>
      <c r="J170" s="322"/>
      <c r="K170" s="323" t="s">
        <v>1973</v>
      </c>
      <c r="L170" s="324" t="e">
        <f t="shared" si="11"/>
        <v>#VALUE!</v>
      </c>
      <c r="M170" s="325" t="s">
        <v>1616</v>
      </c>
    </row>
    <row r="172" spans="1:13" ht="13">
      <c r="F172" s="427">
        <v>44700</v>
      </c>
      <c r="G172" s="428"/>
      <c r="H172" s="424"/>
      <c r="J172" s="429">
        <f>F172+1</f>
        <v>44701</v>
      </c>
      <c r="K172" s="428"/>
      <c r="L172" s="424"/>
    </row>
    <row r="173" spans="1:13" ht="13">
      <c r="F173" s="425" t="s">
        <v>1490</v>
      </c>
      <c r="G173" s="426"/>
      <c r="H173" s="304">
        <f>SUM(H175:H261)</f>
        <v>36383124</v>
      </c>
      <c r="J173" s="425" t="s">
        <v>1491</v>
      </c>
      <c r="K173" s="426"/>
      <c r="L173" s="304" t="e">
        <f>SUM(L175:L261)</f>
        <v>#N/A</v>
      </c>
    </row>
    <row r="174" spans="1:13" ht="13">
      <c r="A174" s="2" t="s">
        <v>4</v>
      </c>
      <c r="B174" s="305" t="s">
        <v>5</v>
      </c>
      <c r="C174" s="305" t="s">
        <v>11</v>
      </c>
      <c r="D174" s="305" t="s">
        <v>12</v>
      </c>
      <c r="E174" s="306" t="s">
        <v>6</v>
      </c>
      <c r="F174" s="307" t="s">
        <v>1494</v>
      </c>
      <c r="G174" s="308" t="s">
        <v>10</v>
      </c>
      <c r="H174" s="309" t="s">
        <v>1495</v>
      </c>
      <c r="I174" s="310" t="s">
        <v>1289</v>
      </c>
      <c r="J174" s="311" t="s">
        <v>1496</v>
      </c>
      <c r="K174" s="312" t="s">
        <v>1497</v>
      </c>
      <c r="L174" s="313" t="s">
        <v>1498</v>
      </c>
      <c r="M174" s="314" t="s">
        <v>16</v>
      </c>
    </row>
    <row r="175" spans="1:13" ht="13">
      <c r="A175" s="4" t="s">
        <v>631</v>
      </c>
      <c r="B175" s="316" t="str">
        <f>VLOOKUP($A175,Master!$B$50:$N$232,2,FALSE)</f>
        <v>B030</v>
      </c>
      <c r="C175" s="316">
        <f>VLOOKUP($A175,Master!$B$50:$N$232,8,FALSE)</f>
        <v>1000</v>
      </c>
      <c r="D175" s="316" t="str">
        <f>VLOOKUP($A175,Master!$B$50:$N$232,9,FALSE)</f>
        <v>gr</v>
      </c>
      <c r="E175" s="317" t="str">
        <f>VLOOKUP($A175,Master!$B$50:$N$232,11,FALSE)</f>
        <v>Borma</v>
      </c>
      <c r="F175" s="318">
        <v>1</v>
      </c>
      <c r="G175" s="354" t="s">
        <v>36</v>
      </c>
      <c r="H175" s="320">
        <v>16000</v>
      </c>
      <c r="I175" s="321" t="b">
        <v>1</v>
      </c>
      <c r="J175" s="322">
        <v>1</v>
      </c>
      <c r="K175" s="323">
        <v>15000</v>
      </c>
      <c r="L175" s="324">
        <f t="shared" ref="L175:L210" si="12">J175*K175</f>
        <v>15000</v>
      </c>
      <c r="M175" s="325"/>
    </row>
    <row r="176" spans="1:13" ht="13">
      <c r="A176" s="18" t="s">
        <v>524</v>
      </c>
      <c r="B176" s="316" t="e">
        <f>VLOOKUP($A176,Master!$B$50:$N$232,2,FALSE)</f>
        <v>#N/A</v>
      </c>
      <c r="C176" s="316" t="e">
        <f>VLOOKUP($A176,Master!$B$50:$N$232,8,FALSE)</f>
        <v>#N/A</v>
      </c>
      <c r="D176" s="316" t="e">
        <f>VLOOKUP($A176,Master!$B$50:$N$232,9,FALSE)</f>
        <v>#N/A</v>
      </c>
      <c r="E176" s="317" t="e">
        <f>VLOOKUP($A176,Master!$B$50:$N$232,11,FALSE)</f>
        <v>#N/A</v>
      </c>
      <c r="F176" s="318">
        <v>6</v>
      </c>
      <c r="G176" s="354" t="s">
        <v>108</v>
      </c>
      <c r="H176" s="320">
        <v>90000</v>
      </c>
      <c r="I176" s="321" t="b">
        <v>1</v>
      </c>
      <c r="J176" s="322">
        <v>6</v>
      </c>
      <c r="K176" s="323">
        <v>12600</v>
      </c>
      <c r="L176" s="324">
        <f t="shared" si="12"/>
        <v>75600</v>
      </c>
      <c r="M176" s="325"/>
    </row>
    <row r="177" spans="1:13" ht="13">
      <c r="A177" s="18" t="s">
        <v>1599</v>
      </c>
      <c r="B177" s="316" t="e">
        <f>VLOOKUP($A177,Master!$B$50:$N$232,2,FALSE)</f>
        <v>#N/A</v>
      </c>
      <c r="C177" s="316" t="e">
        <f>VLOOKUP($A177,Master!$B$50:$N$232,8,FALSE)</f>
        <v>#N/A</v>
      </c>
      <c r="D177" s="316" t="e">
        <f>VLOOKUP($A177,Master!$B$50:$N$232,9,FALSE)</f>
        <v>#N/A</v>
      </c>
      <c r="E177" s="317" t="e">
        <f>VLOOKUP($A177,Master!$B$50:$N$232,11,FALSE)</f>
        <v>#N/A</v>
      </c>
      <c r="F177" s="318">
        <v>1</v>
      </c>
      <c r="G177" s="354" t="s">
        <v>36</v>
      </c>
      <c r="H177" s="320">
        <v>9700</v>
      </c>
      <c r="I177" s="321" t="b">
        <v>1</v>
      </c>
      <c r="J177" s="322">
        <v>1</v>
      </c>
      <c r="K177" s="323">
        <v>9900</v>
      </c>
      <c r="L177" s="324">
        <f t="shared" si="12"/>
        <v>9900</v>
      </c>
      <c r="M177" s="325"/>
    </row>
    <row r="178" spans="1:13" ht="13">
      <c r="A178" s="18" t="s">
        <v>667</v>
      </c>
      <c r="B178" s="316" t="str">
        <f>VLOOKUP($A178,Master!$B$50:$N$232,2,FALSE)</f>
        <v>B039</v>
      </c>
      <c r="C178" s="316">
        <f>VLOOKUP($A178,Master!$B$50:$N$232,8,FALSE)</f>
        <v>1000</v>
      </c>
      <c r="D178" s="316" t="str">
        <f>VLOOKUP($A178,Master!$B$50:$N$232,9,FALSE)</f>
        <v>gr</v>
      </c>
      <c r="E178" s="317" t="str">
        <f>VLOOKUP($A178,Master!$B$50:$N$232,11,FALSE)</f>
        <v>Eden Farm</v>
      </c>
      <c r="F178" s="318">
        <v>2</v>
      </c>
      <c r="G178" s="354" t="s">
        <v>36</v>
      </c>
      <c r="H178" s="320">
        <v>179600</v>
      </c>
      <c r="I178" s="321" t="b">
        <v>1</v>
      </c>
      <c r="J178" s="322">
        <v>2</v>
      </c>
      <c r="K178" s="323">
        <v>88700</v>
      </c>
      <c r="L178" s="324">
        <f t="shared" si="12"/>
        <v>177400</v>
      </c>
      <c r="M178" s="325"/>
    </row>
    <row r="179" spans="1:13" ht="13">
      <c r="A179" s="18" t="s">
        <v>671</v>
      </c>
      <c r="B179" s="316" t="str">
        <f>VLOOKUP($A179,Master!$B$50:$N$232,2,FALSE)</f>
        <v>B040</v>
      </c>
      <c r="C179" s="316">
        <f>VLOOKUP($A179,Master!$B$50:$N$232,8,FALSE)</f>
        <v>1000</v>
      </c>
      <c r="D179" s="316" t="str">
        <f>VLOOKUP($A179,Master!$B$50:$N$232,9,FALSE)</f>
        <v>gr</v>
      </c>
      <c r="E179" s="317" t="str">
        <f>VLOOKUP($A179,Master!$B$50:$N$232,11,FALSE)</f>
        <v>Eden Farm</v>
      </c>
      <c r="F179" s="318">
        <v>1</v>
      </c>
      <c r="G179" s="354" t="s">
        <v>36</v>
      </c>
      <c r="H179" s="320">
        <v>28300</v>
      </c>
      <c r="I179" s="321" t="b">
        <v>1</v>
      </c>
      <c r="J179" s="322">
        <v>0.5</v>
      </c>
      <c r="K179" s="323">
        <v>49500</v>
      </c>
      <c r="L179" s="324">
        <f t="shared" si="12"/>
        <v>24750</v>
      </c>
      <c r="M179" s="325"/>
    </row>
    <row r="180" spans="1:13" ht="13">
      <c r="A180" s="18" t="s">
        <v>696</v>
      </c>
      <c r="B180" s="316" t="e">
        <f>VLOOKUP($A180,Master!$B$50:$N$232,2,FALSE)</f>
        <v>#N/A</v>
      </c>
      <c r="C180" s="316" t="e">
        <f>VLOOKUP($A180,Master!$B$50:$N$232,8,FALSE)</f>
        <v>#N/A</v>
      </c>
      <c r="D180" s="316" t="e">
        <f>VLOOKUP($A180,Master!$B$50:$N$232,9,FALSE)</f>
        <v>#N/A</v>
      </c>
      <c r="E180" s="317" t="e">
        <f>VLOOKUP($A180,Master!$B$50:$N$232,11,FALSE)</f>
        <v>#N/A</v>
      </c>
      <c r="F180" s="318">
        <v>4</v>
      </c>
      <c r="G180" s="354" t="s">
        <v>62</v>
      </c>
      <c r="H180" s="320">
        <v>56000</v>
      </c>
      <c r="I180" s="321" t="b">
        <v>1</v>
      </c>
      <c r="J180" s="322">
        <v>4</v>
      </c>
      <c r="K180" s="323">
        <v>12750</v>
      </c>
      <c r="L180" s="324">
        <f t="shared" si="12"/>
        <v>51000</v>
      </c>
      <c r="M180" s="325" t="s">
        <v>264</v>
      </c>
    </row>
    <row r="181" spans="1:13" ht="13">
      <c r="A181" s="18" t="s">
        <v>815</v>
      </c>
      <c r="B181" s="316" t="str">
        <f>VLOOKUP($A181,Master!$B$50:$N$232,2,FALSE)</f>
        <v>B078</v>
      </c>
      <c r="C181" s="316">
        <f>VLOOKUP($A181,Master!$B$50:$N$232,8,FALSE)</f>
        <v>1000</v>
      </c>
      <c r="D181" s="316" t="str">
        <f>VLOOKUP($A181,Master!$B$50:$N$232,9,FALSE)</f>
        <v>gr</v>
      </c>
      <c r="E181" s="317" t="str">
        <f>VLOOKUP($A181,Master!$B$50:$N$232,11,FALSE)</f>
        <v>Eden Farm</v>
      </c>
      <c r="F181" s="318">
        <v>1</v>
      </c>
      <c r="G181" s="354" t="s">
        <v>36</v>
      </c>
      <c r="H181" s="320">
        <v>11600</v>
      </c>
      <c r="I181" s="321" t="b">
        <v>1</v>
      </c>
      <c r="J181" s="322">
        <v>1</v>
      </c>
      <c r="K181" s="323">
        <v>15200</v>
      </c>
      <c r="L181" s="324">
        <f t="shared" si="12"/>
        <v>15200</v>
      </c>
      <c r="M181" s="325"/>
    </row>
    <row r="182" spans="1:13" ht="13">
      <c r="A182" s="18" t="s">
        <v>895</v>
      </c>
      <c r="B182" s="316" t="str">
        <f>VLOOKUP($A182,Master!$B$50:$N$232,2,FALSE)</f>
        <v>B101</v>
      </c>
      <c r="C182" s="316">
        <f>VLOOKUP($A182,Master!$B$50:$N$232,8,FALSE)</f>
        <v>100</v>
      </c>
      <c r="D182" s="316" t="str">
        <f>VLOOKUP($A182,Master!$B$50:$N$232,9,FALSE)</f>
        <v>gr</v>
      </c>
      <c r="E182" s="317" t="str">
        <f>VLOOKUP($A182,Master!$B$50:$N$232,11,FALSE)</f>
        <v>Eden Farm</v>
      </c>
      <c r="F182" s="318">
        <v>2</v>
      </c>
      <c r="G182" s="354" t="s">
        <v>62</v>
      </c>
      <c r="H182" s="320">
        <v>51200</v>
      </c>
      <c r="I182" s="321" t="b">
        <v>1</v>
      </c>
      <c r="J182" s="322">
        <v>2</v>
      </c>
      <c r="K182" s="323">
        <v>25300</v>
      </c>
      <c r="L182" s="324">
        <f t="shared" si="12"/>
        <v>50600</v>
      </c>
      <c r="M182" s="325"/>
    </row>
    <row r="183" spans="1:13" ht="13">
      <c r="A183" s="18" t="s">
        <v>919</v>
      </c>
      <c r="B183" s="316" t="str">
        <f>VLOOKUP($A183,Master!$B$50:$N$232,2,FALSE)</f>
        <v>B109</v>
      </c>
      <c r="C183" s="316">
        <f>VLOOKUP($A183,Master!$B$50:$N$232,8,FALSE)</f>
        <v>1000</v>
      </c>
      <c r="D183" s="316" t="str">
        <f>VLOOKUP($A183,Master!$B$50:$N$232,9,FALSE)</f>
        <v>gr</v>
      </c>
      <c r="E183" s="317" t="str">
        <f>VLOOKUP($A183,Master!$B$50:$N$232,11,FALSE)</f>
        <v>Eden Farm</v>
      </c>
      <c r="F183" s="318">
        <v>1</v>
      </c>
      <c r="G183" s="354" t="s">
        <v>62</v>
      </c>
      <c r="H183" s="320">
        <v>20900</v>
      </c>
      <c r="I183" s="321" t="b">
        <v>1</v>
      </c>
      <c r="J183" s="322">
        <v>1</v>
      </c>
      <c r="K183" s="323">
        <v>19500</v>
      </c>
      <c r="L183" s="324">
        <f t="shared" si="12"/>
        <v>19500</v>
      </c>
      <c r="M183" s="325"/>
    </row>
    <row r="184" spans="1:13" ht="13">
      <c r="A184" s="18" t="s">
        <v>659</v>
      </c>
      <c r="B184" s="316" t="str">
        <f>VLOOKUP($A184,Master!$B$50:$N$232,2,FALSE)</f>
        <v>B037</v>
      </c>
      <c r="C184" s="316">
        <f>VLOOKUP($A184,Master!$B$50:$N$232,8,FALSE)</f>
        <v>15</v>
      </c>
      <c r="D184" s="316" t="str">
        <f>VLOOKUP($A184,Master!$B$50:$N$232,9,FALSE)</f>
        <v>pcs</v>
      </c>
      <c r="E184" s="317" t="str">
        <f>VLOOKUP($A184,Master!$B$50:$N$232,11,FALSE)</f>
        <v>Feri Supriadi (Telur , Beras , Minyak )</v>
      </c>
      <c r="F184" s="318">
        <v>2</v>
      </c>
      <c r="G184" s="354" t="s">
        <v>36</v>
      </c>
      <c r="H184" s="320">
        <v>50600</v>
      </c>
      <c r="I184" s="321" t="b">
        <v>1</v>
      </c>
      <c r="J184" s="322">
        <v>2</v>
      </c>
      <c r="K184" s="323">
        <v>27500</v>
      </c>
      <c r="L184" s="324">
        <f t="shared" si="12"/>
        <v>55000</v>
      </c>
      <c r="M184" s="325"/>
    </row>
    <row r="185" spans="1:13" ht="13">
      <c r="A185" s="18" t="s">
        <v>760</v>
      </c>
      <c r="B185" s="316" t="str">
        <f>VLOOKUP($A185,Master!$B$50:$N$232,2,FALSE)</f>
        <v>B062</v>
      </c>
      <c r="C185" s="316">
        <f>VLOOKUP($A185,Master!$B$50:$N$232,8,FALSE)</f>
        <v>25000</v>
      </c>
      <c r="D185" s="316" t="str">
        <f>VLOOKUP($A185,Master!$B$50:$N$232,9,FALSE)</f>
        <v>gr</v>
      </c>
      <c r="E185" s="317" t="str">
        <f>VLOOKUP($A185,Master!$B$50:$N$232,11,FALSE)</f>
        <v>Feri Supriadi (Telur , Beras , Minyak )</v>
      </c>
      <c r="F185" s="318">
        <v>10</v>
      </c>
      <c r="G185" s="354" t="s">
        <v>36</v>
      </c>
      <c r="H185" s="320">
        <v>120000</v>
      </c>
      <c r="I185" s="321" t="b">
        <v>1</v>
      </c>
      <c r="J185" s="322">
        <v>10</v>
      </c>
      <c r="K185" s="323">
        <v>11600</v>
      </c>
      <c r="L185" s="324">
        <f t="shared" si="12"/>
        <v>116000</v>
      </c>
      <c r="M185" s="325"/>
    </row>
    <row r="186" spans="1:13" ht="13">
      <c r="A186" s="18" t="s">
        <v>663</v>
      </c>
      <c r="B186" s="316" t="str">
        <f>VLOOKUP($A186,Master!$B$50:$N$232,2,FALSE)</f>
        <v>B038</v>
      </c>
      <c r="C186" s="316">
        <f>VLOOKUP($A186,Master!$B$50:$N$232,8,FALSE)</f>
        <v>1000</v>
      </c>
      <c r="D186" s="316" t="str">
        <f>VLOOKUP($A186,Master!$B$50:$N$232,9,FALSE)</f>
        <v>gr</v>
      </c>
      <c r="E186" s="317" t="str">
        <f>VLOOKUP($A186,Master!$B$50:$N$232,11,FALSE)</f>
        <v>Toko Lain</v>
      </c>
      <c r="F186" s="318">
        <v>1</v>
      </c>
      <c r="G186" s="354" t="s">
        <v>36</v>
      </c>
      <c r="H186" s="320">
        <v>32000</v>
      </c>
      <c r="I186" s="321" t="b">
        <v>1</v>
      </c>
      <c r="J186" s="322">
        <v>1.1919999999999999</v>
      </c>
      <c r="K186" s="323">
        <v>44500</v>
      </c>
      <c r="L186" s="324">
        <f t="shared" si="12"/>
        <v>53044</v>
      </c>
      <c r="M186" s="325"/>
    </row>
    <row r="187" spans="1:13" ht="13">
      <c r="A187" s="18" t="s">
        <v>675</v>
      </c>
      <c r="B187" s="316" t="str">
        <f>VLOOKUP($A187,Master!$B$50:$N$232,2,FALSE)</f>
        <v>B041</v>
      </c>
      <c r="C187" s="316">
        <f>VLOOKUP($A187,Master!$B$50:$N$232,8,FALSE)</f>
        <v>20</v>
      </c>
      <c r="D187" s="316" t="str">
        <f>VLOOKUP($A187,Master!$B$50:$N$232,9,FALSE)</f>
        <v>unit</v>
      </c>
      <c r="E187" s="317" t="str">
        <f>VLOOKUP($A187,Master!$B$50:$N$232,11,FALSE)</f>
        <v>RSB, Dago</v>
      </c>
      <c r="F187" s="318">
        <v>10</v>
      </c>
      <c r="G187" s="354" t="s">
        <v>62</v>
      </c>
      <c r="H187" s="320">
        <v>35000</v>
      </c>
      <c r="I187" s="321" t="b">
        <v>1</v>
      </c>
      <c r="J187" s="322">
        <v>10</v>
      </c>
      <c r="K187" s="323">
        <v>6000</v>
      </c>
      <c r="L187" s="324">
        <f t="shared" si="12"/>
        <v>60000</v>
      </c>
      <c r="M187" s="325"/>
    </row>
    <row r="188" spans="1:13" ht="13">
      <c r="A188" s="18" t="s">
        <v>795</v>
      </c>
      <c r="B188" s="316" t="str">
        <f>VLOOKUP($A188,Master!$B$50:$N$232,2,FALSE)</f>
        <v>B073</v>
      </c>
      <c r="C188" s="316">
        <f>VLOOKUP($A188,Master!$B$50:$N$232,8,FALSE)</f>
        <v>10</v>
      </c>
      <c r="D188" s="316" t="str">
        <f>VLOOKUP($A188,Master!$B$50:$N$232,9,FALSE)</f>
        <v>unit</v>
      </c>
      <c r="E188" s="317" t="str">
        <f>VLOOKUP($A188,Master!$B$50:$N$232,11,FALSE)</f>
        <v>Toko Lain</v>
      </c>
      <c r="F188" s="318">
        <v>8</v>
      </c>
      <c r="G188" s="354" t="s">
        <v>62</v>
      </c>
      <c r="H188" s="320">
        <v>40000</v>
      </c>
      <c r="I188" s="321" t="b">
        <v>1</v>
      </c>
      <c r="J188" s="322">
        <v>8</v>
      </c>
      <c r="K188" s="326">
        <f>VLOOKUP($A188,Master!$B$50:$N$232,6,FALSE)</f>
        <v>8000</v>
      </c>
      <c r="L188" s="327">
        <f t="shared" si="12"/>
        <v>64000</v>
      </c>
      <c r="M188" s="325"/>
    </row>
    <row r="189" spans="1:13" ht="13">
      <c r="A189" s="18" t="s">
        <v>1617</v>
      </c>
      <c r="B189" s="316" t="e">
        <f>VLOOKUP($A189,Master!$B$50:$N$232,2,FALSE)</f>
        <v>#N/A</v>
      </c>
      <c r="C189" s="316" t="e">
        <f>VLOOKUP($A189,Master!$B$50:$N$232,8,FALSE)</f>
        <v>#N/A</v>
      </c>
      <c r="D189" s="316" t="e">
        <f>VLOOKUP($A189,Master!$B$50:$N$232,9,FALSE)</f>
        <v>#N/A</v>
      </c>
      <c r="E189" s="317" t="e">
        <f>VLOOKUP($A189,Master!$B$50:$N$232,11,FALSE)</f>
        <v>#N/A</v>
      </c>
      <c r="F189" s="318">
        <v>2</v>
      </c>
      <c r="G189" s="354" t="s">
        <v>36</v>
      </c>
      <c r="H189" s="320">
        <v>28000</v>
      </c>
      <c r="I189" s="321" t="b">
        <v>1</v>
      </c>
      <c r="J189" s="322">
        <v>2</v>
      </c>
      <c r="K189" s="323">
        <v>13900</v>
      </c>
      <c r="L189" s="324">
        <f t="shared" si="12"/>
        <v>27800</v>
      </c>
      <c r="M189" s="325"/>
    </row>
    <row r="190" spans="1:13" ht="13">
      <c r="A190" s="18" t="s">
        <v>528</v>
      </c>
      <c r="B190" s="316" t="e">
        <f>VLOOKUP($A190,Master!$B$50:$N$232,2,FALSE)</f>
        <v>#N/A</v>
      </c>
      <c r="C190" s="316" t="e">
        <f>VLOOKUP($A190,Master!$B$50:$N$232,8,FALSE)</f>
        <v>#N/A</v>
      </c>
      <c r="D190" s="316" t="e">
        <f>VLOOKUP($A190,Master!$B$50:$N$232,9,FALSE)</f>
        <v>#N/A</v>
      </c>
      <c r="E190" s="317" t="e">
        <f>VLOOKUP($A190,Master!$B$50:$N$232,11,FALSE)</f>
        <v>#N/A</v>
      </c>
      <c r="F190" s="318">
        <v>3</v>
      </c>
      <c r="G190" s="354" t="s">
        <v>50</v>
      </c>
      <c r="H190" s="320">
        <v>48000</v>
      </c>
      <c r="I190" s="321" t="b">
        <v>1</v>
      </c>
      <c r="J190" s="322">
        <v>3</v>
      </c>
      <c r="K190" s="326" t="e">
        <f>VLOOKUP($A190,Master!$B$50:$N$232,6,FALSE)</f>
        <v>#N/A</v>
      </c>
      <c r="L190" s="327" t="e">
        <f t="shared" si="12"/>
        <v>#N/A</v>
      </c>
      <c r="M190" s="325"/>
    </row>
    <row r="191" spans="1:13" ht="13">
      <c r="A191" s="18" t="s">
        <v>635</v>
      </c>
      <c r="B191" s="316" t="e">
        <f>VLOOKUP($A191,Master!$B$50:$N$232,2,FALSE)</f>
        <v>#N/A</v>
      </c>
      <c r="C191" s="316" t="e">
        <f>VLOOKUP($A191,Master!$B$50:$N$232,8,FALSE)</f>
        <v>#N/A</v>
      </c>
      <c r="D191" s="316" t="e">
        <f>VLOOKUP($A191,Master!$B$50:$N$232,9,FALSE)</f>
        <v>#N/A</v>
      </c>
      <c r="E191" s="317" t="e">
        <f>VLOOKUP($A191,Master!$B$50:$N$232,11,FALSE)</f>
        <v>#N/A</v>
      </c>
      <c r="F191" s="318">
        <v>6</v>
      </c>
      <c r="G191" s="354" t="s">
        <v>50</v>
      </c>
      <c r="H191" s="320">
        <v>56400</v>
      </c>
      <c r="I191" s="321" t="b">
        <v>1</v>
      </c>
      <c r="J191" s="322">
        <v>6</v>
      </c>
      <c r="K191" s="323">
        <v>10250</v>
      </c>
      <c r="L191" s="324">
        <f t="shared" si="12"/>
        <v>61500</v>
      </c>
      <c r="M191" s="325"/>
    </row>
    <row r="192" spans="1:13" ht="13">
      <c r="A192" s="18" t="s">
        <v>643</v>
      </c>
      <c r="B192" s="316" t="str">
        <f>VLOOKUP($A192,Master!$B$50:$N$232,2,FALSE)</f>
        <v>B033</v>
      </c>
      <c r="C192" s="316">
        <f>VLOOKUP($A192,Master!$B$50:$N$232,8,FALSE)</f>
        <v>1000</v>
      </c>
      <c r="D192" s="316" t="str">
        <f>VLOOKUP($A192,Master!$B$50:$N$232,9,FALSE)</f>
        <v>gr</v>
      </c>
      <c r="E192" s="317" t="str">
        <f>VLOOKUP($A192,Master!$B$50:$N$232,11,FALSE)</f>
        <v>PD Aroma Jaya</v>
      </c>
      <c r="F192" s="318">
        <v>1</v>
      </c>
      <c r="G192" s="354" t="s">
        <v>36</v>
      </c>
      <c r="H192" s="320">
        <v>16000</v>
      </c>
      <c r="I192" s="321" t="b">
        <v>1</v>
      </c>
      <c r="J192" s="322">
        <v>1</v>
      </c>
      <c r="K192" s="326">
        <f>VLOOKUP($A192,Master!$B$50:$N$232,6,FALSE)</f>
        <v>17000</v>
      </c>
      <c r="L192" s="327">
        <f t="shared" si="12"/>
        <v>17000</v>
      </c>
      <c r="M192" s="325"/>
    </row>
    <row r="193" spans="1:13" ht="13">
      <c r="A193" s="18" t="s">
        <v>748</v>
      </c>
      <c r="B193" s="316" t="e">
        <f>VLOOKUP($A193,Master!$B$50:$N$232,2,FALSE)</f>
        <v>#N/A</v>
      </c>
      <c r="C193" s="316" t="e">
        <f>VLOOKUP($A193,Master!$B$50:$N$232,8,FALSE)</f>
        <v>#N/A</v>
      </c>
      <c r="D193" s="316" t="e">
        <f>VLOOKUP($A193,Master!$B$50:$N$232,9,FALSE)</f>
        <v>#N/A</v>
      </c>
      <c r="E193" s="317" t="e">
        <f>VLOOKUP($A193,Master!$B$50:$N$232,11,FALSE)</f>
        <v>#N/A</v>
      </c>
      <c r="F193" s="318">
        <v>2</v>
      </c>
      <c r="G193" s="354" t="s">
        <v>62</v>
      </c>
      <c r="H193" s="320">
        <v>55000</v>
      </c>
      <c r="I193" s="321" t="b">
        <v>1</v>
      </c>
      <c r="J193" s="322">
        <v>2</v>
      </c>
      <c r="K193" s="326" t="e">
        <f>VLOOKUP($A193,Master!$B$50:$N$232,6,FALSE)</f>
        <v>#N/A</v>
      </c>
      <c r="L193" s="327" t="e">
        <f t="shared" si="12"/>
        <v>#N/A</v>
      </c>
      <c r="M193" s="325"/>
    </row>
    <row r="194" spans="1:13" ht="13">
      <c r="A194" s="18" t="s">
        <v>752</v>
      </c>
      <c r="B194" s="316" t="e">
        <f>VLOOKUP($A194,Master!$B$50:$N$232,2,FALSE)</f>
        <v>#N/A</v>
      </c>
      <c r="C194" s="316" t="e">
        <f>VLOOKUP($A194,Master!$B$50:$N$232,8,FALSE)</f>
        <v>#N/A</v>
      </c>
      <c r="D194" s="316" t="e">
        <f>VLOOKUP($A194,Master!$B$50:$N$232,9,FALSE)</f>
        <v>#N/A</v>
      </c>
      <c r="E194" s="317" t="e">
        <f>VLOOKUP($A194,Master!$B$50:$N$232,11,FALSE)</f>
        <v>#N/A</v>
      </c>
      <c r="F194" s="318">
        <v>1</v>
      </c>
      <c r="G194" s="354" t="s">
        <v>62</v>
      </c>
      <c r="H194" s="320">
        <v>38000</v>
      </c>
      <c r="I194" s="321" t="b">
        <v>1</v>
      </c>
      <c r="J194" s="322">
        <v>1</v>
      </c>
      <c r="K194" s="326" t="e">
        <f>VLOOKUP($A194,Master!$B$50:$N$232,6,FALSE)</f>
        <v>#N/A</v>
      </c>
      <c r="L194" s="327" t="e">
        <f t="shared" si="12"/>
        <v>#N/A</v>
      </c>
      <c r="M194" s="325"/>
    </row>
    <row r="195" spans="1:13" ht="13">
      <c r="A195" s="18" t="s">
        <v>773</v>
      </c>
      <c r="B195" s="316" t="e">
        <f>VLOOKUP($A195,Master!$B$50:$N$232,2,FALSE)</f>
        <v>#N/A</v>
      </c>
      <c r="C195" s="316" t="e">
        <f>VLOOKUP($A195,Master!$B$50:$N$232,8,FALSE)</f>
        <v>#N/A</v>
      </c>
      <c r="D195" s="316" t="e">
        <f>VLOOKUP($A195,Master!$B$50:$N$232,9,FALSE)</f>
        <v>#N/A</v>
      </c>
      <c r="E195" s="317" t="e">
        <f>VLOOKUP($A195,Master!$B$50:$N$232,11,FALSE)</f>
        <v>#N/A</v>
      </c>
      <c r="F195" s="318">
        <v>6</v>
      </c>
      <c r="G195" s="354" t="s">
        <v>62</v>
      </c>
      <c r="H195" s="320">
        <v>84000</v>
      </c>
      <c r="I195" s="321" t="b">
        <v>1</v>
      </c>
      <c r="J195" s="322">
        <v>6</v>
      </c>
      <c r="K195" s="326" t="e">
        <f>VLOOKUP($A195,Master!$B$50:$N$232,6,FALSE)</f>
        <v>#N/A</v>
      </c>
      <c r="L195" s="327" t="e">
        <f t="shared" si="12"/>
        <v>#N/A</v>
      </c>
      <c r="M195" s="325"/>
    </row>
    <row r="196" spans="1:13" ht="13">
      <c r="A196" s="18" t="s">
        <v>892</v>
      </c>
      <c r="B196" s="316" t="e">
        <f>VLOOKUP($A196,Master!$B$50:$N$232,2,FALSE)</f>
        <v>#N/A</v>
      </c>
      <c r="C196" s="316" t="e">
        <f>VLOOKUP($A196,Master!$B$50:$N$232,8,FALSE)</f>
        <v>#N/A</v>
      </c>
      <c r="D196" s="316" t="e">
        <f>VLOOKUP($A196,Master!$B$50:$N$232,9,FALSE)</f>
        <v>#N/A</v>
      </c>
      <c r="E196" s="317" t="e">
        <f>VLOOKUP($A196,Master!$B$50:$N$232,11,FALSE)</f>
        <v>#N/A</v>
      </c>
      <c r="F196" s="318">
        <v>2</v>
      </c>
      <c r="G196" s="354" t="s">
        <v>36</v>
      </c>
      <c r="H196" s="320">
        <v>215000</v>
      </c>
      <c r="I196" s="321" t="b">
        <v>1</v>
      </c>
      <c r="J196" s="322">
        <v>2</v>
      </c>
      <c r="K196" s="326" t="e">
        <f>VLOOKUP($A196,Master!$B$50:$N$232,6,FALSE)</f>
        <v>#N/A</v>
      </c>
      <c r="L196" s="327" t="e">
        <f t="shared" si="12"/>
        <v>#N/A</v>
      </c>
      <c r="M196" s="325"/>
    </row>
    <row r="197" spans="1:13" ht="13">
      <c r="A197" s="18" t="s">
        <v>931</v>
      </c>
      <c r="B197" s="316" t="str">
        <f>VLOOKUP($A197,Master!$B$50:$N$232,2,FALSE)</f>
        <v>B113</v>
      </c>
      <c r="C197" s="316">
        <f>VLOOKUP($A197,Master!$B$50:$N$232,8,FALSE)</f>
        <v>5000</v>
      </c>
      <c r="D197" s="316" t="str">
        <f>VLOOKUP($A197,Master!$B$50:$N$232,9,FALSE)</f>
        <v>gr</v>
      </c>
      <c r="E197" s="317" t="str">
        <f>VLOOKUP($A197,Master!$B$50:$N$232,11,FALSE)</f>
        <v>PD Aroma Jaya</v>
      </c>
      <c r="F197" s="318">
        <v>1</v>
      </c>
      <c r="G197" s="354" t="s">
        <v>36</v>
      </c>
      <c r="H197" s="320">
        <v>92000</v>
      </c>
      <c r="I197" s="321" t="b">
        <v>1</v>
      </c>
      <c r="J197" s="322">
        <v>1</v>
      </c>
      <c r="K197" s="326">
        <f>VLOOKUP($A197,Master!$B$50:$N$232,6,FALSE)</f>
        <v>92000</v>
      </c>
      <c r="L197" s="327">
        <f t="shared" si="12"/>
        <v>92000</v>
      </c>
      <c r="M197" s="325"/>
    </row>
    <row r="198" spans="1:13" ht="13">
      <c r="A198" s="18" t="s">
        <v>943</v>
      </c>
      <c r="B198" s="316" t="e">
        <f>VLOOKUP($A198,Master!$B$50:$N$232,2,FALSE)</f>
        <v>#N/A</v>
      </c>
      <c r="C198" s="316" t="e">
        <f>VLOOKUP($A198,Master!$B$50:$N$232,8,FALSE)</f>
        <v>#N/A</v>
      </c>
      <c r="D198" s="316" t="e">
        <f>VLOOKUP($A198,Master!$B$50:$N$232,9,FALSE)</f>
        <v>#N/A</v>
      </c>
      <c r="E198" s="317" t="e">
        <f>VLOOKUP($A198,Master!$B$50:$N$232,11,FALSE)</f>
        <v>#N/A</v>
      </c>
      <c r="F198" s="318">
        <v>6</v>
      </c>
      <c r="G198" s="354" t="s">
        <v>62</v>
      </c>
      <c r="H198" s="320">
        <v>47400</v>
      </c>
      <c r="I198" s="321" t="b">
        <v>1</v>
      </c>
      <c r="J198" s="322">
        <v>6</v>
      </c>
      <c r="K198" s="326" t="e">
        <f>VLOOKUP($A198,Master!$B$50:$N$232,6,FALSE)</f>
        <v>#N/A</v>
      </c>
      <c r="L198" s="327" t="e">
        <f t="shared" si="12"/>
        <v>#N/A</v>
      </c>
      <c r="M198" s="325"/>
    </row>
    <row r="199" spans="1:13" ht="13">
      <c r="A199" s="18" t="s">
        <v>982</v>
      </c>
      <c r="B199" s="316" t="str">
        <f>VLOOKUP($A199,Master!$B$50:$N$232,2,FALSE)</f>
        <v>B130</v>
      </c>
      <c r="C199" s="316">
        <f>VLOOKUP($A199,Master!$B$50:$N$232,8,FALSE)</f>
        <v>12</v>
      </c>
      <c r="D199" s="316" t="str">
        <f>VLOOKUP($A199,Master!$B$50:$N$232,9,FALSE)</f>
        <v>pcs</v>
      </c>
      <c r="E199" s="317" t="str">
        <f>VLOOKUP($A199,Master!$B$50:$N$232,11,FALSE)</f>
        <v>PD Aroma Jaya</v>
      </c>
      <c r="F199" s="318">
        <v>2</v>
      </c>
      <c r="G199" s="354" t="s">
        <v>62</v>
      </c>
      <c r="H199" s="320">
        <v>44000</v>
      </c>
      <c r="I199" s="321" t="b">
        <v>1</v>
      </c>
      <c r="J199" s="322">
        <v>2</v>
      </c>
      <c r="K199" s="326">
        <f>VLOOKUP($A199,Master!$B$50:$N$232,6,FALSE)</f>
        <v>18000</v>
      </c>
      <c r="L199" s="327">
        <f t="shared" si="12"/>
        <v>36000</v>
      </c>
      <c r="M199" s="325"/>
    </row>
    <row r="200" spans="1:13" ht="13">
      <c r="A200" s="18" t="s">
        <v>989</v>
      </c>
      <c r="B200" s="316" t="str">
        <f>VLOOKUP($A200,Master!$B$50:$N$232,2,FALSE)</f>
        <v>B133</v>
      </c>
      <c r="C200" s="316">
        <f>VLOOKUP($A200,Master!$B$50:$N$232,8,FALSE)</f>
        <v>5000</v>
      </c>
      <c r="D200" s="316" t="str">
        <f>VLOOKUP($A200,Master!$B$50:$N$232,9,FALSE)</f>
        <v>ml</v>
      </c>
      <c r="E200" s="317" t="str">
        <f>VLOOKUP($A200,Master!$B$50:$N$232,11,FALSE)</f>
        <v>Kurnia Mas</v>
      </c>
      <c r="F200" s="318">
        <v>6</v>
      </c>
      <c r="G200" s="354" t="s">
        <v>62</v>
      </c>
      <c r="H200" s="320">
        <v>117000</v>
      </c>
      <c r="I200" s="321" t="b">
        <v>1</v>
      </c>
      <c r="J200" s="322">
        <v>6</v>
      </c>
      <c r="K200" s="326">
        <f>VLOOKUP($A200,Master!$B$50:$N$232,6,FALSE)</f>
        <v>54500</v>
      </c>
      <c r="L200" s="327">
        <f t="shared" si="12"/>
        <v>327000</v>
      </c>
      <c r="M200" s="325"/>
    </row>
    <row r="201" spans="1:13" ht="13">
      <c r="A201" s="18" t="s">
        <v>1618</v>
      </c>
      <c r="B201" s="316" t="e">
        <f>VLOOKUP($A201,Master!$B$50:$N$232,2,FALSE)</f>
        <v>#N/A</v>
      </c>
      <c r="C201" s="316" t="e">
        <f>VLOOKUP($A201,Master!$B$50:$N$232,8,FALSE)</f>
        <v>#N/A</v>
      </c>
      <c r="D201" s="316" t="e">
        <f>VLOOKUP($A201,Master!$B$50:$N$232,9,FALSE)</f>
        <v>#N/A</v>
      </c>
      <c r="E201" s="317" t="e">
        <f>VLOOKUP($A201,Master!$B$50:$N$232,11,FALSE)</f>
        <v>#N/A</v>
      </c>
      <c r="F201" s="318">
        <v>2</v>
      </c>
      <c r="G201" s="354" t="s">
        <v>62</v>
      </c>
      <c r="H201" s="320">
        <v>20000</v>
      </c>
      <c r="I201" s="321" t="b">
        <v>1</v>
      </c>
      <c r="J201" s="322">
        <v>2</v>
      </c>
      <c r="K201" s="323" t="e">
        <f>VLOOKUP($A201,Master!$B$50:$N$232,6,FALSE)</f>
        <v>#N/A</v>
      </c>
      <c r="L201" s="324" t="e">
        <f t="shared" si="12"/>
        <v>#N/A</v>
      </c>
      <c r="M201" s="325"/>
    </row>
    <row r="202" spans="1:13" ht="13">
      <c r="A202" s="18" t="s">
        <v>1023</v>
      </c>
      <c r="B202" s="316" t="e">
        <f>VLOOKUP($A202,Master!$B$50:$N$232,2,FALSE)</f>
        <v>#N/A</v>
      </c>
      <c r="C202" s="316" t="e">
        <f>VLOOKUP($A202,Master!$B$50:$N$232,8,FALSE)</f>
        <v>#N/A</v>
      </c>
      <c r="D202" s="316" t="e">
        <f>VLOOKUP($A202,Master!$B$50:$N$232,9,FALSE)</f>
        <v>#N/A</v>
      </c>
      <c r="E202" s="317" t="e">
        <f>VLOOKUP($A202,Master!$B$50:$N$232,11,FALSE)</f>
        <v>#N/A</v>
      </c>
      <c r="F202" s="318">
        <v>4</v>
      </c>
      <c r="G202" s="354" t="s">
        <v>62</v>
      </c>
      <c r="H202" s="320">
        <v>80000</v>
      </c>
      <c r="I202" s="321" t="b">
        <v>1</v>
      </c>
      <c r="J202" s="322">
        <v>4</v>
      </c>
      <c r="K202" s="323" t="e">
        <f>VLOOKUP($A202,Master!$B$50:$N$232,6,FALSE)</f>
        <v>#N/A</v>
      </c>
      <c r="L202" s="324" t="e">
        <f t="shared" si="12"/>
        <v>#N/A</v>
      </c>
      <c r="M202" s="325"/>
    </row>
    <row r="203" spans="1:13" ht="13">
      <c r="A203" s="18" t="s">
        <v>1103</v>
      </c>
      <c r="B203" s="316" t="e">
        <f>VLOOKUP($A203,Master!$B$50:$N$232,2,FALSE)</f>
        <v>#N/A</v>
      </c>
      <c r="C203" s="316" t="e">
        <f>VLOOKUP($A203,Master!$B$50:$N$232,8,FALSE)</f>
        <v>#N/A</v>
      </c>
      <c r="D203" s="316" t="e">
        <f>VLOOKUP($A203,Master!$B$50:$N$232,9,FALSE)</f>
        <v>#N/A</v>
      </c>
      <c r="E203" s="317" t="e">
        <f>VLOOKUP($A203,Master!$B$50:$N$232,11,FALSE)</f>
        <v>#N/A</v>
      </c>
      <c r="F203" s="318">
        <v>2</v>
      </c>
      <c r="G203" s="354" t="s">
        <v>62</v>
      </c>
      <c r="H203" s="320">
        <v>104000</v>
      </c>
      <c r="I203" s="321" t="b">
        <v>1</v>
      </c>
      <c r="J203" s="322">
        <v>2</v>
      </c>
      <c r="K203" s="323" t="e">
        <f>VLOOKUP($A203,Master!$B$50:$N$232,6,FALSE)</f>
        <v>#N/A</v>
      </c>
      <c r="L203" s="324" t="e">
        <f t="shared" si="12"/>
        <v>#N/A</v>
      </c>
      <c r="M203" s="325"/>
    </row>
    <row r="204" spans="1:13" ht="13">
      <c r="A204" s="18" t="s">
        <v>1106</v>
      </c>
      <c r="B204" s="316" t="e">
        <f>VLOOKUP($A204,Master!$B$50:$N$232,2,FALSE)</f>
        <v>#N/A</v>
      </c>
      <c r="C204" s="316" t="e">
        <f>VLOOKUP($A204,Master!$B$50:$N$232,8,FALSE)</f>
        <v>#N/A</v>
      </c>
      <c r="D204" s="316" t="e">
        <f>VLOOKUP($A204,Master!$B$50:$N$232,9,FALSE)</f>
        <v>#N/A</v>
      </c>
      <c r="E204" s="317" t="e">
        <f>VLOOKUP($A204,Master!$B$50:$N$232,11,FALSE)</f>
        <v>#N/A</v>
      </c>
      <c r="F204" s="318">
        <v>1</v>
      </c>
      <c r="G204" s="354" t="s">
        <v>62</v>
      </c>
      <c r="H204" s="320">
        <v>65000</v>
      </c>
      <c r="I204" s="321" t="b">
        <v>1</v>
      </c>
      <c r="J204" s="322">
        <v>1</v>
      </c>
      <c r="K204" s="323">
        <v>115000</v>
      </c>
      <c r="L204" s="324">
        <f t="shared" si="12"/>
        <v>115000</v>
      </c>
      <c r="M204" s="325"/>
    </row>
    <row r="205" spans="1:13" ht="13">
      <c r="A205" s="18" t="s">
        <v>704</v>
      </c>
      <c r="B205" s="316" t="e">
        <f>VLOOKUP($A205,Master!$B$50:$N$232,2,FALSE)</f>
        <v>#N/A</v>
      </c>
      <c r="C205" s="316" t="e">
        <f>VLOOKUP($A205,Master!$B$50:$N$232,8,FALSE)</f>
        <v>#N/A</v>
      </c>
      <c r="D205" s="316" t="e">
        <f>VLOOKUP($A205,Master!$B$50:$N$232,9,FALSE)</f>
        <v>#N/A</v>
      </c>
      <c r="E205" s="317" t="e">
        <f>VLOOKUP($A205,Master!$B$50:$N$232,11,FALSE)</f>
        <v>#N/A</v>
      </c>
      <c r="F205" s="318">
        <v>4</v>
      </c>
      <c r="G205" s="354" t="s">
        <v>143</v>
      </c>
      <c r="H205" s="320">
        <v>729000</v>
      </c>
      <c r="I205" s="321" t="b">
        <v>1</v>
      </c>
      <c r="J205" s="322">
        <v>4</v>
      </c>
      <c r="K205" s="323">
        <v>182700</v>
      </c>
      <c r="L205" s="324">
        <f t="shared" si="12"/>
        <v>730800</v>
      </c>
      <c r="M205" s="325"/>
    </row>
    <row r="206" spans="1:13" ht="13">
      <c r="A206" s="18" t="s">
        <v>779</v>
      </c>
      <c r="B206" s="316" t="e">
        <f>VLOOKUP($A206,Master!$B$50:$N$232,2,FALSE)</f>
        <v>#N/A</v>
      </c>
      <c r="C206" s="316" t="e">
        <f>VLOOKUP($A206,Master!$B$50:$N$232,8,FALSE)</f>
        <v>#N/A</v>
      </c>
      <c r="D206" s="316" t="e">
        <f>VLOOKUP($A206,Master!$B$50:$N$232,9,FALSE)</f>
        <v>#N/A</v>
      </c>
      <c r="E206" s="317" t="e">
        <f>VLOOKUP($A206,Master!$B$50:$N$232,11,FALSE)</f>
        <v>#N/A</v>
      </c>
      <c r="F206" s="318">
        <v>2</v>
      </c>
      <c r="G206" s="354" t="s">
        <v>62</v>
      </c>
      <c r="H206" s="320">
        <v>64000</v>
      </c>
      <c r="I206" s="321" t="b">
        <v>1</v>
      </c>
      <c r="J206" s="322">
        <v>2</v>
      </c>
      <c r="K206" s="323">
        <v>34000</v>
      </c>
      <c r="L206" s="324">
        <f t="shared" si="12"/>
        <v>68000</v>
      </c>
      <c r="M206" s="325"/>
    </row>
    <row r="207" spans="1:13" ht="13">
      <c r="A207" s="18" t="s">
        <v>910</v>
      </c>
      <c r="B207" s="316" t="str">
        <f>VLOOKUP($A207,Master!$B$50:$N$232,2,FALSE)</f>
        <v>B106</v>
      </c>
      <c r="C207" s="316">
        <f>VLOOKUP($A207,Master!$B$50:$N$232,8,FALSE)</f>
        <v>10</v>
      </c>
      <c r="D207" s="316" t="str">
        <f>VLOOKUP($A207,Master!$B$50:$N$232,9,FALSE)</f>
        <v>pcs</v>
      </c>
      <c r="E207" s="317" t="str">
        <f>VLOOKUP($A207,Master!$B$50:$N$232,11,FALSE)</f>
        <v>Setiabudi Market</v>
      </c>
      <c r="F207" s="318">
        <v>2</v>
      </c>
      <c r="G207" s="354" t="s">
        <v>62</v>
      </c>
      <c r="H207" s="320">
        <v>26000</v>
      </c>
      <c r="I207" s="321" t="b">
        <v>1</v>
      </c>
      <c r="J207" s="322">
        <v>2</v>
      </c>
      <c r="K207" s="323">
        <v>14100</v>
      </c>
      <c r="L207" s="324">
        <f t="shared" si="12"/>
        <v>28200</v>
      </c>
      <c r="M207" s="325"/>
    </row>
    <row r="208" spans="1:13" ht="13">
      <c r="A208" s="18" t="s">
        <v>958</v>
      </c>
      <c r="B208" s="316" t="e">
        <f>VLOOKUP($A208,Master!$B$50:$N$232,2,FALSE)</f>
        <v>#N/A</v>
      </c>
      <c r="C208" s="316" t="e">
        <f>VLOOKUP($A208,Master!$B$50:$N$232,8,FALSE)</f>
        <v>#N/A</v>
      </c>
      <c r="D208" s="316" t="e">
        <f>VLOOKUP($A208,Master!$B$50:$N$232,9,FALSE)</f>
        <v>#N/A</v>
      </c>
      <c r="E208" s="317" t="e">
        <f>VLOOKUP($A208,Master!$B$50:$N$232,11,FALSE)</f>
        <v>#N/A</v>
      </c>
      <c r="F208" s="318">
        <v>1</v>
      </c>
      <c r="G208" s="354" t="s">
        <v>97</v>
      </c>
      <c r="H208" s="320">
        <v>129000</v>
      </c>
      <c r="I208" s="321" t="b">
        <v>1</v>
      </c>
      <c r="J208" s="322">
        <v>1</v>
      </c>
      <c r="K208" s="323">
        <v>169000</v>
      </c>
      <c r="L208" s="324">
        <f t="shared" si="12"/>
        <v>169000</v>
      </c>
      <c r="M208" s="325"/>
    </row>
    <row r="209" spans="1:13" ht="13">
      <c r="A209" s="18" t="s">
        <v>964</v>
      </c>
      <c r="B209" s="316" t="e">
        <f>VLOOKUP($A209,Master!$B$50:$N$232,2,FALSE)</f>
        <v>#N/A</v>
      </c>
      <c r="C209" s="316" t="e">
        <f>VLOOKUP($A209,Master!$B$50:$N$232,8,FALSE)</f>
        <v>#N/A</v>
      </c>
      <c r="D209" s="316" t="e">
        <f>VLOOKUP($A209,Master!$B$50:$N$232,9,FALSE)</f>
        <v>#N/A</v>
      </c>
      <c r="E209" s="317" t="e">
        <f>VLOOKUP($A209,Master!$B$50:$N$232,11,FALSE)</f>
        <v>#N/A</v>
      </c>
      <c r="F209" s="318">
        <v>1</v>
      </c>
      <c r="G209" s="354" t="s">
        <v>97</v>
      </c>
      <c r="H209" s="320">
        <v>129000</v>
      </c>
      <c r="I209" s="321" t="b">
        <v>1</v>
      </c>
      <c r="J209" s="322">
        <v>1</v>
      </c>
      <c r="K209" s="323">
        <v>143000</v>
      </c>
      <c r="L209" s="324">
        <f t="shared" si="12"/>
        <v>143000</v>
      </c>
      <c r="M209" s="325"/>
    </row>
    <row r="210" spans="1:13" ht="13">
      <c r="A210" s="18" t="s">
        <v>967</v>
      </c>
      <c r="B210" s="316" t="e">
        <f>VLOOKUP($A210,Master!$B$50:$N$232,2,FALSE)</f>
        <v>#N/A</v>
      </c>
      <c r="C210" s="316" t="e">
        <f>VLOOKUP($A210,Master!$B$50:$N$232,8,FALSE)</f>
        <v>#N/A</v>
      </c>
      <c r="D210" s="316" t="e">
        <f>VLOOKUP($A210,Master!$B$50:$N$232,9,FALSE)</f>
        <v>#N/A</v>
      </c>
      <c r="E210" s="317" t="e">
        <f>VLOOKUP($A210,Master!$B$50:$N$232,11,FALSE)</f>
        <v>#N/A</v>
      </c>
      <c r="F210" s="318">
        <v>1</v>
      </c>
      <c r="G210" s="354" t="s">
        <v>97</v>
      </c>
      <c r="H210" s="320">
        <v>129000</v>
      </c>
      <c r="I210" s="321" t="b">
        <v>1</v>
      </c>
      <c r="J210" s="322">
        <v>1</v>
      </c>
      <c r="K210" s="323">
        <v>143000</v>
      </c>
      <c r="L210" s="324">
        <f t="shared" si="12"/>
        <v>143000</v>
      </c>
      <c r="M210" s="325"/>
    </row>
    <row r="212" spans="1:13" ht="13">
      <c r="F212" s="427">
        <v>44702</v>
      </c>
      <c r="G212" s="428"/>
      <c r="H212" s="424"/>
      <c r="J212" s="429">
        <f>F212+1</f>
        <v>44703</v>
      </c>
      <c r="K212" s="428"/>
      <c r="L212" s="424"/>
    </row>
    <row r="213" spans="1:13" ht="13">
      <c r="F213" s="425" t="s">
        <v>1490</v>
      </c>
      <c r="G213" s="426"/>
      <c r="H213" s="304">
        <f>SUM(H215:H261)</f>
        <v>16663212</v>
      </c>
      <c r="J213" s="425" t="s">
        <v>1491</v>
      </c>
      <c r="K213" s="426"/>
      <c r="L213" s="304" t="e">
        <f>SUM(L215:L261)</f>
        <v>#N/A</v>
      </c>
    </row>
    <row r="214" spans="1:13" ht="13">
      <c r="A214" s="2" t="s">
        <v>4</v>
      </c>
      <c r="B214" s="305" t="s">
        <v>5</v>
      </c>
      <c r="C214" s="305" t="s">
        <v>11</v>
      </c>
      <c r="D214" s="305" t="s">
        <v>12</v>
      </c>
      <c r="E214" s="306" t="s">
        <v>6</v>
      </c>
      <c r="F214" s="307" t="s">
        <v>1494</v>
      </c>
      <c r="G214" s="308" t="s">
        <v>10</v>
      </c>
      <c r="H214" s="309" t="s">
        <v>1495</v>
      </c>
      <c r="I214" s="310" t="s">
        <v>1289</v>
      </c>
      <c r="J214" s="311" t="s">
        <v>1496</v>
      </c>
      <c r="K214" s="312" t="s">
        <v>1497</v>
      </c>
      <c r="L214" s="313" t="s">
        <v>1498</v>
      </c>
      <c r="M214" s="314" t="s">
        <v>16</v>
      </c>
    </row>
    <row r="215" spans="1:13" ht="13">
      <c r="A215" s="18" t="s">
        <v>937</v>
      </c>
      <c r="B215" s="316" t="str">
        <f>VLOOKUP($A215,Master!$B$50:$N$232,2,FALSE)</f>
        <v>B115</v>
      </c>
      <c r="C215" s="316">
        <f>VLOOKUP($A215,Master!$B$50:$N$232,8,FALSE)</f>
        <v>20</v>
      </c>
      <c r="D215" s="316" t="str">
        <f>VLOOKUP($A215,Master!$B$50:$N$232,9,FALSE)</f>
        <v>pcs</v>
      </c>
      <c r="E215" s="317" t="str">
        <f>VLOOKUP($A215,Master!$B$50:$N$232,11,FALSE)</f>
        <v>Borma</v>
      </c>
      <c r="F215" s="318">
        <v>2</v>
      </c>
      <c r="G215" s="354" t="s">
        <v>62</v>
      </c>
      <c r="H215" s="320">
        <v>14600</v>
      </c>
      <c r="I215" s="321" t="b">
        <v>0</v>
      </c>
      <c r="J215" s="322"/>
      <c r="K215" s="326">
        <f>VLOOKUP($A215,Master!$B$50:$N$232,6,FALSE)</f>
        <v>8500</v>
      </c>
      <c r="L215" s="327">
        <f t="shared" ref="L215:L223" si="13">J215*K215</f>
        <v>0</v>
      </c>
      <c r="M215" s="325"/>
    </row>
    <row r="216" spans="1:13" ht="13">
      <c r="A216" s="18" t="s">
        <v>712</v>
      </c>
      <c r="B216" s="316" t="str">
        <f>VLOOKUP($A216,Master!$B$50:$N$232,2,FALSE)</f>
        <v>B050</v>
      </c>
      <c r="C216" s="316">
        <f>VLOOKUP($A216,Master!$B$50:$N$232,8,FALSE)</f>
        <v>1000</v>
      </c>
      <c r="D216" s="316" t="str">
        <f>VLOOKUP($A216,Master!$B$50:$N$232,9,FALSE)</f>
        <v>gr</v>
      </c>
      <c r="E216" s="317" t="str">
        <f>VLOOKUP($A216,Master!$B$50:$N$232,11,FALSE)</f>
        <v>Eden Farm</v>
      </c>
      <c r="F216" s="318">
        <v>2</v>
      </c>
      <c r="G216" s="354" t="s">
        <v>36</v>
      </c>
      <c r="H216" s="320">
        <v>48400</v>
      </c>
      <c r="I216" s="321" t="b">
        <v>1</v>
      </c>
      <c r="J216" s="322">
        <v>2</v>
      </c>
      <c r="K216" s="323">
        <v>18700</v>
      </c>
      <c r="L216" s="324">
        <f t="shared" si="13"/>
        <v>37400</v>
      </c>
      <c r="M216" s="325"/>
    </row>
    <row r="217" spans="1:13" ht="13">
      <c r="A217" s="18" t="s">
        <v>732</v>
      </c>
      <c r="B217" s="316" t="str">
        <f>VLOOKUP($A217,Master!$B$50:$N$232,2,FALSE)</f>
        <v>B055</v>
      </c>
      <c r="C217" s="316">
        <f>VLOOKUP($A217,Master!$B$50:$N$232,8,FALSE)</f>
        <v>1000</v>
      </c>
      <c r="D217" s="316" t="str">
        <f>VLOOKUP($A217,Master!$B$50:$N$232,9,FALSE)</f>
        <v>gr</v>
      </c>
      <c r="E217" s="317" t="str">
        <f>VLOOKUP($A217,Master!$B$50:$N$232,11,FALSE)</f>
        <v>Eden Farm</v>
      </c>
      <c r="F217" s="318">
        <v>1</v>
      </c>
      <c r="G217" s="354" t="s">
        <v>36</v>
      </c>
      <c r="H217" s="320">
        <v>18900</v>
      </c>
      <c r="I217" s="321" t="b">
        <v>1</v>
      </c>
      <c r="J217" s="322">
        <v>1</v>
      </c>
      <c r="K217" s="323">
        <v>18700</v>
      </c>
      <c r="L217" s="324">
        <f t="shared" si="13"/>
        <v>18700</v>
      </c>
      <c r="M217" s="325"/>
    </row>
    <row r="218" spans="1:13" ht="13">
      <c r="A218" s="18" t="s">
        <v>782</v>
      </c>
      <c r="B218" s="316" t="str">
        <f>VLOOKUP($A218,Master!$B$50:$N$232,2,FALSE)</f>
        <v>B069</v>
      </c>
      <c r="C218" s="316">
        <f>VLOOKUP($A218,Master!$B$50:$N$232,8,FALSE)</f>
        <v>500</v>
      </c>
      <c r="D218" s="316" t="str">
        <f>VLOOKUP($A218,Master!$B$50:$N$232,9,FALSE)</f>
        <v>gr</v>
      </c>
      <c r="E218" s="317" t="str">
        <f>VLOOKUP($A218,Master!$B$50:$N$232,11,FALSE)</f>
        <v>Toko Lain</v>
      </c>
      <c r="F218" s="318">
        <v>2</v>
      </c>
      <c r="G218" s="354" t="s">
        <v>62</v>
      </c>
      <c r="H218" s="320">
        <v>15000</v>
      </c>
      <c r="I218" s="321" t="b">
        <v>1</v>
      </c>
      <c r="J218" s="322">
        <v>2</v>
      </c>
      <c r="K218" s="323">
        <v>7700</v>
      </c>
      <c r="L218" s="324">
        <f t="shared" si="13"/>
        <v>15400</v>
      </c>
      <c r="M218" s="325"/>
    </row>
    <row r="219" spans="1:13" ht="13">
      <c r="A219" s="18" t="s">
        <v>675</v>
      </c>
      <c r="B219" s="316" t="str">
        <f>VLOOKUP($A219,Master!$B$50:$N$232,2,FALSE)</f>
        <v>B041</v>
      </c>
      <c r="C219" s="316">
        <f>VLOOKUP($A219,Master!$B$50:$N$232,8,FALSE)</f>
        <v>20</v>
      </c>
      <c r="D219" s="316" t="str">
        <f>VLOOKUP($A219,Master!$B$50:$N$232,9,FALSE)</f>
        <v>unit</v>
      </c>
      <c r="E219" s="317" t="str">
        <f>VLOOKUP($A219,Master!$B$50:$N$232,11,FALSE)</f>
        <v>RSB, Dago</v>
      </c>
      <c r="F219" s="318">
        <v>15</v>
      </c>
      <c r="G219" s="354" t="s">
        <v>62</v>
      </c>
      <c r="H219" s="320">
        <v>90000</v>
      </c>
      <c r="I219" s="321" t="b">
        <v>0</v>
      </c>
      <c r="J219" s="322"/>
      <c r="K219" s="326">
        <f>VLOOKUP($A219,Master!$B$50:$N$232,6,FALSE)</f>
        <v>13500</v>
      </c>
      <c r="L219" s="327">
        <f t="shared" si="13"/>
        <v>0</v>
      </c>
      <c r="M219" s="325"/>
    </row>
    <row r="220" spans="1:13" ht="13">
      <c r="A220" s="18" t="s">
        <v>795</v>
      </c>
      <c r="B220" s="316" t="str">
        <f>VLOOKUP($A220,Master!$B$50:$N$232,2,FALSE)</f>
        <v>B073</v>
      </c>
      <c r="C220" s="316">
        <f>VLOOKUP($A220,Master!$B$50:$N$232,8,FALSE)</f>
        <v>10</v>
      </c>
      <c r="D220" s="316" t="str">
        <f>VLOOKUP($A220,Master!$B$50:$N$232,9,FALSE)</f>
        <v>unit</v>
      </c>
      <c r="E220" s="317" t="str">
        <f>VLOOKUP($A220,Master!$B$50:$N$232,11,FALSE)</f>
        <v>Toko Lain</v>
      </c>
      <c r="F220" s="318">
        <v>5</v>
      </c>
      <c r="G220" s="354" t="s">
        <v>62</v>
      </c>
      <c r="H220" s="320">
        <v>25000</v>
      </c>
      <c r="I220" s="321" t="b">
        <v>0</v>
      </c>
      <c r="J220" s="322"/>
      <c r="K220" s="326">
        <f>VLOOKUP($A220,Master!$B$50:$N$232,6,FALSE)</f>
        <v>8000</v>
      </c>
      <c r="L220" s="327">
        <f t="shared" si="13"/>
        <v>0</v>
      </c>
      <c r="M220" s="325"/>
    </row>
    <row r="221" spans="1:13" ht="13">
      <c r="A221" s="18" t="s">
        <v>720</v>
      </c>
      <c r="B221" s="316" t="str">
        <f>VLOOKUP($A221,Master!$B$50:$N$232,2,FALSE)</f>
        <v>B052</v>
      </c>
      <c r="C221" s="316">
        <f>VLOOKUP($A221,Master!$B$50:$N$232,8,FALSE)</f>
        <v>100</v>
      </c>
      <c r="D221" s="316" t="str">
        <f>VLOOKUP($A221,Master!$B$50:$N$232,9,FALSE)</f>
        <v>gr</v>
      </c>
      <c r="E221" s="317" t="str">
        <f>VLOOKUP($A221,Master!$B$50:$N$232,11,FALSE)</f>
        <v>PD Aroma Jaya</v>
      </c>
      <c r="F221" s="318">
        <v>2</v>
      </c>
      <c r="G221" s="354" t="s">
        <v>97</v>
      </c>
      <c r="H221" s="320">
        <v>56000</v>
      </c>
      <c r="I221" s="321" t="b">
        <v>0</v>
      </c>
      <c r="J221" s="322"/>
      <c r="K221" s="326">
        <f>VLOOKUP($A221,Master!$B$50:$N$232,6,FALSE)</f>
        <v>28000</v>
      </c>
      <c r="L221" s="327">
        <f t="shared" si="13"/>
        <v>0</v>
      </c>
      <c r="M221" s="325"/>
    </row>
    <row r="222" spans="1:13" ht="13">
      <c r="A222" s="18" t="s">
        <v>811</v>
      </c>
      <c r="B222" s="316" t="str">
        <f>VLOOKUP($A222,Master!$B$50:$N$232,2,FALSE)</f>
        <v>B077</v>
      </c>
      <c r="C222" s="316">
        <f>VLOOKUP($A222,Master!$B$50:$N$232,8,FALSE)</f>
        <v>100</v>
      </c>
      <c r="D222" s="316" t="str">
        <f>VLOOKUP($A222,Master!$B$50:$N$232,9,FALSE)</f>
        <v>gr</v>
      </c>
      <c r="E222" s="317" t="str">
        <f>VLOOKUP($A222,Master!$B$50:$N$232,11,FALSE)</f>
        <v>PD Aroma Jaya</v>
      </c>
      <c r="F222" s="318">
        <v>2</v>
      </c>
      <c r="G222" s="354" t="s">
        <v>97</v>
      </c>
      <c r="H222" s="320">
        <v>76000</v>
      </c>
      <c r="I222" s="321" t="b">
        <v>0</v>
      </c>
      <c r="J222" s="322"/>
      <c r="K222" s="326">
        <f>VLOOKUP($A222,Master!$B$50:$N$232,6,FALSE)</f>
        <v>38000</v>
      </c>
      <c r="L222" s="327">
        <f t="shared" si="13"/>
        <v>0</v>
      </c>
      <c r="M222" s="325"/>
    </row>
    <row r="223" spans="1:13" ht="13">
      <c r="A223" s="18" t="s">
        <v>1619</v>
      </c>
      <c r="B223" s="316" t="e">
        <f>VLOOKUP($A223,Master!$B$50:$N$232,2,FALSE)</f>
        <v>#N/A</v>
      </c>
      <c r="C223" s="316" t="e">
        <f>VLOOKUP($A223,Master!$B$50:$N$232,8,FALSE)</f>
        <v>#N/A</v>
      </c>
      <c r="D223" s="316" t="e">
        <f>VLOOKUP($A223,Master!$B$50:$N$232,9,FALSE)</f>
        <v>#N/A</v>
      </c>
      <c r="E223" s="317" t="e">
        <f>VLOOKUP($A223,Master!$B$50:$N$232,11,FALSE)</f>
        <v>#N/A</v>
      </c>
      <c r="F223" s="318">
        <v>6</v>
      </c>
      <c r="G223" s="354" t="s">
        <v>36</v>
      </c>
      <c r="H223" s="320">
        <v>237000</v>
      </c>
      <c r="I223" s="321" t="b">
        <v>0</v>
      </c>
      <c r="J223" s="322"/>
      <c r="K223" s="323" t="e">
        <f>VLOOKUP($A223,Master!$B$50:$N$232,6,FALSE)</f>
        <v>#N/A</v>
      </c>
      <c r="L223" s="324" t="e">
        <f t="shared" si="13"/>
        <v>#N/A</v>
      </c>
      <c r="M223" s="325"/>
    </row>
    <row r="225" spans="1:13" ht="13">
      <c r="F225" s="427">
        <v>44702</v>
      </c>
      <c r="G225" s="428"/>
      <c r="H225" s="424"/>
      <c r="J225" s="429">
        <f>F225+1</f>
        <v>44703</v>
      </c>
      <c r="K225" s="428"/>
      <c r="L225" s="424"/>
    </row>
    <row r="226" spans="1:13" ht="13">
      <c r="F226" s="425" t="s">
        <v>1490</v>
      </c>
      <c r="G226" s="426"/>
      <c r="H226" s="304">
        <f>SUM(H228:H261)</f>
        <v>8041156</v>
      </c>
      <c r="J226" s="425" t="s">
        <v>1491</v>
      </c>
      <c r="K226" s="426"/>
      <c r="L226" s="304">
        <f>SUM(L228:L261)</f>
        <v>3720880</v>
      </c>
    </row>
    <row r="227" spans="1:13" ht="13">
      <c r="A227" s="2" t="s">
        <v>4</v>
      </c>
      <c r="B227" s="305" t="s">
        <v>5</v>
      </c>
      <c r="C227" s="305" t="s">
        <v>11</v>
      </c>
      <c r="D227" s="305" t="s">
        <v>12</v>
      </c>
      <c r="E227" s="306" t="s">
        <v>6</v>
      </c>
      <c r="F227" s="307" t="s">
        <v>1494</v>
      </c>
      <c r="G227" s="308" t="s">
        <v>10</v>
      </c>
      <c r="H227" s="309" t="s">
        <v>1495</v>
      </c>
      <c r="I227" s="310" t="s">
        <v>1289</v>
      </c>
      <c r="J227" s="311" t="s">
        <v>1496</v>
      </c>
      <c r="K227" s="312" t="s">
        <v>1497</v>
      </c>
      <c r="L227" s="313" t="s">
        <v>1498</v>
      </c>
      <c r="M227" s="314" t="s">
        <v>16</v>
      </c>
    </row>
    <row r="228" spans="1:13" ht="13">
      <c r="A228" s="18" t="s">
        <v>544</v>
      </c>
      <c r="B228" s="316" t="e">
        <f>VLOOKUP($A228,Master!$B$50:$N$232,2,FALSE)</f>
        <v>#N/A</v>
      </c>
      <c r="C228" s="316" t="e">
        <f>VLOOKUP($A228,Master!$B$50:$N$232,8,FALSE)</f>
        <v>#N/A</v>
      </c>
      <c r="D228" s="316" t="e">
        <f>VLOOKUP($A228,Master!$B$50:$N$232,9,FALSE)</f>
        <v>#N/A</v>
      </c>
      <c r="E228" s="317" t="e">
        <f>VLOOKUP($A228,Master!$B$50:$N$232,11,FALSE)</f>
        <v>#N/A</v>
      </c>
      <c r="F228" s="318">
        <v>4</v>
      </c>
      <c r="G228" s="354" t="s">
        <v>62</v>
      </c>
      <c r="H228" s="320">
        <v>60800</v>
      </c>
      <c r="I228" s="321" t="b">
        <v>1</v>
      </c>
      <c r="J228" s="322">
        <v>4</v>
      </c>
      <c r="K228" s="323">
        <v>16200</v>
      </c>
      <c r="L228" s="324">
        <f t="shared" ref="L228:L237" si="14">J228*K228</f>
        <v>64800</v>
      </c>
      <c r="M228" s="325"/>
    </row>
    <row r="229" spans="1:13" ht="13">
      <c r="A229" s="18" t="s">
        <v>548</v>
      </c>
      <c r="B229" s="316" t="e">
        <f>VLOOKUP($A229,Master!$B$50:$N$232,2,FALSE)</f>
        <v>#N/A</v>
      </c>
      <c r="C229" s="316" t="e">
        <f>VLOOKUP($A229,Master!$B$50:$N$232,8,FALSE)</f>
        <v>#N/A</v>
      </c>
      <c r="D229" s="316" t="e">
        <f>VLOOKUP($A229,Master!$B$50:$N$232,9,FALSE)</f>
        <v>#N/A</v>
      </c>
      <c r="E229" s="317" t="e">
        <f>VLOOKUP($A229,Master!$B$50:$N$232,11,FALSE)</f>
        <v>#N/A</v>
      </c>
      <c r="F229" s="318">
        <v>1</v>
      </c>
      <c r="G229" s="354" t="s">
        <v>87</v>
      </c>
      <c r="H229" s="320">
        <v>157565</v>
      </c>
      <c r="I229" s="321" t="b">
        <v>1</v>
      </c>
      <c r="J229" s="322">
        <v>1</v>
      </c>
      <c r="K229" s="323">
        <v>141950</v>
      </c>
      <c r="L229" s="324">
        <f t="shared" si="14"/>
        <v>141950</v>
      </c>
      <c r="M229" s="325"/>
    </row>
    <row r="230" spans="1:13" ht="13">
      <c r="A230" s="18" t="s">
        <v>1599</v>
      </c>
      <c r="B230" s="316" t="e">
        <f>VLOOKUP($A230,Master!$B$50:$N$232,2,FALSE)</f>
        <v>#N/A</v>
      </c>
      <c r="C230" s="316" t="e">
        <f>VLOOKUP($A230,Master!$B$50:$N$232,8,FALSE)</f>
        <v>#N/A</v>
      </c>
      <c r="D230" s="316" t="e">
        <f>VLOOKUP($A230,Master!$B$50:$N$232,9,FALSE)</f>
        <v>#N/A</v>
      </c>
      <c r="E230" s="317" t="e">
        <f>VLOOKUP($A230,Master!$B$50:$N$232,11,FALSE)</f>
        <v>#N/A</v>
      </c>
      <c r="F230" s="318">
        <v>1</v>
      </c>
      <c r="G230" s="354" t="s">
        <v>36</v>
      </c>
      <c r="H230" s="320">
        <v>9700</v>
      </c>
      <c r="I230" s="321" t="b">
        <v>1</v>
      </c>
      <c r="J230" s="322">
        <v>1</v>
      </c>
      <c r="K230" s="323">
        <v>9900</v>
      </c>
      <c r="L230" s="324">
        <f t="shared" si="14"/>
        <v>9900</v>
      </c>
      <c r="M230" s="325"/>
    </row>
    <row r="231" spans="1:13" ht="13">
      <c r="A231" s="18" t="s">
        <v>675</v>
      </c>
      <c r="B231" s="316" t="str">
        <f>VLOOKUP($A231,Master!$B$50:$N$232,2,FALSE)</f>
        <v>B041</v>
      </c>
      <c r="C231" s="316">
        <f>VLOOKUP($A231,Master!$B$50:$N$232,8,FALSE)</f>
        <v>20</v>
      </c>
      <c r="D231" s="316" t="str">
        <f>VLOOKUP($A231,Master!$B$50:$N$232,9,FALSE)</f>
        <v>unit</v>
      </c>
      <c r="E231" s="317" t="str">
        <f>VLOOKUP($A231,Master!$B$50:$N$232,11,FALSE)</f>
        <v>RSB, Dago</v>
      </c>
      <c r="F231" s="318">
        <v>16</v>
      </c>
      <c r="G231" s="354" t="s">
        <v>62</v>
      </c>
      <c r="H231" s="320">
        <v>96000</v>
      </c>
      <c r="I231" s="321" t="b">
        <v>1</v>
      </c>
      <c r="J231" s="322">
        <v>8</v>
      </c>
      <c r="K231" s="323">
        <v>11000</v>
      </c>
      <c r="L231" s="324">
        <f t="shared" si="14"/>
        <v>88000</v>
      </c>
      <c r="M231" s="325" t="s">
        <v>331</v>
      </c>
    </row>
    <row r="232" spans="1:13" ht="13">
      <c r="A232" s="18" t="s">
        <v>704</v>
      </c>
      <c r="B232" s="316" t="e">
        <f>VLOOKUP($A232,Master!$B$50:$N$232,2,FALSE)</f>
        <v>#N/A</v>
      </c>
      <c r="C232" s="316" t="e">
        <f>VLOOKUP($A232,Master!$B$50:$N$232,8,FALSE)</f>
        <v>#N/A</v>
      </c>
      <c r="D232" s="316" t="e">
        <f>VLOOKUP($A232,Master!$B$50:$N$232,9,FALSE)</f>
        <v>#N/A</v>
      </c>
      <c r="E232" s="317" t="e">
        <f>VLOOKUP($A232,Master!$B$50:$N$232,11,FALSE)</f>
        <v>#N/A</v>
      </c>
      <c r="F232" s="318">
        <v>3</v>
      </c>
      <c r="G232" s="354" t="s">
        <v>143</v>
      </c>
      <c r="H232" s="320">
        <v>608391</v>
      </c>
      <c r="I232" s="321" t="b">
        <v>1</v>
      </c>
      <c r="J232" s="322">
        <v>3</v>
      </c>
      <c r="K232" s="323">
        <v>182700</v>
      </c>
      <c r="L232" s="324">
        <f t="shared" si="14"/>
        <v>548100</v>
      </c>
      <c r="M232" s="325"/>
    </row>
    <row r="233" spans="1:13" ht="13">
      <c r="A233" s="18" t="s">
        <v>716</v>
      </c>
      <c r="B233" s="316" t="str">
        <f>VLOOKUP($A233,Master!$B$50:$N$232,2,FALSE)</f>
        <v>B051</v>
      </c>
      <c r="C233" s="316">
        <f>VLOOKUP($A233,Master!$B$50:$N$232,8,FALSE)</f>
        <v>1000</v>
      </c>
      <c r="D233" s="316" t="str">
        <f>VLOOKUP($A233,Master!$B$50:$N$232,9,FALSE)</f>
        <v>gr</v>
      </c>
      <c r="E233" s="317" t="str">
        <f>VLOOKUP($A233,Master!$B$50:$N$232,11,FALSE)</f>
        <v>Eden Farm</v>
      </c>
      <c r="F233" s="318">
        <v>1</v>
      </c>
      <c r="G233" s="354" t="s">
        <v>36</v>
      </c>
      <c r="H233" s="320">
        <v>41700</v>
      </c>
      <c r="I233" s="321" t="b">
        <v>1</v>
      </c>
      <c r="J233" s="322">
        <v>0.4</v>
      </c>
      <c r="K233" s="323">
        <v>41200</v>
      </c>
      <c r="L233" s="324">
        <f t="shared" si="14"/>
        <v>16480</v>
      </c>
      <c r="M233" s="325"/>
    </row>
    <row r="234" spans="1:13" ht="13">
      <c r="A234" s="18" t="s">
        <v>744</v>
      </c>
      <c r="B234" s="316" t="str">
        <f>VLOOKUP($A234,Master!$B$50:$N$232,2,FALSE)</f>
        <v>B058</v>
      </c>
      <c r="C234" s="316">
        <f>VLOOKUP($A234,Master!$B$50:$N$232,8,FALSE)</f>
        <v>1000</v>
      </c>
      <c r="D234" s="316" t="str">
        <f>VLOOKUP($A234,Master!$B$50:$N$232,9,FALSE)</f>
        <v>gr</v>
      </c>
      <c r="E234" s="317" t="str">
        <f>VLOOKUP($A234,Master!$B$50:$N$232,11,FALSE)</f>
        <v>Eden Farm</v>
      </c>
      <c r="F234" s="318">
        <v>1</v>
      </c>
      <c r="G234" s="354" t="s">
        <v>36</v>
      </c>
      <c r="H234" s="320">
        <v>44900</v>
      </c>
      <c r="I234" s="321" t="b">
        <v>1</v>
      </c>
      <c r="J234" s="322">
        <v>0.5</v>
      </c>
      <c r="K234" s="323">
        <v>40600</v>
      </c>
      <c r="L234" s="324">
        <f t="shared" si="14"/>
        <v>20300</v>
      </c>
      <c r="M234" s="325"/>
    </row>
    <row r="235" spans="1:13" ht="13">
      <c r="A235" s="18" t="s">
        <v>919</v>
      </c>
      <c r="B235" s="316" t="str">
        <f>VLOOKUP($A235,Master!$B$50:$N$232,2,FALSE)</f>
        <v>B109</v>
      </c>
      <c r="C235" s="316">
        <f>VLOOKUP($A235,Master!$B$50:$N$232,8,FALSE)</f>
        <v>1000</v>
      </c>
      <c r="D235" s="316" t="str">
        <f>VLOOKUP($A235,Master!$B$50:$N$232,9,FALSE)</f>
        <v>gr</v>
      </c>
      <c r="E235" s="317" t="str">
        <f>VLOOKUP($A235,Master!$B$50:$N$232,11,FALSE)</f>
        <v>Eden Farm</v>
      </c>
      <c r="F235" s="318">
        <v>1</v>
      </c>
      <c r="G235" s="354" t="s">
        <v>62</v>
      </c>
      <c r="H235" s="320">
        <v>20900</v>
      </c>
      <c r="I235" s="321" t="b">
        <v>1</v>
      </c>
      <c r="J235" s="322">
        <v>0.5</v>
      </c>
      <c r="K235" s="323">
        <v>22800</v>
      </c>
      <c r="L235" s="324">
        <f t="shared" si="14"/>
        <v>11400</v>
      </c>
      <c r="M235" s="325"/>
    </row>
    <row r="236" spans="1:13" ht="13">
      <c r="A236" s="18" t="s">
        <v>922</v>
      </c>
      <c r="B236" s="316" t="str">
        <f>VLOOKUP($A236,Master!$B$50:$N$232,2,FALSE)</f>
        <v>B110</v>
      </c>
      <c r="C236" s="316">
        <f>VLOOKUP($A236,Master!$B$50:$N$232,8,FALSE)</f>
        <v>400</v>
      </c>
      <c r="D236" s="316" t="str">
        <f>VLOOKUP($A236,Master!$B$50:$N$232,9,FALSE)</f>
        <v>gr</v>
      </c>
      <c r="E236" s="317" t="str">
        <f>VLOOKUP($A236,Master!$B$50:$N$232,11,FALSE)</f>
        <v>Eden Farm</v>
      </c>
      <c r="F236" s="318">
        <v>1</v>
      </c>
      <c r="G236" s="354" t="s">
        <v>36</v>
      </c>
      <c r="H236" s="320">
        <v>32100</v>
      </c>
      <c r="I236" s="321" t="b">
        <v>1</v>
      </c>
      <c r="J236" s="322">
        <v>1</v>
      </c>
      <c r="K236" s="323">
        <v>30400</v>
      </c>
      <c r="L236" s="324">
        <f t="shared" si="14"/>
        <v>30400</v>
      </c>
      <c r="M236" s="325"/>
    </row>
    <row r="237" spans="1:13" ht="13">
      <c r="A237" s="18" t="s">
        <v>1600</v>
      </c>
      <c r="B237" s="316" t="e">
        <f>VLOOKUP($A237,Master!$B$50:$N$232,2,FALSE)</f>
        <v>#N/A</v>
      </c>
      <c r="C237" s="316" t="e">
        <f>VLOOKUP($A237,Master!$B$50:$N$232,8,FALSE)</f>
        <v>#N/A</v>
      </c>
      <c r="D237" s="316" t="e">
        <f>VLOOKUP($A237,Master!$B$50:$N$232,9,FALSE)</f>
        <v>#N/A</v>
      </c>
      <c r="E237" s="317" t="e">
        <f>VLOOKUP($A237,Master!$B$50:$N$232,11,FALSE)</f>
        <v>#N/A</v>
      </c>
      <c r="F237" s="318">
        <v>1</v>
      </c>
      <c r="G237" s="354" t="s">
        <v>36</v>
      </c>
      <c r="H237" s="320">
        <v>8700</v>
      </c>
      <c r="I237" s="321" t="b">
        <v>1</v>
      </c>
      <c r="J237" s="322">
        <v>0.5</v>
      </c>
      <c r="K237" s="323">
        <v>8700</v>
      </c>
      <c r="L237" s="324">
        <f t="shared" si="14"/>
        <v>4350</v>
      </c>
      <c r="M237" s="325"/>
    </row>
    <row r="239" spans="1:13" ht="13">
      <c r="F239" s="427">
        <v>44701</v>
      </c>
      <c r="G239" s="428"/>
      <c r="H239" s="424"/>
      <c r="J239" s="429">
        <f>F239+1</f>
        <v>44702</v>
      </c>
      <c r="K239" s="428"/>
      <c r="L239" s="424"/>
    </row>
    <row r="240" spans="1:13" ht="13">
      <c r="F240" s="425" t="s">
        <v>1490</v>
      </c>
      <c r="G240" s="426"/>
      <c r="H240" s="304">
        <f>SUM(H242:H261)</f>
        <v>3480200</v>
      </c>
      <c r="J240" s="425" t="s">
        <v>1491</v>
      </c>
      <c r="K240" s="426"/>
      <c r="L240" s="304">
        <f>SUM(L242:L261)</f>
        <v>1392600</v>
      </c>
    </row>
    <row r="241" spans="1:13" ht="13">
      <c r="A241" s="2" t="s">
        <v>4</v>
      </c>
      <c r="B241" s="305" t="s">
        <v>5</v>
      </c>
      <c r="C241" s="305" t="s">
        <v>11</v>
      </c>
      <c r="D241" s="305" t="s">
        <v>12</v>
      </c>
      <c r="E241" s="306" t="s">
        <v>6</v>
      </c>
      <c r="F241" s="307" t="s">
        <v>1494</v>
      </c>
      <c r="G241" s="308" t="s">
        <v>10</v>
      </c>
      <c r="H241" s="309" t="s">
        <v>1495</v>
      </c>
      <c r="I241" s="310" t="s">
        <v>1289</v>
      </c>
      <c r="J241" s="311" t="s">
        <v>1496</v>
      </c>
      <c r="K241" s="312" t="s">
        <v>1497</v>
      </c>
      <c r="L241" s="313" t="s">
        <v>1498</v>
      </c>
      <c r="M241" s="314" t="s">
        <v>16</v>
      </c>
    </row>
    <row r="242" spans="1:13" ht="13">
      <c r="A242" s="18" t="s">
        <v>586</v>
      </c>
      <c r="B242" s="316" t="str">
        <f>VLOOKUP($A242,Master!$B$50:$N$232,2,FALSE)</f>
        <v>B018</v>
      </c>
      <c r="C242" s="316">
        <f>VLOOKUP($A242,Master!$B$50:$N$232,8,FALSE)</f>
        <v>20</v>
      </c>
      <c r="D242" s="316" t="str">
        <f>VLOOKUP($A242,Master!$B$50:$N$232,9,FALSE)</f>
        <v>pcs</v>
      </c>
      <c r="E242" s="317" t="str">
        <f>VLOOKUP($A242,Master!$B$50:$N$232,11,FALSE)</f>
        <v>Kurnia Mas</v>
      </c>
      <c r="F242" s="318">
        <v>2</v>
      </c>
      <c r="G242" s="354" t="s">
        <v>62</v>
      </c>
      <c r="H242" s="320">
        <v>14600</v>
      </c>
      <c r="I242" s="321" t="b">
        <v>1</v>
      </c>
      <c r="J242" s="322">
        <v>2</v>
      </c>
      <c r="K242" s="326">
        <f>VLOOKUP($A242,Master!$B$50:$N$232,6,FALSE)</f>
        <v>8500</v>
      </c>
      <c r="L242" s="327">
        <f t="shared" ref="L242:L251" si="15">J242*K242</f>
        <v>17000</v>
      </c>
      <c r="M242" s="325"/>
    </row>
    <row r="243" spans="1:13" ht="13">
      <c r="A243" s="18" t="s">
        <v>712</v>
      </c>
      <c r="B243" s="316" t="str">
        <f>VLOOKUP($A243,Master!$B$50:$N$232,2,FALSE)</f>
        <v>B050</v>
      </c>
      <c r="C243" s="316">
        <f>VLOOKUP($A243,Master!$B$50:$N$232,8,FALSE)</f>
        <v>1000</v>
      </c>
      <c r="D243" s="316" t="str">
        <f>VLOOKUP($A243,Master!$B$50:$N$232,9,FALSE)</f>
        <v>gr</v>
      </c>
      <c r="E243" s="317" t="str">
        <f>VLOOKUP($A243,Master!$B$50:$N$232,11,FALSE)</f>
        <v>Eden Farm</v>
      </c>
      <c r="F243" s="318">
        <v>1</v>
      </c>
      <c r="G243" s="354" t="s">
        <v>36</v>
      </c>
      <c r="H243" s="320">
        <v>24200</v>
      </c>
      <c r="I243" s="321" t="b">
        <v>1</v>
      </c>
      <c r="J243" s="322">
        <v>1</v>
      </c>
      <c r="K243" s="323">
        <v>40000</v>
      </c>
      <c r="L243" s="324">
        <f t="shared" si="15"/>
        <v>40000</v>
      </c>
      <c r="M243" s="325" t="s">
        <v>1520</v>
      </c>
    </row>
    <row r="244" spans="1:13" ht="13">
      <c r="A244" s="18" t="s">
        <v>732</v>
      </c>
      <c r="B244" s="316" t="str">
        <f>VLOOKUP($A244,Master!$B$50:$N$232,2,FALSE)</f>
        <v>B055</v>
      </c>
      <c r="C244" s="316">
        <f>VLOOKUP($A244,Master!$B$50:$N$232,8,FALSE)</f>
        <v>1000</v>
      </c>
      <c r="D244" s="316" t="str">
        <f>VLOOKUP($A244,Master!$B$50:$N$232,9,FALSE)</f>
        <v>gr</v>
      </c>
      <c r="E244" s="317" t="str">
        <f>VLOOKUP($A244,Master!$B$50:$N$232,11,FALSE)</f>
        <v>Eden Farm</v>
      </c>
      <c r="F244" s="318">
        <v>1</v>
      </c>
      <c r="G244" s="354" t="s">
        <v>36</v>
      </c>
      <c r="H244" s="320">
        <v>18900</v>
      </c>
      <c r="I244" s="321" t="b">
        <v>1</v>
      </c>
      <c r="J244" s="322">
        <v>1</v>
      </c>
      <c r="K244" s="323">
        <v>30000</v>
      </c>
      <c r="L244" s="324">
        <f t="shared" si="15"/>
        <v>30000</v>
      </c>
      <c r="M244" s="325" t="s">
        <v>1520</v>
      </c>
    </row>
    <row r="245" spans="1:13" ht="13">
      <c r="A245" s="18" t="s">
        <v>782</v>
      </c>
      <c r="B245" s="316" t="str">
        <f>VLOOKUP($A245,Master!$B$50:$N$232,2,FALSE)</f>
        <v>B069</v>
      </c>
      <c r="C245" s="316">
        <f>VLOOKUP($A245,Master!$B$50:$N$232,8,FALSE)</f>
        <v>500</v>
      </c>
      <c r="D245" s="316" t="str">
        <f>VLOOKUP($A245,Master!$B$50:$N$232,9,FALSE)</f>
        <v>gr</v>
      </c>
      <c r="E245" s="317" t="str">
        <f>VLOOKUP($A245,Master!$B$50:$N$232,11,FALSE)</f>
        <v>Toko Lain</v>
      </c>
      <c r="F245" s="318">
        <v>2</v>
      </c>
      <c r="G245" s="354" t="s">
        <v>62</v>
      </c>
      <c r="H245" s="320">
        <v>15000</v>
      </c>
      <c r="I245" s="321" t="b">
        <v>1</v>
      </c>
      <c r="J245" s="322">
        <v>2</v>
      </c>
      <c r="K245" s="323">
        <v>12000</v>
      </c>
      <c r="L245" s="324">
        <f t="shared" si="15"/>
        <v>24000</v>
      </c>
      <c r="M245" s="325" t="s">
        <v>297</v>
      </c>
    </row>
    <row r="246" spans="1:13" ht="13">
      <c r="A246" s="18" t="s">
        <v>675</v>
      </c>
      <c r="B246" s="316" t="str">
        <f>VLOOKUP($A246,Master!$B$50:$N$232,2,FALSE)</f>
        <v>B041</v>
      </c>
      <c r="C246" s="316">
        <f>VLOOKUP($A246,Master!$B$50:$N$232,8,FALSE)</f>
        <v>20</v>
      </c>
      <c r="D246" s="316" t="str">
        <f>VLOOKUP($A246,Master!$B$50:$N$232,9,FALSE)</f>
        <v>unit</v>
      </c>
      <c r="E246" s="317" t="str">
        <f>VLOOKUP($A246,Master!$B$50:$N$232,11,FALSE)</f>
        <v>RSB, Dago</v>
      </c>
      <c r="F246" s="318">
        <v>5</v>
      </c>
      <c r="G246" s="354" t="s">
        <v>62</v>
      </c>
      <c r="H246" s="320">
        <v>30000</v>
      </c>
      <c r="I246" s="321" t="b">
        <v>1</v>
      </c>
      <c r="J246" s="322">
        <v>5</v>
      </c>
      <c r="K246" s="326">
        <f>VLOOKUP($A246,Master!$B$50:$N$232,6,FALSE)</f>
        <v>13500</v>
      </c>
      <c r="L246" s="327">
        <f t="shared" si="15"/>
        <v>67500</v>
      </c>
      <c r="M246" s="325" t="s">
        <v>1520</v>
      </c>
    </row>
    <row r="247" spans="1:13" ht="13">
      <c r="A247" s="18" t="s">
        <v>795</v>
      </c>
      <c r="B247" s="316" t="str">
        <f>VLOOKUP($A247,Master!$B$50:$N$232,2,FALSE)</f>
        <v>B073</v>
      </c>
      <c r="C247" s="316">
        <f>VLOOKUP($A247,Master!$B$50:$N$232,8,FALSE)</f>
        <v>10</v>
      </c>
      <c r="D247" s="316" t="str">
        <f>VLOOKUP($A247,Master!$B$50:$N$232,9,FALSE)</f>
        <v>unit</v>
      </c>
      <c r="E247" s="317" t="str">
        <f>VLOOKUP($A247,Master!$B$50:$N$232,11,FALSE)</f>
        <v>Toko Lain</v>
      </c>
      <c r="F247" s="318">
        <v>3</v>
      </c>
      <c r="G247" s="354" t="s">
        <v>62</v>
      </c>
      <c r="H247" s="320">
        <v>15000</v>
      </c>
      <c r="I247" s="321" t="b">
        <v>1</v>
      </c>
      <c r="J247" s="322">
        <v>3</v>
      </c>
      <c r="K247" s="323">
        <v>7000</v>
      </c>
      <c r="L247" s="324">
        <f t="shared" si="15"/>
        <v>21000</v>
      </c>
      <c r="M247" s="325" t="s">
        <v>1520</v>
      </c>
    </row>
    <row r="248" spans="1:13" ht="13">
      <c r="A248" s="18" t="s">
        <v>720</v>
      </c>
      <c r="B248" s="316" t="str">
        <f>VLOOKUP($A248,Master!$B$50:$N$232,2,FALSE)</f>
        <v>B052</v>
      </c>
      <c r="C248" s="316">
        <f>VLOOKUP($A248,Master!$B$50:$N$232,8,FALSE)</f>
        <v>100</v>
      </c>
      <c r="D248" s="316" t="str">
        <f>VLOOKUP($A248,Master!$B$50:$N$232,9,FALSE)</f>
        <v>gr</v>
      </c>
      <c r="E248" s="317" t="str">
        <f>VLOOKUP($A248,Master!$B$50:$N$232,11,FALSE)</f>
        <v>PD Aroma Jaya</v>
      </c>
      <c r="F248" s="318">
        <v>2</v>
      </c>
      <c r="G248" s="354" t="s">
        <v>97</v>
      </c>
      <c r="H248" s="320">
        <v>56000</v>
      </c>
      <c r="I248" s="321" t="b">
        <v>1</v>
      </c>
      <c r="J248" s="322">
        <v>2</v>
      </c>
      <c r="K248" s="323">
        <v>11500</v>
      </c>
      <c r="L248" s="324">
        <f t="shared" si="15"/>
        <v>23000</v>
      </c>
      <c r="M248" s="325" t="s">
        <v>297</v>
      </c>
    </row>
    <row r="249" spans="1:13" ht="13">
      <c r="A249" s="18" t="s">
        <v>787</v>
      </c>
      <c r="B249" s="316" t="e">
        <f>VLOOKUP($A249,Master!$B$50:$N$232,2,FALSE)</f>
        <v>#N/A</v>
      </c>
      <c r="C249" s="316" t="e">
        <f>VLOOKUP($A249,Master!$B$50:$N$232,8,FALSE)</f>
        <v>#N/A</v>
      </c>
      <c r="D249" s="316" t="e">
        <f>VLOOKUP($A249,Master!$B$50:$N$232,9,FALSE)</f>
        <v>#N/A</v>
      </c>
      <c r="E249" s="317" t="e">
        <f>VLOOKUP($A249,Master!$B$50:$N$232,11,FALSE)</f>
        <v>#N/A</v>
      </c>
      <c r="F249" s="318">
        <v>2</v>
      </c>
      <c r="G249" s="354" t="s">
        <v>97</v>
      </c>
      <c r="H249" s="320">
        <v>40500</v>
      </c>
      <c r="I249" s="321" t="b">
        <v>1</v>
      </c>
      <c r="J249" s="322">
        <v>2</v>
      </c>
      <c r="K249" s="323">
        <v>21800</v>
      </c>
      <c r="L249" s="324">
        <f t="shared" si="15"/>
        <v>43600</v>
      </c>
      <c r="M249" s="325" t="s">
        <v>297</v>
      </c>
    </row>
    <row r="250" spans="1:13" ht="13">
      <c r="A250" s="18" t="s">
        <v>811</v>
      </c>
      <c r="B250" s="316" t="str">
        <f>VLOOKUP($A250,Master!$B$50:$N$232,2,FALSE)</f>
        <v>B077</v>
      </c>
      <c r="C250" s="316">
        <f>VLOOKUP($A250,Master!$B$50:$N$232,8,FALSE)</f>
        <v>100</v>
      </c>
      <c r="D250" s="316" t="str">
        <f>VLOOKUP($A250,Master!$B$50:$N$232,9,FALSE)</f>
        <v>gr</v>
      </c>
      <c r="E250" s="317" t="str">
        <f>VLOOKUP($A250,Master!$B$50:$N$232,11,FALSE)</f>
        <v>PD Aroma Jaya</v>
      </c>
      <c r="F250" s="318">
        <v>2</v>
      </c>
      <c r="G250" s="354" t="s">
        <v>97</v>
      </c>
      <c r="H250" s="320">
        <v>76000</v>
      </c>
      <c r="I250" s="321" t="b">
        <v>1</v>
      </c>
      <c r="J250" s="322">
        <v>2</v>
      </c>
      <c r="K250" s="323">
        <v>11000</v>
      </c>
      <c r="L250" s="324">
        <f t="shared" si="15"/>
        <v>22000</v>
      </c>
      <c r="M250" s="325" t="s">
        <v>297</v>
      </c>
    </row>
    <row r="251" spans="1:13" ht="13">
      <c r="A251" s="18" t="s">
        <v>1619</v>
      </c>
      <c r="B251" s="316" t="e">
        <f>VLOOKUP($A251,Master!$B$50:$N$232,2,FALSE)</f>
        <v>#N/A</v>
      </c>
      <c r="C251" s="316" t="e">
        <f>VLOOKUP($A251,Master!$B$50:$N$232,8,FALSE)</f>
        <v>#N/A</v>
      </c>
      <c r="D251" s="316" t="e">
        <f>VLOOKUP($A251,Master!$B$50:$N$232,9,FALSE)</f>
        <v>#N/A</v>
      </c>
      <c r="E251" s="317" t="e">
        <f>VLOOKUP($A251,Master!$B$50:$N$232,11,FALSE)</f>
        <v>#N/A</v>
      </c>
      <c r="F251" s="318">
        <v>6</v>
      </c>
      <c r="G251" s="354" t="s">
        <v>36</v>
      </c>
      <c r="H251" s="320">
        <v>237000</v>
      </c>
      <c r="I251" s="321" t="b">
        <v>1</v>
      </c>
      <c r="J251" s="322">
        <v>3</v>
      </c>
      <c r="K251" s="323">
        <v>47500</v>
      </c>
      <c r="L251" s="324">
        <f t="shared" si="15"/>
        <v>142500</v>
      </c>
      <c r="M251" s="325" t="s">
        <v>1620</v>
      </c>
    </row>
    <row r="253" spans="1:13" ht="13">
      <c r="F253" s="427">
        <v>44703</v>
      </c>
      <c r="G253" s="428"/>
      <c r="H253" s="424"/>
      <c r="J253" s="429">
        <f>F253+1</f>
        <v>44704</v>
      </c>
      <c r="K253" s="428"/>
      <c r="L253" s="424"/>
    </row>
    <row r="254" spans="1:13" ht="13">
      <c r="F254" s="425" t="s">
        <v>1490</v>
      </c>
      <c r="G254" s="426"/>
      <c r="H254" s="304">
        <f>SUM(H256:H261)</f>
        <v>1476500</v>
      </c>
      <c r="J254" s="425" t="s">
        <v>1491</v>
      </c>
      <c r="K254" s="426"/>
      <c r="L254" s="304">
        <f>SUM(L256:L261)</f>
        <v>481000</v>
      </c>
    </row>
    <row r="255" spans="1:13" ht="13">
      <c r="A255" s="2" t="s">
        <v>4</v>
      </c>
      <c r="B255" s="305" t="s">
        <v>5</v>
      </c>
      <c r="C255" s="305" t="s">
        <v>11</v>
      </c>
      <c r="D255" s="305" t="s">
        <v>12</v>
      </c>
      <c r="E255" s="306" t="s">
        <v>6</v>
      </c>
      <c r="F255" s="307" t="s">
        <v>1494</v>
      </c>
      <c r="G255" s="308" t="s">
        <v>10</v>
      </c>
      <c r="H255" s="309" t="s">
        <v>1495</v>
      </c>
      <c r="I255" s="310" t="s">
        <v>1289</v>
      </c>
      <c r="J255" s="311" t="s">
        <v>1496</v>
      </c>
      <c r="K255" s="312" t="s">
        <v>1497</v>
      </c>
      <c r="L255" s="313" t="s">
        <v>1498</v>
      </c>
      <c r="M255" s="314" t="s">
        <v>16</v>
      </c>
    </row>
    <row r="256" spans="1:13" ht="13">
      <c r="A256" s="18" t="s">
        <v>659</v>
      </c>
      <c r="B256" s="316" t="str">
        <f>VLOOKUP($A256,Master!$B$50:$N$232,2,FALSE)</f>
        <v>B037</v>
      </c>
      <c r="C256" s="316">
        <f>VLOOKUP($A256,Master!$B$50:$N$232,8,FALSE)</f>
        <v>15</v>
      </c>
      <c r="D256" s="316" t="str">
        <f>VLOOKUP($A256,Master!$B$50:$N$232,9,FALSE)</f>
        <v>pcs</v>
      </c>
      <c r="E256" s="317" t="str">
        <f>VLOOKUP($A256,Master!$B$50:$N$232,11,FALSE)</f>
        <v>Feri Supriadi (Telur , Beras , Minyak )</v>
      </c>
      <c r="F256" s="318">
        <v>3</v>
      </c>
      <c r="G256" s="354" t="s">
        <v>36</v>
      </c>
      <c r="H256" s="320">
        <v>82500</v>
      </c>
      <c r="I256" s="321" t="b">
        <v>1</v>
      </c>
      <c r="J256" s="322">
        <v>3</v>
      </c>
      <c r="K256" s="326">
        <f>VLOOKUP($A256,Master!$B$50:$N$232,6,FALSE)</f>
        <v>28000</v>
      </c>
      <c r="L256" s="327">
        <f t="shared" ref="L256:L260" si="16">J256*K256</f>
        <v>84000</v>
      </c>
      <c r="M256" s="325"/>
    </row>
    <row r="257" spans="1:13" ht="13">
      <c r="A257" s="18" t="s">
        <v>1574</v>
      </c>
      <c r="B257" s="316" t="str">
        <f>VLOOKUP($A257,Master!$B$50:$N$232,2,FALSE)</f>
        <v>B062</v>
      </c>
      <c r="C257" s="316">
        <f>VLOOKUP($A257,Master!$B$50:$N$232,8,FALSE)</f>
        <v>25000</v>
      </c>
      <c r="D257" s="316" t="str">
        <f>VLOOKUP($A257,Master!$B$50:$N$232,9,FALSE)</f>
        <v>gr</v>
      </c>
      <c r="E257" s="317" t="str">
        <f>VLOOKUP($A257,Master!$B$50:$N$232,11,FALSE)</f>
        <v>Feri Supriadi (Telur , Beras , Minyak )</v>
      </c>
      <c r="F257" s="318">
        <v>10</v>
      </c>
      <c r="G257" s="354" t="s">
        <v>36</v>
      </c>
      <c r="H257" s="320">
        <v>1160000</v>
      </c>
      <c r="I257" s="321" t="b">
        <v>1</v>
      </c>
      <c r="J257" s="322">
        <v>10</v>
      </c>
      <c r="K257" s="323">
        <v>11600</v>
      </c>
      <c r="L257" s="324">
        <f t="shared" si="16"/>
        <v>116000</v>
      </c>
      <c r="M257" s="325"/>
    </row>
    <row r="258" spans="1:13" ht="13">
      <c r="A258" s="18" t="s">
        <v>779</v>
      </c>
      <c r="B258" s="316" t="e">
        <f>VLOOKUP($A258,Master!$B$50:$N$232,2,FALSE)</f>
        <v>#N/A</v>
      </c>
      <c r="C258" s="316" t="e">
        <f>VLOOKUP($A258,Master!$B$50:$N$232,8,FALSE)</f>
        <v>#N/A</v>
      </c>
      <c r="D258" s="316" t="e">
        <f>VLOOKUP($A258,Master!$B$50:$N$232,9,FALSE)</f>
        <v>#N/A</v>
      </c>
      <c r="E258" s="317" t="e">
        <f>VLOOKUP($A258,Master!$B$50:$N$232,11,FALSE)</f>
        <v>#N/A</v>
      </c>
      <c r="F258" s="318">
        <v>4</v>
      </c>
      <c r="G258" s="354" t="s">
        <v>62</v>
      </c>
      <c r="H258" s="320">
        <v>128000</v>
      </c>
      <c r="I258" s="321" t="b">
        <v>1</v>
      </c>
      <c r="J258" s="322">
        <v>4</v>
      </c>
      <c r="K258" s="323">
        <v>34000</v>
      </c>
      <c r="L258" s="324">
        <f t="shared" si="16"/>
        <v>136000</v>
      </c>
      <c r="M258" s="325"/>
    </row>
    <row r="259" spans="1:13" ht="13">
      <c r="A259" s="18" t="s">
        <v>874</v>
      </c>
      <c r="B259" s="316" t="str">
        <f>VLOOKUP($A259,Master!$B$50:$N$232,2,FALSE)</f>
        <v>B092</v>
      </c>
      <c r="C259" s="316">
        <f>VLOOKUP($A259,Master!$B$50:$N$232,8,FALSE)</f>
        <v>10</v>
      </c>
      <c r="D259" s="316" t="str">
        <f>VLOOKUP($A259,Master!$B$50:$N$232,9,FALSE)</f>
        <v>pcs</v>
      </c>
      <c r="E259" s="317" t="str">
        <f>VLOOKUP($A259,Master!$B$50:$N$232,11,FALSE)</f>
        <v>RSB, Dago</v>
      </c>
      <c r="F259" s="318">
        <v>5</v>
      </c>
      <c r="G259" s="354" t="s">
        <v>62</v>
      </c>
      <c r="H259" s="320">
        <v>80000</v>
      </c>
      <c r="I259" s="321" t="b">
        <v>1</v>
      </c>
      <c r="J259" s="322">
        <v>5</v>
      </c>
      <c r="K259" s="323">
        <v>17000</v>
      </c>
      <c r="L259" s="324">
        <f t="shared" si="16"/>
        <v>85000</v>
      </c>
      <c r="M259" s="325"/>
    </row>
    <row r="260" spans="1:13" ht="13">
      <c r="A260" s="18" t="s">
        <v>910</v>
      </c>
      <c r="B260" s="316" t="str">
        <f>VLOOKUP($A260,Master!$B$50:$N$232,2,FALSE)</f>
        <v>B106</v>
      </c>
      <c r="C260" s="316">
        <f>VLOOKUP($A260,Master!$B$50:$N$232,8,FALSE)</f>
        <v>10</v>
      </c>
      <c r="D260" s="316" t="str">
        <f>VLOOKUP($A260,Master!$B$50:$N$232,9,FALSE)</f>
        <v>pcs</v>
      </c>
      <c r="E260" s="317" t="str">
        <f>VLOOKUP($A260,Master!$B$50:$N$232,11,FALSE)</f>
        <v>Setiabudi Market</v>
      </c>
      <c r="F260" s="318">
        <v>2</v>
      </c>
      <c r="G260" s="354" t="s">
        <v>62</v>
      </c>
      <c r="H260" s="320">
        <v>26000</v>
      </c>
      <c r="I260" s="321" t="b">
        <v>1</v>
      </c>
      <c r="J260" s="322">
        <v>2</v>
      </c>
      <c r="K260" s="323">
        <v>30000</v>
      </c>
      <c r="L260" s="324">
        <f t="shared" si="16"/>
        <v>60000</v>
      </c>
      <c r="M260" s="325"/>
    </row>
    <row r="262" spans="1:13" ht="13">
      <c r="F262" s="427">
        <v>44704</v>
      </c>
      <c r="G262" s="428"/>
      <c r="H262" s="424"/>
      <c r="J262" s="429">
        <f>F262+1</f>
        <v>44705</v>
      </c>
      <c r="K262" s="428"/>
      <c r="L262" s="424"/>
    </row>
    <row r="263" spans="1:13" ht="13">
      <c r="F263" s="425" t="s">
        <v>1490</v>
      </c>
      <c r="G263" s="426"/>
      <c r="H263" s="304">
        <f>SUM(H265:H441)</f>
        <v>161555725.5</v>
      </c>
      <c r="J263" s="425" t="s">
        <v>1491</v>
      </c>
      <c r="K263" s="426"/>
      <c r="L263" s="304" t="e">
        <f>SUM(L265:L441)</f>
        <v>#N/A</v>
      </c>
    </row>
    <row r="264" spans="1:13" ht="13">
      <c r="A264" s="2" t="s">
        <v>4</v>
      </c>
      <c r="B264" s="305" t="s">
        <v>5</v>
      </c>
      <c r="C264" s="305" t="s">
        <v>11</v>
      </c>
      <c r="D264" s="305" t="s">
        <v>12</v>
      </c>
      <c r="E264" s="306" t="s">
        <v>6</v>
      </c>
      <c r="F264" s="307" t="s">
        <v>1494</v>
      </c>
      <c r="G264" s="308" t="s">
        <v>10</v>
      </c>
      <c r="H264" s="309" t="s">
        <v>1495</v>
      </c>
      <c r="I264" s="310" t="s">
        <v>1289</v>
      </c>
      <c r="J264" s="311" t="s">
        <v>1496</v>
      </c>
      <c r="K264" s="312" t="s">
        <v>1497</v>
      </c>
      <c r="L264" s="313" t="s">
        <v>1498</v>
      </c>
      <c r="M264" s="314" t="s">
        <v>16</v>
      </c>
    </row>
    <row r="265" spans="1:13" ht="13">
      <c r="A265" s="18" t="s">
        <v>976</v>
      </c>
      <c r="B265" s="316" t="str">
        <f>VLOOKUP($A265,Master!$B$50:$N$232,2,FALSE)</f>
        <v>B128</v>
      </c>
      <c r="C265" s="316">
        <f>VLOOKUP($A265,Master!$B$50:$N$232,8,FALSE)</f>
        <v>300</v>
      </c>
      <c r="D265" s="316" t="str">
        <f>VLOOKUP($A265,Master!$B$50:$N$232,9,FALSE)</f>
        <v>pcs</v>
      </c>
      <c r="E265" s="317" t="str">
        <f>VLOOKUP($A265,Master!$B$50:$N$232,11,FALSE)</f>
        <v>Kurnia Mas</v>
      </c>
      <c r="F265" s="318">
        <v>3</v>
      </c>
      <c r="G265" s="354" t="s">
        <v>62</v>
      </c>
      <c r="H265" s="320">
        <v>75000</v>
      </c>
      <c r="I265" s="321" t="b">
        <v>0</v>
      </c>
      <c r="J265" s="322"/>
      <c r="K265" s="326">
        <f>VLOOKUP($A265,Master!$B$50:$N$232,6,FALSE)</f>
        <v>30000</v>
      </c>
      <c r="L265" s="327">
        <f t="shared" ref="L265:L272" si="17">J265*K265</f>
        <v>0</v>
      </c>
      <c r="M265" s="325"/>
    </row>
    <row r="266" spans="1:13" ht="13">
      <c r="A266" s="18" t="s">
        <v>1046</v>
      </c>
      <c r="B266" s="316" t="e">
        <f>VLOOKUP($A266,Master!$B$50:$N$232,2,FALSE)</f>
        <v>#N/A</v>
      </c>
      <c r="C266" s="316" t="e">
        <f>VLOOKUP($A266,Master!$B$50:$N$232,8,FALSE)</f>
        <v>#N/A</v>
      </c>
      <c r="D266" s="316" t="e">
        <f>VLOOKUP($A266,Master!$B$50:$N$232,9,FALSE)</f>
        <v>#N/A</v>
      </c>
      <c r="E266" s="317" t="e">
        <f>VLOOKUP($A266,Master!$B$50:$N$232,11,FALSE)</f>
        <v>#N/A</v>
      </c>
      <c r="F266" s="318">
        <v>1</v>
      </c>
      <c r="G266" s="354" t="s">
        <v>62</v>
      </c>
      <c r="H266" s="320">
        <v>18000</v>
      </c>
      <c r="I266" s="321" t="b">
        <v>1</v>
      </c>
      <c r="J266" s="322">
        <v>2</v>
      </c>
      <c r="K266" s="323">
        <v>15000</v>
      </c>
      <c r="L266" s="324">
        <f t="shared" si="17"/>
        <v>30000</v>
      </c>
      <c r="M266" s="325"/>
    </row>
    <row r="267" spans="1:13" ht="13">
      <c r="A267" s="18" t="s">
        <v>1096</v>
      </c>
      <c r="B267" s="316" t="e">
        <f>VLOOKUP($A267,Master!$B$50:$N$232,2,FALSE)</f>
        <v>#N/A</v>
      </c>
      <c r="C267" s="316" t="e">
        <f>VLOOKUP($A267,Master!$B$50:$N$232,8,FALSE)</f>
        <v>#N/A</v>
      </c>
      <c r="D267" s="316" t="e">
        <f>VLOOKUP($A267,Master!$B$50:$N$232,9,FALSE)</f>
        <v>#N/A</v>
      </c>
      <c r="E267" s="317" t="e">
        <f>VLOOKUP($A267,Master!$B$50:$N$232,11,FALSE)</f>
        <v>#N/A</v>
      </c>
      <c r="F267" s="318">
        <v>2</v>
      </c>
      <c r="G267" s="354" t="s">
        <v>62</v>
      </c>
      <c r="H267" s="320">
        <v>9400</v>
      </c>
      <c r="I267" s="321" t="b">
        <v>1</v>
      </c>
      <c r="J267" s="322">
        <v>2</v>
      </c>
      <c r="K267" s="323">
        <v>9100</v>
      </c>
      <c r="L267" s="324">
        <f t="shared" si="17"/>
        <v>18200</v>
      </c>
      <c r="M267" s="325" t="s">
        <v>297</v>
      </c>
    </row>
    <row r="268" spans="1:13" ht="13">
      <c r="A268" s="18" t="s">
        <v>1099</v>
      </c>
      <c r="B268" s="316" t="e">
        <f>VLOOKUP($A268,Master!$B$50:$N$232,2,FALSE)</f>
        <v>#N/A</v>
      </c>
      <c r="C268" s="316" t="e">
        <f>VLOOKUP($A268,Master!$B$50:$N$232,8,FALSE)</f>
        <v>#N/A</v>
      </c>
      <c r="D268" s="316" t="e">
        <f>VLOOKUP($A268,Master!$B$50:$N$232,9,FALSE)</f>
        <v>#N/A</v>
      </c>
      <c r="E268" s="317" t="e">
        <f>VLOOKUP($A268,Master!$B$50:$N$232,11,FALSE)</f>
        <v>#N/A</v>
      </c>
      <c r="F268" s="318">
        <v>1</v>
      </c>
      <c r="G268" s="354" t="s">
        <v>36</v>
      </c>
      <c r="H268" s="320">
        <v>130000</v>
      </c>
      <c r="I268" s="321" t="b">
        <v>1</v>
      </c>
      <c r="J268" s="322">
        <v>1</v>
      </c>
      <c r="K268" s="323" t="e">
        <f>VLOOKUP($A268,Master!$B$50:$N$232,6,FALSE)</f>
        <v>#N/A</v>
      </c>
      <c r="L268" s="324" t="e">
        <f t="shared" si="17"/>
        <v>#N/A</v>
      </c>
      <c r="M268" s="325"/>
    </row>
    <row r="269" spans="1:13" ht="13">
      <c r="A269" s="18" t="s">
        <v>739</v>
      </c>
      <c r="B269" s="316" t="str">
        <f>VLOOKUP($A269,Master!$B$50:$N$232,2,FALSE)</f>
        <v>B057</v>
      </c>
      <c r="C269" s="316">
        <f>VLOOKUP($A269,Master!$B$50:$N$232,8,FALSE)</f>
        <v>100</v>
      </c>
      <c r="D269" s="316" t="str">
        <f>VLOOKUP($A269,Master!$B$50:$N$232,9,FALSE)</f>
        <v>pack</v>
      </c>
      <c r="E269" s="317" t="str">
        <f>VLOOKUP($A269,Master!$B$50:$N$232,11,FALSE)</f>
        <v>B5 Coffee &amp; Roastery</v>
      </c>
      <c r="F269" s="318">
        <v>2</v>
      </c>
      <c r="G269" s="354" t="s">
        <v>62</v>
      </c>
      <c r="H269" s="320">
        <v>240000</v>
      </c>
      <c r="I269" s="321" t="b">
        <v>1</v>
      </c>
      <c r="J269" s="322">
        <v>2</v>
      </c>
      <c r="K269" s="323">
        <v>85000</v>
      </c>
      <c r="L269" s="324">
        <f t="shared" si="17"/>
        <v>170000</v>
      </c>
      <c r="M269" s="325"/>
    </row>
    <row r="270" spans="1:13" ht="13">
      <c r="A270" s="18" t="s">
        <v>1621</v>
      </c>
      <c r="B270" s="316" t="e">
        <f>VLOOKUP($A270,Master!$B$50:$N$232,2,FALSE)</f>
        <v>#N/A</v>
      </c>
      <c r="C270" s="316" t="e">
        <f>VLOOKUP($A270,Master!$B$50:$N$232,8,FALSE)</f>
        <v>#N/A</v>
      </c>
      <c r="D270" s="316" t="e">
        <f>VLOOKUP($A270,Master!$B$50:$N$232,9,FALSE)</f>
        <v>#N/A</v>
      </c>
      <c r="E270" s="317" t="e">
        <f>VLOOKUP($A270,Master!$B$50:$N$232,11,FALSE)</f>
        <v>#N/A</v>
      </c>
      <c r="F270" s="318">
        <v>1</v>
      </c>
      <c r="G270" s="354" t="s">
        <v>62</v>
      </c>
      <c r="H270" s="320">
        <v>85000</v>
      </c>
      <c r="I270" s="321" t="b">
        <v>1</v>
      </c>
      <c r="J270" s="322">
        <v>1</v>
      </c>
      <c r="K270" s="323">
        <v>50000</v>
      </c>
      <c r="L270" s="324">
        <f t="shared" si="17"/>
        <v>50000</v>
      </c>
      <c r="M270" s="325"/>
    </row>
    <row r="271" spans="1:13" ht="13">
      <c r="A271" s="18" t="s">
        <v>544</v>
      </c>
      <c r="B271" s="316" t="e">
        <f>VLOOKUP($A271,Master!$B$50:$N$232,2,FALSE)</f>
        <v>#N/A</v>
      </c>
      <c r="C271" s="316" t="e">
        <f>VLOOKUP($A271,Master!$B$50:$N$232,8,FALSE)</f>
        <v>#N/A</v>
      </c>
      <c r="D271" s="316" t="e">
        <f>VLOOKUP($A271,Master!$B$50:$N$232,9,FALSE)</f>
        <v>#N/A</v>
      </c>
      <c r="E271" s="317" t="e">
        <f>VLOOKUP($A271,Master!$B$50:$N$232,11,FALSE)</f>
        <v>#N/A</v>
      </c>
      <c r="F271" s="318">
        <v>4</v>
      </c>
      <c r="G271" s="354" t="s">
        <v>62</v>
      </c>
      <c r="H271" s="320">
        <v>60800</v>
      </c>
      <c r="I271" s="321" t="b">
        <v>1</v>
      </c>
      <c r="J271" s="322">
        <v>4</v>
      </c>
      <c r="K271" s="323">
        <v>22800</v>
      </c>
      <c r="L271" s="324">
        <f t="shared" si="17"/>
        <v>91200</v>
      </c>
      <c r="M271" s="325"/>
    </row>
    <row r="272" spans="1:13" ht="13">
      <c r="A272" s="18" t="s">
        <v>586</v>
      </c>
      <c r="B272" s="316" t="str">
        <f>VLOOKUP($A272,Master!$B$50:$N$232,2,FALSE)</f>
        <v>B018</v>
      </c>
      <c r="C272" s="316">
        <f>VLOOKUP($A272,Master!$B$50:$N$232,8,FALSE)</f>
        <v>20</v>
      </c>
      <c r="D272" s="316" t="str">
        <f>VLOOKUP($A272,Master!$B$50:$N$232,9,FALSE)</f>
        <v>pcs</v>
      </c>
      <c r="E272" s="317" t="str">
        <f>VLOOKUP($A272,Master!$B$50:$N$232,11,FALSE)</f>
        <v>Kurnia Mas</v>
      </c>
      <c r="F272" s="318">
        <v>4</v>
      </c>
      <c r="G272" s="354" t="s">
        <v>62</v>
      </c>
      <c r="H272" s="320">
        <v>29200</v>
      </c>
      <c r="I272" s="321" t="b">
        <v>1</v>
      </c>
      <c r="J272" s="322">
        <v>4</v>
      </c>
      <c r="K272" s="326">
        <f>VLOOKUP($A272,Master!$B$50:$N$232,6,FALSE)</f>
        <v>8500</v>
      </c>
      <c r="L272" s="327">
        <f t="shared" si="17"/>
        <v>34000</v>
      </c>
      <c r="M272" s="325"/>
    </row>
    <row r="273" spans="1:13" ht="13">
      <c r="A273" s="18" t="s">
        <v>627</v>
      </c>
      <c r="B273" s="316" t="str">
        <f>VLOOKUP($A273,Master!$B$50:$N$232,2,FALSE)</f>
        <v>B029</v>
      </c>
      <c r="C273" s="316">
        <f>VLOOKUP($A273,Master!$B$50:$N$232,8,FALSE)</f>
        <v>1000</v>
      </c>
      <c r="D273" s="316" t="str">
        <f>VLOOKUP($A273,Master!$B$50:$N$232,9,FALSE)</f>
        <v>gr</v>
      </c>
      <c r="E273" s="317" t="str">
        <f>VLOOKUP($A273,Master!$B$50:$N$232,11,FALSE)</f>
        <v>Borma</v>
      </c>
      <c r="F273" s="318">
        <v>1</v>
      </c>
      <c r="G273" s="354" t="s">
        <v>36</v>
      </c>
      <c r="H273" s="320">
        <v>31900</v>
      </c>
      <c r="I273" s="321" t="b">
        <v>1</v>
      </c>
      <c r="J273" s="322">
        <v>1.0980000000000001</v>
      </c>
      <c r="K273" s="323">
        <v>31500</v>
      </c>
      <c r="L273" s="324">
        <v>29399</v>
      </c>
      <c r="M273" s="325" t="s">
        <v>1622</v>
      </c>
    </row>
    <row r="274" spans="1:13" ht="13">
      <c r="A274" s="18" t="s">
        <v>631</v>
      </c>
      <c r="B274" s="316" t="str">
        <f>VLOOKUP($A274,Master!$B$50:$N$232,2,FALSE)</f>
        <v>B030</v>
      </c>
      <c r="C274" s="316">
        <f>VLOOKUP($A274,Master!$B$50:$N$232,8,FALSE)</f>
        <v>1000</v>
      </c>
      <c r="D274" s="316" t="str">
        <f>VLOOKUP($A274,Master!$B$50:$N$232,9,FALSE)</f>
        <v>gr</v>
      </c>
      <c r="E274" s="317" t="str">
        <f>VLOOKUP($A274,Master!$B$50:$N$232,11,FALSE)</f>
        <v>Borma</v>
      </c>
      <c r="F274" s="318">
        <v>1</v>
      </c>
      <c r="G274" s="354" t="s">
        <v>36</v>
      </c>
      <c r="H274" s="320">
        <v>16000</v>
      </c>
      <c r="I274" s="321" t="b">
        <v>1</v>
      </c>
      <c r="J274" s="322">
        <v>1.21</v>
      </c>
      <c r="K274" s="323">
        <v>21900</v>
      </c>
      <c r="L274" s="324">
        <f t="shared" ref="L274:L288" si="18">J274*K274</f>
        <v>26499</v>
      </c>
      <c r="M274" s="325"/>
    </row>
    <row r="275" spans="1:13" ht="13">
      <c r="A275" s="18" t="s">
        <v>770</v>
      </c>
      <c r="B275" s="316" t="e">
        <f>VLOOKUP($A275,Master!$B$50:$N$232,2,FALSE)</f>
        <v>#N/A</v>
      </c>
      <c r="C275" s="316" t="e">
        <f>VLOOKUP($A275,Master!$B$50:$N$232,8,FALSE)</f>
        <v>#N/A</v>
      </c>
      <c r="D275" s="316" t="e">
        <f>VLOOKUP($A275,Master!$B$50:$N$232,9,FALSE)</f>
        <v>#N/A</v>
      </c>
      <c r="E275" s="317" t="e">
        <f>VLOOKUP($A275,Master!$B$50:$N$232,11,FALSE)</f>
        <v>#N/A</v>
      </c>
      <c r="F275" s="318">
        <v>1</v>
      </c>
      <c r="G275" s="354" t="s">
        <v>97</v>
      </c>
      <c r="H275" s="320">
        <v>25300</v>
      </c>
      <c r="I275" s="321" t="b">
        <v>1</v>
      </c>
      <c r="J275" s="322">
        <v>1</v>
      </c>
      <c r="K275" s="326" t="e">
        <f>VLOOKUP($A275,Master!$B$50:$N$232,6,FALSE)</f>
        <v>#N/A</v>
      </c>
      <c r="L275" s="327" t="e">
        <f t="shared" si="18"/>
        <v>#N/A</v>
      </c>
      <c r="M275" s="325"/>
    </row>
    <row r="276" spans="1:13" ht="13">
      <c r="A276" s="18" t="s">
        <v>803</v>
      </c>
      <c r="B276" s="316" t="e">
        <f>VLOOKUP($A276,Master!$B$50:$N$232,2,FALSE)</f>
        <v>#N/A</v>
      </c>
      <c r="C276" s="316" t="e">
        <f>VLOOKUP($A276,Master!$B$50:$N$232,8,FALSE)</f>
        <v>#N/A</v>
      </c>
      <c r="D276" s="316" t="e">
        <f>VLOOKUP($A276,Master!$B$50:$N$232,9,FALSE)</f>
        <v>#N/A</v>
      </c>
      <c r="E276" s="317" t="e">
        <f>VLOOKUP($A276,Master!$B$50:$N$232,11,FALSE)</f>
        <v>#N/A</v>
      </c>
      <c r="F276" s="318">
        <v>1</v>
      </c>
      <c r="G276" s="354" t="s">
        <v>97</v>
      </c>
      <c r="H276" s="320">
        <v>6000</v>
      </c>
      <c r="I276" s="321" t="b">
        <v>1</v>
      </c>
      <c r="J276" s="322">
        <v>1</v>
      </c>
      <c r="K276" s="323">
        <v>5500</v>
      </c>
      <c r="L276" s="324">
        <f t="shared" si="18"/>
        <v>5500</v>
      </c>
      <c r="M276" s="325" t="s">
        <v>1623</v>
      </c>
    </row>
    <row r="277" spans="1:13" ht="13">
      <c r="A277" s="18" t="s">
        <v>1501</v>
      </c>
      <c r="B277" s="316" t="e">
        <f>VLOOKUP($A277,Master!$B$50:$N$232,2,FALSE)</f>
        <v>#N/A</v>
      </c>
      <c r="C277" s="316" t="e">
        <f>VLOOKUP($A277,Master!$B$50:$N$232,8,FALSE)</f>
        <v>#N/A</v>
      </c>
      <c r="D277" s="316" t="e">
        <f>VLOOKUP($A277,Master!$B$50:$N$232,9,FALSE)</f>
        <v>#N/A</v>
      </c>
      <c r="E277" s="317" t="e">
        <f>VLOOKUP($A277,Master!$B$50:$N$232,11,FALSE)</f>
        <v>#N/A</v>
      </c>
      <c r="F277" s="318">
        <v>0.75</v>
      </c>
      <c r="G277" s="354" t="s">
        <v>36</v>
      </c>
      <c r="H277" s="320">
        <v>3037.5</v>
      </c>
      <c r="I277" s="321" t="b">
        <v>1</v>
      </c>
      <c r="J277" s="322">
        <v>1</v>
      </c>
      <c r="K277" s="323">
        <v>5950</v>
      </c>
      <c r="L277" s="324">
        <f t="shared" si="18"/>
        <v>5950</v>
      </c>
      <c r="M277" s="325"/>
    </row>
    <row r="278" spans="1:13" ht="13">
      <c r="A278" s="18" t="s">
        <v>937</v>
      </c>
      <c r="B278" s="316" t="str">
        <f>VLOOKUP($A278,Master!$B$50:$N$232,2,FALSE)</f>
        <v>B115</v>
      </c>
      <c r="C278" s="316">
        <f>VLOOKUP($A278,Master!$B$50:$N$232,8,FALSE)</f>
        <v>20</v>
      </c>
      <c r="D278" s="316" t="str">
        <f>VLOOKUP($A278,Master!$B$50:$N$232,9,FALSE)</f>
        <v>pcs</v>
      </c>
      <c r="E278" s="317" t="str">
        <f>VLOOKUP($A278,Master!$B$50:$N$232,11,FALSE)</f>
        <v>Borma</v>
      </c>
      <c r="F278" s="318">
        <v>2</v>
      </c>
      <c r="G278" s="354" t="s">
        <v>62</v>
      </c>
      <c r="H278" s="320">
        <v>14600</v>
      </c>
      <c r="I278" s="321" t="b">
        <v>1</v>
      </c>
      <c r="J278" s="322">
        <v>2</v>
      </c>
      <c r="K278" s="323">
        <v>7550</v>
      </c>
      <c r="L278" s="324">
        <f t="shared" si="18"/>
        <v>15100</v>
      </c>
      <c r="M278" s="325"/>
    </row>
    <row r="279" spans="1:13" ht="13">
      <c r="A279" s="18" t="s">
        <v>970</v>
      </c>
      <c r="B279" s="316" t="str">
        <f>VLOOKUP($A279,Master!$B$50:$N$232,2,FALSE)</f>
        <v>B126</v>
      </c>
      <c r="C279" s="316">
        <f>VLOOKUP($A279,Master!$B$50:$N$232,8,FALSE)</f>
        <v>35</v>
      </c>
      <c r="D279" s="316" t="str">
        <f>VLOOKUP($A279,Master!$B$50:$N$232,9,FALSE)</f>
        <v>gr</v>
      </c>
      <c r="E279" s="317" t="str">
        <f>VLOOKUP($A279,Master!$B$50:$N$232,11,FALSE)</f>
        <v>Tokopedia</v>
      </c>
      <c r="F279" s="318">
        <v>1</v>
      </c>
      <c r="G279" s="354" t="s">
        <v>75</v>
      </c>
      <c r="H279" s="320">
        <v>16500</v>
      </c>
      <c r="I279" s="321" t="b">
        <v>0</v>
      </c>
      <c r="J279" s="322"/>
      <c r="K279" s="326">
        <f>VLOOKUP($A279,Master!$B$50:$N$232,6,FALSE)</f>
        <v>21000</v>
      </c>
      <c r="L279" s="327">
        <f t="shared" si="18"/>
        <v>0</v>
      </c>
      <c r="M279" s="325"/>
    </row>
    <row r="280" spans="1:13" ht="13">
      <c r="A280" s="18" t="s">
        <v>987</v>
      </c>
      <c r="B280" s="316" t="str">
        <f>VLOOKUP($A280,Master!$B$50:$N$232,2,FALSE)</f>
        <v>B132</v>
      </c>
      <c r="C280" s="316">
        <f>VLOOKUP($A280,Master!$B$50:$N$232,8,FALSE)</f>
        <v>1700</v>
      </c>
      <c r="D280" s="316" t="str">
        <f>VLOOKUP($A280,Master!$B$50:$N$232,9,FALSE)</f>
        <v>gr</v>
      </c>
      <c r="E280" s="317" t="str">
        <f>VLOOKUP($A280,Master!$B$50:$N$232,11,FALSE)</f>
        <v>Borma</v>
      </c>
      <c r="F280" s="318">
        <v>3</v>
      </c>
      <c r="G280" s="354" t="s">
        <v>62</v>
      </c>
      <c r="H280" s="320">
        <v>51000</v>
      </c>
      <c r="I280" s="321" t="b">
        <v>1</v>
      </c>
      <c r="J280" s="322">
        <v>3</v>
      </c>
      <c r="K280" s="323">
        <v>19700</v>
      </c>
      <c r="L280" s="324">
        <f t="shared" si="18"/>
        <v>59100</v>
      </c>
      <c r="M280" s="325"/>
    </row>
    <row r="281" spans="1:13" ht="13">
      <c r="A281" s="18" t="s">
        <v>1624</v>
      </c>
      <c r="B281" s="316" t="e">
        <f>VLOOKUP($A281,Master!$B$50:$N$232,2,FALSE)</f>
        <v>#N/A</v>
      </c>
      <c r="C281" s="316" t="e">
        <f>VLOOKUP($A281,Master!$B$50:$N$232,8,FALSE)</f>
        <v>#N/A</v>
      </c>
      <c r="D281" s="316" t="e">
        <f>VLOOKUP($A281,Master!$B$50:$N$232,9,FALSE)</f>
        <v>#N/A</v>
      </c>
      <c r="E281" s="317" t="e">
        <f>VLOOKUP($A281,Master!$B$50:$N$232,11,FALSE)</f>
        <v>#N/A</v>
      </c>
      <c r="F281" s="318">
        <v>1</v>
      </c>
      <c r="G281" s="354" t="s">
        <v>62</v>
      </c>
      <c r="H281" s="320">
        <v>13000</v>
      </c>
      <c r="I281" s="321" t="b">
        <v>1</v>
      </c>
      <c r="J281" s="322">
        <v>1</v>
      </c>
      <c r="K281" s="323">
        <v>13500</v>
      </c>
      <c r="L281" s="324">
        <f t="shared" si="18"/>
        <v>13500</v>
      </c>
      <c r="M281" s="325"/>
    </row>
    <row r="282" spans="1:13" ht="13">
      <c r="A282" s="18" t="s">
        <v>1037</v>
      </c>
      <c r="B282" s="316" t="e">
        <f>VLOOKUP($A282,Master!$B$50:$N$232,2,FALSE)</f>
        <v>#N/A</v>
      </c>
      <c r="C282" s="316" t="e">
        <f>VLOOKUP($A282,Master!$B$50:$N$232,8,FALSE)</f>
        <v>#N/A</v>
      </c>
      <c r="D282" s="316" t="e">
        <f>VLOOKUP($A282,Master!$B$50:$N$232,9,FALSE)</f>
        <v>#N/A</v>
      </c>
      <c r="E282" s="317" t="e">
        <f>VLOOKUP($A282,Master!$B$50:$N$232,11,FALSE)</f>
        <v>#N/A</v>
      </c>
      <c r="F282" s="318">
        <v>2</v>
      </c>
      <c r="G282" s="354" t="s">
        <v>62</v>
      </c>
      <c r="H282" s="320">
        <v>44600</v>
      </c>
      <c r="I282" s="321" t="b">
        <v>1</v>
      </c>
      <c r="J282" s="322">
        <v>2</v>
      </c>
      <c r="K282" s="323">
        <v>19000</v>
      </c>
      <c r="L282" s="324">
        <f t="shared" si="18"/>
        <v>38000</v>
      </c>
      <c r="M282" s="325"/>
    </row>
    <row r="283" spans="1:13" ht="13">
      <c r="A283" s="18" t="s">
        <v>1041</v>
      </c>
      <c r="B283" s="316" t="e">
        <f>VLOOKUP($A283,Master!$B$50:$N$232,2,FALSE)</f>
        <v>#N/A</v>
      </c>
      <c r="C283" s="316" t="e">
        <f>VLOOKUP($A283,Master!$B$50:$N$232,8,FALSE)</f>
        <v>#N/A</v>
      </c>
      <c r="D283" s="316" t="e">
        <f>VLOOKUP($A283,Master!$B$50:$N$232,9,FALSE)</f>
        <v>#N/A</v>
      </c>
      <c r="E283" s="317" t="e">
        <f>VLOOKUP($A283,Master!$B$50:$N$232,11,FALSE)</f>
        <v>#N/A</v>
      </c>
      <c r="F283" s="318">
        <v>2</v>
      </c>
      <c r="G283" s="354" t="s">
        <v>62</v>
      </c>
      <c r="H283" s="320">
        <v>25600</v>
      </c>
      <c r="I283" s="321" t="b">
        <v>1</v>
      </c>
      <c r="J283" s="322">
        <v>2</v>
      </c>
      <c r="K283" s="323">
        <v>20900</v>
      </c>
      <c r="L283" s="324">
        <f t="shared" si="18"/>
        <v>41800</v>
      </c>
      <c r="M283" s="325"/>
    </row>
    <row r="284" spans="1:13" ht="13">
      <c r="A284" s="18" t="s">
        <v>1043</v>
      </c>
      <c r="B284" s="316" t="e">
        <f>VLOOKUP($A284,Master!$B$50:$N$232,2,FALSE)</f>
        <v>#N/A</v>
      </c>
      <c r="C284" s="316" t="e">
        <f>VLOOKUP($A284,Master!$B$50:$N$232,8,FALSE)</f>
        <v>#N/A</v>
      </c>
      <c r="D284" s="316" t="e">
        <f>VLOOKUP($A284,Master!$B$50:$N$232,9,FALSE)</f>
        <v>#N/A</v>
      </c>
      <c r="E284" s="317" t="e">
        <f>VLOOKUP($A284,Master!$B$50:$N$232,11,FALSE)</f>
        <v>#N/A</v>
      </c>
      <c r="F284" s="318">
        <v>2</v>
      </c>
      <c r="G284" s="354" t="s">
        <v>50</v>
      </c>
      <c r="H284" s="320">
        <v>64400</v>
      </c>
      <c r="I284" s="321" t="b">
        <v>1</v>
      </c>
      <c r="J284" s="322">
        <v>2</v>
      </c>
      <c r="K284" s="323">
        <v>30700</v>
      </c>
      <c r="L284" s="324">
        <f t="shared" si="18"/>
        <v>61400</v>
      </c>
      <c r="M284" s="325"/>
    </row>
    <row r="285" spans="1:13" ht="13">
      <c r="A285" s="18" t="s">
        <v>1094</v>
      </c>
      <c r="B285" s="316" t="e">
        <f>VLOOKUP($A285,Master!$B$50:$N$232,2,FALSE)</f>
        <v>#N/A</v>
      </c>
      <c r="C285" s="316" t="e">
        <f>VLOOKUP($A285,Master!$B$50:$N$232,8,FALSE)</f>
        <v>#N/A</v>
      </c>
      <c r="D285" s="316" t="e">
        <f>VLOOKUP($A285,Master!$B$50:$N$232,9,FALSE)</f>
        <v>#N/A</v>
      </c>
      <c r="E285" s="317" t="e">
        <f>VLOOKUP($A285,Master!$B$50:$N$232,11,FALSE)</f>
        <v>#N/A</v>
      </c>
      <c r="F285" s="318">
        <v>1</v>
      </c>
      <c r="G285" s="354" t="s">
        <v>62</v>
      </c>
      <c r="H285" s="320">
        <v>17300</v>
      </c>
      <c r="I285" s="321" t="b">
        <v>1</v>
      </c>
      <c r="J285" s="322">
        <v>1</v>
      </c>
      <c r="K285" s="323">
        <v>17800</v>
      </c>
      <c r="L285" s="324">
        <f t="shared" si="18"/>
        <v>17800</v>
      </c>
      <c r="M285" s="325"/>
    </row>
    <row r="286" spans="1:13" ht="13">
      <c r="A286" s="18" t="s">
        <v>1101</v>
      </c>
      <c r="B286" s="316" t="e">
        <f>VLOOKUP($A286,Master!$B$50:$N$232,2,FALSE)</f>
        <v>#N/A</v>
      </c>
      <c r="C286" s="316" t="e">
        <f>VLOOKUP($A286,Master!$B$50:$N$232,8,FALSE)</f>
        <v>#N/A</v>
      </c>
      <c r="D286" s="316" t="e">
        <f>VLOOKUP($A286,Master!$B$50:$N$232,9,FALSE)</f>
        <v>#N/A</v>
      </c>
      <c r="E286" s="317" t="e">
        <f>VLOOKUP($A286,Master!$B$50:$N$232,11,FALSE)</f>
        <v>#N/A</v>
      </c>
      <c r="F286" s="318">
        <v>2</v>
      </c>
      <c r="G286" s="354" t="s">
        <v>62</v>
      </c>
      <c r="H286" s="320">
        <v>32200</v>
      </c>
      <c r="I286" s="321" t="b">
        <v>1</v>
      </c>
      <c r="J286" s="322">
        <v>2</v>
      </c>
      <c r="K286" s="323">
        <v>16300</v>
      </c>
      <c r="L286" s="324">
        <f t="shared" si="18"/>
        <v>32600</v>
      </c>
      <c r="M286" s="325"/>
    </row>
    <row r="287" spans="1:13" ht="13">
      <c r="A287" s="18" t="s">
        <v>574</v>
      </c>
      <c r="B287" s="316" t="e">
        <f>VLOOKUP($A287,Master!$B$50:$N$232,2,FALSE)</f>
        <v>#N/A</v>
      </c>
      <c r="C287" s="316" t="e">
        <f>VLOOKUP($A287,Master!$B$50:$N$232,8,FALSE)</f>
        <v>#N/A</v>
      </c>
      <c r="D287" s="316" t="e">
        <f>VLOOKUP($A287,Master!$B$50:$N$232,9,FALSE)</f>
        <v>#N/A</v>
      </c>
      <c r="E287" s="317" t="e">
        <f>VLOOKUP($A287,Master!$B$50:$N$232,11,FALSE)</f>
        <v>#N/A</v>
      </c>
      <c r="F287" s="318">
        <v>1</v>
      </c>
      <c r="G287" s="354" t="s">
        <v>62</v>
      </c>
      <c r="H287" s="320">
        <v>170000</v>
      </c>
      <c r="I287" s="321" t="b">
        <v>1</v>
      </c>
      <c r="J287" s="322">
        <v>1</v>
      </c>
      <c r="K287" s="326" t="e">
        <f>VLOOKUP($A287,Master!$B$50:$N$232,6,FALSE)</f>
        <v>#N/A</v>
      </c>
      <c r="L287" s="327" t="e">
        <f t="shared" si="18"/>
        <v>#N/A</v>
      </c>
      <c r="M287" s="325"/>
    </row>
    <row r="288" spans="1:13" ht="13">
      <c r="A288" s="18" t="s">
        <v>578</v>
      </c>
      <c r="B288" s="316" t="e">
        <f>VLOOKUP($A288,Master!$B$50:$N$232,2,FALSE)</f>
        <v>#N/A</v>
      </c>
      <c r="C288" s="316" t="e">
        <f>VLOOKUP($A288,Master!$B$50:$N$232,8,FALSE)</f>
        <v>#N/A</v>
      </c>
      <c r="D288" s="316" t="e">
        <f>VLOOKUP($A288,Master!$B$50:$N$232,9,FALSE)</f>
        <v>#N/A</v>
      </c>
      <c r="E288" s="317" t="e">
        <f>VLOOKUP($A288,Master!$B$50:$N$232,11,FALSE)</f>
        <v>#N/A</v>
      </c>
      <c r="F288" s="318">
        <v>3</v>
      </c>
      <c r="G288" s="354" t="s">
        <v>62</v>
      </c>
      <c r="H288" s="320">
        <v>660000</v>
      </c>
      <c r="I288" s="321" t="b">
        <v>1</v>
      </c>
      <c r="J288" s="322">
        <v>3</v>
      </c>
      <c r="K288" s="326" t="e">
        <f>VLOOKUP($A288,Master!$B$50:$N$232,6,FALSE)</f>
        <v>#N/A</v>
      </c>
      <c r="L288" s="327" t="e">
        <f t="shared" si="18"/>
        <v>#N/A</v>
      </c>
      <c r="M288" s="325"/>
    </row>
    <row r="289" spans="1:13" ht="13">
      <c r="A289" s="18" t="s">
        <v>883</v>
      </c>
      <c r="B289" s="316" t="str">
        <f>VLOOKUP($A289,Master!$B$50:$N$232,2,FALSE)</f>
        <v>B096</v>
      </c>
      <c r="C289" s="316">
        <f>VLOOKUP($A289,Master!$B$50:$N$232,8,FALSE)</f>
        <v>1000</v>
      </c>
      <c r="D289" s="316" t="str">
        <f>VLOOKUP($A289,Master!$B$50:$N$232,9,FALSE)</f>
        <v>gr</v>
      </c>
      <c r="E289" s="317" t="str">
        <f>VLOOKUP($A289,Master!$B$50:$N$232,11,FALSE)</f>
        <v>Pasar Cihapit</v>
      </c>
      <c r="F289" s="318">
        <v>0.25</v>
      </c>
      <c r="G289" s="354" t="s">
        <v>36</v>
      </c>
      <c r="H289" s="320">
        <v>37125</v>
      </c>
      <c r="I289" s="321" t="b">
        <v>1</v>
      </c>
      <c r="J289" s="322">
        <v>0.25600000000000001</v>
      </c>
      <c r="K289" s="323">
        <v>204500</v>
      </c>
      <c r="L289" s="324">
        <v>46976</v>
      </c>
      <c r="M289" s="325" t="s">
        <v>1625</v>
      </c>
    </row>
    <row r="290" spans="1:13" ht="13">
      <c r="A290" s="18" t="s">
        <v>1599</v>
      </c>
      <c r="B290" s="316" t="e">
        <f>VLOOKUP($A290,Master!$B$50:$N$232,2,FALSE)</f>
        <v>#N/A</v>
      </c>
      <c r="C290" s="316" t="e">
        <f>VLOOKUP($A290,Master!$B$50:$N$232,8,FALSE)</f>
        <v>#N/A</v>
      </c>
      <c r="D290" s="316" t="e">
        <f>VLOOKUP($A290,Master!$B$50:$N$232,9,FALSE)</f>
        <v>#N/A</v>
      </c>
      <c r="E290" s="317" t="e">
        <f>VLOOKUP($A290,Master!$B$50:$N$232,11,FALSE)</f>
        <v>#N/A</v>
      </c>
      <c r="F290" s="318">
        <v>1</v>
      </c>
      <c r="G290" s="354" t="s">
        <v>36</v>
      </c>
      <c r="H290" s="320">
        <v>9700</v>
      </c>
      <c r="I290" s="321" t="b">
        <v>1</v>
      </c>
      <c r="J290" s="322">
        <v>1</v>
      </c>
      <c r="K290" s="323">
        <v>9900</v>
      </c>
      <c r="L290" s="324">
        <f t="shared" ref="L290:L304" si="19">J290*K290</f>
        <v>9900</v>
      </c>
      <c r="M290" s="325"/>
    </row>
    <row r="291" spans="1:13" ht="13">
      <c r="A291" s="18" t="s">
        <v>655</v>
      </c>
      <c r="B291" s="316" t="str">
        <f>VLOOKUP($A291,Master!$B$50:$N$232,2,FALSE)</f>
        <v>B036</v>
      </c>
      <c r="C291" s="316">
        <f>VLOOKUP($A291,Master!$B$50:$N$232,8,FALSE)</f>
        <v>1000</v>
      </c>
      <c r="D291" s="316" t="str">
        <f>VLOOKUP($A291,Master!$B$50:$N$232,9,FALSE)</f>
        <v>gr</v>
      </c>
      <c r="E291" s="317" t="str">
        <f>VLOOKUP($A291,Master!$B$50:$N$232,11,FALSE)</f>
        <v>Toko Lain</v>
      </c>
      <c r="F291" s="318">
        <v>4</v>
      </c>
      <c r="G291" s="354" t="s">
        <v>36</v>
      </c>
      <c r="H291" s="320">
        <v>195600</v>
      </c>
      <c r="I291" s="321" t="b">
        <v>1</v>
      </c>
      <c r="J291" s="322">
        <v>4.03</v>
      </c>
      <c r="K291" s="323">
        <v>68500</v>
      </c>
      <c r="L291" s="324">
        <f t="shared" si="19"/>
        <v>276055</v>
      </c>
      <c r="M291" s="325" t="s">
        <v>1500</v>
      </c>
    </row>
    <row r="292" spans="1:13" ht="13">
      <c r="A292" s="18" t="s">
        <v>696</v>
      </c>
      <c r="B292" s="316" t="e">
        <f>VLOOKUP($A292,Master!$B$50:$N$232,2,FALSE)</f>
        <v>#N/A</v>
      </c>
      <c r="C292" s="316" t="e">
        <f>VLOOKUP($A292,Master!$B$50:$N$232,8,FALSE)</f>
        <v>#N/A</v>
      </c>
      <c r="D292" s="316" t="e">
        <f>VLOOKUP($A292,Master!$B$50:$N$232,9,FALSE)</f>
        <v>#N/A</v>
      </c>
      <c r="E292" s="317" t="e">
        <f>VLOOKUP($A292,Master!$B$50:$N$232,11,FALSE)</f>
        <v>#N/A</v>
      </c>
      <c r="F292" s="318">
        <v>9</v>
      </c>
      <c r="G292" s="354" t="s">
        <v>62</v>
      </c>
      <c r="H292" s="320">
        <v>126000</v>
      </c>
      <c r="I292" s="321" t="b">
        <v>1</v>
      </c>
      <c r="J292" s="322">
        <v>4</v>
      </c>
      <c r="K292" s="323">
        <v>13050</v>
      </c>
      <c r="L292" s="324">
        <f t="shared" si="19"/>
        <v>52200</v>
      </c>
      <c r="M292" s="325" t="s">
        <v>1500</v>
      </c>
    </row>
    <row r="293" spans="1:13" ht="13">
      <c r="A293" s="18" t="s">
        <v>732</v>
      </c>
      <c r="B293" s="316" t="str">
        <f>VLOOKUP($A293,Master!$B$50:$N$232,2,FALSE)</f>
        <v>B055</v>
      </c>
      <c r="C293" s="316">
        <f>VLOOKUP($A293,Master!$B$50:$N$232,8,FALSE)</f>
        <v>1000</v>
      </c>
      <c r="D293" s="316" t="str">
        <f>VLOOKUP($A293,Master!$B$50:$N$232,9,FALSE)</f>
        <v>gr</v>
      </c>
      <c r="E293" s="317" t="str">
        <f>VLOOKUP($A293,Master!$B$50:$N$232,11,FALSE)</f>
        <v>Eden Farm</v>
      </c>
      <c r="F293" s="318">
        <v>1</v>
      </c>
      <c r="G293" s="354" t="s">
        <v>36</v>
      </c>
      <c r="H293" s="320">
        <v>18900</v>
      </c>
      <c r="I293" s="321" t="b">
        <v>1</v>
      </c>
      <c r="J293" s="322">
        <v>1</v>
      </c>
      <c r="K293" s="323">
        <v>18700</v>
      </c>
      <c r="L293" s="324">
        <f t="shared" si="19"/>
        <v>18700</v>
      </c>
      <c r="M293" s="325"/>
    </row>
    <row r="294" spans="1:13" ht="13">
      <c r="A294" s="18" t="s">
        <v>819</v>
      </c>
      <c r="B294" s="316" t="str">
        <f>VLOOKUP($A294,Master!$B$50:$N$232,2,FALSE)</f>
        <v>B079</v>
      </c>
      <c r="C294" s="316">
        <f>VLOOKUP($A294,Master!$B$50:$N$232,8,FALSE)</f>
        <v>1000</v>
      </c>
      <c r="D294" s="316" t="str">
        <f>VLOOKUP($A294,Master!$B$50:$N$232,9,FALSE)</f>
        <v>gr</v>
      </c>
      <c r="E294" s="317" t="str">
        <f>VLOOKUP($A294,Master!$B$50:$N$232,11,FALSE)</f>
        <v>Eden Farm</v>
      </c>
      <c r="F294" s="318">
        <v>1</v>
      </c>
      <c r="G294" s="354" t="s">
        <v>36</v>
      </c>
      <c r="H294" s="320">
        <v>13000</v>
      </c>
      <c r="I294" s="321" t="b">
        <v>1</v>
      </c>
      <c r="J294" s="322">
        <v>0.5</v>
      </c>
      <c r="K294" s="323">
        <v>10700</v>
      </c>
      <c r="L294" s="324">
        <f t="shared" si="19"/>
        <v>5350</v>
      </c>
      <c r="M294" s="325"/>
    </row>
    <row r="295" spans="1:13" ht="13">
      <c r="A295" s="18" t="s">
        <v>895</v>
      </c>
      <c r="B295" s="316" t="str">
        <f>VLOOKUP($A295,Master!$B$50:$N$232,2,FALSE)</f>
        <v>B101</v>
      </c>
      <c r="C295" s="316">
        <f>VLOOKUP($A295,Master!$B$50:$N$232,8,FALSE)</f>
        <v>100</v>
      </c>
      <c r="D295" s="316" t="str">
        <f>VLOOKUP($A295,Master!$B$50:$N$232,9,FALSE)</f>
        <v>gr</v>
      </c>
      <c r="E295" s="317" t="str">
        <f>VLOOKUP($A295,Master!$B$50:$N$232,11,FALSE)</f>
        <v>Eden Farm</v>
      </c>
      <c r="F295" s="318">
        <v>2</v>
      </c>
      <c r="G295" s="354" t="s">
        <v>62</v>
      </c>
      <c r="H295" s="320">
        <v>51200</v>
      </c>
      <c r="I295" s="321" t="b">
        <v>1</v>
      </c>
      <c r="J295" s="322">
        <v>1</v>
      </c>
      <c r="K295" s="323">
        <v>25300</v>
      </c>
      <c r="L295" s="324">
        <f t="shared" si="19"/>
        <v>25300</v>
      </c>
      <c r="M295" s="325"/>
    </row>
    <row r="296" spans="1:13" ht="13">
      <c r="A296" s="18" t="s">
        <v>919</v>
      </c>
      <c r="B296" s="316" t="str">
        <f>VLOOKUP($A296,Master!$B$50:$N$232,2,FALSE)</f>
        <v>B109</v>
      </c>
      <c r="C296" s="316">
        <f>VLOOKUP($A296,Master!$B$50:$N$232,8,FALSE)</f>
        <v>1000</v>
      </c>
      <c r="D296" s="316" t="str">
        <f>VLOOKUP($A296,Master!$B$50:$N$232,9,FALSE)</f>
        <v>gr</v>
      </c>
      <c r="E296" s="317" t="str">
        <f>VLOOKUP($A296,Master!$B$50:$N$232,11,FALSE)</f>
        <v>Eden Farm</v>
      </c>
      <c r="F296" s="318">
        <v>1</v>
      </c>
      <c r="G296" s="354" t="s">
        <v>62</v>
      </c>
      <c r="H296" s="320">
        <v>20900</v>
      </c>
      <c r="I296" s="321" t="b">
        <v>1</v>
      </c>
      <c r="J296" s="322">
        <v>1</v>
      </c>
      <c r="K296" s="323">
        <v>22800</v>
      </c>
      <c r="L296" s="324">
        <f t="shared" si="19"/>
        <v>22800</v>
      </c>
      <c r="M296" s="325"/>
    </row>
    <row r="297" spans="1:13" ht="13">
      <c r="A297" s="18" t="s">
        <v>1503</v>
      </c>
      <c r="B297" s="316" t="e">
        <f>VLOOKUP($A297,Master!$B$50:$N$232,2,FALSE)</f>
        <v>#N/A</v>
      </c>
      <c r="C297" s="316" t="e">
        <f>VLOOKUP($A297,Master!$B$50:$N$232,8,FALSE)</f>
        <v>#N/A</v>
      </c>
      <c r="D297" s="316" t="e">
        <f>VLOOKUP($A297,Master!$B$50:$N$232,9,FALSE)</f>
        <v>#N/A</v>
      </c>
      <c r="E297" s="337" t="e">
        <f>VLOOKUP($A297,Master!$B$50:$N$232,11,FALSE)</f>
        <v>#N/A</v>
      </c>
      <c r="F297" s="318">
        <v>2</v>
      </c>
      <c r="G297" s="354" t="s">
        <v>97</v>
      </c>
      <c r="H297" s="320">
        <v>274000</v>
      </c>
      <c r="I297" s="321" t="b">
        <v>1</v>
      </c>
      <c r="J297" s="322">
        <v>2</v>
      </c>
      <c r="K297" s="323">
        <v>135420</v>
      </c>
      <c r="L297" s="324">
        <f t="shared" si="19"/>
        <v>270840</v>
      </c>
      <c r="M297" s="325"/>
    </row>
    <row r="298" spans="1:13" ht="13">
      <c r="A298" s="18" t="s">
        <v>1504</v>
      </c>
      <c r="B298" s="316" t="e">
        <f>VLOOKUP($A298,Master!$B$50:$N$232,2,FALSE)</f>
        <v>#N/A</v>
      </c>
      <c r="C298" s="316" t="e">
        <f>VLOOKUP($A298,Master!$B$50:$N$232,8,FALSE)</f>
        <v>#N/A</v>
      </c>
      <c r="D298" s="316" t="e">
        <f>VLOOKUP($A298,Master!$B$50:$N$232,9,FALSE)</f>
        <v>#N/A</v>
      </c>
      <c r="E298" s="337" t="e">
        <f>VLOOKUP($A298,Master!$B$50:$N$232,11,FALSE)</f>
        <v>#N/A</v>
      </c>
      <c r="F298" s="318">
        <v>1</v>
      </c>
      <c r="G298" s="354" t="s">
        <v>97</v>
      </c>
      <c r="H298" s="320">
        <v>137000</v>
      </c>
      <c r="I298" s="321" t="b">
        <v>1</v>
      </c>
      <c r="J298" s="322">
        <v>1</v>
      </c>
      <c r="K298" s="323">
        <v>135420</v>
      </c>
      <c r="L298" s="324">
        <f t="shared" si="19"/>
        <v>135420</v>
      </c>
      <c r="M298" s="325"/>
    </row>
    <row r="299" spans="1:13" ht="13">
      <c r="A299" s="18" t="s">
        <v>1505</v>
      </c>
      <c r="B299" s="316" t="e">
        <f>VLOOKUP($A299,Master!$B$50:$N$232,2,FALSE)</f>
        <v>#N/A</v>
      </c>
      <c r="C299" s="316" t="e">
        <f>VLOOKUP($A299,Master!$B$50:$N$232,8,FALSE)</f>
        <v>#N/A</v>
      </c>
      <c r="D299" s="316" t="e">
        <f>VLOOKUP($A299,Master!$B$50:$N$232,9,FALSE)</f>
        <v>#N/A</v>
      </c>
      <c r="E299" s="337" t="e">
        <f>VLOOKUP($A299,Master!$B$50:$N$232,11,FALSE)</f>
        <v>#N/A</v>
      </c>
      <c r="F299" s="318">
        <v>2</v>
      </c>
      <c r="G299" s="354" t="s">
        <v>97</v>
      </c>
      <c r="H299" s="320">
        <v>274000</v>
      </c>
      <c r="I299" s="321" t="b">
        <v>1</v>
      </c>
      <c r="J299" s="322">
        <v>2</v>
      </c>
      <c r="K299" s="323">
        <v>135420</v>
      </c>
      <c r="L299" s="324">
        <f t="shared" si="19"/>
        <v>270840</v>
      </c>
      <c r="M299" s="325"/>
    </row>
    <row r="300" spans="1:13" ht="13">
      <c r="A300" s="18" t="s">
        <v>1506</v>
      </c>
      <c r="B300" s="316" t="e">
        <f>VLOOKUP($A300,Master!$B$50:$N$232,2,FALSE)</f>
        <v>#N/A</v>
      </c>
      <c r="C300" s="316" t="e">
        <f>VLOOKUP($A300,Master!$B$50:$N$232,8,FALSE)</f>
        <v>#N/A</v>
      </c>
      <c r="D300" s="316" t="e">
        <f>VLOOKUP($A300,Master!$B$50:$N$232,9,FALSE)</f>
        <v>#N/A</v>
      </c>
      <c r="E300" s="337" t="e">
        <f>VLOOKUP($A300,Master!$B$50:$N$232,11,FALSE)</f>
        <v>#N/A</v>
      </c>
      <c r="F300" s="318">
        <v>2</v>
      </c>
      <c r="G300" s="354" t="s">
        <v>97</v>
      </c>
      <c r="H300" s="320">
        <v>274000</v>
      </c>
      <c r="I300" s="321" t="b">
        <v>1</v>
      </c>
      <c r="J300" s="322">
        <v>2</v>
      </c>
      <c r="K300" s="323">
        <v>135420</v>
      </c>
      <c r="L300" s="324">
        <f t="shared" si="19"/>
        <v>270840</v>
      </c>
      <c r="M300" s="325"/>
    </row>
    <row r="301" spans="1:13" ht="13">
      <c r="A301" s="18" t="s">
        <v>843</v>
      </c>
      <c r="B301" s="316" t="str">
        <f>VLOOKUP($A301,Master!$B$50:$N$232,2,FALSE)</f>
        <v>B085</v>
      </c>
      <c r="C301" s="316">
        <f>VLOOKUP($A301,Master!$B$50:$N$232,8,FALSE)</f>
        <v>50</v>
      </c>
      <c r="D301" s="316" t="str">
        <f>VLOOKUP($A301,Master!$B$50:$N$232,9,FALSE)</f>
        <v>pcs</v>
      </c>
      <c r="E301" s="317" t="str">
        <f>VLOOKUP($A301,Master!$B$50:$N$232,11,FALSE)</f>
        <v>Lingga Jaya Pack</v>
      </c>
      <c r="F301" s="318">
        <v>2</v>
      </c>
      <c r="G301" s="354" t="s">
        <v>62</v>
      </c>
      <c r="H301" s="320">
        <v>1900</v>
      </c>
      <c r="I301" s="321" t="b">
        <v>1</v>
      </c>
      <c r="J301" s="322">
        <v>2</v>
      </c>
      <c r="K301" s="323">
        <v>28000</v>
      </c>
      <c r="L301" s="324">
        <f t="shared" si="19"/>
        <v>56000</v>
      </c>
      <c r="M301" s="325" t="s">
        <v>1623</v>
      </c>
    </row>
    <row r="302" spans="1:13" ht="13">
      <c r="A302" s="18" t="s">
        <v>675</v>
      </c>
      <c r="B302" s="316" t="str">
        <f>VLOOKUP($A302,Master!$B$50:$N$232,2,FALSE)</f>
        <v>B041</v>
      </c>
      <c r="C302" s="316">
        <f>VLOOKUP($A302,Master!$B$50:$N$232,8,FALSE)</f>
        <v>20</v>
      </c>
      <c r="D302" s="316" t="str">
        <f>VLOOKUP($A302,Master!$B$50:$N$232,9,FALSE)</f>
        <v>unit</v>
      </c>
      <c r="E302" s="317" t="str">
        <f>VLOOKUP($A302,Master!$B$50:$N$232,11,FALSE)</f>
        <v>RSB, Dago</v>
      </c>
      <c r="F302" s="318">
        <v>15</v>
      </c>
      <c r="G302" s="354" t="s">
        <v>62</v>
      </c>
      <c r="H302" s="320">
        <v>90000</v>
      </c>
      <c r="I302" s="321" t="b">
        <v>1</v>
      </c>
      <c r="J302" s="322"/>
      <c r="K302" s="326">
        <f>VLOOKUP($A302,Master!$B$50:$N$232,6,FALSE)</f>
        <v>13500</v>
      </c>
      <c r="L302" s="327">
        <f t="shared" si="19"/>
        <v>0</v>
      </c>
      <c r="M302" s="325" t="s">
        <v>1626</v>
      </c>
    </row>
    <row r="303" spans="1:13" ht="13">
      <c r="A303" s="18" t="s">
        <v>735</v>
      </c>
      <c r="B303" s="316" t="str">
        <f>VLOOKUP($A303,Master!$B$50:$N$232,2,FALSE)</f>
        <v>B056</v>
      </c>
      <c r="C303" s="316">
        <f>VLOOKUP($A303,Master!$B$50:$N$232,8,FALSE)</f>
        <v>700</v>
      </c>
      <c r="D303" s="316" t="str">
        <f>VLOOKUP($A303,Master!$B$50:$N$232,9,FALSE)</f>
        <v>gr</v>
      </c>
      <c r="E303" s="317" t="str">
        <f>VLOOKUP($A303,Master!$B$50:$N$232,11,FALSE)</f>
        <v>Kurnia Mas</v>
      </c>
      <c r="F303" s="318">
        <v>1</v>
      </c>
      <c r="G303" s="354" t="s">
        <v>97</v>
      </c>
      <c r="H303" s="320">
        <v>46000</v>
      </c>
      <c r="I303" s="321" t="b">
        <v>1</v>
      </c>
      <c r="J303" s="322">
        <v>1</v>
      </c>
      <c r="K303" s="323">
        <v>41400</v>
      </c>
      <c r="L303" s="324">
        <f t="shared" si="19"/>
        <v>41400</v>
      </c>
      <c r="M303" s="325"/>
    </row>
    <row r="304" spans="1:13" ht="13">
      <c r="A304" s="18" t="s">
        <v>795</v>
      </c>
      <c r="B304" s="316" t="str">
        <f>VLOOKUP($A304,Master!$B$50:$N$232,2,FALSE)</f>
        <v>B073</v>
      </c>
      <c r="C304" s="316">
        <f>VLOOKUP($A304,Master!$B$50:$N$232,8,FALSE)</f>
        <v>10</v>
      </c>
      <c r="D304" s="316" t="str">
        <f>VLOOKUP($A304,Master!$B$50:$N$232,9,FALSE)</f>
        <v>unit</v>
      </c>
      <c r="E304" s="317" t="str">
        <f>VLOOKUP($A304,Master!$B$50:$N$232,11,FALSE)</f>
        <v>Toko Lain</v>
      </c>
      <c r="F304" s="318">
        <v>5</v>
      </c>
      <c r="G304" s="354" t="s">
        <v>62</v>
      </c>
      <c r="H304" s="320">
        <v>25000</v>
      </c>
      <c r="I304" s="321" t="b">
        <v>1</v>
      </c>
      <c r="J304" s="322">
        <v>5</v>
      </c>
      <c r="K304" s="323">
        <v>7800</v>
      </c>
      <c r="L304" s="324">
        <f t="shared" si="19"/>
        <v>39000</v>
      </c>
      <c r="M304" s="325" t="s">
        <v>169</v>
      </c>
    </row>
    <row r="305" spans="1:13" ht="13">
      <c r="A305" s="18" t="s">
        <v>881</v>
      </c>
      <c r="B305" s="316" t="str">
        <f>VLOOKUP($A305,Master!$B$50:$N$232,2,FALSE)</f>
        <v>B095</v>
      </c>
      <c r="C305" s="316">
        <f>VLOOKUP($A305,Master!$B$50:$N$232,8,FALSE)</f>
        <v>1000</v>
      </c>
      <c r="D305" s="316" t="str">
        <f>VLOOKUP($A305,Master!$B$50:$N$232,9,FALSE)</f>
        <v>gr</v>
      </c>
      <c r="E305" s="317" t="str">
        <f>VLOOKUP($A305,Master!$B$50:$N$232,11,FALSE)</f>
        <v>Pasar Cihapit</v>
      </c>
      <c r="F305" s="318">
        <v>0.3</v>
      </c>
      <c r="G305" s="354" t="s">
        <v>36</v>
      </c>
      <c r="H305" s="320">
        <v>20700</v>
      </c>
      <c r="I305" s="321" t="b">
        <v>1</v>
      </c>
      <c r="J305" s="322">
        <v>0.3</v>
      </c>
      <c r="K305" s="323">
        <v>69000</v>
      </c>
      <c r="L305" s="324">
        <v>17595</v>
      </c>
      <c r="M305" s="325" t="s">
        <v>1627</v>
      </c>
    </row>
    <row r="306" spans="1:13" ht="13">
      <c r="A306" s="18" t="s">
        <v>889</v>
      </c>
      <c r="B306" s="316" t="str">
        <f>VLOOKUP($A306,Master!$B$50:$N$232,2,FALSE)</f>
        <v>B099</v>
      </c>
      <c r="C306" s="316">
        <f>VLOOKUP($A306,Master!$B$50:$N$232,8,FALSE)</f>
        <v>10</v>
      </c>
      <c r="D306" s="316" t="str">
        <f>VLOOKUP($A306,Master!$B$50:$N$232,9,FALSE)</f>
        <v>sachet</v>
      </c>
      <c r="E306" s="317" t="str">
        <f>VLOOKUP($A306,Master!$B$50:$N$232,11,FALSE)</f>
        <v>Pasar Cihapit</v>
      </c>
      <c r="F306" s="318">
        <v>1</v>
      </c>
      <c r="G306" s="354" t="s">
        <v>62</v>
      </c>
      <c r="H306" s="320">
        <v>22000</v>
      </c>
      <c r="I306" s="321" t="b">
        <v>1</v>
      </c>
      <c r="J306" s="322">
        <v>2</v>
      </c>
      <c r="K306" s="323">
        <v>20000</v>
      </c>
      <c r="L306" s="324">
        <f t="shared" ref="L306:L328" si="20">J306*K306</f>
        <v>40000</v>
      </c>
      <c r="M306" s="325" t="s">
        <v>1623</v>
      </c>
    </row>
    <row r="307" spans="1:13" ht="13">
      <c r="A307" s="18" t="s">
        <v>1575</v>
      </c>
      <c r="B307" s="316" t="e">
        <f>VLOOKUP($A307,Master!$B$50:$N$232,2,FALSE)</f>
        <v>#N/A</v>
      </c>
      <c r="C307" s="316" t="e">
        <f>VLOOKUP($A307,Master!$B$50:$N$232,8,FALSE)</f>
        <v>#N/A</v>
      </c>
      <c r="D307" s="316" t="e">
        <f>VLOOKUP($A307,Master!$B$50:$N$232,9,FALSE)</f>
        <v>#N/A</v>
      </c>
      <c r="E307" s="317" t="e">
        <f>VLOOKUP($A307,Master!$B$50:$N$232,11,FALSE)</f>
        <v>#N/A</v>
      </c>
      <c r="F307" s="318">
        <v>1</v>
      </c>
      <c r="G307" s="354" t="s">
        <v>36</v>
      </c>
      <c r="H307" s="320">
        <v>14000</v>
      </c>
      <c r="I307" s="321" t="b">
        <v>1</v>
      </c>
      <c r="J307" s="322">
        <v>1</v>
      </c>
      <c r="K307" s="323">
        <v>13800</v>
      </c>
      <c r="L307" s="324">
        <f t="shared" si="20"/>
        <v>13800</v>
      </c>
      <c r="M307" s="325"/>
    </row>
    <row r="308" spans="1:13" ht="13">
      <c r="A308" s="18" t="s">
        <v>528</v>
      </c>
      <c r="B308" s="316" t="e">
        <f>VLOOKUP($A308,Master!$B$50:$N$232,2,FALSE)</f>
        <v>#N/A</v>
      </c>
      <c r="C308" s="316" t="e">
        <f>VLOOKUP($A308,Master!$B$50:$N$232,8,FALSE)</f>
        <v>#N/A</v>
      </c>
      <c r="D308" s="316" t="e">
        <f>VLOOKUP($A308,Master!$B$50:$N$232,9,FALSE)</f>
        <v>#N/A</v>
      </c>
      <c r="E308" s="317" t="e">
        <f>VLOOKUP($A308,Master!$B$50:$N$232,11,FALSE)</f>
        <v>#N/A</v>
      </c>
      <c r="F308" s="318">
        <v>4</v>
      </c>
      <c r="G308" s="354" t="s">
        <v>50</v>
      </c>
      <c r="H308" s="320">
        <v>64000</v>
      </c>
      <c r="I308" s="321" t="b">
        <v>1</v>
      </c>
      <c r="J308" s="322">
        <v>4</v>
      </c>
      <c r="K308" s="326" t="e">
        <f>VLOOKUP($A308,Master!$B$50:$N$232,6,FALSE)</f>
        <v>#N/A</v>
      </c>
      <c r="L308" s="327" t="e">
        <f t="shared" si="20"/>
        <v>#N/A</v>
      </c>
      <c r="M308" s="325"/>
    </row>
    <row r="309" spans="1:13" ht="13">
      <c r="A309" s="18" t="s">
        <v>532</v>
      </c>
      <c r="B309" s="316" t="e">
        <f>VLOOKUP($A309,Master!$B$50:$N$232,2,FALSE)</f>
        <v>#N/A</v>
      </c>
      <c r="C309" s="316" t="e">
        <f>VLOOKUP($A309,Master!$B$50:$N$232,8,FALSE)</f>
        <v>#N/A</v>
      </c>
      <c r="D309" s="316" t="e">
        <f>VLOOKUP($A309,Master!$B$50:$N$232,9,FALSE)</f>
        <v>#N/A</v>
      </c>
      <c r="E309" s="317" t="e">
        <f>VLOOKUP($A309,Master!$B$50:$N$232,11,FALSE)</f>
        <v>#N/A</v>
      </c>
      <c r="F309" s="318">
        <v>2</v>
      </c>
      <c r="G309" s="354" t="s">
        <v>62</v>
      </c>
      <c r="H309" s="320">
        <v>112000</v>
      </c>
      <c r="I309" s="321" t="b">
        <v>1</v>
      </c>
      <c r="J309" s="322">
        <v>2</v>
      </c>
      <c r="K309" s="326" t="e">
        <f>VLOOKUP($A309,Master!$B$50:$N$232,6,FALSE)</f>
        <v>#N/A</v>
      </c>
      <c r="L309" s="327" t="e">
        <f t="shared" si="20"/>
        <v>#N/A</v>
      </c>
      <c r="M309" s="325"/>
    </row>
    <row r="310" spans="1:13" ht="13">
      <c r="A310" s="18" t="s">
        <v>635</v>
      </c>
      <c r="B310" s="316" t="e">
        <f>VLOOKUP($A310,Master!$B$50:$N$232,2,FALSE)</f>
        <v>#N/A</v>
      </c>
      <c r="C310" s="316" t="e">
        <f>VLOOKUP($A310,Master!$B$50:$N$232,8,FALSE)</f>
        <v>#N/A</v>
      </c>
      <c r="D310" s="316" t="e">
        <f>VLOOKUP($A310,Master!$B$50:$N$232,9,FALSE)</f>
        <v>#N/A</v>
      </c>
      <c r="E310" s="317" t="e">
        <f>VLOOKUP($A310,Master!$B$50:$N$232,11,FALSE)</f>
        <v>#N/A</v>
      </c>
      <c r="F310" s="318">
        <v>8</v>
      </c>
      <c r="G310" s="354" t="s">
        <v>50</v>
      </c>
      <c r="H310" s="320">
        <v>75200</v>
      </c>
      <c r="I310" s="321" t="b">
        <v>1</v>
      </c>
      <c r="J310" s="322">
        <v>8</v>
      </c>
      <c r="K310" s="323">
        <v>10250</v>
      </c>
      <c r="L310" s="324">
        <f t="shared" si="20"/>
        <v>82000</v>
      </c>
      <c r="M310" s="325"/>
    </row>
    <row r="311" spans="1:13" ht="13">
      <c r="A311" s="18" t="s">
        <v>643</v>
      </c>
      <c r="B311" s="316" t="str">
        <f>VLOOKUP($A311,Master!$B$50:$N$232,2,FALSE)</f>
        <v>B033</v>
      </c>
      <c r="C311" s="316">
        <f>VLOOKUP($A311,Master!$B$50:$N$232,8,FALSE)</f>
        <v>1000</v>
      </c>
      <c r="D311" s="316" t="str">
        <f>VLOOKUP($A311,Master!$B$50:$N$232,9,FALSE)</f>
        <v>gr</v>
      </c>
      <c r="E311" s="317" t="str">
        <f>VLOOKUP($A311,Master!$B$50:$N$232,11,FALSE)</f>
        <v>PD Aroma Jaya</v>
      </c>
      <c r="F311" s="318">
        <v>2</v>
      </c>
      <c r="G311" s="354" t="s">
        <v>36</v>
      </c>
      <c r="H311" s="320">
        <v>32000</v>
      </c>
      <c r="I311" s="321" t="b">
        <v>1</v>
      </c>
      <c r="J311" s="322">
        <v>2</v>
      </c>
      <c r="K311" s="326">
        <f>VLOOKUP($A311,Master!$B$50:$N$232,6,FALSE)</f>
        <v>17000</v>
      </c>
      <c r="L311" s="327">
        <f t="shared" si="20"/>
        <v>34000</v>
      </c>
      <c r="M311" s="325"/>
    </row>
    <row r="312" spans="1:13" ht="13">
      <c r="A312" s="18" t="s">
        <v>680</v>
      </c>
      <c r="B312" s="316" t="e">
        <f>VLOOKUP($A312,Master!$B$50:$N$232,2,FALSE)</f>
        <v>#N/A</v>
      </c>
      <c r="C312" s="316" t="e">
        <f>VLOOKUP($A312,Master!$B$50:$N$232,8,FALSE)</f>
        <v>#N/A</v>
      </c>
      <c r="D312" s="316" t="e">
        <f>VLOOKUP($A312,Master!$B$50:$N$232,9,FALSE)</f>
        <v>#N/A</v>
      </c>
      <c r="E312" s="317" t="e">
        <f>VLOOKUP($A312,Master!$B$50:$N$232,11,FALSE)</f>
        <v>#N/A</v>
      </c>
      <c r="F312" s="318">
        <v>4</v>
      </c>
      <c r="G312" s="354" t="s">
        <v>97</v>
      </c>
      <c r="H312" s="320">
        <v>120000</v>
      </c>
      <c r="I312" s="321" t="b">
        <v>1</v>
      </c>
      <c r="J312" s="322">
        <v>4</v>
      </c>
      <c r="K312" s="326" t="e">
        <f>VLOOKUP($A312,Master!$B$50:$N$232,6,FALSE)</f>
        <v>#N/A</v>
      </c>
      <c r="L312" s="327" t="e">
        <f t="shared" si="20"/>
        <v>#N/A</v>
      </c>
      <c r="M312" s="325"/>
    </row>
    <row r="313" spans="1:13" ht="13">
      <c r="A313" s="18" t="s">
        <v>688</v>
      </c>
      <c r="B313" s="316" t="e">
        <f>VLOOKUP($A313,Master!$B$50:$N$232,2,FALSE)</f>
        <v>#N/A</v>
      </c>
      <c r="C313" s="316" t="e">
        <f>VLOOKUP($A313,Master!$B$50:$N$232,8,FALSE)</f>
        <v>#N/A</v>
      </c>
      <c r="D313" s="316" t="e">
        <f>VLOOKUP($A313,Master!$B$50:$N$232,9,FALSE)</f>
        <v>#N/A</v>
      </c>
      <c r="E313" s="317" t="e">
        <f>VLOOKUP($A313,Master!$B$50:$N$232,11,FALSE)</f>
        <v>#N/A</v>
      </c>
      <c r="F313" s="318">
        <v>3</v>
      </c>
      <c r="G313" s="354" t="s">
        <v>62</v>
      </c>
      <c r="H313" s="320">
        <v>187500</v>
      </c>
      <c r="I313" s="321" t="b">
        <v>1</v>
      </c>
      <c r="J313" s="322">
        <v>3</v>
      </c>
      <c r="K313" s="323">
        <v>62000</v>
      </c>
      <c r="L313" s="324">
        <f t="shared" si="20"/>
        <v>186000</v>
      </c>
      <c r="M313" s="325"/>
    </row>
    <row r="314" spans="1:13" ht="13">
      <c r="A314" s="18" t="s">
        <v>720</v>
      </c>
      <c r="B314" s="316" t="str">
        <f>VLOOKUP($A314,Master!$B$50:$N$232,2,FALSE)</f>
        <v>B052</v>
      </c>
      <c r="C314" s="316">
        <f>VLOOKUP($A314,Master!$B$50:$N$232,8,FALSE)</f>
        <v>100</v>
      </c>
      <c r="D314" s="316" t="str">
        <f>VLOOKUP($A314,Master!$B$50:$N$232,9,FALSE)</f>
        <v>gr</v>
      </c>
      <c r="E314" s="317" t="str">
        <f>VLOOKUP($A314,Master!$B$50:$N$232,11,FALSE)</f>
        <v>PD Aroma Jaya</v>
      </c>
      <c r="F314" s="318">
        <v>2</v>
      </c>
      <c r="G314" s="354" t="s">
        <v>97</v>
      </c>
      <c r="H314" s="320">
        <v>56000</v>
      </c>
      <c r="I314" s="321" t="b">
        <v>1</v>
      </c>
      <c r="J314" s="322">
        <v>2</v>
      </c>
      <c r="K314" s="323">
        <v>11500</v>
      </c>
      <c r="L314" s="324">
        <f t="shared" si="20"/>
        <v>23000</v>
      </c>
      <c r="M314" s="325" t="s">
        <v>297</v>
      </c>
    </row>
    <row r="315" spans="1:13" ht="13">
      <c r="A315" s="18" t="s">
        <v>748</v>
      </c>
      <c r="B315" s="316" t="e">
        <f>VLOOKUP($A315,Master!$B$50:$N$232,2,FALSE)</f>
        <v>#N/A</v>
      </c>
      <c r="C315" s="316" t="e">
        <f>VLOOKUP($A315,Master!$B$50:$N$232,8,FALSE)</f>
        <v>#N/A</v>
      </c>
      <c r="D315" s="316" t="e">
        <f>VLOOKUP($A315,Master!$B$50:$N$232,9,FALSE)</f>
        <v>#N/A</v>
      </c>
      <c r="E315" s="317" t="e">
        <f>VLOOKUP($A315,Master!$B$50:$N$232,11,FALSE)</f>
        <v>#N/A</v>
      </c>
      <c r="F315" s="318">
        <v>2</v>
      </c>
      <c r="G315" s="354" t="s">
        <v>62</v>
      </c>
      <c r="H315" s="320">
        <v>55000</v>
      </c>
      <c r="I315" s="321" t="b">
        <v>1</v>
      </c>
      <c r="J315" s="322">
        <v>2</v>
      </c>
      <c r="K315" s="326" t="e">
        <f>VLOOKUP($A315,Master!$B$50:$N$232,6,FALSE)</f>
        <v>#N/A</v>
      </c>
      <c r="L315" s="327" t="e">
        <f t="shared" si="20"/>
        <v>#N/A</v>
      </c>
      <c r="M315" s="325"/>
    </row>
    <row r="316" spans="1:13" ht="13">
      <c r="A316" s="18" t="s">
        <v>752</v>
      </c>
      <c r="B316" s="316" t="e">
        <f>VLOOKUP($A316,Master!$B$50:$N$232,2,FALSE)</f>
        <v>#N/A</v>
      </c>
      <c r="C316" s="316" t="e">
        <f>VLOOKUP($A316,Master!$B$50:$N$232,8,FALSE)</f>
        <v>#N/A</v>
      </c>
      <c r="D316" s="316" t="e">
        <f>VLOOKUP($A316,Master!$B$50:$N$232,9,FALSE)</f>
        <v>#N/A</v>
      </c>
      <c r="E316" s="317" t="e">
        <f>VLOOKUP($A316,Master!$B$50:$N$232,11,FALSE)</f>
        <v>#N/A</v>
      </c>
      <c r="F316" s="318">
        <v>1</v>
      </c>
      <c r="G316" s="354" t="s">
        <v>62</v>
      </c>
      <c r="H316" s="320">
        <v>38000</v>
      </c>
      <c r="I316" s="321" t="b">
        <v>1</v>
      </c>
      <c r="J316" s="322">
        <v>1</v>
      </c>
      <c r="K316" s="326" t="e">
        <f>VLOOKUP($A316,Master!$B$50:$N$232,6,FALSE)</f>
        <v>#N/A</v>
      </c>
      <c r="L316" s="327" t="e">
        <f t="shared" si="20"/>
        <v>#N/A</v>
      </c>
      <c r="M316" s="325"/>
    </row>
    <row r="317" spans="1:13" ht="13">
      <c r="A317" s="18" t="s">
        <v>764</v>
      </c>
      <c r="B317" s="316" t="str">
        <f>VLOOKUP($A317,Master!$B$50:$N$232,2,FALSE)</f>
        <v>B063</v>
      </c>
      <c r="C317" s="316">
        <f>VLOOKUP($A317,Master!$B$50:$N$232,8,FALSE)</f>
        <v>500</v>
      </c>
      <c r="D317" s="316" t="str">
        <f>VLOOKUP($A317,Master!$B$50:$N$232,9,FALSE)</f>
        <v>gr</v>
      </c>
      <c r="E317" s="317" t="str">
        <f>VLOOKUP($A317,Master!$B$50:$N$232,11,FALSE)</f>
        <v>PD Aroma Jaya</v>
      </c>
      <c r="F317" s="318">
        <v>4</v>
      </c>
      <c r="G317" s="354" t="s">
        <v>62</v>
      </c>
      <c r="H317" s="320">
        <v>24000</v>
      </c>
      <c r="I317" s="321" t="b">
        <v>1</v>
      </c>
      <c r="J317" s="322">
        <v>4</v>
      </c>
      <c r="K317" s="323">
        <v>5250</v>
      </c>
      <c r="L317" s="324">
        <f t="shared" si="20"/>
        <v>21000</v>
      </c>
      <c r="M317" s="325"/>
    </row>
    <row r="318" spans="1:13" ht="13">
      <c r="A318" s="18" t="s">
        <v>767</v>
      </c>
      <c r="B318" s="316" t="e">
        <f>VLOOKUP($A318,Master!$B$50:$N$232,2,FALSE)</f>
        <v>#N/A</v>
      </c>
      <c r="C318" s="316" t="e">
        <f>VLOOKUP($A318,Master!$B$50:$N$232,8,FALSE)</f>
        <v>#N/A</v>
      </c>
      <c r="D318" s="316" t="e">
        <f>VLOOKUP($A318,Master!$B$50:$N$232,9,FALSE)</f>
        <v>#N/A</v>
      </c>
      <c r="E318" s="317" t="e">
        <f>VLOOKUP($A318,Master!$B$50:$N$232,11,FALSE)</f>
        <v>#N/A</v>
      </c>
      <c r="F318" s="318">
        <v>3</v>
      </c>
      <c r="G318" s="354" t="s">
        <v>62</v>
      </c>
      <c r="H318" s="320">
        <v>58500</v>
      </c>
      <c r="I318" s="321" t="b">
        <v>1</v>
      </c>
      <c r="J318" s="322">
        <v>3</v>
      </c>
      <c r="K318" s="326" t="e">
        <f>VLOOKUP($A318,Master!$B$50:$N$232,6,FALSE)</f>
        <v>#N/A</v>
      </c>
      <c r="L318" s="327" t="e">
        <f t="shared" si="20"/>
        <v>#N/A</v>
      </c>
      <c r="M318" s="325"/>
    </row>
    <row r="319" spans="1:13" ht="13">
      <c r="A319" s="18" t="s">
        <v>773</v>
      </c>
      <c r="B319" s="316" t="e">
        <f>VLOOKUP($A319,Master!$B$50:$N$232,2,FALSE)</f>
        <v>#N/A</v>
      </c>
      <c r="C319" s="316" t="e">
        <f>VLOOKUP($A319,Master!$B$50:$N$232,8,FALSE)</f>
        <v>#N/A</v>
      </c>
      <c r="D319" s="316" t="e">
        <f>VLOOKUP($A319,Master!$B$50:$N$232,9,FALSE)</f>
        <v>#N/A</v>
      </c>
      <c r="E319" s="317" t="e">
        <f>VLOOKUP($A319,Master!$B$50:$N$232,11,FALSE)</f>
        <v>#N/A</v>
      </c>
      <c r="F319" s="318">
        <v>4</v>
      </c>
      <c r="G319" s="354" t="s">
        <v>62</v>
      </c>
      <c r="H319" s="320">
        <v>56000</v>
      </c>
      <c r="I319" s="321" t="b">
        <v>1</v>
      </c>
      <c r="J319" s="322">
        <v>4</v>
      </c>
      <c r="K319" s="326" t="e">
        <f>VLOOKUP($A319,Master!$B$50:$N$232,6,FALSE)</f>
        <v>#N/A</v>
      </c>
      <c r="L319" s="327" t="e">
        <f t="shared" si="20"/>
        <v>#N/A</v>
      </c>
      <c r="M319" s="325"/>
    </row>
    <row r="320" spans="1:13" ht="13">
      <c r="A320" s="18" t="s">
        <v>785</v>
      </c>
      <c r="B320" s="316" t="e">
        <f>VLOOKUP($A320,Master!$B$50:$N$232,2,FALSE)</f>
        <v>#N/A</v>
      </c>
      <c r="C320" s="316" t="e">
        <f>VLOOKUP($A320,Master!$B$50:$N$232,8,FALSE)</f>
        <v>#N/A</v>
      </c>
      <c r="D320" s="316" t="e">
        <f>VLOOKUP($A320,Master!$B$50:$N$232,9,FALSE)</f>
        <v>#N/A</v>
      </c>
      <c r="E320" s="317" t="e">
        <f>VLOOKUP($A320,Master!$B$50:$N$232,11,FALSE)</f>
        <v>#N/A</v>
      </c>
      <c r="F320" s="318">
        <v>1</v>
      </c>
      <c r="G320" s="354" t="s">
        <v>62</v>
      </c>
      <c r="H320" s="320">
        <v>44500</v>
      </c>
      <c r="I320" s="321" t="b">
        <v>1</v>
      </c>
      <c r="J320" s="322">
        <v>1</v>
      </c>
      <c r="K320" s="326" t="e">
        <f>VLOOKUP($A320,Master!$B$50:$N$232,6,FALSE)</f>
        <v>#N/A</v>
      </c>
      <c r="L320" s="327" t="e">
        <f t="shared" si="20"/>
        <v>#N/A</v>
      </c>
      <c r="M320" s="325"/>
    </row>
    <row r="321" spans="1:13" ht="13">
      <c r="A321" s="18" t="s">
        <v>811</v>
      </c>
      <c r="B321" s="316" t="str">
        <f>VLOOKUP($A321,Master!$B$50:$N$232,2,FALSE)</f>
        <v>B077</v>
      </c>
      <c r="C321" s="316">
        <f>VLOOKUP($A321,Master!$B$50:$N$232,8,FALSE)</f>
        <v>100</v>
      </c>
      <c r="D321" s="316" t="str">
        <f>VLOOKUP($A321,Master!$B$50:$N$232,9,FALSE)</f>
        <v>gr</v>
      </c>
      <c r="E321" s="317" t="str">
        <f>VLOOKUP($A321,Master!$B$50:$N$232,11,FALSE)</f>
        <v>PD Aroma Jaya</v>
      </c>
      <c r="F321" s="318">
        <v>3</v>
      </c>
      <c r="G321" s="354" t="s">
        <v>97</v>
      </c>
      <c r="H321" s="320">
        <v>114000</v>
      </c>
      <c r="I321" s="321" t="b">
        <v>1</v>
      </c>
      <c r="J321" s="322">
        <v>3</v>
      </c>
      <c r="K321" s="323">
        <v>11000</v>
      </c>
      <c r="L321" s="324">
        <f t="shared" si="20"/>
        <v>33000</v>
      </c>
      <c r="M321" s="325" t="s">
        <v>297</v>
      </c>
    </row>
    <row r="322" spans="1:13" ht="13">
      <c r="A322" s="18" t="s">
        <v>892</v>
      </c>
      <c r="B322" s="316" t="e">
        <f>VLOOKUP($A322,Master!$B$50:$N$232,2,FALSE)</f>
        <v>#N/A</v>
      </c>
      <c r="C322" s="316" t="e">
        <f>VLOOKUP($A322,Master!$B$50:$N$232,8,FALSE)</f>
        <v>#N/A</v>
      </c>
      <c r="D322" s="316" t="e">
        <f>VLOOKUP($A322,Master!$B$50:$N$232,9,FALSE)</f>
        <v>#N/A</v>
      </c>
      <c r="E322" s="317" t="e">
        <f>VLOOKUP($A322,Master!$B$50:$N$232,11,FALSE)</f>
        <v>#N/A</v>
      </c>
      <c r="F322" s="318">
        <v>1</v>
      </c>
      <c r="G322" s="354" t="s">
        <v>36</v>
      </c>
      <c r="H322" s="320">
        <v>107500</v>
      </c>
      <c r="I322" s="321" t="b">
        <v>1</v>
      </c>
      <c r="J322" s="322">
        <v>1</v>
      </c>
      <c r="K322" s="326" t="e">
        <f>VLOOKUP($A322,Master!$B$50:$N$232,6,FALSE)</f>
        <v>#N/A</v>
      </c>
      <c r="L322" s="327" t="e">
        <f t="shared" si="20"/>
        <v>#N/A</v>
      </c>
      <c r="M322" s="325"/>
    </row>
    <row r="323" spans="1:13" ht="13">
      <c r="A323" s="18" t="s">
        <v>934</v>
      </c>
      <c r="B323" s="316" t="e">
        <f>VLOOKUP($A323,Master!$B$50:$N$232,2,FALSE)</f>
        <v>#N/A</v>
      </c>
      <c r="C323" s="316" t="e">
        <f>VLOOKUP($A323,Master!$B$50:$N$232,8,FALSE)</f>
        <v>#N/A</v>
      </c>
      <c r="D323" s="316" t="e">
        <f>VLOOKUP($A323,Master!$B$50:$N$232,9,FALSE)</f>
        <v>#N/A</v>
      </c>
      <c r="E323" s="317" t="e">
        <f>VLOOKUP($A323,Master!$B$50:$N$232,11,FALSE)</f>
        <v>#N/A</v>
      </c>
      <c r="F323" s="318">
        <v>2</v>
      </c>
      <c r="G323" s="354" t="s">
        <v>62</v>
      </c>
      <c r="H323" s="320">
        <v>15800</v>
      </c>
      <c r="I323" s="321" t="b">
        <v>1</v>
      </c>
      <c r="J323" s="322">
        <v>2</v>
      </c>
      <c r="K323" s="326" t="e">
        <f>VLOOKUP($A323,Master!$B$50:$N$232,6,FALSE)</f>
        <v>#N/A</v>
      </c>
      <c r="L323" s="327" t="e">
        <f t="shared" si="20"/>
        <v>#N/A</v>
      </c>
      <c r="M323" s="325"/>
    </row>
    <row r="324" spans="1:13" ht="13">
      <c r="A324" s="18" t="s">
        <v>955</v>
      </c>
      <c r="B324" s="316" t="e">
        <f>VLOOKUP($A324,Master!$B$50:$N$232,2,FALSE)</f>
        <v>#N/A</v>
      </c>
      <c r="C324" s="316" t="e">
        <f>VLOOKUP($A324,Master!$B$50:$N$232,8,FALSE)</f>
        <v>#N/A</v>
      </c>
      <c r="D324" s="316" t="e">
        <f>VLOOKUP($A324,Master!$B$50:$N$232,9,FALSE)</f>
        <v>#N/A</v>
      </c>
      <c r="E324" s="317" t="e">
        <f>VLOOKUP($A324,Master!$B$50:$N$232,11,FALSE)</f>
        <v>#N/A</v>
      </c>
      <c r="F324" s="318">
        <v>1</v>
      </c>
      <c r="G324" s="354" t="s">
        <v>97</v>
      </c>
      <c r="H324" s="320">
        <v>20250</v>
      </c>
      <c r="I324" s="321" t="b">
        <v>1</v>
      </c>
      <c r="J324" s="322">
        <v>1</v>
      </c>
      <c r="K324" s="326" t="e">
        <f>VLOOKUP($A324,Master!$B$50:$N$232,6,FALSE)</f>
        <v>#N/A</v>
      </c>
      <c r="L324" s="327" t="e">
        <f t="shared" si="20"/>
        <v>#N/A</v>
      </c>
      <c r="M324" s="325"/>
    </row>
    <row r="325" spans="1:13" ht="13">
      <c r="A325" s="18" t="s">
        <v>982</v>
      </c>
      <c r="B325" s="316" t="str">
        <f>VLOOKUP($A325,Master!$B$50:$N$232,2,FALSE)</f>
        <v>B130</v>
      </c>
      <c r="C325" s="316">
        <f>VLOOKUP($A325,Master!$B$50:$N$232,8,FALSE)</f>
        <v>12</v>
      </c>
      <c r="D325" s="316" t="str">
        <f>VLOOKUP($A325,Master!$B$50:$N$232,9,FALSE)</f>
        <v>pcs</v>
      </c>
      <c r="E325" s="317" t="str">
        <f>VLOOKUP($A325,Master!$B$50:$N$232,11,FALSE)</f>
        <v>PD Aroma Jaya</v>
      </c>
      <c r="F325" s="318">
        <v>3</v>
      </c>
      <c r="G325" s="354" t="s">
        <v>62</v>
      </c>
      <c r="H325" s="320">
        <v>66000</v>
      </c>
      <c r="I325" s="321" t="b">
        <v>0</v>
      </c>
      <c r="J325" s="322"/>
      <c r="K325" s="326">
        <f>VLOOKUP($A325,Master!$B$50:$N$232,6,FALSE)</f>
        <v>18000</v>
      </c>
      <c r="L325" s="327">
        <f t="shared" si="20"/>
        <v>0</v>
      </c>
      <c r="M325" s="325"/>
    </row>
    <row r="326" spans="1:13" ht="13">
      <c r="A326" s="18" t="s">
        <v>1000</v>
      </c>
      <c r="B326" s="316" t="str">
        <f>VLOOKUP($A326,Master!$B$50:$N$232,2,FALSE)</f>
        <v>B137</v>
      </c>
      <c r="C326" s="316">
        <f>VLOOKUP($A326,Master!$B$50:$N$232,8,FALSE)</f>
        <v>1000</v>
      </c>
      <c r="D326" s="316" t="str">
        <f>VLOOKUP($A326,Master!$B$50:$N$232,9,FALSE)</f>
        <v>gr</v>
      </c>
      <c r="E326" s="317" t="str">
        <f>VLOOKUP($A326,Master!$B$50:$N$232,11,FALSE)</f>
        <v>PD Aroma Jaya</v>
      </c>
      <c r="F326" s="318">
        <v>1</v>
      </c>
      <c r="G326" s="354" t="s">
        <v>62</v>
      </c>
      <c r="H326" s="320">
        <v>41000</v>
      </c>
      <c r="I326" s="321" t="b">
        <v>1</v>
      </c>
      <c r="J326" s="322">
        <v>1</v>
      </c>
      <c r="K326" s="326">
        <f>VLOOKUP($A326,Master!$B$50:$N$232,6,FALSE)</f>
        <v>44500</v>
      </c>
      <c r="L326" s="327">
        <f t="shared" si="20"/>
        <v>44500</v>
      </c>
      <c r="M326" s="325"/>
    </row>
    <row r="327" spans="1:13" ht="13">
      <c r="A327" s="18" t="s">
        <v>1002</v>
      </c>
      <c r="B327" s="316" t="str">
        <f>VLOOKUP($A327,Master!$B$50:$N$232,2,FALSE)</f>
        <v>B138</v>
      </c>
      <c r="C327" s="316">
        <f>VLOOKUP($A327,Master!$B$50:$N$232,8,FALSE)</f>
        <v>1000</v>
      </c>
      <c r="D327" s="316" t="str">
        <f>VLOOKUP($A327,Master!$B$50:$N$232,9,FALSE)</f>
        <v>gr</v>
      </c>
      <c r="E327" s="317" t="str">
        <f>VLOOKUP($A327,Master!$B$50:$N$232,11,FALSE)</f>
        <v>PD Aroma Jaya</v>
      </c>
      <c r="F327" s="318">
        <v>1</v>
      </c>
      <c r="G327" s="354" t="s">
        <v>36</v>
      </c>
      <c r="H327" s="320">
        <v>20500</v>
      </c>
      <c r="I327" s="321" t="b">
        <v>1</v>
      </c>
      <c r="J327" s="322">
        <v>1</v>
      </c>
      <c r="K327" s="326">
        <f>VLOOKUP($A327,Master!$B$50:$N$232,6,FALSE)</f>
        <v>20500</v>
      </c>
      <c r="L327" s="327">
        <f t="shared" si="20"/>
        <v>20500</v>
      </c>
      <c r="M327" s="325"/>
    </row>
    <row r="328" spans="1:13" ht="13">
      <c r="A328" s="18" t="s">
        <v>1618</v>
      </c>
      <c r="B328" s="316" t="e">
        <f>VLOOKUP($A328,Master!$B$50:$N$232,2,FALSE)</f>
        <v>#N/A</v>
      </c>
      <c r="C328" s="316" t="e">
        <f>VLOOKUP($A328,Master!$B$50:$N$232,8,FALSE)</f>
        <v>#N/A</v>
      </c>
      <c r="D328" s="316" t="e">
        <f>VLOOKUP($A328,Master!$B$50:$N$232,9,FALSE)</f>
        <v>#N/A</v>
      </c>
      <c r="E328" s="317" t="e">
        <f>VLOOKUP($A328,Master!$B$50:$N$232,11,FALSE)</f>
        <v>#N/A</v>
      </c>
      <c r="F328" s="318">
        <v>4</v>
      </c>
      <c r="G328" s="354" t="s">
        <v>62</v>
      </c>
      <c r="H328" s="320">
        <v>40000</v>
      </c>
      <c r="I328" s="321" t="b">
        <v>0</v>
      </c>
      <c r="J328" s="322"/>
      <c r="K328" s="323" t="e">
        <f>VLOOKUP($A328,Master!$B$50:$N$232,6,FALSE)</f>
        <v>#N/A</v>
      </c>
      <c r="L328" s="324" t="e">
        <f t="shared" si="20"/>
        <v>#N/A</v>
      </c>
      <c r="M328" s="325"/>
    </row>
    <row r="329" spans="1:13" ht="13">
      <c r="A329" s="18" t="s">
        <v>1548</v>
      </c>
      <c r="B329" s="316" t="e">
        <f>VLOOKUP($A329,Master!$B$50:$N$232,2,FALSE)</f>
        <v>#N/A</v>
      </c>
      <c r="C329" s="316" t="e">
        <f>VLOOKUP($A329,Master!$B$50:$N$232,8,FALSE)</f>
        <v>#N/A</v>
      </c>
      <c r="D329" s="316" t="e">
        <f>VLOOKUP($A329,Master!$B$50:$N$232,9,FALSE)</f>
        <v>#N/A</v>
      </c>
      <c r="E329" s="317" t="e">
        <f>VLOOKUP($A329,Master!$B$50:$N$232,11,FALSE)</f>
        <v>#N/A</v>
      </c>
      <c r="F329" s="318">
        <v>4</v>
      </c>
      <c r="G329" s="354" t="s">
        <v>62</v>
      </c>
      <c r="H329" s="320">
        <v>40000</v>
      </c>
      <c r="I329" s="321" t="b">
        <v>1</v>
      </c>
      <c r="J329" s="322">
        <v>1</v>
      </c>
      <c r="K329" s="323" t="e">
        <f>VLOOKUP($A329,Master!$B$50:$N$232,6,FALSE)</f>
        <v>#N/A</v>
      </c>
      <c r="L329" s="324">
        <v>40000</v>
      </c>
      <c r="M329" s="325" t="s">
        <v>1628</v>
      </c>
    </row>
    <row r="330" spans="1:13" ht="13">
      <c r="A330" s="18" t="s">
        <v>1017</v>
      </c>
      <c r="B330" s="316" t="str">
        <f>VLOOKUP($A330,Master!$B$50:$N$232,2,FALSE)</f>
        <v>B143</v>
      </c>
      <c r="C330" s="316">
        <f>VLOOKUP($A330,Master!$B$50:$N$232,8,FALSE)</f>
        <v>1</v>
      </c>
      <c r="D330" s="316" t="str">
        <f>VLOOKUP($A330,Master!$B$50:$N$232,9,FALSE)</f>
        <v>pcs</v>
      </c>
      <c r="E330" s="317" t="str">
        <f>VLOOKUP($A330,Master!$B$50:$N$232,11,FALSE)</f>
        <v>PD Aroma Jaya</v>
      </c>
      <c r="F330" s="318">
        <v>4</v>
      </c>
      <c r="G330" s="354" t="s">
        <v>62</v>
      </c>
      <c r="H330" s="320">
        <v>11200</v>
      </c>
      <c r="I330" s="321" t="b">
        <v>1</v>
      </c>
      <c r="J330" s="322">
        <v>4</v>
      </c>
      <c r="K330" s="326">
        <f>VLOOKUP($A330,Master!$B$50:$N$232,6,FALSE)</f>
        <v>2800</v>
      </c>
      <c r="L330" s="327">
        <f t="shared" ref="L330:L336" si="21">J330*K330</f>
        <v>11200</v>
      </c>
      <c r="M330" s="325"/>
    </row>
    <row r="331" spans="1:13" ht="13">
      <c r="A331" s="18" t="s">
        <v>1103</v>
      </c>
      <c r="B331" s="316" t="e">
        <f>VLOOKUP($A331,Master!$B$50:$N$232,2,FALSE)</f>
        <v>#N/A</v>
      </c>
      <c r="C331" s="316" t="e">
        <f>VLOOKUP($A331,Master!$B$50:$N$232,8,FALSE)</f>
        <v>#N/A</v>
      </c>
      <c r="D331" s="316" t="e">
        <f>VLOOKUP($A331,Master!$B$50:$N$232,9,FALSE)</f>
        <v>#N/A</v>
      </c>
      <c r="E331" s="317" t="e">
        <f>VLOOKUP($A331,Master!$B$50:$N$232,11,FALSE)</f>
        <v>#N/A</v>
      </c>
      <c r="F331" s="318">
        <v>1</v>
      </c>
      <c r="G331" s="354" t="s">
        <v>62</v>
      </c>
      <c r="H331" s="320">
        <v>52000</v>
      </c>
      <c r="I331" s="321" t="b">
        <v>1</v>
      </c>
      <c r="J331" s="322">
        <v>1</v>
      </c>
      <c r="K331" s="323" t="e">
        <f>VLOOKUP($A331,Master!$B$50:$N$232,6,FALSE)</f>
        <v>#N/A</v>
      </c>
      <c r="L331" s="324" t="e">
        <f t="shared" si="21"/>
        <v>#N/A</v>
      </c>
      <c r="M331" s="325"/>
    </row>
    <row r="332" spans="1:13" ht="13">
      <c r="A332" s="18" t="s">
        <v>1106</v>
      </c>
      <c r="B332" s="316" t="e">
        <f>VLOOKUP($A332,Master!$B$50:$N$232,2,FALSE)</f>
        <v>#N/A</v>
      </c>
      <c r="C332" s="316" t="e">
        <f>VLOOKUP($A332,Master!$B$50:$N$232,8,FALSE)</f>
        <v>#N/A</v>
      </c>
      <c r="D332" s="316" t="e">
        <f>VLOOKUP($A332,Master!$B$50:$N$232,9,FALSE)</f>
        <v>#N/A</v>
      </c>
      <c r="E332" s="317" t="e">
        <f>VLOOKUP($A332,Master!$B$50:$N$232,11,FALSE)</f>
        <v>#N/A</v>
      </c>
      <c r="F332" s="318">
        <v>1</v>
      </c>
      <c r="G332" s="354" t="s">
        <v>62</v>
      </c>
      <c r="H332" s="320">
        <v>65000</v>
      </c>
      <c r="I332" s="321" t="b">
        <v>1</v>
      </c>
      <c r="J332" s="322">
        <v>1</v>
      </c>
      <c r="K332" s="323">
        <v>115000</v>
      </c>
      <c r="L332" s="324">
        <f t="shared" si="21"/>
        <v>115000</v>
      </c>
      <c r="M332" s="325" t="s">
        <v>1623</v>
      </c>
    </row>
    <row r="333" spans="1:13" ht="13">
      <c r="A333" s="18" t="s">
        <v>562</v>
      </c>
      <c r="B333" s="316" t="e">
        <f>VLOOKUP($A333,Master!$B$50:$N$232,2,FALSE)</f>
        <v>#N/A</v>
      </c>
      <c r="C333" s="316" t="e">
        <f>VLOOKUP($A333,Master!$B$50:$N$232,8,FALSE)</f>
        <v>#N/A</v>
      </c>
      <c r="D333" s="316" t="e">
        <f>VLOOKUP($A333,Master!$B$50:$N$232,9,FALSE)</f>
        <v>#N/A</v>
      </c>
      <c r="E333" s="317" t="e">
        <f>VLOOKUP($A333,Master!$B$50:$N$232,11,FALSE)</f>
        <v>#N/A</v>
      </c>
      <c r="F333" s="318">
        <v>1</v>
      </c>
      <c r="G333" s="354" t="s">
        <v>97</v>
      </c>
      <c r="H333" s="320">
        <v>216450</v>
      </c>
      <c r="I333" s="321" t="b">
        <v>0</v>
      </c>
      <c r="J333" s="322"/>
      <c r="K333" s="326" t="e">
        <f>VLOOKUP($A333,Master!$B$50:$N$232,6,FALSE)</f>
        <v>#N/A</v>
      </c>
      <c r="L333" s="327" t="e">
        <f t="shared" si="21"/>
        <v>#N/A</v>
      </c>
      <c r="M333" s="325"/>
    </row>
    <row r="334" spans="1:13" ht="13">
      <c r="A334" s="18" t="s">
        <v>566</v>
      </c>
      <c r="B334" s="316" t="e">
        <f>VLOOKUP($A334,Master!$B$50:$N$232,2,FALSE)</f>
        <v>#N/A</v>
      </c>
      <c r="C334" s="316" t="e">
        <f>VLOOKUP($A334,Master!$B$50:$N$232,8,FALSE)</f>
        <v>#N/A</v>
      </c>
      <c r="D334" s="316" t="e">
        <f>VLOOKUP($A334,Master!$B$50:$N$232,9,FALSE)</f>
        <v>#N/A</v>
      </c>
      <c r="E334" s="317" t="e">
        <f>VLOOKUP($A334,Master!$B$50:$N$232,11,FALSE)</f>
        <v>#N/A</v>
      </c>
      <c r="F334" s="318">
        <v>1</v>
      </c>
      <c r="G334" s="354" t="s">
        <v>62</v>
      </c>
      <c r="H334" s="320">
        <v>224220</v>
      </c>
      <c r="I334" s="321" t="b">
        <v>0</v>
      </c>
      <c r="J334" s="322"/>
      <c r="K334" s="326" t="e">
        <f>VLOOKUP($A334,Master!$B$50:$N$232,6,FALSE)</f>
        <v>#N/A</v>
      </c>
      <c r="L334" s="327" t="e">
        <f t="shared" si="21"/>
        <v>#N/A</v>
      </c>
      <c r="M334" s="325"/>
    </row>
    <row r="335" spans="1:13" ht="13">
      <c r="A335" s="18" t="s">
        <v>570</v>
      </c>
      <c r="B335" s="316" t="e">
        <f>VLOOKUP($A335,Master!$B$50:$N$232,2,FALSE)</f>
        <v>#N/A</v>
      </c>
      <c r="C335" s="316" t="e">
        <f>VLOOKUP($A335,Master!$B$50:$N$232,8,FALSE)</f>
        <v>#N/A</v>
      </c>
      <c r="D335" s="316" t="e">
        <f>VLOOKUP($A335,Master!$B$50:$N$232,9,FALSE)</f>
        <v>#N/A</v>
      </c>
      <c r="E335" s="317" t="e">
        <f>VLOOKUP($A335,Master!$B$50:$N$232,11,FALSE)</f>
        <v>#N/A</v>
      </c>
      <c r="F335" s="318">
        <v>1</v>
      </c>
      <c r="G335" s="354" t="s">
        <v>62</v>
      </c>
      <c r="H335" s="320">
        <v>224220</v>
      </c>
      <c r="I335" s="321" t="b">
        <v>0</v>
      </c>
      <c r="J335" s="322"/>
      <c r="K335" s="326" t="e">
        <f>VLOOKUP($A335,Master!$B$50:$N$232,6,FALSE)</f>
        <v>#N/A</v>
      </c>
      <c r="L335" s="327" t="e">
        <f t="shared" si="21"/>
        <v>#N/A</v>
      </c>
      <c r="M335" s="325"/>
    </row>
    <row r="336" spans="1:13" ht="13">
      <c r="A336" s="18" t="s">
        <v>961</v>
      </c>
      <c r="B336" s="316" t="e">
        <f>VLOOKUP($A336,Master!$B$50:$N$232,2,FALSE)</f>
        <v>#N/A</v>
      </c>
      <c r="C336" s="316" t="e">
        <f>VLOOKUP($A336,Master!$B$50:$N$232,8,FALSE)</f>
        <v>#N/A</v>
      </c>
      <c r="D336" s="316" t="e">
        <f>VLOOKUP($A336,Master!$B$50:$N$232,9,FALSE)</f>
        <v>#N/A</v>
      </c>
      <c r="E336" s="317" t="e">
        <f>VLOOKUP($A336,Master!$B$50:$N$232,11,FALSE)</f>
        <v>#N/A</v>
      </c>
      <c r="F336" s="318">
        <v>2</v>
      </c>
      <c r="G336" s="354" t="s">
        <v>97</v>
      </c>
      <c r="H336" s="320">
        <v>188700</v>
      </c>
      <c r="I336" s="321" t="b">
        <v>0</v>
      </c>
      <c r="J336" s="322"/>
      <c r="K336" s="326" t="e">
        <f>VLOOKUP($A336,Master!$B$50:$N$232,6,FALSE)</f>
        <v>#N/A</v>
      </c>
      <c r="L336" s="327" t="e">
        <f t="shared" si="21"/>
        <v>#N/A</v>
      </c>
      <c r="M336" s="325"/>
    </row>
    <row r="337" spans="1:13" ht="13">
      <c r="A337" s="18" t="s">
        <v>552</v>
      </c>
      <c r="B337" s="316" t="e">
        <f>VLOOKUP($A337,Master!$B$50:$N$232,2,FALSE)</f>
        <v>#N/A</v>
      </c>
      <c r="C337" s="316" t="e">
        <f>VLOOKUP($A337,Master!$B$50:$N$232,8,FALSE)</f>
        <v>#N/A</v>
      </c>
      <c r="D337" s="316" t="e">
        <f>VLOOKUP($A337,Master!$B$50:$N$232,9,FALSE)</f>
        <v>#N/A</v>
      </c>
      <c r="E337" s="317" t="e">
        <f>VLOOKUP($A337,Master!$B$50:$N$232,11,FALSE)</f>
        <v>#N/A</v>
      </c>
      <c r="F337" s="318">
        <v>5</v>
      </c>
      <c r="G337" s="354" t="s">
        <v>121</v>
      </c>
      <c r="H337" s="320">
        <v>285000</v>
      </c>
      <c r="I337" s="321" t="b">
        <v>1</v>
      </c>
      <c r="J337" s="322">
        <v>4</v>
      </c>
      <c r="K337" s="326" t="e">
        <f>VLOOKUP($A337,Master!$B$50:$N$232,6,FALSE)</f>
        <v>#N/A</v>
      </c>
      <c r="L337" s="324">
        <v>288600</v>
      </c>
      <c r="M337" s="325" t="s">
        <v>1629</v>
      </c>
    </row>
    <row r="338" spans="1:13" ht="13">
      <c r="A338" s="18" t="s">
        <v>925</v>
      </c>
      <c r="B338" s="316" t="str">
        <f>VLOOKUP($A338,Master!$B$50:$N$232,2,FALSE)</f>
        <v>B111</v>
      </c>
      <c r="C338" s="316">
        <f>VLOOKUP($A338,Master!$B$50:$N$232,8,FALSE)</f>
        <v>1000</v>
      </c>
      <c r="D338" s="316" t="str">
        <f>VLOOKUP($A338,Master!$B$50:$N$232,9,FALSE)</f>
        <v>gr</v>
      </c>
      <c r="E338" s="317" t="str">
        <f>VLOOKUP($A338,Master!$B$50:$N$232,11,FALSE)</f>
        <v>PT Sukanda Djaya</v>
      </c>
      <c r="F338" s="318">
        <v>1</v>
      </c>
      <c r="G338" s="354" t="s">
        <v>143</v>
      </c>
      <c r="H338" s="320">
        <v>419978</v>
      </c>
      <c r="I338" s="321" t="b">
        <v>1</v>
      </c>
      <c r="J338" s="322">
        <v>1</v>
      </c>
      <c r="K338" s="323">
        <v>333600</v>
      </c>
      <c r="L338" s="324">
        <f t="shared" ref="L338:L347" si="22">J338*K338</f>
        <v>333600</v>
      </c>
      <c r="M338" s="325" t="s">
        <v>1630</v>
      </c>
    </row>
    <row r="339" spans="1:13" ht="13">
      <c r="A339" s="18" t="s">
        <v>949</v>
      </c>
      <c r="B339" s="316" t="e">
        <f>VLOOKUP($A339,Master!$B$50:$N$232,2,FALSE)</f>
        <v>#N/A</v>
      </c>
      <c r="C339" s="316" t="e">
        <f>VLOOKUP($A339,Master!$B$50:$N$232,8,FALSE)</f>
        <v>#N/A</v>
      </c>
      <c r="D339" s="316" t="e">
        <f>VLOOKUP($A339,Master!$B$50:$N$232,9,FALSE)</f>
        <v>#N/A</v>
      </c>
      <c r="E339" s="317" t="e">
        <f>VLOOKUP($A339,Master!$B$50:$N$232,11,FALSE)</f>
        <v>#N/A</v>
      </c>
      <c r="F339" s="318">
        <v>2</v>
      </c>
      <c r="G339" s="354" t="s">
        <v>97</v>
      </c>
      <c r="H339" s="320">
        <v>51504</v>
      </c>
      <c r="I339" s="321" t="b">
        <v>0</v>
      </c>
      <c r="J339" s="322"/>
      <c r="K339" s="326" t="e">
        <f>VLOOKUP($A339,Master!$B$50:$N$232,6,FALSE)</f>
        <v>#N/A</v>
      </c>
      <c r="L339" s="327" t="e">
        <f t="shared" si="22"/>
        <v>#N/A</v>
      </c>
      <c r="M339" s="325"/>
    </row>
    <row r="340" spans="1:13" ht="13">
      <c r="A340" s="18" t="s">
        <v>952</v>
      </c>
      <c r="B340" s="316" t="e">
        <f>VLOOKUP($A340,Master!$B$50:$N$232,2,FALSE)</f>
        <v>#N/A</v>
      </c>
      <c r="C340" s="316" t="e">
        <f>VLOOKUP($A340,Master!$B$50:$N$232,8,FALSE)</f>
        <v>#N/A</v>
      </c>
      <c r="D340" s="316" t="e">
        <f>VLOOKUP($A340,Master!$B$50:$N$232,9,FALSE)</f>
        <v>#N/A</v>
      </c>
      <c r="E340" s="317" t="e">
        <f>VLOOKUP($A340,Master!$B$50:$N$232,11,FALSE)</f>
        <v>#N/A</v>
      </c>
      <c r="F340" s="318">
        <v>2</v>
      </c>
      <c r="G340" s="354" t="s">
        <v>97</v>
      </c>
      <c r="H340" s="320">
        <v>60606</v>
      </c>
      <c r="I340" s="321" t="b">
        <v>1</v>
      </c>
      <c r="J340" s="322">
        <v>2</v>
      </c>
      <c r="K340" s="323">
        <v>23400</v>
      </c>
      <c r="L340" s="324">
        <f t="shared" si="22"/>
        <v>46800</v>
      </c>
      <c r="M340" s="325" t="s">
        <v>297</v>
      </c>
    </row>
    <row r="341" spans="1:13" ht="13">
      <c r="A341" s="18" t="s">
        <v>776</v>
      </c>
      <c r="B341" s="316" t="e">
        <f>VLOOKUP($A341,Master!$B$50:$N$232,2,FALSE)</f>
        <v>#N/A</v>
      </c>
      <c r="C341" s="316" t="e">
        <f>VLOOKUP($A341,Master!$B$50:$N$232,8,FALSE)</f>
        <v>#N/A</v>
      </c>
      <c r="D341" s="316" t="e">
        <f>VLOOKUP($A341,Master!$B$50:$N$232,9,FALSE)</f>
        <v>#N/A</v>
      </c>
      <c r="E341" s="317" t="e">
        <f>VLOOKUP($A341,Master!$B$50:$N$232,11,FALSE)</f>
        <v>#N/A</v>
      </c>
      <c r="F341" s="318">
        <v>1</v>
      </c>
      <c r="G341" s="354" t="s">
        <v>62</v>
      </c>
      <c r="H341" s="320">
        <v>50000</v>
      </c>
      <c r="I341" s="321" t="b">
        <v>1</v>
      </c>
      <c r="J341" s="322">
        <v>2</v>
      </c>
      <c r="K341" s="323">
        <v>25000</v>
      </c>
      <c r="L341" s="324">
        <f t="shared" si="22"/>
        <v>50000</v>
      </c>
      <c r="M341" s="325"/>
    </row>
    <row r="342" spans="1:13" ht="13">
      <c r="A342" s="18" t="s">
        <v>1550</v>
      </c>
      <c r="B342" s="316" t="e">
        <f>VLOOKUP($A342,Master!$B$50:$N$232,2,FALSE)</f>
        <v>#N/A</v>
      </c>
      <c r="C342" s="316" t="e">
        <f>VLOOKUP($A342,Master!$B$50:$N$232,8,FALSE)</f>
        <v>#N/A</v>
      </c>
      <c r="D342" s="316" t="e">
        <f>VLOOKUP($A342,Master!$B$50:$N$232,9,FALSE)</f>
        <v>#N/A</v>
      </c>
      <c r="E342" s="317" t="e">
        <f>VLOOKUP($A342,Master!$B$50:$N$232,11,FALSE)</f>
        <v>#N/A</v>
      </c>
      <c r="F342" s="318">
        <v>2</v>
      </c>
      <c r="G342" s="354" t="s">
        <v>97</v>
      </c>
      <c r="H342" s="320">
        <v>210000</v>
      </c>
      <c r="I342" s="321" t="b">
        <v>0</v>
      </c>
      <c r="J342" s="322"/>
      <c r="K342" s="323" t="e">
        <f>VLOOKUP($A342,Master!$B$50:$N$232,6,FALSE)</f>
        <v>#N/A</v>
      </c>
      <c r="L342" s="324" t="e">
        <f t="shared" si="22"/>
        <v>#N/A</v>
      </c>
      <c r="M342" s="325"/>
    </row>
    <row r="343" spans="1:13" ht="13">
      <c r="A343" s="18" t="s">
        <v>958</v>
      </c>
      <c r="B343" s="316" t="e">
        <f>VLOOKUP($A343,Master!$B$50:$N$232,2,FALSE)</f>
        <v>#N/A</v>
      </c>
      <c r="C343" s="316" t="e">
        <f>VLOOKUP($A343,Master!$B$50:$N$232,8,FALSE)</f>
        <v>#N/A</v>
      </c>
      <c r="D343" s="316" t="e">
        <f>VLOOKUP($A343,Master!$B$50:$N$232,9,FALSE)</f>
        <v>#N/A</v>
      </c>
      <c r="E343" s="317" t="e">
        <f>VLOOKUP($A343,Master!$B$50:$N$232,11,FALSE)</f>
        <v>#N/A</v>
      </c>
      <c r="F343" s="318">
        <v>1</v>
      </c>
      <c r="G343" s="354" t="s">
        <v>97</v>
      </c>
      <c r="H343" s="320">
        <v>129000</v>
      </c>
      <c r="I343" s="321" t="b">
        <v>0</v>
      </c>
      <c r="J343" s="322"/>
      <c r="K343" s="326" t="e">
        <f>VLOOKUP($A343,Master!$B$50:$N$232,6,FALSE)</f>
        <v>#N/A</v>
      </c>
      <c r="L343" s="327" t="e">
        <f t="shared" si="22"/>
        <v>#N/A</v>
      </c>
      <c r="M343" s="325"/>
    </row>
    <row r="344" spans="1:13" ht="13">
      <c r="A344" s="18" t="s">
        <v>985</v>
      </c>
      <c r="B344" s="316" t="str">
        <f>VLOOKUP($A344,Master!$B$50:$N$232,2,FALSE)</f>
        <v>B131</v>
      </c>
      <c r="C344" s="316">
        <f>VLOOKUP($A344,Master!$B$50:$N$232,8,FALSE)</f>
        <v>500</v>
      </c>
      <c r="D344" s="316" t="str">
        <f>VLOOKUP($A344,Master!$B$50:$N$232,9,FALSE)</f>
        <v>gr</v>
      </c>
      <c r="E344" s="317" t="str">
        <f>VLOOKUP($A344,Master!$B$50:$N$232,11,FALSE)</f>
        <v>Tokopedia</v>
      </c>
      <c r="F344" s="318">
        <v>2</v>
      </c>
      <c r="G344" s="354" t="s">
        <v>62</v>
      </c>
      <c r="H344" s="320">
        <v>300000</v>
      </c>
      <c r="I344" s="321" t="b">
        <v>0</v>
      </c>
      <c r="J344" s="322"/>
      <c r="K344" s="326">
        <f>VLOOKUP($A344,Master!$B$50:$N$232,6,FALSE)</f>
        <v>150000</v>
      </c>
      <c r="L344" s="327">
        <f t="shared" si="22"/>
        <v>0</v>
      </c>
      <c r="M344" s="325"/>
    </row>
    <row r="345" spans="1:13" ht="13">
      <c r="A345" s="18" t="s">
        <v>540</v>
      </c>
      <c r="B345" s="316" t="str">
        <f>VLOOKUP($A345,Master!$B$50:$N$232,2,FALSE)</f>
        <v>B006</v>
      </c>
      <c r="C345" s="316">
        <f>VLOOKUP($A345,Master!$B$50:$N$232,8,FALSE)</f>
        <v>1000</v>
      </c>
      <c r="D345" s="316" t="str">
        <f>VLOOKUP($A345,Master!$B$50:$N$232,9,FALSE)</f>
        <v>gr</v>
      </c>
      <c r="E345" s="317" t="str">
        <f>VLOOKUP($A345,Master!$B$50:$N$232,11,FALSE)</f>
        <v>Woodlane</v>
      </c>
      <c r="F345" s="318">
        <v>6</v>
      </c>
      <c r="G345" s="354" t="s">
        <v>36</v>
      </c>
      <c r="H345" s="320">
        <v>1020000</v>
      </c>
      <c r="I345" s="321" t="b">
        <v>1</v>
      </c>
      <c r="J345" s="322">
        <v>6</v>
      </c>
      <c r="K345" s="326">
        <f>VLOOKUP($A345,Master!$B$50:$N$232,6,FALSE)</f>
        <v>170000</v>
      </c>
      <c r="L345" s="327">
        <f t="shared" si="22"/>
        <v>1020000</v>
      </c>
      <c r="M345" s="325"/>
    </row>
    <row r="346" spans="1:13" ht="13">
      <c r="A346" s="18" t="s">
        <v>590</v>
      </c>
      <c r="B346" s="316" t="str">
        <f>VLOOKUP($A346,Master!$B$50:$N$232,2,FALSE)</f>
        <v>B019</v>
      </c>
      <c r="C346" s="316">
        <f>VLOOKUP($A346,Master!$B$50:$N$232,8,FALSE)</f>
        <v>200</v>
      </c>
      <c r="D346" s="316" t="str">
        <f>VLOOKUP($A346,Master!$B$50:$N$232,9,FALSE)</f>
        <v>gr</v>
      </c>
      <c r="E346" s="317" t="str">
        <f>VLOOKUP($A346,Master!$B$50:$N$232,11,FALSE)</f>
        <v>Woodlane</v>
      </c>
      <c r="F346" s="318">
        <v>3</v>
      </c>
      <c r="G346" s="354" t="s">
        <v>62</v>
      </c>
      <c r="H346" s="320">
        <v>255000</v>
      </c>
      <c r="I346" s="321" t="b">
        <v>1</v>
      </c>
      <c r="J346" s="322">
        <v>3</v>
      </c>
      <c r="K346" s="326">
        <f>VLOOKUP($A346,Master!$B$50:$N$232,6,FALSE)</f>
        <v>85000</v>
      </c>
      <c r="L346" s="327">
        <f t="shared" si="22"/>
        <v>255000</v>
      </c>
      <c r="M346" s="325"/>
    </row>
    <row r="347" spans="1:13" ht="13">
      <c r="A347" s="18" t="s">
        <v>623</v>
      </c>
      <c r="B347" s="316" t="e">
        <f>VLOOKUP($A347,Master!$B$50:$N$232,2,FALSE)</f>
        <v>#N/A</v>
      </c>
      <c r="C347" s="316" t="e">
        <f>VLOOKUP($A347,Master!$B$50:$N$232,8,FALSE)</f>
        <v>#N/A</v>
      </c>
      <c r="D347" s="316" t="e">
        <f>VLOOKUP($A347,Master!$B$50:$N$232,9,FALSE)</f>
        <v>#N/A</v>
      </c>
      <c r="E347" s="317" t="e">
        <f>VLOOKUP($A347,Master!$B$50:$N$232,11,FALSE)</f>
        <v>#N/A</v>
      </c>
      <c r="F347" s="318">
        <v>3</v>
      </c>
      <c r="G347" s="354" t="s">
        <v>143</v>
      </c>
      <c r="H347" s="320">
        <v>545787</v>
      </c>
      <c r="I347" s="321" t="b">
        <v>1</v>
      </c>
      <c r="J347" s="322">
        <v>3</v>
      </c>
      <c r="K347" s="323">
        <v>163900</v>
      </c>
      <c r="L347" s="324">
        <f t="shared" si="22"/>
        <v>491700</v>
      </c>
      <c r="M347" s="325"/>
    </row>
    <row r="349" spans="1:13" ht="13">
      <c r="F349" s="427">
        <v>44708</v>
      </c>
      <c r="G349" s="428"/>
      <c r="H349" s="424"/>
      <c r="J349" s="429">
        <f>F349+1</f>
        <v>44709</v>
      </c>
      <c r="K349" s="428"/>
      <c r="L349" s="424"/>
    </row>
    <row r="350" spans="1:13" ht="13">
      <c r="F350" s="425" t="s">
        <v>1490</v>
      </c>
      <c r="G350" s="426"/>
      <c r="H350" s="304">
        <f>SUM(H352:H504)</f>
        <v>85417289</v>
      </c>
      <c r="J350" s="425" t="s">
        <v>1491</v>
      </c>
      <c r="K350" s="426"/>
      <c r="L350" s="304" t="e">
        <f>SUM(L352:L504)</f>
        <v>#N/A</v>
      </c>
    </row>
    <row r="351" spans="1:13" ht="13">
      <c r="A351" s="2" t="s">
        <v>4</v>
      </c>
      <c r="B351" s="305" t="s">
        <v>5</v>
      </c>
      <c r="C351" s="305" t="s">
        <v>1492</v>
      </c>
      <c r="D351" s="305" t="s">
        <v>12</v>
      </c>
      <c r="E351" s="306" t="s">
        <v>1493</v>
      </c>
      <c r="F351" s="307" t="s">
        <v>1494</v>
      </c>
      <c r="G351" s="308" t="s">
        <v>10</v>
      </c>
      <c r="H351" s="309" t="s">
        <v>1495</v>
      </c>
      <c r="I351" s="310" t="s">
        <v>1289</v>
      </c>
      <c r="J351" s="311" t="s">
        <v>1496</v>
      </c>
      <c r="K351" s="312" t="s">
        <v>1497</v>
      </c>
      <c r="L351" s="313" t="s">
        <v>1498</v>
      </c>
      <c r="M351" s="314" t="s">
        <v>16</v>
      </c>
    </row>
    <row r="352" spans="1:13" ht="13">
      <c r="A352" s="18" t="s">
        <v>976</v>
      </c>
      <c r="B352" s="316" t="str">
        <f>VLOOKUP($A352,Master!$B$50:$N$232,2,FALSE)</f>
        <v>B128</v>
      </c>
      <c r="C352" s="316">
        <f>VLOOKUP($A352,Master!$B$50:$N$232,8,FALSE)</f>
        <v>300</v>
      </c>
      <c r="D352" s="316" t="str">
        <f>VLOOKUP($A352,Master!$B$50:$N$232,9,FALSE)</f>
        <v>pcs</v>
      </c>
      <c r="E352" s="317" t="str">
        <f>VLOOKUP($A352,Master!$B$50:$N$232,11,FALSE)</f>
        <v>Kurnia Mas</v>
      </c>
      <c r="F352" s="318">
        <v>2</v>
      </c>
      <c r="G352" s="354" t="s">
        <v>62</v>
      </c>
      <c r="H352" s="320">
        <v>50000</v>
      </c>
      <c r="I352" s="321" t="b">
        <v>1</v>
      </c>
      <c r="J352" s="322">
        <v>3</v>
      </c>
      <c r="K352" s="323">
        <v>12000</v>
      </c>
      <c r="L352" s="324">
        <f t="shared" ref="L352:L357" si="23">J352*K352</f>
        <v>36000</v>
      </c>
      <c r="M352" s="325"/>
    </row>
    <row r="353" spans="1:13" ht="13">
      <c r="A353" s="18" t="s">
        <v>1046</v>
      </c>
      <c r="B353" s="316" t="e">
        <f>VLOOKUP($A353,Master!$B$50:$N$232,2,FALSE)</f>
        <v>#N/A</v>
      </c>
      <c r="C353" s="316" t="e">
        <f>VLOOKUP($A353,Master!$B$50:$N$232,8,FALSE)</f>
        <v>#N/A</v>
      </c>
      <c r="D353" s="316" t="e">
        <f>VLOOKUP($A353,Master!$B$50:$N$232,9,FALSE)</f>
        <v>#N/A</v>
      </c>
      <c r="E353" s="317" t="e">
        <f>VLOOKUP($A353,Master!$B$50:$N$232,11,FALSE)</f>
        <v>#N/A</v>
      </c>
      <c r="F353" s="318">
        <v>2</v>
      </c>
      <c r="G353" s="354" t="s">
        <v>62</v>
      </c>
      <c r="H353" s="320">
        <v>36000</v>
      </c>
      <c r="I353" s="321" t="b">
        <v>1</v>
      </c>
      <c r="J353" s="322">
        <v>2</v>
      </c>
      <c r="K353" s="323">
        <v>20000</v>
      </c>
      <c r="L353" s="324">
        <f t="shared" si="23"/>
        <v>40000</v>
      </c>
      <c r="M353" s="325" t="s">
        <v>1631</v>
      </c>
    </row>
    <row r="354" spans="1:13" ht="13">
      <c r="A354" s="18" t="s">
        <v>1099</v>
      </c>
      <c r="B354" s="316" t="e">
        <f>VLOOKUP($A354,Master!$B$50:$N$232,2,FALSE)</f>
        <v>#N/A</v>
      </c>
      <c r="C354" s="316" t="e">
        <f>VLOOKUP($A354,Master!$B$50:$N$232,8,FALSE)</f>
        <v>#N/A</v>
      </c>
      <c r="D354" s="316" t="e">
        <f>VLOOKUP($A354,Master!$B$50:$N$232,9,FALSE)</f>
        <v>#N/A</v>
      </c>
      <c r="E354" s="317" t="e">
        <f>VLOOKUP($A354,Master!$B$50:$N$232,11,FALSE)</f>
        <v>#N/A</v>
      </c>
      <c r="F354" s="318">
        <v>1</v>
      </c>
      <c r="G354" s="354" t="s">
        <v>36</v>
      </c>
      <c r="H354" s="320">
        <v>130000</v>
      </c>
      <c r="I354" s="321" t="b">
        <v>0</v>
      </c>
      <c r="J354" s="322"/>
      <c r="K354" s="323" t="e">
        <f>VLOOKUP($A354,Master!$B$50:$N$232,6,FALSE)</f>
        <v>#N/A</v>
      </c>
      <c r="L354" s="324" t="e">
        <f t="shared" si="23"/>
        <v>#N/A</v>
      </c>
      <c r="M354" s="325" t="s">
        <v>1632</v>
      </c>
    </row>
    <row r="355" spans="1:13" ht="13">
      <c r="A355" s="18" t="s">
        <v>1621</v>
      </c>
      <c r="B355" s="316" t="e">
        <f>VLOOKUP($A355,Master!$B$50:$N$232,2,FALSE)</f>
        <v>#N/A</v>
      </c>
      <c r="C355" s="316" t="e">
        <f>VLOOKUP($A355,Master!$B$50:$N$232,8,FALSE)</f>
        <v>#N/A</v>
      </c>
      <c r="D355" s="316" t="e">
        <f>VLOOKUP($A355,Master!$B$50:$N$232,9,FALSE)</f>
        <v>#N/A</v>
      </c>
      <c r="E355" s="317" t="e">
        <f>VLOOKUP($A355,Master!$B$50:$N$232,11,FALSE)</f>
        <v>#N/A</v>
      </c>
      <c r="F355" s="318">
        <v>1</v>
      </c>
      <c r="G355" s="354" t="s">
        <v>62</v>
      </c>
      <c r="H355" s="320">
        <v>85000</v>
      </c>
      <c r="I355" s="321" t="b">
        <v>1</v>
      </c>
      <c r="J355" s="322">
        <v>1</v>
      </c>
      <c r="K355" s="323">
        <v>75000</v>
      </c>
      <c r="L355" s="324">
        <f t="shared" si="23"/>
        <v>75000</v>
      </c>
      <c r="M355" s="325"/>
    </row>
    <row r="356" spans="1:13" ht="13">
      <c r="A356" s="18" t="s">
        <v>862</v>
      </c>
      <c r="B356" s="316" t="str">
        <f>VLOOKUP($A356,Master!$B$50:$N$232,2,FALSE)</f>
        <v>B089</v>
      </c>
      <c r="C356" s="316">
        <f>VLOOKUP($A356,Master!$B$50:$N$232,8,FALSE)</f>
        <v>100</v>
      </c>
      <c r="D356" s="316" t="str">
        <f>VLOOKUP($A356,Master!$B$50:$N$232,9,FALSE)</f>
        <v>Pcs</v>
      </c>
      <c r="E356" s="317" t="str">
        <f>VLOOKUP($A356,Master!$B$50:$N$232,11,FALSE)</f>
        <v>B5 Coffee &amp; Roastery</v>
      </c>
      <c r="F356" s="318">
        <v>1</v>
      </c>
      <c r="G356" s="354" t="s">
        <v>62</v>
      </c>
      <c r="H356" s="320">
        <v>85000</v>
      </c>
      <c r="I356" s="321" t="b">
        <v>1</v>
      </c>
      <c r="J356" s="322">
        <v>1</v>
      </c>
      <c r="K356" s="323">
        <v>90000</v>
      </c>
      <c r="L356" s="324">
        <f t="shared" si="23"/>
        <v>90000</v>
      </c>
      <c r="M356" s="325"/>
    </row>
    <row r="357" spans="1:13" ht="13">
      <c r="A357" s="18" t="s">
        <v>877</v>
      </c>
      <c r="B357" s="316" t="str">
        <f>VLOOKUP($A357,Master!$B$50:$N$232,2,FALSE)</f>
        <v>B093</v>
      </c>
      <c r="C357" s="316">
        <f>VLOOKUP($A357,Master!$B$50:$N$232,8,FALSE)</f>
        <v>40</v>
      </c>
      <c r="D357" s="316" t="str">
        <f>VLOOKUP($A357,Master!$B$50:$N$232,9,FALSE)</f>
        <v>pcs</v>
      </c>
      <c r="E357" s="317" t="str">
        <f>VLOOKUP($A357,Master!$B$50:$N$232,11,FALSE)</f>
        <v>B5 Coffee &amp; Roastery</v>
      </c>
      <c r="F357" s="318">
        <v>1</v>
      </c>
      <c r="G357" s="354" t="s">
        <v>62</v>
      </c>
      <c r="H357" s="320">
        <v>35000</v>
      </c>
      <c r="I357" s="321" t="b">
        <v>1</v>
      </c>
      <c r="J357" s="322">
        <v>1</v>
      </c>
      <c r="K357" s="323">
        <v>50000</v>
      </c>
      <c r="L357" s="324">
        <f t="shared" si="23"/>
        <v>50000</v>
      </c>
      <c r="M357" s="325"/>
    </row>
    <row r="358" spans="1:13" ht="13">
      <c r="A358" s="18" t="s">
        <v>544</v>
      </c>
      <c r="B358" s="316" t="e">
        <f>VLOOKUP($A358,Master!$B$50:$N$232,2,FALSE)</f>
        <v>#N/A</v>
      </c>
      <c r="C358" s="316" t="e">
        <f>VLOOKUP($A358,Master!$B$50:$N$232,8,FALSE)</f>
        <v>#N/A</v>
      </c>
      <c r="D358" s="316" t="e">
        <f>VLOOKUP($A358,Master!$B$50:$N$232,9,FALSE)</f>
        <v>#N/A</v>
      </c>
      <c r="E358" s="317" t="e">
        <f>VLOOKUP($A358,Master!$B$50:$N$232,11,FALSE)</f>
        <v>#N/A</v>
      </c>
      <c r="F358" s="318">
        <v>3</v>
      </c>
      <c r="G358" s="354" t="s">
        <v>62</v>
      </c>
      <c r="H358" s="320">
        <v>45600</v>
      </c>
      <c r="I358" s="321" t="b">
        <v>1</v>
      </c>
      <c r="J358" s="322">
        <v>3</v>
      </c>
      <c r="K358" s="323">
        <v>24250</v>
      </c>
      <c r="L358" s="324">
        <v>48743</v>
      </c>
      <c r="M358" s="325"/>
    </row>
    <row r="359" spans="1:13" ht="13">
      <c r="A359" s="18" t="s">
        <v>586</v>
      </c>
      <c r="B359" s="316" t="str">
        <f>VLOOKUP($A359,Master!$B$50:$N$232,2,FALSE)</f>
        <v>B018</v>
      </c>
      <c r="C359" s="316">
        <f>VLOOKUP($A359,Master!$B$50:$N$232,8,FALSE)</f>
        <v>20</v>
      </c>
      <c r="D359" s="316" t="str">
        <f>VLOOKUP($A359,Master!$B$50:$N$232,9,FALSE)</f>
        <v>pcs</v>
      </c>
      <c r="E359" s="317" t="str">
        <f>VLOOKUP($A359,Master!$B$50:$N$232,11,FALSE)</f>
        <v>Kurnia Mas</v>
      </c>
      <c r="F359" s="318">
        <v>2</v>
      </c>
      <c r="G359" s="354" t="s">
        <v>62</v>
      </c>
      <c r="H359" s="320">
        <v>14600</v>
      </c>
      <c r="I359" s="321" t="b">
        <v>1</v>
      </c>
      <c r="J359" s="322">
        <v>2</v>
      </c>
      <c r="K359" s="323">
        <v>7550</v>
      </c>
      <c r="L359" s="324">
        <f t="shared" ref="L359:L404" si="24">J359*K359</f>
        <v>15100</v>
      </c>
      <c r="M359" s="325"/>
    </row>
    <row r="360" spans="1:13" ht="13">
      <c r="A360" s="18" t="s">
        <v>627</v>
      </c>
      <c r="B360" s="316" t="str">
        <f>VLOOKUP($A360,Master!$B$50:$N$232,2,FALSE)</f>
        <v>B029</v>
      </c>
      <c r="C360" s="316">
        <f>VLOOKUP($A360,Master!$B$50:$N$232,8,FALSE)</f>
        <v>1000</v>
      </c>
      <c r="D360" s="316" t="str">
        <f>VLOOKUP($A360,Master!$B$50:$N$232,9,FALSE)</f>
        <v>gr</v>
      </c>
      <c r="E360" s="317" t="str">
        <f>VLOOKUP($A360,Master!$B$50:$N$232,11,FALSE)</f>
        <v>Borma</v>
      </c>
      <c r="F360" s="318">
        <v>1</v>
      </c>
      <c r="G360" s="354" t="s">
        <v>36</v>
      </c>
      <c r="H360" s="320">
        <v>31900</v>
      </c>
      <c r="I360" s="321" t="b">
        <v>1</v>
      </c>
      <c r="J360" s="322">
        <v>1.304</v>
      </c>
      <c r="K360" s="323">
        <v>27500</v>
      </c>
      <c r="L360" s="324">
        <f t="shared" si="24"/>
        <v>35860</v>
      </c>
      <c r="M360" s="325"/>
    </row>
    <row r="361" spans="1:13" ht="13">
      <c r="A361" s="18" t="s">
        <v>631</v>
      </c>
      <c r="B361" s="316" t="str">
        <f>VLOOKUP($A361,Master!$B$50:$N$232,2,FALSE)</f>
        <v>B030</v>
      </c>
      <c r="C361" s="316">
        <f>VLOOKUP($A361,Master!$B$50:$N$232,8,FALSE)</f>
        <v>1000</v>
      </c>
      <c r="D361" s="316" t="str">
        <f>VLOOKUP($A361,Master!$B$50:$N$232,9,FALSE)</f>
        <v>gr</v>
      </c>
      <c r="E361" s="317" t="str">
        <f>VLOOKUP($A361,Master!$B$50:$N$232,11,FALSE)</f>
        <v>Borma</v>
      </c>
      <c r="F361" s="318">
        <v>1</v>
      </c>
      <c r="G361" s="354" t="s">
        <v>36</v>
      </c>
      <c r="H361" s="320">
        <v>16000</v>
      </c>
      <c r="I361" s="321" t="b">
        <v>1</v>
      </c>
      <c r="J361" s="322">
        <v>1</v>
      </c>
      <c r="K361" s="323">
        <v>15000</v>
      </c>
      <c r="L361" s="324">
        <f t="shared" si="24"/>
        <v>15000</v>
      </c>
      <c r="M361" s="325"/>
    </row>
    <row r="362" spans="1:13" ht="13">
      <c r="A362" s="18" t="s">
        <v>1501</v>
      </c>
      <c r="B362" s="316" t="e">
        <f>VLOOKUP($A362,Master!$B$50:$N$232,2,FALSE)</f>
        <v>#N/A</v>
      </c>
      <c r="C362" s="316" t="e">
        <f>VLOOKUP($A362,Master!$B$50:$N$232,8,FALSE)</f>
        <v>#N/A</v>
      </c>
      <c r="D362" s="316" t="e">
        <f>VLOOKUP($A362,Master!$B$50:$N$232,9,FALSE)</f>
        <v>#N/A</v>
      </c>
      <c r="E362" s="317" t="e">
        <f>VLOOKUP($A362,Master!$B$50:$N$232,11,FALSE)</f>
        <v>#N/A</v>
      </c>
      <c r="F362" s="318">
        <v>1</v>
      </c>
      <c r="G362" s="354" t="s">
        <v>36</v>
      </c>
      <c r="H362" s="320">
        <v>4050</v>
      </c>
      <c r="I362" s="321" t="b">
        <v>1</v>
      </c>
      <c r="J362" s="322">
        <v>0.14399999999999999</v>
      </c>
      <c r="K362" s="323">
        <v>30000</v>
      </c>
      <c r="L362" s="324">
        <f t="shared" si="24"/>
        <v>4320</v>
      </c>
      <c r="M362" s="325"/>
    </row>
    <row r="363" spans="1:13" ht="13">
      <c r="A363" s="18" t="s">
        <v>970</v>
      </c>
      <c r="B363" s="316" t="str">
        <f>VLOOKUP($A363,Master!$B$50:$N$232,2,FALSE)</f>
        <v>B126</v>
      </c>
      <c r="C363" s="316">
        <f>VLOOKUP($A363,Master!$B$50:$N$232,8,FALSE)</f>
        <v>35</v>
      </c>
      <c r="D363" s="316" t="str">
        <f>VLOOKUP($A363,Master!$B$50:$N$232,9,FALSE)</f>
        <v>gr</v>
      </c>
      <c r="E363" s="317" t="str">
        <f>VLOOKUP($A363,Master!$B$50:$N$232,11,FALSE)</f>
        <v>Tokopedia</v>
      </c>
      <c r="F363" s="318">
        <v>2</v>
      </c>
      <c r="G363" s="354" t="s">
        <v>75</v>
      </c>
      <c r="H363" s="320">
        <v>33000</v>
      </c>
      <c r="I363" s="321" t="b">
        <v>0</v>
      </c>
      <c r="J363" s="322"/>
      <c r="K363" s="326">
        <f>VLOOKUP($A363,Master!$B$50:$N$232,6,FALSE)</f>
        <v>21000</v>
      </c>
      <c r="L363" s="327">
        <f t="shared" si="24"/>
        <v>0</v>
      </c>
      <c r="M363" s="325"/>
    </row>
    <row r="364" spans="1:13" ht="13">
      <c r="A364" s="18" t="s">
        <v>1094</v>
      </c>
      <c r="B364" s="316" t="e">
        <f>VLOOKUP($A364,Master!$B$50:$N$232,2,FALSE)</f>
        <v>#N/A</v>
      </c>
      <c r="C364" s="316" t="e">
        <f>VLOOKUP($A364,Master!$B$50:$N$232,8,FALSE)</f>
        <v>#N/A</v>
      </c>
      <c r="D364" s="316" t="e">
        <f>VLOOKUP($A364,Master!$B$50:$N$232,9,FALSE)</f>
        <v>#N/A</v>
      </c>
      <c r="E364" s="317" t="e">
        <f>VLOOKUP($A364,Master!$B$50:$N$232,11,FALSE)</f>
        <v>#N/A</v>
      </c>
      <c r="F364" s="318">
        <v>2</v>
      </c>
      <c r="G364" s="354" t="s">
        <v>62</v>
      </c>
      <c r="H364" s="320">
        <v>34600</v>
      </c>
      <c r="I364" s="321" t="b">
        <v>1</v>
      </c>
      <c r="J364" s="322">
        <v>2</v>
      </c>
      <c r="K364" s="323">
        <v>19650</v>
      </c>
      <c r="L364" s="324">
        <f t="shared" si="24"/>
        <v>39300</v>
      </c>
      <c r="M364" s="325"/>
    </row>
    <row r="365" spans="1:13" ht="13">
      <c r="A365" s="18" t="s">
        <v>851</v>
      </c>
      <c r="B365" s="316" t="e">
        <f>VLOOKUP($A365,Master!$B$50:$N$232,2,FALSE)</f>
        <v>#N/A</v>
      </c>
      <c r="C365" s="336" t="e">
        <f>VLOOKUP($A365,Master!$B$50:$N$232,8,FALSE)</f>
        <v>#N/A</v>
      </c>
      <c r="D365" s="316" t="e">
        <f>VLOOKUP($A365,Master!$B$50:$N$232,9,FALSE)</f>
        <v>#N/A</v>
      </c>
      <c r="E365" s="317" t="e">
        <f>VLOOKUP($A365,Master!$B$50:$N$232,11,FALSE)</f>
        <v>#N/A</v>
      </c>
      <c r="F365" s="318">
        <v>3</v>
      </c>
      <c r="G365" s="354" t="s">
        <v>143</v>
      </c>
      <c r="H365" s="320">
        <v>90000</v>
      </c>
      <c r="I365" s="321" t="b">
        <v>1</v>
      </c>
      <c r="J365" s="322">
        <v>3</v>
      </c>
      <c r="K365" s="323">
        <v>30400</v>
      </c>
      <c r="L365" s="324">
        <f t="shared" si="24"/>
        <v>91200</v>
      </c>
      <c r="M365" s="325"/>
    </row>
    <row r="366" spans="1:13" ht="13">
      <c r="A366" s="18" t="s">
        <v>574</v>
      </c>
      <c r="B366" s="316" t="e">
        <f>VLOOKUP($A366,Master!$B$50:$N$232,2,FALSE)</f>
        <v>#N/A</v>
      </c>
      <c r="C366" s="316" t="e">
        <f>VLOOKUP($A366,Master!$B$50:$N$232,8,FALSE)</f>
        <v>#N/A</v>
      </c>
      <c r="D366" s="316" t="e">
        <f>VLOOKUP($A366,Master!$B$50:$N$232,9,FALSE)</f>
        <v>#N/A</v>
      </c>
      <c r="E366" s="317" t="e">
        <f>VLOOKUP($A366,Master!$B$50:$N$232,11,FALSE)</f>
        <v>#N/A</v>
      </c>
      <c r="F366" s="318">
        <v>1</v>
      </c>
      <c r="G366" s="354" t="s">
        <v>62</v>
      </c>
      <c r="H366" s="320">
        <v>170000</v>
      </c>
      <c r="I366" s="321" t="b">
        <v>1</v>
      </c>
      <c r="J366" s="322">
        <v>1</v>
      </c>
      <c r="K366" s="326" t="e">
        <f>VLOOKUP($A366,Master!$B$50:$N$232,6,FALSE)</f>
        <v>#N/A</v>
      </c>
      <c r="L366" s="327" t="e">
        <f t="shared" si="24"/>
        <v>#N/A</v>
      </c>
      <c r="M366" s="325" t="s">
        <v>1633</v>
      </c>
    </row>
    <row r="367" spans="1:13" ht="13">
      <c r="A367" s="18" t="s">
        <v>578</v>
      </c>
      <c r="B367" s="316" t="e">
        <f>VLOOKUP($A367,Master!$B$50:$N$232,2,FALSE)</f>
        <v>#N/A</v>
      </c>
      <c r="C367" s="316" t="e">
        <f>VLOOKUP($A367,Master!$B$50:$N$232,8,FALSE)</f>
        <v>#N/A</v>
      </c>
      <c r="D367" s="316" t="e">
        <f>VLOOKUP($A367,Master!$B$50:$N$232,9,FALSE)</f>
        <v>#N/A</v>
      </c>
      <c r="E367" s="317" t="e">
        <f>VLOOKUP($A367,Master!$B$50:$N$232,11,FALSE)</f>
        <v>#N/A</v>
      </c>
      <c r="F367" s="318">
        <v>1</v>
      </c>
      <c r="G367" s="354" t="s">
        <v>62</v>
      </c>
      <c r="H367" s="320">
        <v>220000</v>
      </c>
      <c r="I367" s="321" t="b">
        <v>1</v>
      </c>
      <c r="J367" s="322">
        <v>1</v>
      </c>
      <c r="K367" s="326" t="e">
        <f>VLOOKUP($A367,Master!$B$50:$N$232,6,FALSE)</f>
        <v>#N/A</v>
      </c>
      <c r="L367" s="327" t="e">
        <f t="shared" si="24"/>
        <v>#N/A</v>
      </c>
      <c r="M367" s="325" t="s">
        <v>1633</v>
      </c>
    </row>
    <row r="368" spans="1:13" ht="13">
      <c r="A368" s="18" t="s">
        <v>696</v>
      </c>
      <c r="B368" s="316" t="e">
        <f>VLOOKUP($A368,Master!$B$50:$N$232,2,FALSE)</f>
        <v>#N/A</v>
      </c>
      <c r="C368" s="316" t="e">
        <f>VLOOKUP($A368,Master!$B$50:$N$232,8,FALSE)</f>
        <v>#N/A</v>
      </c>
      <c r="D368" s="316" t="e">
        <f>VLOOKUP($A368,Master!$B$50:$N$232,9,FALSE)</f>
        <v>#N/A</v>
      </c>
      <c r="E368" s="317" t="e">
        <f>VLOOKUP($A368,Master!$B$50:$N$232,11,FALSE)</f>
        <v>#N/A</v>
      </c>
      <c r="F368" s="318">
        <v>8</v>
      </c>
      <c r="G368" s="354" t="s">
        <v>62</v>
      </c>
      <c r="H368" s="320">
        <v>112000</v>
      </c>
      <c r="I368" s="321" t="b">
        <v>1</v>
      </c>
      <c r="J368" s="322">
        <v>8</v>
      </c>
      <c r="K368" s="323">
        <v>12750</v>
      </c>
      <c r="L368" s="324">
        <f t="shared" si="24"/>
        <v>102000</v>
      </c>
      <c r="M368" s="325" t="s">
        <v>1634</v>
      </c>
    </row>
    <row r="369" spans="1:13" ht="13">
      <c r="A369" s="18" t="s">
        <v>716</v>
      </c>
      <c r="B369" s="316" t="str">
        <f>VLOOKUP($A369,Master!$B$50:$N$232,2,FALSE)</f>
        <v>B051</v>
      </c>
      <c r="C369" s="316">
        <f>VLOOKUP($A369,Master!$B$50:$N$232,8,FALSE)</f>
        <v>1000</v>
      </c>
      <c r="D369" s="316" t="str">
        <f>VLOOKUP($A369,Master!$B$50:$N$232,9,FALSE)</f>
        <v>gr</v>
      </c>
      <c r="E369" s="317" t="str">
        <f>VLOOKUP($A369,Master!$B$50:$N$232,11,FALSE)</f>
        <v>Eden Farm</v>
      </c>
      <c r="F369" s="318">
        <v>1</v>
      </c>
      <c r="G369" s="354" t="s">
        <v>36</v>
      </c>
      <c r="H369" s="320">
        <v>41700</v>
      </c>
      <c r="I369" s="321" t="b">
        <v>1</v>
      </c>
      <c r="J369" s="322">
        <v>1</v>
      </c>
      <c r="K369" s="323">
        <v>41200</v>
      </c>
      <c r="L369" s="324">
        <f t="shared" si="24"/>
        <v>41200</v>
      </c>
      <c r="M369" s="325"/>
    </row>
    <row r="370" spans="1:13" ht="13">
      <c r="A370" s="18" t="s">
        <v>732</v>
      </c>
      <c r="B370" s="316" t="str">
        <f>VLOOKUP($A370,Master!$B$50:$N$232,2,FALSE)</f>
        <v>B055</v>
      </c>
      <c r="C370" s="316">
        <f>VLOOKUP($A370,Master!$B$50:$N$232,8,FALSE)</f>
        <v>1000</v>
      </c>
      <c r="D370" s="316" t="str">
        <f>VLOOKUP($A370,Master!$B$50:$N$232,9,FALSE)</f>
        <v>gr</v>
      </c>
      <c r="E370" s="317" t="str">
        <f>VLOOKUP($A370,Master!$B$50:$N$232,11,FALSE)</f>
        <v>Eden Farm</v>
      </c>
      <c r="F370" s="318">
        <v>1</v>
      </c>
      <c r="G370" s="354" t="s">
        <v>36</v>
      </c>
      <c r="H370" s="320">
        <v>18900</v>
      </c>
      <c r="I370" s="321" t="b">
        <v>1</v>
      </c>
      <c r="J370" s="322">
        <v>1</v>
      </c>
      <c r="K370" s="323">
        <v>18100</v>
      </c>
      <c r="L370" s="324">
        <f t="shared" si="24"/>
        <v>18100</v>
      </c>
      <c r="M370" s="325"/>
    </row>
    <row r="371" spans="1:13" ht="13">
      <c r="A371" s="18" t="s">
        <v>782</v>
      </c>
      <c r="B371" s="316" t="str">
        <f>VLOOKUP($A371,Master!$B$50:$N$232,2,FALSE)</f>
        <v>B069</v>
      </c>
      <c r="C371" s="316">
        <f>VLOOKUP($A371,Master!$B$50:$N$232,8,FALSE)</f>
        <v>500</v>
      </c>
      <c r="D371" s="316" t="str">
        <f>VLOOKUP($A371,Master!$B$50:$N$232,9,FALSE)</f>
        <v>gr</v>
      </c>
      <c r="E371" s="317" t="str">
        <f>VLOOKUP($A371,Master!$B$50:$N$232,11,FALSE)</f>
        <v>Toko Lain</v>
      </c>
      <c r="F371" s="318">
        <v>1</v>
      </c>
      <c r="G371" s="354" t="s">
        <v>62</v>
      </c>
      <c r="H371" s="320">
        <v>7500</v>
      </c>
      <c r="I371" s="321" t="b">
        <v>1</v>
      </c>
      <c r="J371" s="322">
        <v>1</v>
      </c>
      <c r="K371" s="323">
        <v>7700</v>
      </c>
      <c r="L371" s="324">
        <f t="shared" si="24"/>
        <v>7700</v>
      </c>
      <c r="M371" s="325"/>
    </row>
    <row r="372" spans="1:13" ht="13">
      <c r="A372" s="18" t="s">
        <v>791</v>
      </c>
      <c r="B372" s="316" t="e">
        <f>VLOOKUP($A372,Master!$B$50:$N$232,2,FALSE)</f>
        <v>#N/A</v>
      </c>
      <c r="C372" s="316" t="e">
        <f>VLOOKUP($A372,Master!$B$50:$N$232,8,FALSE)</f>
        <v>#N/A</v>
      </c>
      <c r="D372" s="316" t="e">
        <f>VLOOKUP($A372,Master!$B$50:$N$232,9,FALSE)</f>
        <v>#N/A</v>
      </c>
      <c r="E372" s="317" t="e">
        <f>VLOOKUP($A372,Master!$B$50:$N$232,11,FALSE)</f>
        <v>#N/A</v>
      </c>
      <c r="F372" s="318">
        <v>1</v>
      </c>
      <c r="G372" s="354" t="s">
        <v>75</v>
      </c>
      <c r="H372" s="320">
        <v>365000</v>
      </c>
      <c r="I372" s="321" t="b">
        <v>0</v>
      </c>
      <c r="J372" s="322"/>
      <c r="K372" s="326" t="e">
        <f>VLOOKUP($A372,Master!$B$50:$N$232,6,FALSE)</f>
        <v>#N/A</v>
      </c>
      <c r="L372" s="327" t="e">
        <f t="shared" si="24"/>
        <v>#N/A</v>
      </c>
      <c r="M372" s="325" t="s">
        <v>1635</v>
      </c>
    </row>
    <row r="373" spans="1:13" ht="13">
      <c r="A373" s="18" t="s">
        <v>1092</v>
      </c>
      <c r="B373" s="316" t="e">
        <f>VLOOKUP($A373,Master!$B$50:$N$232,2,FALSE)</f>
        <v>#N/A</v>
      </c>
      <c r="C373" s="316" t="e">
        <f>VLOOKUP($A373,Master!$B$50:$N$232,8,FALSE)</f>
        <v>#N/A</v>
      </c>
      <c r="D373" s="316" t="e">
        <f>VLOOKUP($A373,Master!$B$50:$N$232,9,FALSE)</f>
        <v>#N/A</v>
      </c>
      <c r="E373" s="337" t="e">
        <f>VLOOKUP($A373,Master!$B$50:$N$232,11,FALSE)</f>
        <v>#N/A</v>
      </c>
      <c r="F373" s="318">
        <v>3</v>
      </c>
      <c r="G373" s="354" t="s">
        <v>62</v>
      </c>
      <c r="H373" s="320">
        <v>43500</v>
      </c>
      <c r="I373" s="321" t="b">
        <v>0</v>
      </c>
      <c r="J373" s="322"/>
      <c r="K373" s="323" t="e">
        <f>VLOOKUP($A373,Master!$B$50:$N$232,6,FALSE)</f>
        <v>#N/A</v>
      </c>
      <c r="L373" s="324" t="e">
        <f t="shared" si="24"/>
        <v>#N/A</v>
      </c>
      <c r="M373" s="325" t="s">
        <v>1635</v>
      </c>
    </row>
    <row r="374" spans="1:13" ht="13">
      <c r="A374" s="18" t="s">
        <v>1503</v>
      </c>
      <c r="B374" s="316" t="e">
        <f>VLOOKUP($A374,Master!$B$50:$N$232,2,FALSE)</f>
        <v>#N/A</v>
      </c>
      <c r="C374" s="316" t="e">
        <f>VLOOKUP($A374,Master!$B$50:$N$232,8,FALSE)</f>
        <v>#N/A</v>
      </c>
      <c r="D374" s="316" t="e">
        <f>VLOOKUP($A374,Master!$B$50:$N$232,9,FALSE)</f>
        <v>#N/A</v>
      </c>
      <c r="E374" s="317" t="e">
        <f>VLOOKUP($A374,Master!$B$50:$N$232,11,FALSE)</f>
        <v>#N/A</v>
      </c>
      <c r="F374" s="318">
        <v>1</v>
      </c>
      <c r="G374" s="354" t="s">
        <v>97</v>
      </c>
      <c r="H374" s="320">
        <v>137000</v>
      </c>
      <c r="I374" s="321" t="b">
        <v>1</v>
      </c>
      <c r="J374" s="322">
        <v>1</v>
      </c>
      <c r="K374" s="323" t="e">
        <f>VLOOKUP($A374,Master!$B$50:$N$232,6,FALSE)</f>
        <v>#N/A</v>
      </c>
      <c r="L374" s="324" t="e">
        <f t="shared" si="24"/>
        <v>#N/A</v>
      </c>
      <c r="M374" s="325" t="s">
        <v>76</v>
      </c>
    </row>
    <row r="375" spans="1:13" ht="13">
      <c r="A375" s="18" t="s">
        <v>675</v>
      </c>
      <c r="B375" s="316" t="str">
        <f>VLOOKUP($A375,Master!$B$50:$N$232,2,FALSE)</f>
        <v>B041</v>
      </c>
      <c r="C375" s="316">
        <f>VLOOKUP($A375,Master!$B$50:$N$232,8,FALSE)</f>
        <v>20</v>
      </c>
      <c r="D375" s="316" t="str">
        <f>VLOOKUP($A375,Master!$B$50:$N$232,9,FALSE)</f>
        <v>unit</v>
      </c>
      <c r="E375" s="317" t="str">
        <f>VLOOKUP($A375,Master!$B$50:$N$232,11,FALSE)</f>
        <v>RSB, Dago</v>
      </c>
      <c r="F375" s="318">
        <v>10</v>
      </c>
      <c r="G375" s="354" t="s">
        <v>62</v>
      </c>
      <c r="H375" s="320">
        <v>60000</v>
      </c>
      <c r="I375" s="321" t="b">
        <v>1</v>
      </c>
      <c r="J375" s="322">
        <v>30</v>
      </c>
      <c r="K375" s="323">
        <v>3000</v>
      </c>
      <c r="L375" s="324">
        <f t="shared" si="24"/>
        <v>90000</v>
      </c>
      <c r="M375" s="325" t="s">
        <v>1636</v>
      </c>
    </row>
    <row r="376" spans="1:13" ht="13">
      <c r="A376" s="18" t="s">
        <v>795</v>
      </c>
      <c r="B376" s="316" t="str">
        <f>VLOOKUP($A376,Master!$B$50:$N$232,2,FALSE)</f>
        <v>B073</v>
      </c>
      <c r="C376" s="316">
        <f>VLOOKUP($A376,Master!$B$50:$N$232,8,FALSE)</f>
        <v>10</v>
      </c>
      <c r="D376" s="316" t="str">
        <f>VLOOKUP($A376,Master!$B$50:$N$232,9,FALSE)</f>
        <v>unit</v>
      </c>
      <c r="E376" s="317" t="str">
        <f>VLOOKUP($A376,Master!$B$50:$N$232,11,FALSE)</f>
        <v>Toko Lain</v>
      </c>
      <c r="F376" s="318">
        <v>3</v>
      </c>
      <c r="G376" s="354" t="s">
        <v>62</v>
      </c>
      <c r="H376" s="320">
        <v>15000</v>
      </c>
      <c r="I376" s="321" t="b">
        <v>1</v>
      </c>
      <c r="J376" s="322">
        <v>3</v>
      </c>
      <c r="K376" s="323">
        <v>7800</v>
      </c>
      <c r="L376" s="324">
        <f t="shared" si="24"/>
        <v>23400</v>
      </c>
      <c r="M376" s="325" t="s">
        <v>169</v>
      </c>
    </row>
    <row r="377" spans="1:13" ht="13">
      <c r="A377" s="18" t="s">
        <v>528</v>
      </c>
      <c r="B377" s="316" t="e">
        <f>VLOOKUP($A377,Master!$B$50:$N$232,2,FALSE)</f>
        <v>#N/A</v>
      </c>
      <c r="C377" s="316" t="e">
        <f>VLOOKUP($A377,Master!$B$50:$N$232,8,FALSE)</f>
        <v>#N/A</v>
      </c>
      <c r="D377" s="316" t="e">
        <f>VLOOKUP($A377,Master!$B$50:$N$232,9,FALSE)</f>
        <v>#N/A</v>
      </c>
      <c r="E377" s="317" t="e">
        <f>VLOOKUP($A377,Master!$B$50:$N$232,11,FALSE)</f>
        <v>#N/A</v>
      </c>
      <c r="F377" s="318">
        <v>2</v>
      </c>
      <c r="G377" s="354" t="s">
        <v>50</v>
      </c>
      <c r="H377" s="320">
        <v>32000</v>
      </c>
      <c r="I377" s="321" t="b">
        <v>1</v>
      </c>
      <c r="J377" s="322">
        <v>2</v>
      </c>
      <c r="K377" s="326" t="e">
        <f>VLOOKUP($A377,Master!$B$50:$N$232,6,FALSE)</f>
        <v>#N/A</v>
      </c>
      <c r="L377" s="327" t="e">
        <f t="shared" si="24"/>
        <v>#N/A</v>
      </c>
      <c r="M377" s="325"/>
    </row>
    <row r="378" spans="1:13" ht="13">
      <c r="A378" s="18" t="s">
        <v>635</v>
      </c>
      <c r="B378" s="316" t="e">
        <f>VLOOKUP($A378,Master!$B$50:$N$232,2,FALSE)</f>
        <v>#N/A</v>
      </c>
      <c r="C378" s="316" t="e">
        <f>VLOOKUP($A378,Master!$B$50:$N$232,8,FALSE)</f>
        <v>#N/A</v>
      </c>
      <c r="D378" s="316" t="e">
        <f>VLOOKUP($A378,Master!$B$50:$N$232,9,FALSE)</f>
        <v>#N/A</v>
      </c>
      <c r="E378" s="317" t="e">
        <f>VLOOKUP($A378,Master!$B$50:$N$232,11,FALSE)</f>
        <v>#N/A</v>
      </c>
      <c r="F378" s="318">
        <v>8</v>
      </c>
      <c r="G378" s="354" t="s">
        <v>50</v>
      </c>
      <c r="H378" s="320">
        <v>75200</v>
      </c>
      <c r="I378" s="321" t="b">
        <v>1</v>
      </c>
      <c r="J378" s="322">
        <v>8</v>
      </c>
      <c r="K378" s="323">
        <v>10250</v>
      </c>
      <c r="L378" s="324">
        <f t="shared" si="24"/>
        <v>82000</v>
      </c>
      <c r="M378" s="325"/>
    </row>
    <row r="379" spans="1:13" ht="13">
      <c r="A379" s="18" t="s">
        <v>643</v>
      </c>
      <c r="B379" s="316" t="str">
        <f>VLOOKUP($A379,Master!$B$50:$N$232,2,FALSE)</f>
        <v>B033</v>
      </c>
      <c r="C379" s="316">
        <f>VLOOKUP($A379,Master!$B$50:$N$232,8,FALSE)</f>
        <v>1000</v>
      </c>
      <c r="D379" s="316" t="str">
        <f>VLOOKUP($A379,Master!$B$50:$N$232,9,FALSE)</f>
        <v>gr</v>
      </c>
      <c r="E379" s="317" t="str">
        <f>VLOOKUP($A379,Master!$B$50:$N$232,11,FALSE)</f>
        <v>PD Aroma Jaya</v>
      </c>
      <c r="F379" s="318">
        <v>1</v>
      </c>
      <c r="G379" s="354" t="s">
        <v>36</v>
      </c>
      <c r="H379" s="320">
        <v>16000</v>
      </c>
      <c r="I379" s="321" t="b">
        <v>1</v>
      </c>
      <c r="J379" s="322">
        <v>1</v>
      </c>
      <c r="K379" s="326">
        <f>VLOOKUP($A379,Master!$B$50:$N$232,6,FALSE)</f>
        <v>17000</v>
      </c>
      <c r="L379" s="327">
        <f t="shared" si="24"/>
        <v>17000</v>
      </c>
      <c r="M379" s="325"/>
    </row>
    <row r="380" spans="1:13" ht="13">
      <c r="A380" s="18" t="s">
        <v>680</v>
      </c>
      <c r="B380" s="316" t="e">
        <f>VLOOKUP($A380,Master!$B$50:$N$232,2,FALSE)</f>
        <v>#N/A</v>
      </c>
      <c r="C380" s="316" t="e">
        <f>VLOOKUP($A380,Master!$B$50:$N$232,8,FALSE)</f>
        <v>#N/A</v>
      </c>
      <c r="D380" s="316" t="e">
        <f>VLOOKUP($A380,Master!$B$50:$N$232,9,FALSE)</f>
        <v>#N/A</v>
      </c>
      <c r="E380" s="317" t="e">
        <f>VLOOKUP($A380,Master!$B$50:$N$232,11,FALSE)</f>
        <v>#N/A</v>
      </c>
      <c r="F380" s="318">
        <v>4</v>
      </c>
      <c r="G380" s="354" t="s">
        <v>97</v>
      </c>
      <c r="H380" s="320">
        <v>120000</v>
      </c>
      <c r="I380" s="321" t="b">
        <v>1</v>
      </c>
      <c r="J380" s="322">
        <v>4</v>
      </c>
      <c r="K380" s="326" t="e">
        <f>VLOOKUP($A380,Master!$B$50:$N$232,6,FALSE)</f>
        <v>#N/A</v>
      </c>
      <c r="L380" s="327" t="e">
        <f t="shared" si="24"/>
        <v>#N/A</v>
      </c>
      <c r="M380" s="325"/>
    </row>
    <row r="381" spans="1:13" ht="13">
      <c r="A381" s="18" t="s">
        <v>684</v>
      </c>
      <c r="B381" s="316" t="e">
        <f>VLOOKUP($A381,Master!$B$50:$N$232,2,FALSE)</f>
        <v>#N/A</v>
      </c>
      <c r="C381" s="316" t="e">
        <f>VLOOKUP($A381,Master!$B$50:$N$232,8,FALSE)</f>
        <v>#N/A</v>
      </c>
      <c r="D381" s="316" t="e">
        <f>VLOOKUP($A381,Master!$B$50:$N$232,9,FALSE)</f>
        <v>#N/A</v>
      </c>
      <c r="E381" s="317" t="e">
        <f>VLOOKUP($A381,Master!$B$50:$N$232,11,FALSE)</f>
        <v>#N/A</v>
      </c>
      <c r="F381" s="318">
        <v>1</v>
      </c>
      <c r="G381" s="354" t="s">
        <v>97</v>
      </c>
      <c r="H381" s="320">
        <v>30000</v>
      </c>
      <c r="I381" s="321" t="b">
        <v>1</v>
      </c>
      <c r="J381" s="322">
        <v>1</v>
      </c>
      <c r="K381" s="326" t="e">
        <f>VLOOKUP($A381,Master!$B$50:$N$232,6,FALSE)</f>
        <v>#N/A</v>
      </c>
      <c r="L381" s="327" t="e">
        <f t="shared" si="24"/>
        <v>#N/A</v>
      </c>
      <c r="M381" s="325"/>
    </row>
    <row r="382" spans="1:13" ht="13">
      <c r="A382" s="18" t="s">
        <v>688</v>
      </c>
      <c r="B382" s="316" t="e">
        <f>VLOOKUP($A382,Master!$B$50:$N$232,2,FALSE)</f>
        <v>#N/A</v>
      </c>
      <c r="C382" s="316" t="e">
        <f>VLOOKUP($A382,Master!$B$50:$N$232,8,FALSE)</f>
        <v>#N/A</v>
      </c>
      <c r="D382" s="316" t="e">
        <f>VLOOKUP($A382,Master!$B$50:$N$232,9,FALSE)</f>
        <v>#N/A</v>
      </c>
      <c r="E382" s="317" t="e">
        <f>VLOOKUP($A382,Master!$B$50:$N$232,11,FALSE)</f>
        <v>#N/A</v>
      </c>
      <c r="F382" s="318">
        <v>2</v>
      </c>
      <c r="G382" s="354" t="s">
        <v>62</v>
      </c>
      <c r="H382" s="320">
        <v>125000</v>
      </c>
      <c r="I382" s="321" t="b">
        <v>1</v>
      </c>
      <c r="J382" s="322">
        <v>2</v>
      </c>
      <c r="K382" s="323">
        <v>62000</v>
      </c>
      <c r="L382" s="324">
        <f t="shared" si="24"/>
        <v>124000</v>
      </c>
      <c r="M382" s="325"/>
    </row>
    <row r="383" spans="1:13" ht="13">
      <c r="A383" s="18" t="s">
        <v>748</v>
      </c>
      <c r="B383" s="316" t="e">
        <f>VLOOKUP($A383,Master!$B$50:$N$232,2,FALSE)</f>
        <v>#N/A</v>
      </c>
      <c r="C383" s="316" t="e">
        <f>VLOOKUP($A383,Master!$B$50:$N$232,8,FALSE)</f>
        <v>#N/A</v>
      </c>
      <c r="D383" s="316" t="e">
        <f>VLOOKUP($A383,Master!$B$50:$N$232,9,FALSE)</f>
        <v>#N/A</v>
      </c>
      <c r="E383" s="317" t="e">
        <f>VLOOKUP($A383,Master!$B$50:$N$232,11,FALSE)</f>
        <v>#N/A</v>
      </c>
      <c r="F383" s="318">
        <v>1</v>
      </c>
      <c r="G383" s="354" t="s">
        <v>62</v>
      </c>
      <c r="H383" s="320">
        <v>27500</v>
      </c>
      <c r="I383" s="321" t="b">
        <v>1</v>
      </c>
      <c r="J383" s="322">
        <v>1</v>
      </c>
      <c r="K383" s="326" t="e">
        <f>VLOOKUP($A383,Master!$B$50:$N$232,6,FALSE)</f>
        <v>#N/A</v>
      </c>
      <c r="L383" s="327" t="e">
        <f t="shared" si="24"/>
        <v>#N/A</v>
      </c>
      <c r="M383" s="325"/>
    </row>
    <row r="384" spans="1:13" ht="13">
      <c r="A384" s="18" t="s">
        <v>773</v>
      </c>
      <c r="B384" s="316" t="e">
        <f>VLOOKUP($A384,Master!$B$50:$N$232,2,FALSE)</f>
        <v>#N/A</v>
      </c>
      <c r="C384" s="316" t="e">
        <f>VLOOKUP($A384,Master!$B$50:$N$232,8,FALSE)</f>
        <v>#N/A</v>
      </c>
      <c r="D384" s="316" t="e">
        <f>VLOOKUP($A384,Master!$B$50:$N$232,9,FALSE)</f>
        <v>#N/A</v>
      </c>
      <c r="E384" s="317" t="e">
        <f>VLOOKUP($A384,Master!$B$50:$N$232,11,FALSE)</f>
        <v>#N/A</v>
      </c>
      <c r="F384" s="318">
        <v>3</v>
      </c>
      <c r="G384" s="354" t="s">
        <v>62</v>
      </c>
      <c r="H384" s="320">
        <v>42000</v>
      </c>
      <c r="I384" s="321" t="b">
        <v>1</v>
      </c>
      <c r="J384" s="322">
        <v>3</v>
      </c>
      <c r="K384" s="326" t="e">
        <f>VLOOKUP($A384,Master!$B$50:$N$232,6,FALSE)</f>
        <v>#N/A</v>
      </c>
      <c r="L384" s="327" t="e">
        <f t="shared" si="24"/>
        <v>#N/A</v>
      </c>
      <c r="M384" s="325"/>
    </row>
    <row r="385" spans="1:13" ht="13">
      <c r="A385" s="18" t="s">
        <v>787</v>
      </c>
      <c r="B385" s="316" t="e">
        <f>VLOOKUP($A385,Master!$B$50:$N$232,2,FALSE)</f>
        <v>#N/A</v>
      </c>
      <c r="C385" s="316" t="e">
        <f>VLOOKUP($A385,Master!$B$50:$N$232,8,FALSE)</f>
        <v>#N/A</v>
      </c>
      <c r="D385" s="316" t="e">
        <f>VLOOKUP($A385,Master!$B$50:$N$232,9,FALSE)</f>
        <v>#N/A</v>
      </c>
      <c r="E385" s="317" t="e">
        <f>VLOOKUP($A385,Master!$B$50:$N$232,11,FALSE)</f>
        <v>#N/A</v>
      </c>
      <c r="F385" s="318">
        <v>1</v>
      </c>
      <c r="G385" s="354" t="s">
        <v>97</v>
      </c>
      <c r="H385" s="320">
        <v>20250</v>
      </c>
      <c r="I385" s="321" t="b">
        <v>1</v>
      </c>
      <c r="J385" s="322">
        <v>1</v>
      </c>
      <c r="K385" s="326" t="e">
        <f>VLOOKUP($A385,Master!$B$50:$N$232,6,FALSE)</f>
        <v>#N/A</v>
      </c>
      <c r="L385" s="327" t="e">
        <f t="shared" si="24"/>
        <v>#N/A</v>
      </c>
      <c r="M385" s="325"/>
    </row>
    <row r="386" spans="1:13" ht="13">
      <c r="A386" s="18" t="s">
        <v>831</v>
      </c>
      <c r="B386" s="316" t="str">
        <f>VLOOKUP($A386,Master!$B$50:$N$232,2,FALSE)</f>
        <v>B082</v>
      </c>
      <c r="C386" s="316">
        <f>VLOOKUP($A386,Master!$B$50:$N$232,8,FALSE)</f>
        <v>1000</v>
      </c>
      <c r="D386" s="316" t="str">
        <f>VLOOKUP($A386,Master!$B$50:$N$232,9,FALSE)</f>
        <v>gr</v>
      </c>
      <c r="E386" s="317" t="str">
        <f>VLOOKUP($A386,Master!$B$50:$N$232,11,FALSE)</f>
        <v>PD Aroma Jaya</v>
      </c>
      <c r="F386" s="318">
        <v>1</v>
      </c>
      <c r="G386" s="354" t="s">
        <v>36</v>
      </c>
      <c r="H386" s="320">
        <v>9000</v>
      </c>
      <c r="I386" s="321" t="b">
        <v>1</v>
      </c>
      <c r="J386" s="322">
        <v>1</v>
      </c>
      <c r="K386" s="323">
        <v>18500</v>
      </c>
      <c r="L386" s="324">
        <f t="shared" si="24"/>
        <v>18500</v>
      </c>
      <c r="M386" s="325"/>
    </row>
    <row r="387" spans="1:13" ht="13">
      <c r="A387" s="18" t="s">
        <v>982</v>
      </c>
      <c r="B387" s="316" t="str">
        <f>VLOOKUP($A387,Master!$B$50:$N$232,2,FALSE)</f>
        <v>B130</v>
      </c>
      <c r="C387" s="316">
        <f>VLOOKUP($A387,Master!$B$50:$N$232,8,FALSE)</f>
        <v>12</v>
      </c>
      <c r="D387" s="316" t="str">
        <f>VLOOKUP($A387,Master!$B$50:$N$232,9,FALSE)</f>
        <v>pcs</v>
      </c>
      <c r="E387" s="317" t="str">
        <f>VLOOKUP($A387,Master!$B$50:$N$232,11,FALSE)</f>
        <v>PD Aroma Jaya</v>
      </c>
      <c r="F387" s="318">
        <v>3</v>
      </c>
      <c r="G387" s="354" t="s">
        <v>62</v>
      </c>
      <c r="H387" s="320">
        <v>66000</v>
      </c>
      <c r="I387" s="321" t="b">
        <v>1</v>
      </c>
      <c r="J387" s="322">
        <v>3</v>
      </c>
      <c r="K387" s="326">
        <f>VLOOKUP($A387,Master!$B$50:$N$232,6,FALSE)</f>
        <v>18000</v>
      </c>
      <c r="L387" s="327">
        <f t="shared" si="24"/>
        <v>54000</v>
      </c>
      <c r="M387" s="325"/>
    </row>
    <row r="388" spans="1:13" ht="13">
      <c r="A388" s="18" t="s">
        <v>989</v>
      </c>
      <c r="B388" s="316" t="str">
        <f>VLOOKUP($A388,Master!$B$50:$N$232,2,FALSE)</f>
        <v>B133</v>
      </c>
      <c r="C388" s="316">
        <f>VLOOKUP($A388,Master!$B$50:$N$232,8,FALSE)</f>
        <v>5000</v>
      </c>
      <c r="D388" s="316" t="str">
        <f>VLOOKUP($A388,Master!$B$50:$N$232,9,FALSE)</f>
        <v>ml</v>
      </c>
      <c r="E388" s="317" t="str">
        <f>VLOOKUP($A388,Master!$B$50:$N$232,11,FALSE)</f>
        <v>Kurnia Mas</v>
      </c>
      <c r="F388" s="318">
        <v>2</v>
      </c>
      <c r="G388" s="354" t="s">
        <v>62</v>
      </c>
      <c r="H388" s="320">
        <v>39000</v>
      </c>
      <c r="I388" s="321" t="b">
        <v>1</v>
      </c>
      <c r="J388" s="322">
        <v>2</v>
      </c>
      <c r="K388" s="326">
        <f>VLOOKUP($A388,Master!$B$50:$N$232,6,FALSE)</f>
        <v>54500</v>
      </c>
      <c r="L388" s="327">
        <f t="shared" si="24"/>
        <v>109000</v>
      </c>
      <c r="M388" s="325"/>
    </row>
    <row r="389" spans="1:13" ht="13">
      <c r="A389" s="18" t="s">
        <v>1106</v>
      </c>
      <c r="B389" s="316" t="e">
        <f>VLOOKUP($A389,Master!$B$50:$N$232,2,FALSE)</f>
        <v>#N/A</v>
      </c>
      <c r="C389" s="316" t="e">
        <f>VLOOKUP($A389,Master!$B$50:$N$232,8,FALSE)</f>
        <v>#N/A</v>
      </c>
      <c r="D389" s="316" t="e">
        <f>VLOOKUP($A389,Master!$B$50:$N$232,9,FALSE)</f>
        <v>#N/A</v>
      </c>
      <c r="E389" s="317" t="e">
        <f>VLOOKUP($A389,Master!$B$50:$N$232,11,FALSE)</f>
        <v>#N/A</v>
      </c>
      <c r="F389" s="318">
        <v>1</v>
      </c>
      <c r="G389" s="354" t="s">
        <v>62</v>
      </c>
      <c r="H389" s="320">
        <v>65000</v>
      </c>
      <c r="I389" s="321" t="b">
        <v>1</v>
      </c>
      <c r="J389" s="322">
        <v>1</v>
      </c>
      <c r="K389" s="323" t="e">
        <f>VLOOKUP($A389,Master!$B$50:$N$232,6,FALSE)</f>
        <v>#N/A</v>
      </c>
      <c r="L389" s="324" t="e">
        <f t="shared" si="24"/>
        <v>#N/A</v>
      </c>
      <c r="M389" s="325"/>
    </row>
    <row r="390" spans="1:13" ht="13">
      <c r="A390" s="18" t="s">
        <v>562</v>
      </c>
      <c r="B390" s="316" t="e">
        <f>VLOOKUP($A390,Master!$B$50:$N$232,2,FALSE)</f>
        <v>#N/A</v>
      </c>
      <c r="C390" s="316" t="e">
        <f>VLOOKUP($A390,Master!$B$50:$N$232,8,FALSE)</f>
        <v>#N/A</v>
      </c>
      <c r="D390" s="316" t="e">
        <f>VLOOKUP($A390,Master!$B$50:$N$232,9,FALSE)</f>
        <v>#N/A</v>
      </c>
      <c r="E390" s="317" t="e">
        <f>VLOOKUP($A390,Master!$B$50:$N$232,11,FALSE)</f>
        <v>#N/A</v>
      </c>
      <c r="F390" s="318">
        <v>1</v>
      </c>
      <c r="G390" s="354" t="s">
        <v>97</v>
      </c>
      <c r="H390" s="320">
        <v>216450</v>
      </c>
      <c r="I390" s="321" t="b">
        <v>1</v>
      </c>
      <c r="J390" s="322">
        <v>1</v>
      </c>
      <c r="K390" s="323">
        <v>195000</v>
      </c>
      <c r="L390" s="324">
        <f t="shared" si="24"/>
        <v>195000</v>
      </c>
      <c r="M390" s="325"/>
    </row>
    <row r="391" spans="1:13" ht="13">
      <c r="A391" s="18" t="s">
        <v>566</v>
      </c>
      <c r="B391" s="316" t="e">
        <f>VLOOKUP($A391,Master!$B$50:$N$232,2,FALSE)</f>
        <v>#N/A</v>
      </c>
      <c r="C391" s="316" t="e">
        <f>VLOOKUP($A391,Master!$B$50:$N$232,8,FALSE)</f>
        <v>#N/A</v>
      </c>
      <c r="D391" s="316" t="e">
        <f>VLOOKUP($A391,Master!$B$50:$N$232,9,FALSE)</f>
        <v>#N/A</v>
      </c>
      <c r="E391" s="317" t="e">
        <f>VLOOKUP($A391,Master!$B$50:$N$232,11,FALSE)</f>
        <v>#N/A</v>
      </c>
      <c r="F391" s="318">
        <v>1</v>
      </c>
      <c r="G391" s="354" t="s">
        <v>62</v>
      </c>
      <c r="H391" s="320">
        <v>224220</v>
      </c>
      <c r="I391" s="321" t="b">
        <v>1</v>
      </c>
      <c r="J391" s="322">
        <v>1</v>
      </c>
      <c r="K391" s="323">
        <v>202000</v>
      </c>
      <c r="L391" s="324">
        <f t="shared" si="24"/>
        <v>202000</v>
      </c>
      <c r="M391" s="325"/>
    </row>
    <row r="392" spans="1:13" ht="13">
      <c r="A392" s="18" t="s">
        <v>570</v>
      </c>
      <c r="B392" s="316" t="e">
        <f>VLOOKUP($A392,Master!$B$50:$N$232,2,FALSE)</f>
        <v>#N/A</v>
      </c>
      <c r="C392" s="316" t="e">
        <f>VLOOKUP($A392,Master!$B$50:$N$232,8,FALSE)</f>
        <v>#N/A</v>
      </c>
      <c r="D392" s="316" t="e">
        <f>VLOOKUP($A392,Master!$B$50:$N$232,9,FALSE)</f>
        <v>#N/A</v>
      </c>
      <c r="E392" s="317" t="e">
        <f>VLOOKUP($A392,Master!$B$50:$N$232,11,FALSE)</f>
        <v>#N/A</v>
      </c>
      <c r="F392" s="318">
        <v>1</v>
      </c>
      <c r="G392" s="354" t="s">
        <v>62</v>
      </c>
      <c r="H392" s="320">
        <v>224220</v>
      </c>
      <c r="I392" s="321" t="b">
        <v>1</v>
      </c>
      <c r="J392" s="322">
        <v>1</v>
      </c>
      <c r="K392" s="323">
        <v>135000</v>
      </c>
      <c r="L392" s="324">
        <f t="shared" si="24"/>
        <v>135000</v>
      </c>
      <c r="M392" s="325"/>
    </row>
    <row r="393" spans="1:13" ht="13">
      <c r="A393" s="18" t="s">
        <v>961</v>
      </c>
      <c r="B393" s="316" t="e">
        <f>VLOOKUP($A393,Master!$B$50:$N$232,2,FALSE)</f>
        <v>#N/A</v>
      </c>
      <c r="C393" s="316" t="e">
        <f>VLOOKUP($A393,Master!$B$50:$N$232,8,FALSE)</f>
        <v>#N/A</v>
      </c>
      <c r="D393" s="316" t="e">
        <f>VLOOKUP($A393,Master!$B$50:$N$232,9,FALSE)</f>
        <v>#N/A</v>
      </c>
      <c r="E393" s="317" t="e">
        <f>VLOOKUP($A393,Master!$B$50:$N$232,11,FALSE)</f>
        <v>#N/A</v>
      </c>
      <c r="F393" s="318">
        <v>2</v>
      </c>
      <c r="G393" s="354" t="s">
        <v>97</v>
      </c>
      <c r="H393" s="320">
        <v>188700</v>
      </c>
      <c r="I393" s="321" t="b">
        <v>1</v>
      </c>
      <c r="J393" s="322">
        <v>2</v>
      </c>
      <c r="K393" s="323">
        <v>85000</v>
      </c>
      <c r="L393" s="324">
        <f t="shared" si="24"/>
        <v>170000</v>
      </c>
      <c r="M393" s="325"/>
    </row>
    <row r="394" spans="1:13" ht="13">
      <c r="A394" s="18" t="s">
        <v>548</v>
      </c>
      <c r="B394" s="316" t="e">
        <f>VLOOKUP($A394,Master!$B$50:$N$232,2,FALSE)</f>
        <v>#N/A</v>
      </c>
      <c r="C394" s="316" t="e">
        <f>VLOOKUP($A394,Master!$B$50:$N$232,8,FALSE)</f>
        <v>#N/A</v>
      </c>
      <c r="D394" s="316" t="e">
        <f>VLOOKUP($A394,Master!$B$50:$N$232,9,FALSE)</f>
        <v>#N/A</v>
      </c>
      <c r="E394" s="317" t="e">
        <f>VLOOKUP($A394,Master!$B$50:$N$232,11,FALSE)</f>
        <v>#N/A</v>
      </c>
      <c r="F394" s="318">
        <v>1</v>
      </c>
      <c r="G394" s="354" t="s">
        <v>87</v>
      </c>
      <c r="H394" s="320">
        <v>157565</v>
      </c>
      <c r="I394" s="321" t="b">
        <v>1</v>
      </c>
      <c r="J394" s="322">
        <v>1</v>
      </c>
      <c r="K394" s="323">
        <v>141950</v>
      </c>
      <c r="L394" s="324">
        <f t="shared" si="24"/>
        <v>141950</v>
      </c>
      <c r="M394" s="325"/>
    </row>
    <row r="395" spans="1:13" ht="13">
      <c r="A395" s="18" t="s">
        <v>623</v>
      </c>
      <c r="B395" s="316" t="e">
        <f>VLOOKUP($A395,Master!$B$50:$N$232,2,FALSE)</f>
        <v>#N/A</v>
      </c>
      <c r="C395" s="316" t="e">
        <f>VLOOKUP($A395,Master!$B$50:$N$232,8,FALSE)</f>
        <v>#N/A</v>
      </c>
      <c r="D395" s="316" t="e">
        <f>VLOOKUP($A395,Master!$B$50:$N$232,9,FALSE)</f>
        <v>#N/A</v>
      </c>
      <c r="E395" s="317" t="e">
        <f>VLOOKUP($A395,Master!$B$50:$N$232,11,FALSE)</f>
        <v>#N/A</v>
      </c>
      <c r="F395" s="318">
        <v>4</v>
      </c>
      <c r="G395" s="354" t="s">
        <v>143</v>
      </c>
      <c r="H395" s="320">
        <v>727716</v>
      </c>
      <c r="I395" s="321" t="b">
        <v>1</v>
      </c>
      <c r="J395" s="322">
        <v>4</v>
      </c>
      <c r="K395" s="323">
        <v>163900</v>
      </c>
      <c r="L395" s="324">
        <f t="shared" si="24"/>
        <v>655600</v>
      </c>
      <c r="M395" s="325"/>
    </row>
    <row r="396" spans="1:13" ht="13">
      <c r="A396" s="18" t="s">
        <v>704</v>
      </c>
      <c r="B396" s="316" t="e">
        <f>VLOOKUP($A396,Master!$B$50:$N$232,2,FALSE)</f>
        <v>#N/A</v>
      </c>
      <c r="C396" s="316" t="e">
        <f>VLOOKUP($A396,Master!$B$50:$N$232,8,FALSE)</f>
        <v>#N/A</v>
      </c>
      <c r="D396" s="316" t="e">
        <f>VLOOKUP($A396,Master!$B$50:$N$232,9,FALSE)</f>
        <v>#N/A</v>
      </c>
      <c r="E396" s="317" t="e">
        <f>VLOOKUP($A396,Master!$B$50:$N$232,11,FALSE)</f>
        <v>#N/A</v>
      </c>
      <c r="F396" s="318">
        <v>3</v>
      </c>
      <c r="G396" s="354" t="s">
        <v>143</v>
      </c>
      <c r="H396" s="320">
        <v>608391</v>
      </c>
      <c r="I396" s="321" t="b">
        <v>1</v>
      </c>
      <c r="J396" s="322">
        <v>3</v>
      </c>
      <c r="K396" s="323">
        <v>182700</v>
      </c>
      <c r="L396" s="324">
        <f t="shared" si="24"/>
        <v>548100</v>
      </c>
      <c r="M396" s="325"/>
    </row>
    <row r="397" spans="1:13" ht="13">
      <c r="A397" s="18" t="s">
        <v>949</v>
      </c>
      <c r="B397" s="316" t="e">
        <f>VLOOKUP($A397,Master!$B$50:$N$232,2,FALSE)</f>
        <v>#N/A</v>
      </c>
      <c r="C397" s="316" t="e">
        <f>VLOOKUP($A397,Master!$B$50:$N$232,8,FALSE)</f>
        <v>#N/A</v>
      </c>
      <c r="D397" s="316" t="e">
        <f>VLOOKUP($A397,Master!$B$50:$N$232,9,FALSE)</f>
        <v>#N/A</v>
      </c>
      <c r="E397" s="317" t="e">
        <f>VLOOKUP($A397,Master!$B$50:$N$232,11,FALSE)</f>
        <v>#N/A</v>
      </c>
      <c r="F397" s="318">
        <v>2</v>
      </c>
      <c r="G397" s="354" t="s">
        <v>97</v>
      </c>
      <c r="H397" s="320">
        <v>51504</v>
      </c>
      <c r="I397" s="321" t="b">
        <v>1</v>
      </c>
      <c r="J397" s="322">
        <v>2</v>
      </c>
      <c r="K397" s="323">
        <v>23400</v>
      </c>
      <c r="L397" s="324">
        <f t="shared" si="24"/>
        <v>46800</v>
      </c>
      <c r="M397" s="325"/>
    </row>
    <row r="398" spans="1:13" ht="13">
      <c r="A398" s="18" t="s">
        <v>952</v>
      </c>
      <c r="B398" s="316" t="e">
        <f>VLOOKUP($A398,Master!$B$50:$N$232,2,FALSE)</f>
        <v>#N/A</v>
      </c>
      <c r="C398" s="316" t="e">
        <f>VLOOKUP($A398,Master!$B$50:$N$232,8,FALSE)</f>
        <v>#N/A</v>
      </c>
      <c r="D398" s="316" t="e">
        <f>VLOOKUP($A398,Master!$B$50:$N$232,9,FALSE)</f>
        <v>#N/A</v>
      </c>
      <c r="E398" s="317" t="e">
        <f>VLOOKUP($A398,Master!$B$50:$N$232,11,FALSE)</f>
        <v>#N/A</v>
      </c>
      <c r="F398" s="318">
        <v>1</v>
      </c>
      <c r="G398" s="354" t="s">
        <v>97</v>
      </c>
      <c r="H398" s="320">
        <v>30303</v>
      </c>
      <c r="I398" s="321" t="b">
        <v>1</v>
      </c>
      <c r="J398" s="322">
        <v>1</v>
      </c>
      <c r="K398" s="323">
        <v>23400</v>
      </c>
      <c r="L398" s="324">
        <f t="shared" si="24"/>
        <v>23400</v>
      </c>
      <c r="M398" s="325"/>
    </row>
    <row r="399" spans="1:13" ht="13">
      <c r="A399" s="18" t="s">
        <v>874</v>
      </c>
      <c r="B399" s="316" t="str">
        <f>VLOOKUP($A399,Master!$B$50:$N$232,2,FALSE)</f>
        <v>B092</v>
      </c>
      <c r="C399" s="316">
        <f>VLOOKUP($A399,Master!$B$50:$N$232,8,FALSE)</f>
        <v>10</v>
      </c>
      <c r="D399" s="316" t="str">
        <f>VLOOKUP($A399,Master!$B$50:$N$232,9,FALSE)</f>
        <v>pcs</v>
      </c>
      <c r="E399" s="317" t="str">
        <f>VLOOKUP($A399,Master!$B$50:$N$232,11,FALSE)</f>
        <v>RSB, Dago</v>
      </c>
      <c r="F399" s="318">
        <v>2</v>
      </c>
      <c r="G399" s="354" t="s">
        <v>62</v>
      </c>
      <c r="H399" s="320">
        <v>32000</v>
      </c>
      <c r="I399" s="321" t="b">
        <v>1</v>
      </c>
      <c r="J399" s="322">
        <v>6</v>
      </c>
      <c r="K399" s="323">
        <v>17000</v>
      </c>
      <c r="L399" s="324">
        <f t="shared" si="24"/>
        <v>102000</v>
      </c>
      <c r="M399" s="325"/>
    </row>
    <row r="400" spans="1:13" ht="13">
      <c r="A400" s="18" t="s">
        <v>1550</v>
      </c>
      <c r="B400" s="316" t="e">
        <f>VLOOKUP($A400,Master!$B$50:$N$232,2,FALSE)</f>
        <v>#N/A</v>
      </c>
      <c r="C400" s="316" t="e">
        <f>VLOOKUP($A400,Master!$B$50:$N$232,8,FALSE)</f>
        <v>#N/A</v>
      </c>
      <c r="D400" s="316" t="e">
        <f>VLOOKUP($A400,Master!$B$50:$N$232,9,FALSE)</f>
        <v>#N/A</v>
      </c>
      <c r="E400" s="317" t="e">
        <f>VLOOKUP($A400,Master!$B$50:$N$232,11,FALSE)</f>
        <v>#N/A</v>
      </c>
      <c r="F400" s="318">
        <v>2</v>
      </c>
      <c r="G400" s="354" t="s">
        <v>97</v>
      </c>
      <c r="H400" s="320">
        <v>210000</v>
      </c>
      <c r="I400" s="321" t="b">
        <v>0</v>
      </c>
      <c r="J400" s="322"/>
      <c r="K400" s="323" t="e">
        <f>VLOOKUP($A400,Master!$B$50:$N$232,6,FALSE)</f>
        <v>#N/A</v>
      </c>
      <c r="L400" s="324" t="e">
        <f t="shared" si="24"/>
        <v>#N/A</v>
      </c>
      <c r="M400" s="325"/>
    </row>
    <row r="401" spans="1:13" ht="13">
      <c r="A401" s="18" t="s">
        <v>958</v>
      </c>
      <c r="B401" s="316" t="e">
        <f>VLOOKUP($A401,Master!$B$50:$N$232,2,FALSE)</f>
        <v>#N/A</v>
      </c>
      <c r="C401" s="316" t="e">
        <f>VLOOKUP($A401,Master!$B$50:$N$232,8,FALSE)</f>
        <v>#N/A</v>
      </c>
      <c r="D401" s="316" t="e">
        <f>VLOOKUP($A401,Master!$B$50:$N$232,9,FALSE)</f>
        <v>#N/A</v>
      </c>
      <c r="E401" s="317" t="e">
        <f>VLOOKUP($A401,Master!$B$50:$N$232,11,FALSE)</f>
        <v>#N/A</v>
      </c>
      <c r="F401" s="318">
        <v>1</v>
      </c>
      <c r="G401" s="354" t="s">
        <v>97</v>
      </c>
      <c r="H401" s="320">
        <v>129000</v>
      </c>
      <c r="I401" s="321" t="b">
        <v>1</v>
      </c>
      <c r="J401" s="322">
        <v>1</v>
      </c>
      <c r="K401" s="323">
        <v>143000</v>
      </c>
      <c r="L401" s="324">
        <f t="shared" si="24"/>
        <v>143000</v>
      </c>
      <c r="M401" s="325"/>
    </row>
    <row r="402" spans="1:13" ht="13">
      <c r="A402" s="18" t="s">
        <v>985</v>
      </c>
      <c r="B402" s="316" t="str">
        <f>VLOOKUP($A402,Master!$B$50:$N$232,2,FALSE)</f>
        <v>B131</v>
      </c>
      <c r="C402" s="316">
        <f>VLOOKUP($A402,Master!$B$50:$N$232,8,FALSE)</f>
        <v>500</v>
      </c>
      <c r="D402" s="316" t="str">
        <f>VLOOKUP($A402,Master!$B$50:$N$232,9,FALSE)</f>
        <v>gr</v>
      </c>
      <c r="E402" s="317" t="str">
        <f>VLOOKUP($A402,Master!$B$50:$N$232,11,FALSE)</f>
        <v>Tokopedia</v>
      </c>
      <c r="F402" s="318">
        <v>2</v>
      </c>
      <c r="G402" s="354" t="s">
        <v>62</v>
      </c>
      <c r="H402" s="320">
        <v>300000</v>
      </c>
      <c r="I402" s="321" t="b">
        <v>0</v>
      </c>
      <c r="J402" s="322"/>
      <c r="K402" s="326">
        <f>VLOOKUP($A402,Master!$B$50:$N$232,6,FALSE)</f>
        <v>150000</v>
      </c>
      <c r="L402" s="327">
        <f t="shared" si="24"/>
        <v>0</v>
      </c>
      <c r="M402" s="325"/>
    </row>
    <row r="403" spans="1:13" ht="13">
      <c r="A403" s="18" t="s">
        <v>540</v>
      </c>
      <c r="B403" s="316" t="str">
        <f>VLOOKUP($A403,Master!$B$50:$N$232,2,FALSE)</f>
        <v>B006</v>
      </c>
      <c r="C403" s="316">
        <f>VLOOKUP($A403,Master!$B$50:$N$232,8,FALSE)</f>
        <v>1000</v>
      </c>
      <c r="D403" s="316" t="str">
        <f>VLOOKUP($A403,Master!$B$50:$N$232,9,FALSE)</f>
        <v>gr</v>
      </c>
      <c r="E403" s="317" t="str">
        <f>VLOOKUP($A403,Master!$B$50:$N$232,11,FALSE)</f>
        <v>Woodlane</v>
      </c>
      <c r="F403" s="318">
        <v>3</v>
      </c>
      <c r="G403" s="354" t="s">
        <v>36</v>
      </c>
      <c r="H403" s="320">
        <v>510000</v>
      </c>
      <c r="I403" s="321" t="b">
        <v>1</v>
      </c>
      <c r="J403" s="322">
        <v>3</v>
      </c>
      <c r="K403" s="326">
        <f>VLOOKUP($A403,Master!$B$50:$N$232,6,FALSE)</f>
        <v>170000</v>
      </c>
      <c r="L403" s="327">
        <f t="shared" si="24"/>
        <v>510000</v>
      </c>
      <c r="M403" s="325"/>
    </row>
    <row r="404" spans="1:13" ht="13">
      <c r="A404" s="18" t="s">
        <v>590</v>
      </c>
      <c r="B404" s="316" t="str">
        <f>VLOOKUP($A404,Master!$B$50:$N$232,2,FALSE)</f>
        <v>B019</v>
      </c>
      <c r="C404" s="316">
        <f>VLOOKUP($A404,Master!$B$50:$N$232,8,FALSE)</f>
        <v>200</v>
      </c>
      <c r="D404" s="316" t="str">
        <f>VLOOKUP($A404,Master!$B$50:$N$232,9,FALSE)</f>
        <v>gr</v>
      </c>
      <c r="E404" s="317" t="str">
        <f>VLOOKUP($A404,Master!$B$50:$N$232,11,FALSE)</f>
        <v>Woodlane</v>
      </c>
      <c r="F404" s="318">
        <v>3</v>
      </c>
      <c r="G404" s="354" t="s">
        <v>62</v>
      </c>
      <c r="H404" s="320">
        <v>255000</v>
      </c>
      <c r="I404" s="321" t="b">
        <v>1</v>
      </c>
      <c r="J404" s="322">
        <v>2</v>
      </c>
      <c r="K404" s="326">
        <f>VLOOKUP($A404,Master!$B$50:$N$232,6,FALSE)</f>
        <v>85000</v>
      </c>
      <c r="L404" s="327">
        <f t="shared" si="24"/>
        <v>170000</v>
      </c>
      <c r="M404" s="325"/>
    </row>
    <row r="406" spans="1:13" ht="13">
      <c r="F406" s="427">
        <v>44707</v>
      </c>
      <c r="G406" s="428"/>
      <c r="H406" s="424"/>
      <c r="J406" s="429">
        <f>F406+1</f>
        <v>44708</v>
      </c>
      <c r="K406" s="428"/>
      <c r="L406" s="424"/>
    </row>
    <row r="407" spans="1:13" ht="13">
      <c r="F407" s="425" t="s">
        <v>1490</v>
      </c>
      <c r="G407" s="426"/>
      <c r="H407" s="304">
        <f>SUM(H409:H559)</f>
        <v>39501960</v>
      </c>
      <c r="J407" s="425" t="s">
        <v>1491</v>
      </c>
      <c r="K407" s="426"/>
      <c r="L407" s="304" t="e">
        <f>SUM(L409:L559)</f>
        <v>#N/A</v>
      </c>
    </row>
    <row r="408" spans="1:13" ht="13">
      <c r="A408" s="2" t="s">
        <v>4</v>
      </c>
      <c r="B408" s="305" t="s">
        <v>5</v>
      </c>
      <c r="C408" s="305" t="s">
        <v>1492</v>
      </c>
      <c r="D408" s="305" t="s">
        <v>12</v>
      </c>
      <c r="E408" s="306" t="s">
        <v>1493</v>
      </c>
      <c r="F408" s="307" t="s">
        <v>1494</v>
      </c>
      <c r="G408" s="308" t="s">
        <v>10</v>
      </c>
      <c r="H408" s="309" t="s">
        <v>1495</v>
      </c>
      <c r="I408" s="310" t="s">
        <v>1289</v>
      </c>
      <c r="J408" s="311" t="s">
        <v>1496</v>
      </c>
      <c r="K408" s="312" t="s">
        <v>1497</v>
      </c>
      <c r="L408" s="313" t="s">
        <v>1498</v>
      </c>
      <c r="M408" s="314" t="s">
        <v>16</v>
      </c>
    </row>
    <row r="409" spans="1:13" ht="13">
      <c r="A409" s="18" t="s">
        <v>639</v>
      </c>
      <c r="B409" s="316" t="str">
        <f>VLOOKUP($A409,Master!$B$50:$N$232,2,FALSE)</f>
        <v>B032</v>
      </c>
      <c r="C409" s="316">
        <f>VLOOKUP($A409,Master!$B$50:$N$232,8,FALSE)</f>
        <v>1000</v>
      </c>
      <c r="D409" s="316" t="str">
        <f>VLOOKUP($A409,Master!$B$50:$N$232,9,FALSE)</f>
        <v>gr</v>
      </c>
      <c r="E409" s="317" t="str">
        <f>VLOOKUP($A409,Master!$B$50:$N$232,11,FALSE)</f>
        <v>BISS (Topside)</v>
      </c>
      <c r="F409" s="318">
        <v>1</v>
      </c>
      <c r="G409" s="354" t="s">
        <v>36</v>
      </c>
      <c r="H409" s="320">
        <v>145000</v>
      </c>
      <c r="I409" s="321" t="b">
        <v>1</v>
      </c>
      <c r="J409" s="322">
        <v>1</v>
      </c>
      <c r="K409" s="323">
        <v>130000</v>
      </c>
      <c r="L409" s="324">
        <f>J409*K409</f>
        <v>130000</v>
      </c>
      <c r="M409" s="325" t="s">
        <v>1573</v>
      </c>
    </row>
    <row r="410" spans="1:13" ht="13">
      <c r="A410" s="18" t="s">
        <v>1599</v>
      </c>
      <c r="B410" s="316" t="e">
        <f>VLOOKUP($A410,Master!$B$50:$N$232,2,FALSE)</f>
        <v>#N/A</v>
      </c>
      <c r="C410" s="316" t="e">
        <f>VLOOKUP($A410,Master!$B$50:$N$232,8,FALSE)</f>
        <v>#N/A</v>
      </c>
      <c r="D410" s="316" t="e">
        <f>VLOOKUP($A410,Master!$B$50:$N$232,9,FALSE)</f>
        <v>#N/A</v>
      </c>
      <c r="E410" s="317" t="e">
        <f>VLOOKUP($A410,Master!$B$50:$N$232,11,FALSE)</f>
        <v>#N/A</v>
      </c>
      <c r="F410" s="318">
        <v>1</v>
      </c>
      <c r="G410" s="354" t="s">
        <v>36</v>
      </c>
      <c r="H410" s="320">
        <v>9700</v>
      </c>
      <c r="I410" s="321" t="b">
        <v>1</v>
      </c>
      <c r="J410" s="322">
        <v>0.5</v>
      </c>
      <c r="K410" s="323">
        <v>10750</v>
      </c>
      <c r="L410" s="324">
        <v>10750</v>
      </c>
      <c r="M410" s="325" t="s">
        <v>1500</v>
      </c>
    </row>
    <row r="411" spans="1:13" ht="13">
      <c r="A411" s="18" t="s">
        <v>716</v>
      </c>
      <c r="B411" s="316" t="str">
        <f>VLOOKUP($A411,Master!$B$50:$N$232,2,FALSE)</f>
        <v>B051</v>
      </c>
      <c r="C411" s="316">
        <f>VLOOKUP($A411,Master!$B$50:$N$232,8,FALSE)</f>
        <v>1000</v>
      </c>
      <c r="D411" s="316" t="str">
        <f>VLOOKUP($A411,Master!$B$50:$N$232,9,FALSE)</f>
        <v>gr</v>
      </c>
      <c r="E411" s="317" t="str">
        <f>VLOOKUP($A411,Master!$B$50:$N$232,11,FALSE)</f>
        <v>Eden Farm</v>
      </c>
      <c r="F411" s="318">
        <v>1</v>
      </c>
      <c r="G411" s="354" t="s">
        <v>36</v>
      </c>
      <c r="H411" s="320">
        <v>41700</v>
      </c>
      <c r="I411" s="321" t="b">
        <v>1</v>
      </c>
      <c r="J411" s="322">
        <v>1</v>
      </c>
      <c r="K411" s="323">
        <v>41200</v>
      </c>
      <c r="L411" s="324">
        <f t="shared" ref="L411:L423" si="25">J411*K411</f>
        <v>41200</v>
      </c>
      <c r="M411" s="325"/>
    </row>
    <row r="412" spans="1:13" ht="13">
      <c r="A412" s="18" t="s">
        <v>732</v>
      </c>
      <c r="B412" s="316" t="str">
        <f>VLOOKUP($A412,Master!$B$50:$N$232,2,FALSE)</f>
        <v>B055</v>
      </c>
      <c r="C412" s="316">
        <f>VLOOKUP($A412,Master!$B$50:$N$232,8,FALSE)</f>
        <v>1000</v>
      </c>
      <c r="D412" s="316" t="str">
        <f>VLOOKUP($A412,Master!$B$50:$N$232,9,FALSE)</f>
        <v>gr</v>
      </c>
      <c r="E412" s="317" t="str">
        <f>VLOOKUP($A412,Master!$B$50:$N$232,11,FALSE)</f>
        <v>Eden Farm</v>
      </c>
      <c r="F412" s="318">
        <v>2</v>
      </c>
      <c r="G412" s="354" t="s">
        <v>36</v>
      </c>
      <c r="H412" s="320">
        <v>37800</v>
      </c>
      <c r="I412" s="321" t="b">
        <v>1</v>
      </c>
      <c r="J412" s="322">
        <v>2</v>
      </c>
      <c r="K412" s="323">
        <v>18100</v>
      </c>
      <c r="L412" s="324">
        <f t="shared" si="25"/>
        <v>36200</v>
      </c>
      <c r="M412" s="325"/>
    </row>
    <row r="413" spans="1:13" ht="13">
      <c r="A413" s="18" t="s">
        <v>744</v>
      </c>
      <c r="B413" s="316" t="str">
        <f>VLOOKUP($A413,Master!$B$50:$N$232,2,FALSE)</f>
        <v>B058</v>
      </c>
      <c r="C413" s="316">
        <f>VLOOKUP($A413,Master!$B$50:$N$232,8,FALSE)</f>
        <v>1000</v>
      </c>
      <c r="D413" s="316" t="str">
        <f>VLOOKUP($A413,Master!$B$50:$N$232,9,FALSE)</f>
        <v>gr</v>
      </c>
      <c r="E413" s="317" t="str">
        <f>VLOOKUP($A413,Master!$B$50:$N$232,11,FALSE)</f>
        <v>Eden Farm</v>
      </c>
      <c r="F413" s="318">
        <v>1</v>
      </c>
      <c r="G413" s="354" t="s">
        <v>36</v>
      </c>
      <c r="H413" s="320">
        <v>44900</v>
      </c>
      <c r="I413" s="321" t="b">
        <v>1</v>
      </c>
      <c r="J413" s="322">
        <v>0.5</v>
      </c>
      <c r="K413" s="323">
        <v>40600</v>
      </c>
      <c r="L413" s="324">
        <f t="shared" si="25"/>
        <v>20300</v>
      </c>
      <c r="M413" s="325"/>
    </row>
    <row r="414" spans="1:13" ht="13">
      <c r="A414" s="18" t="s">
        <v>919</v>
      </c>
      <c r="B414" s="316" t="str">
        <f>VLOOKUP($A414,Master!$B$50:$N$232,2,FALSE)</f>
        <v>B109</v>
      </c>
      <c r="C414" s="316">
        <f>VLOOKUP($A414,Master!$B$50:$N$232,8,FALSE)</f>
        <v>1000</v>
      </c>
      <c r="D414" s="316" t="str">
        <f>VLOOKUP($A414,Master!$B$50:$N$232,9,FALSE)</f>
        <v>gr</v>
      </c>
      <c r="E414" s="317" t="str">
        <f>VLOOKUP($A414,Master!$B$50:$N$232,11,FALSE)</f>
        <v>Eden Farm</v>
      </c>
      <c r="F414" s="318">
        <v>1</v>
      </c>
      <c r="G414" s="354" t="s">
        <v>62</v>
      </c>
      <c r="H414" s="320">
        <v>20900</v>
      </c>
      <c r="I414" s="321" t="b">
        <v>1</v>
      </c>
      <c r="J414" s="322">
        <v>0.5</v>
      </c>
      <c r="K414" s="323">
        <v>22800</v>
      </c>
      <c r="L414" s="324">
        <f t="shared" si="25"/>
        <v>11400</v>
      </c>
      <c r="M414" s="325"/>
    </row>
    <row r="415" spans="1:13" ht="13">
      <c r="A415" s="18" t="s">
        <v>1020</v>
      </c>
      <c r="B415" s="316" t="str">
        <f>VLOOKUP($A415,Master!$B$50:$N$232,2,FALSE)</f>
        <v>B144</v>
      </c>
      <c r="C415" s="316">
        <f>VLOOKUP($A415,Master!$B$50:$N$232,8,FALSE)</f>
        <v>1000</v>
      </c>
      <c r="D415" s="316" t="str">
        <f>VLOOKUP($A415,Master!$B$50:$N$232,9,FALSE)</f>
        <v>gr</v>
      </c>
      <c r="E415" s="317" t="str">
        <f>VLOOKUP($A415,Master!$B$50:$N$232,11,FALSE)</f>
        <v>Eden Farm</v>
      </c>
      <c r="F415" s="318">
        <v>1</v>
      </c>
      <c r="G415" s="354" t="s">
        <v>36</v>
      </c>
      <c r="H415" s="320">
        <v>21800</v>
      </c>
      <c r="I415" s="321" t="b">
        <v>1</v>
      </c>
      <c r="J415" s="322">
        <v>0.5</v>
      </c>
      <c r="K415" s="323">
        <v>7700</v>
      </c>
      <c r="L415" s="324">
        <f t="shared" si="25"/>
        <v>3850</v>
      </c>
      <c r="M415" s="325"/>
    </row>
    <row r="416" spans="1:13" ht="13">
      <c r="A416" s="18" t="s">
        <v>1600</v>
      </c>
      <c r="B416" s="316" t="e">
        <f>VLOOKUP($A416,Master!$B$50:$N$232,2,FALSE)</f>
        <v>#N/A</v>
      </c>
      <c r="C416" s="316" t="e">
        <f>VLOOKUP($A416,Master!$B$50:$N$232,8,FALSE)</f>
        <v>#N/A</v>
      </c>
      <c r="D416" s="316" t="e">
        <f>VLOOKUP($A416,Master!$B$50:$N$232,9,FALSE)</f>
        <v>#N/A</v>
      </c>
      <c r="E416" s="317" t="e">
        <f>VLOOKUP($A416,Master!$B$50:$N$232,11,FALSE)</f>
        <v>#N/A</v>
      </c>
      <c r="F416" s="318">
        <v>1</v>
      </c>
      <c r="G416" s="354" t="s">
        <v>36</v>
      </c>
      <c r="H416" s="320">
        <v>8700</v>
      </c>
      <c r="I416" s="321" t="b">
        <v>1</v>
      </c>
      <c r="J416" s="322">
        <v>0.5</v>
      </c>
      <c r="K416" s="323" t="e">
        <f>VLOOKUP($A416,Master!$B$50:$N$232,6,FALSE)</f>
        <v>#N/A</v>
      </c>
      <c r="L416" s="324" t="e">
        <f t="shared" si="25"/>
        <v>#N/A</v>
      </c>
      <c r="M416" s="325"/>
    </row>
    <row r="417" spans="1:13" ht="13">
      <c r="A417" s="18" t="s">
        <v>659</v>
      </c>
      <c r="B417" s="316" t="str">
        <f>VLOOKUP($A417,Master!$B$50:$N$232,2,FALSE)</f>
        <v>B037</v>
      </c>
      <c r="C417" s="316">
        <f>VLOOKUP($A417,Master!$B$50:$N$232,8,FALSE)</f>
        <v>15</v>
      </c>
      <c r="D417" s="316" t="str">
        <f>VLOOKUP($A417,Master!$B$50:$N$232,9,FALSE)</f>
        <v>pcs</v>
      </c>
      <c r="E417" s="317" t="str">
        <f>VLOOKUP($A417,Master!$B$50:$N$232,11,FALSE)</f>
        <v>Feri Supriadi (Telur , Beras , Minyak )</v>
      </c>
      <c r="F417" s="318">
        <v>3</v>
      </c>
      <c r="G417" s="354" t="s">
        <v>36</v>
      </c>
      <c r="H417" s="320">
        <v>82500</v>
      </c>
      <c r="I417" s="321" t="b">
        <v>1</v>
      </c>
      <c r="J417" s="357">
        <v>2.8239999999999998</v>
      </c>
      <c r="K417" s="323">
        <v>28450</v>
      </c>
      <c r="L417" s="324">
        <f t="shared" si="25"/>
        <v>80342.799999999988</v>
      </c>
      <c r="M417" s="325" t="s">
        <v>1500</v>
      </c>
    </row>
    <row r="418" spans="1:13" ht="13">
      <c r="A418" s="18" t="s">
        <v>663</v>
      </c>
      <c r="B418" s="316" t="str">
        <f>VLOOKUP($A418,Master!$B$50:$N$232,2,FALSE)</f>
        <v>B038</v>
      </c>
      <c r="C418" s="316">
        <f>VLOOKUP($A418,Master!$B$50:$N$232,8,FALSE)</f>
        <v>1000</v>
      </c>
      <c r="D418" s="316" t="str">
        <f>VLOOKUP($A418,Master!$B$50:$N$232,9,FALSE)</f>
        <v>gr</v>
      </c>
      <c r="E418" s="317" t="str">
        <f>VLOOKUP($A418,Master!$B$50:$N$232,11,FALSE)</f>
        <v>Toko Lain</v>
      </c>
      <c r="F418" s="318">
        <v>3</v>
      </c>
      <c r="G418" s="354" t="s">
        <v>36</v>
      </c>
      <c r="H418" s="320">
        <v>133500</v>
      </c>
      <c r="I418" s="321" t="b">
        <v>1</v>
      </c>
      <c r="J418" s="322">
        <v>4.048</v>
      </c>
      <c r="K418" s="326">
        <f>VLOOKUP($A418,Master!$B$50:$N$232,6,FALSE)</f>
        <v>45000</v>
      </c>
      <c r="L418" s="327">
        <f t="shared" si="25"/>
        <v>182160</v>
      </c>
      <c r="M418" s="325" t="s">
        <v>1500</v>
      </c>
    </row>
    <row r="419" spans="1:13" ht="13">
      <c r="A419" s="18" t="s">
        <v>675</v>
      </c>
      <c r="B419" s="316" t="str">
        <f>VLOOKUP($A419,Master!$B$50:$N$232,2,FALSE)</f>
        <v>B041</v>
      </c>
      <c r="C419" s="316">
        <f>VLOOKUP($A419,Master!$B$50:$N$232,8,FALSE)</f>
        <v>20</v>
      </c>
      <c r="D419" s="316" t="str">
        <f>VLOOKUP($A419,Master!$B$50:$N$232,9,FALSE)</f>
        <v>unit</v>
      </c>
      <c r="E419" s="317" t="str">
        <f>VLOOKUP($A419,Master!$B$50:$N$232,11,FALSE)</f>
        <v>RSB, Dago</v>
      </c>
      <c r="F419" s="318">
        <v>15</v>
      </c>
      <c r="G419" s="354" t="s">
        <v>62</v>
      </c>
      <c r="H419" s="320">
        <v>90000</v>
      </c>
      <c r="I419" s="321" t="b">
        <v>1</v>
      </c>
      <c r="J419" s="322">
        <v>20</v>
      </c>
      <c r="K419" s="326">
        <f>VLOOKUP($A419,Master!$B$50:$N$232,6,FALSE)</f>
        <v>13500</v>
      </c>
      <c r="L419" s="327">
        <f t="shared" si="25"/>
        <v>270000</v>
      </c>
      <c r="M419" s="325"/>
    </row>
    <row r="420" spans="1:13" ht="13">
      <c r="A420" s="18" t="s">
        <v>795</v>
      </c>
      <c r="B420" s="316" t="str">
        <f>VLOOKUP($A420,Master!$B$50:$N$232,2,FALSE)</f>
        <v>B073</v>
      </c>
      <c r="C420" s="316">
        <f>VLOOKUP($A420,Master!$B$50:$N$232,8,FALSE)</f>
        <v>10</v>
      </c>
      <c r="D420" s="316" t="str">
        <f>VLOOKUP($A420,Master!$B$50:$N$232,9,FALSE)</f>
        <v>unit</v>
      </c>
      <c r="E420" s="317" t="str">
        <f>VLOOKUP($A420,Master!$B$50:$N$232,11,FALSE)</f>
        <v>Toko Lain</v>
      </c>
      <c r="F420" s="318">
        <v>6</v>
      </c>
      <c r="G420" s="354" t="s">
        <v>62</v>
      </c>
      <c r="H420" s="320">
        <v>30000</v>
      </c>
      <c r="I420" s="321" t="b">
        <v>1</v>
      </c>
      <c r="J420" s="322">
        <v>6</v>
      </c>
      <c r="K420" s="323">
        <v>7800</v>
      </c>
      <c r="L420" s="324">
        <f t="shared" si="25"/>
        <v>46800</v>
      </c>
      <c r="M420" s="325" t="s">
        <v>1637</v>
      </c>
    </row>
    <row r="421" spans="1:13" ht="13">
      <c r="A421" s="18" t="s">
        <v>776</v>
      </c>
      <c r="B421" s="316" t="e">
        <f>VLOOKUP($A421,Master!$B$50:$N$232,2,FALSE)</f>
        <v>#N/A</v>
      </c>
      <c r="C421" s="316" t="e">
        <f>VLOOKUP($A421,Master!$B$50:$N$232,8,FALSE)</f>
        <v>#N/A</v>
      </c>
      <c r="D421" s="316" t="e">
        <f>VLOOKUP($A421,Master!$B$50:$N$232,9,FALSE)</f>
        <v>#N/A</v>
      </c>
      <c r="E421" s="317" t="e">
        <f>VLOOKUP($A421,Master!$B$50:$N$232,11,FALSE)</f>
        <v>#N/A</v>
      </c>
      <c r="F421" s="318">
        <v>1</v>
      </c>
      <c r="G421" s="354" t="s">
        <v>62</v>
      </c>
      <c r="H421" s="320">
        <v>50000</v>
      </c>
      <c r="I421" s="321" t="b">
        <v>1</v>
      </c>
      <c r="J421" s="322">
        <v>4</v>
      </c>
      <c r="K421" s="323">
        <v>25000</v>
      </c>
      <c r="L421" s="324">
        <f t="shared" si="25"/>
        <v>100000</v>
      </c>
      <c r="M421" s="325"/>
    </row>
    <row r="422" spans="1:13" ht="13">
      <c r="A422" s="18" t="s">
        <v>779</v>
      </c>
      <c r="B422" s="316" t="e">
        <f>VLOOKUP($A422,Master!$B$50:$N$232,2,FALSE)</f>
        <v>#N/A</v>
      </c>
      <c r="C422" s="316" t="e">
        <f>VLOOKUP($A422,Master!$B$50:$N$232,8,FALSE)</f>
        <v>#N/A</v>
      </c>
      <c r="D422" s="316" t="e">
        <f>VLOOKUP($A422,Master!$B$50:$N$232,9,FALSE)</f>
        <v>#N/A</v>
      </c>
      <c r="E422" s="317" t="e">
        <f>VLOOKUP($A422,Master!$B$50:$N$232,11,FALSE)</f>
        <v>#N/A</v>
      </c>
      <c r="F422" s="318">
        <v>2</v>
      </c>
      <c r="G422" s="354" t="s">
        <v>62</v>
      </c>
      <c r="H422" s="320">
        <v>64000</v>
      </c>
      <c r="I422" s="321" t="b">
        <v>1</v>
      </c>
      <c r="J422" s="322">
        <v>4</v>
      </c>
      <c r="K422" s="323">
        <v>34000</v>
      </c>
      <c r="L422" s="324">
        <f t="shared" si="25"/>
        <v>136000</v>
      </c>
      <c r="M422" s="325"/>
    </row>
    <row r="423" spans="1:13" ht="13">
      <c r="A423" s="18" t="s">
        <v>910</v>
      </c>
      <c r="B423" s="316" t="str">
        <f>VLOOKUP($A423,Master!$B$50:$N$232,2,FALSE)</f>
        <v>B106</v>
      </c>
      <c r="C423" s="316">
        <f>VLOOKUP($A423,Master!$B$50:$N$232,8,FALSE)</f>
        <v>10</v>
      </c>
      <c r="D423" s="316" t="str">
        <f>VLOOKUP($A423,Master!$B$50:$N$232,9,FALSE)</f>
        <v>pcs</v>
      </c>
      <c r="E423" s="317" t="str">
        <f>VLOOKUP($A423,Master!$B$50:$N$232,11,FALSE)</f>
        <v>Setiabudi Market</v>
      </c>
      <c r="F423" s="318">
        <v>4</v>
      </c>
      <c r="G423" s="354" t="s">
        <v>62</v>
      </c>
      <c r="H423" s="320">
        <v>52000</v>
      </c>
      <c r="I423" s="321" t="b">
        <v>1</v>
      </c>
      <c r="J423" s="322">
        <v>12</v>
      </c>
      <c r="K423" s="323">
        <v>14100</v>
      </c>
      <c r="L423" s="324">
        <f t="shared" si="25"/>
        <v>169200</v>
      </c>
      <c r="M423" s="325" t="s">
        <v>1500</v>
      </c>
    </row>
    <row r="425" spans="1:13" ht="13">
      <c r="F425" s="427">
        <v>44711</v>
      </c>
      <c r="G425" s="428"/>
      <c r="H425" s="424"/>
      <c r="J425" s="429">
        <f>F425+1</f>
        <v>44712</v>
      </c>
      <c r="K425" s="428"/>
      <c r="L425" s="424"/>
    </row>
    <row r="426" spans="1:13" ht="13">
      <c r="F426" s="425" t="s">
        <v>1490</v>
      </c>
      <c r="G426" s="426"/>
      <c r="H426" s="304">
        <f>SUM(H428:H583)</f>
        <v>19334730</v>
      </c>
      <c r="J426" s="425" t="s">
        <v>1491</v>
      </c>
      <c r="K426" s="426"/>
      <c r="L426" s="304" t="e">
        <f>SUM(L428:L583)</f>
        <v>#N/A</v>
      </c>
    </row>
    <row r="427" spans="1:13" ht="13">
      <c r="A427" s="2" t="s">
        <v>4</v>
      </c>
      <c r="B427" s="305" t="s">
        <v>5</v>
      </c>
      <c r="C427" s="305" t="s">
        <v>1492</v>
      </c>
      <c r="D427" s="305" t="s">
        <v>12</v>
      </c>
      <c r="E427" s="306" t="s">
        <v>1493</v>
      </c>
      <c r="F427" s="307" t="s">
        <v>1494</v>
      </c>
      <c r="G427" s="308" t="s">
        <v>10</v>
      </c>
      <c r="H427" s="309" t="s">
        <v>1495</v>
      </c>
      <c r="I427" s="310" t="s">
        <v>1289</v>
      </c>
      <c r="J427" s="311" t="s">
        <v>1496</v>
      </c>
      <c r="K427" s="312" t="s">
        <v>1497</v>
      </c>
      <c r="L427" s="313" t="s">
        <v>1498</v>
      </c>
      <c r="M427" s="314" t="s">
        <v>16</v>
      </c>
    </row>
    <row r="428" spans="1:13" ht="13">
      <c r="A428" s="18" t="s">
        <v>976</v>
      </c>
      <c r="B428" s="316" t="str">
        <f>VLOOKUP($A428,Master!$B$50:$N$232,2,FALSE)</f>
        <v>B128</v>
      </c>
      <c r="C428" s="316">
        <f>VLOOKUP($A428,Master!$B$50:$N$232,8,FALSE)</f>
        <v>300</v>
      </c>
      <c r="D428" s="316" t="str">
        <f>VLOOKUP($A428,Master!$B$50:$N$232,9,FALSE)</f>
        <v>pcs</v>
      </c>
      <c r="E428" s="317" t="str">
        <f>VLOOKUP($A428,Master!$B$50:$N$232,11,FALSE)</f>
        <v>Kurnia Mas</v>
      </c>
      <c r="F428" s="318">
        <v>4</v>
      </c>
      <c r="G428" s="354" t="s">
        <v>62</v>
      </c>
      <c r="H428" s="320">
        <v>100000</v>
      </c>
      <c r="I428" s="321" t="b">
        <v>1</v>
      </c>
      <c r="J428" s="322">
        <v>4</v>
      </c>
      <c r="K428" s="323">
        <v>24000</v>
      </c>
      <c r="L428" s="324">
        <f t="shared" ref="L428:L439" si="26">J428*K428</f>
        <v>96000</v>
      </c>
      <c r="M428" s="325"/>
    </row>
    <row r="429" spans="1:13" ht="13">
      <c r="A429" s="18" t="s">
        <v>1096</v>
      </c>
      <c r="B429" s="316" t="e">
        <f>VLOOKUP($A429,Master!$B$50:$N$232,2,FALSE)</f>
        <v>#N/A</v>
      </c>
      <c r="C429" s="316" t="e">
        <f>VLOOKUP($A429,Master!$B$50:$N$232,8,FALSE)</f>
        <v>#N/A</v>
      </c>
      <c r="D429" s="316" t="e">
        <f>VLOOKUP($A429,Master!$B$50:$N$232,9,FALSE)</f>
        <v>#N/A</v>
      </c>
      <c r="E429" s="317" t="e">
        <f>VLOOKUP($A429,Master!$B$50:$N$232,11,FALSE)</f>
        <v>#N/A</v>
      </c>
      <c r="F429" s="318">
        <v>2</v>
      </c>
      <c r="G429" s="354" t="s">
        <v>62</v>
      </c>
      <c r="H429" s="320">
        <v>9400</v>
      </c>
      <c r="I429" s="321" t="b">
        <v>1</v>
      </c>
      <c r="J429" s="322">
        <v>2</v>
      </c>
      <c r="K429" s="323">
        <v>9200</v>
      </c>
      <c r="L429" s="324">
        <f t="shared" si="26"/>
        <v>18400</v>
      </c>
      <c r="M429" s="325" t="s">
        <v>297</v>
      </c>
    </row>
    <row r="430" spans="1:13" ht="13">
      <c r="A430" s="18" t="s">
        <v>1094</v>
      </c>
      <c r="B430" s="316" t="e">
        <f>VLOOKUP($A430,Master!$B$50:$N$232,2,FALSE)</f>
        <v>#N/A</v>
      </c>
      <c r="C430" s="316" t="e">
        <f>VLOOKUP($A430,Master!$B$50:$N$232,8,FALSE)</f>
        <v>#N/A</v>
      </c>
      <c r="D430" s="316" t="e">
        <f>VLOOKUP($A430,Master!$B$50:$N$232,9,FALSE)</f>
        <v>#N/A</v>
      </c>
      <c r="E430" s="317" t="e">
        <f>VLOOKUP($A430,Master!$B$50:$N$232,11,FALSE)</f>
        <v>#N/A</v>
      </c>
      <c r="F430" s="318">
        <v>1</v>
      </c>
      <c r="G430" s="354" t="s">
        <v>62</v>
      </c>
      <c r="H430" s="320">
        <v>17300</v>
      </c>
      <c r="I430" s="321" t="b">
        <v>1</v>
      </c>
      <c r="J430" s="322">
        <v>1</v>
      </c>
      <c r="K430" s="323">
        <v>17800</v>
      </c>
      <c r="L430" s="324">
        <f t="shared" si="26"/>
        <v>17800</v>
      </c>
      <c r="M430" s="325"/>
    </row>
    <row r="431" spans="1:13" ht="13">
      <c r="A431" s="18" t="s">
        <v>524</v>
      </c>
      <c r="B431" s="316" t="e">
        <f>VLOOKUP($A431,Master!$B$50:$N$232,2,FALSE)</f>
        <v>#N/A</v>
      </c>
      <c r="C431" s="316" t="e">
        <f>VLOOKUP($A431,Master!$B$50:$N$232,8,FALSE)</f>
        <v>#N/A</v>
      </c>
      <c r="D431" s="316" t="e">
        <f>VLOOKUP($A431,Master!$B$50:$N$232,9,FALSE)</f>
        <v>#N/A</v>
      </c>
      <c r="E431" s="317" t="e">
        <f>VLOOKUP($A431,Master!$B$50:$N$232,11,FALSE)</f>
        <v>#N/A</v>
      </c>
      <c r="F431" s="318">
        <v>10</v>
      </c>
      <c r="G431" s="354" t="s">
        <v>108</v>
      </c>
      <c r="H431" s="320">
        <v>126000</v>
      </c>
      <c r="I431" s="321" t="b">
        <v>1</v>
      </c>
      <c r="J431" s="322">
        <v>10</v>
      </c>
      <c r="K431" s="326" t="e">
        <f>VLOOKUP($A431,Master!$B$50:$N$232,6,FALSE)</f>
        <v>#N/A</v>
      </c>
      <c r="L431" s="327" t="e">
        <f t="shared" si="26"/>
        <v>#N/A</v>
      </c>
      <c r="M431" s="325"/>
    </row>
    <row r="432" spans="1:13" ht="13">
      <c r="A432" s="18" t="s">
        <v>851</v>
      </c>
      <c r="B432" s="316" t="e">
        <f>VLOOKUP($A432,Master!$B$50:$N$232,2,FALSE)</f>
        <v>#N/A</v>
      </c>
      <c r="C432" s="316" t="e">
        <f>VLOOKUP($A432,Master!$B$50:$N$232,8,FALSE)</f>
        <v>#N/A</v>
      </c>
      <c r="D432" s="316" t="e">
        <f>VLOOKUP($A432,Master!$B$50:$N$232,9,FALSE)</f>
        <v>#N/A</v>
      </c>
      <c r="E432" s="317" t="e">
        <f>VLOOKUP($A432,Master!$B$50:$N$232,11,FALSE)</f>
        <v>#N/A</v>
      </c>
      <c r="F432" s="318">
        <v>2</v>
      </c>
      <c r="G432" s="354" t="s">
        <v>143</v>
      </c>
      <c r="H432" s="320">
        <v>60000</v>
      </c>
      <c r="I432" s="321" t="b">
        <v>1</v>
      </c>
      <c r="J432" s="322">
        <v>2</v>
      </c>
      <c r="K432" s="323">
        <v>30400</v>
      </c>
      <c r="L432" s="324">
        <f t="shared" si="26"/>
        <v>60800</v>
      </c>
      <c r="M432" s="325"/>
    </row>
    <row r="433" spans="1:13" ht="13">
      <c r="A433" s="18" t="s">
        <v>639</v>
      </c>
      <c r="B433" s="316" t="str">
        <f>VLOOKUP($A433,Master!$B$50:$N$232,2,FALSE)</f>
        <v>B032</v>
      </c>
      <c r="C433" s="316">
        <f>VLOOKUP($A433,Master!$B$50:$N$232,8,FALSE)</f>
        <v>1000</v>
      </c>
      <c r="D433" s="316" t="str">
        <f>VLOOKUP($A433,Master!$B$50:$N$232,9,FALSE)</f>
        <v>gr</v>
      </c>
      <c r="E433" s="317" t="str">
        <f>VLOOKUP($A433,Master!$B$50:$N$232,11,FALSE)</f>
        <v>BISS (Topside)</v>
      </c>
      <c r="F433" s="318">
        <v>1</v>
      </c>
      <c r="G433" s="354" t="s">
        <v>36</v>
      </c>
      <c r="H433" s="320">
        <v>145000</v>
      </c>
      <c r="I433" s="321" t="b">
        <v>1</v>
      </c>
      <c r="J433" s="322"/>
      <c r="K433" s="326">
        <f>VLOOKUP($A433,Master!$B$50:$N$232,6,FALSE)</f>
        <v>145000</v>
      </c>
      <c r="L433" s="327">
        <f t="shared" si="26"/>
        <v>0</v>
      </c>
      <c r="M433" s="325" t="s">
        <v>1638</v>
      </c>
    </row>
    <row r="434" spans="1:13" ht="13">
      <c r="A434" s="18" t="s">
        <v>655</v>
      </c>
      <c r="B434" s="316" t="str">
        <f>VLOOKUP($A434,Master!$B$50:$N$232,2,FALSE)</f>
        <v>B036</v>
      </c>
      <c r="C434" s="316">
        <f>VLOOKUP($A434,Master!$B$50:$N$232,8,FALSE)</f>
        <v>1000</v>
      </c>
      <c r="D434" s="316" t="str">
        <f>VLOOKUP($A434,Master!$B$50:$N$232,9,FALSE)</f>
        <v>gr</v>
      </c>
      <c r="E434" s="317" t="str">
        <f>VLOOKUP($A434,Master!$B$50:$N$232,11,FALSE)</f>
        <v>Toko Lain</v>
      </c>
      <c r="F434" s="318">
        <v>3</v>
      </c>
      <c r="G434" s="354" t="s">
        <v>36</v>
      </c>
      <c r="H434" s="320">
        <v>146700</v>
      </c>
      <c r="I434" s="321" t="b">
        <v>1</v>
      </c>
      <c r="J434" s="322">
        <v>2.9780000000000002</v>
      </c>
      <c r="K434" s="323">
        <v>68500</v>
      </c>
      <c r="L434" s="324">
        <f t="shared" si="26"/>
        <v>203993</v>
      </c>
      <c r="M434" s="325" t="s">
        <v>1500</v>
      </c>
    </row>
    <row r="435" spans="1:13" ht="13">
      <c r="A435" s="18" t="s">
        <v>782</v>
      </c>
      <c r="B435" s="316" t="str">
        <f>VLOOKUP($A435,Master!$B$50:$N$232,2,FALSE)</f>
        <v>B069</v>
      </c>
      <c r="C435" s="316">
        <f>VLOOKUP($A435,Master!$B$50:$N$232,8,FALSE)</f>
        <v>500</v>
      </c>
      <c r="D435" s="316" t="str">
        <f>VLOOKUP($A435,Master!$B$50:$N$232,9,FALSE)</f>
        <v>gr</v>
      </c>
      <c r="E435" s="317" t="str">
        <f>VLOOKUP($A435,Master!$B$50:$N$232,11,FALSE)</f>
        <v>Toko Lain</v>
      </c>
      <c r="F435" s="318">
        <v>2</v>
      </c>
      <c r="G435" s="354" t="s">
        <v>62</v>
      </c>
      <c r="H435" s="320">
        <v>15000</v>
      </c>
      <c r="I435" s="321" t="b">
        <v>1</v>
      </c>
      <c r="J435" s="322">
        <v>2</v>
      </c>
      <c r="K435" s="323">
        <v>12000</v>
      </c>
      <c r="L435" s="324">
        <f t="shared" si="26"/>
        <v>24000</v>
      </c>
      <c r="M435" s="325" t="s">
        <v>297</v>
      </c>
    </row>
    <row r="436" spans="1:13" ht="13">
      <c r="A436" s="18" t="s">
        <v>528</v>
      </c>
      <c r="B436" s="316" t="e">
        <f>VLOOKUP($A436,Master!$B$50:$N$232,2,FALSE)</f>
        <v>#N/A</v>
      </c>
      <c r="C436" s="316" t="e">
        <f>VLOOKUP($A436,Master!$B$50:$N$232,8,FALSE)</f>
        <v>#N/A</v>
      </c>
      <c r="D436" s="316" t="e">
        <f>VLOOKUP($A436,Master!$B$50:$N$232,9,FALSE)</f>
        <v>#N/A</v>
      </c>
      <c r="E436" s="317" t="e">
        <f>VLOOKUP($A436,Master!$B$50:$N$232,11,FALSE)</f>
        <v>#N/A</v>
      </c>
      <c r="F436" s="318">
        <v>6</v>
      </c>
      <c r="G436" s="354" t="s">
        <v>50</v>
      </c>
      <c r="H436" s="320">
        <v>96000</v>
      </c>
      <c r="I436" s="321" t="b">
        <v>1</v>
      </c>
      <c r="J436" s="322">
        <v>6</v>
      </c>
      <c r="K436" s="326" t="e">
        <f>VLOOKUP($A436,Master!$B$50:$N$232,6,FALSE)</f>
        <v>#N/A</v>
      </c>
      <c r="L436" s="327" t="e">
        <f t="shared" si="26"/>
        <v>#N/A</v>
      </c>
      <c r="M436" s="325"/>
    </row>
    <row r="437" spans="1:13" ht="13">
      <c r="A437" s="18" t="s">
        <v>635</v>
      </c>
      <c r="B437" s="316" t="e">
        <f>VLOOKUP($A437,Master!$B$50:$N$232,2,FALSE)</f>
        <v>#N/A</v>
      </c>
      <c r="C437" s="316" t="e">
        <f>VLOOKUP($A437,Master!$B$50:$N$232,8,FALSE)</f>
        <v>#N/A</v>
      </c>
      <c r="D437" s="316" t="e">
        <f>VLOOKUP($A437,Master!$B$50:$N$232,9,FALSE)</f>
        <v>#N/A</v>
      </c>
      <c r="E437" s="317" t="e">
        <f>VLOOKUP($A437,Master!$B$50:$N$232,11,FALSE)</f>
        <v>#N/A</v>
      </c>
      <c r="F437" s="318">
        <v>8</v>
      </c>
      <c r="G437" s="354" t="s">
        <v>50</v>
      </c>
      <c r="H437" s="320">
        <v>75200</v>
      </c>
      <c r="I437" s="321" t="b">
        <v>1</v>
      </c>
      <c r="J437" s="322">
        <v>8</v>
      </c>
      <c r="K437" s="323">
        <v>10250</v>
      </c>
      <c r="L437" s="324">
        <f t="shared" si="26"/>
        <v>82000</v>
      </c>
      <c r="M437" s="325"/>
    </row>
    <row r="438" spans="1:13" ht="13">
      <c r="A438" s="18" t="s">
        <v>989</v>
      </c>
      <c r="B438" s="316" t="str">
        <f>VLOOKUP($A438,Master!$B$50:$N$232,2,FALSE)</f>
        <v>B133</v>
      </c>
      <c r="C438" s="316">
        <f>VLOOKUP($A438,Master!$B$50:$N$232,8,FALSE)</f>
        <v>5000</v>
      </c>
      <c r="D438" s="316" t="str">
        <f>VLOOKUP($A438,Master!$B$50:$N$232,9,FALSE)</f>
        <v>ml</v>
      </c>
      <c r="E438" s="317" t="str">
        <f>VLOOKUP($A438,Master!$B$50:$N$232,11,FALSE)</f>
        <v>Kurnia Mas</v>
      </c>
      <c r="F438" s="318">
        <v>2</v>
      </c>
      <c r="G438" s="354" t="s">
        <v>62</v>
      </c>
      <c r="H438" s="320">
        <v>39000</v>
      </c>
      <c r="I438" s="321" t="b">
        <v>1</v>
      </c>
      <c r="J438" s="322">
        <v>2</v>
      </c>
      <c r="K438" s="326">
        <f>VLOOKUP($A438,Master!$B$50:$N$232,6,FALSE)</f>
        <v>54500</v>
      </c>
      <c r="L438" s="327">
        <f t="shared" si="26"/>
        <v>109000</v>
      </c>
      <c r="M438" s="325"/>
    </row>
    <row r="439" spans="1:13" ht="13">
      <c r="A439" s="18" t="s">
        <v>1027</v>
      </c>
      <c r="B439" s="316" t="e">
        <f>VLOOKUP($A439,Master!$B$50:$N$232,2,FALSE)</f>
        <v>#N/A</v>
      </c>
      <c r="C439" s="316" t="e">
        <f>VLOOKUP($A439,Master!$B$50:$N$232,8,FALSE)</f>
        <v>#N/A</v>
      </c>
      <c r="D439" s="316" t="e">
        <f>VLOOKUP($A439,Master!$B$50:$N$232,9,FALSE)</f>
        <v>#N/A</v>
      </c>
      <c r="E439" s="317" t="e">
        <f>VLOOKUP($A439,Master!$B$50:$N$232,11,FALSE)</f>
        <v>#N/A</v>
      </c>
      <c r="F439" s="318">
        <v>2</v>
      </c>
      <c r="G439" s="354" t="s">
        <v>62</v>
      </c>
      <c r="H439" s="320">
        <v>40000</v>
      </c>
      <c r="I439" s="321" t="b">
        <v>1</v>
      </c>
      <c r="J439" s="322">
        <v>2</v>
      </c>
      <c r="K439" s="323" t="e">
        <f>VLOOKUP($A439,Master!$B$50:$N$232,6,FALSE)</f>
        <v>#N/A</v>
      </c>
      <c r="L439" s="324" t="e">
        <f t="shared" si="26"/>
        <v>#N/A</v>
      </c>
      <c r="M439" s="325"/>
    </row>
    <row r="441" spans="1:13" ht="13">
      <c r="F441" s="427">
        <v>44713</v>
      </c>
      <c r="G441" s="428"/>
      <c r="H441" s="424"/>
      <c r="J441" s="429">
        <f>F441+1</f>
        <v>44714</v>
      </c>
      <c r="K441" s="428"/>
      <c r="L441" s="424"/>
    </row>
    <row r="442" spans="1:13" ht="13">
      <c r="F442" s="425" t="s">
        <v>1490</v>
      </c>
      <c r="G442" s="426"/>
      <c r="H442" s="304">
        <f>SUM(H444:H603)</f>
        <v>9232565</v>
      </c>
      <c r="J442" s="425" t="s">
        <v>1491</v>
      </c>
      <c r="K442" s="426"/>
      <c r="L442" s="304" t="e">
        <f>SUM(L444:L603)</f>
        <v>#N/A</v>
      </c>
    </row>
    <row r="443" spans="1:13" ht="13">
      <c r="A443" s="2" t="s">
        <v>4</v>
      </c>
      <c r="B443" s="305" t="s">
        <v>5</v>
      </c>
      <c r="C443" s="305" t="s">
        <v>1492</v>
      </c>
      <c r="D443" s="305" t="s">
        <v>12</v>
      </c>
      <c r="E443" s="306" t="s">
        <v>1493</v>
      </c>
      <c r="F443" s="307" t="s">
        <v>1494</v>
      </c>
      <c r="G443" s="308" t="s">
        <v>10</v>
      </c>
      <c r="H443" s="309" t="s">
        <v>1495</v>
      </c>
      <c r="I443" s="310" t="s">
        <v>1289</v>
      </c>
      <c r="J443" s="311" t="s">
        <v>1496</v>
      </c>
      <c r="K443" s="312" t="s">
        <v>1497</v>
      </c>
      <c r="L443" s="313" t="s">
        <v>1498</v>
      </c>
      <c r="M443" s="314" t="s">
        <v>16</v>
      </c>
    </row>
    <row r="444" spans="1:13" ht="13">
      <c r="A444" s="18" t="s">
        <v>1099</v>
      </c>
      <c r="B444" s="316" t="e">
        <f>VLOOKUP($A444,Master!$B$50:$N$232,2,FALSE)</f>
        <v>#N/A</v>
      </c>
      <c r="C444" s="316" t="e">
        <f>VLOOKUP($A444,Master!$B$50:$N$232,8,FALSE)</f>
        <v>#N/A</v>
      </c>
      <c r="D444" s="316" t="e">
        <f>VLOOKUP($A444,Master!$B$50:$N$232,9,FALSE)</f>
        <v>#N/A</v>
      </c>
      <c r="E444" s="317" t="e">
        <f>VLOOKUP($A444,Master!$B$50:$N$232,11,FALSE)</f>
        <v>#N/A</v>
      </c>
      <c r="F444" s="318">
        <v>1</v>
      </c>
      <c r="G444" s="354" t="s">
        <v>36</v>
      </c>
      <c r="H444" s="320">
        <v>130000</v>
      </c>
      <c r="I444" s="321" t="b">
        <v>1</v>
      </c>
      <c r="J444" s="322">
        <v>2</v>
      </c>
      <c r="K444" s="323" t="e">
        <f>VLOOKUP($A444,Master!$B$50:$N$232,6,FALSE)</f>
        <v>#N/A</v>
      </c>
      <c r="L444" s="324" t="e">
        <f t="shared" ref="L444:L503" si="27">J444*K444</f>
        <v>#N/A</v>
      </c>
      <c r="M444" s="325"/>
    </row>
    <row r="445" spans="1:13" ht="13">
      <c r="A445" s="18" t="s">
        <v>647</v>
      </c>
      <c r="B445" s="316" t="str">
        <f>VLOOKUP($A445,Master!$B$50:$N$232,2,FALSE)</f>
        <v>B034</v>
      </c>
      <c r="C445" s="316">
        <f>VLOOKUP($A445,Master!$B$50:$N$232,8,FALSE)</f>
        <v>250</v>
      </c>
      <c r="D445" s="316" t="str">
        <f>VLOOKUP($A445,Master!$B$50:$N$232,9,FALSE)</f>
        <v>pcs</v>
      </c>
      <c r="E445" s="317" t="str">
        <f>VLOOKUP($A445,Master!$B$50:$N$232,11,FALSE)</f>
        <v>Kurnia Mas</v>
      </c>
      <c r="F445" s="318">
        <v>1</v>
      </c>
      <c r="G445" s="354" t="s">
        <v>75</v>
      </c>
      <c r="H445" s="320">
        <v>42500</v>
      </c>
      <c r="I445" s="321" t="b">
        <v>1</v>
      </c>
      <c r="J445" s="322">
        <v>1</v>
      </c>
      <c r="K445" s="323">
        <v>65000</v>
      </c>
      <c r="L445" s="324">
        <f t="shared" si="27"/>
        <v>65000</v>
      </c>
      <c r="M445" s="325"/>
    </row>
    <row r="446" spans="1:13" ht="13">
      <c r="A446" s="18" t="s">
        <v>544</v>
      </c>
      <c r="B446" s="316" t="e">
        <f>VLOOKUP($A446,Master!$B$50:$N$232,2,FALSE)</f>
        <v>#N/A</v>
      </c>
      <c r="C446" s="316" t="e">
        <f>VLOOKUP($A446,Master!$B$50:$N$232,8,FALSE)</f>
        <v>#N/A</v>
      </c>
      <c r="D446" s="316" t="e">
        <f>VLOOKUP($A446,Master!$B$50:$N$232,9,FALSE)</f>
        <v>#N/A</v>
      </c>
      <c r="E446" s="317" t="e">
        <f>VLOOKUP($A446,Master!$B$50:$N$232,11,FALSE)</f>
        <v>#N/A</v>
      </c>
      <c r="F446" s="318">
        <v>6</v>
      </c>
      <c r="G446" s="354" t="s">
        <v>62</v>
      </c>
      <c r="H446" s="320">
        <v>91200</v>
      </c>
      <c r="I446" s="321" t="b">
        <v>1</v>
      </c>
      <c r="J446" s="322">
        <v>6</v>
      </c>
      <c r="K446" s="323">
        <v>22800</v>
      </c>
      <c r="L446" s="324">
        <f t="shared" si="27"/>
        <v>136800</v>
      </c>
      <c r="M446" s="325"/>
    </row>
    <row r="447" spans="1:13" ht="13">
      <c r="A447" s="18" t="s">
        <v>586</v>
      </c>
      <c r="B447" s="316" t="str">
        <f>VLOOKUP($A447,Master!$B$50:$N$232,2,FALSE)</f>
        <v>B018</v>
      </c>
      <c r="C447" s="316">
        <f>VLOOKUP($A447,Master!$B$50:$N$232,8,FALSE)</f>
        <v>20</v>
      </c>
      <c r="D447" s="316" t="str">
        <f>VLOOKUP($A447,Master!$B$50:$N$232,9,FALSE)</f>
        <v>pcs</v>
      </c>
      <c r="E447" s="317" t="str">
        <f>VLOOKUP($A447,Master!$B$50:$N$232,11,FALSE)</f>
        <v>Kurnia Mas</v>
      </c>
      <c r="F447" s="318">
        <v>3</v>
      </c>
      <c r="G447" s="354" t="s">
        <v>62</v>
      </c>
      <c r="H447" s="320">
        <v>21900</v>
      </c>
      <c r="I447" s="321" t="b">
        <v>1</v>
      </c>
      <c r="J447" s="322">
        <v>3</v>
      </c>
      <c r="K447" s="326">
        <f>VLOOKUP($A447,Master!$B$50:$N$232,6,FALSE)</f>
        <v>8500</v>
      </c>
      <c r="L447" s="327">
        <f t="shared" si="27"/>
        <v>25500</v>
      </c>
      <c r="M447" s="325"/>
    </row>
    <row r="448" spans="1:13" ht="13">
      <c r="A448" s="18" t="s">
        <v>631</v>
      </c>
      <c r="B448" s="316" t="str">
        <f>VLOOKUP($A448,Master!$B$50:$N$232,2,FALSE)</f>
        <v>B030</v>
      </c>
      <c r="C448" s="316">
        <f>VLOOKUP($A448,Master!$B$50:$N$232,8,FALSE)</f>
        <v>1000</v>
      </c>
      <c r="D448" s="316" t="str">
        <f>VLOOKUP($A448,Master!$B$50:$N$232,9,FALSE)</f>
        <v>gr</v>
      </c>
      <c r="E448" s="317" t="str">
        <f>VLOOKUP($A448,Master!$B$50:$N$232,11,FALSE)</f>
        <v>Borma</v>
      </c>
      <c r="F448" s="318">
        <v>1</v>
      </c>
      <c r="G448" s="354" t="s">
        <v>36</v>
      </c>
      <c r="H448" s="320">
        <v>16000</v>
      </c>
      <c r="I448" s="321" t="b">
        <v>1</v>
      </c>
      <c r="J448" s="322">
        <v>0.53</v>
      </c>
      <c r="K448" s="323">
        <v>1990</v>
      </c>
      <c r="L448" s="324">
        <f t="shared" si="27"/>
        <v>1054.7</v>
      </c>
      <c r="M448" s="325"/>
    </row>
    <row r="449" spans="1:13" ht="13">
      <c r="A449" s="18" t="s">
        <v>807</v>
      </c>
      <c r="B449" s="316" t="e">
        <f>VLOOKUP($A449,Master!$B$50:$N$232,2,FALSE)</f>
        <v>#N/A</v>
      </c>
      <c r="C449" s="316" t="e">
        <f>VLOOKUP($A449,Master!$B$50:$N$232,8,FALSE)</f>
        <v>#N/A</v>
      </c>
      <c r="D449" s="316" t="e">
        <f>VLOOKUP($A449,Master!$B$50:$N$232,9,FALSE)</f>
        <v>#N/A</v>
      </c>
      <c r="E449" s="317" t="e">
        <f>VLOOKUP($A449,Master!$B$50:$N$232,11,FALSE)</f>
        <v>#N/A</v>
      </c>
      <c r="F449" s="318">
        <v>1</v>
      </c>
      <c r="G449" s="354" t="s">
        <v>97</v>
      </c>
      <c r="H449" s="320">
        <v>5000</v>
      </c>
      <c r="I449" s="321" t="b">
        <v>1</v>
      </c>
      <c r="J449" s="322">
        <v>1</v>
      </c>
      <c r="K449" s="323">
        <v>5100</v>
      </c>
      <c r="L449" s="324">
        <f t="shared" si="27"/>
        <v>5100</v>
      </c>
      <c r="M449" s="325"/>
    </row>
    <row r="450" spans="1:13" ht="13">
      <c r="A450" s="18" t="s">
        <v>970</v>
      </c>
      <c r="B450" s="316" t="str">
        <f>VLOOKUP($A450,Master!$B$50:$N$232,2,FALSE)</f>
        <v>B126</v>
      </c>
      <c r="C450" s="316">
        <f>VLOOKUP($A450,Master!$B$50:$N$232,8,FALSE)</f>
        <v>35</v>
      </c>
      <c r="D450" s="316" t="str">
        <f>VLOOKUP($A450,Master!$B$50:$N$232,9,FALSE)</f>
        <v>gr</v>
      </c>
      <c r="E450" s="317" t="str">
        <f>VLOOKUP($A450,Master!$B$50:$N$232,11,FALSE)</f>
        <v>Tokopedia</v>
      </c>
      <c r="F450" s="318">
        <v>2</v>
      </c>
      <c r="G450" s="354" t="s">
        <v>75</v>
      </c>
      <c r="H450" s="320">
        <v>33000</v>
      </c>
      <c r="I450" s="321" t="b">
        <v>1</v>
      </c>
      <c r="J450" s="322">
        <v>2</v>
      </c>
      <c r="K450" s="323">
        <v>19900</v>
      </c>
      <c r="L450" s="324">
        <f t="shared" si="27"/>
        <v>39800</v>
      </c>
      <c r="M450" s="325"/>
    </row>
    <row r="451" spans="1:13" ht="13">
      <c r="A451" s="18" t="s">
        <v>1624</v>
      </c>
      <c r="B451" s="316" t="e">
        <f>VLOOKUP($A451,Master!$B$50:$N$232,2,FALSE)</f>
        <v>#N/A</v>
      </c>
      <c r="C451" s="316" t="e">
        <f>VLOOKUP($A451,Master!$B$50:$N$232,8,FALSE)</f>
        <v>#N/A</v>
      </c>
      <c r="D451" s="316" t="e">
        <f>VLOOKUP($A451,Master!$B$50:$N$232,9,FALSE)</f>
        <v>#N/A</v>
      </c>
      <c r="E451" s="317" t="e">
        <f>VLOOKUP($A451,Master!$B$50:$N$232,11,FALSE)</f>
        <v>#N/A</v>
      </c>
      <c r="F451" s="318">
        <v>2</v>
      </c>
      <c r="G451" s="354" t="s">
        <v>62</v>
      </c>
      <c r="H451" s="320">
        <v>26000</v>
      </c>
      <c r="I451" s="321" t="b">
        <v>1</v>
      </c>
      <c r="J451" s="322">
        <v>2</v>
      </c>
      <c r="K451" s="323">
        <v>13500</v>
      </c>
      <c r="L451" s="324">
        <f t="shared" si="27"/>
        <v>27000</v>
      </c>
      <c r="M451" s="325"/>
    </row>
    <row r="452" spans="1:13" ht="13">
      <c r="A452" s="18" t="s">
        <v>1043</v>
      </c>
      <c r="B452" s="316" t="e">
        <f>VLOOKUP($A452,Master!$B$50:$N$232,2,FALSE)</f>
        <v>#N/A</v>
      </c>
      <c r="C452" s="316" t="e">
        <f>VLOOKUP($A452,Master!$B$50:$N$232,8,FALSE)</f>
        <v>#N/A</v>
      </c>
      <c r="D452" s="316" t="e">
        <f>VLOOKUP($A452,Master!$B$50:$N$232,9,FALSE)</f>
        <v>#N/A</v>
      </c>
      <c r="E452" s="317" t="e">
        <f>VLOOKUP($A452,Master!$B$50:$N$232,11,FALSE)</f>
        <v>#N/A</v>
      </c>
      <c r="F452" s="318">
        <v>1</v>
      </c>
      <c r="G452" s="354" t="s">
        <v>50</v>
      </c>
      <c r="H452" s="320">
        <v>32200</v>
      </c>
      <c r="I452" s="321" t="b">
        <v>0</v>
      </c>
      <c r="J452" s="322"/>
      <c r="K452" s="323" t="e">
        <f>VLOOKUP($A452,Master!$B$50:$N$232,6,FALSE)</f>
        <v>#N/A</v>
      </c>
      <c r="L452" s="324" t="e">
        <f t="shared" si="27"/>
        <v>#N/A</v>
      </c>
      <c r="M452" s="325"/>
    </row>
    <row r="453" spans="1:13" ht="13">
      <c r="A453" s="18" t="s">
        <v>1094</v>
      </c>
      <c r="B453" s="316" t="e">
        <f>VLOOKUP($A453,Master!$B$50:$N$232,2,FALSE)</f>
        <v>#N/A</v>
      </c>
      <c r="C453" s="316" t="e">
        <f>VLOOKUP($A453,Master!$B$50:$N$232,8,FALSE)</f>
        <v>#N/A</v>
      </c>
      <c r="D453" s="316" t="e">
        <f>VLOOKUP($A453,Master!$B$50:$N$232,9,FALSE)</f>
        <v>#N/A</v>
      </c>
      <c r="E453" s="317" t="e">
        <f>VLOOKUP($A453,Master!$B$50:$N$232,11,FALSE)</f>
        <v>#N/A</v>
      </c>
      <c r="F453" s="318">
        <v>2</v>
      </c>
      <c r="G453" s="354" t="s">
        <v>62</v>
      </c>
      <c r="H453" s="320">
        <v>34600</v>
      </c>
      <c r="I453" s="321" t="b">
        <v>1</v>
      </c>
      <c r="J453" s="322">
        <v>1</v>
      </c>
      <c r="K453" s="323">
        <v>17800</v>
      </c>
      <c r="L453" s="324">
        <f t="shared" si="27"/>
        <v>17800</v>
      </c>
      <c r="M453" s="325"/>
    </row>
    <row r="454" spans="1:13" ht="13">
      <c r="A454" s="18" t="s">
        <v>1101</v>
      </c>
      <c r="B454" s="316" t="e">
        <f>VLOOKUP($A454,Master!$B$50:$N$232,2,FALSE)</f>
        <v>#N/A</v>
      </c>
      <c r="C454" s="316" t="e">
        <f>VLOOKUP($A454,Master!$B$50:$N$232,8,FALSE)</f>
        <v>#N/A</v>
      </c>
      <c r="D454" s="316" t="e">
        <f>VLOOKUP($A454,Master!$B$50:$N$232,9,FALSE)</f>
        <v>#N/A</v>
      </c>
      <c r="E454" s="317" t="e">
        <f>VLOOKUP($A454,Master!$B$50:$N$232,11,FALSE)</f>
        <v>#N/A</v>
      </c>
      <c r="F454" s="318">
        <v>2</v>
      </c>
      <c r="G454" s="354" t="s">
        <v>62</v>
      </c>
      <c r="H454" s="320">
        <v>32200</v>
      </c>
      <c r="I454" s="321" t="b">
        <v>1</v>
      </c>
      <c r="J454" s="322">
        <v>2</v>
      </c>
      <c r="K454" s="323">
        <v>12700</v>
      </c>
      <c r="L454" s="324">
        <f t="shared" si="27"/>
        <v>25400</v>
      </c>
      <c r="M454" s="325"/>
    </row>
    <row r="455" spans="1:13" ht="13">
      <c r="A455" s="18" t="s">
        <v>574</v>
      </c>
      <c r="B455" s="316" t="e">
        <f>VLOOKUP($A455,Master!$B$50:$N$232,2,FALSE)</f>
        <v>#N/A</v>
      </c>
      <c r="C455" s="316" t="e">
        <f>VLOOKUP($A455,Master!$B$50:$N$232,8,FALSE)</f>
        <v>#N/A</v>
      </c>
      <c r="D455" s="316" t="e">
        <f>VLOOKUP($A455,Master!$B$50:$N$232,9,FALSE)</f>
        <v>#N/A</v>
      </c>
      <c r="E455" s="317" t="e">
        <f>VLOOKUP($A455,Master!$B$50:$N$232,11,FALSE)</f>
        <v>#N/A</v>
      </c>
      <c r="F455" s="318">
        <v>1</v>
      </c>
      <c r="G455" s="354" t="s">
        <v>62</v>
      </c>
      <c r="H455" s="320">
        <v>170000</v>
      </c>
      <c r="I455" s="321" t="b">
        <v>1</v>
      </c>
      <c r="J455" s="322">
        <v>1</v>
      </c>
      <c r="K455" s="326" t="e">
        <f>VLOOKUP($A455,Master!$B$50:$N$232,6,FALSE)</f>
        <v>#N/A</v>
      </c>
      <c r="L455" s="327" t="e">
        <f t="shared" si="27"/>
        <v>#N/A</v>
      </c>
      <c r="M455" s="325"/>
    </row>
    <row r="456" spans="1:13" ht="13">
      <c r="A456" s="18" t="s">
        <v>578</v>
      </c>
      <c r="B456" s="316" t="e">
        <f>VLOOKUP($A456,Master!$B$50:$N$232,2,FALSE)</f>
        <v>#N/A</v>
      </c>
      <c r="C456" s="316" t="e">
        <f>VLOOKUP($A456,Master!$B$50:$N$232,8,FALSE)</f>
        <v>#N/A</v>
      </c>
      <c r="D456" s="316" t="e">
        <f>VLOOKUP($A456,Master!$B$50:$N$232,9,FALSE)</f>
        <v>#N/A</v>
      </c>
      <c r="E456" s="317" t="e">
        <f>VLOOKUP($A456,Master!$B$50:$N$232,11,FALSE)</f>
        <v>#N/A</v>
      </c>
      <c r="F456" s="318">
        <v>1</v>
      </c>
      <c r="G456" s="354" t="s">
        <v>62</v>
      </c>
      <c r="H456" s="320">
        <v>220000</v>
      </c>
      <c r="I456" s="321" t="b">
        <v>1</v>
      </c>
      <c r="J456" s="322">
        <v>1</v>
      </c>
      <c r="K456" s="326" t="e">
        <f>VLOOKUP($A456,Master!$B$50:$N$232,6,FALSE)</f>
        <v>#N/A</v>
      </c>
      <c r="L456" s="327" t="e">
        <f t="shared" si="27"/>
        <v>#N/A</v>
      </c>
      <c r="M456" s="325"/>
    </row>
    <row r="457" spans="1:13" ht="13">
      <c r="A457" s="18" t="s">
        <v>696</v>
      </c>
      <c r="B457" s="316" t="e">
        <f>VLOOKUP($A457,Master!$B$50:$N$232,2,FALSE)</f>
        <v>#N/A</v>
      </c>
      <c r="C457" s="316" t="e">
        <f>VLOOKUP($A457,Master!$B$50:$N$232,8,FALSE)</f>
        <v>#N/A</v>
      </c>
      <c r="D457" s="316" t="e">
        <f>VLOOKUP($A457,Master!$B$50:$N$232,9,FALSE)</f>
        <v>#N/A</v>
      </c>
      <c r="E457" s="317" t="e">
        <f>VLOOKUP($A457,Master!$B$50:$N$232,11,FALSE)</f>
        <v>#N/A</v>
      </c>
      <c r="F457" s="318">
        <v>4</v>
      </c>
      <c r="G457" s="354" t="s">
        <v>62</v>
      </c>
      <c r="H457" s="320">
        <v>56000</v>
      </c>
      <c r="I457" s="321" t="b">
        <v>1</v>
      </c>
      <c r="J457" s="322">
        <v>4</v>
      </c>
      <c r="K457" s="323">
        <v>12750</v>
      </c>
      <c r="L457" s="324">
        <f t="shared" si="27"/>
        <v>51000</v>
      </c>
      <c r="M457" s="325"/>
    </row>
    <row r="458" spans="1:13" ht="13">
      <c r="A458" s="18" t="s">
        <v>782</v>
      </c>
      <c r="B458" s="316" t="str">
        <f>VLOOKUP($A458,Master!$B$50:$N$232,2,FALSE)</f>
        <v>B069</v>
      </c>
      <c r="C458" s="316">
        <f>VLOOKUP($A458,Master!$B$50:$N$232,8,FALSE)</f>
        <v>500</v>
      </c>
      <c r="D458" s="316" t="str">
        <f>VLOOKUP($A458,Master!$B$50:$N$232,9,FALSE)</f>
        <v>gr</v>
      </c>
      <c r="E458" s="317" t="str">
        <f>VLOOKUP($A458,Master!$B$50:$N$232,11,FALSE)</f>
        <v>Toko Lain</v>
      </c>
      <c r="F458" s="318">
        <v>2</v>
      </c>
      <c r="G458" s="354" t="s">
        <v>62</v>
      </c>
      <c r="H458" s="320">
        <v>15000</v>
      </c>
      <c r="I458" s="321" t="b">
        <v>1</v>
      </c>
      <c r="J458" s="322">
        <v>2</v>
      </c>
      <c r="K458" s="323">
        <v>7700</v>
      </c>
      <c r="L458" s="324">
        <f t="shared" si="27"/>
        <v>15400</v>
      </c>
      <c r="M458" s="325"/>
    </row>
    <row r="459" spans="1:13" ht="13">
      <c r="A459" s="18" t="s">
        <v>791</v>
      </c>
      <c r="B459" s="316" t="e">
        <f>VLOOKUP($A459,Master!$B$50:$N$232,2,FALSE)</f>
        <v>#N/A</v>
      </c>
      <c r="C459" s="316" t="e">
        <f>VLOOKUP($A459,Master!$B$50:$N$232,8,FALSE)</f>
        <v>#N/A</v>
      </c>
      <c r="D459" s="316" t="e">
        <f>VLOOKUP($A459,Master!$B$50:$N$232,9,FALSE)</f>
        <v>#N/A</v>
      </c>
      <c r="E459" s="317" t="e">
        <f>VLOOKUP($A459,Master!$B$50:$N$232,11,FALSE)</f>
        <v>#N/A</v>
      </c>
      <c r="F459" s="318">
        <v>1</v>
      </c>
      <c r="G459" s="354" t="s">
        <v>75</v>
      </c>
      <c r="H459" s="320">
        <v>365000</v>
      </c>
      <c r="I459" s="321" t="b">
        <v>1</v>
      </c>
      <c r="J459" s="322">
        <v>1</v>
      </c>
      <c r="K459" s="326" t="e">
        <f>VLOOKUP($A459,Master!$B$50:$N$232,6,FALSE)</f>
        <v>#N/A</v>
      </c>
      <c r="L459" s="327" t="e">
        <f t="shared" si="27"/>
        <v>#N/A</v>
      </c>
      <c r="M459" s="325"/>
    </row>
    <row r="460" spans="1:13" ht="13">
      <c r="A460" s="18" t="s">
        <v>946</v>
      </c>
      <c r="B460" s="316" t="e">
        <f>VLOOKUP($A460,Master!$B$50:$N$232,2,FALSE)</f>
        <v>#N/A</v>
      </c>
      <c r="C460" s="316" t="e">
        <f>VLOOKUP($A460,Master!$B$50:$N$232,8,FALSE)</f>
        <v>#N/A</v>
      </c>
      <c r="D460" s="316" t="e">
        <f>VLOOKUP($A460,Master!$B$50:$N$232,9,FALSE)</f>
        <v>#N/A</v>
      </c>
      <c r="E460" s="317" t="e">
        <f>VLOOKUP($A460,Master!$B$50:$N$232,11,FALSE)</f>
        <v>#N/A</v>
      </c>
      <c r="F460" s="318">
        <v>1</v>
      </c>
      <c r="G460" s="354" t="s">
        <v>75</v>
      </c>
      <c r="H460" s="320">
        <v>460000</v>
      </c>
      <c r="I460" s="321" t="b">
        <v>0</v>
      </c>
      <c r="J460" s="322"/>
      <c r="K460" s="326" t="e">
        <f>VLOOKUP($A460,Master!$B$50:$N$232,6,FALSE)</f>
        <v>#N/A</v>
      </c>
      <c r="L460" s="327" t="e">
        <f t="shared" si="27"/>
        <v>#N/A</v>
      </c>
      <c r="M460" s="325"/>
    </row>
    <row r="461" spans="1:13" ht="13">
      <c r="A461" s="18" t="s">
        <v>1092</v>
      </c>
      <c r="B461" s="316" t="e">
        <f>VLOOKUP($A461,Master!$B$50:$N$232,2,FALSE)</f>
        <v>#N/A</v>
      </c>
      <c r="C461" s="316" t="e">
        <f>VLOOKUP($A461,Master!$B$50:$N$232,8,FALSE)</f>
        <v>#N/A</v>
      </c>
      <c r="D461" s="316" t="e">
        <f>VLOOKUP($A461,Master!$B$50:$N$232,9,FALSE)</f>
        <v>#N/A</v>
      </c>
      <c r="E461" s="317" t="e">
        <f>VLOOKUP($A461,Master!$B$50:$N$232,11,FALSE)</f>
        <v>#N/A</v>
      </c>
      <c r="F461" s="318">
        <v>8</v>
      </c>
      <c r="G461" s="354" t="s">
        <v>62</v>
      </c>
      <c r="H461" s="320">
        <v>116000</v>
      </c>
      <c r="I461" s="321" t="b">
        <v>1</v>
      </c>
      <c r="J461" s="322">
        <v>8</v>
      </c>
      <c r="K461" s="323">
        <v>15000</v>
      </c>
      <c r="L461" s="324">
        <f t="shared" si="27"/>
        <v>120000</v>
      </c>
      <c r="M461" s="325"/>
    </row>
    <row r="462" spans="1:13" ht="13">
      <c r="A462" s="18" t="s">
        <v>1504</v>
      </c>
      <c r="B462" s="316" t="e">
        <f>VLOOKUP($A462,Master!$B$50:$N$232,2,FALSE)</f>
        <v>#N/A</v>
      </c>
      <c r="C462" s="316" t="e">
        <f>VLOOKUP($A462,Master!$B$50:$N$232,8,FALSE)</f>
        <v>#N/A</v>
      </c>
      <c r="D462" s="316" t="e">
        <f>VLOOKUP($A462,Master!$B$50:$N$232,9,FALSE)</f>
        <v>#N/A</v>
      </c>
      <c r="E462" s="317" t="e">
        <f>VLOOKUP($A462,Master!$B$50:$N$232,11,FALSE)</f>
        <v>#N/A</v>
      </c>
      <c r="F462" s="318">
        <v>1</v>
      </c>
      <c r="G462" s="354" t="s">
        <v>97</v>
      </c>
      <c r="H462" s="320">
        <v>137000</v>
      </c>
      <c r="I462" s="321" t="b">
        <v>0</v>
      </c>
      <c r="J462" s="322"/>
      <c r="K462" s="323" t="e">
        <f>VLOOKUP($A462,Master!$B$50:$N$232,6,FALSE)</f>
        <v>#N/A</v>
      </c>
      <c r="L462" s="324" t="e">
        <f t="shared" si="27"/>
        <v>#N/A</v>
      </c>
      <c r="M462" s="325"/>
    </row>
    <row r="463" spans="1:13" ht="13">
      <c r="A463" s="18" t="s">
        <v>843</v>
      </c>
      <c r="B463" s="316" t="str">
        <f>VLOOKUP($A463,Master!$B$50:$N$232,2,FALSE)</f>
        <v>B085</v>
      </c>
      <c r="C463" s="316">
        <f>VLOOKUP($A463,Master!$B$50:$N$232,8,FALSE)</f>
        <v>50</v>
      </c>
      <c r="D463" s="316" t="str">
        <f>VLOOKUP($A463,Master!$B$50:$N$232,9,FALSE)</f>
        <v>pcs</v>
      </c>
      <c r="E463" s="317" t="str">
        <f>VLOOKUP($A463,Master!$B$50:$N$232,11,FALSE)</f>
        <v>Lingga Jaya Pack</v>
      </c>
      <c r="F463" s="318">
        <v>2</v>
      </c>
      <c r="G463" s="354" t="s">
        <v>62</v>
      </c>
      <c r="H463" s="320">
        <v>1900</v>
      </c>
      <c r="I463" s="321" t="b">
        <v>0</v>
      </c>
      <c r="J463" s="322"/>
      <c r="K463" s="326">
        <f>VLOOKUP($A463,Master!$B$50:$N$232,6,FALSE)</f>
        <v>28000</v>
      </c>
      <c r="L463" s="327">
        <f t="shared" si="27"/>
        <v>0</v>
      </c>
      <c r="M463" s="325"/>
    </row>
    <row r="464" spans="1:13" ht="13">
      <c r="A464" s="18" t="s">
        <v>528</v>
      </c>
      <c r="B464" s="316" t="e">
        <f>VLOOKUP($A464,Master!$B$50:$N$232,2,FALSE)</f>
        <v>#N/A</v>
      </c>
      <c r="C464" s="316" t="e">
        <f>VLOOKUP($A464,Master!$B$50:$N$232,8,FALSE)</f>
        <v>#N/A</v>
      </c>
      <c r="D464" s="316" t="e">
        <f>VLOOKUP($A464,Master!$B$50:$N$232,9,FALSE)</f>
        <v>#N/A</v>
      </c>
      <c r="E464" s="317" t="e">
        <f>VLOOKUP($A464,Master!$B$50:$N$232,11,FALSE)</f>
        <v>#N/A</v>
      </c>
      <c r="F464" s="318">
        <v>2</v>
      </c>
      <c r="G464" s="354" t="s">
        <v>50</v>
      </c>
      <c r="H464" s="320">
        <v>32000</v>
      </c>
      <c r="I464" s="321" t="b">
        <v>1</v>
      </c>
      <c r="J464" s="322">
        <v>2</v>
      </c>
      <c r="K464" s="326" t="e">
        <f>VLOOKUP($A464,Master!$B$50:$N$232,6,FALSE)</f>
        <v>#N/A</v>
      </c>
      <c r="L464" s="327" t="e">
        <f t="shared" si="27"/>
        <v>#N/A</v>
      </c>
      <c r="M464" s="325"/>
    </row>
    <row r="465" spans="1:13" ht="13">
      <c r="A465" s="18" t="s">
        <v>532</v>
      </c>
      <c r="B465" s="316" t="e">
        <f>VLOOKUP($A465,Master!$B$50:$N$232,2,FALSE)</f>
        <v>#N/A</v>
      </c>
      <c r="C465" s="316" t="e">
        <f>VLOOKUP($A465,Master!$B$50:$N$232,8,FALSE)</f>
        <v>#N/A</v>
      </c>
      <c r="D465" s="316" t="e">
        <f>VLOOKUP($A465,Master!$B$50:$N$232,9,FALSE)</f>
        <v>#N/A</v>
      </c>
      <c r="E465" s="317" t="e">
        <f>VLOOKUP($A465,Master!$B$50:$N$232,11,FALSE)</f>
        <v>#N/A</v>
      </c>
      <c r="F465" s="318">
        <v>1</v>
      </c>
      <c r="G465" s="354" t="s">
        <v>62</v>
      </c>
      <c r="H465" s="320">
        <v>56000</v>
      </c>
      <c r="I465" s="321" t="b">
        <v>1</v>
      </c>
      <c r="J465" s="322">
        <v>1</v>
      </c>
      <c r="K465" s="326" t="e">
        <f>VLOOKUP($A465,Master!$B$50:$N$232,6,FALSE)</f>
        <v>#N/A</v>
      </c>
      <c r="L465" s="327" t="e">
        <f t="shared" si="27"/>
        <v>#N/A</v>
      </c>
      <c r="M465" s="325"/>
    </row>
    <row r="466" spans="1:13" ht="13">
      <c r="A466" s="18" t="s">
        <v>680</v>
      </c>
      <c r="B466" s="316" t="e">
        <f>VLOOKUP($A466,Master!$B$50:$N$232,2,FALSE)</f>
        <v>#N/A</v>
      </c>
      <c r="C466" s="316" t="e">
        <f>VLOOKUP($A466,Master!$B$50:$N$232,8,FALSE)</f>
        <v>#N/A</v>
      </c>
      <c r="D466" s="316" t="e">
        <f>VLOOKUP($A466,Master!$B$50:$N$232,9,FALSE)</f>
        <v>#N/A</v>
      </c>
      <c r="E466" s="317" t="e">
        <f>VLOOKUP($A466,Master!$B$50:$N$232,11,FALSE)</f>
        <v>#N/A</v>
      </c>
      <c r="F466" s="318">
        <v>5</v>
      </c>
      <c r="G466" s="354" t="s">
        <v>97</v>
      </c>
      <c r="H466" s="320">
        <v>150000</v>
      </c>
      <c r="I466" s="321" t="b">
        <v>0</v>
      </c>
      <c r="J466" s="322"/>
      <c r="K466" s="326" t="e">
        <f>VLOOKUP($A466,Master!$B$50:$N$232,6,FALSE)</f>
        <v>#N/A</v>
      </c>
      <c r="L466" s="327" t="e">
        <f t="shared" si="27"/>
        <v>#N/A</v>
      </c>
      <c r="M466" s="325"/>
    </row>
    <row r="467" spans="1:13" ht="13">
      <c r="A467" s="18" t="s">
        <v>688</v>
      </c>
      <c r="B467" s="316" t="e">
        <f>VLOOKUP($A467,Master!$B$50:$N$232,2,FALSE)</f>
        <v>#N/A</v>
      </c>
      <c r="C467" s="316" t="e">
        <f>VLOOKUP($A467,Master!$B$50:$N$232,8,FALSE)</f>
        <v>#N/A</v>
      </c>
      <c r="D467" s="316" t="e">
        <f>VLOOKUP($A467,Master!$B$50:$N$232,9,FALSE)</f>
        <v>#N/A</v>
      </c>
      <c r="E467" s="317" t="e">
        <f>VLOOKUP($A467,Master!$B$50:$N$232,11,FALSE)</f>
        <v>#N/A</v>
      </c>
      <c r="F467" s="318">
        <v>3</v>
      </c>
      <c r="G467" s="354" t="s">
        <v>62</v>
      </c>
      <c r="H467" s="320">
        <v>187500</v>
      </c>
      <c r="I467" s="321" t="b">
        <v>1</v>
      </c>
      <c r="J467" s="322">
        <v>3</v>
      </c>
      <c r="K467" s="326" t="e">
        <f>VLOOKUP($A467,Master!$B$50:$N$232,6,FALSE)</f>
        <v>#N/A</v>
      </c>
      <c r="L467" s="327" t="e">
        <f t="shared" si="27"/>
        <v>#N/A</v>
      </c>
      <c r="M467" s="325"/>
    </row>
    <row r="468" spans="1:13" ht="13">
      <c r="A468" s="18" t="s">
        <v>692</v>
      </c>
      <c r="B468" s="316" t="e">
        <f>VLOOKUP($A468,Master!$B$50:$N$232,2,FALSE)</f>
        <v>#N/A</v>
      </c>
      <c r="C468" s="316" t="e">
        <f>VLOOKUP($A468,Master!$B$50:$N$232,8,FALSE)</f>
        <v>#N/A</v>
      </c>
      <c r="D468" s="316" t="e">
        <f>VLOOKUP($A468,Master!$B$50:$N$232,9,FALSE)</f>
        <v>#N/A</v>
      </c>
      <c r="E468" s="317" t="e">
        <f>VLOOKUP($A468,Master!$B$50:$N$232,11,FALSE)</f>
        <v>#N/A</v>
      </c>
      <c r="F468" s="318">
        <v>1</v>
      </c>
      <c r="G468" s="354" t="s">
        <v>62</v>
      </c>
      <c r="H468" s="320">
        <v>53000</v>
      </c>
      <c r="I468" s="321" t="b">
        <v>1</v>
      </c>
      <c r="J468" s="322">
        <v>1</v>
      </c>
      <c r="K468" s="326" t="e">
        <f>VLOOKUP($A468,Master!$B$50:$N$232,6,FALSE)</f>
        <v>#N/A</v>
      </c>
      <c r="L468" s="327" t="e">
        <f t="shared" si="27"/>
        <v>#N/A</v>
      </c>
      <c r="M468" s="325"/>
    </row>
    <row r="469" spans="1:13" ht="13">
      <c r="A469" s="18" t="s">
        <v>720</v>
      </c>
      <c r="B469" s="316" t="str">
        <f>VLOOKUP($A469,Master!$B$50:$N$232,2,FALSE)</f>
        <v>B052</v>
      </c>
      <c r="C469" s="316">
        <f>VLOOKUP($A469,Master!$B$50:$N$232,8,FALSE)</f>
        <v>100</v>
      </c>
      <c r="D469" s="316" t="str">
        <f>VLOOKUP($A469,Master!$B$50:$N$232,9,FALSE)</f>
        <v>gr</v>
      </c>
      <c r="E469" s="317" t="str">
        <f>VLOOKUP($A469,Master!$B$50:$N$232,11,FALSE)</f>
        <v>PD Aroma Jaya</v>
      </c>
      <c r="F469" s="318">
        <v>3</v>
      </c>
      <c r="G469" s="354" t="s">
        <v>97</v>
      </c>
      <c r="H469" s="320">
        <v>84000</v>
      </c>
      <c r="I469" s="321" t="b">
        <v>1</v>
      </c>
      <c r="J469" s="322">
        <v>3</v>
      </c>
      <c r="K469" s="323">
        <v>11500</v>
      </c>
      <c r="L469" s="324">
        <f t="shared" si="27"/>
        <v>34500</v>
      </c>
      <c r="M469" s="325"/>
    </row>
    <row r="470" spans="1:13" ht="13">
      <c r="A470" s="18" t="s">
        <v>748</v>
      </c>
      <c r="B470" s="316" t="e">
        <f>VLOOKUP($A470,Master!$B$50:$N$232,2,FALSE)</f>
        <v>#N/A</v>
      </c>
      <c r="C470" s="316" t="e">
        <f>VLOOKUP($A470,Master!$B$50:$N$232,8,FALSE)</f>
        <v>#N/A</v>
      </c>
      <c r="D470" s="316" t="e">
        <f>VLOOKUP($A470,Master!$B$50:$N$232,9,FALSE)</f>
        <v>#N/A</v>
      </c>
      <c r="E470" s="317" t="e">
        <f>VLOOKUP($A470,Master!$B$50:$N$232,11,FALSE)</f>
        <v>#N/A</v>
      </c>
      <c r="F470" s="318">
        <v>3</v>
      </c>
      <c r="G470" s="354" t="s">
        <v>62</v>
      </c>
      <c r="H470" s="320">
        <v>82500</v>
      </c>
      <c r="I470" s="321" t="b">
        <v>1</v>
      </c>
      <c r="J470" s="322">
        <v>3</v>
      </c>
      <c r="K470" s="326" t="e">
        <f>VLOOKUP($A470,Master!$B$50:$N$232,6,FALSE)</f>
        <v>#N/A</v>
      </c>
      <c r="L470" s="327" t="e">
        <f t="shared" si="27"/>
        <v>#N/A</v>
      </c>
      <c r="M470" s="325"/>
    </row>
    <row r="471" spans="1:13" ht="13">
      <c r="A471" s="18" t="s">
        <v>767</v>
      </c>
      <c r="B471" s="316" t="e">
        <f>VLOOKUP($A471,Master!$B$50:$N$232,2,FALSE)</f>
        <v>#N/A</v>
      </c>
      <c r="C471" s="316" t="e">
        <f>VLOOKUP($A471,Master!$B$50:$N$232,8,FALSE)</f>
        <v>#N/A</v>
      </c>
      <c r="D471" s="316" t="e">
        <f>VLOOKUP($A471,Master!$B$50:$N$232,9,FALSE)</f>
        <v>#N/A</v>
      </c>
      <c r="E471" s="317" t="e">
        <f>VLOOKUP($A471,Master!$B$50:$N$232,11,FALSE)</f>
        <v>#N/A</v>
      </c>
      <c r="F471" s="318">
        <v>1</v>
      </c>
      <c r="G471" s="354" t="s">
        <v>62</v>
      </c>
      <c r="H471" s="320">
        <v>19500</v>
      </c>
      <c r="I471" s="321" t="b">
        <v>1</v>
      </c>
      <c r="J471" s="322">
        <v>1</v>
      </c>
      <c r="K471" s="326" t="e">
        <f>VLOOKUP($A471,Master!$B$50:$N$232,6,FALSE)</f>
        <v>#N/A</v>
      </c>
      <c r="L471" s="327" t="e">
        <f t="shared" si="27"/>
        <v>#N/A</v>
      </c>
      <c r="M471" s="325"/>
    </row>
    <row r="472" spans="1:13" ht="13">
      <c r="A472" s="18" t="s">
        <v>773</v>
      </c>
      <c r="B472" s="316" t="e">
        <f>VLOOKUP($A472,Master!$B$50:$N$232,2,FALSE)</f>
        <v>#N/A</v>
      </c>
      <c r="C472" s="316" t="e">
        <f>VLOOKUP($A472,Master!$B$50:$N$232,8,FALSE)</f>
        <v>#N/A</v>
      </c>
      <c r="D472" s="316" t="e">
        <f>VLOOKUP($A472,Master!$B$50:$N$232,9,FALSE)</f>
        <v>#N/A</v>
      </c>
      <c r="E472" s="317" t="e">
        <f>VLOOKUP($A472,Master!$B$50:$N$232,11,FALSE)</f>
        <v>#N/A</v>
      </c>
      <c r="F472" s="318">
        <v>2</v>
      </c>
      <c r="G472" s="354" t="s">
        <v>62</v>
      </c>
      <c r="H472" s="320">
        <v>28000</v>
      </c>
      <c r="I472" s="321" t="b">
        <v>1</v>
      </c>
      <c r="J472" s="322">
        <v>2</v>
      </c>
      <c r="K472" s="326" t="e">
        <f>VLOOKUP($A472,Master!$B$50:$N$232,6,FALSE)</f>
        <v>#N/A</v>
      </c>
      <c r="L472" s="327" t="e">
        <f t="shared" si="27"/>
        <v>#N/A</v>
      </c>
      <c r="M472" s="325"/>
    </row>
    <row r="473" spans="1:13" ht="13">
      <c r="A473" s="18" t="s">
        <v>787</v>
      </c>
      <c r="B473" s="316" t="e">
        <f>VLOOKUP($A473,Master!$B$50:$N$232,2,FALSE)</f>
        <v>#N/A</v>
      </c>
      <c r="C473" s="316" t="e">
        <f>VLOOKUP($A473,Master!$B$50:$N$232,8,FALSE)</f>
        <v>#N/A</v>
      </c>
      <c r="D473" s="316" t="e">
        <f>VLOOKUP($A473,Master!$B$50:$N$232,9,FALSE)</f>
        <v>#N/A</v>
      </c>
      <c r="E473" s="317" t="e">
        <f>VLOOKUP($A473,Master!$B$50:$N$232,11,FALSE)</f>
        <v>#N/A</v>
      </c>
      <c r="F473" s="318">
        <v>2</v>
      </c>
      <c r="G473" s="354" t="s">
        <v>97</v>
      </c>
      <c r="H473" s="320">
        <v>40500</v>
      </c>
      <c r="I473" s="321" t="b">
        <v>1</v>
      </c>
      <c r="J473" s="322">
        <v>2</v>
      </c>
      <c r="K473" s="326" t="e">
        <f>VLOOKUP($A473,Master!$B$50:$N$232,6,FALSE)</f>
        <v>#N/A</v>
      </c>
      <c r="L473" s="327" t="e">
        <f t="shared" si="27"/>
        <v>#N/A</v>
      </c>
      <c r="M473" s="325"/>
    </row>
    <row r="474" spans="1:13" ht="13">
      <c r="A474" s="18" t="s">
        <v>811</v>
      </c>
      <c r="B474" s="316" t="str">
        <f>VLOOKUP($A474,Master!$B$50:$N$232,2,FALSE)</f>
        <v>B077</v>
      </c>
      <c r="C474" s="316">
        <f>VLOOKUP($A474,Master!$B$50:$N$232,8,FALSE)</f>
        <v>100</v>
      </c>
      <c r="D474" s="316" t="str">
        <f>VLOOKUP($A474,Master!$B$50:$N$232,9,FALSE)</f>
        <v>gr</v>
      </c>
      <c r="E474" s="317" t="str">
        <f>VLOOKUP($A474,Master!$B$50:$N$232,11,FALSE)</f>
        <v>PD Aroma Jaya</v>
      </c>
      <c r="F474" s="318">
        <v>1</v>
      </c>
      <c r="G474" s="354" t="s">
        <v>97</v>
      </c>
      <c r="H474" s="320">
        <v>38000</v>
      </c>
      <c r="I474" s="321" t="b">
        <v>1</v>
      </c>
      <c r="J474" s="322">
        <v>1</v>
      </c>
      <c r="K474" s="323">
        <v>11000</v>
      </c>
      <c r="L474" s="324">
        <f t="shared" si="27"/>
        <v>11000</v>
      </c>
      <c r="M474" s="325"/>
    </row>
    <row r="475" spans="1:13" ht="13">
      <c r="A475" s="18" t="s">
        <v>934</v>
      </c>
      <c r="B475" s="316" t="e">
        <f>VLOOKUP($A475,Master!$B$50:$N$232,2,FALSE)</f>
        <v>#N/A</v>
      </c>
      <c r="C475" s="316" t="e">
        <f>VLOOKUP($A475,Master!$B$50:$N$232,8,FALSE)</f>
        <v>#N/A</v>
      </c>
      <c r="D475" s="316" t="e">
        <f>VLOOKUP($A475,Master!$B$50:$N$232,9,FALSE)</f>
        <v>#N/A</v>
      </c>
      <c r="E475" s="317" t="e">
        <f>VLOOKUP($A475,Master!$B$50:$N$232,11,FALSE)</f>
        <v>#N/A</v>
      </c>
      <c r="F475" s="318">
        <v>1</v>
      </c>
      <c r="G475" s="354" t="s">
        <v>62</v>
      </c>
      <c r="H475" s="320">
        <v>7900</v>
      </c>
      <c r="I475" s="321" t="b">
        <v>1</v>
      </c>
      <c r="J475" s="322">
        <v>1</v>
      </c>
      <c r="K475" s="326" t="e">
        <f>VLOOKUP($A475,Master!$B$50:$N$232,6,FALSE)</f>
        <v>#N/A</v>
      </c>
      <c r="L475" s="327" t="e">
        <f t="shared" si="27"/>
        <v>#N/A</v>
      </c>
      <c r="M475" s="325"/>
    </row>
    <row r="476" spans="1:13" ht="13">
      <c r="A476" s="18" t="s">
        <v>982</v>
      </c>
      <c r="B476" s="316" t="str">
        <f>VLOOKUP($A476,Master!$B$50:$N$232,2,FALSE)</f>
        <v>B130</v>
      </c>
      <c r="C476" s="316">
        <f>VLOOKUP($A476,Master!$B$50:$N$232,8,FALSE)</f>
        <v>12</v>
      </c>
      <c r="D476" s="316" t="str">
        <f>VLOOKUP($A476,Master!$B$50:$N$232,9,FALSE)</f>
        <v>pcs</v>
      </c>
      <c r="E476" s="317" t="str">
        <f>VLOOKUP($A476,Master!$B$50:$N$232,11,FALSE)</f>
        <v>PD Aroma Jaya</v>
      </c>
      <c r="F476" s="318">
        <v>2</v>
      </c>
      <c r="G476" s="354" t="s">
        <v>62</v>
      </c>
      <c r="H476" s="320">
        <v>44000</v>
      </c>
      <c r="I476" s="321" t="b">
        <v>1</v>
      </c>
      <c r="J476" s="322">
        <v>2</v>
      </c>
      <c r="K476" s="323">
        <v>22000</v>
      </c>
      <c r="L476" s="324">
        <f t="shared" si="27"/>
        <v>44000</v>
      </c>
      <c r="M476" s="325"/>
    </row>
    <row r="477" spans="1:13" ht="13">
      <c r="A477" s="18" t="s">
        <v>989</v>
      </c>
      <c r="B477" s="316" t="str">
        <f>VLOOKUP($A477,Master!$B$50:$N$232,2,FALSE)</f>
        <v>B133</v>
      </c>
      <c r="C477" s="316">
        <f>VLOOKUP($A477,Master!$B$50:$N$232,8,FALSE)</f>
        <v>5000</v>
      </c>
      <c r="D477" s="316" t="str">
        <f>VLOOKUP($A477,Master!$B$50:$N$232,9,FALSE)</f>
        <v>ml</v>
      </c>
      <c r="E477" s="317" t="str">
        <f>VLOOKUP($A477,Master!$B$50:$N$232,11,FALSE)</f>
        <v>Kurnia Mas</v>
      </c>
      <c r="F477" s="318">
        <v>2</v>
      </c>
      <c r="G477" s="354" t="s">
        <v>62</v>
      </c>
      <c r="H477" s="320">
        <v>39000</v>
      </c>
      <c r="I477" s="321" t="b">
        <v>1</v>
      </c>
      <c r="J477" s="322">
        <v>2</v>
      </c>
      <c r="K477" s="326">
        <f>VLOOKUP($A477,Master!$B$50:$N$232,6,FALSE)</f>
        <v>54500</v>
      </c>
      <c r="L477" s="327">
        <f t="shared" si="27"/>
        <v>109000</v>
      </c>
      <c r="M477" s="325"/>
    </row>
    <row r="478" spans="1:13" ht="13">
      <c r="A478" s="18" t="s">
        <v>1548</v>
      </c>
      <c r="B478" s="316" t="e">
        <f>VLOOKUP($A478,Master!$B$50:$N$232,2,FALSE)</f>
        <v>#N/A</v>
      </c>
      <c r="C478" s="316" t="e">
        <f>VLOOKUP($A478,Master!$B$50:$N$232,8,FALSE)</f>
        <v>#N/A</v>
      </c>
      <c r="D478" s="316" t="e">
        <f>VLOOKUP($A478,Master!$B$50:$N$232,9,FALSE)</f>
        <v>#N/A</v>
      </c>
      <c r="E478" s="317" t="e">
        <f>VLOOKUP($A478,Master!$B$50:$N$232,11,FALSE)</f>
        <v>#N/A</v>
      </c>
      <c r="F478" s="318">
        <v>2</v>
      </c>
      <c r="G478" s="354" t="s">
        <v>62</v>
      </c>
      <c r="H478" s="320">
        <v>20000</v>
      </c>
      <c r="I478" s="321" t="b">
        <v>1</v>
      </c>
      <c r="J478" s="322">
        <v>1</v>
      </c>
      <c r="K478" s="323">
        <v>40000</v>
      </c>
      <c r="L478" s="324">
        <f t="shared" si="27"/>
        <v>40000</v>
      </c>
      <c r="M478" s="325"/>
    </row>
    <row r="479" spans="1:13" ht="13">
      <c r="A479" s="18" t="s">
        <v>562</v>
      </c>
      <c r="B479" s="316" t="e">
        <f>VLOOKUP($A479,Master!$B$50:$N$232,2,FALSE)</f>
        <v>#N/A</v>
      </c>
      <c r="C479" s="316" t="e">
        <f>VLOOKUP($A479,Master!$B$50:$N$232,8,FALSE)</f>
        <v>#N/A</v>
      </c>
      <c r="D479" s="316" t="e">
        <f>VLOOKUP($A479,Master!$B$50:$N$232,9,FALSE)</f>
        <v>#N/A</v>
      </c>
      <c r="E479" s="317" t="e">
        <f>VLOOKUP($A479,Master!$B$50:$N$232,11,FALSE)</f>
        <v>#N/A</v>
      </c>
      <c r="F479" s="318">
        <v>1</v>
      </c>
      <c r="G479" s="354" t="s">
        <v>97</v>
      </c>
      <c r="H479" s="320">
        <v>216450</v>
      </c>
      <c r="I479" s="321" t="b">
        <v>1</v>
      </c>
      <c r="J479" s="322">
        <v>1</v>
      </c>
      <c r="K479" s="323">
        <v>195000</v>
      </c>
      <c r="L479" s="324">
        <f t="shared" si="27"/>
        <v>195000</v>
      </c>
      <c r="M479" s="325"/>
    </row>
    <row r="480" spans="1:13" ht="13">
      <c r="A480" s="18" t="s">
        <v>566</v>
      </c>
      <c r="B480" s="316" t="e">
        <f>VLOOKUP($A480,Master!$B$50:$N$232,2,FALSE)</f>
        <v>#N/A</v>
      </c>
      <c r="C480" s="316" t="e">
        <f>VLOOKUP($A480,Master!$B$50:$N$232,8,FALSE)</f>
        <v>#N/A</v>
      </c>
      <c r="D480" s="316" t="e">
        <f>VLOOKUP($A480,Master!$B$50:$N$232,9,FALSE)</f>
        <v>#N/A</v>
      </c>
      <c r="E480" s="317" t="e">
        <f>VLOOKUP($A480,Master!$B$50:$N$232,11,FALSE)</f>
        <v>#N/A</v>
      </c>
      <c r="F480" s="318">
        <v>1</v>
      </c>
      <c r="G480" s="354" t="s">
        <v>62</v>
      </c>
      <c r="H480" s="320">
        <v>224220</v>
      </c>
      <c r="I480" s="321" t="b">
        <v>1</v>
      </c>
      <c r="J480" s="322">
        <v>1</v>
      </c>
      <c r="K480" s="323">
        <v>135000</v>
      </c>
      <c r="L480" s="324">
        <f t="shared" si="27"/>
        <v>135000</v>
      </c>
      <c r="M480" s="325"/>
    </row>
    <row r="481" spans="1:13" ht="13">
      <c r="A481" s="18" t="s">
        <v>570</v>
      </c>
      <c r="B481" s="316" t="e">
        <f>VLOOKUP($A481,Master!$B$50:$N$232,2,FALSE)</f>
        <v>#N/A</v>
      </c>
      <c r="C481" s="316" t="e">
        <f>VLOOKUP($A481,Master!$B$50:$N$232,8,FALSE)</f>
        <v>#N/A</v>
      </c>
      <c r="D481" s="316" t="e">
        <f>VLOOKUP($A481,Master!$B$50:$N$232,9,FALSE)</f>
        <v>#N/A</v>
      </c>
      <c r="E481" s="317" t="e">
        <f>VLOOKUP($A481,Master!$B$50:$N$232,11,FALSE)</f>
        <v>#N/A</v>
      </c>
      <c r="F481" s="318">
        <v>1</v>
      </c>
      <c r="G481" s="354" t="s">
        <v>62</v>
      </c>
      <c r="H481" s="320">
        <v>224220</v>
      </c>
      <c r="I481" s="321" t="b">
        <v>1</v>
      </c>
      <c r="J481" s="322">
        <v>1</v>
      </c>
      <c r="K481" s="323">
        <v>135000</v>
      </c>
      <c r="L481" s="324">
        <f t="shared" si="27"/>
        <v>135000</v>
      </c>
      <c r="M481" s="325"/>
    </row>
    <row r="482" spans="1:13" ht="13">
      <c r="A482" s="18" t="s">
        <v>961</v>
      </c>
      <c r="B482" s="316" t="e">
        <f>VLOOKUP($A482,Master!$B$50:$N$232,2,FALSE)</f>
        <v>#N/A</v>
      </c>
      <c r="C482" s="316" t="e">
        <f>VLOOKUP($A482,Master!$B$50:$N$232,8,FALSE)</f>
        <v>#N/A</v>
      </c>
      <c r="D482" s="316" t="e">
        <f>VLOOKUP($A482,Master!$B$50:$N$232,9,FALSE)</f>
        <v>#N/A</v>
      </c>
      <c r="E482" s="317" t="e">
        <f>VLOOKUP($A482,Master!$B$50:$N$232,11,FALSE)</f>
        <v>#N/A</v>
      </c>
      <c r="F482" s="318">
        <v>1</v>
      </c>
      <c r="G482" s="354" t="s">
        <v>97</v>
      </c>
      <c r="H482" s="320">
        <v>94350</v>
      </c>
      <c r="I482" s="321" t="b">
        <v>1</v>
      </c>
      <c r="J482" s="322">
        <v>1</v>
      </c>
      <c r="K482" s="323">
        <v>85000</v>
      </c>
      <c r="L482" s="324">
        <f t="shared" si="27"/>
        <v>85000</v>
      </c>
      <c r="M482" s="325"/>
    </row>
    <row r="483" spans="1:13" ht="13">
      <c r="A483" s="18" t="s">
        <v>992</v>
      </c>
      <c r="B483" s="316" t="e">
        <f>VLOOKUP($A483,Master!$B$50:$N$232,2,FALSE)</f>
        <v>#N/A</v>
      </c>
      <c r="C483" s="316" t="e">
        <f>VLOOKUP($A483,Master!$B$50:$N$232,8,FALSE)</f>
        <v>#N/A</v>
      </c>
      <c r="D483" s="316" t="e">
        <f>VLOOKUP($A483,Master!$B$50:$N$232,9,FALSE)</f>
        <v>#N/A</v>
      </c>
      <c r="E483" s="317" t="e">
        <f>VLOOKUP($A483,Master!$B$50:$N$232,11,FALSE)</f>
        <v>#N/A</v>
      </c>
      <c r="F483" s="318">
        <v>1</v>
      </c>
      <c r="G483" s="354" t="s">
        <v>143</v>
      </c>
      <c r="H483" s="320">
        <v>159025</v>
      </c>
      <c r="I483" s="321" t="b">
        <v>1</v>
      </c>
      <c r="J483" s="322">
        <v>1</v>
      </c>
      <c r="K483" s="323">
        <v>129621</v>
      </c>
      <c r="L483" s="324">
        <f t="shared" si="27"/>
        <v>129621</v>
      </c>
      <c r="M483" s="325"/>
    </row>
    <row r="484" spans="1:13" ht="13">
      <c r="A484" s="18" t="s">
        <v>995</v>
      </c>
      <c r="B484" s="316" t="e">
        <f>VLOOKUP($A484,Master!$B$50:$N$232,2,FALSE)</f>
        <v>#N/A</v>
      </c>
      <c r="C484" s="316" t="e">
        <f>VLOOKUP($A484,Master!$B$50:$N$232,8,FALSE)</f>
        <v>#N/A</v>
      </c>
      <c r="D484" s="316" t="e">
        <f>VLOOKUP($A484,Master!$B$50:$N$232,9,FALSE)</f>
        <v>#N/A</v>
      </c>
      <c r="E484" s="317" t="e">
        <f>VLOOKUP($A484,Master!$B$50:$N$232,11,FALSE)</f>
        <v>#N/A</v>
      </c>
      <c r="F484" s="318">
        <v>1</v>
      </c>
      <c r="G484" s="354" t="s">
        <v>143</v>
      </c>
      <c r="H484" s="320">
        <v>385740</v>
      </c>
      <c r="I484" s="321" t="b">
        <v>1</v>
      </c>
      <c r="J484" s="322">
        <v>1</v>
      </c>
      <c r="K484" s="323">
        <v>188498</v>
      </c>
      <c r="L484" s="324">
        <f t="shared" si="27"/>
        <v>188498</v>
      </c>
      <c r="M484" s="325"/>
    </row>
    <row r="485" spans="1:13" ht="13">
      <c r="A485" s="18" t="s">
        <v>548</v>
      </c>
      <c r="B485" s="316" t="e">
        <f>VLOOKUP($A485,Master!$B$50:$N$232,2,FALSE)</f>
        <v>#N/A</v>
      </c>
      <c r="C485" s="316" t="e">
        <f>VLOOKUP($A485,Master!$B$50:$N$232,8,FALSE)</f>
        <v>#N/A</v>
      </c>
      <c r="D485" s="316" t="e">
        <f>VLOOKUP($A485,Master!$B$50:$N$232,9,FALSE)</f>
        <v>#N/A</v>
      </c>
      <c r="E485" s="317" t="e">
        <f>VLOOKUP($A485,Master!$B$50:$N$232,11,FALSE)</f>
        <v>#N/A</v>
      </c>
      <c r="F485" s="318">
        <v>2</v>
      </c>
      <c r="G485" s="354" t="s">
        <v>87</v>
      </c>
      <c r="H485" s="320">
        <v>315130</v>
      </c>
      <c r="I485" s="321" t="b">
        <v>0</v>
      </c>
      <c r="J485" s="322"/>
      <c r="K485" s="326" t="e">
        <f>VLOOKUP($A485,Master!$B$50:$N$232,6,FALSE)</f>
        <v>#N/A</v>
      </c>
      <c r="L485" s="327" t="e">
        <f t="shared" si="27"/>
        <v>#N/A</v>
      </c>
      <c r="M485" s="325"/>
    </row>
    <row r="486" spans="1:13" ht="13">
      <c r="A486" s="18" t="s">
        <v>623</v>
      </c>
      <c r="B486" s="316" t="e">
        <f>VLOOKUP($A486,Master!$B$50:$N$232,2,FALSE)</f>
        <v>#N/A</v>
      </c>
      <c r="C486" s="316" t="e">
        <f>VLOOKUP($A486,Master!$B$50:$N$232,8,FALSE)</f>
        <v>#N/A</v>
      </c>
      <c r="D486" s="316" t="e">
        <f>VLOOKUP($A486,Master!$B$50:$N$232,9,FALSE)</f>
        <v>#N/A</v>
      </c>
      <c r="E486" s="317" t="e">
        <f>VLOOKUP($A486,Master!$B$50:$N$232,11,FALSE)</f>
        <v>#N/A</v>
      </c>
      <c r="F486" s="318">
        <v>3</v>
      </c>
      <c r="G486" s="354" t="s">
        <v>143</v>
      </c>
      <c r="H486" s="320">
        <v>545787</v>
      </c>
      <c r="I486" s="321" t="b">
        <v>1</v>
      </c>
      <c r="J486" s="322">
        <v>3</v>
      </c>
      <c r="K486" s="323">
        <v>163900</v>
      </c>
      <c r="L486" s="324">
        <f t="shared" si="27"/>
        <v>491700</v>
      </c>
      <c r="M486" s="325"/>
    </row>
    <row r="487" spans="1:13" ht="13">
      <c r="A487" s="18" t="s">
        <v>704</v>
      </c>
      <c r="B487" s="316" t="e">
        <f>VLOOKUP($A487,Master!$B$50:$N$232,2,FALSE)</f>
        <v>#N/A</v>
      </c>
      <c r="C487" s="316" t="e">
        <f>VLOOKUP($A487,Master!$B$50:$N$232,8,FALSE)</f>
        <v>#N/A</v>
      </c>
      <c r="D487" s="316" t="e">
        <f>VLOOKUP($A487,Master!$B$50:$N$232,9,FALSE)</f>
        <v>#N/A</v>
      </c>
      <c r="E487" s="317" t="e">
        <f>VLOOKUP($A487,Master!$B$50:$N$232,11,FALSE)</f>
        <v>#N/A</v>
      </c>
      <c r="F487" s="318">
        <v>3</v>
      </c>
      <c r="G487" s="354" t="s">
        <v>143</v>
      </c>
      <c r="H487" s="320">
        <v>608391</v>
      </c>
      <c r="I487" s="321" t="b">
        <v>1</v>
      </c>
      <c r="J487" s="322">
        <v>3</v>
      </c>
      <c r="K487" s="323">
        <v>182700</v>
      </c>
      <c r="L487" s="324">
        <f t="shared" si="27"/>
        <v>548100</v>
      </c>
      <c r="M487" s="325"/>
    </row>
    <row r="488" spans="1:13" ht="13">
      <c r="A488" s="18" t="s">
        <v>949</v>
      </c>
      <c r="B488" s="316" t="e">
        <f>VLOOKUP($A488,Master!$B$50:$N$232,2,FALSE)</f>
        <v>#N/A</v>
      </c>
      <c r="C488" s="316" t="e">
        <f>VLOOKUP($A488,Master!$B$50:$N$232,8,FALSE)</f>
        <v>#N/A</v>
      </c>
      <c r="D488" s="316" t="e">
        <f>VLOOKUP($A488,Master!$B$50:$N$232,9,FALSE)</f>
        <v>#N/A</v>
      </c>
      <c r="E488" s="317" t="e">
        <f>VLOOKUP($A488,Master!$B$50:$N$232,11,FALSE)</f>
        <v>#N/A</v>
      </c>
      <c r="F488" s="318">
        <v>1</v>
      </c>
      <c r="G488" s="354" t="s">
        <v>97</v>
      </c>
      <c r="H488" s="320">
        <v>25752</v>
      </c>
      <c r="I488" s="321" t="b">
        <v>0</v>
      </c>
      <c r="J488" s="322"/>
      <c r="K488" s="326" t="e">
        <f>VLOOKUP($A488,Master!$B$50:$N$232,6,FALSE)</f>
        <v>#N/A</v>
      </c>
      <c r="L488" s="327" t="e">
        <f t="shared" si="27"/>
        <v>#N/A</v>
      </c>
      <c r="M488" s="325"/>
    </row>
    <row r="489" spans="1:13" ht="13">
      <c r="A489" s="18" t="s">
        <v>1550</v>
      </c>
      <c r="B489" s="316" t="e">
        <f>VLOOKUP($A489,Master!$B$50:$N$232,2,FALSE)</f>
        <v>#N/A</v>
      </c>
      <c r="C489" s="316" t="e">
        <f>VLOOKUP($A489,Master!$B$50:$N$232,8,FALSE)</f>
        <v>#N/A</v>
      </c>
      <c r="D489" s="316" t="e">
        <f>VLOOKUP($A489,Master!$B$50:$N$232,9,FALSE)</f>
        <v>#N/A</v>
      </c>
      <c r="E489" s="317" t="e">
        <f>VLOOKUP($A489,Master!$B$50:$N$232,11,FALSE)</f>
        <v>#N/A</v>
      </c>
      <c r="F489" s="318">
        <v>2</v>
      </c>
      <c r="G489" s="354" t="s">
        <v>97</v>
      </c>
      <c r="H489" s="320">
        <v>210000</v>
      </c>
      <c r="I489" s="321" t="b">
        <v>0</v>
      </c>
      <c r="J489" s="322"/>
      <c r="K489" s="323" t="e">
        <f>VLOOKUP($A489,Master!$B$50:$N$232,6,FALSE)</f>
        <v>#N/A</v>
      </c>
      <c r="L489" s="324" t="e">
        <f t="shared" si="27"/>
        <v>#N/A</v>
      </c>
      <c r="M489" s="325"/>
    </row>
    <row r="490" spans="1:13" ht="13">
      <c r="A490" s="18" t="s">
        <v>985</v>
      </c>
      <c r="B490" s="316" t="str">
        <f>VLOOKUP($A490,Master!$B$50:$N$232,2,FALSE)</f>
        <v>B131</v>
      </c>
      <c r="C490" s="316">
        <f>VLOOKUP($A490,Master!$B$50:$N$232,8,FALSE)</f>
        <v>500</v>
      </c>
      <c r="D490" s="316" t="str">
        <f>VLOOKUP($A490,Master!$B$50:$N$232,9,FALSE)</f>
        <v>gr</v>
      </c>
      <c r="E490" s="317" t="str">
        <f>VLOOKUP($A490,Master!$B$50:$N$232,11,FALSE)</f>
        <v>Tokopedia</v>
      </c>
      <c r="F490" s="318">
        <v>2</v>
      </c>
      <c r="G490" s="354" t="s">
        <v>62</v>
      </c>
      <c r="H490" s="320">
        <v>300000</v>
      </c>
      <c r="I490" s="321" t="b">
        <v>1</v>
      </c>
      <c r="J490" s="322">
        <v>1</v>
      </c>
      <c r="K490" s="323">
        <v>237200</v>
      </c>
      <c r="L490" s="324">
        <f t="shared" si="27"/>
        <v>237200</v>
      </c>
      <c r="M490" s="325" t="s">
        <v>331</v>
      </c>
    </row>
    <row r="491" spans="1:13" ht="13">
      <c r="A491" s="18" t="s">
        <v>540</v>
      </c>
      <c r="B491" s="316" t="str">
        <f>VLOOKUP($A491,Master!$B$50:$N$232,2,FALSE)</f>
        <v>B006</v>
      </c>
      <c r="C491" s="316">
        <f>VLOOKUP($A491,Master!$B$50:$N$232,8,FALSE)</f>
        <v>1000</v>
      </c>
      <c r="D491" s="316" t="str">
        <f>VLOOKUP($A491,Master!$B$50:$N$232,9,FALSE)</f>
        <v>gr</v>
      </c>
      <c r="E491" s="317" t="str">
        <f>VLOOKUP($A491,Master!$B$50:$N$232,11,FALSE)</f>
        <v>Woodlane</v>
      </c>
      <c r="F491" s="318">
        <v>6</v>
      </c>
      <c r="G491" s="354" t="s">
        <v>36</v>
      </c>
      <c r="H491" s="320">
        <v>1020000</v>
      </c>
      <c r="I491" s="321" t="b">
        <v>1</v>
      </c>
      <c r="J491" s="322">
        <v>6</v>
      </c>
      <c r="K491" s="326">
        <f>VLOOKUP($A491,Master!$B$50:$N$232,6,FALSE)</f>
        <v>170000</v>
      </c>
      <c r="L491" s="327">
        <f t="shared" si="27"/>
        <v>1020000</v>
      </c>
      <c r="M491" s="325"/>
    </row>
    <row r="492" spans="1:13" ht="13">
      <c r="A492" s="18" t="s">
        <v>590</v>
      </c>
      <c r="B492" s="316" t="str">
        <f>VLOOKUP($A492,Master!$B$50:$N$232,2,FALSE)</f>
        <v>B019</v>
      </c>
      <c r="C492" s="316">
        <f>VLOOKUP($A492,Master!$B$50:$N$232,8,FALSE)</f>
        <v>200</v>
      </c>
      <c r="D492" s="316" t="str">
        <f>VLOOKUP($A492,Master!$B$50:$N$232,9,FALSE)</f>
        <v>gr</v>
      </c>
      <c r="E492" s="317" t="str">
        <f>VLOOKUP($A492,Master!$B$50:$N$232,11,FALSE)</f>
        <v>Woodlane</v>
      </c>
      <c r="F492" s="318">
        <v>4</v>
      </c>
      <c r="G492" s="354" t="s">
        <v>62</v>
      </c>
      <c r="H492" s="320">
        <v>340000</v>
      </c>
      <c r="I492" s="321" t="b">
        <v>1</v>
      </c>
      <c r="J492" s="322">
        <v>4</v>
      </c>
      <c r="K492" s="326">
        <f>VLOOKUP($A492,Master!$B$50:$N$232,6,FALSE)</f>
        <v>85000</v>
      </c>
      <c r="L492" s="327">
        <f t="shared" si="27"/>
        <v>340000</v>
      </c>
      <c r="M492" s="325"/>
    </row>
    <row r="493" spans="1:13" ht="13">
      <c r="A493" s="18" t="s">
        <v>639</v>
      </c>
      <c r="B493" s="316" t="str">
        <f>VLOOKUP($A493,Master!$B$50:$N$232,2,FALSE)</f>
        <v>B032</v>
      </c>
      <c r="C493" s="316">
        <f>VLOOKUP($A493,Master!$B$50:$N$232,8,FALSE)</f>
        <v>1000</v>
      </c>
      <c r="D493" s="316" t="str">
        <f>VLOOKUP($A493,Master!$B$50:$N$232,9,FALSE)</f>
        <v>gr</v>
      </c>
      <c r="E493" s="317" t="str">
        <f>VLOOKUP($A493,Master!$B$50:$N$232,11,FALSE)</f>
        <v>BISS (Topside)</v>
      </c>
      <c r="F493" s="318">
        <v>2</v>
      </c>
      <c r="G493" s="354" t="s">
        <v>36</v>
      </c>
      <c r="H493" s="320">
        <v>290000</v>
      </c>
      <c r="I493" s="321" t="b">
        <v>1</v>
      </c>
      <c r="J493" s="322">
        <v>2</v>
      </c>
      <c r="K493" s="323">
        <v>130000</v>
      </c>
      <c r="L493" s="324">
        <f t="shared" si="27"/>
        <v>260000</v>
      </c>
      <c r="M493" s="325" t="s">
        <v>1573</v>
      </c>
    </row>
    <row r="494" spans="1:13" ht="13">
      <c r="A494" s="18" t="s">
        <v>1599</v>
      </c>
      <c r="B494" s="316" t="e">
        <f>VLOOKUP($A494,Master!$B$50:$N$232,2,FALSE)</f>
        <v>#N/A</v>
      </c>
      <c r="C494" s="316" t="e">
        <f>VLOOKUP($A494,Master!$B$50:$N$232,8,FALSE)</f>
        <v>#N/A</v>
      </c>
      <c r="D494" s="316" t="e">
        <f>VLOOKUP($A494,Master!$B$50:$N$232,9,FALSE)</f>
        <v>#N/A</v>
      </c>
      <c r="E494" s="317" t="e">
        <f>VLOOKUP($A494,Master!$B$50:$N$232,11,FALSE)</f>
        <v>#N/A</v>
      </c>
      <c r="F494" s="318">
        <v>1</v>
      </c>
      <c r="G494" s="354" t="s">
        <v>36</v>
      </c>
      <c r="H494" s="320">
        <v>9700</v>
      </c>
      <c r="I494" s="321" t="b">
        <v>1</v>
      </c>
      <c r="J494" s="322">
        <v>1</v>
      </c>
      <c r="K494" s="323">
        <v>9900</v>
      </c>
      <c r="L494" s="324">
        <f t="shared" si="27"/>
        <v>9900</v>
      </c>
      <c r="M494" s="325"/>
    </row>
    <row r="495" spans="1:13" ht="13">
      <c r="A495" s="18" t="s">
        <v>655</v>
      </c>
      <c r="B495" s="316" t="str">
        <f>VLOOKUP($A495,Master!$B$50:$N$232,2,FALSE)</f>
        <v>B036</v>
      </c>
      <c r="C495" s="316">
        <f>VLOOKUP($A495,Master!$B$50:$N$232,8,FALSE)</f>
        <v>1000</v>
      </c>
      <c r="D495" s="316" t="str">
        <f>VLOOKUP($A495,Master!$B$50:$N$232,9,FALSE)</f>
        <v>gr</v>
      </c>
      <c r="E495" s="317" t="str">
        <f>VLOOKUP($A495,Master!$B$50:$N$232,11,FALSE)</f>
        <v>Toko Lain</v>
      </c>
      <c r="F495" s="318">
        <v>3</v>
      </c>
      <c r="G495" s="354" t="s">
        <v>36</v>
      </c>
      <c r="H495" s="320">
        <v>146700</v>
      </c>
      <c r="I495" s="321" t="b">
        <v>0</v>
      </c>
      <c r="J495" s="322"/>
      <c r="K495" s="326">
        <f>VLOOKUP($A495,Master!$B$50:$N$232,6,FALSE)</f>
        <v>50000</v>
      </c>
      <c r="L495" s="327">
        <f t="shared" si="27"/>
        <v>0</v>
      </c>
      <c r="M495" s="325"/>
    </row>
    <row r="496" spans="1:13" ht="13">
      <c r="A496" s="18" t="s">
        <v>712</v>
      </c>
      <c r="B496" s="316" t="str">
        <f>VLOOKUP($A496,Master!$B$50:$N$232,2,FALSE)</f>
        <v>B050</v>
      </c>
      <c r="C496" s="316">
        <f>VLOOKUP($A496,Master!$B$50:$N$232,8,FALSE)</f>
        <v>1000</v>
      </c>
      <c r="D496" s="316" t="str">
        <f>VLOOKUP($A496,Master!$B$50:$N$232,9,FALSE)</f>
        <v>gr</v>
      </c>
      <c r="E496" s="317" t="str">
        <f>VLOOKUP($A496,Master!$B$50:$N$232,11,FALSE)</f>
        <v>Eden Farm</v>
      </c>
      <c r="F496" s="318">
        <v>1</v>
      </c>
      <c r="G496" s="354" t="s">
        <v>36</v>
      </c>
      <c r="H496" s="320">
        <v>24200</v>
      </c>
      <c r="I496" s="321" t="b">
        <v>1</v>
      </c>
      <c r="J496" s="322">
        <v>1</v>
      </c>
      <c r="K496" s="323">
        <v>17500</v>
      </c>
      <c r="L496" s="324">
        <f t="shared" si="27"/>
        <v>17500</v>
      </c>
      <c r="M496" s="325"/>
    </row>
    <row r="497" spans="1:13" ht="13">
      <c r="A497" s="18" t="s">
        <v>919</v>
      </c>
      <c r="B497" s="316" t="str">
        <f>VLOOKUP($A497,Master!$B$50:$N$232,2,FALSE)</f>
        <v>B109</v>
      </c>
      <c r="C497" s="316">
        <f>VLOOKUP($A497,Master!$B$50:$N$232,8,FALSE)</f>
        <v>1000</v>
      </c>
      <c r="D497" s="316" t="str">
        <f>VLOOKUP($A497,Master!$B$50:$N$232,9,FALSE)</f>
        <v>gr</v>
      </c>
      <c r="E497" s="317" t="str">
        <f>VLOOKUP($A497,Master!$B$50:$N$232,11,FALSE)</f>
        <v>Eden Farm</v>
      </c>
      <c r="F497" s="318">
        <v>1</v>
      </c>
      <c r="G497" s="354" t="s">
        <v>62</v>
      </c>
      <c r="H497" s="320">
        <v>20900</v>
      </c>
      <c r="I497" s="321" t="b">
        <v>1</v>
      </c>
      <c r="J497" s="322">
        <v>1</v>
      </c>
      <c r="K497" s="323">
        <v>29200</v>
      </c>
      <c r="L497" s="324">
        <f t="shared" si="27"/>
        <v>29200</v>
      </c>
      <c r="M497" s="325"/>
    </row>
    <row r="498" spans="1:13" ht="13">
      <c r="A498" s="18" t="s">
        <v>922</v>
      </c>
      <c r="B498" s="316" t="str">
        <f>VLOOKUP($A498,Master!$B$50:$N$232,2,FALSE)</f>
        <v>B110</v>
      </c>
      <c r="C498" s="316">
        <f>VLOOKUP($A498,Master!$B$50:$N$232,8,FALSE)</f>
        <v>400</v>
      </c>
      <c r="D498" s="316" t="str">
        <f>VLOOKUP($A498,Master!$B$50:$N$232,9,FALSE)</f>
        <v>gr</v>
      </c>
      <c r="E498" s="317" t="str">
        <f>VLOOKUP($A498,Master!$B$50:$N$232,11,FALSE)</f>
        <v>Eden Farm</v>
      </c>
      <c r="F498" s="318">
        <v>1</v>
      </c>
      <c r="G498" s="354" t="s">
        <v>36</v>
      </c>
      <c r="H498" s="320">
        <v>32100</v>
      </c>
      <c r="I498" s="321" t="b">
        <v>1</v>
      </c>
      <c r="J498" s="322">
        <v>2</v>
      </c>
      <c r="K498" s="323">
        <v>25900</v>
      </c>
      <c r="L498" s="324">
        <f t="shared" si="27"/>
        <v>51800</v>
      </c>
      <c r="M498" s="325"/>
    </row>
    <row r="499" spans="1:13" ht="13">
      <c r="A499" s="18" t="s">
        <v>659</v>
      </c>
      <c r="B499" s="316" t="str">
        <f>VLOOKUP($A499,Master!$B$50:$N$232,2,FALSE)</f>
        <v>B037</v>
      </c>
      <c r="C499" s="316">
        <f>VLOOKUP($A499,Master!$B$50:$N$232,8,FALSE)</f>
        <v>15</v>
      </c>
      <c r="D499" s="316" t="str">
        <f>VLOOKUP($A499,Master!$B$50:$N$232,9,FALSE)</f>
        <v>pcs</v>
      </c>
      <c r="E499" s="317" t="str">
        <f>VLOOKUP($A499,Master!$B$50:$N$232,11,FALSE)</f>
        <v>Feri Supriadi (Telur , Beras , Minyak )</v>
      </c>
      <c r="F499" s="318">
        <v>3</v>
      </c>
      <c r="G499" s="354" t="s">
        <v>36</v>
      </c>
      <c r="H499" s="320">
        <v>82500</v>
      </c>
      <c r="I499" s="321" t="b">
        <v>1</v>
      </c>
      <c r="J499" s="322">
        <v>3</v>
      </c>
      <c r="K499" s="323">
        <v>28000</v>
      </c>
      <c r="L499" s="324">
        <f t="shared" si="27"/>
        <v>84000</v>
      </c>
      <c r="M499" s="325"/>
    </row>
    <row r="500" spans="1:13" ht="13">
      <c r="A500" s="18" t="s">
        <v>1574</v>
      </c>
      <c r="B500" s="316" t="str">
        <f>VLOOKUP($A500,Master!$B$50:$N$232,2,FALSE)</f>
        <v>B062</v>
      </c>
      <c r="C500" s="316">
        <f>VLOOKUP($A500,Master!$B$50:$N$232,8,FALSE)</f>
        <v>25000</v>
      </c>
      <c r="D500" s="316" t="str">
        <f>VLOOKUP($A500,Master!$B$50:$N$232,9,FALSE)</f>
        <v>gr</v>
      </c>
      <c r="E500" s="317" t="str">
        <f>VLOOKUP($A500,Master!$B$50:$N$232,11,FALSE)</f>
        <v>Feri Supriadi (Telur , Beras , Minyak )</v>
      </c>
      <c r="F500" s="318">
        <v>5</v>
      </c>
      <c r="G500" s="354" t="s">
        <v>36</v>
      </c>
      <c r="H500" s="320">
        <v>580000</v>
      </c>
      <c r="I500" s="321" t="b">
        <v>1</v>
      </c>
      <c r="J500" s="322">
        <v>5</v>
      </c>
      <c r="K500" s="323">
        <v>12400</v>
      </c>
      <c r="L500" s="324">
        <f t="shared" si="27"/>
        <v>62000</v>
      </c>
      <c r="M500" s="325"/>
    </row>
    <row r="501" spans="1:13" ht="13">
      <c r="A501" s="18" t="s">
        <v>795</v>
      </c>
      <c r="B501" s="316" t="str">
        <f>VLOOKUP($A501,Master!$B$50:$N$232,2,FALSE)</f>
        <v>B073</v>
      </c>
      <c r="C501" s="316">
        <f>VLOOKUP($A501,Master!$B$50:$N$232,8,FALSE)</f>
        <v>10</v>
      </c>
      <c r="D501" s="316" t="str">
        <f>VLOOKUP($A501,Master!$B$50:$N$232,9,FALSE)</f>
        <v>unit</v>
      </c>
      <c r="E501" s="317" t="str">
        <f>VLOOKUP($A501,Master!$B$50:$N$232,11,FALSE)</f>
        <v>Toko Lain</v>
      </c>
      <c r="F501" s="318">
        <v>5</v>
      </c>
      <c r="G501" s="354" t="s">
        <v>62</v>
      </c>
      <c r="H501" s="320">
        <v>25000</v>
      </c>
      <c r="I501" s="321" t="b">
        <v>1</v>
      </c>
      <c r="J501" s="322">
        <v>5</v>
      </c>
      <c r="K501" s="323">
        <v>7800</v>
      </c>
      <c r="L501" s="324">
        <f t="shared" si="27"/>
        <v>39000</v>
      </c>
      <c r="M501" s="325"/>
    </row>
    <row r="502" spans="1:13" ht="13">
      <c r="A502" s="18" t="s">
        <v>892</v>
      </c>
      <c r="B502" s="316" t="e">
        <f>VLOOKUP($A502,Master!$B$50:$N$232,2,FALSE)</f>
        <v>#N/A</v>
      </c>
      <c r="C502" s="316" t="e">
        <f>VLOOKUP($A502,Master!$B$50:$N$232,8,FALSE)</f>
        <v>#N/A</v>
      </c>
      <c r="D502" s="316" t="e">
        <f>VLOOKUP($A502,Master!$B$50:$N$232,9,FALSE)</f>
        <v>#N/A</v>
      </c>
      <c r="E502" s="317" t="e">
        <f>VLOOKUP($A502,Master!$B$50:$N$232,11,FALSE)</f>
        <v>#N/A</v>
      </c>
      <c r="F502" s="318">
        <v>2</v>
      </c>
      <c r="G502" s="354" t="s">
        <v>36</v>
      </c>
      <c r="H502" s="320">
        <v>215000</v>
      </c>
      <c r="I502" s="321" t="b">
        <v>1</v>
      </c>
      <c r="J502" s="322">
        <v>2</v>
      </c>
      <c r="K502" s="323">
        <v>107500</v>
      </c>
      <c r="L502" s="324">
        <f t="shared" si="27"/>
        <v>215000</v>
      </c>
      <c r="M502" s="325"/>
    </row>
    <row r="503" spans="1:13" ht="13">
      <c r="A503" s="18" t="s">
        <v>776</v>
      </c>
      <c r="B503" s="316" t="e">
        <f>VLOOKUP($A503,Master!$B$50:$N$232,2,FALSE)</f>
        <v>#N/A</v>
      </c>
      <c r="C503" s="316" t="e">
        <f>VLOOKUP($A503,Master!$B$50:$N$232,8,FALSE)</f>
        <v>#N/A</v>
      </c>
      <c r="D503" s="316" t="e">
        <f>VLOOKUP($A503,Master!$B$50:$N$232,9,FALSE)</f>
        <v>#N/A</v>
      </c>
      <c r="E503" s="317" t="e">
        <f>VLOOKUP($A503,Master!$B$50:$N$232,11,FALSE)</f>
        <v>#N/A</v>
      </c>
      <c r="F503" s="318">
        <v>5</v>
      </c>
      <c r="G503" s="354" t="s">
        <v>62</v>
      </c>
      <c r="H503" s="320">
        <v>250000</v>
      </c>
      <c r="I503" s="321" t="b">
        <v>1</v>
      </c>
      <c r="J503" s="322">
        <v>5</v>
      </c>
      <c r="K503" s="323">
        <v>25000</v>
      </c>
      <c r="L503" s="324">
        <f t="shared" si="27"/>
        <v>125000</v>
      </c>
      <c r="M503" s="325"/>
    </row>
  </sheetData>
  <mergeCells count="80">
    <mergeCell ref="F132:H132"/>
    <mergeCell ref="J132:L132"/>
    <mergeCell ref="F133:G133"/>
    <mergeCell ref="J133:K133"/>
    <mergeCell ref="F138:H138"/>
    <mergeCell ref="J138:L138"/>
    <mergeCell ref="J139:K139"/>
    <mergeCell ref="F139:G139"/>
    <mergeCell ref="F172:H172"/>
    <mergeCell ref="J172:L172"/>
    <mergeCell ref="F173:G173"/>
    <mergeCell ref="J173:K173"/>
    <mergeCell ref="F212:H212"/>
    <mergeCell ref="F213:G213"/>
    <mergeCell ref="J212:L212"/>
    <mergeCell ref="J213:K213"/>
    <mergeCell ref="F225:H225"/>
    <mergeCell ref="J225:L225"/>
    <mergeCell ref="F226:G226"/>
    <mergeCell ref="J226:K226"/>
    <mergeCell ref="J239:L239"/>
    <mergeCell ref="F239:H239"/>
    <mergeCell ref="F240:G240"/>
    <mergeCell ref="J240:K240"/>
    <mergeCell ref="F253:H253"/>
    <mergeCell ref="J253:L253"/>
    <mergeCell ref="F254:G254"/>
    <mergeCell ref="J254:K254"/>
    <mergeCell ref="F262:H262"/>
    <mergeCell ref="J262:L262"/>
    <mergeCell ref="F263:G263"/>
    <mergeCell ref="J263:K263"/>
    <mergeCell ref="F349:H349"/>
    <mergeCell ref="J349:L349"/>
    <mergeCell ref="J350:K350"/>
    <mergeCell ref="F350:G350"/>
    <mergeCell ref="F406:H406"/>
    <mergeCell ref="J406:L406"/>
    <mergeCell ref="F407:G407"/>
    <mergeCell ref="J407:K407"/>
    <mergeCell ref="F425:H425"/>
    <mergeCell ref="J425:L425"/>
    <mergeCell ref="J50:K50"/>
    <mergeCell ref="J78:L78"/>
    <mergeCell ref="J79:K79"/>
    <mergeCell ref="F50:G50"/>
    <mergeCell ref="F61:H61"/>
    <mergeCell ref="J61:L61"/>
    <mergeCell ref="F62:G62"/>
    <mergeCell ref="J62:K62"/>
    <mergeCell ref="F78:H78"/>
    <mergeCell ref="F79:G79"/>
    <mergeCell ref="F4:H4"/>
    <mergeCell ref="J4:L4"/>
    <mergeCell ref="F5:G5"/>
    <mergeCell ref="J5:K5"/>
    <mergeCell ref="F49:H49"/>
    <mergeCell ref="J49:L49"/>
    <mergeCell ref="F93:H93"/>
    <mergeCell ref="J93:L93"/>
    <mergeCell ref="F94:G94"/>
    <mergeCell ref="J94:K94"/>
    <mergeCell ref="F101:H101"/>
    <mergeCell ref="J101:L101"/>
    <mergeCell ref="J102:K102"/>
    <mergeCell ref="J121:L121"/>
    <mergeCell ref="J122:K122"/>
    <mergeCell ref="F102:G102"/>
    <mergeCell ref="F112:H112"/>
    <mergeCell ref="J112:L112"/>
    <mergeCell ref="F113:G113"/>
    <mergeCell ref="J113:K113"/>
    <mergeCell ref="F121:H121"/>
    <mergeCell ref="F122:G122"/>
    <mergeCell ref="J426:K426"/>
    <mergeCell ref="F441:H441"/>
    <mergeCell ref="J441:L441"/>
    <mergeCell ref="F442:G442"/>
    <mergeCell ref="J442:K442"/>
    <mergeCell ref="F426:G426"/>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A00-000000000000}">
          <x14:formula1>
            <xm:f>'Database Bahan &amp; Alat (Terupdate)'!#REF!</xm:f>
          </x14:formula1>
          <xm:sqref>A52:A59 A64:A76 A81:A91 A96:A99 A104:A110 A115:A119 A124:A130 A135:A136 A141:A170</xm:sqref>
        </x14:dataValidation>
        <x14:dataValidation type="list" allowBlank="1" showErrorMessage="1" xr:uid="{00000000-0002-0000-0A00-000001000000}">
          <x14:formula1>
            <xm:f>Master!$B$7:$B$232</xm:f>
          </x14:formula1>
          <xm:sqref>A7:A47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2:AA189"/>
  <sheetViews>
    <sheetView workbookViewId="0"/>
  </sheetViews>
  <sheetFormatPr baseColWidth="10" defaultColWidth="12.6640625" defaultRowHeight="15.75" customHeight="1"/>
  <cols>
    <col min="1" max="1" width="4.1640625" customWidth="1"/>
    <col min="2" max="2" width="30.6640625" customWidth="1"/>
    <col min="3" max="3" width="5.6640625" customWidth="1"/>
    <col min="4" max="4" width="5.83203125" customWidth="1"/>
    <col min="5" max="5" width="14.5" customWidth="1"/>
    <col min="6" max="7" width="14.83203125" customWidth="1"/>
  </cols>
  <sheetData>
    <row r="2" spans="1:11" ht="15.75" customHeight="1">
      <c r="A2" s="430" t="s">
        <v>1639</v>
      </c>
      <c r="B2" s="419"/>
      <c r="C2" s="419"/>
      <c r="D2" s="419"/>
      <c r="E2" s="419"/>
    </row>
    <row r="3" spans="1:11" ht="15.75" customHeight="1">
      <c r="A3" s="419"/>
      <c r="B3" s="419"/>
      <c r="C3" s="419"/>
      <c r="D3" s="419"/>
      <c r="E3" s="419"/>
    </row>
    <row r="5" spans="1:11" ht="15.75" customHeight="1">
      <c r="A5" s="358" t="s">
        <v>3</v>
      </c>
      <c r="B5" s="358" t="s">
        <v>1640</v>
      </c>
      <c r="C5" s="431" t="s">
        <v>1372</v>
      </c>
      <c r="D5" s="426"/>
      <c r="E5" s="358" t="s">
        <v>1641</v>
      </c>
      <c r="F5" s="358" t="s">
        <v>1642</v>
      </c>
      <c r="G5" s="358" t="s">
        <v>373</v>
      </c>
      <c r="K5" s="359"/>
    </row>
    <row r="6" spans="1:11" ht="15.75" customHeight="1">
      <c r="A6" s="316">
        <v>1</v>
      </c>
      <c r="B6" s="4" t="s">
        <v>1617</v>
      </c>
      <c r="C6" s="328">
        <v>1000</v>
      </c>
      <c r="D6" s="360" t="s">
        <v>138</v>
      </c>
      <c r="E6" s="361">
        <v>15600</v>
      </c>
      <c r="F6" s="361">
        <v>14000</v>
      </c>
      <c r="G6" s="361"/>
    </row>
    <row r="7" spans="1:11" ht="15.75" customHeight="1">
      <c r="A7" s="316">
        <v>2</v>
      </c>
      <c r="B7" s="18" t="s">
        <v>524</v>
      </c>
      <c r="C7" s="328">
        <v>19000</v>
      </c>
      <c r="D7" s="360" t="s">
        <v>30</v>
      </c>
      <c r="E7" s="361"/>
      <c r="F7" s="361"/>
      <c r="G7" s="361" t="s">
        <v>51</v>
      </c>
    </row>
    <row r="8" spans="1:11" ht="15.75" customHeight="1">
      <c r="A8" s="316">
        <v>3</v>
      </c>
      <c r="B8" s="18" t="s">
        <v>528</v>
      </c>
      <c r="C8" s="328">
        <f>48*380</f>
        <v>18240</v>
      </c>
      <c r="D8" s="360" t="s">
        <v>30</v>
      </c>
      <c r="E8" s="361"/>
      <c r="F8" s="361"/>
      <c r="G8" s="361"/>
    </row>
    <row r="9" spans="1:11" ht="15.75" customHeight="1">
      <c r="A9" s="316">
        <v>4</v>
      </c>
      <c r="B9" s="18" t="s">
        <v>532</v>
      </c>
      <c r="C9" s="328">
        <v>400</v>
      </c>
      <c r="D9" s="360" t="s">
        <v>138</v>
      </c>
      <c r="E9" s="361"/>
      <c r="F9" s="361">
        <v>56000</v>
      </c>
      <c r="G9" s="361"/>
    </row>
    <row r="10" spans="1:11" ht="15.75" customHeight="1">
      <c r="A10" s="316">
        <v>5</v>
      </c>
      <c r="B10" s="18" t="s">
        <v>536</v>
      </c>
      <c r="C10" s="328">
        <v>100</v>
      </c>
      <c r="D10" s="360" t="s">
        <v>138</v>
      </c>
      <c r="E10" s="361"/>
      <c r="F10" s="361">
        <v>19000</v>
      </c>
      <c r="G10" s="361"/>
    </row>
    <row r="11" spans="1:11" ht="15.75" customHeight="1">
      <c r="A11" s="316">
        <v>6</v>
      </c>
      <c r="B11" s="18" t="s">
        <v>540</v>
      </c>
      <c r="C11" s="328">
        <v>1000</v>
      </c>
      <c r="D11" s="360" t="s">
        <v>138</v>
      </c>
      <c r="E11" s="361"/>
      <c r="F11" s="361"/>
      <c r="G11" s="361" t="s">
        <v>122</v>
      </c>
    </row>
    <row r="12" spans="1:11" ht="15.75" customHeight="1">
      <c r="A12" s="316">
        <v>7</v>
      </c>
      <c r="B12" s="18" t="s">
        <v>544</v>
      </c>
      <c r="C12" s="362">
        <v>1000</v>
      </c>
      <c r="D12" s="363" t="s">
        <v>30</v>
      </c>
      <c r="E12" s="361"/>
      <c r="F12" s="361"/>
      <c r="G12" s="361" t="s">
        <v>297</v>
      </c>
    </row>
    <row r="13" spans="1:11" ht="15.75" customHeight="1">
      <c r="A13" s="316">
        <v>8</v>
      </c>
      <c r="B13" s="18" t="s">
        <v>548</v>
      </c>
      <c r="C13" s="362">
        <v>8000</v>
      </c>
      <c r="D13" s="363" t="s">
        <v>138</v>
      </c>
      <c r="E13" s="361"/>
      <c r="F13" s="361"/>
      <c r="G13" s="361" t="s">
        <v>1643</v>
      </c>
    </row>
    <row r="14" spans="1:11" ht="15.75" customHeight="1">
      <c r="A14" s="316">
        <v>9</v>
      </c>
      <c r="B14" s="18" t="s">
        <v>552</v>
      </c>
      <c r="C14" s="362">
        <f>250*12</f>
        <v>3000</v>
      </c>
      <c r="D14" s="363" t="s">
        <v>30</v>
      </c>
      <c r="E14" s="361"/>
      <c r="F14" s="361"/>
      <c r="G14" s="361" t="s">
        <v>1644</v>
      </c>
    </row>
    <row r="15" spans="1:11" ht="15.75" customHeight="1">
      <c r="A15" s="316">
        <v>10</v>
      </c>
      <c r="B15" s="18" t="s">
        <v>1503</v>
      </c>
      <c r="C15" s="362">
        <v>700</v>
      </c>
      <c r="D15" s="363" t="s">
        <v>30</v>
      </c>
      <c r="E15" s="361"/>
      <c r="F15" s="361"/>
      <c r="G15" s="361" t="s">
        <v>1645</v>
      </c>
    </row>
    <row r="16" spans="1:11" ht="15.75" customHeight="1">
      <c r="A16" s="316">
        <v>11</v>
      </c>
      <c r="B16" s="18" t="s">
        <v>1550</v>
      </c>
      <c r="C16" s="362">
        <v>1000</v>
      </c>
      <c r="D16" s="363" t="s">
        <v>30</v>
      </c>
      <c r="E16" s="361"/>
      <c r="F16" s="361"/>
      <c r="G16" s="361" t="s">
        <v>88</v>
      </c>
    </row>
    <row r="17" spans="1:7" ht="15.75" customHeight="1">
      <c r="A17" s="316">
        <v>12</v>
      </c>
      <c r="B17" s="18" t="s">
        <v>562</v>
      </c>
      <c r="C17" s="362">
        <v>2000</v>
      </c>
      <c r="D17" s="363" t="s">
        <v>138</v>
      </c>
      <c r="E17" s="361"/>
      <c r="F17" s="361"/>
      <c r="G17" s="361" t="s">
        <v>1646</v>
      </c>
    </row>
    <row r="18" spans="1:7" ht="15.75" customHeight="1">
      <c r="A18" s="316">
        <v>13</v>
      </c>
      <c r="B18" s="18" t="s">
        <v>566</v>
      </c>
      <c r="C18" s="362">
        <v>1500</v>
      </c>
      <c r="D18" s="363" t="s">
        <v>138</v>
      </c>
      <c r="E18" s="361"/>
      <c r="F18" s="361"/>
      <c r="G18" s="361" t="s">
        <v>1646</v>
      </c>
    </row>
    <row r="19" spans="1:7" ht="15.75" customHeight="1">
      <c r="A19" s="316">
        <v>14</v>
      </c>
      <c r="B19" s="18" t="s">
        <v>570</v>
      </c>
      <c r="C19" s="362">
        <v>1500</v>
      </c>
      <c r="D19" s="363" t="s">
        <v>138</v>
      </c>
      <c r="E19" s="361"/>
      <c r="F19" s="361"/>
      <c r="G19" s="361" t="s">
        <v>1646</v>
      </c>
    </row>
    <row r="20" spans="1:7" ht="15.75" customHeight="1">
      <c r="A20" s="316">
        <v>15</v>
      </c>
      <c r="B20" s="18" t="s">
        <v>574</v>
      </c>
      <c r="C20" s="362">
        <v>1000</v>
      </c>
      <c r="D20" s="363" t="s">
        <v>138</v>
      </c>
      <c r="E20" s="361"/>
      <c r="F20" s="361"/>
      <c r="G20" s="361" t="s">
        <v>1647</v>
      </c>
    </row>
    <row r="21" spans="1:7" ht="15.75" customHeight="1">
      <c r="A21" s="316">
        <v>16</v>
      </c>
      <c r="B21" s="18" t="s">
        <v>578</v>
      </c>
      <c r="C21" s="362">
        <v>1000</v>
      </c>
      <c r="D21" s="363" t="s">
        <v>138</v>
      </c>
      <c r="E21" s="361"/>
      <c r="F21" s="361"/>
      <c r="G21" s="361" t="s">
        <v>1647</v>
      </c>
    </row>
    <row r="22" spans="1:7" ht="15.75" customHeight="1">
      <c r="A22" s="316">
        <v>17</v>
      </c>
      <c r="B22" s="18" t="s">
        <v>1648</v>
      </c>
      <c r="C22" s="362">
        <v>1000</v>
      </c>
      <c r="D22" s="363" t="s">
        <v>138</v>
      </c>
      <c r="E22" s="361"/>
      <c r="F22" s="361"/>
      <c r="G22" s="361" t="s">
        <v>1647</v>
      </c>
    </row>
    <row r="23" spans="1:7" ht="15.75" customHeight="1">
      <c r="A23" s="316">
        <v>18</v>
      </c>
      <c r="B23" s="18" t="s">
        <v>586</v>
      </c>
      <c r="C23" s="362">
        <v>20</v>
      </c>
      <c r="D23" s="363" t="s">
        <v>306</v>
      </c>
      <c r="E23" s="361"/>
      <c r="F23" s="361"/>
      <c r="G23" s="361" t="s">
        <v>297</v>
      </c>
    </row>
    <row r="24" spans="1:7" ht="15.75" customHeight="1">
      <c r="A24" s="316">
        <v>19</v>
      </c>
      <c r="B24" s="18" t="s">
        <v>1649</v>
      </c>
      <c r="C24" s="362">
        <v>200</v>
      </c>
      <c r="D24" s="363" t="s">
        <v>138</v>
      </c>
      <c r="E24" s="361"/>
      <c r="F24" s="361"/>
      <c r="G24" s="361" t="s">
        <v>122</v>
      </c>
    </row>
    <row r="25" spans="1:7" ht="15.75" customHeight="1">
      <c r="A25" s="316">
        <v>20</v>
      </c>
      <c r="B25" s="18" t="s">
        <v>594</v>
      </c>
      <c r="C25" s="362">
        <v>200</v>
      </c>
      <c r="D25" s="363" t="s">
        <v>138</v>
      </c>
      <c r="E25" s="361"/>
      <c r="F25" s="361"/>
      <c r="G25" s="361" t="s">
        <v>122</v>
      </c>
    </row>
    <row r="26" spans="1:7" ht="15.75" customHeight="1">
      <c r="A26" s="316">
        <v>21</v>
      </c>
      <c r="B26" s="18" t="s">
        <v>590</v>
      </c>
      <c r="C26" s="362">
        <v>200</v>
      </c>
      <c r="D26" s="363" t="s">
        <v>138</v>
      </c>
      <c r="E26" s="361"/>
      <c r="F26" s="361"/>
      <c r="G26" s="361" t="s">
        <v>122</v>
      </c>
    </row>
    <row r="27" spans="1:7" ht="15.75" customHeight="1">
      <c r="A27" s="316">
        <v>22</v>
      </c>
      <c r="B27" s="18" t="s">
        <v>602</v>
      </c>
      <c r="C27" s="362">
        <v>200</v>
      </c>
      <c r="D27" s="363" t="s">
        <v>138</v>
      </c>
      <c r="E27" s="361"/>
      <c r="F27" s="361"/>
      <c r="G27" s="361" t="s">
        <v>122</v>
      </c>
    </row>
    <row r="28" spans="1:7" ht="15.75" customHeight="1">
      <c r="A28" s="316">
        <v>23</v>
      </c>
      <c r="B28" s="18" t="s">
        <v>1650</v>
      </c>
      <c r="C28" s="362">
        <v>200</v>
      </c>
      <c r="D28" s="363" t="s">
        <v>138</v>
      </c>
      <c r="E28" s="361"/>
      <c r="F28" s="361"/>
      <c r="G28" s="361" t="s">
        <v>122</v>
      </c>
    </row>
    <row r="29" spans="1:7" ht="15.75" customHeight="1">
      <c r="A29" s="316">
        <v>24</v>
      </c>
      <c r="B29" s="18" t="s">
        <v>1651</v>
      </c>
      <c r="C29" s="362">
        <v>1000</v>
      </c>
      <c r="D29" s="363" t="s">
        <v>30</v>
      </c>
      <c r="E29" s="361"/>
      <c r="F29" s="361"/>
      <c r="G29" s="361" t="s">
        <v>88</v>
      </c>
    </row>
    <row r="30" spans="1:7" ht="15.75" customHeight="1">
      <c r="A30" s="316">
        <v>25</v>
      </c>
      <c r="B30" s="18" t="s">
        <v>1504</v>
      </c>
      <c r="C30" s="362">
        <v>600</v>
      </c>
      <c r="D30" s="363" t="s">
        <v>30</v>
      </c>
      <c r="E30" s="361"/>
      <c r="F30" s="361"/>
      <c r="G30" s="361" t="s">
        <v>1645</v>
      </c>
    </row>
    <row r="31" spans="1:7" ht="15.75" customHeight="1">
      <c r="A31" s="316">
        <v>26</v>
      </c>
      <c r="B31" s="18" t="s">
        <v>1505</v>
      </c>
      <c r="C31" s="362">
        <v>700</v>
      </c>
      <c r="D31" s="363" t="s">
        <v>30</v>
      </c>
      <c r="E31" s="361"/>
      <c r="F31" s="361"/>
      <c r="G31" s="361" t="s">
        <v>1645</v>
      </c>
    </row>
    <row r="32" spans="1:7" ht="15.75" customHeight="1">
      <c r="A32" s="316">
        <v>27</v>
      </c>
      <c r="B32" s="18" t="s">
        <v>1506</v>
      </c>
      <c r="C32" s="362">
        <v>700</v>
      </c>
      <c r="D32" s="363" t="s">
        <v>30</v>
      </c>
      <c r="E32" s="361"/>
      <c r="F32" s="361"/>
      <c r="G32" s="361" t="s">
        <v>1645</v>
      </c>
    </row>
    <row r="33" spans="1:7" ht="15.75" customHeight="1">
      <c r="A33" s="316">
        <v>28</v>
      </c>
      <c r="B33" s="18" t="s">
        <v>623</v>
      </c>
      <c r="C33" s="362">
        <v>12000</v>
      </c>
      <c r="D33" s="363" t="s">
        <v>30</v>
      </c>
      <c r="E33" s="361"/>
      <c r="F33" s="361"/>
      <c r="G33" s="361" t="s">
        <v>1643</v>
      </c>
    </row>
    <row r="34" spans="1:7" ht="15.75" customHeight="1">
      <c r="A34" s="316">
        <v>29</v>
      </c>
      <c r="B34" s="18" t="s">
        <v>627</v>
      </c>
      <c r="C34" s="362">
        <v>1000</v>
      </c>
      <c r="D34" s="363" t="s">
        <v>138</v>
      </c>
      <c r="E34" s="361"/>
      <c r="F34" s="361"/>
      <c r="G34" s="361" t="s">
        <v>297</v>
      </c>
    </row>
    <row r="35" spans="1:7" ht="15.75" customHeight="1">
      <c r="A35" s="316">
        <v>30</v>
      </c>
      <c r="B35" s="18" t="s">
        <v>631</v>
      </c>
      <c r="C35" s="362">
        <v>1000</v>
      </c>
      <c r="D35" s="363" t="s">
        <v>138</v>
      </c>
      <c r="E35" s="361"/>
      <c r="F35" s="361"/>
      <c r="G35" s="361" t="s">
        <v>297</v>
      </c>
    </row>
    <row r="36" spans="1:7" ht="15.75" customHeight="1">
      <c r="A36" s="316">
        <v>31</v>
      </c>
      <c r="B36" s="18" t="s">
        <v>635</v>
      </c>
      <c r="C36" s="362">
        <v>370</v>
      </c>
      <c r="D36" s="363" t="s">
        <v>138</v>
      </c>
      <c r="E36" s="361"/>
      <c r="F36" s="361"/>
      <c r="G36" s="361"/>
    </row>
    <row r="37" spans="1:7" ht="15.75" customHeight="1">
      <c r="A37" s="316">
        <v>32</v>
      </c>
      <c r="B37" s="18" t="s">
        <v>639</v>
      </c>
      <c r="C37" s="362">
        <v>1000</v>
      </c>
      <c r="D37" s="363" t="s">
        <v>138</v>
      </c>
      <c r="E37" s="361"/>
      <c r="F37" s="361"/>
      <c r="G37" s="361" t="s">
        <v>1652</v>
      </c>
    </row>
    <row r="38" spans="1:7" ht="15.75" customHeight="1">
      <c r="A38" s="316">
        <v>33</v>
      </c>
      <c r="B38" s="18" t="s">
        <v>643</v>
      </c>
      <c r="C38" s="328">
        <v>1000</v>
      </c>
      <c r="D38" s="360" t="s">
        <v>138</v>
      </c>
      <c r="E38" s="361">
        <v>16300</v>
      </c>
      <c r="F38" s="361">
        <v>16000</v>
      </c>
      <c r="G38" s="361"/>
    </row>
    <row r="39" spans="1:7" ht="15.75" customHeight="1">
      <c r="A39" s="316">
        <v>34</v>
      </c>
      <c r="B39" s="18" t="s">
        <v>647</v>
      </c>
      <c r="C39" s="328">
        <v>250</v>
      </c>
      <c r="D39" s="360" t="s">
        <v>306</v>
      </c>
      <c r="E39" s="361"/>
      <c r="F39" s="361"/>
      <c r="G39" s="361" t="s">
        <v>1547</v>
      </c>
    </row>
    <row r="40" spans="1:7" ht="15.75" customHeight="1">
      <c r="A40" s="316">
        <v>35</v>
      </c>
      <c r="B40" s="18" t="s">
        <v>1599</v>
      </c>
      <c r="C40" s="328">
        <v>1000</v>
      </c>
      <c r="D40" s="360" t="s">
        <v>138</v>
      </c>
      <c r="E40" s="361">
        <v>9700</v>
      </c>
      <c r="F40" s="361"/>
      <c r="G40" s="361" t="s">
        <v>1653</v>
      </c>
    </row>
    <row r="41" spans="1:7" ht="15.75" customHeight="1">
      <c r="A41" s="316">
        <v>36</v>
      </c>
      <c r="B41" s="18" t="s">
        <v>655</v>
      </c>
      <c r="C41" s="328">
        <v>1000</v>
      </c>
      <c r="D41" s="360" t="s">
        <v>138</v>
      </c>
      <c r="E41" s="361">
        <v>48900</v>
      </c>
      <c r="F41" s="361"/>
      <c r="G41" s="361"/>
    </row>
    <row r="42" spans="1:7" ht="15.75" customHeight="1">
      <c r="A42" s="316">
        <v>37</v>
      </c>
      <c r="B42" s="18" t="s">
        <v>659</v>
      </c>
      <c r="C42" s="328">
        <v>14</v>
      </c>
      <c r="D42" s="360" t="s">
        <v>306</v>
      </c>
      <c r="E42" s="361"/>
      <c r="F42" s="361"/>
      <c r="G42" s="361" t="s">
        <v>180</v>
      </c>
    </row>
    <row r="43" spans="1:7" ht="15.75" customHeight="1">
      <c r="A43" s="316">
        <v>38</v>
      </c>
      <c r="B43" s="18" t="s">
        <v>663</v>
      </c>
      <c r="C43" s="328">
        <v>1000</v>
      </c>
      <c r="D43" s="360" t="s">
        <v>138</v>
      </c>
      <c r="E43" s="361"/>
      <c r="F43" s="361"/>
      <c r="G43" s="361" t="s">
        <v>303</v>
      </c>
    </row>
    <row r="44" spans="1:7" ht="15.75" customHeight="1">
      <c r="A44" s="316">
        <v>39</v>
      </c>
      <c r="B44" s="18" t="s">
        <v>1654</v>
      </c>
      <c r="C44" s="328">
        <v>1000</v>
      </c>
      <c r="D44" s="360" t="s">
        <v>138</v>
      </c>
      <c r="E44" s="361">
        <v>89800</v>
      </c>
      <c r="F44" s="361">
        <v>90000</v>
      </c>
      <c r="G44" s="361"/>
    </row>
    <row r="45" spans="1:7" ht="15.75" customHeight="1">
      <c r="A45" s="316">
        <v>40</v>
      </c>
      <c r="B45" s="18" t="s">
        <v>671</v>
      </c>
      <c r="C45" s="328">
        <v>1000</v>
      </c>
      <c r="D45" s="360" t="s">
        <v>138</v>
      </c>
      <c r="E45" s="361">
        <v>28300</v>
      </c>
      <c r="F45" s="361"/>
      <c r="G45" s="361"/>
    </row>
    <row r="46" spans="1:7" ht="15.75" customHeight="1">
      <c r="A46" s="316">
        <v>41</v>
      </c>
      <c r="B46" s="18" t="s">
        <v>675</v>
      </c>
      <c r="C46" s="328">
        <v>10</v>
      </c>
      <c r="D46" s="360" t="s">
        <v>677</v>
      </c>
      <c r="E46" s="361"/>
      <c r="F46" s="361"/>
      <c r="G46" s="361" t="s">
        <v>303</v>
      </c>
    </row>
    <row r="47" spans="1:7" ht="15.75" customHeight="1">
      <c r="A47" s="316">
        <v>42</v>
      </c>
      <c r="B47" s="18" t="s">
        <v>680</v>
      </c>
      <c r="C47" s="328">
        <v>330</v>
      </c>
      <c r="D47" s="360" t="s">
        <v>30</v>
      </c>
      <c r="E47" s="361"/>
      <c r="F47" s="361">
        <f t="shared" ref="F47:F48" si="0">30000</f>
        <v>30000</v>
      </c>
      <c r="G47" s="361"/>
    </row>
    <row r="48" spans="1:7" ht="15.75" customHeight="1">
      <c r="A48" s="316">
        <v>43</v>
      </c>
      <c r="B48" s="18" t="s">
        <v>684</v>
      </c>
      <c r="C48" s="328">
        <v>330</v>
      </c>
      <c r="D48" s="360" t="s">
        <v>30</v>
      </c>
      <c r="E48" s="361"/>
      <c r="F48" s="361">
        <f t="shared" si="0"/>
        <v>30000</v>
      </c>
      <c r="G48" s="361"/>
    </row>
    <row r="49" spans="1:7" ht="15.75" customHeight="1">
      <c r="A49" s="316">
        <v>44</v>
      </c>
      <c r="B49" s="18" t="s">
        <v>688</v>
      </c>
      <c r="C49" s="328">
        <v>1000</v>
      </c>
      <c r="D49" s="360" t="s">
        <v>30</v>
      </c>
      <c r="E49" s="361"/>
      <c r="F49" s="361">
        <v>62500</v>
      </c>
      <c r="G49" s="361"/>
    </row>
    <row r="50" spans="1:7" ht="15.75" customHeight="1">
      <c r="A50" s="316">
        <v>45</v>
      </c>
      <c r="B50" s="18" t="s">
        <v>692</v>
      </c>
      <c r="C50" s="328">
        <v>1000</v>
      </c>
      <c r="D50" s="360" t="s">
        <v>138</v>
      </c>
      <c r="E50" s="361"/>
      <c r="F50" s="361">
        <v>53000</v>
      </c>
      <c r="G50" s="361"/>
    </row>
    <row r="51" spans="1:7" ht="13">
      <c r="A51" s="316">
        <v>46</v>
      </c>
      <c r="B51" s="18" t="s">
        <v>696</v>
      </c>
      <c r="C51" s="328">
        <v>1000</v>
      </c>
      <c r="D51" s="360" t="s">
        <v>138</v>
      </c>
      <c r="E51" s="361">
        <v>14000</v>
      </c>
      <c r="F51" s="361">
        <v>12250</v>
      </c>
      <c r="G51" s="361"/>
    </row>
    <row r="52" spans="1:7" ht="13">
      <c r="A52" s="316">
        <v>47</v>
      </c>
      <c r="B52" s="18" t="s">
        <v>1655</v>
      </c>
      <c r="C52" s="328">
        <v>330</v>
      </c>
      <c r="D52" s="360" t="s">
        <v>138</v>
      </c>
      <c r="E52" s="361"/>
      <c r="F52" s="361"/>
      <c r="G52" s="361" t="s">
        <v>297</v>
      </c>
    </row>
    <row r="53" spans="1:7" ht="13">
      <c r="A53" s="316">
        <v>48</v>
      </c>
      <c r="B53" s="18" t="s">
        <v>704</v>
      </c>
      <c r="C53" s="328">
        <f>950*12</f>
        <v>11400</v>
      </c>
      <c r="D53" s="360" t="s">
        <v>30</v>
      </c>
      <c r="E53" s="361"/>
      <c r="F53" s="361"/>
      <c r="G53" s="361" t="s">
        <v>1643</v>
      </c>
    </row>
    <row r="54" spans="1:7" ht="13">
      <c r="A54" s="316">
        <v>49</v>
      </c>
      <c r="B54" s="18" t="s">
        <v>1579</v>
      </c>
      <c r="C54" s="328">
        <v>18000</v>
      </c>
      <c r="D54" s="360" t="s">
        <v>30</v>
      </c>
      <c r="E54" s="361"/>
      <c r="F54" s="361">
        <v>475000</v>
      </c>
      <c r="G54" s="361"/>
    </row>
    <row r="55" spans="1:7" ht="13">
      <c r="A55" s="316">
        <v>50</v>
      </c>
      <c r="B55" s="18" t="s">
        <v>712</v>
      </c>
      <c r="C55" s="328">
        <v>1000</v>
      </c>
      <c r="D55" s="360" t="s">
        <v>138</v>
      </c>
      <c r="E55" s="361">
        <v>24200</v>
      </c>
      <c r="F55" s="361">
        <v>28000</v>
      </c>
      <c r="G55" s="361"/>
    </row>
    <row r="56" spans="1:7" ht="13">
      <c r="A56" s="316">
        <v>51</v>
      </c>
      <c r="B56" s="18" t="s">
        <v>716</v>
      </c>
      <c r="C56" s="328">
        <v>1000</v>
      </c>
      <c r="D56" s="360" t="s">
        <v>138</v>
      </c>
      <c r="E56" s="361">
        <v>41700</v>
      </c>
      <c r="F56" s="361"/>
      <c r="G56" s="361"/>
    </row>
    <row r="57" spans="1:7" ht="13">
      <c r="A57" s="316">
        <v>52</v>
      </c>
      <c r="B57" s="18" t="s">
        <v>1598</v>
      </c>
      <c r="C57" s="328">
        <v>100</v>
      </c>
      <c r="D57" s="360" t="s">
        <v>138</v>
      </c>
      <c r="E57" s="361"/>
      <c r="F57" s="361">
        <v>28000</v>
      </c>
      <c r="G57" s="361"/>
    </row>
    <row r="58" spans="1:7" ht="13">
      <c r="A58" s="316">
        <v>53</v>
      </c>
      <c r="B58" s="18" t="s">
        <v>724</v>
      </c>
      <c r="C58" s="328">
        <v>1</v>
      </c>
      <c r="D58" s="360" t="s">
        <v>741</v>
      </c>
      <c r="E58" s="361"/>
      <c r="F58" s="361">
        <v>10500</v>
      </c>
      <c r="G58" s="361"/>
    </row>
    <row r="59" spans="1:7" ht="13">
      <c r="A59" s="316">
        <v>54</v>
      </c>
      <c r="B59" s="18" t="s">
        <v>728</v>
      </c>
      <c r="C59" s="328">
        <v>1000</v>
      </c>
      <c r="D59" s="360" t="s">
        <v>138</v>
      </c>
      <c r="E59" s="361"/>
      <c r="F59" s="361">
        <v>27500</v>
      </c>
      <c r="G59" s="361"/>
    </row>
    <row r="60" spans="1:7" ht="13">
      <c r="A60" s="316">
        <v>55</v>
      </c>
      <c r="B60" s="18" t="s">
        <v>732</v>
      </c>
      <c r="C60" s="328">
        <v>1000</v>
      </c>
      <c r="D60" s="360" t="s">
        <v>138</v>
      </c>
      <c r="E60" s="361">
        <v>18900</v>
      </c>
      <c r="F60" s="361">
        <v>20000</v>
      </c>
      <c r="G60" s="361"/>
    </row>
    <row r="61" spans="1:7" ht="13">
      <c r="A61" s="316">
        <v>56</v>
      </c>
      <c r="B61" s="18" t="s">
        <v>735</v>
      </c>
      <c r="C61" s="328">
        <v>700</v>
      </c>
      <c r="D61" s="360" t="s">
        <v>138</v>
      </c>
      <c r="E61" s="361"/>
      <c r="F61" s="361"/>
      <c r="G61" s="361" t="s">
        <v>303</v>
      </c>
    </row>
    <row r="62" spans="1:7" ht="13">
      <c r="A62" s="316">
        <v>57</v>
      </c>
      <c r="B62" s="18" t="s">
        <v>739</v>
      </c>
      <c r="C62" s="328">
        <v>100</v>
      </c>
      <c r="D62" s="360" t="s">
        <v>741</v>
      </c>
      <c r="E62" s="361"/>
      <c r="F62" s="361"/>
      <c r="G62" s="361" t="s">
        <v>1547</v>
      </c>
    </row>
    <row r="63" spans="1:7" ht="13">
      <c r="A63" s="316">
        <v>58</v>
      </c>
      <c r="B63" s="18" t="s">
        <v>744</v>
      </c>
      <c r="C63" s="328">
        <v>1000</v>
      </c>
      <c r="D63" s="360" t="s">
        <v>138</v>
      </c>
      <c r="E63" s="361">
        <v>44900</v>
      </c>
      <c r="F63" s="361"/>
      <c r="G63" s="361"/>
    </row>
    <row r="64" spans="1:7" ht="13">
      <c r="A64" s="316">
        <v>59</v>
      </c>
      <c r="B64" s="18" t="s">
        <v>1656</v>
      </c>
      <c r="C64" s="328">
        <v>1000</v>
      </c>
      <c r="D64" s="360" t="s">
        <v>138</v>
      </c>
      <c r="E64" s="361"/>
      <c r="F64" s="361">
        <v>27500</v>
      </c>
      <c r="G64" s="361"/>
    </row>
    <row r="65" spans="1:7" ht="13">
      <c r="A65" s="316">
        <v>60</v>
      </c>
      <c r="B65" s="18" t="s">
        <v>752</v>
      </c>
      <c r="C65" s="328">
        <v>1000</v>
      </c>
      <c r="D65" s="360" t="s">
        <v>138</v>
      </c>
      <c r="E65" s="361"/>
      <c r="F65" s="361">
        <v>38000</v>
      </c>
      <c r="G65" s="361"/>
    </row>
    <row r="66" spans="1:7" ht="13">
      <c r="A66" s="316">
        <v>61</v>
      </c>
      <c r="B66" s="18" t="s">
        <v>756</v>
      </c>
      <c r="C66" s="328">
        <v>700</v>
      </c>
      <c r="D66" s="360" t="s">
        <v>138</v>
      </c>
      <c r="E66" s="361"/>
      <c r="F66" s="361"/>
      <c r="G66" s="361" t="s">
        <v>1657</v>
      </c>
    </row>
    <row r="67" spans="1:7" ht="13">
      <c r="A67" s="316">
        <v>62</v>
      </c>
      <c r="B67" s="18" t="s">
        <v>1658</v>
      </c>
      <c r="C67" s="328">
        <v>25000</v>
      </c>
      <c r="D67" s="360" t="s">
        <v>138</v>
      </c>
      <c r="E67" s="361"/>
      <c r="F67" s="361"/>
      <c r="G67" s="361" t="s">
        <v>180</v>
      </c>
    </row>
    <row r="68" spans="1:7" ht="13">
      <c r="A68" s="316">
        <v>63</v>
      </c>
      <c r="B68" s="18" t="s">
        <v>764</v>
      </c>
      <c r="C68" s="328">
        <v>500</v>
      </c>
      <c r="D68" s="360" t="s">
        <v>138</v>
      </c>
      <c r="E68" s="361"/>
      <c r="F68" s="361">
        <v>6000</v>
      </c>
      <c r="G68" s="361"/>
    </row>
    <row r="69" spans="1:7" ht="13">
      <c r="A69" s="316">
        <v>64</v>
      </c>
      <c r="B69" s="18" t="s">
        <v>1659</v>
      </c>
      <c r="C69" s="328">
        <v>1000</v>
      </c>
      <c r="D69" s="360" t="s">
        <v>138</v>
      </c>
      <c r="E69" s="361"/>
      <c r="F69" s="361">
        <v>19500</v>
      </c>
      <c r="G69" s="361"/>
    </row>
    <row r="70" spans="1:7" ht="13">
      <c r="A70" s="316">
        <v>65</v>
      </c>
      <c r="B70" s="18" t="s">
        <v>770</v>
      </c>
      <c r="C70" s="328">
        <v>350</v>
      </c>
      <c r="D70" s="360" t="s">
        <v>138</v>
      </c>
      <c r="E70" s="361"/>
      <c r="F70" s="361"/>
      <c r="G70" s="361" t="s">
        <v>297</v>
      </c>
    </row>
    <row r="71" spans="1:7" ht="13">
      <c r="A71" s="316">
        <v>66</v>
      </c>
      <c r="B71" s="18" t="s">
        <v>773</v>
      </c>
      <c r="C71" s="328">
        <v>1000</v>
      </c>
      <c r="D71" s="360" t="s">
        <v>138</v>
      </c>
      <c r="E71" s="361"/>
      <c r="F71" s="361">
        <v>14000</v>
      </c>
      <c r="G71" s="361"/>
    </row>
    <row r="72" spans="1:7" ht="13">
      <c r="A72" s="316">
        <v>67</v>
      </c>
      <c r="B72" s="18" t="s">
        <v>776</v>
      </c>
      <c r="C72" s="328">
        <v>6</v>
      </c>
      <c r="D72" s="360" t="s">
        <v>306</v>
      </c>
      <c r="E72" s="361"/>
      <c r="F72" s="361"/>
      <c r="G72" s="361" t="s">
        <v>1657</v>
      </c>
    </row>
    <row r="73" spans="1:7" ht="13">
      <c r="A73" s="316">
        <v>68</v>
      </c>
      <c r="B73" s="18" t="s">
        <v>779</v>
      </c>
      <c r="C73" s="328">
        <v>500</v>
      </c>
      <c r="D73" s="360" t="s">
        <v>138</v>
      </c>
      <c r="E73" s="361"/>
      <c r="F73" s="361"/>
      <c r="G73" s="361" t="s">
        <v>1657</v>
      </c>
    </row>
    <row r="74" spans="1:7" ht="13">
      <c r="A74" s="316">
        <v>69</v>
      </c>
      <c r="B74" s="18" t="s">
        <v>782</v>
      </c>
      <c r="C74" s="328">
        <v>150</v>
      </c>
      <c r="D74" s="360" t="s">
        <v>138</v>
      </c>
      <c r="E74" s="361">
        <v>7500</v>
      </c>
      <c r="F74" s="361"/>
      <c r="G74" s="361"/>
    </row>
    <row r="75" spans="1:7" ht="13">
      <c r="A75" s="316">
        <v>70</v>
      </c>
      <c r="B75" s="18" t="s">
        <v>785</v>
      </c>
      <c r="C75" s="328">
        <v>1600</v>
      </c>
      <c r="D75" s="360" t="s">
        <v>138</v>
      </c>
      <c r="E75" s="361">
        <v>58100</v>
      </c>
      <c r="F75" s="361">
        <v>44500</v>
      </c>
      <c r="G75" s="361"/>
    </row>
    <row r="76" spans="1:7" ht="13">
      <c r="A76" s="316">
        <v>71</v>
      </c>
      <c r="B76" s="18" t="s">
        <v>787</v>
      </c>
      <c r="C76" s="328">
        <v>460</v>
      </c>
      <c r="D76" s="360" t="s">
        <v>30</v>
      </c>
      <c r="E76" s="361"/>
      <c r="F76" s="361">
        <v>20250</v>
      </c>
      <c r="G76" s="361"/>
    </row>
    <row r="77" spans="1:7" ht="13">
      <c r="A77" s="316">
        <v>72</v>
      </c>
      <c r="B77" s="18" t="s">
        <v>791</v>
      </c>
      <c r="C77" s="328">
        <v>180</v>
      </c>
      <c r="D77" s="360" t="s">
        <v>138</v>
      </c>
      <c r="E77" s="361"/>
      <c r="F77" s="361"/>
      <c r="G77" s="361" t="s">
        <v>1660</v>
      </c>
    </row>
    <row r="78" spans="1:7" ht="13">
      <c r="A78" s="316">
        <v>73</v>
      </c>
      <c r="B78" s="18" t="s">
        <v>795</v>
      </c>
      <c r="C78" s="328">
        <v>10</v>
      </c>
      <c r="D78" s="360" t="s">
        <v>677</v>
      </c>
      <c r="E78" s="361"/>
      <c r="F78" s="361"/>
      <c r="G78" s="361" t="s">
        <v>1520</v>
      </c>
    </row>
    <row r="79" spans="1:7" ht="13">
      <c r="A79" s="316">
        <v>74</v>
      </c>
      <c r="B79" s="18" t="s">
        <v>799</v>
      </c>
      <c r="C79" s="328">
        <v>1000</v>
      </c>
      <c r="D79" s="360" t="s">
        <v>138</v>
      </c>
      <c r="E79" s="361"/>
      <c r="F79" s="361">
        <v>88000</v>
      </c>
      <c r="G79" s="361"/>
    </row>
    <row r="80" spans="1:7" ht="13">
      <c r="A80" s="316">
        <v>75</v>
      </c>
      <c r="B80" s="18" t="s">
        <v>803</v>
      </c>
      <c r="C80" s="328">
        <v>60</v>
      </c>
      <c r="D80" s="360" t="s">
        <v>138</v>
      </c>
      <c r="E80" s="361"/>
      <c r="F80" s="361"/>
      <c r="G80" s="361" t="s">
        <v>297</v>
      </c>
    </row>
    <row r="81" spans="1:7" ht="13">
      <c r="A81" s="316">
        <v>76</v>
      </c>
      <c r="B81" s="18" t="s">
        <v>807</v>
      </c>
      <c r="C81" s="328">
        <v>60</v>
      </c>
      <c r="D81" s="360" t="s">
        <v>138</v>
      </c>
      <c r="E81" s="361"/>
      <c r="F81" s="361"/>
      <c r="G81" s="361" t="s">
        <v>297</v>
      </c>
    </row>
    <row r="82" spans="1:7" ht="13">
      <c r="A82" s="316">
        <v>77</v>
      </c>
      <c r="B82" s="18" t="s">
        <v>1661</v>
      </c>
      <c r="C82" s="328">
        <v>100</v>
      </c>
      <c r="D82" s="360" t="s">
        <v>138</v>
      </c>
      <c r="E82" s="361"/>
      <c r="F82" s="361">
        <v>38000</v>
      </c>
      <c r="G82" s="361"/>
    </row>
    <row r="83" spans="1:7" ht="13">
      <c r="A83" s="316">
        <v>78</v>
      </c>
      <c r="B83" s="18" t="s">
        <v>1662</v>
      </c>
      <c r="C83" s="328">
        <v>1000</v>
      </c>
      <c r="D83" s="360" t="s">
        <v>138</v>
      </c>
      <c r="E83" s="361">
        <v>11600</v>
      </c>
      <c r="F83" s="361"/>
      <c r="G83" s="361"/>
    </row>
    <row r="84" spans="1:7" ht="13">
      <c r="A84" s="316">
        <v>79</v>
      </c>
      <c r="B84" s="18" t="s">
        <v>819</v>
      </c>
      <c r="C84" s="328">
        <v>1000</v>
      </c>
      <c r="D84" s="360" t="s">
        <v>138</v>
      </c>
      <c r="E84" s="361">
        <v>13000</v>
      </c>
      <c r="F84" s="361"/>
      <c r="G84" s="361"/>
    </row>
    <row r="85" spans="1:7" ht="13">
      <c r="A85" s="316">
        <v>80</v>
      </c>
      <c r="B85" s="18" t="s">
        <v>1663</v>
      </c>
      <c r="C85" s="328">
        <v>150</v>
      </c>
      <c r="D85" s="360" t="s">
        <v>138</v>
      </c>
      <c r="E85" s="361"/>
      <c r="F85" s="361">
        <v>13000</v>
      </c>
      <c r="G85" s="361"/>
    </row>
    <row r="86" spans="1:7" ht="13">
      <c r="A86" s="316">
        <v>81</v>
      </c>
      <c r="B86" s="18" t="s">
        <v>827</v>
      </c>
      <c r="C86" s="328">
        <v>1000</v>
      </c>
      <c r="D86" s="360" t="s">
        <v>138</v>
      </c>
      <c r="E86" s="361">
        <v>8800</v>
      </c>
      <c r="F86" s="361"/>
      <c r="G86" s="361"/>
    </row>
    <row r="87" spans="1:7" ht="13">
      <c r="A87" s="316">
        <v>82</v>
      </c>
      <c r="B87" s="18" t="s">
        <v>831</v>
      </c>
      <c r="C87" s="328">
        <v>1000</v>
      </c>
      <c r="D87" s="360" t="s">
        <v>138</v>
      </c>
      <c r="E87" s="361"/>
      <c r="F87" s="361">
        <v>9000</v>
      </c>
      <c r="G87" s="361"/>
    </row>
    <row r="88" spans="1:7" ht="13">
      <c r="A88" s="316">
        <v>83</v>
      </c>
      <c r="B88" s="18" t="s">
        <v>1664</v>
      </c>
      <c r="C88" s="328">
        <v>1</v>
      </c>
      <c r="D88" s="360" t="s">
        <v>306</v>
      </c>
      <c r="E88" s="361"/>
      <c r="F88" s="361"/>
      <c r="G88" s="361" t="s">
        <v>1665</v>
      </c>
    </row>
    <row r="89" spans="1:7" ht="13">
      <c r="A89" s="316">
        <v>84</v>
      </c>
      <c r="B89" s="18" t="s">
        <v>839</v>
      </c>
      <c r="C89" s="328">
        <v>1</v>
      </c>
      <c r="D89" s="360" t="s">
        <v>306</v>
      </c>
      <c r="E89" s="361"/>
      <c r="F89" s="361"/>
      <c r="G89" s="361" t="s">
        <v>1666</v>
      </c>
    </row>
    <row r="90" spans="1:7" ht="13">
      <c r="A90" s="316">
        <v>85</v>
      </c>
      <c r="B90" s="18" t="s">
        <v>843</v>
      </c>
      <c r="C90" s="328">
        <v>1</v>
      </c>
      <c r="D90" s="360" t="s">
        <v>306</v>
      </c>
      <c r="E90" s="361"/>
      <c r="F90" s="361"/>
      <c r="G90" s="361" t="s">
        <v>1666</v>
      </c>
    </row>
    <row r="91" spans="1:7" ht="13">
      <c r="A91" s="316">
        <v>86</v>
      </c>
      <c r="B91" s="18" t="s">
        <v>847</v>
      </c>
      <c r="C91" s="328">
        <v>600</v>
      </c>
      <c r="D91" s="360" t="s">
        <v>138</v>
      </c>
      <c r="E91" s="361"/>
      <c r="F91" s="361"/>
      <c r="G91" s="361" t="s">
        <v>1667</v>
      </c>
    </row>
    <row r="92" spans="1:7" ht="13">
      <c r="A92" s="316">
        <v>87</v>
      </c>
      <c r="B92" s="18" t="s">
        <v>851</v>
      </c>
      <c r="C92" s="328">
        <v>24</v>
      </c>
      <c r="D92" s="360" t="s">
        <v>853</v>
      </c>
      <c r="E92" s="361"/>
      <c r="F92" s="361"/>
      <c r="G92" s="361" t="s">
        <v>51</v>
      </c>
    </row>
    <row r="93" spans="1:7" ht="13">
      <c r="A93" s="316">
        <v>88</v>
      </c>
      <c r="B93" s="18" t="s">
        <v>1621</v>
      </c>
      <c r="C93" s="328">
        <v>100</v>
      </c>
      <c r="D93" s="360" t="s">
        <v>859</v>
      </c>
      <c r="E93" s="361"/>
      <c r="F93" s="361"/>
      <c r="G93" s="361" t="s">
        <v>1547</v>
      </c>
    </row>
    <row r="94" spans="1:7" ht="13">
      <c r="A94" s="316">
        <v>89</v>
      </c>
      <c r="B94" s="18" t="s">
        <v>862</v>
      </c>
      <c r="C94" s="328">
        <v>100</v>
      </c>
      <c r="D94" s="360" t="s">
        <v>859</v>
      </c>
      <c r="E94" s="361"/>
      <c r="F94" s="361"/>
      <c r="G94" s="361" t="s">
        <v>1547</v>
      </c>
    </row>
    <row r="95" spans="1:7" ht="13">
      <c r="A95" s="316">
        <v>90</v>
      </c>
      <c r="B95" s="18" t="s">
        <v>866</v>
      </c>
      <c r="C95" s="328">
        <v>25</v>
      </c>
      <c r="D95" s="360" t="s">
        <v>306</v>
      </c>
      <c r="E95" s="361"/>
      <c r="F95" s="361"/>
      <c r="G95" s="361" t="s">
        <v>1547</v>
      </c>
    </row>
    <row r="96" spans="1:7" ht="13">
      <c r="A96" s="316">
        <v>91</v>
      </c>
      <c r="B96" s="18" t="s">
        <v>870</v>
      </c>
      <c r="C96" s="328">
        <v>1</v>
      </c>
      <c r="D96" s="360" t="s">
        <v>306</v>
      </c>
      <c r="E96" s="361"/>
      <c r="F96" s="361"/>
      <c r="G96" s="361" t="s">
        <v>1668</v>
      </c>
    </row>
    <row r="97" spans="1:27" ht="13">
      <c r="A97" s="316">
        <v>92</v>
      </c>
      <c r="B97" s="18" t="s">
        <v>874</v>
      </c>
      <c r="C97" s="328">
        <v>10</v>
      </c>
      <c r="D97" s="360" t="s">
        <v>306</v>
      </c>
      <c r="E97" s="361"/>
      <c r="F97" s="361"/>
      <c r="G97" s="361" t="s">
        <v>1657</v>
      </c>
    </row>
    <row r="98" spans="1:27" ht="13">
      <c r="A98" s="316">
        <v>93</v>
      </c>
      <c r="B98" s="18" t="s">
        <v>877</v>
      </c>
      <c r="C98" s="328">
        <v>40</v>
      </c>
      <c r="D98" s="360" t="s">
        <v>306</v>
      </c>
      <c r="E98" s="361"/>
      <c r="F98" s="361"/>
      <c r="G98" s="361" t="s">
        <v>1547</v>
      </c>
    </row>
    <row r="99" spans="1:27" ht="13">
      <c r="A99" s="316">
        <v>94</v>
      </c>
      <c r="B99" s="18" t="s">
        <v>879</v>
      </c>
      <c r="C99" s="362">
        <v>1000</v>
      </c>
      <c r="D99" s="363" t="s">
        <v>138</v>
      </c>
      <c r="E99" s="361"/>
      <c r="F99" s="361">
        <v>38000</v>
      </c>
      <c r="G99" s="361"/>
    </row>
    <row r="100" spans="1:27" ht="13">
      <c r="A100" s="316">
        <v>95</v>
      </c>
      <c r="B100" s="18" t="s">
        <v>881</v>
      </c>
      <c r="C100" s="362">
        <v>1000</v>
      </c>
      <c r="D100" s="363" t="s">
        <v>138</v>
      </c>
      <c r="E100" s="361"/>
      <c r="F100" s="361"/>
      <c r="G100" s="361" t="s">
        <v>303</v>
      </c>
    </row>
    <row r="101" spans="1:27" ht="13">
      <c r="A101" s="316">
        <v>96</v>
      </c>
      <c r="B101" s="18" t="s">
        <v>883</v>
      </c>
      <c r="C101" s="362">
        <v>1000</v>
      </c>
      <c r="D101" s="363" t="s">
        <v>138</v>
      </c>
      <c r="E101" s="361"/>
      <c r="F101" s="361"/>
      <c r="G101" s="361" t="s">
        <v>303</v>
      </c>
    </row>
    <row r="102" spans="1:27" ht="13">
      <c r="A102" s="316">
        <v>97</v>
      </c>
      <c r="B102" s="18" t="s">
        <v>885</v>
      </c>
      <c r="C102" s="362">
        <v>1000</v>
      </c>
      <c r="D102" s="363" t="s">
        <v>138</v>
      </c>
      <c r="E102" s="361">
        <v>25700</v>
      </c>
      <c r="F102" s="361"/>
      <c r="G102" s="361"/>
    </row>
    <row r="103" spans="1:27" ht="13">
      <c r="A103" s="316">
        <v>98</v>
      </c>
      <c r="B103" s="18" t="s">
        <v>887</v>
      </c>
      <c r="C103" s="362">
        <v>100</v>
      </c>
      <c r="D103" s="363" t="s">
        <v>138</v>
      </c>
      <c r="E103" s="361"/>
      <c r="F103" s="361">
        <v>13000</v>
      </c>
      <c r="G103" s="361"/>
    </row>
    <row r="104" spans="1:27" ht="13">
      <c r="A104" s="316">
        <v>99</v>
      </c>
      <c r="B104" s="18" t="s">
        <v>889</v>
      </c>
      <c r="C104" s="362">
        <v>10</v>
      </c>
      <c r="D104" s="363" t="s">
        <v>891</v>
      </c>
      <c r="E104" s="361"/>
      <c r="F104" s="361"/>
      <c r="G104" s="361" t="s">
        <v>303</v>
      </c>
    </row>
    <row r="105" spans="1:27" ht="13">
      <c r="A105" s="316">
        <v>100</v>
      </c>
      <c r="B105" s="18" t="s">
        <v>892</v>
      </c>
      <c r="C105" s="362">
        <v>1000</v>
      </c>
      <c r="D105" s="363" t="s">
        <v>138</v>
      </c>
      <c r="E105" s="361"/>
      <c r="F105" s="361">
        <v>107500</v>
      </c>
      <c r="G105" s="361"/>
    </row>
    <row r="106" spans="1:27" ht="13">
      <c r="A106" s="316">
        <v>101</v>
      </c>
      <c r="B106" s="18" t="s">
        <v>895</v>
      </c>
      <c r="C106" s="26">
        <v>100</v>
      </c>
      <c r="D106" s="363" t="s">
        <v>138</v>
      </c>
      <c r="E106" s="361">
        <v>25600</v>
      </c>
      <c r="F106" s="361"/>
      <c r="G106" s="361"/>
    </row>
    <row r="107" spans="1:27" ht="13">
      <c r="A107" s="336">
        <v>102</v>
      </c>
      <c r="B107" s="334" t="s">
        <v>898</v>
      </c>
      <c r="C107" s="335">
        <v>1000</v>
      </c>
      <c r="D107" s="364" t="s">
        <v>138</v>
      </c>
      <c r="E107" s="342">
        <v>64200</v>
      </c>
      <c r="F107" s="342"/>
      <c r="G107" s="342"/>
      <c r="H107" s="365"/>
      <c r="I107" s="365"/>
      <c r="J107" s="365"/>
      <c r="K107" s="365"/>
      <c r="L107" s="365"/>
      <c r="M107" s="365"/>
      <c r="N107" s="365"/>
      <c r="O107" s="365"/>
      <c r="P107" s="365"/>
      <c r="Q107" s="365"/>
      <c r="R107" s="365"/>
      <c r="S107" s="365"/>
      <c r="T107" s="365"/>
      <c r="U107" s="365"/>
      <c r="V107" s="365"/>
      <c r="W107" s="365"/>
      <c r="X107" s="365"/>
      <c r="Y107" s="365"/>
      <c r="Z107" s="365"/>
      <c r="AA107" s="365"/>
    </row>
    <row r="108" spans="1:27" ht="13">
      <c r="A108" s="316">
        <v>103</v>
      </c>
      <c r="B108" s="18" t="s">
        <v>901</v>
      </c>
      <c r="C108" s="362">
        <v>1000</v>
      </c>
      <c r="D108" s="363" t="s">
        <v>138</v>
      </c>
      <c r="E108" s="361">
        <v>9900</v>
      </c>
      <c r="F108" s="361"/>
      <c r="G108" s="361"/>
    </row>
    <row r="109" spans="1:27" ht="13">
      <c r="A109" s="316">
        <v>104</v>
      </c>
      <c r="B109" s="18" t="s">
        <v>1669</v>
      </c>
      <c r="C109" s="362">
        <v>1000</v>
      </c>
      <c r="D109" s="363" t="s">
        <v>138</v>
      </c>
      <c r="E109" s="361">
        <v>16700</v>
      </c>
      <c r="F109" s="361"/>
      <c r="G109" s="361"/>
    </row>
    <row r="110" spans="1:27" ht="13">
      <c r="A110" s="316">
        <v>105</v>
      </c>
      <c r="B110" s="18" t="s">
        <v>1501</v>
      </c>
      <c r="C110" s="362">
        <v>150</v>
      </c>
      <c r="D110" s="363" t="s">
        <v>138</v>
      </c>
      <c r="E110" s="361"/>
      <c r="F110" s="361"/>
      <c r="G110" s="361" t="s">
        <v>297</v>
      </c>
    </row>
    <row r="111" spans="1:27" ht="13">
      <c r="A111" s="316">
        <v>106</v>
      </c>
      <c r="B111" s="18" t="s">
        <v>910</v>
      </c>
      <c r="C111" s="362">
        <v>10</v>
      </c>
      <c r="D111" s="363" t="s">
        <v>306</v>
      </c>
      <c r="E111" s="361"/>
      <c r="F111" s="361"/>
      <c r="G111" s="361" t="s">
        <v>310</v>
      </c>
    </row>
    <row r="112" spans="1:27" ht="13">
      <c r="A112" s="316">
        <v>107</v>
      </c>
      <c r="B112" s="18" t="s">
        <v>1670</v>
      </c>
      <c r="C112" s="362">
        <v>300</v>
      </c>
      <c r="D112" s="363" t="s">
        <v>138</v>
      </c>
      <c r="E112" s="361"/>
      <c r="F112" s="361"/>
      <c r="G112" s="361" t="s">
        <v>297</v>
      </c>
    </row>
    <row r="113" spans="1:7" ht="13">
      <c r="A113" s="316">
        <v>108</v>
      </c>
      <c r="B113" s="18" t="s">
        <v>1607</v>
      </c>
      <c r="C113" s="362">
        <v>1000</v>
      </c>
      <c r="D113" s="363" t="s">
        <v>138</v>
      </c>
      <c r="E113" s="361">
        <v>36200</v>
      </c>
      <c r="F113" s="361"/>
      <c r="G113" s="361"/>
    </row>
    <row r="114" spans="1:7" ht="13">
      <c r="A114" s="316">
        <v>109</v>
      </c>
      <c r="B114" s="18" t="s">
        <v>919</v>
      </c>
      <c r="C114" s="362">
        <v>1000</v>
      </c>
      <c r="D114" s="363" t="s">
        <v>138</v>
      </c>
      <c r="E114" s="361">
        <v>20900</v>
      </c>
      <c r="F114" s="361"/>
      <c r="G114" s="361"/>
    </row>
    <row r="115" spans="1:7" ht="13">
      <c r="A115" s="316">
        <v>110</v>
      </c>
      <c r="B115" s="18" t="s">
        <v>922</v>
      </c>
      <c r="C115" s="362">
        <v>1</v>
      </c>
      <c r="D115" s="363" t="s">
        <v>306</v>
      </c>
      <c r="E115" s="361">
        <v>32100</v>
      </c>
      <c r="F115" s="361"/>
      <c r="G115" s="361"/>
    </row>
    <row r="116" spans="1:7" ht="13">
      <c r="A116" s="316">
        <v>111</v>
      </c>
      <c r="B116" s="18" t="s">
        <v>925</v>
      </c>
      <c r="C116" s="362">
        <v>13700</v>
      </c>
      <c r="D116" s="363" t="s">
        <v>138</v>
      </c>
      <c r="E116" s="361"/>
      <c r="F116" s="361"/>
      <c r="G116" s="361" t="s">
        <v>1643</v>
      </c>
    </row>
    <row r="117" spans="1:7" ht="13">
      <c r="A117" s="316">
        <v>112</v>
      </c>
      <c r="B117" s="18" t="s">
        <v>1671</v>
      </c>
      <c r="C117" s="362">
        <v>1000</v>
      </c>
      <c r="D117" s="363" t="s">
        <v>138</v>
      </c>
      <c r="E117" s="361"/>
      <c r="F117" s="361"/>
      <c r="G117" s="361" t="s">
        <v>1672</v>
      </c>
    </row>
    <row r="118" spans="1:7" ht="13">
      <c r="A118" s="316">
        <v>113</v>
      </c>
      <c r="B118" s="18" t="s">
        <v>931</v>
      </c>
      <c r="C118" s="362">
        <v>5000</v>
      </c>
      <c r="D118" s="363" t="s">
        <v>138</v>
      </c>
      <c r="E118" s="361"/>
      <c r="F118" s="361">
        <v>92000</v>
      </c>
      <c r="G118" s="361"/>
    </row>
    <row r="119" spans="1:7" ht="13">
      <c r="A119" s="316">
        <v>114</v>
      </c>
      <c r="B119" s="18" t="s">
        <v>934</v>
      </c>
      <c r="C119" s="362">
        <v>250</v>
      </c>
      <c r="D119" s="363" t="s">
        <v>138</v>
      </c>
      <c r="E119" s="361"/>
      <c r="F119" s="361">
        <v>7900</v>
      </c>
      <c r="G119" s="361"/>
    </row>
    <row r="120" spans="1:7" ht="13">
      <c r="A120" s="316">
        <v>115</v>
      </c>
      <c r="B120" s="18" t="s">
        <v>937</v>
      </c>
      <c r="C120" s="362">
        <v>20</v>
      </c>
      <c r="D120" s="363" t="s">
        <v>306</v>
      </c>
      <c r="E120" s="361"/>
      <c r="F120" s="361"/>
      <c r="G120" s="361" t="s">
        <v>297</v>
      </c>
    </row>
    <row r="121" spans="1:7" ht="13">
      <c r="A121" s="316">
        <v>116</v>
      </c>
      <c r="B121" s="18" t="s">
        <v>940</v>
      </c>
      <c r="C121" s="362">
        <v>1000</v>
      </c>
      <c r="D121" s="363" t="s">
        <v>138</v>
      </c>
      <c r="E121" s="361"/>
      <c r="F121" s="361"/>
      <c r="G121" s="361" t="s">
        <v>1673</v>
      </c>
    </row>
    <row r="122" spans="1:7" ht="13">
      <c r="A122" s="316">
        <v>117</v>
      </c>
      <c r="B122" s="18" t="s">
        <v>943</v>
      </c>
      <c r="C122" s="362">
        <v>250</v>
      </c>
      <c r="D122" s="363" t="s">
        <v>138</v>
      </c>
      <c r="E122" s="361"/>
      <c r="F122" s="361">
        <v>7900</v>
      </c>
      <c r="G122" s="361"/>
    </row>
    <row r="123" spans="1:7" ht="13">
      <c r="A123" s="316">
        <v>118</v>
      </c>
      <c r="B123" s="18" t="s">
        <v>946</v>
      </c>
      <c r="C123" s="328">
        <v>250</v>
      </c>
      <c r="D123" s="360" t="s">
        <v>138</v>
      </c>
      <c r="E123" s="361"/>
      <c r="F123" s="361"/>
      <c r="G123" s="361" t="s">
        <v>1660</v>
      </c>
    </row>
    <row r="124" spans="1:7" ht="13">
      <c r="A124" s="316">
        <v>119</v>
      </c>
      <c r="B124" s="18" t="s">
        <v>949</v>
      </c>
      <c r="C124" s="328">
        <v>1000</v>
      </c>
      <c r="D124" s="360" t="s">
        <v>30</v>
      </c>
      <c r="E124" s="361"/>
      <c r="F124" s="361"/>
      <c r="G124" s="361" t="s">
        <v>1643</v>
      </c>
    </row>
    <row r="125" spans="1:7" ht="13">
      <c r="A125" s="316">
        <v>120</v>
      </c>
      <c r="B125" s="18" t="s">
        <v>952</v>
      </c>
      <c r="C125" s="328">
        <v>1000</v>
      </c>
      <c r="D125" s="360" t="s">
        <v>30</v>
      </c>
      <c r="E125" s="361"/>
      <c r="F125" s="361"/>
      <c r="G125" s="361" t="s">
        <v>1643</v>
      </c>
    </row>
    <row r="126" spans="1:7" ht="13">
      <c r="A126" s="316">
        <v>121</v>
      </c>
      <c r="B126" s="18" t="s">
        <v>955</v>
      </c>
      <c r="C126" s="328">
        <v>460</v>
      </c>
      <c r="D126" s="360" t="s">
        <v>30</v>
      </c>
      <c r="E126" s="361"/>
      <c r="F126" s="361">
        <v>20250</v>
      </c>
      <c r="G126" s="361"/>
    </row>
    <row r="127" spans="1:7" ht="13">
      <c r="A127" s="316">
        <v>122</v>
      </c>
      <c r="B127" s="18" t="s">
        <v>958</v>
      </c>
      <c r="C127" s="328">
        <v>700</v>
      </c>
      <c r="D127" s="360" t="s">
        <v>30</v>
      </c>
      <c r="E127" s="361"/>
      <c r="F127" s="361"/>
      <c r="G127" s="361" t="s">
        <v>1674</v>
      </c>
    </row>
    <row r="128" spans="1:7" ht="13">
      <c r="A128" s="316">
        <v>123</v>
      </c>
      <c r="B128" s="18" t="s">
        <v>961</v>
      </c>
      <c r="C128" s="328">
        <v>750</v>
      </c>
      <c r="D128" s="360" t="s">
        <v>30</v>
      </c>
      <c r="E128" s="361"/>
      <c r="F128" s="361"/>
      <c r="G128" s="361" t="s">
        <v>98</v>
      </c>
    </row>
    <row r="129" spans="1:7" ht="13">
      <c r="A129" s="316">
        <v>124</v>
      </c>
      <c r="B129" s="18" t="s">
        <v>964</v>
      </c>
      <c r="C129" s="328">
        <v>700</v>
      </c>
      <c r="D129" s="360" t="s">
        <v>30</v>
      </c>
      <c r="E129" s="361"/>
      <c r="F129" s="361"/>
      <c r="G129" s="361" t="s">
        <v>1674</v>
      </c>
    </row>
    <row r="130" spans="1:7" ht="13">
      <c r="A130" s="316">
        <v>125</v>
      </c>
      <c r="B130" s="18" t="s">
        <v>967</v>
      </c>
      <c r="C130" s="328">
        <v>700</v>
      </c>
      <c r="D130" s="360" t="s">
        <v>30</v>
      </c>
      <c r="E130" s="361"/>
      <c r="F130" s="361"/>
      <c r="G130" s="361" t="s">
        <v>1674</v>
      </c>
    </row>
    <row r="131" spans="1:7" ht="13">
      <c r="A131" s="316">
        <v>126</v>
      </c>
      <c r="B131" s="18" t="s">
        <v>970</v>
      </c>
      <c r="C131" s="328">
        <v>35</v>
      </c>
      <c r="D131" s="360" t="s">
        <v>138</v>
      </c>
      <c r="E131" s="361"/>
      <c r="F131" s="361"/>
      <c r="G131" s="361" t="s">
        <v>297</v>
      </c>
    </row>
    <row r="132" spans="1:7" ht="13">
      <c r="A132" s="316">
        <v>127</v>
      </c>
      <c r="B132" s="18" t="s">
        <v>1541</v>
      </c>
      <c r="C132" s="328">
        <v>2000</v>
      </c>
      <c r="D132" s="360" t="s">
        <v>138</v>
      </c>
      <c r="E132" s="361"/>
      <c r="F132" s="361"/>
      <c r="G132" s="361" t="s">
        <v>98</v>
      </c>
    </row>
    <row r="133" spans="1:7" ht="13">
      <c r="A133" s="316">
        <v>128</v>
      </c>
      <c r="B133" s="18" t="s">
        <v>976</v>
      </c>
      <c r="C133" s="328">
        <v>300</v>
      </c>
      <c r="D133" s="360" t="s">
        <v>306</v>
      </c>
      <c r="E133" s="361"/>
      <c r="F133" s="361"/>
      <c r="G133" s="361" t="s">
        <v>1673</v>
      </c>
    </row>
    <row r="134" spans="1:7" ht="13">
      <c r="A134" s="316">
        <v>129</v>
      </c>
      <c r="B134" s="18" t="s">
        <v>979</v>
      </c>
      <c r="C134" s="328">
        <v>100</v>
      </c>
      <c r="D134" s="360" t="s">
        <v>306</v>
      </c>
      <c r="E134" s="361"/>
      <c r="F134" s="361"/>
      <c r="G134" s="361" t="s">
        <v>1673</v>
      </c>
    </row>
    <row r="135" spans="1:7" ht="13">
      <c r="A135" s="316">
        <v>130</v>
      </c>
      <c r="B135" s="18" t="s">
        <v>1675</v>
      </c>
      <c r="C135" s="328">
        <v>12</v>
      </c>
      <c r="D135" s="360" t="s">
        <v>306</v>
      </c>
      <c r="E135" s="361"/>
      <c r="F135" s="361">
        <v>22000</v>
      </c>
      <c r="G135" s="361"/>
    </row>
    <row r="136" spans="1:7" ht="13">
      <c r="A136" s="316">
        <v>131</v>
      </c>
      <c r="B136" s="18" t="s">
        <v>985</v>
      </c>
      <c r="C136" s="328">
        <v>150</v>
      </c>
      <c r="D136" s="360" t="s">
        <v>138</v>
      </c>
      <c r="E136" s="361"/>
      <c r="F136" s="361"/>
      <c r="G136" s="361" t="s">
        <v>331</v>
      </c>
    </row>
    <row r="137" spans="1:7" ht="13">
      <c r="A137" s="316">
        <v>132</v>
      </c>
      <c r="B137" s="18" t="s">
        <v>987</v>
      </c>
      <c r="C137" s="26">
        <v>700</v>
      </c>
      <c r="D137" s="360" t="s">
        <v>138</v>
      </c>
      <c r="E137" s="361"/>
      <c r="F137" s="361"/>
      <c r="G137" s="361" t="s">
        <v>297</v>
      </c>
    </row>
    <row r="138" spans="1:7" ht="13">
      <c r="A138" s="316">
        <v>133</v>
      </c>
      <c r="B138" s="18" t="s">
        <v>989</v>
      </c>
      <c r="C138" s="328">
        <v>780</v>
      </c>
      <c r="D138" s="360" t="s">
        <v>30</v>
      </c>
      <c r="E138" s="361"/>
      <c r="F138" s="361">
        <v>19500</v>
      </c>
      <c r="G138" s="361"/>
    </row>
    <row r="139" spans="1:7" ht="13">
      <c r="A139" s="316">
        <v>134</v>
      </c>
      <c r="B139" s="18" t="s">
        <v>992</v>
      </c>
      <c r="C139" s="26">
        <v>60</v>
      </c>
      <c r="D139" s="360" t="s">
        <v>741</v>
      </c>
      <c r="E139" s="361"/>
      <c r="F139" s="361"/>
      <c r="G139" s="361" t="s">
        <v>98</v>
      </c>
    </row>
    <row r="140" spans="1:7" ht="13">
      <c r="A140" s="316">
        <v>135</v>
      </c>
      <c r="B140" s="18" t="s">
        <v>995</v>
      </c>
      <c r="C140" s="26">
        <v>50</v>
      </c>
      <c r="D140" s="360" t="s">
        <v>741</v>
      </c>
      <c r="E140" s="361"/>
      <c r="F140" s="361"/>
      <c r="G140" s="361" t="s">
        <v>98</v>
      </c>
    </row>
    <row r="141" spans="1:7" ht="13">
      <c r="A141" s="366">
        <v>136</v>
      </c>
      <c r="B141" s="13" t="s">
        <v>1676</v>
      </c>
      <c r="C141" s="26">
        <v>1000</v>
      </c>
      <c r="D141" s="17" t="s">
        <v>138</v>
      </c>
      <c r="E141" s="367"/>
      <c r="F141" s="367"/>
      <c r="G141" s="367"/>
    </row>
    <row r="142" spans="1:7" ht="13">
      <c r="A142" s="316">
        <v>137</v>
      </c>
      <c r="B142" s="18" t="s">
        <v>1000</v>
      </c>
      <c r="C142" s="328">
        <v>1000</v>
      </c>
      <c r="D142" s="360" t="s">
        <v>138</v>
      </c>
      <c r="E142" s="361"/>
      <c r="F142" s="361">
        <v>41000</v>
      </c>
      <c r="G142" s="361"/>
    </row>
    <row r="143" spans="1:7" ht="13">
      <c r="A143" s="316">
        <v>138</v>
      </c>
      <c r="B143" s="18" t="s">
        <v>1002</v>
      </c>
      <c r="C143" s="328">
        <v>1000</v>
      </c>
      <c r="D143" s="360" t="s">
        <v>138</v>
      </c>
      <c r="E143" s="361"/>
      <c r="F143" s="361">
        <v>20500</v>
      </c>
      <c r="G143" s="361"/>
    </row>
    <row r="144" spans="1:7" ht="13">
      <c r="A144" s="316">
        <v>139</v>
      </c>
      <c r="B144" s="18" t="s">
        <v>1677</v>
      </c>
      <c r="C144" s="328">
        <v>1000</v>
      </c>
      <c r="D144" s="360" t="s">
        <v>138</v>
      </c>
      <c r="E144" s="361"/>
      <c r="F144" s="361">
        <v>82500</v>
      </c>
      <c r="G144" s="361"/>
    </row>
    <row r="145" spans="1:7" ht="13">
      <c r="A145" s="316">
        <v>140</v>
      </c>
      <c r="B145" s="18" t="s">
        <v>1152</v>
      </c>
      <c r="C145" s="328">
        <v>1000</v>
      </c>
      <c r="D145" s="360" t="s">
        <v>138</v>
      </c>
      <c r="E145" s="361">
        <v>8400</v>
      </c>
      <c r="F145" s="361"/>
      <c r="G145" s="361"/>
    </row>
    <row r="146" spans="1:7" ht="13">
      <c r="A146" s="316">
        <v>141</v>
      </c>
      <c r="B146" s="18" t="s">
        <v>1615</v>
      </c>
      <c r="C146" s="328">
        <v>50</v>
      </c>
      <c r="D146" s="360" t="s">
        <v>306</v>
      </c>
      <c r="E146" s="361"/>
      <c r="F146" s="361">
        <v>10000</v>
      </c>
      <c r="G146" s="361"/>
    </row>
    <row r="147" spans="1:7" ht="13">
      <c r="A147" s="316">
        <v>142</v>
      </c>
      <c r="B147" s="132" t="s">
        <v>1678</v>
      </c>
      <c r="C147" s="328">
        <v>50</v>
      </c>
      <c r="D147" s="360" t="s">
        <v>306</v>
      </c>
      <c r="E147" s="361"/>
      <c r="F147" s="361">
        <v>10000</v>
      </c>
      <c r="G147" s="361"/>
    </row>
    <row r="148" spans="1:7" ht="13">
      <c r="A148" s="316">
        <v>143</v>
      </c>
      <c r="B148" s="18" t="s">
        <v>1017</v>
      </c>
      <c r="C148" s="328">
        <v>1</v>
      </c>
      <c r="D148" s="360" t="s">
        <v>306</v>
      </c>
      <c r="E148" s="361"/>
      <c r="F148" s="361">
        <v>2800</v>
      </c>
      <c r="G148" s="361"/>
    </row>
    <row r="149" spans="1:7" ht="13">
      <c r="A149" s="316">
        <v>144</v>
      </c>
      <c r="B149" s="18" t="s">
        <v>1020</v>
      </c>
      <c r="C149" s="328">
        <v>1000</v>
      </c>
      <c r="D149" s="360" t="s">
        <v>138</v>
      </c>
      <c r="E149" s="361">
        <v>21800</v>
      </c>
      <c r="F149" s="361"/>
      <c r="G149" s="361"/>
    </row>
    <row r="150" spans="1:7" ht="13">
      <c r="A150" s="316">
        <v>145</v>
      </c>
      <c r="B150" s="18" t="s">
        <v>1679</v>
      </c>
      <c r="C150" s="328">
        <v>500</v>
      </c>
      <c r="D150" s="360" t="s">
        <v>138</v>
      </c>
      <c r="E150" s="361"/>
      <c r="F150" s="361">
        <v>20000</v>
      </c>
      <c r="G150" s="361"/>
    </row>
    <row r="151" spans="1:7" ht="13">
      <c r="A151" s="316">
        <v>146</v>
      </c>
      <c r="B151" s="18" t="s">
        <v>1680</v>
      </c>
      <c r="C151" s="328">
        <v>500</v>
      </c>
      <c r="D151" s="360" t="s">
        <v>138</v>
      </c>
      <c r="E151" s="361"/>
      <c r="F151" s="361">
        <v>20000</v>
      </c>
      <c r="G151" s="361"/>
    </row>
    <row r="152" spans="1:7" ht="13">
      <c r="A152" s="316">
        <v>147</v>
      </c>
      <c r="B152" s="18" t="s">
        <v>1030</v>
      </c>
      <c r="C152" s="328">
        <v>25</v>
      </c>
      <c r="D152" s="360" t="s">
        <v>306</v>
      </c>
      <c r="E152" s="361"/>
      <c r="F152" s="361">
        <v>5000</v>
      </c>
      <c r="G152" s="361"/>
    </row>
    <row r="153" spans="1:7" ht="13">
      <c r="A153" s="316">
        <v>148</v>
      </c>
      <c r="B153" s="18" t="s">
        <v>1033</v>
      </c>
      <c r="C153" s="328">
        <v>25</v>
      </c>
      <c r="D153" s="360" t="s">
        <v>306</v>
      </c>
      <c r="E153" s="361"/>
      <c r="F153" s="361">
        <v>5000</v>
      </c>
      <c r="G153" s="361"/>
    </row>
    <row r="154" spans="1:7" ht="13">
      <c r="A154" s="316">
        <v>149</v>
      </c>
      <c r="B154" s="18" t="s">
        <v>1624</v>
      </c>
      <c r="C154" s="328">
        <v>250</v>
      </c>
      <c r="D154" s="360" t="s">
        <v>306</v>
      </c>
      <c r="E154" s="361"/>
      <c r="F154" s="361"/>
      <c r="G154" s="361" t="s">
        <v>297</v>
      </c>
    </row>
    <row r="155" spans="1:7" ht="13">
      <c r="A155" s="316">
        <v>150</v>
      </c>
      <c r="B155" s="18" t="s">
        <v>1037</v>
      </c>
      <c r="C155" s="328">
        <v>250</v>
      </c>
      <c r="D155" s="360" t="s">
        <v>30</v>
      </c>
      <c r="E155" s="361"/>
      <c r="F155" s="361"/>
      <c r="G155" s="361" t="s">
        <v>297</v>
      </c>
    </row>
    <row r="156" spans="1:7" ht="13">
      <c r="A156" s="316">
        <v>151</v>
      </c>
      <c r="B156" s="18" t="s">
        <v>1681</v>
      </c>
      <c r="C156" s="328">
        <v>4000</v>
      </c>
      <c r="D156" s="360" t="s">
        <v>30</v>
      </c>
      <c r="E156" s="361"/>
      <c r="F156" s="361"/>
      <c r="G156" s="361" t="s">
        <v>1682</v>
      </c>
    </row>
    <row r="157" spans="1:7" ht="13">
      <c r="A157" s="316">
        <v>152</v>
      </c>
      <c r="B157" s="18" t="s">
        <v>1041</v>
      </c>
      <c r="C157" s="328">
        <v>1</v>
      </c>
      <c r="D157" s="360" t="s">
        <v>741</v>
      </c>
      <c r="E157" s="361"/>
      <c r="F157" s="361"/>
      <c r="G157" s="361" t="s">
        <v>297</v>
      </c>
    </row>
    <row r="158" spans="1:7" ht="13">
      <c r="A158" s="316">
        <v>153</v>
      </c>
      <c r="B158" s="18" t="s">
        <v>1043</v>
      </c>
      <c r="C158" s="328">
        <v>1</v>
      </c>
      <c r="D158" s="360" t="s">
        <v>1045</v>
      </c>
      <c r="E158" s="361"/>
      <c r="F158" s="361"/>
      <c r="G158" s="361" t="s">
        <v>297</v>
      </c>
    </row>
    <row r="159" spans="1:7" ht="13">
      <c r="A159" s="316">
        <v>154</v>
      </c>
      <c r="B159" s="18" t="s">
        <v>1046</v>
      </c>
      <c r="C159" s="328">
        <v>1</v>
      </c>
      <c r="D159" s="360" t="s">
        <v>741</v>
      </c>
      <c r="E159" s="361"/>
      <c r="F159" s="361"/>
      <c r="G159" s="361" t="s">
        <v>1673</v>
      </c>
    </row>
    <row r="160" spans="1:7" ht="13">
      <c r="A160" s="316">
        <v>155</v>
      </c>
      <c r="B160" s="18" t="s">
        <v>1683</v>
      </c>
      <c r="C160" s="328">
        <v>1000</v>
      </c>
      <c r="D160" s="360" t="s">
        <v>138</v>
      </c>
      <c r="E160" s="361"/>
      <c r="F160" s="361"/>
      <c r="G160" s="361" t="s">
        <v>297</v>
      </c>
    </row>
    <row r="161" spans="1:7" ht="13">
      <c r="A161" s="316">
        <v>156</v>
      </c>
      <c r="B161" s="18" t="s">
        <v>1050</v>
      </c>
      <c r="C161" s="328">
        <v>1000</v>
      </c>
      <c r="D161" s="360" t="s">
        <v>138</v>
      </c>
      <c r="E161" s="361">
        <v>8700</v>
      </c>
      <c r="F161" s="361"/>
      <c r="G161" s="361"/>
    </row>
    <row r="162" spans="1:7" ht="13">
      <c r="A162" s="366">
        <v>157</v>
      </c>
      <c r="B162" s="13" t="s">
        <v>1684</v>
      </c>
      <c r="C162" s="26">
        <v>1</v>
      </c>
      <c r="D162" s="17" t="s">
        <v>306</v>
      </c>
      <c r="E162" s="367"/>
      <c r="F162" s="367"/>
      <c r="G162" s="367"/>
    </row>
    <row r="163" spans="1:7" ht="13">
      <c r="A163" s="316">
        <v>158</v>
      </c>
      <c r="B163" s="18" t="s">
        <v>1269</v>
      </c>
      <c r="C163" s="362">
        <v>1000</v>
      </c>
      <c r="D163" s="363" t="s">
        <v>138</v>
      </c>
      <c r="E163" s="361"/>
      <c r="F163" s="361"/>
      <c r="G163" s="361" t="s">
        <v>303</v>
      </c>
    </row>
    <row r="164" spans="1:7" ht="13">
      <c r="A164" s="366">
        <v>159</v>
      </c>
      <c r="B164" s="13" t="s">
        <v>1685</v>
      </c>
      <c r="C164" s="26">
        <v>500</v>
      </c>
      <c r="D164" s="17" t="s">
        <v>138</v>
      </c>
      <c r="E164" s="367"/>
      <c r="F164" s="367"/>
      <c r="G164" s="367"/>
    </row>
    <row r="165" spans="1:7" ht="13">
      <c r="A165" s="316">
        <v>160</v>
      </c>
      <c r="B165" s="18" t="s">
        <v>1686</v>
      </c>
      <c r="C165" s="362">
        <v>1</v>
      </c>
      <c r="D165" s="363" t="s">
        <v>306</v>
      </c>
      <c r="E165" s="361">
        <v>7100</v>
      </c>
      <c r="F165" s="361"/>
      <c r="G165" s="361"/>
    </row>
    <row r="166" spans="1:7" ht="13">
      <c r="A166" s="316">
        <v>161</v>
      </c>
      <c r="B166" s="18" t="s">
        <v>1060</v>
      </c>
      <c r="C166" s="362">
        <v>600</v>
      </c>
      <c r="D166" s="363" t="s">
        <v>30</v>
      </c>
      <c r="E166" s="361"/>
      <c r="F166" s="361">
        <v>36500</v>
      </c>
      <c r="G166" s="361"/>
    </row>
    <row r="167" spans="1:7" ht="13">
      <c r="A167" s="316">
        <v>162</v>
      </c>
      <c r="B167" s="18" t="s">
        <v>1062</v>
      </c>
      <c r="C167" s="362">
        <v>1000</v>
      </c>
      <c r="D167" s="363" t="s">
        <v>138</v>
      </c>
      <c r="E167" s="361">
        <v>53000</v>
      </c>
      <c r="F167" s="361"/>
      <c r="G167" s="361"/>
    </row>
    <row r="168" spans="1:7" ht="13">
      <c r="A168" s="316">
        <v>163</v>
      </c>
      <c r="B168" s="18" t="s">
        <v>1064</v>
      </c>
      <c r="C168" s="362">
        <v>1000</v>
      </c>
      <c r="D168" s="363" t="s">
        <v>138</v>
      </c>
      <c r="E168" s="361">
        <v>37700</v>
      </c>
      <c r="F168" s="361"/>
      <c r="G168" s="361"/>
    </row>
    <row r="169" spans="1:7" ht="13">
      <c r="A169" s="316">
        <v>164</v>
      </c>
      <c r="B169" s="18" t="s">
        <v>1066</v>
      </c>
      <c r="C169" s="362">
        <v>1000</v>
      </c>
      <c r="D169" s="363" t="s">
        <v>138</v>
      </c>
      <c r="E169" s="361">
        <v>14800</v>
      </c>
      <c r="F169" s="361"/>
      <c r="G169" s="361"/>
    </row>
    <row r="170" spans="1:7" ht="13">
      <c r="A170" s="316">
        <v>165</v>
      </c>
      <c r="B170" s="18" t="s">
        <v>1687</v>
      </c>
      <c r="C170" s="362">
        <v>1</v>
      </c>
      <c r="D170" s="363" t="s">
        <v>741</v>
      </c>
      <c r="E170" s="361">
        <v>3900</v>
      </c>
      <c r="F170" s="361"/>
      <c r="G170" s="361"/>
    </row>
    <row r="171" spans="1:7" ht="13">
      <c r="A171" s="366">
        <v>166</v>
      </c>
      <c r="B171" s="13" t="s">
        <v>1688</v>
      </c>
      <c r="C171" s="26">
        <v>1000</v>
      </c>
      <c r="D171" s="17" t="s">
        <v>138</v>
      </c>
      <c r="E171" s="367"/>
      <c r="F171" s="367"/>
      <c r="G171" s="367"/>
    </row>
    <row r="172" spans="1:7" ht="13">
      <c r="A172" s="316">
        <v>167</v>
      </c>
      <c r="B172" s="18" t="s">
        <v>1689</v>
      </c>
      <c r="C172" s="362">
        <v>20</v>
      </c>
      <c r="D172" s="363" t="s">
        <v>138</v>
      </c>
      <c r="E172" s="361"/>
      <c r="F172" s="361"/>
      <c r="G172" s="361" t="s">
        <v>1690</v>
      </c>
    </row>
    <row r="173" spans="1:7" ht="13">
      <c r="A173" s="316">
        <v>168</v>
      </c>
      <c r="B173" s="18" t="s">
        <v>1074</v>
      </c>
      <c r="C173" s="362">
        <v>1000</v>
      </c>
      <c r="D173" s="363" t="s">
        <v>138</v>
      </c>
      <c r="E173" s="361">
        <v>6500</v>
      </c>
      <c r="F173" s="361"/>
      <c r="G173" s="361"/>
    </row>
    <row r="174" spans="1:7" ht="13">
      <c r="A174" s="316">
        <v>169</v>
      </c>
      <c r="B174" s="18" t="s">
        <v>1076</v>
      </c>
      <c r="C174" s="362">
        <v>1000</v>
      </c>
      <c r="D174" s="363" t="s">
        <v>138</v>
      </c>
      <c r="E174" s="361">
        <v>7700</v>
      </c>
      <c r="F174" s="361"/>
      <c r="G174" s="361"/>
    </row>
    <row r="175" spans="1:7" ht="13">
      <c r="A175" s="353">
        <v>170</v>
      </c>
      <c r="B175" s="351" t="s">
        <v>1691</v>
      </c>
      <c r="C175" s="352">
        <v>1000</v>
      </c>
      <c r="D175" s="368" t="s">
        <v>138</v>
      </c>
      <c r="E175" s="369"/>
      <c r="F175" s="369"/>
      <c r="G175" s="369"/>
    </row>
    <row r="176" spans="1:7" ht="13">
      <c r="A176" s="353">
        <v>171</v>
      </c>
      <c r="B176" s="351" t="s">
        <v>1080</v>
      </c>
      <c r="C176" s="352">
        <v>1000</v>
      </c>
      <c r="D176" s="368" t="s">
        <v>138</v>
      </c>
      <c r="E176" s="369"/>
      <c r="F176" s="369"/>
      <c r="G176" s="369"/>
    </row>
    <row r="177" spans="1:7" ht="13">
      <c r="A177" s="316">
        <v>172</v>
      </c>
      <c r="B177" s="18" t="s">
        <v>1082</v>
      </c>
      <c r="C177" s="362">
        <v>1000</v>
      </c>
      <c r="D177" s="363" t="s">
        <v>138</v>
      </c>
      <c r="E177" s="361">
        <v>141100</v>
      </c>
      <c r="F177" s="361"/>
      <c r="G177" s="361"/>
    </row>
    <row r="178" spans="1:7" ht="13">
      <c r="A178" s="366">
        <v>173</v>
      </c>
      <c r="B178" s="13" t="s">
        <v>1084</v>
      </c>
      <c r="C178" s="26">
        <v>700</v>
      </c>
      <c r="D178" s="17" t="s">
        <v>138</v>
      </c>
      <c r="E178" s="367"/>
      <c r="F178" s="367"/>
      <c r="G178" s="367"/>
    </row>
    <row r="179" spans="1:7" ht="13">
      <c r="A179" s="316">
        <v>174</v>
      </c>
      <c r="B179" s="18" t="s">
        <v>1619</v>
      </c>
      <c r="C179" s="362">
        <v>2000</v>
      </c>
      <c r="D179" s="363" t="s">
        <v>138</v>
      </c>
      <c r="E179" s="361"/>
      <c r="F179" s="361">
        <v>39500</v>
      </c>
      <c r="G179" s="361"/>
    </row>
    <row r="180" spans="1:7" ht="13">
      <c r="A180" s="366">
        <v>175</v>
      </c>
      <c r="B180" s="13" t="s">
        <v>1088</v>
      </c>
      <c r="C180" s="26">
        <v>15</v>
      </c>
      <c r="D180" s="17" t="s">
        <v>306</v>
      </c>
      <c r="E180" s="367"/>
      <c r="F180" s="367"/>
      <c r="G180" s="367"/>
    </row>
    <row r="181" spans="1:7" ht="13">
      <c r="A181" s="366">
        <v>176</v>
      </c>
      <c r="B181" s="13" t="s">
        <v>1090</v>
      </c>
      <c r="C181" s="26">
        <v>180</v>
      </c>
      <c r="D181" s="17" t="s">
        <v>138</v>
      </c>
      <c r="E181" s="367"/>
      <c r="F181" s="367"/>
      <c r="G181" s="367"/>
    </row>
    <row r="182" spans="1:7" ht="13">
      <c r="A182" s="316">
        <v>177</v>
      </c>
      <c r="B182" s="18" t="s">
        <v>1092</v>
      </c>
      <c r="C182" s="362">
        <v>1</v>
      </c>
      <c r="D182" s="363" t="s">
        <v>306</v>
      </c>
      <c r="E182" s="361"/>
      <c r="F182" s="361"/>
      <c r="G182" s="361" t="s">
        <v>1660</v>
      </c>
    </row>
    <row r="183" spans="1:7" ht="13">
      <c r="A183" s="316">
        <v>178</v>
      </c>
      <c r="B183" s="18" t="s">
        <v>1094</v>
      </c>
      <c r="C183" s="362">
        <v>1</v>
      </c>
      <c r="D183" s="363" t="s">
        <v>306</v>
      </c>
      <c r="E183" s="361"/>
      <c r="F183" s="361"/>
      <c r="G183" s="361" t="s">
        <v>297</v>
      </c>
    </row>
    <row r="184" spans="1:7" ht="13">
      <c r="A184" s="316">
        <v>179</v>
      </c>
      <c r="B184" s="18" t="s">
        <v>1096</v>
      </c>
      <c r="C184" s="362">
        <v>10</v>
      </c>
      <c r="D184" s="363" t="s">
        <v>1098</v>
      </c>
      <c r="E184" s="361"/>
      <c r="F184" s="361"/>
      <c r="G184" s="361" t="s">
        <v>1673</v>
      </c>
    </row>
    <row r="185" spans="1:7" ht="13">
      <c r="A185" s="316">
        <v>180</v>
      </c>
      <c r="B185" s="18" t="s">
        <v>1099</v>
      </c>
      <c r="C185" s="362">
        <v>1000</v>
      </c>
      <c r="D185" s="363" t="s">
        <v>138</v>
      </c>
      <c r="E185" s="361"/>
      <c r="F185" s="361"/>
      <c r="G185" s="361" t="s">
        <v>160</v>
      </c>
    </row>
    <row r="186" spans="1:7" ht="13">
      <c r="A186" s="316">
        <v>181</v>
      </c>
      <c r="B186" s="18" t="s">
        <v>1101</v>
      </c>
      <c r="C186" s="362">
        <v>14</v>
      </c>
      <c r="D186" s="363" t="s">
        <v>306</v>
      </c>
      <c r="E186" s="361"/>
      <c r="F186" s="361"/>
      <c r="G186" s="361" t="s">
        <v>297</v>
      </c>
    </row>
    <row r="187" spans="1:7" ht="13">
      <c r="A187" s="316">
        <v>182</v>
      </c>
      <c r="B187" s="18" t="s">
        <v>1103</v>
      </c>
      <c r="C187" s="362">
        <v>50</v>
      </c>
      <c r="D187" s="363" t="s">
        <v>306</v>
      </c>
      <c r="E187" s="361"/>
      <c r="F187" s="361">
        <v>52000</v>
      </c>
      <c r="G187" s="361"/>
    </row>
    <row r="188" spans="1:7" ht="13">
      <c r="A188" s="316">
        <v>183</v>
      </c>
      <c r="B188" s="18" t="s">
        <v>1692</v>
      </c>
      <c r="C188" s="362">
        <v>1</v>
      </c>
      <c r="D188" s="363" t="s">
        <v>1098</v>
      </c>
      <c r="E188" s="361"/>
      <c r="F188" s="361">
        <v>65000</v>
      </c>
      <c r="G188" s="361"/>
    </row>
    <row r="189" spans="1:7" ht="13">
      <c r="A189" s="132" t="s">
        <v>1283</v>
      </c>
      <c r="B189" s="132" t="s">
        <v>1283</v>
      </c>
      <c r="C189" s="132" t="s">
        <v>1283</v>
      </c>
      <c r="D189" s="132" t="s">
        <v>1283</v>
      </c>
      <c r="E189" s="132" t="s">
        <v>1283</v>
      </c>
      <c r="F189" s="132" t="s">
        <v>1283</v>
      </c>
      <c r="G189" s="132" t="s">
        <v>1283</v>
      </c>
    </row>
  </sheetData>
  <mergeCells count="2">
    <mergeCell ref="A2:E3"/>
    <mergeCell ref="C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M377"/>
  <sheetViews>
    <sheetView workbookViewId="0"/>
  </sheetViews>
  <sheetFormatPr baseColWidth="10" defaultColWidth="12.6640625" defaultRowHeight="15.75" customHeight="1"/>
  <cols>
    <col min="1" max="1" width="21.6640625" customWidth="1"/>
    <col min="2" max="2" width="5.1640625" customWidth="1"/>
    <col min="3" max="3" width="4.6640625" customWidth="1"/>
    <col min="4" max="4" width="4.1640625" customWidth="1"/>
    <col min="6" max="7" width="8.6640625" customWidth="1"/>
    <col min="8" max="8" width="10.6640625" customWidth="1"/>
    <col min="9" max="9" width="7.6640625" customWidth="1"/>
    <col min="10" max="10" width="8.6640625" customWidth="1"/>
    <col min="11" max="11" width="9.33203125" customWidth="1"/>
    <col min="13" max="13" width="25.6640625" customWidth="1"/>
  </cols>
  <sheetData>
    <row r="1" spans="1:13" ht="15.75" customHeight="1">
      <c r="A1" s="303" t="s">
        <v>1693</v>
      </c>
    </row>
    <row r="2" spans="1:13" ht="15.75" customHeight="1">
      <c r="A2" s="303" t="s">
        <v>2</v>
      </c>
    </row>
    <row r="4" spans="1:13" ht="15.75" customHeight="1">
      <c r="F4" s="429">
        <v>44652</v>
      </c>
      <c r="G4" s="428"/>
      <c r="H4" s="424"/>
      <c r="J4" s="429">
        <f>F4+1</f>
        <v>44653</v>
      </c>
      <c r="K4" s="428"/>
      <c r="L4" s="424"/>
    </row>
    <row r="5" spans="1:13" ht="15.75" customHeight="1">
      <c r="F5" s="425" t="s">
        <v>1490</v>
      </c>
      <c r="G5" s="426"/>
      <c r="H5" s="304">
        <f>SUM(H7:H64)</f>
        <v>4473621</v>
      </c>
      <c r="J5" s="425" t="s">
        <v>1491</v>
      </c>
      <c r="K5" s="426"/>
      <c r="L5" s="304" t="e">
        <f>SUM(L7:L64)</f>
        <v>#N/A</v>
      </c>
    </row>
    <row r="6" spans="1:13" ht="15.75" customHeight="1">
      <c r="A6" s="2" t="s">
        <v>4</v>
      </c>
      <c r="B6" s="305" t="s">
        <v>5</v>
      </c>
      <c r="C6" s="305" t="s">
        <v>11</v>
      </c>
      <c r="D6" s="305" t="s">
        <v>12</v>
      </c>
      <c r="E6" s="306" t="s">
        <v>6</v>
      </c>
      <c r="F6" s="307" t="s">
        <v>1494</v>
      </c>
      <c r="G6" s="308" t="s">
        <v>10</v>
      </c>
      <c r="H6" s="309" t="s">
        <v>1495</v>
      </c>
      <c r="I6" s="310" t="s">
        <v>1289</v>
      </c>
      <c r="J6" s="311" t="s">
        <v>1496</v>
      </c>
      <c r="K6" s="312" t="s">
        <v>1497</v>
      </c>
      <c r="L6" s="313" t="s">
        <v>1498</v>
      </c>
      <c r="M6" s="314" t="s">
        <v>16</v>
      </c>
    </row>
    <row r="7" spans="1:13" ht="15.75" customHeight="1">
      <c r="A7" s="316" t="s">
        <v>544</v>
      </c>
      <c r="B7" s="316" t="s">
        <v>1973</v>
      </c>
      <c r="C7" s="316" t="s">
        <v>1973</v>
      </c>
      <c r="D7" s="316" t="s">
        <v>1973</v>
      </c>
      <c r="E7" s="317" t="s">
        <v>1973</v>
      </c>
      <c r="F7" s="318">
        <v>4</v>
      </c>
      <c r="G7" s="354" t="s">
        <v>62</v>
      </c>
      <c r="H7" s="320">
        <v>90400</v>
      </c>
      <c r="I7" s="321" t="b">
        <v>1</v>
      </c>
      <c r="J7" s="322">
        <v>2</v>
      </c>
      <c r="K7" s="323">
        <v>15100</v>
      </c>
      <c r="L7" s="370">
        <f t="shared" ref="L7:L26" si="0">J7*K7</f>
        <v>30200</v>
      </c>
      <c r="M7" s="325" t="s">
        <v>1694</v>
      </c>
    </row>
    <row r="8" spans="1:13" ht="15.75" customHeight="1">
      <c r="A8" s="316" t="s">
        <v>586</v>
      </c>
      <c r="B8" s="316" t="s">
        <v>1973</v>
      </c>
      <c r="C8" s="316" t="s">
        <v>1973</v>
      </c>
      <c r="D8" s="316" t="s">
        <v>1973</v>
      </c>
      <c r="E8" s="317" t="s">
        <v>1973</v>
      </c>
      <c r="F8" s="318">
        <v>4</v>
      </c>
      <c r="G8" s="354" t="s">
        <v>62</v>
      </c>
      <c r="H8" s="320">
        <v>28800</v>
      </c>
      <c r="I8" s="321" t="b">
        <v>1</v>
      </c>
      <c r="J8" s="322">
        <v>2</v>
      </c>
      <c r="K8" s="323" t="e">
        <f>VLOOKUP($A8,'[1]Database Bahan &amp; Alat (Terupdat'!$B$50:$N$232,6,FALSE)</f>
        <v>#N/A</v>
      </c>
      <c r="L8" s="371" t="e">
        <f t="shared" si="0"/>
        <v>#N/A</v>
      </c>
      <c r="M8" s="325"/>
    </row>
    <row r="9" spans="1:13" ht="15.75" customHeight="1">
      <c r="A9" s="316" t="s">
        <v>627</v>
      </c>
      <c r="B9" s="316" t="s">
        <v>1973</v>
      </c>
      <c r="C9" s="316" t="s">
        <v>1973</v>
      </c>
      <c r="D9" s="316" t="s">
        <v>1973</v>
      </c>
      <c r="E9" s="317" t="s">
        <v>1973</v>
      </c>
      <c r="F9" s="318">
        <v>1</v>
      </c>
      <c r="G9" s="354" t="s">
        <v>36</v>
      </c>
      <c r="H9" s="320">
        <v>37900</v>
      </c>
      <c r="I9" s="321" t="b">
        <v>1</v>
      </c>
      <c r="J9" s="322">
        <v>745</v>
      </c>
      <c r="K9" s="323">
        <v>48.4</v>
      </c>
      <c r="L9" s="371">
        <f t="shared" si="0"/>
        <v>36058</v>
      </c>
      <c r="M9" s="325"/>
    </row>
    <row r="10" spans="1:13" ht="15.75" customHeight="1">
      <c r="A10" s="316" t="s">
        <v>1598</v>
      </c>
      <c r="B10" s="316" t="s">
        <v>1973</v>
      </c>
      <c r="C10" s="316" t="s">
        <v>1973</v>
      </c>
      <c r="D10" s="316" t="s">
        <v>1973</v>
      </c>
      <c r="E10" s="317" t="s">
        <v>1973</v>
      </c>
      <c r="F10" s="318">
        <v>2</v>
      </c>
      <c r="G10" s="354" t="s">
        <v>97</v>
      </c>
      <c r="H10" s="320">
        <v>20800</v>
      </c>
      <c r="I10" s="321" t="b">
        <v>1</v>
      </c>
      <c r="J10" s="322">
        <v>1</v>
      </c>
      <c r="K10" s="323">
        <v>17600</v>
      </c>
      <c r="L10" s="370">
        <f t="shared" si="0"/>
        <v>17600</v>
      </c>
      <c r="M10" s="325"/>
    </row>
    <row r="11" spans="1:13" ht="15.75" customHeight="1">
      <c r="A11" s="316" t="s">
        <v>770</v>
      </c>
      <c r="B11" s="316" t="s">
        <v>1973</v>
      </c>
      <c r="C11" s="316" t="s">
        <v>1973</v>
      </c>
      <c r="D11" s="316" t="s">
        <v>1973</v>
      </c>
      <c r="E11" s="317" t="s">
        <v>1973</v>
      </c>
      <c r="F11" s="318">
        <v>1</v>
      </c>
      <c r="G11" s="354" t="s">
        <v>97</v>
      </c>
      <c r="H11" s="320">
        <v>24400</v>
      </c>
      <c r="I11" s="319" t="b">
        <v>0</v>
      </c>
      <c r="J11" s="372"/>
      <c r="K11" s="373" t="s">
        <v>1973</v>
      </c>
      <c r="L11" s="374" t="e">
        <f t="shared" si="0"/>
        <v>#VALUE!</v>
      </c>
      <c r="M11" s="325"/>
    </row>
    <row r="12" spans="1:13" ht="15.75" customHeight="1">
      <c r="A12" s="316" t="s">
        <v>782</v>
      </c>
      <c r="B12" s="316" t="s">
        <v>1973</v>
      </c>
      <c r="C12" s="316" t="s">
        <v>1973</v>
      </c>
      <c r="D12" s="316" t="s">
        <v>1973</v>
      </c>
      <c r="E12" s="317" t="s">
        <v>1973</v>
      </c>
      <c r="F12" s="318">
        <v>2</v>
      </c>
      <c r="G12" s="354" t="s">
        <v>62</v>
      </c>
      <c r="H12" s="320">
        <v>24000</v>
      </c>
      <c r="I12" s="321" t="b">
        <v>1</v>
      </c>
      <c r="J12" s="322">
        <v>1</v>
      </c>
      <c r="K12" s="323" t="s">
        <v>1973</v>
      </c>
      <c r="L12" s="370" t="e">
        <f t="shared" si="0"/>
        <v>#VALUE!</v>
      </c>
      <c r="M12" s="325" t="s">
        <v>1695</v>
      </c>
    </row>
    <row r="13" spans="1:13" ht="15.75" customHeight="1">
      <c r="A13" s="316" t="s">
        <v>919</v>
      </c>
      <c r="B13" s="316" t="s">
        <v>1973</v>
      </c>
      <c r="C13" s="316" t="s">
        <v>1973</v>
      </c>
      <c r="D13" s="316" t="s">
        <v>1973</v>
      </c>
      <c r="E13" s="317" t="s">
        <v>1973</v>
      </c>
      <c r="F13" s="318">
        <v>4</v>
      </c>
      <c r="G13" s="354" t="s">
        <v>62</v>
      </c>
      <c r="H13" s="320">
        <v>35200</v>
      </c>
      <c r="I13" s="321" t="b">
        <v>1</v>
      </c>
      <c r="J13" s="322">
        <v>825</v>
      </c>
      <c r="K13" s="323">
        <v>35.700000000000003</v>
      </c>
      <c r="L13" s="370">
        <f t="shared" si="0"/>
        <v>29452.500000000004</v>
      </c>
      <c r="M13" s="325"/>
    </row>
    <row r="14" spans="1:13" ht="15.75" customHeight="1">
      <c r="A14" s="316" t="s">
        <v>937</v>
      </c>
      <c r="B14" s="316" t="s">
        <v>1973</v>
      </c>
      <c r="C14" s="316" t="s">
        <v>1973</v>
      </c>
      <c r="D14" s="316" t="s">
        <v>1973</v>
      </c>
      <c r="E14" s="317" t="s">
        <v>1973</v>
      </c>
      <c r="F14" s="318">
        <v>2</v>
      </c>
      <c r="G14" s="354" t="s">
        <v>62</v>
      </c>
      <c r="H14" s="320">
        <v>14400</v>
      </c>
      <c r="I14" s="321" t="b">
        <v>1</v>
      </c>
      <c r="J14" s="322">
        <v>2</v>
      </c>
      <c r="K14" s="323" t="s">
        <v>1973</v>
      </c>
      <c r="L14" s="371" t="e">
        <f t="shared" si="0"/>
        <v>#VALUE!</v>
      </c>
      <c r="M14" s="325"/>
    </row>
    <row r="15" spans="1:13" ht="15.75" customHeight="1">
      <c r="A15" s="316" t="s">
        <v>574</v>
      </c>
      <c r="B15" s="316" t="s">
        <v>1973</v>
      </c>
      <c r="C15" s="316" t="s">
        <v>1973</v>
      </c>
      <c r="D15" s="316" t="s">
        <v>1973</v>
      </c>
      <c r="E15" s="317" t="s">
        <v>1973</v>
      </c>
      <c r="F15" s="318">
        <v>2</v>
      </c>
      <c r="G15" s="354" t="s">
        <v>62</v>
      </c>
      <c r="H15" s="320">
        <v>340000</v>
      </c>
      <c r="I15" s="375" t="b">
        <v>0</v>
      </c>
      <c r="J15" s="376"/>
      <c r="K15" s="377" t="s">
        <v>1973</v>
      </c>
      <c r="L15" s="378" t="e">
        <f t="shared" si="0"/>
        <v>#VALUE!</v>
      </c>
      <c r="M15" s="325"/>
    </row>
    <row r="16" spans="1:13" ht="15.75" customHeight="1">
      <c r="A16" s="316" t="s">
        <v>578</v>
      </c>
      <c r="B16" s="316" t="s">
        <v>1973</v>
      </c>
      <c r="C16" s="316" t="s">
        <v>1973</v>
      </c>
      <c r="D16" s="316" t="s">
        <v>1973</v>
      </c>
      <c r="E16" s="317" t="s">
        <v>1973</v>
      </c>
      <c r="F16" s="318">
        <v>2</v>
      </c>
      <c r="G16" s="354" t="s">
        <v>62</v>
      </c>
      <c r="H16" s="320">
        <v>440000</v>
      </c>
      <c r="I16" s="375" t="b">
        <v>0</v>
      </c>
      <c r="J16" s="376"/>
      <c r="K16" s="377" t="s">
        <v>1973</v>
      </c>
      <c r="L16" s="378" t="e">
        <f t="shared" si="0"/>
        <v>#VALUE!</v>
      </c>
      <c r="M16" s="325"/>
    </row>
    <row r="17" spans="1:13" ht="15.75" customHeight="1">
      <c r="A17" s="316" t="s">
        <v>1503</v>
      </c>
      <c r="B17" s="316" t="s">
        <v>1973</v>
      </c>
      <c r="C17" s="316" t="s">
        <v>1973</v>
      </c>
      <c r="D17" s="316" t="s">
        <v>1973</v>
      </c>
      <c r="E17" s="317" t="s">
        <v>1973</v>
      </c>
      <c r="F17" s="318">
        <v>2</v>
      </c>
      <c r="G17" s="354" t="s">
        <v>97</v>
      </c>
      <c r="H17" s="320">
        <v>268400</v>
      </c>
      <c r="I17" s="321" t="b">
        <v>0</v>
      </c>
      <c r="J17" s="322"/>
      <c r="K17" s="323" t="s">
        <v>1973</v>
      </c>
      <c r="L17" s="324" t="e">
        <f t="shared" si="0"/>
        <v>#VALUE!</v>
      </c>
      <c r="M17" s="325"/>
    </row>
    <row r="18" spans="1:13" ht="15.75" customHeight="1">
      <c r="A18" s="316" t="s">
        <v>1505</v>
      </c>
      <c r="B18" s="316" t="s">
        <v>1973</v>
      </c>
      <c r="C18" s="316" t="s">
        <v>1973</v>
      </c>
      <c r="D18" s="316" t="s">
        <v>1973</v>
      </c>
      <c r="E18" s="317" t="s">
        <v>1973</v>
      </c>
      <c r="F18" s="318">
        <v>2</v>
      </c>
      <c r="G18" s="354" t="s">
        <v>97</v>
      </c>
      <c r="H18" s="320">
        <v>257400</v>
      </c>
      <c r="I18" s="375" t="b">
        <v>0</v>
      </c>
      <c r="J18" s="376"/>
      <c r="K18" s="377" t="s">
        <v>1973</v>
      </c>
      <c r="L18" s="378" t="e">
        <f t="shared" si="0"/>
        <v>#VALUE!</v>
      </c>
      <c r="M18" s="325"/>
    </row>
    <row r="19" spans="1:13" ht="15.75" customHeight="1">
      <c r="A19" s="316" t="s">
        <v>976</v>
      </c>
      <c r="B19" s="316" t="s">
        <v>1973</v>
      </c>
      <c r="C19" s="316" t="s">
        <v>1973</v>
      </c>
      <c r="D19" s="316" t="s">
        <v>1973</v>
      </c>
      <c r="E19" s="317" t="s">
        <v>1973</v>
      </c>
      <c r="F19" s="318">
        <v>2</v>
      </c>
      <c r="G19" s="354" t="s">
        <v>62</v>
      </c>
      <c r="H19" s="320">
        <v>50000</v>
      </c>
      <c r="I19" s="321" t="b">
        <v>1</v>
      </c>
      <c r="J19" s="322">
        <v>2</v>
      </c>
      <c r="K19" s="323" t="s">
        <v>1973</v>
      </c>
      <c r="L19" s="371" t="e">
        <f t="shared" si="0"/>
        <v>#VALUE!</v>
      </c>
      <c r="M19" s="325"/>
    </row>
    <row r="20" spans="1:13" ht="15.75" customHeight="1">
      <c r="A20" s="316" t="s">
        <v>1696</v>
      </c>
      <c r="B20" s="316" t="s">
        <v>1973</v>
      </c>
      <c r="C20" s="316" t="s">
        <v>1973</v>
      </c>
      <c r="D20" s="316" t="s">
        <v>1973</v>
      </c>
      <c r="E20" s="317" t="s">
        <v>1973</v>
      </c>
      <c r="F20" s="318">
        <v>1</v>
      </c>
      <c r="G20" s="354" t="s">
        <v>62</v>
      </c>
      <c r="H20" s="320">
        <v>15000</v>
      </c>
      <c r="I20" s="321" t="b">
        <v>1</v>
      </c>
      <c r="J20" s="322">
        <v>1</v>
      </c>
      <c r="K20" s="323" t="s">
        <v>1973</v>
      </c>
      <c r="L20" s="371" t="e">
        <f t="shared" si="0"/>
        <v>#VALUE!</v>
      </c>
      <c r="M20" s="325"/>
    </row>
    <row r="21" spans="1:13" ht="15.75" customHeight="1">
      <c r="A21" s="316" t="s">
        <v>1697</v>
      </c>
      <c r="B21" s="316" t="s">
        <v>1973</v>
      </c>
      <c r="C21" s="316" t="s">
        <v>1973</v>
      </c>
      <c r="D21" s="316" t="s">
        <v>1973</v>
      </c>
      <c r="E21" s="317" t="s">
        <v>1973</v>
      </c>
      <c r="F21" s="318">
        <v>1</v>
      </c>
      <c r="G21" s="354" t="s">
        <v>62</v>
      </c>
      <c r="H21" s="320">
        <v>12500</v>
      </c>
      <c r="I21" s="321" t="b">
        <v>1</v>
      </c>
      <c r="J21" s="322">
        <v>1</v>
      </c>
      <c r="K21" s="323" t="s">
        <v>1973</v>
      </c>
      <c r="L21" s="371" t="e">
        <f t="shared" si="0"/>
        <v>#VALUE!</v>
      </c>
      <c r="M21" s="325"/>
    </row>
    <row r="22" spans="1:13" ht="15.75" customHeight="1">
      <c r="A22" s="316" t="s">
        <v>631</v>
      </c>
      <c r="B22" s="316" t="s">
        <v>1973</v>
      </c>
      <c r="C22" s="316" t="s">
        <v>1973</v>
      </c>
      <c r="D22" s="316" t="s">
        <v>1973</v>
      </c>
      <c r="E22" s="317" t="s">
        <v>1973</v>
      </c>
      <c r="F22" s="318">
        <v>1</v>
      </c>
      <c r="G22" s="354" t="s">
        <v>36</v>
      </c>
      <c r="H22" s="320">
        <v>16000</v>
      </c>
      <c r="I22" s="321" t="b">
        <v>1</v>
      </c>
      <c r="J22" s="322">
        <v>1</v>
      </c>
      <c r="K22" s="323">
        <v>18000</v>
      </c>
      <c r="L22" s="379">
        <f t="shared" si="0"/>
        <v>18000</v>
      </c>
      <c r="M22" s="325"/>
    </row>
    <row r="23" spans="1:13" ht="15.75" customHeight="1">
      <c r="A23" s="316" t="s">
        <v>1610</v>
      </c>
      <c r="B23" s="316" t="s">
        <v>1973</v>
      </c>
      <c r="C23" s="316" t="s">
        <v>1973</v>
      </c>
      <c r="D23" s="316" t="s">
        <v>1973</v>
      </c>
      <c r="E23" s="317" t="s">
        <v>1973</v>
      </c>
      <c r="F23" s="318">
        <v>2</v>
      </c>
      <c r="G23" s="354" t="s">
        <v>36</v>
      </c>
      <c r="H23" s="320">
        <v>20000</v>
      </c>
      <c r="I23" s="321" t="b">
        <v>1</v>
      </c>
      <c r="J23" s="322">
        <v>2</v>
      </c>
      <c r="K23" s="323" t="e">
        <f>VLOOKUP($A23,'[1]Database Bahan &amp; Alat (Terupdat'!$B$50:$N$232,6,FALSE)</f>
        <v>#N/A</v>
      </c>
      <c r="L23" s="371" t="e">
        <f t="shared" si="0"/>
        <v>#N/A</v>
      </c>
      <c r="M23" s="325"/>
    </row>
    <row r="24" spans="1:13" ht="15.75" customHeight="1">
      <c r="A24" s="316" t="s">
        <v>1611</v>
      </c>
      <c r="B24" s="316" t="s">
        <v>1973</v>
      </c>
      <c r="C24" s="316" t="s">
        <v>1973</v>
      </c>
      <c r="D24" s="316" t="s">
        <v>1973</v>
      </c>
      <c r="E24" s="317" t="s">
        <v>1973</v>
      </c>
      <c r="F24" s="318">
        <v>3</v>
      </c>
      <c r="G24" s="354" t="s">
        <v>36</v>
      </c>
      <c r="H24" s="320">
        <v>150000</v>
      </c>
      <c r="I24" s="321" t="b">
        <v>1</v>
      </c>
      <c r="J24" s="322">
        <v>3</v>
      </c>
      <c r="K24" s="323">
        <v>52000</v>
      </c>
      <c r="L24" s="379">
        <f t="shared" si="0"/>
        <v>156000</v>
      </c>
      <c r="M24" s="325"/>
    </row>
    <row r="25" spans="1:13" ht="15.75" customHeight="1">
      <c r="A25" s="316" t="s">
        <v>1698</v>
      </c>
      <c r="B25" s="316" t="s">
        <v>1973</v>
      </c>
      <c r="C25" s="316" t="s">
        <v>1973</v>
      </c>
      <c r="D25" s="316" t="s">
        <v>1973</v>
      </c>
      <c r="E25" s="317" t="s">
        <v>1973</v>
      </c>
      <c r="F25" s="318">
        <v>3</v>
      </c>
      <c r="G25" s="354" t="s">
        <v>36</v>
      </c>
      <c r="H25" s="320">
        <v>111000</v>
      </c>
      <c r="I25" s="321" t="b">
        <v>1</v>
      </c>
      <c r="J25" s="322">
        <v>3</v>
      </c>
      <c r="K25" s="323">
        <v>38000</v>
      </c>
      <c r="L25" s="379">
        <f t="shared" si="0"/>
        <v>114000</v>
      </c>
      <c r="M25" s="325"/>
    </row>
    <row r="26" spans="1:13" ht="15.75" customHeight="1">
      <c r="A26" s="316" t="s">
        <v>1699</v>
      </c>
      <c r="B26" s="316" t="s">
        <v>1973</v>
      </c>
      <c r="C26" s="316" t="s">
        <v>1973</v>
      </c>
      <c r="D26" s="316" t="s">
        <v>1973</v>
      </c>
      <c r="E26" s="317" t="s">
        <v>1973</v>
      </c>
      <c r="F26" s="318">
        <v>0.5</v>
      </c>
      <c r="G26" s="354" t="s">
        <v>36</v>
      </c>
      <c r="H26" s="320">
        <v>34000</v>
      </c>
      <c r="I26" s="321" t="b">
        <v>1</v>
      </c>
      <c r="J26" s="322">
        <v>0.5</v>
      </c>
      <c r="K26" s="323">
        <v>70000</v>
      </c>
      <c r="L26" s="379">
        <f t="shared" si="0"/>
        <v>35000</v>
      </c>
      <c r="M26" s="325"/>
    </row>
    <row r="27" spans="1:13" ht="15.75" customHeight="1">
      <c r="A27" s="316" t="s">
        <v>724</v>
      </c>
      <c r="B27" s="316" t="s">
        <v>1973</v>
      </c>
      <c r="C27" s="316" t="s">
        <v>1973</v>
      </c>
      <c r="D27" s="316" t="s">
        <v>1973</v>
      </c>
      <c r="E27" s="317" t="s">
        <v>1973</v>
      </c>
      <c r="F27" s="318">
        <v>0.25</v>
      </c>
      <c r="G27" s="354" t="s">
        <v>36</v>
      </c>
      <c r="H27" s="320">
        <v>5000</v>
      </c>
      <c r="I27" s="321" t="b">
        <v>1</v>
      </c>
      <c r="J27" s="322">
        <v>0.25</v>
      </c>
      <c r="K27" s="323" t="e">
        <f>VLOOKUP($A27,'[1]Database Bahan &amp; Alat (Terupdat'!$B$50:$N$232,6,FALSE)</f>
        <v>#N/A</v>
      </c>
      <c r="L27" s="379">
        <v>6250</v>
      </c>
      <c r="M27" s="325"/>
    </row>
    <row r="28" spans="1:13" ht="15.75" customHeight="1">
      <c r="A28" s="316" t="s">
        <v>732</v>
      </c>
      <c r="B28" s="316" t="s">
        <v>1973</v>
      </c>
      <c r="C28" s="316" t="s">
        <v>1973</v>
      </c>
      <c r="D28" s="316" t="s">
        <v>1973</v>
      </c>
      <c r="E28" s="317" t="s">
        <v>1973</v>
      </c>
      <c r="F28" s="318">
        <v>1</v>
      </c>
      <c r="G28" s="354" t="s">
        <v>36</v>
      </c>
      <c r="H28" s="320">
        <v>26000</v>
      </c>
      <c r="I28" s="321" t="b">
        <v>1</v>
      </c>
      <c r="J28" s="322">
        <v>1</v>
      </c>
      <c r="K28" s="323">
        <v>28000</v>
      </c>
      <c r="L28" s="379">
        <f t="shared" ref="L28:L40" si="1">J28*K28</f>
        <v>28000</v>
      </c>
      <c r="M28" s="325"/>
    </row>
    <row r="29" spans="1:13" ht="15.75" customHeight="1">
      <c r="A29" s="316" t="s">
        <v>744</v>
      </c>
      <c r="B29" s="316" t="s">
        <v>1973</v>
      </c>
      <c r="C29" s="316" t="s">
        <v>1973</v>
      </c>
      <c r="D29" s="316" t="s">
        <v>1973</v>
      </c>
      <c r="E29" s="317" t="s">
        <v>1973</v>
      </c>
      <c r="F29" s="318">
        <v>0.5</v>
      </c>
      <c r="G29" s="354" t="s">
        <v>36</v>
      </c>
      <c r="H29" s="320">
        <v>35000</v>
      </c>
      <c r="I29" s="321" t="b">
        <v>1</v>
      </c>
      <c r="J29" s="322">
        <v>0.5</v>
      </c>
      <c r="K29" s="323" t="s">
        <v>1973</v>
      </c>
      <c r="L29" s="371" t="e">
        <f t="shared" si="1"/>
        <v>#VALUE!</v>
      </c>
      <c r="M29" s="325"/>
    </row>
    <row r="30" spans="1:13" ht="15.75" customHeight="1">
      <c r="A30" s="316" t="s">
        <v>752</v>
      </c>
      <c r="B30" s="316" t="s">
        <v>1973</v>
      </c>
      <c r="C30" s="316" t="s">
        <v>1973</v>
      </c>
      <c r="D30" s="316" t="s">
        <v>1973</v>
      </c>
      <c r="E30" s="317" t="s">
        <v>1973</v>
      </c>
      <c r="F30" s="318">
        <v>1</v>
      </c>
      <c r="G30" s="354" t="s">
        <v>62</v>
      </c>
      <c r="H30" s="320">
        <v>36000</v>
      </c>
      <c r="I30" s="321" t="b">
        <v>1</v>
      </c>
      <c r="J30" s="322">
        <v>1</v>
      </c>
      <c r="K30" s="323" t="s">
        <v>1973</v>
      </c>
      <c r="L30" s="371" t="e">
        <f t="shared" si="1"/>
        <v>#VALUE!</v>
      </c>
      <c r="M30" s="325"/>
    </row>
    <row r="31" spans="1:13" ht="15.75" customHeight="1">
      <c r="A31" s="316" t="s">
        <v>767</v>
      </c>
      <c r="B31" s="316" t="s">
        <v>1973</v>
      </c>
      <c r="C31" s="316" t="s">
        <v>1973</v>
      </c>
      <c r="D31" s="316" t="s">
        <v>1973</v>
      </c>
      <c r="E31" s="317" t="s">
        <v>1973</v>
      </c>
      <c r="F31" s="318">
        <v>4</v>
      </c>
      <c r="G31" s="354" t="s">
        <v>62</v>
      </c>
      <c r="H31" s="320">
        <v>80000</v>
      </c>
      <c r="I31" s="321" t="b">
        <v>1</v>
      </c>
      <c r="J31" s="322">
        <v>4</v>
      </c>
      <c r="K31" s="323">
        <v>21000</v>
      </c>
      <c r="L31" s="379">
        <f t="shared" si="1"/>
        <v>84000</v>
      </c>
      <c r="M31" s="325"/>
    </row>
    <row r="32" spans="1:13" ht="15.75" customHeight="1">
      <c r="A32" s="316" t="s">
        <v>1700</v>
      </c>
      <c r="B32" s="316" t="s">
        <v>1973</v>
      </c>
      <c r="C32" s="316" t="s">
        <v>1973</v>
      </c>
      <c r="D32" s="316" t="s">
        <v>1973</v>
      </c>
      <c r="E32" s="317" t="s">
        <v>1973</v>
      </c>
      <c r="F32" s="318">
        <v>4</v>
      </c>
      <c r="G32" s="354" t="s">
        <v>62</v>
      </c>
      <c r="H32" s="320">
        <v>60000</v>
      </c>
      <c r="I32" s="321" t="b">
        <v>1</v>
      </c>
      <c r="J32" s="322">
        <v>4</v>
      </c>
      <c r="K32" s="323">
        <v>17000</v>
      </c>
      <c r="L32" s="379">
        <f t="shared" si="1"/>
        <v>68000</v>
      </c>
      <c r="M32" s="325"/>
    </row>
    <row r="33" spans="1:13" ht="15.75" customHeight="1">
      <c r="A33" s="316" t="s">
        <v>1601</v>
      </c>
      <c r="B33" s="316" t="s">
        <v>1973</v>
      </c>
      <c r="C33" s="316" t="s">
        <v>1973</v>
      </c>
      <c r="D33" s="316" t="s">
        <v>1973</v>
      </c>
      <c r="E33" s="317" t="s">
        <v>1973</v>
      </c>
      <c r="F33" s="318">
        <v>2</v>
      </c>
      <c r="G33" s="354" t="s">
        <v>97</v>
      </c>
      <c r="H33" s="320">
        <v>42000</v>
      </c>
      <c r="I33" s="321" t="b">
        <v>1</v>
      </c>
      <c r="J33" s="322">
        <v>2</v>
      </c>
      <c r="K33" s="323" t="s">
        <v>1973</v>
      </c>
      <c r="L33" s="371" t="e">
        <f t="shared" si="1"/>
        <v>#VALUE!</v>
      </c>
      <c r="M33" s="325"/>
    </row>
    <row r="34" spans="1:13" ht="15.75" customHeight="1">
      <c r="A34" s="316" t="s">
        <v>795</v>
      </c>
      <c r="B34" s="316" t="s">
        <v>1973</v>
      </c>
      <c r="C34" s="316" t="s">
        <v>1973</v>
      </c>
      <c r="D34" s="316" t="s">
        <v>1973</v>
      </c>
      <c r="E34" s="317" t="s">
        <v>1973</v>
      </c>
      <c r="F34" s="318">
        <v>6</v>
      </c>
      <c r="G34" s="354" t="s">
        <v>62</v>
      </c>
      <c r="H34" s="320">
        <v>30000</v>
      </c>
      <c r="I34" s="321" t="b">
        <v>1</v>
      </c>
      <c r="J34" s="322">
        <v>6</v>
      </c>
      <c r="K34" s="323" t="s">
        <v>1973</v>
      </c>
      <c r="L34" s="371" t="e">
        <f t="shared" si="1"/>
        <v>#VALUE!</v>
      </c>
      <c r="M34" s="325"/>
    </row>
    <row r="35" spans="1:13" ht="15.75" customHeight="1">
      <c r="A35" s="316" t="s">
        <v>1701</v>
      </c>
      <c r="B35" s="316" t="s">
        <v>1973</v>
      </c>
      <c r="C35" s="316" t="s">
        <v>1973</v>
      </c>
      <c r="D35" s="316" t="s">
        <v>1973</v>
      </c>
      <c r="E35" s="317" t="s">
        <v>1973</v>
      </c>
      <c r="F35" s="318">
        <v>1</v>
      </c>
      <c r="G35" s="354" t="s">
        <v>36</v>
      </c>
      <c r="H35" s="320">
        <v>18000</v>
      </c>
      <c r="I35" s="321" t="b">
        <v>1</v>
      </c>
      <c r="J35" s="322">
        <v>1</v>
      </c>
      <c r="K35" s="323" t="s">
        <v>1973</v>
      </c>
      <c r="L35" s="371" t="e">
        <f t="shared" si="1"/>
        <v>#VALUE!</v>
      </c>
      <c r="M35" s="325"/>
    </row>
    <row r="36" spans="1:13" ht="15.75" customHeight="1">
      <c r="A36" s="316" t="s">
        <v>879</v>
      </c>
      <c r="B36" s="316" t="s">
        <v>1973</v>
      </c>
      <c r="C36" s="316" t="s">
        <v>1973</v>
      </c>
      <c r="D36" s="316" t="s">
        <v>1973</v>
      </c>
      <c r="E36" s="317" t="s">
        <v>1973</v>
      </c>
      <c r="F36" s="318">
        <v>1</v>
      </c>
      <c r="G36" s="354" t="s">
        <v>62</v>
      </c>
      <c r="H36" s="320">
        <v>36000</v>
      </c>
      <c r="I36" s="321" t="b">
        <v>1</v>
      </c>
      <c r="J36" s="322">
        <v>1</v>
      </c>
      <c r="K36" s="323" t="s">
        <v>1973</v>
      </c>
      <c r="L36" s="371" t="e">
        <f t="shared" si="1"/>
        <v>#VALUE!</v>
      </c>
      <c r="M36" s="325"/>
    </row>
    <row r="37" spans="1:13" ht="15.75" customHeight="1">
      <c r="A37" s="316" t="s">
        <v>1702</v>
      </c>
      <c r="B37" s="316" t="s">
        <v>1973</v>
      </c>
      <c r="C37" s="316" t="s">
        <v>1973</v>
      </c>
      <c r="D37" s="316" t="s">
        <v>1973</v>
      </c>
      <c r="E37" s="317" t="s">
        <v>1973</v>
      </c>
      <c r="F37" s="318">
        <v>0.5</v>
      </c>
      <c r="G37" s="354" t="s">
        <v>36</v>
      </c>
      <c r="H37" s="320">
        <v>60000</v>
      </c>
      <c r="I37" s="321" t="b">
        <v>1</v>
      </c>
      <c r="J37" s="322">
        <v>0.5</v>
      </c>
      <c r="K37" s="323">
        <v>150000</v>
      </c>
      <c r="L37" s="379">
        <f t="shared" si="1"/>
        <v>75000</v>
      </c>
      <c r="M37" s="325"/>
    </row>
    <row r="38" spans="1:13" ht="15.75" customHeight="1">
      <c r="A38" s="316" t="s">
        <v>1608</v>
      </c>
      <c r="B38" s="316" t="s">
        <v>1973</v>
      </c>
      <c r="C38" s="316" t="s">
        <v>1973</v>
      </c>
      <c r="D38" s="316" t="s">
        <v>1973</v>
      </c>
      <c r="E38" s="317" t="s">
        <v>1973</v>
      </c>
      <c r="F38" s="318">
        <v>0.8</v>
      </c>
      <c r="G38" s="354" t="s">
        <v>36</v>
      </c>
      <c r="H38" s="320">
        <v>55200</v>
      </c>
      <c r="I38" s="321" t="b">
        <v>1</v>
      </c>
      <c r="J38" s="322">
        <v>1</v>
      </c>
      <c r="K38" s="323">
        <v>56000</v>
      </c>
      <c r="L38" s="371">
        <f t="shared" si="1"/>
        <v>56000</v>
      </c>
      <c r="M38" s="325"/>
    </row>
    <row r="39" spans="1:13" ht="15.75" customHeight="1">
      <c r="A39" s="316" t="s">
        <v>931</v>
      </c>
      <c r="B39" s="316" t="s">
        <v>1973</v>
      </c>
      <c r="C39" s="316" t="s">
        <v>1973</v>
      </c>
      <c r="D39" s="316" t="s">
        <v>1973</v>
      </c>
      <c r="E39" s="317" t="s">
        <v>1973</v>
      </c>
      <c r="F39" s="318">
        <v>0.5</v>
      </c>
      <c r="G39" s="354" t="s">
        <v>36</v>
      </c>
      <c r="H39" s="320">
        <v>10000</v>
      </c>
      <c r="I39" s="321" t="b">
        <v>1</v>
      </c>
      <c r="J39" s="322">
        <v>0.5</v>
      </c>
      <c r="K39" s="323" t="e">
        <f>VLOOKUP($A39,'[1]Database Bahan &amp; Alat (Terupdat'!$B$50:$N$232,6,FALSE)</f>
        <v>#N/A</v>
      </c>
      <c r="L39" s="371" t="e">
        <f t="shared" si="1"/>
        <v>#N/A</v>
      </c>
      <c r="M39" s="325"/>
    </row>
    <row r="40" spans="1:13" ht="15.75" customHeight="1">
      <c r="A40" s="316" t="s">
        <v>989</v>
      </c>
      <c r="B40" s="316" t="s">
        <v>1973</v>
      </c>
      <c r="C40" s="316" t="s">
        <v>1973</v>
      </c>
      <c r="D40" s="316" t="s">
        <v>1973</v>
      </c>
      <c r="E40" s="317" t="s">
        <v>1973</v>
      </c>
      <c r="F40" s="318">
        <v>1</v>
      </c>
      <c r="G40" s="354" t="s">
        <v>62</v>
      </c>
      <c r="H40" s="320">
        <v>17000</v>
      </c>
      <c r="I40" s="321" t="b">
        <v>1</v>
      </c>
      <c r="J40" s="322">
        <v>1</v>
      </c>
      <c r="K40" s="323">
        <v>18000</v>
      </c>
      <c r="L40" s="379">
        <f t="shared" si="1"/>
        <v>18000</v>
      </c>
      <c r="M40" s="325"/>
    </row>
    <row r="41" spans="1:13" ht="15.75" customHeight="1">
      <c r="A41" s="316" t="s">
        <v>1677</v>
      </c>
      <c r="B41" s="316" t="s">
        <v>1973</v>
      </c>
      <c r="C41" s="316" t="s">
        <v>1973</v>
      </c>
      <c r="D41" s="316" t="s">
        <v>1973</v>
      </c>
      <c r="E41" s="317" t="s">
        <v>1973</v>
      </c>
      <c r="F41" s="318">
        <v>0.3</v>
      </c>
      <c r="G41" s="354" t="s">
        <v>36</v>
      </c>
      <c r="H41" s="320">
        <v>18000</v>
      </c>
      <c r="I41" s="321" t="b">
        <v>1</v>
      </c>
      <c r="J41" s="322">
        <v>0.3</v>
      </c>
      <c r="K41" s="323" t="e">
        <f>VLOOKUP($A41,'[1]Database Bahan &amp; Alat (Terupdat'!$B$50:$N$232,6,FALSE)</f>
        <v>#N/A</v>
      </c>
      <c r="L41" s="379">
        <v>24000</v>
      </c>
      <c r="M41" s="325"/>
    </row>
    <row r="42" spans="1:13" ht="15.75" customHeight="1">
      <c r="A42" s="316" t="s">
        <v>1020</v>
      </c>
      <c r="B42" s="316" t="s">
        <v>1973</v>
      </c>
      <c r="C42" s="316" t="s">
        <v>1973</v>
      </c>
      <c r="D42" s="316" t="s">
        <v>1973</v>
      </c>
      <c r="E42" s="317" t="s">
        <v>1973</v>
      </c>
      <c r="F42" s="318">
        <v>1</v>
      </c>
      <c r="G42" s="354" t="s">
        <v>36</v>
      </c>
      <c r="H42" s="320">
        <v>12000</v>
      </c>
      <c r="I42" s="321" t="b">
        <v>1</v>
      </c>
      <c r="J42" s="322">
        <v>1</v>
      </c>
      <c r="K42" s="323">
        <v>10000</v>
      </c>
      <c r="L42" s="380">
        <f t="shared" ref="L42:L64" si="2">J42*K42</f>
        <v>10000</v>
      </c>
      <c r="M42" s="325"/>
    </row>
    <row r="43" spans="1:13" ht="15.75" customHeight="1">
      <c r="A43" s="316" t="s">
        <v>1600</v>
      </c>
      <c r="B43" s="316" t="s">
        <v>1973</v>
      </c>
      <c r="C43" s="316" t="s">
        <v>1973</v>
      </c>
      <c r="D43" s="316" t="s">
        <v>1973</v>
      </c>
      <c r="E43" s="317" t="s">
        <v>1973</v>
      </c>
      <c r="F43" s="318">
        <v>1</v>
      </c>
      <c r="G43" s="354" t="s">
        <v>36</v>
      </c>
      <c r="H43" s="320">
        <v>10000</v>
      </c>
      <c r="I43" s="321" t="b">
        <v>1</v>
      </c>
      <c r="J43" s="322">
        <v>1</v>
      </c>
      <c r="K43" s="323" t="s">
        <v>1973</v>
      </c>
      <c r="L43" s="371" t="e">
        <f t="shared" si="2"/>
        <v>#VALUE!</v>
      </c>
      <c r="M43" s="325"/>
    </row>
    <row r="44" spans="1:13" ht="15.75" customHeight="1">
      <c r="A44" s="316" t="s">
        <v>562</v>
      </c>
      <c r="B44" s="316" t="s">
        <v>1973</v>
      </c>
      <c r="C44" s="316" t="s">
        <v>1973</v>
      </c>
      <c r="D44" s="316" t="s">
        <v>1973</v>
      </c>
      <c r="E44" s="317" t="s">
        <v>1973</v>
      </c>
      <c r="F44" s="318">
        <v>1</v>
      </c>
      <c r="G44" s="354" t="s">
        <v>97</v>
      </c>
      <c r="H44" s="320">
        <v>195000</v>
      </c>
      <c r="I44" s="321" t="b">
        <v>0</v>
      </c>
      <c r="J44" s="322"/>
      <c r="K44" s="323" t="s">
        <v>1973</v>
      </c>
      <c r="L44" s="324" t="e">
        <f t="shared" si="2"/>
        <v>#VALUE!</v>
      </c>
      <c r="M44" s="325"/>
    </row>
    <row r="45" spans="1:13" ht="15.75" customHeight="1">
      <c r="A45" s="316" t="s">
        <v>566</v>
      </c>
      <c r="B45" s="316" t="s">
        <v>1973</v>
      </c>
      <c r="C45" s="316" t="s">
        <v>1973</v>
      </c>
      <c r="D45" s="316" t="s">
        <v>1973</v>
      </c>
      <c r="E45" s="317" t="s">
        <v>1973</v>
      </c>
      <c r="F45" s="318">
        <v>1</v>
      </c>
      <c r="G45" s="354" t="s">
        <v>62</v>
      </c>
      <c r="H45" s="320">
        <v>200000</v>
      </c>
      <c r="I45" s="321" t="b">
        <v>0</v>
      </c>
      <c r="J45" s="322"/>
      <c r="K45" s="323" t="s">
        <v>1973</v>
      </c>
      <c r="L45" s="324" t="e">
        <f t="shared" si="2"/>
        <v>#VALUE!</v>
      </c>
      <c r="M45" s="325"/>
    </row>
    <row r="46" spans="1:13" ht="15.75" customHeight="1">
      <c r="A46" s="316" t="s">
        <v>570</v>
      </c>
      <c r="B46" s="316" t="s">
        <v>1973</v>
      </c>
      <c r="C46" s="316" t="s">
        <v>1973</v>
      </c>
      <c r="D46" s="316" t="s">
        <v>1973</v>
      </c>
      <c r="E46" s="317" t="s">
        <v>1973</v>
      </c>
      <c r="F46" s="318">
        <v>1</v>
      </c>
      <c r="G46" s="354" t="s">
        <v>62</v>
      </c>
      <c r="H46" s="320">
        <v>200000</v>
      </c>
      <c r="I46" s="321" t="b">
        <v>0</v>
      </c>
      <c r="J46" s="322"/>
      <c r="K46" s="323" t="s">
        <v>1973</v>
      </c>
      <c r="L46" s="324" t="e">
        <f t="shared" si="2"/>
        <v>#VALUE!</v>
      </c>
      <c r="M46" s="325"/>
    </row>
    <row r="47" spans="1:13" ht="15.75" customHeight="1">
      <c r="A47" s="316" t="s">
        <v>1541</v>
      </c>
      <c r="B47" s="316" t="s">
        <v>1973</v>
      </c>
      <c r="C47" s="316" t="s">
        <v>1973</v>
      </c>
      <c r="D47" s="316" t="s">
        <v>1973</v>
      </c>
      <c r="E47" s="317" t="s">
        <v>1973</v>
      </c>
      <c r="F47" s="318">
        <v>1</v>
      </c>
      <c r="G47" s="354" t="s">
        <v>97</v>
      </c>
      <c r="H47" s="320">
        <v>195000</v>
      </c>
      <c r="I47" s="321" t="b">
        <v>0</v>
      </c>
      <c r="J47" s="322"/>
      <c r="K47" s="323" t="s">
        <v>1973</v>
      </c>
      <c r="L47" s="324" t="e">
        <f t="shared" si="2"/>
        <v>#VALUE!</v>
      </c>
      <c r="M47" s="325"/>
    </row>
    <row r="48" spans="1:13" ht="15.75" customHeight="1">
      <c r="A48" s="316" t="s">
        <v>1703</v>
      </c>
      <c r="B48" s="316" t="s">
        <v>1973</v>
      </c>
      <c r="C48" s="316" t="s">
        <v>1973</v>
      </c>
      <c r="D48" s="316" t="s">
        <v>1973</v>
      </c>
      <c r="E48" s="317" t="s">
        <v>1973</v>
      </c>
      <c r="F48" s="318">
        <v>3</v>
      </c>
      <c r="G48" s="354" t="s">
        <v>62</v>
      </c>
      <c r="H48" s="320">
        <v>67221</v>
      </c>
      <c r="I48" s="321" t="b">
        <v>1</v>
      </c>
      <c r="J48" s="322">
        <v>3</v>
      </c>
      <c r="K48" s="323">
        <v>22000</v>
      </c>
      <c r="L48" s="371">
        <f t="shared" si="2"/>
        <v>66000</v>
      </c>
      <c r="M48" s="325"/>
    </row>
    <row r="49" spans="1:13" ht="15.75" customHeight="1">
      <c r="A49" s="316" t="s">
        <v>949</v>
      </c>
      <c r="B49" s="316" t="s">
        <v>1973</v>
      </c>
      <c r="C49" s="316" t="s">
        <v>1973</v>
      </c>
      <c r="D49" s="316" t="s">
        <v>1973</v>
      </c>
      <c r="E49" s="317" t="s">
        <v>1973</v>
      </c>
      <c r="F49" s="318">
        <v>1</v>
      </c>
      <c r="G49" s="354" t="s">
        <v>97</v>
      </c>
      <c r="H49" s="320">
        <v>23200</v>
      </c>
      <c r="I49" s="321" t="b">
        <v>1</v>
      </c>
      <c r="J49" s="322">
        <v>1</v>
      </c>
      <c r="K49" s="323" t="e">
        <f>VLOOKUP($A49,'[1]Database Bahan &amp; Alat (Terupdat'!$B$50:$N$232,6,FALSE)</f>
        <v>#N/A</v>
      </c>
      <c r="L49" s="371" t="e">
        <f t="shared" si="2"/>
        <v>#N/A</v>
      </c>
      <c r="M49" s="325"/>
    </row>
    <row r="50" spans="1:13" ht="15.75" customHeight="1">
      <c r="A50" s="316" t="s">
        <v>952</v>
      </c>
      <c r="B50" s="316" t="s">
        <v>1973</v>
      </c>
      <c r="C50" s="316" t="s">
        <v>1973</v>
      </c>
      <c r="D50" s="316" t="s">
        <v>1973</v>
      </c>
      <c r="E50" s="317" t="s">
        <v>1973</v>
      </c>
      <c r="F50" s="318">
        <v>1</v>
      </c>
      <c r="G50" s="354" t="s">
        <v>97</v>
      </c>
      <c r="H50" s="320">
        <v>27300</v>
      </c>
      <c r="I50" s="321" t="b">
        <v>1</v>
      </c>
      <c r="J50" s="322">
        <v>1</v>
      </c>
      <c r="K50" s="323">
        <v>23200</v>
      </c>
      <c r="L50" s="371">
        <f t="shared" si="2"/>
        <v>23200</v>
      </c>
      <c r="M50" s="325"/>
    </row>
    <row r="51" spans="1:13" ht="13">
      <c r="A51" s="316" t="s">
        <v>779</v>
      </c>
      <c r="B51" s="316" t="s">
        <v>1973</v>
      </c>
      <c r="C51" s="316" t="s">
        <v>1973</v>
      </c>
      <c r="D51" s="316" t="s">
        <v>1973</v>
      </c>
      <c r="E51" s="317" t="s">
        <v>1973</v>
      </c>
      <c r="F51" s="318">
        <v>2</v>
      </c>
      <c r="G51" s="354" t="s">
        <v>62</v>
      </c>
      <c r="H51" s="320">
        <v>77000</v>
      </c>
      <c r="I51" s="321" t="b">
        <v>1</v>
      </c>
      <c r="J51" s="322">
        <v>1</v>
      </c>
      <c r="K51" s="323">
        <v>36000</v>
      </c>
      <c r="L51" s="370">
        <f t="shared" si="2"/>
        <v>36000</v>
      </c>
      <c r="M51" s="325" t="s">
        <v>1695</v>
      </c>
    </row>
    <row r="52" spans="1:13" ht="13">
      <c r="A52" s="316" t="s">
        <v>874</v>
      </c>
      <c r="B52" s="316" t="s">
        <v>1973</v>
      </c>
      <c r="C52" s="316" t="s">
        <v>1973</v>
      </c>
      <c r="D52" s="316" t="s">
        <v>1973</v>
      </c>
      <c r="E52" s="317" t="s">
        <v>1973</v>
      </c>
      <c r="F52" s="318">
        <v>4</v>
      </c>
      <c r="G52" s="354" t="s">
        <v>62</v>
      </c>
      <c r="H52" s="320">
        <v>64000</v>
      </c>
      <c r="I52" s="321" t="b">
        <v>1</v>
      </c>
      <c r="J52" s="322">
        <v>4</v>
      </c>
      <c r="K52" s="323">
        <v>17000</v>
      </c>
      <c r="L52" s="379">
        <f t="shared" si="2"/>
        <v>68000</v>
      </c>
      <c r="M52" s="325"/>
    </row>
    <row r="53" spans="1:13" ht="13">
      <c r="A53" s="316" t="s">
        <v>1602</v>
      </c>
      <c r="B53" s="316" t="s">
        <v>1973</v>
      </c>
      <c r="C53" s="316" t="s">
        <v>1973</v>
      </c>
      <c r="D53" s="316" t="s">
        <v>1973</v>
      </c>
      <c r="E53" s="317" t="s">
        <v>1973</v>
      </c>
      <c r="F53" s="318">
        <v>2</v>
      </c>
      <c r="G53" s="354" t="s">
        <v>36</v>
      </c>
      <c r="H53" s="320">
        <v>28000</v>
      </c>
      <c r="I53" s="321" t="b">
        <v>1</v>
      </c>
      <c r="J53" s="322">
        <v>2</v>
      </c>
      <c r="K53" s="323" t="s">
        <v>1973</v>
      </c>
      <c r="L53" s="371" t="e">
        <f t="shared" si="2"/>
        <v>#VALUE!</v>
      </c>
      <c r="M53" s="325"/>
    </row>
    <row r="54" spans="1:13" ht="13">
      <c r="A54" s="316" t="s">
        <v>528</v>
      </c>
      <c r="B54" s="316" t="s">
        <v>1973</v>
      </c>
      <c r="C54" s="316" t="s">
        <v>1973</v>
      </c>
      <c r="D54" s="316" t="s">
        <v>1973</v>
      </c>
      <c r="E54" s="317" t="s">
        <v>1973</v>
      </c>
      <c r="F54" s="318">
        <v>3</v>
      </c>
      <c r="G54" s="354" t="s">
        <v>50</v>
      </c>
      <c r="H54" s="320">
        <v>48000</v>
      </c>
      <c r="I54" s="321" t="b">
        <v>1</v>
      </c>
      <c r="J54" s="322">
        <v>3</v>
      </c>
      <c r="K54" s="323" t="s">
        <v>1973</v>
      </c>
      <c r="L54" s="371" t="e">
        <f t="shared" si="2"/>
        <v>#VALUE!</v>
      </c>
      <c r="M54" s="325"/>
    </row>
    <row r="55" spans="1:13" ht="13">
      <c r="A55" s="316" t="s">
        <v>635</v>
      </c>
      <c r="B55" s="316" t="s">
        <v>1973</v>
      </c>
      <c r="C55" s="316" t="s">
        <v>1973</v>
      </c>
      <c r="D55" s="316" t="s">
        <v>1973</v>
      </c>
      <c r="E55" s="317" t="s">
        <v>1973</v>
      </c>
      <c r="F55" s="318">
        <v>6</v>
      </c>
      <c r="G55" s="354" t="s">
        <v>50</v>
      </c>
      <c r="H55" s="320">
        <v>60000</v>
      </c>
      <c r="I55" s="321" t="b">
        <v>1</v>
      </c>
      <c r="J55" s="322">
        <v>6</v>
      </c>
      <c r="K55" s="323" t="s">
        <v>1973</v>
      </c>
      <c r="L55" s="371" t="e">
        <f t="shared" si="2"/>
        <v>#VALUE!</v>
      </c>
      <c r="M55" s="325"/>
    </row>
    <row r="56" spans="1:13" ht="13">
      <c r="A56" s="316" t="s">
        <v>643</v>
      </c>
      <c r="B56" s="316" t="s">
        <v>1973</v>
      </c>
      <c r="C56" s="316" t="s">
        <v>1973</v>
      </c>
      <c r="D56" s="316" t="s">
        <v>1973</v>
      </c>
      <c r="E56" s="317" t="s">
        <v>1973</v>
      </c>
      <c r="F56" s="318">
        <v>0.5</v>
      </c>
      <c r="G56" s="354" t="s">
        <v>36</v>
      </c>
      <c r="H56" s="320">
        <v>7500</v>
      </c>
      <c r="I56" s="321" t="b">
        <v>1</v>
      </c>
      <c r="J56" s="322">
        <v>0.5</v>
      </c>
      <c r="K56" s="323" t="s">
        <v>1973</v>
      </c>
      <c r="L56" s="371" t="e">
        <f t="shared" si="2"/>
        <v>#VALUE!</v>
      </c>
      <c r="M56" s="325"/>
    </row>
    <row r="57" spans="1:13" ht="13">
      <c r="A57" s="316" t="s">
        <v>680</v>
      </c>
      <c r="B57" s="316" t="s">
        <v>1973</v>
      </c>
      <c r="C57" s="316" t="s">
        <v>1973</v>
      </c>
      <c r="D57" s="316" t="s">
        <v>1973</v>
      </c>
      <c r="E57" s="317" t="s">
        <v>1973</v>
      </c>
      <c r="F57" s="318">
        <v>6</v>
      </c>
      <c r="G57" s="354" t="s">
        <v>97</v>
      </c>
      <c r="H57" s="320">
        <v>186000</v>
      </c>
      <c r="I57" s="321" t="b">
        <v>1</v>
      </c>
      <c r="J57" s="322">
        <v>6</v>
      </c>
      <c r="K57" s="323">
        <v>32000</v>
      </c>
      <c r="L57" s="379">
        <f t="shared" si="2"/>
        <v>192000</v>
      </c>
      <c r="M57" s="325"/>
    </row>
    <row r="58" spans="1:13" ht="13">
      <c r="A58" s="316" t="s">
        <v>684</v>
      </c>
      <c r="B58" s="316" t="s">
        <v>1973</v>
      </c>
      <c r="C58" s="316" t="s">
        <v>1973</v>
      </c>
      <c r="D58" s="316" t="s">
        <v>1973</v>
      </c>
      <c r="E58" s="317" t="s">
        <v>1973</v>
      </c>
      <c r="F58" s="318">
        <v>3</v>
      </c>
      <c r="G58" s="354" t="s">
        <v>97</v>
      </c>
      <c r="H58" s="320">
        <v>93000</v>
      </c>
      <c r="I58" s="321" t="b">
        <v>1</v>
      </c>
      <c r="J58" s="322">
        <v>3</v>
      </c>
      <c r="K58" s="323">
        <v>32000</v>
      </c>
      <c r="L58" s="379">
        <f t="shared" si="2"/>
        <v>96000</v>
      </c>
      <c r="M58" s="325"/>
    </row>
    <row r="59" spans="1:13" ht="13">
      <c r="A59" s="316" t="s">
        <v>696</v>
      </c>
      <c r="B59" s="316" t="s">
        <v>1973</v>
      </c>
      <c r="C59" s="316" t="s">
        <v>1973</v>
      </c>
      <c r="D59" s="316" t="s">
        <v>1973</v>
      </c>
      <c r="E59" s="317" t="s">
        <v>1973</v>
      </c>
      <c r="F59" s="318">
        <v>5</v>
      </c>
      <c r="G59" s="354" t="s">
        <v>62</v>
      </c>
      <c r="H59" s="320">
        <v>55000</v>
      </c>
      <c r="I59" s="321" t="b">
        <v>1</v>
      </c>
      <c r="J59" s="322">
        <v>5</v>
      </c>
      <c r="K59" s="323" t="s">
        <v>1973</v>
      </c>
      <c r="L59" s="371" t="e">
        <f t="shared" si="2"/>
        <v>#VALUE!</v>
      </c>
      <c r="M59" s="325"/>
    </row>
    <row r="60" spans="1:13" ht="13">
      <c r="A60" s="316" t="s">
        <v>748</v>
      </c>
      <c r="B60" s="316" t="s">
        <v>1973</v>
      </c>
      <c r="C60" s="316" t="s">
        <v>1973</v>
      </c>
      <c r="D60" s="316" t="s">
        <v>1973</v>
      </c>
      <c r="E60" s="317" t="s">
        <v>1973</v>
      </c>
      <c r="F60" s="318">
        <v>3</v>
      </c>
      <c r="G60" s="354" t="s">
        <v>62</v>
      </c>
      <c r="H60" s="320">
        <v>90000</v>
      </c>
      <c r="I60" s="321" t="b">
        <v>1</v>
      </c>
      <c r="J60" s="322">
        <v>3</v>
      </c>
      <c r="K60" s="323" t="s">
        <v>1973</v>
      </c>
      <c r="L60" s="371" t="e">
        <f t="shared" si="2"/>
        <v>#VALUE!</v>
      </c>
      <c r="M60" s="325"/>
    </row>
    <row r="61" spans="1:13" ht="13">
      <c r="A61" s="316" t="s">
        <v>756</v>
      </c>
      <c r="B61" s="316" t="s">
        <v>1973</v>
      </c>
      <c r="C61" s="316" t="s">
        <v>1973</v>
      </c>
      <c r="D61" s="316" t="s">
        <v>1973</v>
      </c>
      <c r="E61" s="317" t="s">
        <v>1973</v>
      </c>
      <c r="F61" s="318">
        <v>1</v>
      </c>
      <c r="G61" s="354" t="s">
        <v>62</v>
      </c>
      <c r="H61" s="320">
        <v>25000</v>
      </c>
      <c r="I61" s="321" t="b">
        <v>1</v>
      </c>
      <c r="J61" s="322">
        <v>1</v>
      </c>
      <c r="K61" s="323">
        <v>28000</v>
      </c>
      <c r="L61" s="379">
        <f t="shared" si="2"/>
        <v>28000</v>
      </c>
      <c r="M61" s="325"/>
    </row>
    <row r="62" spans="1:13" ht="13">
      <c r="A62" s="316" t="s">
        <v>803</v>
      </c>
      <c r="B62" s="316" t="s">
        <v>1973</v>
      </c>
      <c r="C62" s="316" t="s">
        <v>1973</v>
      </c>
      <c r="D62" s="316" t="s">
        <v>1973</v>
      </c>
      <c r="E62" s="317" t="s">
        <v>1973</v>
      </c>
      <c r="F62" s="318">
        <v>1</v>
      </c>
      <c r="G62" s="354" t="s">
        <v>97</v>
      </c>
      <c r="H62" s="320">
        <v>6000</v>
      </c>
      <c r="I62" s="321" t="b">
        <v>1</v>
      </c>
      <c r="J62" s="322">
        <v>1</v>
      </c>
      <c r="K62" s="323" t="s">
        <v>1973</v>
      </c>
      <c r="L62" s="371" t="e">
        <f t="shared" si="2"/>
        <v>#VALUE!</v>
      </c>
      <c r="M62" s="325"/>
    </row>
    <row r="63" spans="1:13" ht="13">
      <c r="A63" s="316" t="s">
        <v>892</v>
      </c>
      <c r="B63" s="316" t="s">
        <v>1973</v>
      </c>
      <c r="C63" s="316" t="s">
        <v>1973</v>
      </c>
      <c r="D63" s="316" t="s">
        <v>1973</v>
      </c>
      <c r="E63" s="317" t="s">
        <v>1973</v>
      </c>
      <c r="F63" s="318">
        <v>2</v>
      </c>
      <c r="G63" s="354" t="s">
        <v>36</v>
      </c>
      <c r="H63" s="320">
        <v>250000</v>
      </c>
      <c r="I63" s="321" t="b">
        <v>1</v>
      </c>
      <c r="J63" s="322">
        <v>2</v>
      </c>
      <c r="K63" s="323" t="s">
        <v>1973</v>
      </c>
      <c r="L63" s="371" t="e">
        <f t="shared" si="2"/>
        <v>#VALUE!</v>
      </c>
      <c r="M63" s="325"/>
    </row>
    <row r="64" spans="1:13" ht="13">
      <c r="A64" s="316" t="s">
        <v>934</v>
      </c>
      <c r="B64" s="316" t="s">
        <v>1973</v>
      </c>
      <c r="C64" s="316" t="s">
        <v>1973</v>
      </c>
      <c r="D64" s="316" t="s">
        <v>1973</v>
      </c>
      <c r="E64" s="317" t="s">
        <v>1973</v>
      </c>
      <c r="F64" s="318">
        <v>4</v>
      </c>
      <c r="G64" s="354" t="s">
        <v>62</v>
      </c>
      <c r="H64" s="320">
        <v>36000</v>
      </c>
      <c r="I64" s="321" t="b">
        <v>1</v>
      </c>
      <c r="J64" s="322">
        <v>4</v>
      </c>
      <c r="K64" s="323">
        <v>9500</v>
      </c>
      <c r="L64" s="379">
        <f t="shared" si="2"/>
        <v>38000</v>
      </c>
      <c r="M64" s="325"/>
    </row>
    <row r="66" spans="1:13" ht="13">
      <c r="F66" s="429">
        <v>44655</v>
      </c>
      <c r="G66" s="428"/>
      <c r="H66" s="424"/>
      <c r="J66" s="429">
        <f>F66+1</f>
        <v>44656</v>
      </c>
      <c r="K66" s="428"/>
      <c r="L66" s="424"/>
    </row>
    <row r="67" spans="1:13" ht="13">
      <c r="F67" s="425" t="s">
        <v>1490</v>
      </c>
      <c r="G67" s="426"/>
      <c r="H67" s="304">
        <f>SUM(H69:H103)</f>
        <v>2427488</v>
      </c>
      <c r="J67" s="425" t="s">
        <v>1491</v>
      </c>
      <c r="K67" s="426"/>
      <c r="L67" s="304" t="e">
        <f>SUM(L69:L103)</f>
        <v>#N/A</v>
      </c>
    </row>
    <row r="68" spans="1:13" ht="13">
      <c r="A68" s="2" t="s">
        <v>4</v>
      </c>
      <c r="B68" s="305" t="s">
        <v>5</v>
      </c>
      <c r="C68" s="305" t="s">
        <v>11</v>
      </c>
      <c r="D68" s="305" t="s">
        <v>12</v>
      </c>
      <c r="E68" s="306" t="s">
        <v>6</v>
      </c>
      <c r="F68" s="307" t="s">
        <v>1494</v>
      </c>
      <c r="G68" s="308" t="s">
        <v>10</v>
      </c>
      <c r="H68" s="309" t="s">
        <v>1495</v>
      </c>
      <c r="I68" s="310" t="s">
        <v>1289</v>
      </c>
      <c r="J68" s="311" t="s">
        <v>1496</v>
      </c>
      <c r="K68" s="312" t="s">
        <v>1497</v>
      </c>
      <c r="L68" s="313" t="s">
        <v>1498</v>
      </c>
      <c r="M68" s="314" t="s">
        <v>16</v>
      </c>
    </row>
    <row r="69" spans="1:13" ht="13">
      <c r="A69" s="18" t="s">
        <v>1099</v>
      </c>
      <c r="B69" s="316" t="s">
        <v>1973</v>
      </c>
      <c r="C69" s="316" t="s">
        <v>1973</v>
      </c>
      <c r="D69" s="316" t="s">
        <v>1973</v>
      </c>
      <c r="E69" s="317" t="s">
        <v>1973</v>
      </c>
      <c r="F69" s="318">
        <v>2</v>
      </c>
      <c r="G69" s="354" t="s">
        <v>36</v>
      </c>
      <c r="H69" s="320">
        <v>260000</v>
      </c>
      <c r="I69" s="375" t="b">
        <v>0</v>
      </c>
      <c r="J69" s="376"/>
      <c r="K69" s="377" t="e">
        <f>VLOOKUP($A69,'[1]Database Bahan &amp; Alat (Terupdat'!$B$50:$N$232,6,FALSE)</f>
        <v>#N/A</v>
      </c>
      <c r="L69" s="378" t="e">
        <f t="shared" ref="L69:L86" si="3">J69*K69</f>
        <v>#N/A</v>
      </c>
      <c r="M69" s="325"/>
    </row>
    <row r="70" spans="1:13" ht="13">
      <c r="A70" s="316" t="s">
        <v>544</v>
      </c>
      <c r="B70" s="316" t="s">
        <v>1973</v>
      </c>
      <c r="C70" s="316" t="s">
        <v>1973</v>
      </c>
      <c r="D70" s="316" t="s">
        <v>1973</v>
      </c>
      <c r="E70" s="317" t="s">
        <v>1973</v>
      </c>
      <c r="F70" s="318">
        <v>4</v>
      </c>
      <c r="G70" s="354" t="s">
        <v>62</v>
      </c>
      <c r="H70" s="320">
        <v>90400</v>
      </c>
      <c r="I70" s="321" t="b">
        <v>1</v>
      </c>
      <c r="J70" s="322">
        <v>4</v>
      </c>
      <c r="K70" s="323">
        <v>15200</v>
      </c>
      <c r="L70" s="380">
        <f t="shared" si="3"/>
        <v>60800</v>
      </c>
      <c r="M70" s="325"/>
    </row>
    <row r="71" spans="1:13" ht="13">
      <c r="A71" s="316" t="s">
        <v>586</v>
      </c>
      <c r="B71" s="316" t="s">
        <v>1973</v>
      </c>
      <c r="C71" s="316" t="s">
        <v>1973</v>
      </c>
      <c r="D71" s="316" t="s">
        <v>1973</v>
      </c>
      <c r="E71" s="317" t="s">
        <v>1973</v>
      </c>
      <c r="F71" s="318">
        <v>2</v>
      </c>
      <c r="G71" s="354" t="s">
        <v>62</v>
      </c>
      <c r="H71" s="320">
        <v>14400</v>
      </c>
      <c r="I71" s="321" t="b">
        <v>1</v>
      </c>
      <c r="J71" s="322">
        <v>2</v>
      </c>
      <c r="K71" s="323" t="e">
        <f>VLOOKUP($A71,'[1]Database Bahan &amp; Alat (Terupdat'!$B$50:$N$232,6,FALSE)</f>
        <v>#N/A</v>
      </c>
      <c r="L71" s="371" t="e">
        <f t="shared" si="3"/>
        <v>#N/A</v>
      </c>
      <c r="M71" s="325"/>
    </row>
    <row r="72" spans="1:13" ht="13">
      <c r="A72" s="316" t="s">
        <v>627</v>
      </c>
      <c r="B72" s="316" t="s">
        <v>1973</v>
      </c>
      <c r="C72" s="316" t="s">
        <v>1973</v>
      </c>
      <c r="D72" s="316" t="s">
        <v>1973</v>
      </c>
      <c r="E72" s="317" t="s">
        <v>1973</v>
      </c>
      <c r="F72" s="318">
        <v>1</v>
      </c>
      <c r="G72" s="354" t="s">
        <v>36</v>
      </c>
      <c r="H72" s="320">
        <v>37900</v>
      </c>
      <c r="I72" s="321" t="b">
        <v>1</v>
      </c>
      <c r="J72" s="322">
        <v>860</v>
      </c>
      <c r="K72" s="323">
        <v>48.4</v>
      </c>
      <c r="L72" s="371">
        <f t="shared" si="3"/>
        <v>41624</v>
      </c>
      <c r="M72" s="325"/>
    </row>
    <row r="73" spans="1:13" ht="13">
      <c r="A73" s="316" t="s">
        <v>1598</v>
      </c>
      <c r="B73" s="316" t="s">
        <v>1973</v>
      </c>
      <c r="C73" s="316" t="s">
        <v>1973</v>
      </c>
      <c r="D73" s="316" t="s">
        <v>1973</v>
      </c>
      <c r="E73" s="317" t="s">
        <v>1973</v>
      </c>
      <c r="F73" s="318">
        <v>2</v>
      </c>
      <c r="G73" s="354" t="s">
        <v>97</v>
      </c>
      <c r="H73" s="320">
        <v>20800</v>
      </c>
      <c r="I73" s="321" t="b">
        <v>1</v>
      </c>
      <c r="J73" s="322">
        <v>2</v>
      </c>
      <c r="K73" s="323">
        <v>11500</v>
      </c>
      <c r="L73" s="379">
        <f t="shared" si="3"/>
        <v>23000</v>
      </c>
      <c r="M73" s="325"/>
    </row>
    <row r="74" spans="1:13" ht="13">
      <c r="A74" s="316" t="s">
        <v>770</v>
      </c>
      <c r="B74" s="316" t="s">
        <v>1973</v>
      </c>
      <c r="C74" s="316" t="s">
        <v>1973</v>
      </c>
      <c r="D74" s="316" t="s">
        <v>1973</v>
      </c>
      <c r="E74" s="317" t="s">
        <v>1973</v>
      </c>
      <c r="F74" s="318">
        <v>1</v>
      </c>
      <c r="G74" s="354" t="s">
        <v>97</v>
      </c>
      <c r="H74" s="320">
        <v>24400</v>
      </c>
      <c r="I74" s="321" t="b">
        <v>1</v>
      </c>
      <c r="J74" s="322">
        <v>1</v>
      </c>
      <c r="K74" s="323">
        <v>25300</v>
      </c>
      <c r="L74" s="379">
        <f t="shared" si="3"/>
        <v>25300</v>
      </c>
      <c r="M74" s="325"/>
    </row>
    <row r="75" spans="1:13" ht="13">
      <c r="A75" s="316" t="s">
        <v>782</v>
      </c>
      <c r="B75" s="316" t="s">
        <v>1973</v>
      </c>
      <c r="C75" s="316" t="s">
        <v>1973</v>
      </c>
      <c r="D75" s="316" t="s">
        <v>1973</v>
      </c>
      <c r="E75" s="317" t="s">
        <v>1973</v>
      </c>
      <c r="F75" s="318">
        <v>2</v>
      </c>
      <c r="G75" s="354" t="s">
        <v>62</v>
      </c>
      <c r="H75" s="320">
        <v>24000</v>
      </c>
      <c r="I75" s="321" t="b">
        <v>1</v>
      </c>
      <c r="J75" s="322">
        <v>2</v>
      </c>
      <c r="K75" s="323" t="s">
        <v>1973</v>
      </c>
      <c r="L75" s="371" t="e">
        <f t="shared" si="3"/>
        <v>#VALUE!</v>
      </c>
      <c r="M75" s="325"/>
    </row>
    <row r="76" spans="1:13" ht="13">
      <c r="A76" s="316" t="s">
        <v>919</v>
      </c>
      <c r="B76" s="316" t="s">
        <v>1973</v>
      </c>
      <c r="C76" s="316" t="s">
        <v>1973</v>
      </c>
      <c r="D76" s="316" t="s">
        <v>1973</v>
      </c>
      <c r="E76" s="317" t="s">
        <v>1973</v>
      </c>
      <c r="F76" s="318">
        <v>4</v>
      </c>
      <c r="G76" s="354" t="s">
        <v>62</v>
      </c>
      <c r="H76" s="320">
        <v>35200</v>
      </c>
      <c r="I76" s="321" t="b">
        <v>1</v>
      </c>
      <c r="J76" s="322">
        <v>4</v>
      </c>
      <c r="K76" s="323" t="s">
        <v>1973</v>
      </c>
      <c r="L76" s="371" t="e">
        <f t="shared" si="3"/>
        <v>#VALUE!</v>
      </c>
      <c r="M76" s="325"/>
    </row>
    <row r="77" spans="1:13" ht="13">
      <c r="A77" s="316" t="s">
        <v>639</v>
      </c>
      <c r="B77" s="316" t="s">
        <v>1973</v>
      </c>
      <c r="C77" s="316" t="s">
        <v>1973</v>
      </c>
      <c r="D77" s="316" t="s">
        <v>1973</v>
      </c>
      <c r="E77" s="317" t="s">
        <v>1973</v>
      </c>
      <c r="F77" s="318">
        <v>1</v>
      </c>
      <c r="G77" s="354" t="s">
        <v>36</v>
      </c>
      <c r="H77" s="320">
        <v>125000</v>
      </c>
      <c r="I77" s="321" t="b">
        <v>1</v>
      </c>
      <c r="J77" s="322">
        <v>1</v>
      </c>
      <c r="K77" s="323">
        <v>135000</v>
      </c>
      <c r="L77" s="379">
        <f t="shared" si="3"/>
        <v>135000</v>
      </c>
      <c r="M77" s="325"/>
    </row>
    <row r="78" spans="1:13" ht="13">
      <c r="A78" s="316" t="s">
        <v>1610</v>
      </c>
      <c r="B78" s="316" t="s">
        <v>1973</v>
      </c>
      <c r="C78" s="316" t="s">
        <v>1973</v>
      </c>
      <c r="D78" s="316" t="s">
        <v>1973</v>
      </c>
      <c r="E78" s="317" t="s">
        <v>1973</v>
      </c>
      <c r="F78" s="318">
        <v>2</v>
      </c>
      <c r="G78" s="354" t="s">
        <v>36</v>
      </c>
      <c r="H78" s="320">
        <v>20000</v>
      </c>
      <c r="I78" s="321" t="b">
        <v>1</v>
      </c>
      <c r="J78" s="322">
        <v>2</v>
      </c>
      <c r="K78" s="323" t="e">
        <f>VLOOKUP($A78,'[1]Database Bahan &amp; Alat (Terupdat'!$B$50:$N$232,6,FALSE)</f>
        <v>#N/A</v>
      </c>
      <c r="L78" s="371" t="e">
        <f t="shared" si="3"/>
        <v>#N/A</v>
      </c>
      <c r="M78" s="325"/>
    </row>
    <row r="79" spans="1:13" ht="13">
      <c r="A79" s="316" t="s">
        <v>1611</v>
      </c>
      <c r="B79" s="316" t="s">
        <v>1973</v>
      </c>
      <c r="C79" s="316" t="s">
        <v>1973</v>
      </c>
      <c r="D79" s="316" t="s">
        <v>1973</v>
      </c>
      <c r="E79" s="317" t="s">
        <v>1973</v>
      </c>
      <c r="F79" s="318">
        <v>3</v>
      </c>
      <c r="G79" s="354" t="s">
        <v>36</v>
      </c>
      <c r="H79" s="320">
        <v>150000</v>
      </c>
      <c r="I79" s="321" t="b">
        <v>1</v>
      </c>
      <c r="J79" s="322">
        <v>3</v>
      </c>
      <c r="K79" s="323">
        <v>48000</v>
      </c>
      <c r="L79" s="380">
        <f t="shared" si="3"/>
        <v>144000</v>
      </c>
      <c r="M79" s="325"/>
    </row>
    <row r="80" spans="1:13" ht="13">
      <c r="A80" s="316" t="s">
        <v>1698</v>
      </c>
      <c r="B80" s="316" t="s">
        <v>1973</v>
      </c>
      <c r="C80" s="316" t="s">
        <v>1973</v>
      </c>
      <c r="D80" s="316" t="s">
        <v>1973</v>
      </c>
      <c r="E80" s="317" t="s">
        <v>1973</v>
      </c>
      <c r="F80" s="318">
        <v>3</v>
      </c>
      <c r="G80" s="354" t="s">
        <v>36</v>
      </c>
      <c r="H80" s="320">
        <v>111000</v>
      </c>
      <c r="I80" s="321" t="b">
        <v>1</v>
      </c>
      <c r="J80" s="322">
        <v>3</v>
      </c>
      <c r="K80" s="323">
        <v>38000</v>
      </c>
      <c r="L80" s="379">
        <f t="shared" si="3"/>
        <v>114000</v>
      </c>
      <c r="M80" s="325"/>
    </row>
    <row r="81" spans="1:13" ht="13">
      <c r="A81" s="316" t="s">
        <v>675</v>
      </c>
      <c r="B81" s="316" t="s">
        <v>1973</v>
      </c>
      <c r="C81" s="316" t="s">
        <v>1973</v>
      </c>
      <c r="D81" s="316" t="s">
        <v>1973</v>
      </c>
      <c r="E81" s="317" t="s">
        <v>1973</v>
      </c>
      <c r="F81" s="318">
        <v>15</v>
      </c>
      <c r="G81" s="354" t="s">
        <v>62</v>
      </c>
      <c r="H81" s="320">
        <v>67500</v>
      </c>
      <c r="I81" s="321" t="b">
        <v>1</v>
      </c>
      <c r="J81" s="322">
        <v>15</v>
      </c>
      <c r="K81" s="323" t="e">
        <f>VLOOKUP($A81,'[1]Database Bahan &amp; Alat (Terupdat'!$B$50:$N$232,6,FALSE)</f>
        <v>#N/A</v>
      </c>
      <c r="L81" s="371" t="e">
        <f t="shared" si="3"/>
        <v>#N/A</v>
      </c>
      <c r="M81" s="325"/>
    </row>
    <row r="82" spans="1:13" ht="13">
      <c r="A82" s="316" t="s">
        <v>712</v>
      </c>
      <c r="B82" s="316" t="s">
        <v>1973</v>
      </c>
      <c r="C82" s="316" t="s">
        <v>1973</v>
      </c>
      <c r="D82" s="316" t="s">
        <v>1973</v>
      </c>
      <c r="E82" s="317" t="s">
        <v>1973</v>
      </c>
      <c r="F82" s="318">
        <v>2</v>
      </c>
      <c r="G82" s="354" t="s">
        <v>36</v>
      </c>
      <c r="H82" s="320">
        <v>48000</v>
      </c>
      <c r="I82" s="321" t="b">
        <v>1</v>
      </c>
      <c r="J82" s="322">
        <v>2</v>
      </c>
      <c r="K82" s="323">
        <v>28000</v>
      </c>
      <c r="L82" s="379">
        <f t="shared" si="3"/>
        <v>56000</v>
      </c>
      <c r="M82" s="325"/>
    </row>
    <row r="83" spans="1:13" ht="13">
      <c r="A83" s="316" t="s">
        <v>732</v>
      </c>
      <c r="B83" s="316" t="s">
        <v>1973</v>
      </c>
      <c r="C83" s="316" t="s">
        <v>1973</v>
      </c>
      <c r="D83" s="316" t="s">
        <v>1973</v>
      </c>
      <c r="E83" s="317" t="s">
        <v>1973</v>
      </c>
      <c r="F83" s="318">
        <v>1</v>
      </c>
      <c r="G83" s="354" t="s">
        <v>36</v>
      </c>
      <c r="H83" s="320">
        <v>26000</v>
      </c>
      <c r="I83" s="321" t="b">
        <v>1</v>
      </c>
      <c r="J83" s="322">
        <v>1</v>
      </c>
      <c r="K83" s="323">
        <v>28000</v>
      </c>
      <c r="L83" s="379">
        <f t="shared" si="3"/>
        <v>28000</v>
      </c>
      <c r="M83" s="325"/>
    </row>
    <row r="84" spans="1:13" ht="13">
      <c r="A84" s="316" t="s">
        <v>1601</v>
      </c>
      <c r="B84" s="316" t="s">
        <v>1973</v>
      </c>
      <c r="C84" s="316" t="s">
        <v>1973</v>
      </c>
      <c r="D84" s="316" t="s">
        <v>1973</v>
      </c>
      <c r="E84" s="317" t="s">
        <v>1973</v>
      </c>
      <c r="F84" s="318">
        <v>1</v>
      </c>
      <c r="G84" s="354" t="s">
        <v>97</v>
      </c>
      <c r="H84" s="320">
        <v>21000</v>
      </c>
      <c r="I84" s="321" t="b">
        <v>1</v>
      </c>
      <c r="J84" s="322">
        <v>1</v>
      </c>
      <c r="K84" s="323" t="s">
        <v>1973</v>
      </c>
      <c r="L84" s="371" t="e">
        <f t="shared" si="3"/>
        <v>#VALUE!</v>
      </c>
      <c r="M84" s="325"/>
    </row>
    <row r="85" spans="1:13" ht="13">
      <c r="A85" s="316" t="s">
        <v>795</v>
      </c>
      <c r="B85" s="316" t="s">
        <v>1973</v>
      </c>
      <c r="C85" s="316" t="s">
        <v>1973</v>
      </c>
      <c r="D85" s="316" t="s">
        <v>1973</v>
      </c>
      <c r="E85" s="317" t="s">
        <v>1973</v>
      </c>
      <c r="F85" s="318">
        <v>5</v>
      </c>
      <c r="G85" s="354" t="s">
        <v>62</v>
      </c>
      <c r="H85" s="320">
        <v>25000</v>
      </c>
      <c r="I85" s="321" t="b">
        <v>1</v>
      </c>
      <c r="J85" s="322">
        <v>5</v>
      </c>
      <c r="K85" s="323" t="s">
        <v>1973</v>
      </c>
      <c r="L85" s="371" t="e">
        <f t="shared" si="3"/>
        <v>#VALUE!</v>
      </c>
      <c r="M85" s="325"/>
    </row>
    <row r="86" spans="1:13" ht="13">
      <c r="A86" s="316" t="s">
        <v>1704</v>
      </c>
      <c r="B86" s="316" t="s">
        <v>1973</v>
      </c>
      <c r="C86" s="316" t="s">
        <v>1973</v>
      </c>
      <c r="D86" s="316" t="s">
        <v>1973</v>
      </c>
      <c r="E86" s="317" t="s">
        <v>1973</v>
      </c>
      <c r="F86" s="318">
        <v>0.25</v>
      </c>
      <c r="G86" s="354" t="s">
        <v>36</v>
      </c>
      <c r="H86" s="320">
        <v>3000</v>
      </c>
      <c r="I86" s="321" t="b">
        <v>1</v>
      </c>
      <c r="J86" s="322">
        <v>0.25</v>
      </c>
      <c r="K86" s="323" t="s">
        <v>1973</v>
      </c>
      <c r="L86" s="371" t="e">
        <f t="shared" si="3"/>
        <v>#VALUE!</v>
      </c>
      <c r="M86" s="325"/>
    </row>
    <row r="87" spans="1:13" ht="13">
      <c r="A87" s="316" t="s">
        <v>1608</v>
      </c>
      <c r="B87" s="316" t="s">
        <v>1973</v>
      </c>
      <c r="C87" s="316" t="s">
        <v>1973</v>
      </c>
      <c r="D87" s="316" t="s">
        <v>1973</v>
      </c>
      <c r="E87" s="317" t="s">
        <v>1973</v>
      </c>
      <c r="F87" s="318">
        <v>0.5</v>
      </c>
      <c r="G87" s="354" t="s">
        <v>36</v>
      </c>
      <c r="H87" s="320">
        <v>34500</v>
      </c>
      <c r="I87" s="321" t="b">
        <v>1</v>
      </c>
      <c r="J87" s="322">
        <v>0.5</v>
      </c>
      <c r="K87" s="323" t="s">
        <v>1973</v>
      </c>
      <c r="L87" s="370">
        <v>29000</v>
      </c>
      <c r="M87" s="325"/>
    </row>
    <row r="88" spans="1:13" ht="13">
      <c r="A88" s="316" t="s">
        <v>989</v>
      </c>
      <c r="B88" s="316" t="s">
        <v>1973</v>
      </c>
      <c r="C88" s="316" t="s">
        <v>1973</v>
      </c>
      <c r="D88" s="316" t="s">
        <v>1973</v>
      </c>
      <c r="E88" s="317" t="s">
        <v>1973</v>
      </c>
      <c r="F88" s="318">
        <v>2</v>
      </c>
      <c r="G88" s="354" t="s">
        <v>62</v>
      </c>
      <c r="H88" s="320">
        <v>34000</v>
      </c>
      <c r="I88" s="321" t="b">
        <v>1</v>
      </c>
      <c r="J88" s="322">
        <v>2</v>
      </c>
      <c r="K88" s="323">
        <v>18000</v>
      </c>
      <c r="L88" s="379">
        <f t="shared" ref="L88:L103" si="4">J88*K88</f>
        <v>36000</v>
      </c>
      <c r="M88" s="325"/>
    </row>
    <row r="89" spans="1:13" ht="13">
      <c r="A89" s="316" t="s">
        <v>1020</v>
      </c>
      <c r="B89" s="316" t="s">
        <v>1973</v>
      </c>
      <c r="C89" s="316" t="s">
        <v>1973</v>
      </c>
      <c r="D89" s="316" t="s">
        <v>1973</v>
      </c>
      <c r="E89" s="317" t="s">
        <v>1973</v>
      </c>
      <c r="F89" s="318">
        <v>1</v>
      </c>
      <c r="G89" s="354" t="s">
        <v>36</v>
      </c>
      <c r="H89" s="320">
        <v>12000</v>
      </c>
      <c r="I89" s="321" t="b">
        <v>1</v>
      </c>
      <c r="J89" s="322">
        <v>1</v>
      </c>
      <c r="K89" s="323" t="s">
        <v>1973</v>
      </c>
      <c r="L89" s="371" t="e">
        <f t="shared" si="4"/>
        <v>#VALUE!</v>
      </c>
      <c r="M89" s="325"/>
    </row>
    <row r="90" spans="1:13" ht="13">
      <c r="A90" s="316" t="s">
        <v>1600</v>
      </c>
      <c r="B90" s="316" t="s">
        <v>1973</v>
      </c>
      <c r="C90" s="316" t="s">
        <v>1973</v>
      </c>
      <c r="D90" s="316" t="s">
        <v>1973</v>
      </c>
      <c r="E90" s="317" t="s">
        <v>1973</v>
      </c>
      <c r="F90" s="318">
        <v>1</v>
      </c>
      <c r="G90" s="354" t="s">
        <v>36</v>
      </c>
      <c r="H90" s="320">
        <v>10000</v>
      </c>
      <c r="I90" s="321" t="b">
        <v>1</v>
      </c>
      <c r="J90" s="322">
        <v>1</v>
      </c>
      <c r="K90" s="323" t="s">
        <v>1973</v>
      </c>
      <c r="L90" s="371" t="e">
        <f t="shared" si="4"/>
        <v>#VALUE!</v>
      </c>
      <c r="M90" s="325"/>
    </row>
    <row r="91" spans="1:13" ht="13">
      <c r="A91" s="316" t="s">
        <v>566</v>
      </c>
      <c r="B91" s="316" t="s">
        <v>1973</v>
      </c>
      <c r="C91" s="316" t="s">
        <v>1973</v>
      </c>
      <c r="D91" s="316" t="s">
        <v>1973</v>
      </c>
      <c r="E91" s="317" t="s">
        <v>1973</v>
      </c>
      <c r="F91" s="318">
        <v>1</v>
      </c>
      <c r="G91" s="354" t="s">
        <v>62</v>
      </c>
      <c r="H91" s="320">
        <v>200000</v>
      </c>
      <c r="I91" s="321" t="b">
        <v>0</v>
      </c>
      <c r="J91" s="322"/>
      <c r="K91" s="323" t="s">
        <v>1973</v>
      </c>
      <c r="L91" s="324" t="e">
        <f t="shared" si="4"/>
        <v>#VALUE!</v>
      </c>
      <c r="M91" s="325"/>
    </row>
    <row r="92" spans="1:13" ht="13">
      <c r="A92" s="316" t="s">
        <v>961</v>
      </c>
      <c r="B92" s="316" t="s">
        <v>1973</v>
      </c>
      <c r="C92" s="316" t="s">
        <v>1973</v>
      </c>
      <c r="D92" s="316" t="s">
        <v>1973</v>
      </c>
      <c r="E92" s="317" t="s">
        <v>1973</v>
      </c>
      <c r="F92" s="318">
        <v>1</v>
      </c>
      <c r="G92" s="354" t="s">
        <v>97</v>
      </c>
      <c r="H92" s="320">
        <v>77273</v>
      </c>
      <c r="I92" s="321" t="b">
        <v>0</v>
      </c>
      <c r="J92" s="322"/>
      <c r="K92" s="323" t="s">
        <v>1973</v>
      </c>
      <c r="L92" s="324" t="e">
        <f t="shared" si="4"/>
        <v>#VALUE!</v>
      </c>
      <c r="M92" s="325"/>
    </row>
    <row r="93" spans="1:13" ht="13">
      <c r="A93" s="316" t="s">
        <v>992</v>
      </c>
      <c r="B93" s="316" t="s">
        <v>1973</v>
      </c>
      <c r="C93" s="316" t="s">
        <v>1973</v>
      </c>
      <c r="D93" s="316" t="s">
        <v>1973</v>
      </c>
      <c r="E93" s="317" t="s">
        <v>1973</v>
      </c>
      <c r="F93" s="318">
        <v>1</v>
      </c>
      <c r="G93" s="354" t="s">
        <v>143</v>
      </c>
      <c r="H93" s="320">
        <v>149952</v>
      </c>
      <c r="I93" s="321" t="b">
        <v>0</v>
      </c>
      <c r="J93" s="322"/>
      <c r="K93" s="323" t="s">
        <v>1973</v>
      </c>
      <c r="L93" s="324" t="e">
        <f t="shared" si="4"/>
        <v>#VALUE!</v>
      </c>
      <c r="M93" s="325"/>
    </row>
    <row r="94" spans="1:13" ht="13">
      <c r="A94" s="316" t="s">
        <v>995</v>
      </c>
      <c r="B94" s="316" t="s">
        <v>1973</v>
      </c>
      <c r="C94" s="316" t="s">
        <v>1973</v>
      </c>
      <c r="D94" s="316" t="s">
        <v>1973</v>
      </c>
      <c r="E94" s="317" t="s">
        <v>1973</v>
      </c>
      <c r="F94" s="318">
        <v>1</v>
      </c>
      <c r="G94" s="354" t="s">
        <v>143</v>
      </c>
      <c r="H94" s="320">
        <v>199663</v>
      </c>
      <c r="I94" s="321" t="b">
        <v>0</v>
      </c>
      <c r="J94" s="322"/>
      <c r="K94" s="323" t="s">
        <v>1973</v>
      </c>
      <c r="L94" s="324" t="e">
        <f t="shared" si="4"/>
        <v>#VALUE!</v>
      </c>
      <c r="M94" s="325"/>
    </row>
    <row r="95" spans="1:13" ht="13">
      <c r="A95" s="316" t="s">
        <v>1705</v>
      </c>
      <c r="B95" s="316" t="s">
        <v>1973</v>
      </c>
      <c r="C95" s="316" t="s">
        <v>1973</v>
      </c>
      <c r="D95" s="316" t="s">
        <v>1973</v>
      </c>
      <c r="E95" s="317" t="s">
        <v>1973</v>
      </c>
      <c r="F95" s="318">
        <v>1</v>
      </c>
      <c r="G95" s="354" t="s">
        <v>62</v>
      </c>
      <c r="H95" s="320">
        <v>41800</v>
      </c>
      <c r="I95" s="321" t="b">
        <v>1</v>
      </c>
      <c r="J95" s="322">
        <v>1</v>
      </c>
      <c r="K95" s="323">
        <v>24500</v>
      </c>
      <c r="L95" s="380">
        <f t="shared" si="4"/>
        <v>24500</v>
      </c>
      <c r="M95" s="325"/>
    </row>
    <row r="96" spans="1:13" ht="13">
      <c r="A96" s="316" t="s">
        <v>779</v>
      </c>
      <c r="B96" s="316" t="s">
        <v>1973</v>
      </c>
      <c r="C96" s="316" t="s">
        <v>1973</v>
      </c>
      <c r="D96" s="316" t="s">
        <v>1973</v>
      </c>
      <c r="E96" s="317" t="s">
        <v>1973</v>
      </c>
      <c r="F96" s="318">
        <v>2</v>
      </c>
      <c r="G96" s="354" t="s">
        <v>62</v>
      </c>
      <c r="H96" s="320">
        <v>77000</v>
      </c>
      <c r="I96" s="321" t="b">
        <v>1</v>
      </c>
      <c r="J96" s="322">
        <v>1</v>
      </c>
      <c r="K96" s="323">
        <v>36000</v>
      </c>
      <c r="L96" s="370">
        <f t="shared" si="4"/>
        <v>36000</v>
      </c>
      <c r="M96" s="325"/>
    </row>
    <row r="97" spans="1:13" ht="13">
      <c r="A97" s="316" t="s">
        <v>528</v>
      </c>
      <c r="B97" s="316" t="s">
        <v>1973</v>
      </c>
      <c r="C97" s="316" t="s">
        <v>1973</v>
      </c>
      <c r="D97" s="316" t="s">
        <v>1973</v>
      </c>
      <c r="E97" s="317" t="s">
        <v>1973</v>
      </c>
      <c r="F97" s="318">
        <v>3</v>
      </c>
      <c r="G97" s="354" t="s">
        <v>50</v>
      </c>
      <c r="H97" s="320">
        <v>48000</v>
      </c>
      <c r="I97" s="321" t="b">
        <v>1</v>
      </c>
      <c r="J97" s="322">
        <v>3</v>
      </c>
      <c r="K97" s="323">
        <v>16500</v>
      </c>
      <c r="L97" s="379">
        <f t="shared" si="4"/>
        <v>49500</v>
      </c>
      <c r="M97" s="325"/>
    </row>
    <row r="98" spans="1:13" ht="13">
      <c r="A98" s="316" t="s">
        <v>635</v>
      </c>
      <c r="B98" s="316" t="s">
        <v>1973</v>
      </c>
      <c r="C98" s="316" t="s">
        <v>1973</v>
      </c>
      <c r="D98" s="316" t="s">
        <v>1973</v>
      </c>
      <c r="E98" s="317" t="s">
        <v>1973</v>
      </c>
      <c r="F98" s="318">
        <v>6</v>
      </c>
      <c r="G98" s="354" t="s">
        <v>50</v>
      </c>
      <c r="H98" s="320">
        <v>60000</v>
      </c>
      <c r="I98" s="321" t="b">
        <v>1</v>
      </c>
      <c r="J98" s="322">
        <v>6</v>
      </c>
      <c r="K98" s="323" t="s">
        <v>1973</v>
      </c>
      <c r="L98" s="371" t="e">
        <f t="shared" si="4"/>
        <v>#VALUE!</v>
      </c>
      <c r="M98" s="325"/>
    </row>
    <row r="99" spans="1:13" ht="13">
      <c r="A99" s="316" t="s">
        <v>643</v>
      </c>
      <c r="B99" s="316" t="s">
        <v>1973</v>
      </c>
      <c r="C99" s="316" t="s">
        <v>1973</v>
      </c>
      <c r="D99" s="316" t="s">
        <v>1973</v>
      </c>
      <c r="E99" s="317" t="s">
        <v>1973</v>
      </c>
      <c r="F99" s="318">
        <v>0.5</v>
      </c>
      <c r="G99" s="354" t="s">
        <v>36</v>
      </c>
      <c r="H99" s="320">
        <v>7500</v>
      </c>
      <c r="I99" s="321" t="b">
        <v>1</v>
      </c>
      <c r="J99" s="322">
        <v>0.5</v>
      </c>
      <c r="K99" s="323" t="s">
        <v>1973</v>
      </c>
      <c r="L99" s="371" t="e">
        <f t="shared" si="4"/>
        <v>#VALUE!</v>
      </c>
      <c r="M99" s="325"/>
    </row>
    <row r="100" spans="1:13" ht="13">
      <c r="A100" s="316" t="s">
        <v>696</v>
      </c>
      <c r="B100" s="316" t="s">
        <v>1973</v>
      </c>
      <c r="C100" s="316" t="s">
        <v>1973</v>
      </c>
      <c r="D100" s="316" t="s">
        <v>1973</v>
      </c>
      <c r="E100" s="317" t="s">
        <v>1973</v>
      </c>
      <c r="F100" s="318">
        <v>5</v>
      </c>
      <c r="G100" s="354" t="s">
        <v>62</v>
      </c>
      <c r="H100" s="320">
        <v>55000</v>
      </c>
      <c r="I100" s="321" t="b">
        <v>1</v>
      </c>
      <c r="J100" s="322">
        <v>5</v>
      </c>
      <c r="K100" s="323" t="s">
        <v>1973</v>
      </c>
      <c r="L100" s="371" t="e">
        <f t="shared" si="4"/>
        <v>#VALUE!</v>
      </c>
      <c r="M100" s="325"/>
    </row>
    <row r="101" spans="1:13" ht="13">
      <c r="A101" s="316" t="s">
        <v>892</v>
      </c>
      <c r="B101" s="316" t="s">
        <v>1973</v>
      </c>
      <c r="C101" s="316" t="s">
        <v>1973</v>
      </c>
      <c r="D101" s="316" t="s">
        <v>1973</v>
      </c>
      <c r="E101" s="317" t="s">
        <v>1973</v>
      </c>
      <c r="F101" s="318">
        <v>2</v>
      </c>
      <c r="G101" s="354" t="s">
        <v>36</v>
      </c>
      <c r="H101" s="320">
        <v>250000</v>
      </c>
      <c r="I101" s="321" t="b">
        <v>1</v>
      </c>
      <c r="J101" s="322">
        <v>2</v>
      </c>
      <c r="K101" s="323" t="s">
        <v>1973</v>
      </c>
      <c r="L101" s="371" t="e">
        <f t="shared" si="4"/>
        <v>#VALUE!</v>
      </c>
      <c r="M101" s="325"/>
    </row>
    <row r="102" spans="1:13" ht="13">
      <c r="A102" s="316" t="s">
        <v>934</v>
      </c>
      <c r="B102" s="316" t="s">
        <v>1973</v>
      </c>
      <c r="C102" s="316" t="s">
        <v>1973</v>
      </c>
      <c r="D102" s="316" t="s">
        <v>1973</v>
      </c>
      <c r="E102" s="317" t="s">
        <v>1973</v>
      </c>
      <c r="F102" s="318">
        <v>3</v>
      </c>
      <c r="G102" s="354" t="s">
        <v>62</v>
      </c>
      <c r="H102" s="320">
        <v>27000</v>
      </c>
      <c r="I102" s="321" t="b">
        <v>1</v>
      </c>
      <c r="J102" s="322">
        <v>3</v>
      </c>
      <c r="K102" s="323">
        <v>9500</v>
      </c>
      <c r="L102" s="379">
        <f t="shared" si="4"/>
        <v>28500</v>
      </c>
      <c r="M102" s="325"/>
    </row>
    <row r="103" spans="1:13" ht="13">
      <c r="A103" s="316" t="s">
        <v>1037</v>
      </c>
      <c r="B103" s="316" t="s">
        <v>1973</v>
      </c>
      <c r="C103" s="316" t="s">
        <v>1973</v>
      </c>
      <c r="D103" s="316" t="s">
        <v>1973</v>
      </c>
      <c r="E103" s="317" t="s">
        <v>1973</v>
      </c>
      <c r="F103" s="318">
        <v>2</v>
      </c>
      <c r="G103" s="354" t="s">
        <v>62</v>
      </c>
      <c r="H103" s="320">
        <v>40200</v>
      </c>
      <c r="I103" s="321" t="b">
        <v>0</v>
      </c>
      <c r="J103" s="322"/>
      <c r="K103" s="323" t="e">
        <f>VLOOKUP($A103,'[1]Database Bahan &amp; Alat (Terupdat'!$B$50:$N$232,6,FALSE)</f>
        <v>#N/A</v>
      </c>
      <c r="L103" s="324" t="e">
        <f t="shared" si="4"/>
        <v>#N/A</v>
      </c>
      <c r="M103" s="325"/>
    </row>
    <row r="105" spans="1:13" ht="13">
      <c r="F105" s="429">
        <v>44659</v>
      </c>
      <c r="G105" s="428"/>
      <c r="H105" s="424"/>
      <c r="J105" s="429">
        <f>F105+1</f>
        <v>44660</v>
      </c>
      <c r="K105" s="428"/>
      <c r="L105" s="424"/>
    </row>
    <row r="106" spans="1:13" ht="13">
      <c r="F106" s="425" t="s">
        <v>1490</v>
      </c>
      <c r="G106" s="426"/>
      <c r="H106" s="304">
        <f>SUM(H108:H140)</f>
        <v>1052007</v>
      </c>
      <c r="J106" s="425" t="s">
        <v>1491</v>
      </c>
      <c r="K106" s="426"/>
      <c r="L106" s="304" t="e">
        <f>SUM(L108:L140)</f>
        <v>#N/A</v>
      </c>
    </row>
    <row r="107" spans="1:13" ht="13">
      <c r="A107" s="2" t="s">
        <v>4</v>
      </c>
      <c r="B107" s="305" t="s">
        <v>5</v>
      </c>
      <c r="C107" s="305" t="s">
        <v>11</v>
      </c>
      <c r="D107" s="305" t="s">
        <v>12</v>
      </c>
      <c r="E107" s="306" t="s">
        <v>6</v>
      </c>
      <c r="F107" s="307" t="s">
        <v>1494</v>
      </c>
      <c r="G107" s="308" t="s">
        <v>10</v>
      </c>
      <c r="H107" s="309" t="s">
        <v>1495</v>
      </c>
      <c r="I107" s="310" t="s">
        <v>1289</v>
      </c>
      <c r="J107" s="311" t="s">
        <v>1496</v>
      </c>
      <c r="K107" s="312" t="s">
        <v>1497</v>
      </c>
      <c r="L107" s="313" t="s">
        <v>1498</v>
      </c>
      <c r="M107" s="314" t="s">
        <v>16</v>
      </c>
    </row>
    <row r="108" spans="1:13" ht="13">
      <c r="A108" s="316" t="s">
        <v>627</v>
      </c>
      <c r="B108" s="316" t="s">
        <v>1973</v>
      </c>
      <c r="C108" s="316" t="s">
        <v>1973</v>
      </c>
      <c r="D108" s="316" t="s">
        <v>1973</v>
      </c>
      <c r="E108" s="317" t="s">
        <v>1973</v>
      </c>
      <c r="F108" s="318">
        <v>1</v>
      </c>
      <c r="G108" s="354" t="s">
        <v>36</v>
      </c>
      <c r="H108" s="320">
        <v>37900</v>
      </c>
      <c r="I108" s="321" t="b">
        <v>1</v>
      </c>
      <c r="J108" s="322">
        <v>720</v>
      </c>
      <c r="K108" s="323">
        <v>54.5</v>
      </c>
      <c r="L108" s="371">
        <f t="shared" ref="L108:L118" si="5">J108*K108</f>
        <v>39240</v>
      </c>
      <c r="M108" s="325"/>
    </row>
    <row r="109" spans="1:13" ht="13">
      <c r="A109" s="316" t="s">
        <v>782</v>
      </c>
      <c r="B109" s="316" t="s">
        <v>1973</v>
      </c>
      <c r="C109" s="316" t="s">
        <v>1973</v>
      </c>
      <c r="D109" s="316" t="s">
        <v>1973</v>
      </c>
      <c r="E109" s="317" t="s">
        <v>1973</v>
      </c>
      <c r="F109" s="318">
        <v>1</v>
      </c>
      <c r="G109" s="354" t="s">
        <v>62</v>
      </c>
      <c r="H109" s="320">
        <v>12000</v>
      </c>
      <c r="I109" s="321" t="b">
        <v>1</v>
      </c>
      <c r="J109" s="322">
        <v>1</v>
      </c>
      <c r="K109" s="323" t="e">
        <f>VLOOKUP($A109,'[1]Database Bahan &amp; Alat (Terupdat'!$B$50:$N$232,6,FALSE)</f>
        <v>#N/A</v>
      </c>
      <c r="L109" s="371" t="e">
        <f t="shared" si="5"/>
        <v>#N/A</v>
      </c>
      <c r="M109" s="325"/>
    </row>
    <row r="110" spans="1:13" ht="13">
      <c r="A110" s="316" t="s">
        <v>1661</v>
      </c>
      <c r="B110" s="316" t="s">
        <v>1973</v>
      </c>
      <c r="C110" s="316" t="s">
        <v>1973</v>
      </c>
      <c r="D110" s="316" t="s">
        <v>1973</v>
      </c>
      <c r="E110" s="317" t="s">
        <v>1973</v>
      </c>
      <c r="F110" s="318">
        <v>1</v>
      </c>
      <c r="G110" s="354" t="s">
        <v>97</v>
      </c>
      <c r="H110" s="320">
        <v>14600</v>
      </c>
      <c r="I110" s="321" t="b">
        <v>1</v>
      </c>
      <c r="J110" s="322">
        <v>1</v>
      </c>
      <c r="K110" s="323">
        <v>11000</v>
      </c>
      <c r="L110" s="380">
        <f t="shared" si="5"/>
        <v>11000</v>
      </c>
      <c r="M110" s="325"/>
    </row>
    <row r="111" spans="1:13" ht="13">
      <c r="A111" s="316" t="s">
        <v>919</v>
      </c>
      <c r="B111" s="316" t="s">
        <v>1973</v>
      </c>
      <c r="C111" s="316" t="s">
        <v>1973</v>
      </c>
      <c r="D111" s="316" t="s">
        <v>1973</v>
      </c>
      <c r="E111" s="317" t="s">
        <v>1973</v>
      </c>
      <c r="F111" s="318">
        <v>4</v>
      </c>
      <c r="G111" s="354" t="s">
        <v>62</v>
      </c>
      <c r="H111" s="320">
        <v>35200</v>
      </c>
      <c r="I111" s="321" t="b">
        <v>1</v>
      </c>
      <c r="J111" s="322">
        <v>2</v>
      </c>
      <c r="K111" s="323" t="s">
        <v>1973</v>
      </c>
      <c r="L111" s="371" t="e">
        <f t="shared" si="5"/>
        <v>#VALUE!</v>
      </c>
      <c r="M111" s="325"/>
    </row>
    <row r="112" spans="1:13" ht="13">
      <c r="A112" s="18" t="s">
        <v>1094</v>
      </c>
      <c r="B112" s="316" t="s">
        <v>1973</v>
      </c>
      <c r="C112" s="316" t="s">
        <v>1973</v>
      </c>
      <c r="D112" s="316" t="s">
        <v>1973</v>
      </c>
      <c r="E112" s="317" t="s">
        <v>1973</v>
      </c>
      <c r="F112" s="318">
        <v>1</v>
      </c>
      <c r="G112" s="354" t="s">
        <v>62</v>
      </c>
      <c r="H112" s="320">
        <v>17600</v>
      </c>
      <c r="I112" s="319" t="b">
        <v>0</v>
      </c>
      <c r="J112" s="372"/>
      <c r="K112" s="373" t="s">
        <v>1973</v>
      </c>
      <c r="L112" s="374" t="e">
        <f t="shared" si="5"/>
        <v>#VALUE!</v>
      </c>
      <c r="M112" s="325"/>
    </row>
    <row r="113" spans="1:13" ht="13">
      <c r="A113" s="316" t="s">
        <v>976</v>
      </c>
      <c r="B113" s="316" t="s">
        <v>1973</v>
      </c>
      <c r="C113" s="316" t="s">
        <v>1973</v>
      </c>
      <c r="D113" s="316" t="s">
        <v>1973</v>
      </c>
      <c r="E113" s="317" t="s">
        <v>1973</v>
      </c>
      <c r="F113" s="318">
        <v>2</v>
      </c>
      <c r="G113" s="354" t="s">
        <v>62</v>
      </c>
      <c r="H113" s="320">
        <v>50000</v>
      </c>
      <c r="I113" s="321" t="b">
        <v>1</v>
      </c>
      <c r="J113" s="322">
        <v>2</v>
      </c>
      <c r="K113" s="323" t="s">
        <v>1973</v>
      </c>
      <c r="L113" s="371" t="e">
        <f t="shared" si="5"/>
        <v>#VALUE!</v>
      </c>
      <c r="M113" s="325"/>
    </row>
    <row r="114" spans="1:13" ht="13">
      <c r="A114" s="316" t="s">
        <v>1697</v>
      </c>
      <c r="B114" s="316" t="s">
        <v>1973</v>
      </c>
      <c r="C114" s="316" t="s">
        <v>1973</v>
      </c>
      <c r="D114" s="316" t="s">
        <v>1973</v>
      </c>
      <c r="E114" s="317" t="s">
        <v>1973</v>
      </c>
      <c r="F114" s="318">
        <v>1</v>
      </c>
      <c r="G114" s="354" t="s">
        <v>62</v>
      </c>
      <c r="H114" s="320">
        <v>12500</v>
      </c>
      <c r="I114" s="321" t="b">
        <v>1</v>
      </c>
      <c r="J114" s="322">
        <v>1</v>
      </c>
      <c r="K114" s="323">
        <v>12000</v>
      </c>
      <c r="L114" s="380">
        <f t="shared" si="5"/>
        <v>12000</v>
      </c>
      <c r="M114" s="325"/>
    </row>
    <row r="115" spans="1:13" ht="13">
      <c r="A115" s="18" t="s">
        <v>1096</v>
      </c>
      <c r="B115" s="316" t="s">
        <v>1973</v>
      </c>
      <c r="C115" s="316" t="s">
        <v>1973</v>
      </c>
      <c r="D115" s="316" t="s">
        <v>1973</v>
      </c>
      <c r="E115" s="317" t="s">
        <v>1973</v>
      </c>
      <c r="F115" s="318">
        <v>1</v>
      </c>
      <c r="G115" s="354" t="s">
        <v>62</v>
      </c>
      <c r="H115" s="320">
        <v>9100</v>
      </c>
      <c r="I115" s="321" t="b">
        <v>1</v>
      </c>
      <c r="J115" s="322">
        <v>1</v>
      </c>
      <c r="K115" s="323" t="e">
        <f>VLOOKUP($A115,'[1]Database Bahan &amp; Alat (Terupdat'!$B$50:$N$232,6,FALSE)</f>
        <v>#N/A</v>
      </c>
      <c r="L115" s="371" t="e">
        <f t="shared" si="5"/>
        <v>#N/A</v>
      </c>
      <c r="M115" s="325"/>
    </row>
    <row r="116" spans="1:13" ht="13">
      <c r="A116" s="316" t="s">
        <v>631</v>
      </c>
      <c r="B116" s="316" t="s">
        <v>1973</v>
      </c>
      <c r="C116" s="316" t="s">
        <v>1973</v>
      </c>
      <c r="D116" s="316" t="s">
        <v>1973</v>
      </c>
      <c r="E116" s="317" t="s">
        <v>1973</v>
      </c>
      <c r="F116" s="318">
        <v>1</v>
      </c>
      <c r="G116" s="354" t="s">
        <v>36</v>
      </c>
      <c r="H116" s="320">
        <v>16000</v>
      </c>
      <c r="I116" s="321" t="b">
        <v>1</v>
      </c>
      <c r="J116" s="322">
        <v>1</v>
      </c>
      <c r="K116" s="323">
        <v>20000</v>
      </c>
      <c r="L116" s="379">
        <f t="shared" si="5"/>
        <v>20000</v>
      </c>
      <c r="M116" s="325"/>
    </row>
    <row r="117" spans="1:13" ht="13">
      <c r="A117" s="316" t="s">
        <v>1610</v>
      </c>
      <c r="B117" s="316" t="s">
        <v>1973</v>
      </c>
      <c r="C117" s="316" t="s">
        <v>1973</v>
      </c>
      <c r="D117" s="316" t="s">
        <v>1973</v>
      </c>
      <c r="E117" s="317" t="s">
        <v>1973</v>
      </c>
      <c r="F117" s="318">
        <v>2</v>
      </c>
      <c r="G117" s="354" t="s">
        <v>36</v>
      </c>
      <c r="H117" s="320">
        <v>20000</v>
      </c>
      <c r="I117" s="321" t="b">
        <v>1</v>
      </c>
      <c r="J117" s="322">
        <v>1</v>
      </c>
      <c r="K117" s="323">
        <v>20000</v>
      </c>
      <c r="L117" s="370">
        <f t="shared" si="5"/>
        <v>20000</v>
      </c>
      <c r="M117" s="325" t="s">
        <v>1706</v>
      </c>
    </row>
    <row r="118" spans="1:13" ht="13">
      <c r="A118" s="316" t="s">
        <v>1699</v>
      </c>
      <c r="B118" s="316" t="s">
        <v>1973</v>
      </c>
      <c r="C118" s="316" t="s">
        <v>1973</v>
      </c>
      <c r="D118" s="316" t="s">
        <v>1973</v>
      </c>
      <c r="E118" s="317" t="s">
        <v>1973</v>
      </c>
      <c r="F118" s="318">
        <v>0.5</v>
      </c>
      <c r="G118" s="354" t="s">
        <v>36</v>
      </c>
      <c r="H118" s="320">
        <v>34000</v>
      </c>
      <c r="I118" s="321" t="b">
        <v>1</v>
      </c>
      <c r="J118" s="322">
        <v>0.5</v>
      </c>
      <c r="K118" s="323">
        <v>90000</v>
      </c>
      <c r="L118" s="379">
        <f t="shared" si="5"/>
        <v>45000</v>
      </c>
      <c r="M118" s="325"/>
    </row>
    <row r="119" spans="1:13" ht="13">
      <c r="A119" s="316" t="s">
        <v>1707</v>
      </c>
      <c r="B119" s="316" t="s">
        <v>1973</v>
      </c>
      <c r="C119" s="316" t="s">
        <v>1973</v>
      </c>
      <c r="D119" s="316" t="s">
        <v>1973</v>
      </c>
      <c r="E119" s="317" t="s">
        <v>1973</v>
      </c>
      <c r="F119" s="318">
        <v>0.3</v>
      </c>
      <c r="G119" s="354" t="s">
        <v>36</v>
      </c>
      <c r="H119" s="320">
        <v>8400</v>
      </c>
      <c r="I119" s="321" t="b">
        <v>1</v>
      </c>
      <c r="J119" s="322">
        <v>0.3</v>
      </c>
      <c r="K119" s="323" t="s">
        <v>1973</v>
      </c>
      <c r="L119" s="379">
        <v>12000</v>
      </c>
      <c r="M119" s="325"/>
    </row>
    <row r="120" spans="1:13" ht="13">
      <c r="A120" s="316" t="s">
        <v>732</v>
      </c>
      <c r="B120" s="316" t="s">
        <v>1973</v>
      </c>
      <c r="C120" s="316" t="s">
        <v>1973</v>
      </c>
      <c r="D120" s="316" t="s">
        <v>1973</v>
      </c>
      <c r="E120" s="317" t="s">
        <v>1973</v>
      </c>
      <c r="F120" s="318">
        <v>1.5</v>
      </c>
      <c r="G120" s="354" t="s">
        <v>36</v>
      </c>
      <c r="H120" s="320">
        <v>39000</v>
      </c>
      <c r="I120" s="321" t="b">
        <v>1</v>
      </c>
      <c r="J120" s="322">
        <v>1.5</v>
      </c>
      <c r="K120" s="323" t="s">
        <v>1973</v>
      </c>
      <c r="L120" s="379">
        <v>43500</v>
      </c>
      <c r="M120" s="325"/>
    </row>
    <row r="121" spans="1:13" ht="13">
      <c r="A121" s="316" t="s">
        <v>744</v>
      </c>
      <c r="B121" s="316" t="s">
        <v>1973</v>
      </c>
      <c r="C121" s="316" t="s">
        <v>1973</v>
      </c>
      <c r="D121" s="316" t="s">
        <v>1973</v>
      </c>
      <c r="E121" s="317" t="s">
        <v>1973</v>
      </c>
      <c r="F121" s="318">
        <v>1</v>
      </c>
      <c r="G121" s="354" t="s">
        <v>36</v>
      </c>
      <c r="H121" s="320">
        <v>70000</v>
      </c>
      <c r="I121" s="321" t="b">
        <v>1</v>
      </c>
      <c r="J121" s="322">
        <v>1</v>
      </c>
      <c r="K121" s="323" t="s">
        <v>1973</v>
      </c>
      <c r="L121" s="371" t="e">
        <f t="shared" ref="L121:L126" si="6">J121*K121</f>
        <v>#VALUE!</v>
      </c>
      <c r="M121" s="325"/>
    </row>
    <row r="122" spans="1:13" ht="13">
      <c r="A122" s="316" t="s">
        <v>767</v>
      </c>
      <c r="B122" s="316" t="s">
        <v>1973</v>
      </c>
      <c r="C122" s="316" t="s">
        <v>1973</v>
      </c>
      <c r="D122" s="316" t="s">
        <v>1973</v>
      </c>
      <c r="E122" s="317" t="s">
        <v>1973</v>
      </c>
      <c r="F122" s="318">
        <v>5</v>
      </c>
      <c r="G122" s="354" t="s">
        <v>62</v>
      </c>
      <c r="H122" s="320">
        <v>100000</v>
      </c>
      <c r="I122" s="321" t="b">
        <v>1</v>
      </c>
      <c r="J122" s="322">
        <v>5</v>
      </c>
      <c r="K122" s="323">
        <v>21000</v>
      </c>
      <c r="L122" s="379">
        <f t="shared" si="6"/>
        <v>105000</v>
      </c>
      <c r="M122" s="325"/>
    </row>
    <row r="123" spans="1:13" ht="13">
      <c r="A123" s="316" t="s">
        <v>1700</v>
      </c>
      <c r="B123" s="316" t="s">
        <v>1973</v>
      </c>
      <c r="C123" s="316" t="s">
        <v>1973</v>
      </c>
      <c r="D123" s="316" t="s">
        <v>1973</v>
      </c>
      <c r="E123" s="317" t="s">
        <v>1973</v>
      </c>
      <c r="F123" s="318">
        <v>5</v>
      </c>
      <c r="G123" s="354" t="s">
        <v>62</v>
      </c>
      <c r="H123" s="320">
        <v>75000</v>
      </c>
      <c r="I123" s="321" t="b">
        <v>1</v>
      </c>
      <c r="J123" s="322">
        <v>5</v>
      </c>
      <c r="K123" s="323">
        <v>16000</v>
      </c>
      <c r="L123" s="379">
        <f t="shared" si="6"/>
        <v>80000</v>
      </c>
      <c r="M123" s="325"/>
    </row>
    <row r="124" spans="1:13" ht="13">
      <c r="A124" s="316" t="s">
        <v>785</v>
      </c>
      <c r="B124" s="316" t="s">
        <v>1973</v>
      </c>
      <c r="C124" s="316" t="s">
        <v>1973</v>
      </c>
      <c r="D124" s="316" t="s">
        <v>1973</v>
      </c>
      <c r="E124" s="317" t="s">
        <v>1973</v>
      </c>
      <c r="F124" s="318">
        <v>1</v>
      </c>
      <c r="G124" s="354" t="s">
        <v>62</v>
      </c>
      <c r="H124" s="320">
        <v>23000</v>
      </c>
      <c r="I124" s="321" t="b">
        <v>1</v>
      </c>
      <c r="J124" s="322">
        <v>1</v>
      </c>
      <c r="K124" s="323">
        <v>25000</v>
      </c>
      <c r="L124" s="379">
        <f t="shared" si="6"/>
        <v>25000</v>
      </c>
      <c r="M124" s="325"/>
    </row>
    <row r="125" spans="1:13" ht="13">
      <c r="A125" s="316" t="s">
        <v>827</v>
      </c>
      <c r="B125" s="316" t="s">
        <v>1973</v>
      </c>
      <c r="C125" s="316" t="s">
        <v>1973</v>
      </c>
      <c r="D125" s="316" t="s">
        <v>1973</v>
      </c>
      <c r="E125" s="317" t="s">
        <v>1973</v>
      </c>
      <c r="F125" s="318">
        <v>0.5</v>
      </c>
      <c r="G125" s="354" t="s">
        <v>36</v>
      </c>
      <c r="H125" s="320">
        <v>4000</v>
      </c>
      <c r="I125" s="321" t="b">
        <v>1</v>
      </c>
      <c r="J125" s="322">
        <v>0.5</v>
      </c>
      <c r="K125" s="323" t="s">
        <v>1973</v>
      </c>
      <c r="L125" s="371" t="e">
        <f t="shared" si="6"/>
        <v>#VALUE!</v>
      </c>
      <c r="M125" s="325"/>
    </row>
    <row r="126" spans="1:13" ht="13">
      <c r="A126" s="316" t="s">
        <v>1701</v>
      </c>
      <c r="B126" s="316" t="s">
        <v>1973</v>
      </c>
      <c r="C126" s="316" t="s">
        <v>1973</v>
      </c>
      <c r="D126" s="316" t="s">
        <v>1973</v>
      </c>
      <c r="E126" s="317" t="s">
        <v>1973</v>
      </c>
      <c r="F126" s="318">
        <v>1</v>
      </c>
      <c r="G126" s="354" t="s">
        <v>36</v>
      </c>
      <c r="H126" s="320">
        <v>18000</v>
      </c>
      <c r="I126" s="321" t="b">
        <v>1</v>
      </c>
      <c r="J126" s="322">
        <v>1</v>
      </c>
      <c r="K126" s="323" t="s">
        <v>1973</v>
      </c>
      <c r="L126" s="371" t="e">
        <f t="shared" si="6"/>
        <v>#VALUE!</v>
      </c>
      <c r="M126" s="325"/>
    </row>
    <row r="127" spans="1:13" ht="13">
      <c r="A127" s="316" t="s">
        <v>1608</v>
      </c>
      <c r="B127" s="316" t="s">
        <v>1973</v>
      </c>
      <c r="C127" s="316" t="s">
        <v>1973</v>
      </c>
      <c r="D127" s="316" t="s">
        <v>1973</v>
      </c>
      <c r="E127" s="317" t="s">
        <v>1973</v>
      </c>
      <c r="F127" s="318">
        <v>0.5</v>
      </c>
      <c r="G127" s="354" t="s">
        <v>36</v>
      </c>
      <c r="H127" s="320">
        <v>34500</v>
      </c>
      <c r="I127" s="321" t="b">
        <v>1</v>
      </c>
      <c r="J127" s="322">
        <v>0.75</v>
      </c>
      <c r="K127" s="323" t="s">
        <v>1973</v>
      </c>
      <c r="L127" s="379">
        <v>45000</v>
      </c>
      <c r="M127" s="325"/>
    </row>
    <row r="128" spans="1:13" ht="13">
      <c r="A128" s="316" t="s">
        <v>987</v>
      </c>
      <c r="B128" s="316" t="s">
        <v>1973</v>
      </c>
      <c r="C128" s="316" t="s">
        <v>1973</v>
      </c>
      <c r="D128" s="316" t="s">
        <v>1973</v>
      </c>
      <c r="E128" s="317" t="s">
        <v>1973</v>
      </c>
      <c r="F128" s="318">
        <v>1</v>
      </c>
      <c r="G128" s="354" t="s">
        <v>62</v>
      </c>
      <c r="H128" s="320">
        <v>17000</v>
      </c>
      <c r="I128" s="321" t="b">
        <v>1</v>
      </c>
      <c r="J128" s="322">
        <v>1</v>
      </c>
      <c r="K128" s="323" t="s">
        <v>1973</v>
      </c>
      <c r="L128" s="371" t="e">
        <f t="shared" ref="L128:L129" si="7">J128*K128</f>
        <v>#VALUE!</v>
      </c>
      <c r="M128" s="325"/>
    </row>
    <row r="129" spans="1:13" ht="13">
      <c r="A129" s="316" t="s">
        <v>989</v>
      </c>
      <c r="B129" s="316" t="s">
        <v>1973</v>
      </c>
      <c r="C129" s="316" t="s">
        <v>1973</v>
      </c>
      <c r="D129" s="316" t="s">
        <v>1973</v>
      </c>
      <c r="E129" s="317" t="s">
        <v>1973</v>
      </c>
      <c r="F129" s="318">
        <v>2</v>
      </c>
      <c r="G129" s="354" t="s">
        <v>62</v>
      </c>
      <c r="H129" s="320">
        <v>34000</v>
      </c>
      <c r="I129" s="321" t="b">
        <v>1</v>
      </c>
      <c r="J129" s="322">
        <v>2</v>
      </c>
      <c r="K129" s="323">
        <v>18000</v>
      </c>
      <c r="L129" s="379">
        <f t="shared" si="7"/>
        <v>36000</v>
      </c>
      <c r="M129" s="325"/>
    </row>
    <row r="130" spans="1:13" ht="13">
      <c r="A130" s="316" t="s">
        <v>1020</v>
      </c>
      <c r="B130" s="316" t="s">
        <v>1973</v>
      </c>
      <c r="C130" s="316" t="s">
        <v>1973</v>
      </c>
      <c r="D130" s="316" t="s">
        <v>1973</v>
      </c>
      <c r="E130" s="317" t="s">
        <v>1973</v>
      </c>
      <c r="F130" s="318">
        <v>0.8</v>
      </c>
      <c r="G130" s="354" t="s">
        <v>36</v>
      </c>
      <c r="H130" s="320">
        <v>9600</v>
      </c>
      <c r="I130" s="321" t="b">
        <v>1</v>
      </c>
      <c r="J130" s="322">
        <v>0.75</v>
      </c>
      <c r="K130" s="323" t="s">
        <v>1973</v>
      </c>
      <c r="L130" s="379">
        <v>9600</v>
      </c>
      <c r="M130" s="325"/>
    </row>
    <row r="131" spans="1:13" ht="13">
      <c r="A131" s="316" t="s">
        <v>1600</v>
      </c>
      <c r="B131" s="316" t="s">
        <v>1973</v>
      </c>
      <c r="C131" s="316" t="s">
        <v>1973</v>
      </c>
      <c r="D131" s="316" t="s">
        <v>1973</v>
      </c>
      <c r="E131" s="317" t="s">
        <v>1973</v>
      </c>
      <c r="F131" s="318">
        <v>1</v>
      </c>
      <c r="G131" s="354" t="s">
        <v>36</v>
      </c>
      <c r="H131" s="320">
        <v>10000</v>
      </c>
      <c r="I131" s="321" t="b">
        <v>1</v>
      </c>
      <c r="J131" s="322">
        <v>1</v>
      </c>
      <c r="K131" s="323" t="s">
        <v>1973</v>
      </c>
      <c r="L131" s="371" t="e">
        <f t="shared" ref="L131:L140" si="8">J131*K131</f>
        <v>#VALUE!</v>
      </c>
      <c r="M131" s="325"/>
    </row>
    <row r="132" spans="1:13" ht="13">
      <c r="A132" s="316" t="s">
        <v>1703</v>
      </c>
      <c r="B132" s="316" t="s">
        <v>1973</v>
      </c>
      <c r="C132" s="316" t="s">
        <v>1973</v>
      </c>
      <c r="D132" s="316" t="s">
        <v>1973</v>
      </c>
      <c r="E132" s="317" t="s">
        <v>1973</v>
      </c>
      <c r="F132" s="318">
        <v>1</v>
      </c>
      <c r="G132" s="354" t="s">
        <v>62</v>
      </c>
      <c r="H132" s="320">
        <v>22407</v>
      </c>
      <c r="I132" s="321" t="b">
        <v>1</v>
      </c>
      <c r="J132" s="322">
        <v>1</v>
      </c>
      <c r="K132" s="323">
        <v>22000</v>
      </c>
      <c r="L132" s="371">
        <f t="shared" si="8"/>
        <v>22000</v>
      </c>
      <c r="M132" s="325"/>
    </row>
    <row r="133" spans="1:13" ht="13">
      <c r="A133" s="316" t="s">
        <v>1602</v>
      </c>
      <c r="B133" s="316" t="s">
        <v>1973</v>
      </c>
      <c r="C133" s="316" t="s">
        <v>1973</v>
      </c>
      <c r="D133" s="316" t="s">
        <v>1973</v>
      </c>
      <c r="E133" s="317" t="s">
        <v>1973</v>
      </c>
      <c r="F133" s="318">
        <v>4</v>
      </c>
      <c r="G133" s="354" t="s">
        <v>36</v>
      </c>
      <c r="H133" s="320">
        <v>56000</v>
      </c>
      <c r="I133" s="321" t="b">
        <v>1</v>
      </c>
      <c r="J133" s="322">
        <v>4</v>
      </c>
      <c r="K133" s="323" t="e">
        <f>VLOOKUP($A133,'[1]Database Bahan &amp; Alat (Terupdat'!$B$50:$N$232,6,FALSE)</f>
        <v>#N/A</v>
      </c>
      <c r="L133" s="371" t="e">
        <f t="shared" si="8"/>
        <v>#N/A</v>
      </c>
      <c r="M133" s="325"/>
    </row>
    <row r="134" spans="1:13" ht="13">
      <c r="A134" s="316" t="s">
        <v>680</v>
      </c>
      <c r="B134" s="316" t="s">
        <v>1973</v>
      </c>
      <c r="C134" s="316" t="s">
        <v>1973</v>
      </c>
      <c r="D134" s="316" t="s">
        <v>1973</v>
      </c>
      <c r="E134" s="317" t="s">
        <v>1973</v>
      </c>
      <c r="F134" s="318">
        <v>2</v>
      </c>
      <c r="G134" s="354" t="s">
        <v>97</v>
      </c>
      <c r="H134" s="320">
        <v>62000</v>
      </c>
      <c r="I134" s="321" t="b">
        <v>1</v>
      </c>
      <c r="J134" s="322">
        <v>2</v>
      </c>
      <c r="K134" s="323">
        <v>32000</v>
      </c>
      <c r="L134" s="379">
        <f t="shared" si="8"/>
        <v>64000</v>
      </c>
      <c r="M134" s="325"/>
    </row>
    <row r="135" spans="1:13" ht="13">
      <c r="A135" s="316" t="s">
        <v>684</v>
      </c>
      <c r="B135" s="316" t="s">
        <v>1973</v>
      </c>
      <c r="C135" s="316" t="s">
        <v>1973</v>
      </c>
      <c r="D135" s="316" t="s">
        <v>1973</v>
      </c>
      <c r="E135" s="317" t="s">
        <v>1973</v>
      </c>
      <c r="F135" s="318">
        <v>2</v>
      </c>
      <c r="G135" s="354" t="s">
        <v>97</v>
      </c>
      <c r="H135" s="320">
        <v>62000</v>
      </c>
      <c r="I135" s="321" t="b">
        <v>1</v>
      </c>
      <c r="J135" s="322">
        <v>2</v>
      </c>
      <c r="K135" s="323">
        <v>32000</v>
      </c>
      <c r="L135" s="379">
        <f t="shared" si="8"/>
        <v>64000</v>
      </c>
      <c r="M135" s="325"/>
    </row>
    <row r="136" spans="1:13" ht="13">
      <c r="A136" s="316" t="s">
        <v>696</v>
      </c>
      <c r="B136" s="316" t="s">
        <v>1973</v>
      </c>
      <c r="C136" s="316" t="s">
        <v>1973</v>
      </c>
      <c r="D136" s="316" t="s">
        <v>1973</v>
      </c>
      <c r="E136" s="317" t="s">
        <v>1973</v>
      </c>
      <c r="F136" s="318">
        <v>4</v>
      </c>
      <c r="G136" s="354" t="s">
        <v>62</v>
      </c>
      <c r="H136" s="320">
        <v>44000</v>
      </c>
      <c r="I136" s="321" t="b">
        <v>1</v>
      </c>
      <c r="J136" s="322">
        <v>4</v>
      </c>
      <c r="K136" s="323" t="s">
        <v>1973</v>
      </c>
      <c r="L136" s="371" t="e">
        <f t="shared" si="8"/>
        <v>#VALUE!</v>
      </c>
      <c r="M136" s="325"/>
    </row>
    <row r="137" spans="1:13" ht="13">
      <c r="A137" s="316" t="s">
        <v>889</v>
      </c>
      <c r="B137" s="316" t="s">
        <v>1973</v>
      </c>
      <c r="C137" s="316" t="s">
        <v>1973</v>
      </c>
      <c r="D137" s="316" t="s">
        <v>1973</v>
      </c>
      <c r="E137" s="317" t="s">
        <v>1973</v>
      </c>
      <c r="F137" s="318">
        <v>1</v>
      </c>
      <c r="G137" s="354" t="s">
        <v>62</v>
      </c>
      <c r="H137" s="320">
        <v>20000</v>
      </c>
      <c r="I137" s="321" t="b">
        <v>1</v>
      </c>
      <c r="J137" s="322">
        <v>1</v>
      </c>
      <c r="K137" s="323" t="s">
        <v>1973</v>
      </c>
      <c r="L137" s="371" t="e">
        <f t="shared" si="8"/>
        <v>#VALUE!</v>
      </c>
      <c r="M137" s="325"/>
    </row>
    <row r="138" spans="1:13" ht="13">
      <c r="A138" s="316" t="s">
        <v>1548</v>
      </c>
      <c r="B138" s="316" t="s">
        <v>1973</v>
      </c>
      <c r="C138" s="316" t="s">
        <v>1973</v>
      </c>
      <c r="D138" s="316" t="s">
        <v>1973</v>
      </c>
      <c r="E138" s="317" t="s">
        <v>1973</v>
      </c>
      <c r="F138" s="318">
        <v>3</v>
      </c>
      <c r="G138" s="354" t="s">
        <v>62</v>
      </c>
      <c r="H138" s="320">
        <v>36000</v>
      </c>
      <c r="I138" s="321" t="b">
        <v>1</v>
      </c>
      <c r="J138" s="322">
        <v>3</v>
      </c>
      <c r="K138" s="323" t="s">
        <v>1973</v>
      </c>
      <c r="L138" s="371" t="e">
        <f t="shared" si="8"/>
        <v>#VALUE!</v>
      </c>
      <c r="M138" s="325"/>
    </row>
    <row r="139" spans="1:13" ht="13">
      <c r="A139" s="316" t="s">
        <v>1615</v>
      </c>
      <c r="B139" s="316" t="s">
        <v>1973</v>
      </c>
      <c r="C139" s="316" t="s">
        <v>1973</v>
      </c>
      <c r="D139" s="316" t="s">
        <v>1973</v>
      </c>
      <c r="E139" s="317" t="s">
        <v>1973</v>
      </c>
      <c r="F139" s="318">
        <v>1</v>
      </c>
      <c r="G139" s="354" t="s">
        <v>62</v>
      </c>
      <c r="H139" s="320">
        <v>8000</v>
      </c>
      <c r="I139" s="321" t="b">
        <v>1</v>
      </c>
      <c r="J139" s="322">
        <v>1</v>
      </c>
      <c r="K139" s="323">
        <v>8500</v>
      </c>
      <c r="L139" s="379">
        <f t="shared" si="8"/>
        <v>8500</v>
      </c>
      <c r="M139" s="325"/>
    </row>
    <row r="140" spans="1:13" ht="13">
      <c r="A140" s="316" t="s">
        <v>1037</v>
      </c>
      <c r="B140" s="316" t="s">
        <v>1973</v>
      </c>
      <c r="C140" s="316" t="s">
        <v>1973</v>
      </c>
      <c r="D140" s="316" t="s">
        <v>1973</v>
      </c>
      <c r="E140" s="317" t="s">
        <v>1973</v>
      </c>
      <c r="F140" s="318">
        <v>2</v>
      </c>
      <c r="G140" s="354" t="s">
        <v>62</v>
      </c>
      <c r="H140" s="320">
        <v>40200</v>
      </c>
      <c r="I140" s="321" t="b">
        <v>1</v>
      </c>
      <c r="J140" s="322">
        <v>1</v>
      </c>
      <c r="K140" s="323">
        <v>22300</v>
      </c>
      <c r="L140" s="379">
        <f t="shared" si="8"/>
        <v>22300</v>
      </c>
      <c r="M140" s="325"/>
    </row>
    <row r="142" spans="1:13" ht="13">
      <c r="F142" s="429">
        <v>44662</v>
      </c>
      <c r="G142" s="428"/>
      <c r="H142" s="424"/>
      <c r="J142" s="429">
        <f>F142+1</f>
        <v>44663</v>
      </c>
      <c r="K142" s="428"/>
      <c r="L142" s="424"/>
    </row>
    <row r="143" spans="1:13" ht="13">
      <c r="F143" s="425" t="s">
        <v>1490</v>
      </c>
      <c r="G143" s="426"/>
      <c r="H143" s="304">
        <f>SUM(H145:H166)</f>
        <v>1160500</v>
      </c>
      <c r="J143" s="425" t="s">
        <v>1491</v>
      </c>
      <c r="K143" s="426"/>
      <c r="L143" s="304" t="e">
        <f>SUM(L145:L166)</f>
        <v>#N/A</v>
      </c>
    </row>
    <row r="144" spans="1:13" ht="13">
      <c r="A144" s="2" t="s">
        <v>4</v>
      </c>
      <c r="B144" s="305" t="s">
        <v>5</v>
      </c>
      <c r="C144" s="305" t="s">
        <v>11</v>
      </c>
      <c r="D144" s="305" t="s">
        <v>12</v>
      </c>
      <c r="E144" s="306" t="s">
        <v>6</v>
      </c>
      <c r="F144" s="307" t="s">
        <v>1494</v>
      </c>
      <c r="G144" s="308" t="s">
        <v>10</v>
      </c>
      <c r="H144" s="309" t="s">
        <v>1495</v>
      </c>
      <c r="I144" s="310" t="s">
        <v>1289</v>
      </c>
      <c r="J144" s="311" t="s">
        <v>1496</v>
      </c>
      <c r="K144" s="312" t="s">
        <v>1497</v>
      </c>
      <c r="L144" s="313" t="s">
        <v>1498</v>
      </c>
      <c r="M144" s="314" t="s">
        <v>16</v>
      </c>
    </row>
    <row r="145" spans="1:13" ht="13">
      <c r="A145" s="316" t="s">
        <v>1598</v>
      </c>
      <c r="B145" s="316" t="s">
        <v>1973</v>
      </c>
      <c r="C145" s="316" t="s">
        <v>1973</v>
      </c>
      <c r="D145" s="316" t="s">
        <v>1973</v>
      </c>
      <c r="E145" s="317" t="s">
        <v>1973</v>
      </c>
      <c r="F145" s="318">
        <v>2</v>
      </c>
      <c r="G145" s="354" t="s">
        <v>97</v>
      </c>
      <c r="H145" s="320">
        <v>20800</v>
      </c>
      <c r="I145" s="321" t="b">
        <v>1</v>
      </c>
      <c r="J145" s="322">
        <v>2</v>
      </c>
      <c r="K145" s="323">
        <v>11500</v>
      </c>
      <c r="L145" s="379">
        <f t="shared" ref="L145:L166" si="9">J145*K145</f>
        <v>23000</v>
      </c>
      <c r="M145" s="325"/>
    </row>
    <row r="146" spans="1:13" ht="13">
      <c r="A146" s="316" t="s">
        <v>782</v>
      </c>
      <c r="B146" s="316" t="s">
        <v>1973</v>
      </c>
      <c r="C146" s="316" t="s">
        <v>1973</v>
      </c>
      <c r="D146" s="316" t="s">
        <v>1973</v>
      </c>
      <c r="E146" s="317" t="s">
        <v>1973</v>
      </c>
      <c r="F146" s="318">
        <v>1</v>
      </c>
      <c r="G146" s="354" t="s">
        <v>62</v>
      </c>
      <c r="H146" s="320">
        <v>12000</v>
      </c>
      <c r="I146" s="321" t="b">
        <v>1</v>
      </c>
      <c r="J146" s="322">
        <v>1</v>
      </c>
      <c r="K146" s="323" t="e">
        <f>VLOOKUP($A146,'[1]Database Bahan &amp; Alat (Terupdat'!$B$50:$N$232,6,FALSE)</f>
        <v>#N/A</v>
      </c>
      <c r="L146" s="371" t="e">
        <f t="shared" si="9"/>
        <v>#N/A</v>
      </c>
      <c r="M146" s="325"/>
    </row>
    <row r="147" spans="1:13" ht="13">
      <c r="A147" s="316" t="s">
        <v>919</v>
      </c>
      <c r="B147" s="316" t="s">
        <v>1973</v>
      </c>
      <c r="C147" s="316" t="s">
        <v>1973</v>
      </c>
      <c r="D147" s="316" t="s">
        <v>1973</v>
      </c>
      <c r="E147" s="317" t="s">
        <v>1973</v>
      </c>
      <c r="F147" s="318">
        <v>4</v>
      </c>
      <c r="G147" s="354" t="s">
        <v>62</v>
      </c>
      <c r="H147" s="320">
        <v>35200</v>
      </c>
      <c r="I147" s="321" t="b">
        <v>1</v>
      </c>
      <c r="J147" s="322">
        <v>1</v>
      </c>
      <c r="K147" s="323">
        <v>30900</v>
      </c>
      <c r="L147" s="371">
        <f t="shared" si="9"/>
        <v>30900</v>
      </c>
      <c r="M147" s="325"/>
    </row>
    <row r="148" spans="1:13" ht="13">
      <c r="A148" s="316" t="s">
        <v>639</v>
      </c>
      <c r="B148" s="316" t="s">
        <v>1973</v>
      </c>
      <c r="C148" s="316" t="s">
        <v>1973</v>
      </c>
      <c r="D148" s="316" t="s">
        <v>1973</v>
      </c>
      <c r="E148" s="317" t="s">
        <v>1973</v>
      </c>
      <c r="F148" s="318">
        <v>1</v>
      </c>
      <c r="G148" s="354" t="s">
        <v>36</v>
      </c>
      <c r="H148" s="320">
        <v>125000</v>
      </c>
      <c r="I148" s="321" t="b">
        <v>1</v>
      </c>
      <c r="J148" s="322">
        <v>1</v>
      </c>
      <c r="K148" s="323">
        <v>135000</v>
      </c>
      <c r="L148" s="379">
        <f t="shared" si="9"/>
        <v>135000</v>
      </c>
      <c r="M148" s="325"/>
    </row>
    <row r="149" spans="1:13" ht="13">
      <c r="A149" s="316" t="s">
        <v>1610</v>
      </c>
      <c r="B149" s="316" t="s">
        <v>1973</v>
      </c>
      <c r="C149" s="316" t="s">
        <v>1973</v>
      </c>
      <c r="D149" s="316" t="s">
        <v>1973</v>
      </c>
      <c r="E149" s="317" t="s">
        <v>1973</v>
      </c>
      <c r="F149" s="318">
        <v>2.5</v>
      </c>
      <c r="G149" s="354" t="s">
        <v>36</v>
      </c>
      <c r="H149" s="320">
        <v>25000</v>
      </c>
      <c r="I149" s="321" t="b">
        <v>1</v>
      </c>
      <c r="J149" s="322">
        <v>2.5</v>
      </c>
      <c r="K149" s="323" t="e">
        <f>VLOOKUP($A149,'[1]Database Bahan &amp; Alat (Terupdat'!$B$50:$N$232,6,FALSE)</f>
        <v>#N/A</v>
      </c>
      <c r="L149" s="371" t="e">
        <f t="shared" si="9"/>
        <v>#N/A</v>
      </c>
      <c r="M149" s="325"/>
    </row>
    <row r="150" spans="1:13" ht="13">
      <c r="A150" s="316" t="s">
        <v>1611</v>
      </c>
      <c r="B150" s="316" t="s">
        <v>1973</v>
      </c>
      <c r="C150" s="316" t="s">
        <v>1973</v>
      </c>
      <c r="D150" s="316" t="s">
        <v>1973</v>
      </c>
      <c r="E150" s="317" t="s">
        <v>1973</v>
      </c>
      <c r="F150" s="318">
        <v>2.5</v>
      </c>
      <c r="G150" s="354" t="s">
        <v>36</v>
      </c>
      <c r="H150" s="320">
        <v>125000</v>
      </c>
      <c r="I150" s="321" t="b">
        <v>1</v>
      </c>
      <c r="J150" s="322">
        <v>2.5</v>
      </c>
      <c r="K150" s="323">
        <v>48000</v>
      </c>
      <c r="L150" s="380">
        <f t="shared" si="9"/>
        <v>120000</v>
      </c>
      <c r="M150" s="325"/>
    </row>
    <row r="151" spans="1:13" ht="13">
      <c r="A151" s="316" t="s">
        <v>712</v>
      </c>
      <c r="B151" s="316" t="s">
        <v>1973</v>
      </c>
      <c r="C151" s="316" t="s">
        <v>1973</v>
      </c>
      <c r="D151" s="316" t="s">
        <v>1973</v>
      </c>
      <c r="E151" s="317" t="s">
        <v>1973</v>
      </c>
      <c r="F151" s="318">
        <v>2</v>
      </c>
      <c r="G151" s="354" t="s">
        <v>36</v>
      </c>
      <c r="H151" s="320">
        <v>48000</v>
      </c>
      <c r="I151" s="321" t="b">
        <v>1</v>
      </c>
      <c r="J151" s="322">
        <v>2</v>
      </c>
      <c r="K151" s="323">
        <v>28000</v>
      </c>
      <c r="L151" s="379">
        <f t="shared" si="9"/>
        <v>56000</v>
      </c>
      <c r="M151" s="325"/>
    </row>
    <row r="152" spans="1:13" ht="13">
      <c r="A152" s="316" t="s">
        <v>724</v>
      </c>
      <c r="B152" s="316" t="s">
        <v>1973</v>
      </c>
      <c r="C152" s="316" t="s">
        <v>1973</v>
      </c>
      <c r="D152" s="316" t="s">
        <v>1973</v>
      </c>
      <c r="E152" s="317" t="s">
        <v>1973</v>
      </c>
      <c r="F152" s="318">
        <v>0.25</v>
      </c>
      <c r="G152" s="354" t="s">
        <v>36</v>
      </c>
      <c r="H152" s="320">
        <v>5000</v>
      </c>
      <c r="I152" s="321" t="b">
        <v>1</v>
      </c>
      <c r="J152" s="322">
        <v>0.25</v>
      </c>
      <c r="K152" s="323" t="e">
        <f>VLOOKUP($A152,'[1]Database Bahan &amp; Alat (Terupdat'!$B$50:$N$232,6,FALSE)</f>
        <v>#N/A</v>
      </c>
      <c r="L152" s="371" t="e">
        <f t="shared" si="9"/>
        <v>#N/A</v>
      </c>
      <c r="M152" s="325"/>
    </row>
    <row r="153" spans="1:13" ht="13">
      <c r="A153" s="316" t="s">
        <v>732</v>
      </c>
      <c r="B153" s="316" t="s">
        <v>1973</v>
      </c>
      <c r="C153" s="316" t="s">
        <v>1973</v>
      </c>
      <c r="D153" s="316" t="s">
        <v>1973</v>
      </c>
      <c r="E153" s="317" t="s">
        <v>1973</v>
      </c>
      <c r="F153" s="318">
        <v>1.5</v>
      </c>
      <c r="G153" s="354" t="s">
        <v>36</v>
      </c>
      <c r="H153" s="320">
        <v>39000</v>
      </c>
      <c r="I153" s="321" t="b">
        <v>1</v>
      </c>
      <c r="J153" s="322">
        <v>1.5</v>
      </c>
      <c r="K153" s="323">
        <v>28000</v>
      </c>
      <c r="L153" s="379">
        <f t="shared" si="9"/>
        <v>42000</v>
      </c>
      <c r="M153" s="325"/>
    </row>
    <row r="154" spans="1:13" ht="13">
      <c r="A154" s="316" t="s">
        <v>744</v>
      </c>
      <c r="B154" s="316" t="s">
        <v>1973</v>
      </c>
      <c r="C154" s="316" t="s">
        <v>1973</v>
      </c>
      <c r="D154" s="316" t="s">
        <v>1973</v>
      </c>
      <c r="E154" s="317" t="s">
        <v>1973</v>
      </c>
      <c r="F154" s="318">
        <v>1</v>
      </c>
      <c r="G154" s="354" t="s">
        <v>36</v>
      </c>
      <c r="H154" s="320">
        <v>70000</v>
      </c>
      <c r="I154" s="321" t="b">
        <v>1</v>
      </c>
      <c r="J154" s="322">
        <v>1</v>
      </c>
      <c r="K154" s="323" t="e">
        <f>VLOOKUP($A154,'[1]Database Bahan &amp; Alat (Terupdat'!$B$50:$N$232,6,FALSE)</f>
        <v>#N/A</v>
      </c>
      <c r="L154" s="370" t="e">
        <f t="shared" si="9"/>
        <v>#N/A</v>
      </c>
      <c r="M154" s="325" t="s">
        <v>1708</v>
      </c>
    </row>
    <row r="155" spans="1:13" ht="13">
      <c r="A155" s="316" t="s">
        <v>1700</v>
      </c>
      <c r="B155" s="316" t="s">
        <v>1973</v>
      </c>
      <c r="C155" s="316" t="s">
        <v>1973</v>
      </c>
      <c r="D155" s="316" t="s">
        <v>1973</v>
      </c>
      <c r="E155" s="317" t="s">
        <v>1973</v>
      </c>
      <c r="F155" s="318">
        <v>3</v>
      </c>
      <c r="G155" s="354" t="s">
        <v>62</v>
      </c>
      <c r="H155" s="320">
        <v>45000</v>
      </c>
      <c r="I155" s="321" t="b">
        <v>1</v>
      </c>
      <c r="J155" s="322">
        <v>3</v>
      </c>
      <c r="K155" s="323">
        <v>16000</v>
      </c>
      <c r="L155" s="379">
        <f t="shared" si="9"/>
        <v>48000</v>
      </c>
      <c r="M155" s="325"/>
    </row>
    <row r="156" spans="1:13" ht="13">
      <c r="A156" s="316" t="s">
        <v>795</v>
      </c>
      <c r="B156" s="316" t="s">
        <v>1973</v>
      </c>
      <c r="C156" s="316" t="s">
        <v>1973</v>
      </c>
      <c r="D156" s="316" t="s">
        <v>1973</v>
      </c>
      <c r="E156" s="317" t="s">
        <v>1973</v>
      </c>
      <c r="F156" s="318">
        <v>5</v>
      </c>
      <c r="G156" s="354" t="s">
        <v>62</v>
      </c>
      <c r="H156" s="320">
        <v>25000</v>
      </c>
      <c r="I156" s="321" t="b">
        <v>1</v>
      </c>
      <c r="J156" s="322">
        <v>5</v>
      </c>
      <c r="K156" s="323" t="s">
        <v>1973</v>
      </c>
      <c r="L156" s="371" t="e">
        <f t="shared" si="9"/>
        <v>#VALUE!</v>
      </c>
      <c r="M156" s="325"/>
    </row>
    <row r="157" spans="1:13" ht="13">
      <c r="A157" s="316" t="s">
        <v>819</v>
      </c>
      <c r="B157" s="316" t="s">
        <v>1973</v>
      </c>
      <c r="C157" s="316" t="s">
        <v>1973</v>
      </c>
      <c r="D157" s="316" t="s">
        <v>1973</v>
      </c>
      <c r="E157" s="317" t="s">
        <v>1973</v>
      </c>
      <c r="F157" s="318">
        <v>0.1</v>
      </c>
      <c r="G157" s="354" t="s">
        <v>36</v>
      </c>
      <c r="H157" s="320">
        <v>2000</v>
      </c>
      <c r="I157" s="319" t="b">
        <v>0</v>
      </c>
      <c r="J157" s="372"/>
      <c r="K157" s="373" t="s">
        <v>1973</v>
      </c>
      <c r="L157" s="374" t="e">
        <f t="shared" si="9"/>
        <v>#VALUE!</v>
      </c>
      <c r="M157" s="325"/>
    </row>
    <row r="158" spans="1:13" ht="13">
      <c r="A158" s="316" t="s">
        <v>1608</v>
      </c>
      <c r="B158" s="316" t="s">
        <v>1973</v>
      </c>
      <c r="C158" s="316" t="s">
        <v>1973</v>
      </c>
      <c r="D158" s="316" t="s">
        <v>1973</v>
      </c>
      <c r="E158" s="317" t="s">
        <v>1973</v>
      </c>
      <c r="F158" s="318">
        <v>0.5</v>
      </c>
      <c r="G158" s="354" t="s">
        <v>36</v>
      </c>
      <c r="H158" s="320">
        <v>34500</v>
      </c>
      <c r="I158" s="319" t="b">
        <v>0</v>
      </c>
      <c r="J158" s="372">
        <v>0</v>
      </c>
      <c r="K158" s="373" t="s">
        <v>1973</v>
      </c>
      <c r="L158" s="374" t="e">
        <f t="shared" si="9"/>
        <v>#VALUE!</v>
      </c>
      <c r="M158" s="325"/>
    </row>
    <row r="159" spans="1:13" ht="13">
      <c r="A159" s="316" t="s">
        <v>1671</v>
      </c>
      <c r="B159" s="316" t="s">
        <v>1973</v>
      </c>
      <c r="C159" s="316" t="s">
        <v>1973</v>
      </c>
      <c r="D159" s="316" t="s">
        <v>1973</v>
      </c>
      <c r="E159" s="317" t="s">
        <v>1973</v>
      </c>
      <c r="F159" s="318">
        <v>3</v>
      </c>
      <c r="G159" s="354" t="s">
        <v>36</v>
      </c>
      <c r="H159" s="320">
        <v>270000</v>
      </c>
      <c r="I159" s="321" t="b">
        <v>1</v>
      </c>
      <c r="J159" s="322">
        <v>3</v>
      </c>
      <c r="K159" s="323">
        <v>100000</v>
      </c>
      <c r="L159" s="379">
        <f t="shared" si="9"/>
        <v>300000</v>
      </c>
      <c r="M159" s="325"/>
    </row>
    <row r="160" spans="1:13" ht="13">
      <c r="A160" s="316" t="s">
        <v>1000</v>
      </c>
      <c r="B160" s="316" t="s">
        <v>1973</v>
      </c>
      <c r="C160" s="316" t="s">
        <v>1973</v>
      </c>
      <c r="D160" s="316" t="s">
        <v>1973</v>
      </c>
      <c r="E160" s="317" t="s">
        <v>1973</v>
      </c>
      <c r="F160" s="318">
        <v>1</v>
      </c>
      <c r="G160" s="354" t="s">
        <v>62</v>
      </c>
      <c r="H160" s="320">
        <v>11500</v>
      </c>
      <c r="I160" s="321" t="b">
        <v>1</v>
      </c>
      <c r="J160" s="322">
        <v>1</v>
      </c>
      <c r="K160" s="323">
        <v>11000</v>
      </c>
      <c r="L160" s="371">
        <f t="shared" si="9"/>
        <v>11000</v>
      </c>
      <c r="M160" s="325"/>
    </row>
    <row r="161" spans="1:13" ht="13">
      <c r="A161" s="316" t="s">
        <v>1020</v>
      </c>
      <c r="B161" s="316" t="s">
        <v>1973</v>
      </c>
      <c r="C161" s="316" t="s">
        <v>1973</v>
      </c>
      <c r="D161" s="316" t="s">
        <v>1973</v>
      </c>
      <c r="E161" s="317" t="s">
        <v>1973</v>
      </c>
      <c r="F161" s="318">
        <v>1</v>
      </c>
      <c r="G161" s="354" t="s">
        <v>36</v>
      </c>
      <c r="H161" s="320">
        <v>12000</v>
      </c>
      <c r="I161" s="321" t="b">
        <v>1</v>
      </c>
      <c r="J161" s="322">
        <v>1</v>
      </c>
      <c r="K161" s="323" t="s">
        <v>1973</v>
      </c>
      <c r="L161" s="371" t="e">
        <f t="shared" si="9"/>
        <v>#VALUE!</v>
      </c>
      <c r="M161" s="325"/>
    </row>
    <row r="162" spans="1:13" ht="13">
      <c r="A162" s="316" t="s">
        <v>1600</v>
      </c>
      <c r="B162" s="316" t="s">
        <v>1973</v>
      </c>
      <c r="C162" s="316" t="s">
        <v>1973</v>
      </c>
      <c r="D162" s="316" t="s">
        <v>1973</v>
      </c>
      <c r="E162" s="317" t="s">
        <v>1973</v>
      </c>
      <c r="F162" s="318">
        <v>1</v>
      </c>
      <c r="G162" s="354" t="s">
        <v>36</v>
      </c>
      <c r="H162" s="320">
        <v>10000</v>
      </c>
      <c r="I162" s="321" t="b">
        <v>1</v>
      </c>
      <c r="J162" s="322">
        <v>1</v>
      </c>
      <c r="K162" s="323" t="s">
        <v>1973</v>
      </c>
      <c r="L162" s="371" t="e">
        <f t="shared" si="9"/>
        <v>#VALUE!</v>
      </c>
      <c r="M162" s="325"/>
    </row>
    <row r="163" spans="1:13" ht="13">
      <c r="A163" s="316" t="s">
        <v>779</v>
      </c>
      <c r="B163" s="316" t="s">
        <v>1973</v>
      </c>
      <c r="C163" s="316" t="s">
        <v>1973</v>
      </c>
      <c r="D163" s="316" t="s">
        <v>1973</v>
      </c>
      <c r="E163" s="317" t="s">
        <v>1973</v>
      </c>
      <c r="F163" s="318">
        <v>2</v>
      </c>
      <c r="G163" s="354" t="s">
        <v>62</v>
      </c>
      <c r="H163" s="320">
        <v>77000</v>
      </c>
      <c r="I163" s="321" t="b">
        <v>1</v>
      </c>
      <c r="J163" s="322">
        <v>2</v>
      </c>
      <c r="K163" s="323">
        <v>16000</v>
      </c>
      <c r="L163" s="370">
        <f t="shared" si="9"/>
        <v>32000</v>
      </c>
      <c r="M163" s="325"/>
    </row>
    <row r="164" spans="1:13" ht="13">
      <c r="A164" s="316" t="s">
        <v>643</v>
      </c>
      <c r="B164" s="316" t="s">
        <v>1973</v>
      </c>
      <c r="C164" s="316" t="s">
        <v>1973</v>
      </c>
      <c r="D164" s="316" t="s">
        <v>1973</v>
      </c>
      <c r="E164" s="317" t="s">
        <v>1973</v>
      </c>
      <c r="F164" s="318">
        <v>0.5</v>
      </c>
      <c r="G164" s="354" t="s">
        <v>36</v>
      </c>
      <c r="H164" s="320">
        <v>7500</v>
      </c>
      <c r="I164" s="321" t="b">
        <v>1</v>
      </c>
      <c r="J164" s="322">
        <v>0.5</v>
      </c>
      <c r="K164" s="323" t="s">
        <v>1973</v>
      </c>
      <c r="L164" s="371" t="e">
        <f t="shared" si="9"/>
        <v>#VALUE!</v>
      </c>
      <c r="M164" s="325"/>
    </row>
    <row r="165" spans="1:13" ht="13">
      <c r="A165" s="316" t="s">
        <v>892</v>
      </c>
      <c r="B165" s="316" t="s">
        <v>1973</v>
      </c>
      <c r="C165" s="316" t="s">
        <v>1973</v>
      </c>
      <c r="D165" s="316" t="s">
        <v>1973</v>
      </c>
      <c r="E165" s="317" t="s">
        <v>1973</v>
      </c>
      <c r="F165" s="318">
        <v>1</v>
      </c>
      <c r="G165" s="354" t="s">
        <v>36</v>
      </c>
      <c r="H165" s="320">
        <v>125000</v>
      </c>
      <c r="I165" s="321" t="b">
        <v>1</v>
      </c>
      <c r="J165" s="322">
        <v>1</v>
      </c>
      <c r="K165" s="323" t="s">
        <v>1973</v>
      </c>
      <c r="L165" s="371" t="e">
        <f t="shared" si="9"/>
        <v>#VALUE!</v>
      </c>
      <c r="M165" s="325"/>
    </row>
    <row r="166" spans="1:13" ht="13">
      <c r="A166" s="316" t="s">
        <v>934</v>
      </c>
      <c r="B166" s="316" t="s">
        <v>1973</v>
      </c>
      <c r="C166" s="316" t="s">
        <v>1973</v>
      </c>
      <c r="D166" s="316" t="s">
        <v>1973</v>
      </c>
      <c r="E166" s="317" t="s">
        <v>1973</v>
      </c>
      <c r="F166" s="318">
        <v>4</v>
      </c>
      <c r="G166" s="354" t="s">
        <v>62</v>
      </c>
      <c r="H166" s="320">
        <v>36000</v>
      </c>
      <c r="I166" s="321" t="b">
        <v>1</v>
      </c>
      <c r="J166" s="322">
        <v>4</v>
      </c>
      <c r="K166" s="323">
        <v>9500</v>
      </c>
      <c r="L166" s="379">
        <f t="shared" si="9"/>
        <v>38000</v>
      </c>
      <c r="M166" s="325"/>
    </row>
    <row r="168" spans="1:13" ht="13">
      <c r="F168" s="429">
        <v>44665</v>
      </c>
      <c r="G168" s="428"/>
      <c r="H168" s="424"/>
      <c r="J168" s="429">
        <f>F168+1</f>
        <v>44666</v>
      </c>
      <c r="K168" s="428"/>
      <c r="L168" s="424"/>
    </row>
    <row r="169" spans="1:13" ht="13">
      <c r="F169" s="425" t="s">
        <v>1490</v>
      </c>
      <c r="G169" s="426"/>
      <c r="H169" s="304">
        <f>SUM(H171:H175)</f>
        <v>262400</v>
      </c>
      <c r="J169" s="425" t="s">
        <v>1491</v>
      </c>
      <c r="K169" s="426"/>
      <c r="L169" s="304" t="e">
        <f>SUM(L171:L175)</f>
        <v>#VALUE!</v>
      </c>
    </row>
    <row r="170" spans="1:13" ht="13">
      <c r="A170" s="2" t="s">
        <v>4</v>
      </c>
      <c r="B170" s="305" t="s">
        <v>5</v>
      </c>
      <c r="C170" s="305" t="s">
        <v>11</v>
      </c>
      <c r="D170" s="305" t="s">
        <v>12</v>
      </c>
      <c r="E170" s="306" t="s">
        <v>6</v>
      </c>
      <c r="F170" s="307" t="s">
        <v>1494</v>
      </c>
      <c r="G170" s="308" t="s">
        <v>10</v>
      </c>
      <c r="H170" s="309" t="s">
        <v>1495</v>
      </c>
      <c r="I170" s="310" t="s">
        <v>1289</v>
      </c>
      <c r="J170" s="311" t="s">
        <v>1496</v>
      </c>
      <c r="K170" s="312" t="s">
        <v>1497</v>
      </c>
      <c r="L170" s="313" t="s">
        <v>1498</v>
      </c>
      <c r="M170" s="314" t="s">
        <v>16</v>
      </c>
    </row>
    <row r="171" spans="1:13" ht="13">
      <c r="A171" s="316" t="s">
        <v>586</v>
      </c>
      <c r="B171" s="316" t="s">
        <v>1973</v>
      </c>
      <c r="C171" s="316" t="s">
        <v>1973</v>
      </c>
      <c r="D171" s="316" t="s">
        <v>1973</v>
      </c>
      <c r="E171" s="317" t="s">
        <v>1973</v>
      </c>
      <c r="F171" s="318">
        <v>2</v>
      </c>
      <c r="G171" s="354" t="s">
        <v>62</v>
      </c>
      <c r="H171" s="320">
        <v>14400</v>
      </c>
      <c r="I171" s="321" t="b">
        <v>1</v>
      </c>
      <c r="J171" s="322">
        <v>2</v>
      </c>
      <c r="K171" s="323" t="s">
        <v>1973</v>
      </c>
      <c r="L171" s="371" t="e">
        <f t="shared" ref="L171:L175" si="10">J171*K171</f>
        <v>#VALUE!</v>
      </c>
      <c r="M171" s="325"/>
    </row>
    <row r="172" spans="1:13" ht="13">
      <c r="A172" s="316" t="s">
        <v>631</v>
      </c>
      <c r="B172" s="316" t="s">
        <v>1973</v>
      </c>
      <c r="C172" s="316" t="s">
        <v>1973</v>
      </c>
      <c r="D172" s="316" t="s">
        <v>1973</v>
      </c>
      <c r="E172" s="317" t="s">
        <v>1973</v>
      </c>
      <c r="F172" s="318">
        <v>1</v>
      </c>
      <c r="G172" s="354" t="s">
        <v>36</v>
      </c>
      <c r="H172" s="320">
        <v>16000</v>
      </c>
      <c r="I172" s="321" t="b">
        <v>0</v>
      </c>
      <c r="J172" s="322">
        <v>0</v>
      </c>
      <c r="K172" s="323" t="s">
        <v>1973</v>
      </c>
      <c r="L172" s="324" t="e">
        <f t="shared" si="10"/>
        <v>#VALUE!</v>
      </c>
      <c r="M172" s="325"/>
    </row>
    <row r="173" spans="1:13" ht="13">
      <c r="A173" s="316" t="s">
        <v>528</v>
      </c>
      <c r="B173" s="316" t="s">
        <v>1973</v>
      </c>
      <c r="C173" s="316" t="s">
        <v>1973</v>
      </c>
      <c r="D173" s="316" t="s">
        <v>1973</v>
      </c>
      <c r="E173" s="317" t="s">
        <v>1973</v>
      </c>
      <c r="F173" s="318">
        <v>3</v>
      </c>
      <c r="G173" s="354" t="s">
        <v>50</v>
      </c>
      <c r="H173" s="320">
        <v>48000</v>
      </c>
      <c r="I173" s="321" t="b">
        <v>1</v>
      </c>
      <c r="J173" s="322">
        <v>3</v>
      </c>
      <c r="K173" s="323" t="s">
        <v>1973</v>
      </c>
      <c r="L173" s="371" t="e">
        <f t="shared" si="10"/>
        <v>#VALUE!</v>
      </c>
      <c r="M173" s="325"/>
    </row>
    <row r="174" spans="1:13" ht="13">
      <c r="A174" s="316" t="s">
        <v>635</v>
      </c>
      <c r="B174" s="316" t="s">
        <v>1973</v>
      </c>
      <c r="C174" s="316" t="s">
        <v>1973</v>
      </c>
      <c r="D174" s="316" t="s">
        <v>1973</v>
      </c>
      <c r="E174" s="317" t="s">
        <v>1973</v>
      </c>
      <c r="F174" s="318">
        <v>6</v>
      </c>
      <c r="G174" s="354" t="s">
        <v>50</v>
      </c>
      <c r="H174" s="320">
        <v>60000</v>
      </c>
      <c r="I174" s="321" t="b">
        <v>1</v>
      </c>
      <c r="J174" s="322">
        <v>6</v>
      </c>
      <c r="K174" s="323" t="s">
        <v>1973</v>
      </c>
      <c r="L174" s="371" t="e">
        <f t="shared" si="10"/>
        <v>#VALUE!</v>
      </c>
      <c r="M174" s="325"/>
    </row>
    <row r="175" spans="1:13" ht="13">
      <c r="A175" s="316" t="s">
        <v>680</v>
      </c>
      <c r="B175" s="316" t="s">
        <v>1973</v>
      </c>
      <c r="C175" s="316" t="s">
        <v>1973</v>
      </c>
      <c r="D175" s="316" t="s">
        <v>1973</v>
      </c>
      <c r="E175" s="317" t="s">
        <v>1973</v>
      </c>
      <c r="F175" s="318">
        <v>4</v>
      </c>
      <c r="G175" s="354" t="s">
        <v>97</v>
      </c>
      <c r="H175" s="320">
        <v>124000</v>
      </c>
      <c r="I175" s="321" t="b">
        <v>1</v>
      </c>
      <c r="J175" s="322">
        <v>4</v>
      </c>
      <c r="K175" s="323">
        <v>33000</v>
      </c>
      <c r="L175" s="371">
        <f t="shared" si="10"/>
        <v>132000</v>
      </c>
      <c r="M175" s="325"/>
    </row>
    <row r="177" spans="1:13" ht="13">
      <c r="F177" s="429">
        <v>44666</v>
      </c>
      <c r="G177" s="428"/>
      <c r="H177" s="424"/>
      <c r="J177" s="429">
        <f>F177+1</f>
        <v>44667</v>
      </c>
      <c r="K177" s="428"/>
      <c r="L177" s="424"/>
    </row>
    <row r="178" spans="1:13" ht="13">
      <c r="F178" s="425" t="s">
        <v>1490</v>
      </c>
      <c r="G178" s="426"/>
      <c r="H178" s="304">
        <f>SUM(H180:H220)</f>
        <v>2211307</v>
      </c>
      <c r="J178" s="425" t="s">
        <v>1491</v>
      </c>
      <c r="K178" s="426"/>
      <c r="L178" s="304" t="e">
        <f>SUM(L180:L220)</f>
        <v>#N/A</v>
      </c>
    </row>
    <row r="179" spans="1:13" ht="13">
      <c r="A179" s="2" t="s">
        <v>4</v>
      </c>
      <c r="B179" s="305" t="s">
        <v>5</v>
      </c>
      <c r="C179" s="305" t="s">
        <v>11</v>
      </c>
      <c r="D179" s="305" t="s">
        <v>12</v>
      </c>
      <c r="E179" s="306" t="s">
        <v>6</v>
      </c>
      <c r="F179" s="307" t="s">
        <v>1494</v>
      </c>
      <c r="G179" s="308" t="s">
        <v>10</v>
      </c>
      <c r="H179" s="309" t="s">
        <v>1495</v>
      </c>
      <c r="I179" s="310" t="s">
        <v>1289</v>
      </c>
      <c r="J179" s="311" t="s">
        <v>1496</v>
      </c>
      <c r="K179" s="312" t="s">
        <v>1497</v>
      </c>
      <c r="L179" s="313" t="s">
        <v>1498</v>
      </c>
      <c r="M179" s="314" t="s">
        <v>16</v>
      </c>
    </row>
    <row r="180" spans="1:13" ht="13">
      <c r="A180" s="316" t="s">
        <v>544</v>
      </c>
      <c r="B180" s="316" t="s">
        <v>1973</v>
      </c>
      <c r="C180" s="316" t="s">
        <v>1973</v>
      </c>
      <c r="D180" s="316" t="s">
        <v>1973</v>
      </c>
      <c r="E180" s="317" t="s">
        <v>1973</v>
      </c>
      <c r="F180" s="318">
        <v>4</v>
      </c>
      <c r="G180" s="354" t="s">
        <v>62</v>
      </c>
      <c r="H180" s="320">
        <v>90400</v>
      </c>
      <c r="I180" s="321" t="b">
        <v>1</v>
      </c>
      <c r="J180" s="322">
        <v>3</v>
      </c>
      <c r="K180" s="323">
        <v>15200</v>
      </c>
      <c r="L180" s="370">
        <f t="shared" ref="L180:L220" si="11">J180*K180</f>
        <v>45600</v>
      </c>
      <c r="M180" s="325"/>
    </row>
    <row r="181" spans="1:13" ht="13">
      <c r="A181" s="316" t="s">
        <v>586</v>
      </c>
      <c r="B181" s="316" t="s">
        <v>1973</v>
      </c>
      <c r="C181" s="316" t="s">
        <v>1973</v>
      </c>
      <c r="D181" s="316" t="s">
        <v>1973</v>
      </c>
      <c r="E181" s="317" t="s">
        <v>1973</v>
      </c>
      <c r="F181" s="318">
        <v>2</v>
      </c>
      <c r="G181" s="354" t="s">
        <v>62</v>
      </c>
      <c r="H181" s="320">
        <v>14400</v>
      </c>
      <c r="I181" s="321" t="b">
        <v>1</v>
      </c>
      <c r="J181" s="322">
        <v>2</v>
      </c>
      <c r="K181" s="323" t="e">
        <f>VLOOKUP($A181,'[1]Database Bahan &amp; Alat (Terupdat'!$B$50:$N$232,6,FALSE)</f>
        <v>#N/A</v>
      </c>
      <c r="L181" s="371" t="e">
        <f t="shared" si="11"/>
        <v>#N/A</v>
      </c>
      <c r="M181" s="325"/>
    </row>
    <row r="182" spans="1:13" ht="13">
      <c r="A182" s="316" t="s">
        <v>770</v>
      </c>
      <c r="B182" s="316" t="s">
        <v>1973</v>
      </c>
      <c r="C182" s="316" t="s">
        <v>1973</v>
      </c>
      <c r="D182" s="316" t="s">
        <v>1973</v>
      </c>
      <c r="E182" s="317" t="s">
        <v>1973</v>
      </c>
      <c r="F182" s="318">
        <v>3</v>
      </c>
      <c r="G182" s="354" t="s">
        <v>97</v>
      </c>
      <c r="H182" s="320">
        <v>73200</v>
      </c>
      <c r="I182" s="321" t="b">
        <v>1</v>
      </c>
      <c r="J182" s="322">
        <v>2</v>
      </c>
      <c r="K182" s="323">
        <v>25900</v>
      </c>
      <c r="L182" s="370">
        <f t="shared" si="11"/>
        <v>51800</v>
      </c>
      <c r="M182" s="325"/>
    </row>
    <row r="183" spans="1:13" ht="13">
      <c r="A183" s="316" t="s">
        <v>782</v>
      </c>
      <c r="B183" s="316" t="s">
        <v>1973</v>
      </c>
      <c r="C183" s="316" t="s">
        <v>1973</v>
      </c>
      <c r="D183" s="316" t="s">
        <v>1973</v>
      </c>
      <c r="E183" s="317" t="s">
        <v>1973</v>
      </c>
      <c r="F183" s="318">
        <v>1</v>
      </c>
      <c r="G183" s="354" t="s">
        <v>62</v>
      </c>
      <c r="H183" s="320">
        <v>12000</v>
      </c>
      <c r="I183" s="321" t="b">
        <v>1</v>
      </c>
      <c r="J183" s="322">
        <v>1</v>
      </c>
      <c r="K183" s="323" t="s">
        <v>1973</v>
      </c>
      <c r="L183" s="371" t="e">
        <f t="shared" si="11"/>
        <v>#VALUE!</v>
      </c>
      <c r="M183" s="325"/>
    </row>
    <row r="184" spans="1:13" ht="13">
      <c r="A184" s="316" t="s">
        <v>919</v>
      </c>
      <c r="B184" s="316" t="s">
        <v>1973</v>
      </c>
      <c r="C184" s="316" t="s">
        <v>1973</v>
      </c>
      <c r="D184" s="316" t="s">
        <v>1973</v>
      </c>
      <c r="E184" s="317" t="s">
        <v>1973</v>
      </c>
      <c r="F184" s="318">
        <v>2</v>
      </c>
      <c r="G184" s="354" t="s">
        <v>62</v>
      </c>
      <c r="H184" s="320">
        <v>17600</v>
      </c>
      <c r="I184" s="321" t="b">
        <v>1</v>
      </c>
      <c r="J184" s="322">
        <v>2</v>
      </c>
      <c r="K184" s="323" t="s">
        <v>1973</v>
      </c>
      <c r="L184" s="371" t="e">
        <f t="shared" si="11"/>
        <v>#VALUE!</v>
      </c>
      <c r="M184" s="325"/>
    </row>
    <row r="185" spans="1:13" ht="13">
      <c r="A185" s="316" t="s">
        <v>937</v>
      </c>
      <c r="B185" s="316" t="s">
        <v>1973</v>
      </c>
      <c r="C185" s="316" t="s">
        <v>1973</v>
      </c>
      <c r="D185" s="316" t="s">
        <v>1973</v>
      </c>
      <c r="E185" s="317" t="s">
        <v>1973</v>
      </c>
      <c r="F185" s="318">
        <v>2</v>
      </c>
      <c r="G185" s="354" t="s">
        <v>62</v>
      </c>
      <c r="H185" s="320">
        <v>14400</v>
      </c>
      <c r="I185" s="321" t="b">
        <v>1</v>
      </c>
      <c r="J185" s="322">
        <v>2</v>
      </c>
      <c r="K185" s="323">
        <v>7300</v>
      </c>
      <c r="L185" s="379">
        <f t="shared" si="11"/>
        <v>14600</v>
      </c>
      <c r="M185" s="325"/>
    </row>
    <row r="186" spans="1:13" ht="13">
      <c r="A186" s="316" t="s">
        <v>578</v>
      </c>
      <c r="B186" s="316" t="s">
        <v>1973</v>
      </c>
      <c r="C186" s="316" t="s">
        <v>1973</v>
      </c>
      <c r="D186" s="316" t="s">
        <v>1973</v>
      </c>
      <c r="E186" s="317" t="s">
        <v>1973</v>
      </c>
      <c r="F186" s="318">
        <v>2</v>
      </c>
      <c r="G186" s="354" t="s">
        <v>62</v>
      </c>
      <c r="H186" s="320">
        <v>440000</v>
      </c>
      <c r="I186" s="319" t="b">
        <v>0</v>
      </c>
      <c r="J186" s="372"/>
      <c r="K186" s="373" t="s">
        <v>1973</v>
      </c>
      <c r="L186" s="374" t="e">
        <f t="shared" si="11"/>
        <v>#VALUE!</v>
      </c>
      <c r="M186" s="325"/>
    </row>
    <row r="187" spans="1:13" ht="13">
      <c r="A187" s="18" t="s">
        <v>1096</v>
      </c>
      <c r="B187" s="316" t="s">
        <v>1973</v>
      </c>
      <c r="C187" s="316" t="s">
        <v>1973</v>
      </c>
      <c r="D187" s="316" t="s">
        <v>1973</v>
      </c>
      <c r="E187" s="317" t="s">
        <v>1973</v>
      </c>
      <c r="F187" s="318">
        <v>1</v>
      </c>
      <c r="G187" s="354" t="s">
        <v>62</v>
      </c>
      <c r="H187" s="320">
        <v>9100</v>
      </c>
      <c r="I187" s="319" t="b">
        <v>0</v>
      </c>
      <c r="J187" s="372"/>
      <c r="K187" s="373" t="s">
        <v>1973</v>
      </c>
      <c r="L187" s="374" t="e">
        <f t="shared" si="11"/>
        <v>#VALUE!</v>
      </c>
      <c r="M187" s="325"/>
    </row>
    <row r="188" spans="1:13" ht="13">
      <c r="A188" s="316" t="s">
        <v>631</v>
      </c>
      <c r="B188" s="316" t="s">
        <v>1973</v>
      </c>
      <c r="C188" s="316" t="s">
        <v>1973</v>
      </c>
      <c r="D188" s="316" t="s">
        <v>1973</v>
      </c>
      <c r="E188" s="317" t="s">
        <v>1973</v>
      </c>
      <c r="F188" s="318">
        <v>0.5</v>
      </c>
      <c r="G188" s="354" t="s">
        <v>36</v>
      </c>
      <c r="H188" s="320">
        <v>8000</v>
      </c>
      <c r="I188" s="321" t="b">
        <v>1</v>
      </c>
      <c r="J188" s="322">
        <v>0.5</v>
      </c>
      <c r="K188" s="323">
        <v>18000</v>
      </c>
      <c r="L188" s="379">
        <f t="shared" si="11"/>
        <v>9000</v>
      </c>
      <c r="M188" s="325"/>
    </row>
    <row r="189" spans="1:13" ht="13">
      <c r="A189" s="316" t="s">
        <v>1610</v>
      </c>
      <c r="B189" s="316" t="s">
        <v>1973</v>
      </c>
      <c r="C189" s="316" t="s">
        <v>1973</v>
      </c>
      <c r="D189" s="316" t="s">
        <v>1973</v>
      </c>
      <c r="E189" s="317" t="s">
        <v>1973</v>
      </c>
      <c r="F189" s="318">
        <v>3</v>
      </c>
      <c r="G189" s="354" t="s">
        <v>36</v>
      </c>
      <c r="H189" s="320">
        <v>30000</v>
      </c>
      <c r="I189" s="321" t="b">
        <v>1</v>
      </c>
      <c r="J189" s="322">
        <v>3</v>
      </c>
      <c r="K189" s="323" t="s">
        <v>1973</v>
      </c>
      <c r="L189" s="371" t="e">
        <f t="shared" si="11"/>
        <v>#VALUE!</v>
      </c>
      <c r="M189" s="325"/>
    </row>
    <row r="190" spans="1:13" ht="13">
      <c r="A190" s="316" t="s">
        <v>675</v>
      </c>
      <c r="B190" s="316" t="s">
        <v>1973</v>
      </c>
      <c r="C190" s="316" t="s">
        <v>1973</v>
      </c>
      <c r="D190" s="316" t="s">
        <v>1973</v>
      </c>
      <c r="E190" s="317" t="s">
        <v>1973</v>
      </c>
      <c r="F190" s="318">
        <v>10</v>
      </c>
      <c r="G190" s="354" t="s">
        <v>62</v>
      </c>
      <c r="H190" s="320">
        <v>45000</v>
      </c>
      <c r="I190" s="321" t="b">
        <v>1</v>
      </c>
      <c r="J190" s="322">
        <v>10</v>
      </c>
      <c r="K190" s="323" t="s">
        <v>1973</v>
      </c>
      <c r="L190" s="371" t="e">
        <f t="shared" si="11"/>
        <v>#VALUE!</v>
      </c>
      <c r="M190" s="325"/>
    </row>
    <row r="191" spans="1:13" ht="13">
      <c r="A191" s="316" t="s">
        <v>724</v>
      </c>
      <c r="B191" s="316" t="s">
        <v>1973</v>
      </c>
      <c r="C191" s="316" t="s">
        <v>1973</v>
      </c>
      <c r="D191" s="316" t="s">
        <v>1973</v>
      </c>
      <c r="E191" s="317" t="s">
        <v>1973</v>
      </c>
      <c r="F191" s="318">
        <v>0.25</v>
      </c>
      <c r="G191" s="354" t="s">
        <v>36</v>
      </c>
      <c r="H191" s="320">
        <v>5000</v>
      </c>
      <c r="I191" s="321" t="b">
        <v>1</v>
      </c>
      <c r="J191" s="322">
        <v>0.25</v>
      </c>
      <c r="K191" s="323">
        <v>22000</v>
      </c>
      <c r="L191" s="379">
        <f t="shared" si="11"/>
        <v>5500</v>
      </c>
      <c r="M191" s="325"/>
    </row>
    <row r="192" spans="1:13" ht="13">
      <c r="A192" s="316" t="s">
        <v>732</v>
      </c>
      <c r="B192" s="316" t="s">
        <v>1973</v>
      </c>
      <c r="C192" s="316" t="s">
        <v>1973</v>
      </c>
      <c r="D192" s="316" t="s">
        <v>1973</v>
      </c>
      <c r="E192" s="317" t="s">
        <v>1973</v>
      </c>
      <c r="F192" s="318">
        <v>2</v>
      </c>
      <c r="G192" s="354" t="s">
        <v>36</v>
      </c>
      <c r="H192" s="320">
        <v>52000</v>
      </c>
      <c r="I192" s="321" t="b">
        <v>1</v>
      </c>
      <c r="J192" s="322">
        <v>2</v>
      </c>
      <c r="K192" s="323">
        <v>28000</v>
      </c>
      <c r="L192" s="379">
        <f t="shared" si="11"/>
        <v>56000</v>
      </c>
      <c r="M192" s="325"/>
    </row>
    <row r="193" spans="1:13" ht="13">
      <c r="A193" s="316" t="s">
        <v>744</v>
      </c>
      <c r="B193" s="316" t="s">
        <v>1973</v>
      </c>
      <c r="C193" s="316" t="s">
        <v>1973</v>
      </c>
      <c r="D193" s="316" t="s">
        <v>1973</v>
      </c>
      <c r="E193" s="317" t="s">
        <v>1973</v>
      </c>
      <c r="F193" s="318">
        <v>1</v>
      </c>
      <c r="G193" s="354" t="s">
        <v>36</v>
      </c>
      <c r="H193" s="320">
        <v>70000</v>
      </c>
      <c r="I193" s="321" t="b">
        <v>1</v>
      </c>
      <c r="J193" s="322">
        <v>1</v>
      </c>
      <c r="K193" s="323" t="e">
        <f>VLOOKUP($A193,'[1]Database Bahan &amp; Alat (Terupdat'!$B$50:$N$232,6,FALSE)</f>
        <v>#N/A</v>
      </c>
      <c r="L193" s="371" t="e">
        <f t="shared" si="11"/>
        <v>#N/A</v>
      </c>
      <c r="M193" s="325"/>
    </row>
    <row r="194" spans="1:13" ht="13">
      <c r="A194" s="316" t="s">
        <v>767</v>
      </c>
      <c r="B194" s="316" t="s">
        <v>1973</v>
      </c>
      <c r="C194" s="316" t="s">
        <v>1973</v>
      </c>
      <c r="D194" s="316" t="s">
        <v>1973</v>
      </c>
      <c r="E194" s="317" t="s">
        <v>1973</v>
      </c>
      <c r="F194" s="318">
        <v>3</v>
      </c>
      <c r="G194" s="354" t="s">
        <v>62</v>
      </c>
      <c r="H194" s="320">
        <v>60000</v>
      </c>
      <c r="I194" s="321" t="b">
        <v>1</v>
      </c>
      <c r="J194" s="322">
        <v>3</v>
      </c>
      <c r="K194" s="323">
        <v>21000</v>
      </c>
      <c r="L194" s="379">
        <f t="shared" si="11"/>
        <v>63000</v>
      </c>
      <c r="M194" s="325"/>
    </row>
    <row r="195" spans="1:13" ht="13">
      <c r="A195" s="316" t="s">
        <v>1700</v>
      </c>
      <c r="B195" s="316" t="s">
        <v>1973</v>
      </c>
      <c r="C195" s="316" t="s">
        <v>1973</v>
      </c>
      <c r="D195" s="316" t="s">
        <v>1973</v>
      </c>
      <c r="E195" s="317" t="s">
        <v>1973</v>
      </c>
      <c r="F195" s="318">
        <v>6</v>
      </c>
      <c r="G195" s="354" t="s">
        <v>62</v>
      </c>
      <c r="H195" s="320">
        <v>90000</v>
      </c>
      <c r="I195" s="321" t="b">
        <v>1</v>
      </c>
      <c r="J195" s="322">
        <v>6</v>
      </c>
      <c r="K195" s="323">
        <v>16000</v>
      </c>
      <c r="L195" s="379">
        <f t="shared" si="11"/>
        <v>96000</v>
      </c>
      <c r="M195" s="325"/>
    </row>
    <row r="196" spans="1:13" ht="13">
      <c r="A196" s="316" t="s">
        <v>795</v>
      </c>
      <c r="B196" s="316" t="s">
        <v>1973</v>
      </c>
      <c r="C196" s="316" t="s">
        <v>1973</v>
      </c>
      <c r="D196" s="316" t="s">
        <v>1973</v>
      </c>
      <c r="E196" s="317" t="s">
        <v>1973</v>
      </c>
      <c r="F196" s="318">
        <v>3</v>
      </c>
      <c r="G196" s="354" t="s">
        <v>62</v>
      </c>
      <c r="H196" s="320">
        <v>15000</v>
      </c>
      <c r="I196" s="321" t="b">
        <v>1</v>
      </c>
      <c r="J196" s="322">
        <v>3</v>
      </c>
      <c r="K196" s="323" t="e">
        <f>VLOOKUP($A196,'[1]Database Bahan &amp; Alat (Terupdat'!$B$50:$N$232,6,FALSE)</f>
        <v>#N/A</v>
      </c>
      <c r="L196" s="371" t="e">
        <f t="shared" si="11"/>
        <v>#N/A</v>
      </c>
      <c r="M196" s="325"/>
    </row>
    <row r="197" spans="1:13" ht="13">
      <c r="A197" s="316" t="s">
        <v>799</v>
      </c>
      <c r="B197" s="316" t="s">
        <v>1973</v>
      </c>
      <c r="C197" s="316" t="s">
        <v>1973</v>
      </c>
      <c r="D197" s="316" t="s">
        <v>1973</v>
      </c>
      <c r="E197" s="317" t="s">
        <v>1973</v>
      </c>
      <c r="F197" s="318">
        <v>1</v>
      </c>
      <c r="G197" s="354" t="s">
        <v>36</v>
      </c>
      <c r="H197" s="320">
        <v>150000</v>
      </c>
      <c r="I197" s="321" t="b">
        <v>1</v>
      </c>
      <c r="J197" s="322">
        <v>1</v>
      </c>
      <c r="K197" s="323">
        <v>160000</v>
      </c>
      <c r="L197" s="379">
        <f t="shared" si="11"/>
        <v>160000</v>
      </c>
      <c r="M197" s="325"/>
    </row>
    <row r="198" spans="1:13" ht="13">
      <c r="A198" s="316" t="s">
        <v>1701</v>
      </c>
      <c r="B198" s="316" t="s">
        <v>1973</v>
      </c>
      <c r="C198" s="316" t="s">
        <v>1973</v>
      </c>
      <c r="D198" s="316" t="s">
        <v>1973</v>
      </c>
      <c r="E198" s="317" t="s">
        <v>1973</v>
      </c>
      <c r="F198" s="318">
        <v>1</v>
      </c>
      <c r="G198" s="354" t="s">
        <v>36</v>
      </c>
      <c r="H198" s="320">
        <v>18000</v>
      </c>
      <c r="I198" s="321" t="b">
        <v>1</v>
      </c>
      <c r="J198" s="322">
        <v>1</v>
      </c>
      <c r="K198" s="323" t="e">
        <f>VLOOKUP($A198,'[1]Database Bahan &amp; Alat (Terupdat'!$B$50:$N$232,6,FALSE)</f>
        <v>#N/A</v>
      </c>
      <c r="L198" s="371" t="e">
        <f t="shared" si="11"/>
        <v>#N/A</v>
      </c>
      <c r="M198" s="325"/>
    </row>
    <row r="199" spans="1:13" ht="13">
      <c r="A199" s="316" t="s">
        <v>989</v>
      </c>
      <c r="B199" s="316" t="s">
        <v>1973</v>
      </c>
      <c r="C199" s="316" t="s">
        <v>1973</v>
      </c>
      <c r="D199" s="316" t="s">
        <v>1973</v>
      </c>
      <c r="E199" s="317" t="s">
        <v>1973</v>
      </c>
      <c r="F199" s="318">
        <v>3</v>
      </c>
      <c r="G199" s="354" t="s">
        <v>62</v>
      </c>
      <c r="H199" s="320">
        <v>51000</v>
      </c>
      <c r="I199" s="321" t="b">
        <v>1</v>
      </c>
      <c r="J199" s="322">
        <v>3</v>
      </c>
      <c r="K199" s="323">
        <v>18000</v>
      </c>
      <c r="L199" s="379">
        <f t="shared" si="11"/>
        <v>54000</v>
      </c>
      <c r="M199" s="325"/>
    </row>
    <row r="200" spans="1:13" ht="13">
      <c r="A200" s="316" t="s">
        <v>1000</v>
      </c>
      <c r="B200" s="316" t="s">
        <v>1973</v>
      </c>
      <c r="C200" s="316" t="s">
        <v>1973</v>
      </c>
      <c r="D200" s="316" t="s">
        <v>1973</v>
      </c>
      <c r="E200" s="317" t="s">
        <v>1973</v>
      </c>
      <c r="F200" s="318">
        <v>1</v>
      </c>
      <c r="G200" s="354" t="s">
        <v>62</v>
      </c>
      <c r="H200" s="320">
        <v>11500</v>
      </c>
      <c r="I200" s="321" t="b">
        <v>1</v>
      </c>
      <c r="J200" s="322">
        <v>1</v>
      </c>
      <c r="K200" s="323" t="s">
        <v>1973</v>
      </c>
      <c r="L200" s="371" t="e">
        <f t="shared" si="11"/>
        <v>#VALUE!</v>
      </c>
      <c r="M200" s="325"/>
    </row>
    <row r="201" spans="1:13" ht="13">
      <c r="A201" s="316" t="s">
        <v>1020</v>
      </c>
      <c r="B201" s="316" t="s">
        <v>1973</v>
      </c>
      <c r="C201" s="316" t="s">
        <v>1973</v>
      </c>
      <c r="D201" s="316" t="s">
        <v>1973</v>
      </c>
      <c r="E201" s="317" t="s">
        <v>1973</v>
      </c>
      <c r="F201" s="318">
        <v>2</v>
      </c>
      <c r="G201" s="354" t="s">
        <v>36</v>
      </c>
      <c r="H201" s="320">
        <v>24000</v>
      </c>
      <c r="I201" s="321" t="b">
        <v>1</v>
      </c>
      <c r="J201" s="322">
        <v>2</v>
      </c>
      <c r="K201" s="323" t="s">
        <v>1973</v>
      </c>
      <c r="L201" s="371" t="e">
        <f t="shared" si="11"/>
        <v>#VALUE!</v>
      </c>
      <c r="M201" s="325"/>
    </row>
    <row r="202" spans="1:13" ht="13">
      <c r="A202" s="316" t="s">
        <v>1703</v>
      </c>
      <c r="B202" s="316" t="s">
        <v>1973</v>
      </c>
      <c r="C202" s="316" t="s">
        <v>1973</v>
      </c>
      <c r="D202" s="316" t="s">
        <v>1973</v>
      </c>
      <c r="E202" s="317" t="s">
        <v>1973</v>
      </c>
      <c r="F202" s="318">
        <v>1</v>
      </c>
      <c r="G202" s="354" t="s">
        <v>62</v>
      </c>
      <c r="H202" s="320">
        <v>22407</v>
      </c>
      <c r="I202" s="321" t="b">
        <v>1</v>
      </c>
      <c r="J202" s="322">
        <v>1</v>
      </c>
      <c r="K202" s="323">
        <v>22000</v>
      </c>
      <c r="L202" s="371">
        <f t="shared" si="11"/>
        <v>22000</v>
      </c>
      <c r="M202" s="325"/>
    </row>
    <row r="203" spans="1:13" ht="13">
      <c r="A203" s="316" t="s">
        <v>949</v>
      </c>
      <c r="B203" s="316" t="s">
        <v>1973</v>
      </c>
      <c r="C203" s="316" t="s">
        <v>1973</v>
      </c>
      <c r="D203" s="316" t="s">
        <v>1973</v>
      </c>
      <c r="E203" s="317" t="s">
        <v>1973</v>
      </c>
      <c r="F203" s="318">
        <v>1</v>
      </c>
      <c r="G203" s="354" t="s">
        <v>97</v>
      </c>
      <c r="H203" s="320">
        <v>23200</v>
      </c>
      <c r="I203" s="319" t="b">
        <v>0</v>
      </c>
      <c r="J203" s="372"/>
      <c r="K203" s="373" t="e">
        <f>VLOOKUP($A203,'[1]Database Bahan &amp; Alat (Terupdat'!$B$50:$N$232,6,FALSE)</f>
        <v>#N/A</v>
      </c>
      <c r="L203" s="374" t="e">
        <f t="shared" si="11"/>
        <v>#N/A</v>
      </c>
      <c r="M203" s="325"/>
    </row>
    <row r="204" spans="1:13" ht="13">
      <c r="A204" s="316" t="s">
        <v>779</v>
      </c>
      <c r="B204" s="316" t="s">
        <v>1973</v>
      </c>
      <c r="C204" s="316" t="s">
        <v>1973</v>
      </c>
      <c r="D204" s="316" t="s">
        <v>1973</v>
      </c>
      <c r="E204" s="317" t="s">
        <v>1973</v>
      </c>
      <c r="F204" s="318">
        <v>2</v>
      </c>
      <c r="G204" s="354" t="s">
        <v>62</v>
      </c>
      <c r="H204" s="320">
        <v>77000</v>
      </c>
      <c r="I204" s="321" t="b">
        <v>1</v>
      </c>
      <c r="J204" s="322">
        <v>1</v>
      </c>
      <c r="K204" s="323">
        <v>49800</v>
      </c>
      <c r="L204" s="370">
        <f t="shared" si="11"/>
        <v>49800</v>
      </c>
      <c r="M204" s="325"/>
    </row>
    <row r="205" spans="1:13" ht="13">
      <c r="A205" s="316" t="s">
        <v>1602</v>
      </c>
      <c r="B205" s="316" t="s">
        <v>1973</v>
      </c>
      <c r="C205" s="316" t="s">
        <v>1973</v>
      </c>
      <c r="D205" s="316" t="s">
        <v>1973</v>
      </c>
      <c r="E205" s="317" t="s">
        <v>1973</v>
      </c>
      <c r="F205" s="318">
        <v>4</v>
      </c>
      <c r="G205" s="354" t="s">
        <v>36</v>
      </c>
      <c r="H205" s="320">
        <v>56000</v>
      </c>
      <c r="I205" s="321" t="b">
        <v>1</v>
      </c>
      <c r="J205" s="322">
        <v>4</v>
      </c>
      <c r="K205" s="323" t="s">
        <v>1973</v>
      </c>
      <c r="L205" s="371" t="e">
        <f t="shared" si="11"/>
        <v>#VALUE!</v>
      </c>
      <c r="M205" s="325"/>
    </row>
    <row r="206" spans="1:13" ht="13">
      <c r="A206" s="316" t="s">
        <v>528</v>
      </c>
      <c r="B206" s="316" t="s">
        <v>1973</v>
      </c>
      <c r="C206" s="316" t="s">
        <v>1973</v>
      </c>
      <c r="D206" s="316" t="s">
        <v>1973</v>
      </c>
      <c r="E206" s="317" t="s">
        <v>1973</v>
      </c>
      <c r="F206" s="318">
        <v>4</v>
      </c>
      <c r="G206" s="354" t="s">
        <v>50</v>
      </c>
      <c r="H206" s="320">
        <v>64000</v>
      </c>
      <c r="I206" s="321" t="b">
        <v>1</v>
      </c>
      <c r="J206" s="322">
        <v>4</v>
      </c>
      <c r="K206" s="323" t="s">
        <v>1973</v>
      </c>
      <c r="L206" s="371" t="e">
        <f t="shared" si="11"/>
        <v>#VALUE!</v>
      </c>
      <c r="M206" s="325"/>
    </row>
    <row r="207" spans="1:13" ht="13">
      <c r="A207" s="316" t="s">
        <v>635</v>
      </c>
      <c r="B207" s="316" t="s">
        <v>1973</v>
      </c>
      <c r="C207" s="316" t="s">
        <v>1973</v>
      </c>
      <c r="D207" s="316" t="s">
        <v>1973</v>
      </c>
      <c r="E207" s="317" t="s">
        <v>1973</v>
      </c>
      <c r="F207" s="318">
        <v>8</v>
      </c>
      <c r="G207" s="354" t="s">
        <v>50</v>
      </c>
      <c r="H207" s="320">
        <v>80000</v>
      </c>
      <c r="I207" s="321" t="b">
        <v>1</v>
      </c>
      <c r="J207" s="322">
        <v>8</v>
      </c>
      <c r="K207" s="323" t="s">
        <v>1973</v>
      </c>
      <c r="L207" s="371" t="e">
        <f t="shared" si="11"/>
        <v>#VALUE!</v>
      </c>
      <c r="M207" s="325"/>
    </row>
    <row r="208" spans="1:13" ht="13">
      <c r="A208" s="316" t="s">
        <v>643</v>
      </c>
      <c r="B208" s="316" t="s">
        <v>1973</v>
      </c>
      <c r="C208" s="316" t="s">
        <v>1973</v>
      </c>
      <c r="D208" s="316" t="s">
        <v>1973</v>
      </c>
      <c r="E208" s="317" t="s">
        <v>1973</v>
      </c>
      <c r="F208" s="318">
        <v>1</v>
      </c>
      <c r="G208" s="354" t="s">
        <v>36</v>
      </c>
      <c r="H208" s="320">
        <v>15000</v>
      </c>
      <c r="I208" s="321" t="b">
        <v>1</v>
      </c>
      <c r="J208" s="322">
        <v>1</v>
      </c>
      <c r="K208" s="323" t="s">
        <v>1973</v>
      </c>
      <c r="L208" s="371" t="e">
        <f t="shared" si="11"/>
        <v>#VALUE!</v>
      </c>
      <c r="M208" s="325"/>
    </row>
    <row r="209" spans="1:13" ht="13">
      <c r="A209" s="316" t="s">
        <v>680</v>
      </c>
      <c r="B209" s="316" t="s">
        <v>1973</v>
      </c>
      <c r="C209" s="316" t="s">
        <v>1973</v>
      </c>
      <c r="D209" s="316" t="s">
        <v>1973</v>
      </c>
      <c r="E209" s="317" t="s">
        <v>1973</v>
      </c>
      <c r="F209" s="318">
        <v>3</v>
      </c>
      <c r="G209" s="354" t="s">
        <v>97</v>
      </c>
      <c r="H209" s="320">
        <v>93000</v>
      </c>
      <c r="I209" s="321" t="b">
        <v>1</v>
      </c>
      <c r="J209" s="322">
        <v>3</v>
      </c>
      <c r="K209" s="323">
        <v>33000</v>
      </c>
      <c r="L209" s="379">
        <f t="shared" si="11"/>
        <v>99000</v>
      </c>
      <c r="M209" s="325"/>
    </row>
    <row r="210" spans="1:13" ht="13">
      <c r="A210" s="316" t="s">
        <v>684</v>
      </c>
      <c r="B210" s="316" t="s">
        <v>1973</v>
      </c>
      <c r="C210" s="316" t="s">
        <v>1973</v>
      </c>
      <c r="D210" s="316" t="s">
        <v>1973</v>
      </c>
      <c r="E210" s="317" t="s">
        <v>1973</v>
      </c>
      <c r="F210" s="318">
        <v>3</v>
      </c>
      <c r="G210" s="354" t="s">
        <v>97</v>
      </c>
      <c r="H210" s="320">
        <v>93000</v>
      </c>
      <c r="I210" s="321" t="b">
        <v>1</v>
      </c>
      <c r="J210" s="322">
        <v>3</v>
      </c>
      <c r="K210" s="323">
        <v>33000</v>
      </c>
      <c r="L210" s="379">
        <f t="shared" si="11"/>
        <v>99000</v>
      </c>
      <c r="M210" s="325"/>
    </row>
    <row r="211" spans="1:13" ht="13">
      <c r="A211" s="316" t="s">
        <v>692</v>
      </c>
      <c r="B211" s="316" t="s">
        <v>1973</v>
      </c>
      <c r="C211" s="316" t="s">
        <v>1973</v>
      </c>
      <c r="D211" s="316" t="s">
        <v>1973</v>
      </c>
      <c r="E211" s="317" t="s">
        <v>1973</v>
      </c>
      <c r="F211" s="318">
        <v>1</v>
      </c>
      <c r="G211" s="354" t="s">
        <v>62</v>
      </c>
      <c r="H211" s="320">
        <v>52000</v>
      </c>
      <c r="I211" s="321" t="b">
        <v>1</v>
      </c>
      <c r="J211" s="322">
        <v>1</v>
      </c>
      <c r="K211" s="323">
        <v>55000</v>
      </c>
      <c r="L211" s="379">
        <f t="shared" si="11"/>
        <v>55000</v>
      </c>
      <c r="M211" s="325"/>
    </row>
    <row r="212" spans="1:13" ht="13">
      <c r="A212" s="316" t="s">
        <v>696</v>
      </c>
      <c r="B212" s="316" t="s">
        <v>1973</v>
      </c>
      <c r="C212" s="316" t="s">
        <v>1973</v>
      </c>
      <c r="D212" s="316" t="s">
        <v>1973</v>
      </c>
      <c r="E212" s="317" t="s">
        <v>1973</v>
      </c>
      <c r="F212" s="318">
        <v>4</v>
      </c>
      <c r="G212" s="354" t="s">
        <v>62</v>
      </c>
      <c r="H212" s="320">
        <v>44000</v>
      </c>
      <c r="I212" s="321" t="b">
        <v>1</v>
      </c>
      <c r="J212" s="322">
        <v>4</v>
      </c>
      <c r="K212" s="323" t="s">
        <v>1973</v>
      </c>
      <c r="L212" s="371" t="e">
        <f t="shared" si="11"/>
        <v>#VALUE!</v>
      </c>
      <c r="M212" s="325"/>
    </row>
    <row r="213" spans="1:13" ht="13">
      <c r="A213" s="316" t="s">
        <v>735</v>
      </c>
      <c r="B213" s="316" t="s">
        <v>1973</v>
      </c>
      <c r="C213" s="316" t="s">
        <v>1973</v>
      </c>
      <c r="D213" s="316" t="s">
        <v>1973</v>
      </c>
      <c r="E213" s="317" t="s">
        <v>1973</v>
      </c>
      <c r="F213" s="318">
        <v>1</v>
      </c>
      <c r="G213" s="354" t="s">
        <v>97</v>
      </c>
      <c r="H213" s="320">
        <v>48000</v>
      </c>
      <c r="I213" s="321" t="b">
        <v>1</v>
      </c>
      <c r="J213" s="322">
        <v>1</v>
      </c>
      <c r="K213" s="323" t="s">
        <v>1973</v>
      </c>
      <c r="L213" s="371" t="e">
        <f t="shared" si="11"/>
        <v>#VALUE!</v>
      </c>
      <c r="M213" s="325"/>
    </row>
    <row r="214" spans="1:13" ht="13">
      <c r="A214" s="316" t="s">
        <v>748</v>
      </c>
      <c r="B214" s="316" t="s">
        <v>1973</v>
      </c>
      <c r="C214" s="316" t="s">
        <v>1973</v>
      </c>
      <c r="D214" s="316" t="s">
        <v>1973</v>
      </c>
      <c r="E214" s="317" t="s">
        <v>1973</v>
      </c>
      <c r="F214" s="318">
        <v>3</v>
      </c>
      <c r="G214" s="354" t="s">
        <v>62</v>
      </c>
      <c r="H214" s="320">
        <v>90000</v>
      </c>
      <c r="I214" s="321" t="b">
        <v>1</v>
      </c>
      <c r="J214" s="322">
        <v>3</v>
      </c>
      <c r="K214" s="323" t="s">
        <v>1973</v>
      </c>
      <c r="L214" s="371" t="e">
        <f t="shared" si="11"/>
        <v>#VALUE!</v>
      </c>
      <c r="M214" s="325"/>
    </row>
    <row r="215" spans="1:13" ht="13">
      <c r="A215" s="316" t="s">
        <v>934</v>
      </c>
      <c r="B215" s="316" t="s">
        <v>1973</v>
      </c>
      <c r="C215" s="316" t="s">
        <v>1973</v>
      </c>
      <c r="D215" s="316" t="s">
        <v>1973</v>
      </c>
      <c r="E215" s="317" t="s">
        <v>1973</v>
      </c>
      <c r="F215" s="318">
        <v>4</v>
      </c>
      <c r="G215" s="354" t="s">
        <v>62</v>
      </c>
      <c r="H215" s="320">
        <v>36000</v>
      </c>
      <c r="I215" s="321" t="b">
        <v>1</v>
      </c>
      <c r="J215" s="322">
        <v>4</v>
      </c>
      <c r="K215" s="323" t="s">
        <v>1973</v>
      </c>
      <c r="L215" s="371" t="e">
        <f t="shared" si="11"/>
        <v>#VALUE!</v>
      </c>
      <c r="M215" s="325"/>
    </row>
    <row r="216" spans="1:13" ht="13">
      <c r="A216" s="316" t="s">
        <v>943</v>
      </c>
      <c r="B216" s="316" t="s">
        <v>1973</v>
      </c>
      <c r="C216" s="316" t="s">
        <v>1973</v>
      </c>
      <c r="D216" s="316" t="s">
        <v>1973</v>
      </c>
      <c r="E216" s="317" t="s">
        <v>1973</v>
      </c>
      <c r="F216" s="318">
        <v>2</v>
      </c>
      <c r="G216" s="354" t="s">
        <v>62</v>
      </c>
      <c r="H216" s="320">
        <v>17000</v>
      </c>
      <c r="I216" s="321" t="b">
        <v>1</v>
      </c>
      <c r="J216" s="322">
        <v>2</v>
      </c>
      <c r="K216" s="323" t="s">
        <v>1973</v>
      </c>
      <c r="L216" s="371" t="e">
        <f t="shared" si="11"/>
        <v>#VALUE!</v>
      </c>
      <c r="M216" s="325"/>
    </row>
    <row r="217" spans="1:13" ht="13">
      <c r="A217" s="316" t="s">
        <v>1548</v>
      </c>
      <c r="B217" s="316" t="s">
        <v>1973</v>
      </c>
      <c r="C217" s="316" t="s">
        <v>1973</v>
      </c>
      <c r="D217" s="316" t="s">
        <v>1973</v>
      </c>
      <c r="E217" s="317" t="s">
        <v>1973</v>
      </c>
      <c r="F217" s="318">
        <v>2</v>
      </c>
      <c r="G217" s="354" t="s">
        <v>62</v>
      </c>
      <c r="H217" s="320">
        <v>24000</v>
      </c>
      <c r="I217" s="321" t="b">
        <v>1</v>
      </c>
      <c r="J217" s="322">
        <v>2</v>
      </c>
      <c r="K217" s="323" t="s">
        <v>1973</v>
      </c>
      <c r="L217" s="371" t="e">
        <f t="shared" si="11"/>
        <v>#VALUE!</v>
      </c>
      <c r="M217" s="325"/>
    </row>
    <row r="218" spans="1:13" ht="13">
      <c r="A218" s="316" t="s">
        <v>1615</v>
      </c>
      <c r="B218" s="316" t="s">
        <v>1973</v>
      </c>
      <c r="C218" s="316" t="s">
        <v>1973</v>
      </c>
      <c r="D218" s="316" t="s">
        <v>1973</v>
      </c>
      <c r="E218" s="317" t="s">
        <v>1973</v>
      </c>
      <c r="F218" s="318">
        <v>1</v>
      </c>
      <c r="G218" s="354" t="s">
        <v>62</v>
      </c>
      <c r="H218" s="320">
        <v>8000</v>
      </c>
      <c r="I218" s="321" t="b">
        <v>1</v>
      </c>
      <c r="J218" s="322">
        <v>1</v>
      </c>
      <c r="K218" s="323">
        <v>8500</v>
      </c>
      <c r="L218" s="379">
        <f t="shared" si="11"/>
        <v>8500</v>
      </c>
      <c r="M218" s="325"/>
    </row>
    <row r="219" spans="1:13" ht="13">
      <c r="A219" s="316" t="s">
        <v>1604</v>
      </c>
      <c r="B219" s="316" t="s">
        <v>1973</v>
      </c>
      <c r="C219" s="316" t="s">
        <v>1973</v>
      </c>
      <c r="D219" s="316" t="s">
        <v>1973</v>
      </c>
      <c r="E219" s="317" t="s">
        <v>1973</v>
      </c>
      <c r="F219" s="318">
        <v>1</v>
      </c>
      <c r="G219" s="354" t="s">
        <v>62</v>
      </c>
      <c r="H219" s="320">
        <v>48000</v>
      </c>
      <c r="I219" s="321" t="b">
        <v>1</v>
      </c>
      <c r="J219" s="322">
        <v>1</v>
      </c>
      <c r="K219" s="323" t="s">
        <v>1973</v>
      </c>
      <c r="L219" s="371" t="e">
        <f t="shared" si="11"/>
        <v>#VALUE!</v>
      </c>
      <c r="M219" s="325"/>
    </row>
    <row r="220" spans="1:13" ht="13">
      <c r="A220" s="316" t="s">
        <v>1037</v>
      </c>
      <c r="B220" s="316" t="s">
        <v>1973</v>
      </c>
      <c r="C220" s="316" t="s">
        <v>1973</v>
      </c>
      <c r="D220" s="316" t="s">
        <v>1973</v>
      </c>
      <c r="E220" s="317" t="s">
        <v>1973</v>
      </c>
      <c r="F220" s="318">
        <v>1</v>
      </c>
      <c r="G220" s="354" t="s">
        <v>62</v>
      </c>
      <c r="H220" s="320">
        <v>20100</v>
      </c>
      <c r="I220" s="319" t="b">
        <v>0</v>
      </c>
      <c r="J220" s="372"/>
      <c r="K220" s="373" t="s">
        <v>1973</v>
      </c>
      <c r="L220" s="374" t="e">
        <f t="shared" si="11"/>
        <v>#VALUE!</v>
      </c>
      <c r="M220" s="325"/>
    </row>
    <row r="222" spans="1:13" ht="13">
      <c r="F222" s="429">
        <v>44669</v>
      </c>
      <c r="G222" s="428"/>
      <c r="H222" s="424"/>
      <c r="J222" s="429">
        <f>F222+1</f>
        <v>44670</v>
      </c>
      <c r="K222" s="428"/>
      <c r="L222" s="424"/>
    </row>
    <row r="223" spans="1:13" ht="13">
      <c r="F223" s="425" t="s">
        <v>1490</v>
      </c>
      <c r="G223" s="426"/>
      <c r="H223" s="304">
        <f>SUM(H225:H254)</f>
        <v>1577500</v>
      </c>
      <c r="J223" s="425" t="s">
        <v>1491</v>
      </c>
      <c r="K223" s="426"/>
      <c r="L223" s="304" t="e">
        <f>SUM(L225:L254)</f>
        <v>#VALUE!</v>
      </c>
    </row>
    <row r="224" spans="1:13" ht="13">
      <c r="A224" s="2" t="s">
        <v>4</v>
      </c>
      <c r="B224" s="305" t="s">
        <v>5</v>
      </c>
      <c r="C224" s="305" t="s">
        <v>11</v>
      </c>
      <c r="D224" s="305" t="s">
        <v>12</v>
      </c>
      <c r="E224" s="306" t="s">
        <v>6</v>
      </c>
      <c r="F224" s="307" t="s">
        <v>1494</v>
      </c>
      <c r="G224" s="308" t="s">
        <v>10</v>
      </c>
      <c r="H224" s="309" t="s">
        <v>1495</v>
      </c>
      <c r="I224" s="310" t="s">
        <v>1289</v>
      </c>
      <c r="J224" s="311" t="s">
        <v>1496</v>
      </c>
      <c r="K224" s="312" t="s">
        <v>1497</v>
      </c>
      <c r="L224" s="313" t="s">
        <v>1498</v>
      </c>
      <c r="M224" s="314" t="s">
        <v>16</v>
      </c>
    </row>
    <row r="225" spans="1:13" ht="13">
      <c r="A225" s="316" t="s">
        <v>544</v>
      </c>
      <c r="B225" s="316" t="s">
        <v>1973</v>
      </c>
      <c r="C225" s="316" t="s">
        <v>1973</v>
      </c>
      <c r="D225" s="316" t="s">
        <v>1973</v>
      </c>
      <c r="E225" s="317" t="s">
        <v>1973</v>
      </c>
      <c r="F225" s="318">
        <v>3</v>
      </c>
      <c r="G225" s="354" t="s">
        <v>62</v>
      </c>
      <c r="H225" s="320">
        <v>67800</v>
      </c>
      <c r="I225" s="321" t="b">
        <v>1</v>
      </c>
      <c r="J225" s="322">
        <v>2</v>
      </c>
      <c r="K225" s="323">
        <v>15200</v>
      </c>
      <c r="L225" s="380">
        <f t="shared" ref="L225:L227" si="12">J225*K225</f>
        <v>30400</v>
      </c>
      <c r="M225" s="325"/>
    </row>
    <row r="226" spans="1:13" ht="13">
      <c r="A226" s="316" t="s">
        <v>627</v>
      </c>
      <c r="B226" s="316" t="s">
        <v>1973</v>
      </c>
      <c r="C226" s="316" t="s">
        <v>1973</v>
      </c>
      <c r="D226" s="316" t="s">
        <v>1973</v>
      </c>
      <c r="E226" s="317" t="s">
        <v>1973</v>
      </c>
      <c r="F226" s="318">
        <v>1</v>
      </c>
      <c r="G226" s="354" t="s">
        <v>36</v>
      </c>
      <c r="H226" s="320">
        <v>37900</v>
      </c>
      <c r="I226" s="321" t="b">
        <v>1</v>
      </c>
      <c r="J226" s="322">
        <v>605</v>
      </c>
      <c r="K226" s="323">
        <v>36.9</v>
      </c>
      <c r="L226" s="380">
        <f t="shared" si="12"/>
        <v>22324.5</v>
      </c>
      <c r="M226" s="325"/>
    </row>
    <row r="227" spans="1:13" ht="13">
      <c r="A227" s="316" t="s">
        <v>782</v>
      </c>
      <c r="B227" s="316" t="s">
        <v>1973</v>
      </c>
      <c r="C227" s="316" t="s">
        <v>1973</v>
      </c>
      <c r="D227" s="316" t="s">
        <v>1973</v>
      </c>
      <c r="E227" s="317" t="s">
        <v>1973</v>
      </c>
      <c r="F227" s="318">
        <v>2</v>
      </c>
      <c r="G227" s="354" t="s">
        <v>62</v>
      </c>
      <c r="H227" s="320">
        <v>24000</v>
      </c>
      <c r="I227" s="321" t="b">
        <v>1</v>
      </c>
      <c r="J227" s="322">
        <v>1</v>
      </c>
      <c r="K227" s="323" t="s">
        <v>1973</v>
      </c>
      <c r="L227" s="371" t="e">
        <f t="shared" si="12"/>
        <v>#VALUE!</v>
      </c>
      <c r="M227" s="325"/>
    </row>
    <row r="228" spans="1:13" ht="13">
      <c r="A228" s="316" t="s">
        <v>919</v>
      </c>
      <c r="B228" s="316" t="s">
        <v>1973</v>
      </c>
      <c r="C228" s="316" t="s">
        <v>1973</v>
      </c>
      <c r="D228" s="316" t="s">
        <v>1973</v>
      </c>
      <c r="E228" s="317" t="s">
        <v>1973</v>
      </c>
      <c r="F228" s="318">
        <v>3</v>
      </c>
      <c r="G228" s="354" t="s">
        <v>62</v>
      </c>
      <c r="H228" s="320">
        <v>26400</v>
      </c>
      <c r="I228" s="321" t="b">
        <v>1</v>
      </c>
      <c r="J228" s="322">
        <v>3</v>
      </c>
      <c r="K228" s="323" t="s">
        <v>1973</v>
      </c>
      <c r="L228" s="370">
        <v>19200</v>
      </c>
      <c r="M228" s="325"/>
    </row>
    <row r="229" spans="1:13" ht="13">
      <c r="A229" s="316" t="s">
        <v>631</v>
      </c>
      <c r="B229" s="316" t="s">
        <v>1973</v>
      </c>
      <c r="C229" s="316" t="s">
        <v>1973</v>
      </c>
      <c r="D229" s="316" t="s">
        <v>1973</v>
      </c>
      <c r="E229" s="317" t="s">
        <v>1973</v>
      </c>
      <c r="F229" s="318">
        <v>1</v>
      </c>
      <c r="G229" s="354" t="s">
        <v>36</v>
      </c>
      <c r="H229" s="320">
        <v>16000</v>
      </c>
      <c r="I229" s="321" t="b">
        <v>1</v>
      </c>
      <c r="J229" s="322">
        <v>1</v>
      </c>
      <c r="K229" s="323">
        <v>20000</v>
      </c>
      <c r="L229" s="379">
        <f t="shared" ref="L229:L230" si="13">J229*K229</f>
        <v>20000</v>
      </c>
      <c r="M229" s="325"/>
    </row>
    <row r="230" spans="1:13" ht="13">
      <c r="A230" s="316" t="s">
        <v>1610</v>
      </c>
      <c r="B230" s="316" t="s">
        <v>1973</v>
      </c>
      <c r="C230" s="316" t="s">
        <v>1973</v>
      </c>
      <c r="D230" s="316" t="s">
        <v>1973</v>
      </c>
      <c r="E230" s="317" t="s">
        <v>1973</v>
      </c>
      <c r="F230" s="318">
        <v>4</v>
      </c>
      <c r="G230" s="354" t="s">
        <v>36</v>
      </c>
      <c r="H230" s="320">
        <v>40000</v>
      </c>
      <c r="I230" s="321" t="b">
        <v>1</v>
      </c>
      <c r="J230" s="322">
        <v>3.5</v>
      </c>
      <c r="K230" s="323">
        <v>12000</v>
      </c>
      <c r="L230" s="370">
        <f t="shared" si="13"/>
        <v>42000</v>
      </c>
      <c r="M230" s="325"/>
    </row>
    <row r="231" spans="1:13" ht="13">
      <c r="A231" s="316" t="s">
        <v>1611</v>
      </c>
      <c r="B231" s="316" t="s">
        <v>1973</v>
      </c>
      <c r="C231" s="316" t="s">
        <v>1973</v>
      </c>
      <c r="D231" s="316" t="s">
        <v>1973</v>
      </c>
      <c r="E231" s="317" t="s">
        <v>1973</v>
      </c>
      <c r="F231" s="318">
        <v>2.5</v>
      </c>
      <c r="G231" s="354" t="s">
        <v>36</v>
      </c>
      <c r="H231" s="320">
        <v>125000</v>
      </c>
      <c r="I231" s="321" t="b">
        <v>1</v>
      </c>
      <c r="J231" s="322">
        <v>2.5</v>
      </c>
      <c r="K231" s="323" t="e">
        <f>VLOOKUP($A231,'[1]Database Bahan &amp; Alat (Terupdat'!$B$50:$N$232,6,FALSE)</f>
        <v>#N/A</v>
      </c>
      <c r="L231" s="379">
        <v>120000</v>
      </c>
      <c r="M231" s="325"/>
    </row>
    <row r="232" spans="1:13" ht="13">
      <c r="A232" s="316" t="s">
        <v>1698</v>
      </c>
      <c r="B232" s="316" t="s">
        <v>1973</v>
      </c>
      <c r="C232" s="316" t="s">
        <v>1973</v>
      </c>
      <c r="D232" s="316" t="s">
        <v>1973</v>
      </c>
      <c r="E232" s="317" t="s">
        <v>1973</v>
      </c>
      <c r="F232" s="318">
        <v>3</v>
      </c>
      <c r="G232" s="354" t="s">
        <v>36</v>
      </c>
      <c r="H232" s="320">
        <v>111000</v>
      </c>
      <c r="I232" s="321" t="b">
        <v>1</v>
      </c>
      <c r="J232" s="322">
        <v>3</v>
      </c>
      <c r="K232" s="323">
        <v>38000</v>
      </c>
      <c r="L232" s="379">
        <f t="shared" ref="L232:L254" si="14">J232*K232</f>
        <v>114000</v>
      </c>
      <c r="M232" s="325"/>
    </row>
    <row r="233" spans="1:13" ht="13">
      <c r="A233" s="316" t="s">
        <v>1707</v>
      </c>
      <c r="B233" s="316" t="s">
        <v>1973</v>
      </c>
      <c r="C233" s="316" t="s">
        <v>1973</v>
      </c>
      <c r="D233" s="316" t="s">
        <v>1973</v>
      </c>
      <c r="E233" s="317" t="s">
        <v>1973</v>
      </c>
      <c r="F233" s="318">
        <v>0.3</v>
      </c>
      <c r="G233" s="354" t="s">
        <v>36</v>
      </c>
      <c r="H233" s="320">
        <v>8400</v>
      </c>
      <c r="I233" s="321" t="b">
        <v>1</v>
      </c>
      <c r="J233" s="322">
        <v>0.3</v>
      </c>
      <c r="K233" s="323">
        <v>60000</v>
      </c>
      <c r="L233" s="379">
        <f t="shared" si="14"/>
        <v>18000</v>
      </c>
      <c r="M233" s="325"/>
    </row>
    <row r="234" spans="1:13" ht="13">
      <c r="A234" s="316" t="s">
        <v>675</v>
      </c>
      <c r="B234" s="316" t="s">
        <v>1973</v>
      </c>
      <c r="C234" s="316" t="s">
        <v>1973</v>
      </c>
      <c r="D234" s="316" t="s">
        <v>1973</v>
      </c>
      <c r="E234" s="317" t="s">
        <v>1973</v>
      </c>
      <c r="F234" s="318">
        <v>10</v>
      </c>
      <c r="G234" s="354" t="s">
        <v>62</v>
      </c>
      <c r="H234" s="320">
        <v>45000</v>
      </c>
      <c r="I234" s="321" t="b">
        <v>1</v>
      </c>
      <c r="J234" s="322">
        <v>10</v>
      </c>
      <c r="K234" s="323" t="s">
        <v>1973</v>
      </c>
      <c r="L234" s="371" t="e">
        <f t="shared" si="14"/>
        <v>#VALUE!</v>
      </c>
      <c r="M234" s="325"/>
    </row>
    <row r="235" spans="1:13" ht="13">
      <c r="A235" s="316" t="s">
        <v>724</v>
      </c>
      <c r="B235" s="316" t="s">
        <v>1973</v>
      </c>
      <c r="C235" s="316" t="s">
        <v>1973</v>
      </c>
      <c r="D235" s="316" t="s">
        <v>1973</v>
      </c>
      <c r="E235" s="317" t="s">
        <v>1973</v>
      </c>
      <c r="F235" s="318">
        <v>0.25</v>
      </c>
      <c r="G235" s="354" t="s">
        <v>36</v>
      </c>
      <c r="H235" s="320">
        <v>5000</v>
      </c>
      <c r="I235" s="321" t="b">
        <v>1</v>
      </c>
      <c r="J235" s="322">
        <v>0.25</v>
      </c>
      <c r="K235" s="323" t="s">
        <v>1973</v>
      </c>
      <c r="L235" s="371" t="e">
        <f t="shared" si="14"/>
        <v>#VALUE!</v>
      </c>
      <c r="M235" s="325"/>
    </row>
    <row r="236" spans="1:13" ht="13">
      <c r="A236" s="316" t="s">
        <v>732</v>
      </c>
      <c r="B236" s="316" t="s">
        <v>1973</v>
      </c>
      <c r="C236" s="316" t="s">
        <v>1973</v>
      </c>
      <c r="D236" s="316" t="s">
        <v>1973</v>
      </c>
      <c r="E236" s="317" t="s">
        <v>1973</v>
      </c>
      <c r="F236" s="318">
        <v>3</v>
      </c>
      <c r="G236" s="354" t="s">
        <v>36</v>
      </c>
      <c r="H236" s="320">
        <v>78000</v>
      </c>
      <c r="I236" s="321" t="b">
        <v>1</v>
      </c>
      <c r="J236" s="322">
        <f>F236</f>
        <v>3</v>
      </c>
      <c r="K236" s="323">
        <v>28000</v>
      </c>
      <c r="L236" s="379">
        <f t="shared" si="14"/>
        <v>84000</v>
      </c>
      <c r="M236" s="325"/>
    </row>
    <row r="237" spans="1:13" ht="13">
      <c r="A237" s="316" t="s">
        <v>767</v>
      </c>
      <c r="B237" s="316" t="s">
        <v>1973</v>
      </c>
      <c r="C237" s="316" t="s">
        <v>1973</v>
      </c>
      <c r="D237" s="316" t="s">
        <v>1973</v>
      </c>
      <c r="E237" s="317" t="s">
        <v>1973</v>
      </c>
      <c r="F237" s="318">
        <v>2</v>
      </c>
      <c r="G237" s="354" t="s">
        <v>62</v>
      </c>
      <c r="H237" s="320">
        <v>40000</v>
      </c>
      <c r="I237" s="321" t="b">
        <v>1</v>
      </c>
      <c r="J237" s="322">
        <v>2</v>
      </c>
      <c r="K237" s="323">
        <v>21000</v>
      </c>
      <c r="L237" s="379">
        <f t="shared" si="14"/>
        <v>42000</v>
      </c>
      <c r="M237" s="325"/>
    </row>
    <row r="238" spans="1:13" ht="13">
      <c r="A238" s="316" t="s">
        <v>1700</v>
      </c>
      <c r="B238" s="316" t="s">
        <v>1973</v>
      </c>
      <c r="C238" s="316" t="s">
        <v>1973</v>
      </c>
      <c r="D238" s="316" t="s">
        <v>1973</v>
      </c>
      <c r="E238" s="317" t="s">
        <v>1973</v>
      </c>
      <c r="F238" s="318">
        <v>5</v>
      </c>
      <c r="G238" s="354" t="s">
        <v>62</v>
      </c>
      <c r="H238" s="320">
        <v>75000</v>
      </c>
      <c r="I238" s="321" t="b">
        <v>1</v>
      </c>
      <c r="J238" s="322">
        <v>4</v>
      </c>
      <c r="K238" s="323">
        <v>20000</v>
      </c>
      <c r="L238" s="379">
        <f t="shared" si="14"/>
        <v>80000</v>
      </c>
      <c r="M238" s="325"/>
    </row>
    <row r="239" spans="1:13" ht="13">
      <c r="A239" s="316" t="s">
        <v>795</v>
      </c>
      <c r="B239" s="316" t="s">
        <v>1973</v>
      </c>
      <c r="C239" s="316" t="s">
        <v>1973</v>
      </c>
      <c r="D239" s="316" t="s">
        <v>1973</v>
      </c>
      <c r="E239" s="317" t="s">
        <v>1973</v>
      </c>
      <c r="F239" s="318">
        <v>3</v>
      </c>
      <c r="G239" s="354" t="s">
        <v>62</v>
      </c>
      <c r="H239" s="320">
        <v>15000</v>
      </c>
      <c r="I239" s="321" t="b">
        <v>1</v>
      </c>
      <c r="J239" s="322">
        <v>3</v>
      </c>
      <c r="K239" s="323" t="e">
        <f>VLOOKUP($A239,'[1]Database Bahan &amp; Alat (Terupdat'!$B$50:$N$232,6,FALSE)</f>
        <v>#N/A</v>
      </c>
      <c r="L239" s="371" t="e">
        <f t="shared" si="14"/>
        <v>#N/A</v>
      </c>
      <c r="M239" s="325"/>
    </row>
    <row r="240" spans="1:13" ht="13">
      <c r="A240" s="316" t="s">
        <v>819</v>
      </c>
      <c r="B240" s="316" t="s">
        <v>1973</v>
      </c>
      <c r="C240" s="316" t="s">
        <v>1973</v>
      </c>
      <c r="D240" s="316" t="s">
        <v>1973</v>
      </c>
      <c r="E240" s="317" t="s">
        <v>1973</v>
      </c>
      <c r="F240" s="318">
        <v>0.1</v>
      </c>
      <c r="G240" s="354" t="s">
        <v>36</v>
      </c>
      <c r="H240" s="320">
        <v>2000</v>
      </c>
      <c r="I240" s="321" t="b">
        <v>1</v>
      </c>
      <c r="J240" s="322">
        <v>0.1</v>
      </c>
      <c r="K240" s="323">
        <v>15000</v>
      </c>
      <c r="L240" s="380">
        <f t="shared" si="14"/>
        <v>1500</v>
      </c>
      <c r="M240" s="325"/>
    </row>
    <row r="241" spans="1:13" ht="13">
      <c r="A241" s="316" t="s">
        <v>1709</v>
      </c>
      <c r="B241" s="316" t="s">
        <v>1973</v>
      </c>
      <c r="C241" s="316" t="s">
        <v>1973</v>
      </c>
      <c r="D241" s="316" t="s">
        <v>1973</v>
      </c>
      <c r="E241" s="317" t="s">
        <v>1973</v>
      </c>
      <c r="F241" s="318">
        <v>3</v>
      </c>
      <c r="G241" s="354" t="s">
        <v>62</v>
      </c>
      <c r="H241" s="320">
        <v>7500</v>
      </c>
      <c r="I241" s="321" t="b">
        <v>1</v>
      </c>
      <c r="J241" s="322">
        <v>3</v>
      </c>
      <c r="K241" s="323" t="e">
        <f>VLOOKUP($A241,'[1]Database Bahan &amp; Alat (Terupdat'!$B$50:$N$232,6,FALSE)</f>
        <v>#N/A</v>
      </c>
      <c r="L241" s="371" t="e">
        <f t="shared" si="14"/>
        <v>#N/A</v>
      </c>
      <c r="M241" s="325"/>
    </row>
    <row r="242" spans="1:13" ht="13">
      <c r="A242" s="316" t="s">
        <v>1608</v>
      </c>
      <c r="B242" s="316" t="s">
        <v>1973</v>
      </c>
      <c r="C242" s="316" t="s">
        <v>1973</v>
      </c>
      <c r="D242" s="316" t="s">
        <v>1973</v>
      </c>
      <c r="E242" s="317" t="s">
        <v>1973</v>
      </c>
      <c r="F242" s="318">
        <v>0.5</v>
      </c>
      <c r="G242" s="354" t="s">
        <v>36</v>
      </c>
      <c r="H242" s="320">
        <v>34500</v>
      </c>
      <c r="I242" s="321" t="b">
        <v>1</v>
      </c>
      <c r="J242" s="322">
        <v>0.4</v>
      </c>
      <c r="K242" s="323">
        <v>70000</v>
      </c>
      <c r="L242" s="379">
        <f t="shared" si="14"/>
        <v>28000</v>
      </c>
      <c r="M242" s="325"/>
    </row>
    <row r="243" spans="1:13" ht="13">
      <c r="A243" s="316" t="s">
        <v>989</v>
      </c>
      <c r="B243" s="316" t="s">
        <v>1973</v>
      </c>
      <c r="C243" s="316" t="s">
        <v>1973</v>
      </c>
      <c r="D243" s="316" t="s">
        <v>1973</v>
      </c>
      <c r="E243" s="317" t="s">
        <v>1973</v>
      </c>
      <c r="F243" s="318">
        <v>3</v>
      </c>
      <c r="G243" s="354" t="s">
        <v>62</v>
      </c>
      <c r="H243" s="320">
        <v>51000</v>
      </c>
      <c r="I243" s="321" t="b">
        <v>1</v>
      </c>
      <c r="J243" s="322">
        <v>3</v>
      </c>
      <c r="K243" s="323">
        <v>18000</v>
      </c>
      <c r="L243" s="379">
        <f t="shared" si="14"/>
        <v>54000</v>
      </c>
      <c r="M243" s="325"/>
    </row>
    <row r="244" spans="1:13" ht="13">
      <c r="A244" s="316" t="s">
        <v>1020</v>
      </c>
      <c r="B244" s="316" t="s">
        <v>1973</v>
      </c>
      <c r="C244" s="316" t="s">
        <v>1973</v>
      </c>
      <c r="D244" s="316" t="s">
        <v>1973</v>
      </c>
      <c r="E244" s="317" t="s">
        <v>1973</v>
      </c>
      <c r="F244" s="318">
        <v>3</v>
      </c>
      <c r="G244" s="354" t="s">
        <v>36</v>
      </c>
      <c r="H244" s="320">
        <v>36000</v>
      </c>
      <c r="I244" s="321" t="b">
        <v>1</v>
      </c>
      <c r="J244" s="322">
        <f>F244</f>
        <v>3</v>
      </c>
      <c r="K244" s="323" t="s">
        <v>1973</v>
      </c>
      <c r="L244" s="371" t="e">
        <f t="shared" si="14"/>
        <v>#VALUE!</v>
      </c>
      <c r="M244" s="325"/>
    </row>
    <row r="245" spans="1:13" ht="13">
      <c r="A245" s="316" t="s">
        <v>1600</v>
      </c>
      <c r="B245" s="316" t="s">
        <v>1973</v>
      </c>
      <c r="C245" s="316" t="s">
        <v>1973</v>
      </c>
      <c r="D245" s="316" t="s">
        <v>1973</v>
      </c>
      <c r="E245" s="317" t="s">
        <v>1973</v>
      </c>
      <c r="F245" s="318">
        <v>1</v>
      </c>
      <c r="G245" s="354" t="s">
        <v>36</v>
      </c>
      <c r="H245" s="320">
        <v>10000</v>
      </c>
      <c r="I245" s="321" t="b">
        <v>1</v>
      </c>
      <c r="J245" s="322">
        <v>1</v>
      </c>
      <c r="K245" s="323" t="s">
        <v>1973</v>
      </c>
      <c r="L245" s="371" t="e">
        <f t="shared" si="14"/>
        <v>#VALUE!</v>
      </c>
      <c r="M245" s="325"/>
    </row>
    <row r="246" spans="1:13" ht="13">
      <c r="A246" s="316" t="s">
        <v>779</v>
      </c>
      <c r="B246" s="316" t="s">
        <v>1973</v>
      </c>
      <c r="C246" s="316" t="s">
        <v>1973</v>
      </c>
      <c r="D246" s="316" t="s">
        <v>1973</v>
      </c>
      <c r="E246" s="317" t="s">
        <v>1973</v>
      </c>
      <c r="F246" s="318">
        <v>2</v>
      </c>
      <c r="G246" s="354" t="s">
        <v>62</v>
      </c>
      <c r="H246" s="320">
        <v>77000</v>
      </c>
      <c r="I246" s="321" t="b">
        <v>1</v>
      </c>
      <c r="J246" s="322">
        <v>2</v>
      </c>
      <c r="K246" s="323">
        <v>16000</v>
      </c>
      <c r="L246" s="370">
        <f t="shared" si="14"/>
        <v>32000</v>
      </c>
      <c r="M246" s="325"/>
    </row>
    <row r="247" spans="1:13" ht="13">
      <c r="A247" s="316" t="s">
        <v>1602</v>
      </c>
      <c r="B247" s="316" t="s">
        <v>1973</v>
      </c>
      <c r="C247" s="316" t="s">
        <v>1973</v>
      </c>
      <c r="D247" s="316" t="s">
        <v>1973</v>
      </c>
      <c r="E247" s="317" t="s">
        <v>1973</v>
      </c>
      <c r="F247" s="318">
        <v>6</v>
      </c>
      <c r="G247" s="354" t="s">
        <v>36</v>
      </c>
      <c r="H247" s="320">
        <v>84000</v>
      </c>
      <c r="I247" s="321" t="b">
        <v>1</v>
      </c>
      <c r="J247" s="322">
        <v>6</v>
      </c>
      <c r="K247" s="323" t="s">
        <v>1973</v>
      </c>
      <c r="L247" s="371" t="e">
        <f t="shared" si="14"/>
        <v>#VALUE!</v>
      </c>
      <c r="M247" s="325"/>
    </row>
    <row r="248" spans="1:13" ht="13">
      <c r="A248" s="316" t="s">
        <v>528</v>
      </c>
      <c r="B248" s="316" t="s">
        <v>1973</v>
      </c>
      <c r="C248" s="316" t="s">
        <v>1973</v>
      </c>
      <c r="D248" s="316" t="s">
        <v>1973</v>
      </c>
      <c r="E248" s="317" t="s">
        <v>1973</v>
      </c>
      <c r="F248" s="318">
        <v>3</v>
      </c>
      <c r="G248" s="354" t="s">
        <v>50</v>
      </c>
      <c r="H248" s="320">
        <v>48000</v>
      </c>
      <c r="I248" s="321" t="b">
        <v>1</v>
      </c>
      <c r="J248" s="322">
        <v>3</v>
      </c>
      <c r="K248" s="323" t="s">
        <v>1973</v>
      </c>
      <c r="L248" s="371" t="e">
        <f t="shared" si="14"/>
        <v>#VALUE!</v>
      </c>
      <c r="M248" s="325"/>
    </row>
    <row r="249" spans="1:13" ht="13">
      <c r="A249" s="316" t="s">
        <v>635</v>
      </c>
      <c r="B249" s="316" t="s">
        <v>1973</v>
      </c>
      <c r="C249" s="316" t="s">
        <v>1973</v>
      </c>
      <c r="D249" s="316" t="s">
        <v>1973</v>
      </c>
      <c r="E249" s="317" t="s">
        <v>1973</v>
      </c>
      <c r="F249" s="318">
        <v>6</v>
      </c>
      <c r="G249" s="354" t="s">
        <v>50</v>
      </c>
      <c r="H249" s="320">
        <v>60000</v>
      </c>
      <c r="I249" s="321" t="b">
        <v>1</v>
      </c>
      <c r="J249" s="322">
        <v>6</v>
      </c>
      <c r="K249" s="323" t="s">
        <v>1973</v>
      </c>
      <c r="L249" s="371" t="e">
        <f t="shared" si="14"/>
        <v>#VALUE!</v>
      </c>
      <c r="M249" s="325"/>
    </row>
    <row r="250" spans="1:13" ht="13">
      <c r="A250" s="316" t="s">
        <v>643</v>
      </c>
      <c r="B250" s="316" t="s">
        <v>1973</v>
      </c>
      <c r="C250" s="316" t="s">
        <v>1973</v>
      </c>
      <c r="D250" s="316" t="s">
        <v>1973</v>
      </c>
      <c r="E250" s="317" t="s">
        <v>1973</v>
      </c>
      <c r="F250" s="318">
        <v>1</v>
      </c>
      <c r="G250" s="354" t="s">
        <v>36</v>
      </c>
      <c r="H250" s="320">
        <v>15000</v>
      </c>
      <c r="I250" s="321" t="b">
        <v>1</v>
      </c>
      <c r="J250" s="322">
        <v>1</v>
      </c>
      <c r="K250" s="323" t="s">
        <v>1973</v>
      </c>
      <c r="L250" s="371" t="e">
        <f t="shared" si="14"/>
        <v>#VALUE!</v>
      </c>
      <c r="M250" s="325"/>
    </row>
    <row r="251" spans="1:13" ht="13">
      <c r="A251" s="316" t="s">
        <v>680</v>
      </c>
      <c r="B251" s="316" t="s">
        <v>1973</v>
      </c>
      <c r="C251" s="316" t="s">
        <v>1973</v>
      </c>
      <c r="D251" s="316" t="s">
        <v>1973</v>
      </c>
      <c r="E251" s="317" t="s">
        <v>1973</v>
      </c>
      <c r="F251" s="318">
        <v>6</v>
      </c>
      <c r="G251" s="354" t="s">
        <v>97</v>
      </c>
      <c r="H251" s="320">
        <v>186000</v>
      </c>
      <c r="I251" s="321" t="b">
        <v>1</v>
      </c>
      <c r="J251" s="322">
        <v>6</v>
      </c>
      <c r="K251" s="323">
        <v>32000</v>
      </c>
      <c r="L251" s="379">
        <f t="shared" si="14"/>
        <v>192000</v>
      </c>
      <c r="M251" s="325"/>
    </row>
    <row r="252" spans="1:13" ht="13">
      <c r="A252" s="316" t="s">
        <v>684</v>
      </c>
      <c r="B252" s="316" t="s">
        <v>1973</v>
      </c>
      <c r="C252" s="316" t="s">
        <v>1973</v>
      </c>
      <c r="D252" s="316" t="s">
        <v>1973</v>
      </c>
      <c r="E252" s="317" t="s">
        <v>1973</v>
      </c>
      <c r="F252" s="318">
        <v>1</v>
      </c>
      <c r="G252" s="354" t="s">
        <v>97</v>
      </c>
      <c r="H252" s="320">
        <v>31000</v>
      </c>
      <c r="I252" s="321" t="b">
        <v>1</v>
      </c>
      <c r="J252" s="322">
        <v>1</v>
      </c>
      <c r="K252" s="323">
        <v>32000</v>
      </c>
      <c r="L252" s="379">
        <f t="shared" si="14"/>
        <v>32000</v>
      </c>
      <c r="M252" s="325"/>
    </row>
    <row r="253" spans="1:13" ht="13">
      <c r="A253" s="316" t="s">
        <v>735</v>
      </c>
      <c r="B253" s="316" t="s">
        <v>1973</v>
      </c>
      <c r="C253" s="316" t="s">
        <v>1973</v>
      </c>
      <c r="D253" s="316" t="s">
        <v>1973</v>
      </c>
      <c r="E253" s="317" t="s">
        <v>1973</v>
      </c>
      <c r="F253" s="318">
        <v>2</v>
      </c>
      <c r="G253" s="354" t="s">
        <v>97</v>
      </c>
      <c r="H253" s="320">
        <v>96000</v>
      </c>
      <c r="I253" s="321" t="b">
        <v>1</v>
      </c>
      <c r="J253" s="322">
        <v>2</v>
      </c>
      <c r="K253" s="323" t="e">
        <f>VLOOKUP($A253,'[1]Database Bahan &amp; Alat (Terupdat'!$B$50:$N$232,6,FALSE)</f>
        <v>#N/A</v>
      </c>
      <c r="L253" s="370" t="e">
        <f t="shared" si="14"/>
        <v>#N/A</v>
      </c>
      <c r="M253" s="325"/>
    </row>
    <row r="254" spans="1:13" ht="13">
      <c r="A254" s="316" t="s">
        <v>892</v>
      </c>
      <c r="B254" s="316" t="s">
        <v>1973</v>
      </c>
      <c r="C254" s="316" t="s">
        <v>1973</v>
      </c>
      <c r="D254" s="316" t="s">
        <v>1973</v>
      </c>
      <c r="E254" s="317" t="s">
        <v>1973</v>
      </c>
      <c r="F254" s="318">
        <v>1</v>
      </c>
      <c r="G254" s="354" t="s">
        <v>36</v>
      </c>
      <c r="H254" s="320">
        <v>125000</v>
      </c>
      <c r="I254" s="321" t="b">
        <v>1</v>
      </c>
      <c r="J254" s="322">
        <v>1</v>
      </c>
      <c r="K254" s="323">
        <v>130000</v>
      </c>
      <c r="L254" s="379">
        <f t="shared" si="14"/>
        <v>130000</v>
      </c>
      <c r="M254" s="325"/>
    </row>
    <row r="256" spans="1:13" ht="13">
      <c r="F256" s="429">
        <v>44674</v>
      </c>
      <c r="G256" s="428"/>
      <c r="H256" s="424"/>
      <c r="J256" s="429">
        <f>F256+1</f>
        <v>44675</v>
      </c>
      <c r="K256" s="428"/>
      <c r="L256" s="424"/>
    </row>
    <row r="257" spans="1:13" ht="13">
      <c r="F257" s="425" t="s">
        <v>1490</v>
      </c>
      <c r="G257" s="426"/>
      <c r="H257" s="304">
        <f>SUM(H259:H306)</f>
        <v>2651521</v>
      </c>
      <c r="J257" s="425" t="s">
        <v>1491</v>
      </c>
      <c r="K257" s="426"/>
      <c r="L257" s="304" t="e">
        <f>SUM(L259:L306)</f>
        <v>#VALUE!</v>
      </c>
    </row>
    <row r="258" spans="1:13" ht="13">
      <c r="A258" s="2" t="s">
        <v>4</v>
      </c>
      <c r="B258" s="305" t="s">
        <v>5</v>
      </c>
      <c r="C258" s="305" t="s">
        <v>11</v>
      </c>
      <c r="D258" s="305" t="s">
        <v>12</v>
      </c>
      <c r="E258" s="306" t="s">
        <v>6</v>
      </c>
      <c r="F258" s="307" t="s">
        <v>1494</v>
      </c>
      <c r="G258" s="308" t="s">
        <v>10</v>
      </c>
      <c r="H258" s="309" t="s">
        <v>1495</v>
      </c>
      <c r="I258" s="310" t="s">
        <v>1289</v>
      </c>
      <c r="J258" s="311" t="s">
        <v>1496</v>
      </c>
      <c r="K258" s="312" t="s">
        <v>1497</v>
      </c>
      <c r="L258" s="313" t="s">
        <v>1498</v>
      </c>
      <c r="M258" s="314" t="s">
        <v>16</v>
      </c>
    </row>
    <row r="259" spans="1:13" ht="13">
      <c r="A259" s="316" t="s">
        <v>586</v>
      </c>
      <c r="B259" s="316" t="s">
        <v>1973</v>
      </c>
      <c r="C259" s="316" t="s">
        <v>1973</v>
      </c>
      <c r="D259" s="316" t="s">
        <v>1973</v>
      </c>
      <c r="E259" s="317" t="s">
        <v>1973</v>
      </c>
      <c r="F259" s="318">
        <v>3</v>
      </c>
      <c r="G259" s="354" t="s">
        <v>62</v>
      </c>
      <c r="H259" s="320">
        <v>21600</v>
      </c>
      <c r="I259" s="321" t="b">
        <v>0</v>
      </c>
      <c r="J259" s="322"/>
      <c r="K259" s="323" t="s">
        <v>1973</v>
      </c>
      <c r="L259" s="324" t="e">
        <f t="shared" ref="L259:L306" si="15">J259*K259</f>
        <v>#VALUE!</v>
      </c>
      <c r="M259" s="325"/>
    </row>
    <row r="260" spans="1:13" ht="13">
      <c r="A260" s="316" t="s">
        <v>782</v>
      </c>
      <c r="B260" s="316" t="s">
        <v>1973</v>
      </c>
      <c r="C260" s="316" t="s">
        <v>1973</v>
      </c>
      <c r="D260" s="316" t="s">
        <v>1973</v>
      </c>
      <c r="E260" s="317" t="s">
        <v>1973</v>
      </c>
      <c r="F260" s="318">
        <v>1</v>
      </c>
      <c r="G260" s="354" t="s">
        <v>62</v>
      </c>
      <c r="H260" s="320">
        <v>12000</v>
      </c>
      <c r="I260" s="321" t="b">
        <v>1</v>
      </c>
      <c r="J260" s="322"/>
      <c r="K260" s="323" t="s">
        <v>1973</v>
      </c>
      <c r="L260" s="324" t="e">
        <f t="shared" si="15"/>
        <v>#VALUE!</v>
      </c>
      <c r="M260" s="325"/>
    </row>
    <row r="261" spans="1:13" ht="13">
      <c r="A261" s="316" t="s">
        <v>919</v>
      </c>
      <c r="B261" s="316" t="s">
        <v>1973</v>
      </c>
      <c r="C261" s="316" t="s">
        <v>1973</v>
      </c>
      <c r="D261" s="316" t="s">
        <v>1973</v>
      </c>
      <c r="E261" s="317" t="s">
        <v>1973</v>
      </c>
      <c r="F261" s="318">
        <v>2</v>
      </c>
      <c r="G261" s="354" t="s">
        <v>62</v>
      </c>
      <c r="H261" s="320">
        <v>17600</v>
      </c>
      <c r="I261" s="321" t="b">
        <v>1</v>
      </c>
      <c r="J261" s="322"/>
      <c r="K261" s="323" t="s">
        <v>1973</v>
      </c>
      <c r="L261" s="324" t="e">
        <f t="shared" si="15"/>
        <v>#VALUE!</v>
      </c>
      <c r="M261" s="325"/>
    </row>
    <row r="262" spans="1:13" ht="13">
      <c r="A262" s="316" t="s">
        <v>937</v>
      </c>
      <c r="B262" s="316" t="s">
        <v>1973</v>
      </c>
      <c r="C262" s="316" t="s">
        <v>1973</v>
      </c>
      <c r="D262" s="316" t="s">
        <v>1973</v>
      </c>
      <c r="E262" s="317" t="s">
        <v>1973</v>
      </c>
      <c r="F262" s="318">
        <v>2</v>
      </c>
      <c r="G262" s="354" t="s">
        <v>62</v>
      </c>
      <c r="H262" s="320">
        <v>14400</v>
      </c>
      <c r="I262" s="321" t="b">
        <v>1</v>
      </c>
      <c r="J262" s="322"/>
      <c r="K262" s="323" t="s">
        <v>1973</v>
      </c>
      <c r="L262" s="324" t="e">
        <f t="shared" si="15"/>
        <v>#VALUE!</v>
      </c>
      <c r="M262" s="325"/>
    </row>
    <row r="263" spans="1:13" ht="13">
      <c r="A263" s="316" t="s">
        <v>1043</v>
      </c>
      <c r="B263" s="316" t="s">
        <v>1973</v>
      </c>
      <c r="C263" s="316" t="s">
        <v>1973</v>
      </c>
      <c r="D263" s="316" t="s">
        <v>1973</v>
      </c>
      <c r="E263" s="317" t="s">
        <v>1973</v>
      </c>
      <c r="F263" s="318">
        <v>1</v>
      </c>
      <c r="G263" s="354" t="s">
        <v>50</v>
      </c>
      <c r="H263" s="320">
        <v>32200</v>
      </c>
      <c r="I263" s="321" t="b">
        <v>0</v>
      </c>
      <c r="J263" s="322"/>
      <c r="K263" s="323" t="s">
        <v>1973</v>
      </c>
      <c r="L263" s="324" t="e">
        <f t="shared" si="15"/>
        <v>#VALUE!</v>
      </c>
      <c r="M263" s="325"/>
    </row>
    <row r="264" spans="1:13" ht="13">
      <c r="A264" s="18" t="s">
        <v>1094</v>
      </c>
      <c r="B264" s="316" t="s">
        <v>1973</v>
      </c>
      <c r="C264" s="316" t="s">
        <v>1973</v>
      </c>
      <c r="D264" s="316" t="s">
        <v>1973</v>
      </c>
      <c r="E264" s="317" t="s">
        <v>1973</v>
      </c>
      <c r="F264" s="318">
        <v>1</v>
      </c>
      <c r="G264" s="354" t="s">
        <v>62</v>
      </c>
      <c r="H264" s="320">
        <v>17600</v>
      </c>
      <c r="I264" s="321" t="b">
        <v>0</v>
      </c>
      <c r="J264" s="322"/>
      <c r="K264" s="323" t="s">
        <v>1973</v>
      </c>
      <c r="L264" s="324" t="e">
        <f t="shared" si="15"/>
        <v>#VALUE!</v>
      </c>
      <c r="M264" s="325"/>
    </row>
    <row r="265" spans="1:13" ht="13">
      <c r="A265" s="316" t="s">
        <v>1696</v>
      </c>
      <c r="B265" s="316" t="s">
        <v>1973</v>
      </c>
      <c r="C265" s="316" t="s">
        <v>1973</v>
      </c>
      <c r="D265" s="316" t="s">
        <v>1973</v>
      </c>
      <c r="E265" s="317" t="s">
        <v>1973</v>
      </c>
      <c r="F265" s="318">
        <v>3</v>
      </c>
      <c r="G265" s="354" t="s">
        <v>62</v>
      </c>
      <c r="H265" s="320">
        <v>45000</v>
      </c>
      <c r="I265" s="321" t="b">
        <v>0</v>
      </c>
      <c r="J265" s="322"/>
      <c r="K265" s="323" t="s">
        <v>1973</v>
      </c>
      <c r="L265" s="324" t="e">
        <f t="shared" si="15"/>
        <v>#VALUE!</v>
      </c>
      <c r="M265" s="325"/>
    </row>
    <row r="266" spans="1:13" ht="13">
      <c r="A266" s="316" t="s">
        <v>1697</v>
      </c>
      <c r="B266" s="316" t="s">
        <v>1973</v>
      </c>
      <c r="C266" s="316" t="s">
        <v>1973</v>
      </c>
      <c r="D266" s="316" t="s">
        <v>1973</v>
      </c>
      <c r="E266" s="317" t="s">
        <v>1973</v>
      </c>
      <c r="F266" s="318">
        <v>2</v>
      </c>
      <c r="G266" s="354" t="s">
        <v>62</v>
      </c>
      <c r="H266" s="320">
        <v>25000</v>
      </c>
      <c r="I266" s="321" t="b">
        <v>0</v>
      </c>
      <c r="J266" s="322"/>
      <c r="K266" s="323" t="s">
        <v>1973</v>
      </c>
      <c r="L266" s="324" t="e">
        <f t="shared" si="15"/>
        <v>#VALUE!</v>
      </c>
      <c r="M266" s="325"/>
    </row>
    <row r="267" spans="1:13" ht="13">
      <c r="A267" s="316" t="s">
        <v>631</v>
      </c>
      <c r="B267" s="316" t="s">
        <v>1973</v>
      </c>
      <c r="C267" s="316" t="s">
        <v>1973</v>
      </c>
      <c r="D267" s="316" t="s">
        <v>1973</v>
      </c>
      <c r="E267" s="317" t="s">
        <v>1973</v>
      </c>
      <c r="F267" s="318">
        <v>1</v>
      </c>
      <c r="G267" s="354" t="s">
        <v>36</v>
      </c>
      <c r="H267" s="320">
        <v>16000</v>
      </c>
      <c r="I267" s="321" t="b">
        <v>0</v>
      </c>
      <c r="J267" s="322"/>
      <c r="K267" s="323" t="s">
        <v>1973</v>
      </c>
      <c r="L267" s="324" t="e">
        <f t="shared" si="15"/>
        <v>#VALUE!</v>
      </c>
      <c r="M267" s="325"/>
    </row>
    <row r="268" spans="1:13" ht="13">
      <c r="A268" s="316" t="s">
        <v>1610</v>
      </c>
      <c r="B268" s="316" t="s">
        <v>1973</v>
      </c>
      <c r="C268" s="316" t="s">
        <v>1973</v>
      </c>
      <c r="D268" s="316" t="s">
        <v>1973</v>
      </c>
      <c r="E268" s="317" t="s">
        <v>1973</v>
      </c>
      <c r="F268" s="318">
        <v>4</v>
      </c>
      <c r="G268" s="354" t="s">
        <v>36</v>
      </c>
      <c r="H268" s="320">
        <v>40000</v>
      </c>
      <c r="I268" s="321" t="b">
        <v>1</v>
      </c>
      <c r="J268" s="322"/>
      <c r="K268" s="323" t="s">
        <v>1973</v>
      </c>
      <c r="L268" s="324" t="e">
        <f t="shared" si="15"/>
        <v>#VALUE!</v>
      </c>
      <c r="M268" s="325"/>
    </row>
    <row r="269" spans="1:13" ht="13">
      <c r="A269" s="316" t="s">
        <v>675</v>
      </c>
      <c r="B269" s="316" t="s">
        <v>1973</v>
      </c>
      <c r="C269" s="316" t="s">
        <v>1973</v>
      </c>
      <c r="D269" s="316" t="s">
        <v>1973</v>
      </c>
      <c r="E269" s="317" t="s">
        <v>1973</v>
      </c>
      <c r="F269" s="318">
        <v>10</v>
      </c>
      <c r="G269" s="354" t="s">
        <v>62</v>
      </c>
      <c r="H269" s="320">
        <v>45000</v>
      </c>
      <c r="I269" s="321" t="b">
        <v>1</v>
      </c>
      <c r="J269" s="322"/>
      <c r="K269" s="323" t="s">
        <v>1973</v>
      </c>
      <c r="L269" s="324" t="e">
        <f t="shared" si="15"/>
        <v>#VALUE!</v>
      </c>
      <c r="M269" s="325"/>
    </row>
    <row r="270" spans="1:13" ht="13">
      <c r="A270" s="316" t="s">
        <v>712</v>
      </c>
      <c r="B270" s="316" t="s">
        <v>1973</v>
      </c>
      <c r="C270" s="316" t="s">
        <v>1973</v>
      </c>
      <c r="D270" s="316" t="s">
        <v>1973</v>
      </c>
      <c r="E270" s="317" t="s">
        <v>1973</v>
      </c>
      <c r="F270" s="318">
        <v>0.15</v>
      </c>
      <c r="G270" s="354" t="s">
        <v>36</v>
      </c>
      <c r="H270" s="320">
        <v>3600</v>
      </c>
      <c r="I270" s="321" t="b">
        <v>1</v>
      </c>
      <c r="J270" s="322">
        <v>0.2</v>
      </c>
      <c r="K270" s="323" t="s">
        <v>1973</v>
      </c>
      <c r="L270" s="324" t="e">
        <f t="shared" si="15"/>
        <v>#VALUE!</v>
      </c>
      <c r="M270" s="325"/>
    </row>
    <row r="271" spans="1:13" ht="13">
      <c r="A271" s="316" t="s">
        <v>732</v>
      </c>
      <c r="B271" s="316" t="s">
        <v>1973</v>
      </c>
      <c r="C271" s="316" t="s">
        <v>1973</v>
      </c>
      <c r="D271" s="316" t="s">
        <v>1973</v>
      </c>
      <c r="E271" s="317" t="s">
        <v>1973</v>
      </c>
      <c r="F271" s="318">
        <v>2.5</v>
      </c>
      <c r="G271" s="354" t="s">
        <v>36</v>
      </c>
      <c r="H271" s="320">
        <v>65000</v>
      </c>
      <c r="I271" s="321" t="b">
        <v>1</v>
      </c>
      <c r="J271" s="322"/>
      <c r="K271" s="323" t="s">
        <v>1973</v>
      </c>
      <c r="L271" s="324" t="e">
        <f t="shared" si="15"/>
        <v>#VALUE!</v>
      </c>
      <c r="M271" s="325"/>
    </row>
    <row r="272" spans="1:13" ht="13">
      <c r="A272" s="316" t="s">
        <v>744</v>
      </c>
      <c r="B272" s="316" t="s">
        <v>1973</v>
      </c>
      <c r="C272" s="316" t="s">
        <v>1973</v>
      </c>
      <c r="D272" s="316" t="s">
        <v>1973</v>
      </c>
      <c r="E272" s="317" t="s">
        <v>1973</v>
      </c>
      <c r="F272" s="318">
        <v>1</v>
      </c>
      <c r="G272" s="354" t="s">
        <v>36</v>
      </c>
      <c r="H272" s="320">
        <v>70000</v>
      </c>
      <c r="I272" s="321" t="b">
        <v>1</v>
      </c>
      <c r="J272" s="322">
        <v>0.4</v>
      </c>
      <c r="K272" s="323" t="s">
        <v>1973</v>
      </c>
      <c r="L272" s="324" t="e">
        <f t="shared" si="15"/>
        <v>#VALUE!</v>
      </c>
      <c r="M272" s="325"/>
    </row>
    <row r="273" spans="1:13" ht="13">
      <c r="A273" s="316" t="s">
        <v>752</v>
      </c>
      <c r="B273" s="316" t="s">
        <v>1973</v>
      </c>
      <c r="C273" s="316" t="s">
        <v>1973</v>
      </c>
      <c r="D273" s="316" t="s">
        <v>1973</v>
      </c>
      <c r="E273" s="317" t="s">
        <v>1973</v>
      </c>
      <c r="F273" s="318">
        <v>1</v>
      </c>
      <c r="G273" s="354" t="s">
        <v>62</v>
      </c>
      <c r="H273" s="320">
        <v>36000</v>
      </c>
      <c r="I273" s="321" t="b">
        <v>0</v>
      </c>
      <c r="J273" s="322"/>
      <c r="K273" s="323" t="s">
        <v>1973</v>
      </c>
      <c r="L273" s="324" t="e">
        <f t="shared" si="15"/>
        <v>#VALUE!</v>
      </c>
      <c r="M273" s="325"/>
    </row>
    <row r="274" spans="1:13" ht="13">
      <c r="A274" s="316" t="s">
        <v>767</v>
      </c>
      <c r="B274" s="316" t="s">
        <v>1973</v>
      </c>
      <c r="C274" s="316" t="s">
        <v>1973</v>
      </c>
      <c r="D274" s="316" t="s">
        <v>1973</v>
      </c>
      <c r="E274" s="317" t="s">
        <v>1973</v>
      </c>
      <c r="F274" s="318">
        <v>5</v>
      </c>
      <c r="G274" s="354" t="s">
        <v>62</v>
      </c>
      <c r="H274" s="320">
        <v>100000</v>
      </c>
      <c r="I274" s="321" t="b">
        <v>1</v>
      </c>
      <c r="J274" s="322">
        <v>3</v>
      </c>
      <c r="K274" s="323" t="s">
        <v>1973</v>
      </c>
      <c r="L274" s="324" t="e">
        <f t="shared" si="15"/>
        <v>#VALUE!</v>
      </c>
      <c r="M274" s="325"/>
    </row>
    <row r="275" spans="1:13" ht="13">
      <c r="A275" s="316" t="s">
        <v>1700</v>
      </c>
      <c r="B275" s="316" t="s">
        <v>1973</v>
      </c>
      <c r="C275" s="316" t="s">
        <v>1973</v>
      </c>
      <c r="D275" s="316" t="s">
        <v>1973</v>
      </c>
      <c r="E275" s="317" t="s">
        <v>1973</v>
      </c>
      <c r="F275" s="318">
        <v>5</v>
      </c>
      <c r="G275" s="354" t="s">
        <v>62</v>
      </c>
      <c r="H275" s="320">
        <v>75000</v>
      </c>
      <c r="I275" s="321" t="b">
        <v>1</v>
      </c>
      <c r="J275" s="322">
        <v>4</v>
      </c>
      <c r="K275" s="323" t="s">
        <v>1973</v>
      </c>
      <c r="L275" s="324" t="e">
        <f t="shared" si="15"/>
        <v>#VALUE!</v>
      </c>
      <c r="M275" s="325"/>
    </row>
    <row r="276" spans="1:13" ht="13">
      <c r="A276" s="316" t="s">
        <v>1601</v>
      </c>
      <c r="B276" s="316" t="s">
        <v>1973</v>
      </c>
      <c r="C276" s="316" t="s">
        <v>1973</v>
      </c>
      <c r="D276" s="316" t="s">
        <v>1973</v>
      </c>
      <c r="E276" s="317" t="s">
        <v>1973</v>
      </c>
      <c r="F276" s="318">
        <v>2</v>
      </c>
      <c r="G276" s="354" t="s">
        <v>97</v>
      </c>
      <c r="H276" s="320">
        <v>42000</v>
      </c>
      <c r="I276" s="321" t="b">
        <v>0</v>
      </c>
      <c r="J276" s="322"/>
      <c r="K276" s="323" t="s">
        <v>1973</v>
      </c>
      <c r="L276" s="324" t="e">
        <f t="shared" si="15"/>
        <v>#VALUE!</v>
      </c>
      <c r="M276" s="325"/>
    </row>
    <row r="277" spans="1:13" ht="13">
      <c r="A277" s="316" t="s">
        <v>795</v>
      </c>
      <c r="B277" s="316" t="s">
        <v>1973</v>
      </c>
      <c r="C277" s="316" t="s">
        <v>1973</v>
      </c>
      <c r="D277" s="316" t="s">
        <v>1973</v>
      </c>
      <c r="E277" s="317" t="s">
        <v>1973</v>
      </c>
      <c r="F277" s="318">
        <v>3</v>
      </c>
      <c r="G277" s="354" t="s">
        <v>62</v>
      </c>
      <c r="H277" s="320">
        <v>15000</v>
      </c>
      <c r="I277" s="321" t="b">
        <v>1</v>
      </c>
      <c r="J277" s="322"/>
      <c r="K277" s="323" t="s">
        <v>1973</v>
      </c>
      <c r="L277" s="324" t="e">
        <f t="shared" si="15"/>
        <v>#VALUE!</v>
      </c>
      <c r="M277" s="325"/>
    </row>
    <row r="278" spans="1:13" ht="13">
      <c r="A278" s="316" t="s">
        <v>1704</v>
      </c>
      <c r="B278" s="316" t="s">
        <v>1973</v>
      </c>
      <c r="C278" s="316" t="s">
        <v>1973</v>
      </c>
      <c r="D278" s="316" t="s">
        <v>1973</v>
      </c>
      <c r="E278" s="317" t="s">
        <v>1973</v>
      </c>
      <c r="F278" s="318">
        <v>0.3</v>
      </c>
      <c r="G278" s="354" t="s">
        <v>36</v>
      </c>
      <c r="H278" s="320">
        <v>3600</v>
      </c>
      <c r="I278" s="321" t="b">
        <v>1</v>
      </c>
      <c r="J278" s="322"/>
      <c r="K278" s="323" t="s">
        <v>1973</v>
      </c>
      <c r="L278" s="324" t="e">
        <f t="shared" si="15"/>
        <v>#VALUE!</v>
      </c>
      <c r="M278" s="325"/>
    </row>
    <row r="279" spans="1:13" ht="13">
      <c r="A279" s="316" t="s">
        <v>827</v>
      </c>
      <c r="B279" s="316" t="s">
        <v>1973</v>
      </c>
      <c r="C279" s="316" t="s">
        <v>1973</v>
      </c>
      <c r="D279" s="316" t="s">
        <v>1973</v>
      </c>
      <c r="E279" s="317" t="s">
        <v>1973</v>
      </c>
      <c r="F279" s="318">
        <v>0.5</v>
      </c>
      <c r="G279" s="354" t="s">
        <v>36</v>
      </c>
      <c r="H279" s="320">
        <v>4000</v>
      </c>
      <c r="I279" s="321" t="b">
        <v>1</v>
      </c>
      <c r="J279" s="322"/>
      <c r="K279" s="323" t="s">
        <v>1973</v>
      </c>
      <c r="L279" s="324" t="e">
        <f t="shared" si="15"/>
        <v>#VALUE!</v>
      </c>
      <c r="M279" s="325"/>
    </row>
    <row r="280" spans="1:13" ht="13">
      <c r="A280" s="316" t="s">
        <v>1701</v>
      </c>
      <c r="B280" s="316" t="s">
        <v>1973</v>
      </c>
      <c r="C280" s="316" t="s">
        <v>1973</v>
      </c>
      <c r="D280" s="316" t="s">
        <v>1973</v>
      </c>
      <c r="E280" s="317" t="s">
        <v>1973</v>
      </c>
      <c r="F280" s="318">
        <v>1</v>
      </c>
      <c r="G280" s="354" t="s">
        <v>36</v>
      </c>
      <c r="H280" s="320">
        <v>18000</v>
      </c>
      <c r="I280" s="321" t="b">
        <v>0</v>
      </c>
      <c r="J280" s="322"/>
      <c r="K280" s="323" t="s">
        <v>1973</v>
      </c>
      <c r="L280" s="324" t="e">
        <f t="shared" si="15"/>
        <v>#VALUE!</v>
      </c>
      <c r="M280" s="325"/>
    </row>
    <row r="281" spans="1:13" ht="13">
      <c r="A281" s="316" t="s">
        <v>1702</v>
      </c>
      <c r="B281" s="316" t="s">
        <v>1973</v>
      </c>
      <c r="C281" s="316" t="s">
        <v>1973</v>
      </c>
      <c r="D281" s="316" t="s">
        <v>1973</v>
      </c>
      <c r="E281" s="317" t="s">
        <v>1973</v>
      </c>
      <c r="F281" s="318">
        <v>0.5</v>
      </c>
      <c r="G281" s="354" t="s">
        <v>36</v>
      </c>
      <c r="H281" s="320">
        <v>60000</v>
      </c>
      <c r="I281" s="321" t="b">
        <v>1</v>
      </c>
      <c r="J281" s="322">
        <v>0.25</v>
      </c>
      <c r="K281" s="323" t="s">
        <v>1973</v>
      </c>
      <c r="L281" s="324" t="e">
        <f t="shared" si="15"/>
        <v>#VALUE!</v>
      </c>
      <c r="M281" s="325"/>
    </row>
    <row r="282" spans="1:13" ht="13">
      <c r="A282" s="316" t="s">
        <v>1608</v>
      </c>
      <c r="B282" s="316" t="s">
        <v>1973</v>
      </c>
      <c r="C282" s="316" t="s">
        <v>1973</v>
      </c>
      <c r="D282" s="316" t="s">
        <v>1973</v>
      </c>
      <c r="E282" s="317" t="s">
        <v>1973</v>
      </c>
      <c r="F282" s="318">
        <v>0.5</v>
      </c>
      <c r="G282" s="354" t="s">
        <v>36</v>
      </c>
      <c r="H282" s="320">
        <v>34500</v>
      </c>
      <c r="I282" s="321" t="b">
        <v>1</v>
      </c>
      <c r="J282" s="322">
        <v>0.4</v>
      </c>
      <c r="K282" s="323" t="s">
        <v>1973</v>
      </c>
      <c r="L282" s="324" t="e">
        <f t="shared" si="15"/>
        <v>#VALUE!</v>
      </c>
      <c r="M282" s="325"/>
    </row>
    <row r="283" spans="1:13" ht="13">
      <c r="A283" s="316" t="s">
        <v>955</v>
      </c>
      <c r="B283" s="316" t="s">
        <v>1973</v>
      </c>
      <c r="C283" s="316" t="s">
        <v>1973</v>
      </c>
      <c r="D283" s="316" t="s">
        <v>1973</v>
      </c>
      <c r="E283" s="317" t="s">
        <v>1973</v>
      </c>
      <c r="F283" s="318">
        <v>2</v>
      </c>
      <c r="G283" s="354" t="s">
        <v>97</v>
      </c>
      <c r="H283" s="320">
        <v>42000</v>
      </c>
      <c r="I283" s="321" t="b">
        <v>0</v>
      </c>
      <c r="J283" s="322"/>
      <c r="K283" s="323" t="s">
        <v>1973</v>
      </c>
      <c r="L283" s="324" t="e">
        <f t="shared" si="15"/>
        <v>#VALUE!</v>
      </c>
      <c r="M283" s="325"/>
    </row>
    <row r="284" spans="1:13" ht="13">
      <c r="A284" s="316" t="s">
        <v>987</v>
      </c>
      <c r="B284" s="316" t="s">
        <v>1973</v>
      </c>
      <c r="C284" s="316" t="s">
        <v>1973</v>
      </c>
      <c r="D284" s="316" t="s">
        <v>1973</v>
      </c>
      <c r="E284" s="317" t="s">
        <v>1973</v>
      </c>
      <c r="F284" s="318">
        <v>1</v>
      </c>
      <c r="G284" s="354" t="s">
        <v>62</v>
      </c>
      <c r="H284" s="320">
        <v>17000</v>
      </c>
      <c r="I284" s="321" t="b">
        <v>0</v>
      </c>
      <c r="J284" s="322"/>
      <c r="K284" s="323" t="s">
        <v>1973</v>
      </c>
      <c r="L284" s="324" t="e">
        <f t="shared" si="15"/>
        <v>#VALUE!</v>
      </c>
      <c r="M284" s="325"/>
    </row>
    <row r="285" spans="1:13" ht="13">
      <c r="A285" s="316" t="s">
        <v>989</v>
      </c>
      <c r="B285" s="316" t="s">
        <v>1973</v>
      </c>
      <c r="C285" s="316" t="s">
        <v>1973</v>
      </c>
      <c r="D285" s="316" t="s">
        <v>1973</v>
      </c>
      <c r="E285" s="317" t="s">
        <v>1973</v>
      </c>
      <c r="F285" s="318">
        <v>3</v>
      </c>
      <c r="G285" s="354" t="s">
        <v>62</v>
      </c>
      <c r="H285" s="320">
        <v>51000</v>
      </c>
      <c r="I285" s="321" t="b">
        <v>1</v>
      </c>
      <c r="J285" s="322">
        <v>2</v>
      </c>
      <c r="K285" s="323" t="s">
        <v>1973</v>
      </c>
      <c r="L285" s="324" t="e">
        <f t="shared" si="15"/>
        <v>#VALUE!</v>
      </c>
      <c r="M285" s="325"/>
    </row>
    <row r="286" spans="1:13" ht="13">
      <c r="A286" s="316" t="s">
        <v>1000</v>
      </c>
      <c r="B286" s="316" t="s">
        <v>1973</v>
      </c>
      <c r="C286" s="316" t="s">
        <v>1973</v>
      </c>
      <c r="D286" s="316" t="s">
        <v>1973</v>
      </c>
      <c r="E286" s="317" t="s">
        <v>1973</v>
      </c>
      <c r="F286" s="318">
        <v>1</v>
      </c>
      <c r="G286" s="354" t="s">
        <v>62</v>
      </c>
      <c r="H286" s="320">
        <v>11500</v>
      </c>
      <c r="I286" s="321" t="b">
        <v>1</v>
      </c>
      <c r="J286" s="322"/>
      <c r="K286" s="323" t="s">
        <v>1973</v>
      </c>
      <c r="L286" s="324" t="e">
        <f t="shared" si="15"/>
        <v>#VALUE!</v>
      </c>
      <c r="M286" s="325"/>
    </row>
    <row r="287" spans="1:13" ht="13">
      <c r="A287" s="316" t="s">
        <v>1677</v>
      </c>
      <c r="B287" s="316" t="s">
        <v>1973</v>
      </c>
      <c r="C287" s="316" t="s">
        <v>1973</v>
      </c>
      <c r="D287" s="316" t="s">
        <v>1973</v>
      </c>
      <c r="E287" s="317" t="s">
        <v>1973</v>
      </c>
      <c r="F287" s="318">
        <v>0.5</v>
      </c>
      <c r="G287" s="354" t="s">
        <v>36</v>
      </c>
      <c r="H287" s="320">
        <v>30000</v>
      </c>
      <c r="I287" s="321" t="b">
        <v>1</v>
      </c>
      <c r="J287" s="322"/>
      <c r="K287" s="323" t="s">
        <v>1973</v>
      </c>
      <c r="L287" s="324" t="e">
        <f t="shared" si="15"/>
        <v>#VALUE!</v>
      </c>
      <c r="M287" s="325"/>
    </row>
    <row r="288" spans="1:13" ht="13">
      <c r="A288" s="316" t="s">
        <v>1020</v>
      </c>
      <c r="B288" s="316" t="s">
        <v>1973</v>
      </c>
      <c r="C288" s="316" t="s">
        <v>1973</v>
      </c>
      <c r="D288" s="316" t="s">
        <v>1973</v>
      </c>
      <c r="E288" s="317" t="s">
        <v>1973</v>
      </c>
      <c r="F288" s="318">
        <v>3</v>
      </c>
      <c r="G288" s="354" t="s">
        <v>36</v>
      </c>
      <c r="H288" s="320">
        <v>36000</v>
      </c>
      <c r="I288" s="321" t="b">
        <v>1</v>
      </c>
      <c r="J288" s="322"/>
      <c r="K288" s="323" t="s">
        <v>1973</v>
      </c>
      <c r="L288" s="324" t="e">
        <f t="shared" si="15"/>
        <v>#VALUE!</v>
      </c>
      <c r="M288" s="325"/>
    </row>
    <row r="289" spans="1:13" ht="13">
      <c r="A289" s="316" t="s">
        <v>1703</v>
      </c>
      <c r="B289" s="316" t="s">
        <v>1973</v>
      </c>
      <c r="C289" s="316" t="s">
        <v>1973</v>
      </c>
      <c r="D289" s="316" t="s">
        <v>1973</v>
      </c>
      <c r="E289" s="317" t="s">
        <v>1973</v>
      </c>
      <c r="F289" s="318">
        <v>3</v>
      </c>
      <c r="G289" s="354" t="s">
        <v>62</v>
      </c>
      <c r="H289" s="320">
        <v>67221</v>
      </c>
      <c r="I289" s="321" t="b">
        <v>0</v>
      </c>
      <c r="J289" s="322"/>
      <c r="K289" s="323" t="s">
        <v>1973</v>
      </c>
      <c r="L289" s="324" t="e">
        <f t="shared" si="15"/>
        <v>#VALUE!</v>
      </c>
      <c r="M289" s="325"/>
    </row>
    <row r="290" spans="1:13" ht="13">
      <c r="A290" s="316" t="s">
        <v>949</v>
      </c>
      <c r="B290" s="316" t="s">
        <v>1973</v>
      </c>
      <c r="C290" s="316" t="s">
        <v>1973</v>
      </c>
      <c r="D290" s="316" t="s">
        <v>1973</v>
      </c>
      <c r="E290" s="317" t="s">
        <v>1973</v>
      </c>
      <c r="F290" s="318">
        <v>1</v>
      </c>
      <c r="G290" s="354" t="s">
        <v>97</v>
      </c>
      <c r="H290" s="320">
        <v>23200</v>
      </c>
      <c r="I290" s="321" t="b">
        <v>0</v>
      </c>
      <c r="J290" s="322"/>
      <c r="K290" s="323" t="s">
        <v>1973</v>
      </c>
      <c r="L290" s="324" t="e">
        <f t="shared" si="15"/>
        <v>#VALUE!</v>
      </c>
      <c r="M290" s="325"/>
    </row>
    <row r="291" spans="1:13" ht="13">
      <c r="A291" s="316" t="s">
        <v>952</v>
      </c>
      <c r="B291" s="316" t="s">
        <v>1973</v>
      </c>
      <c r="C291" s="316" t="s">
        <v>1973</v>
      </c>
      <c r="D291" s="316" t="s">
        <v>1973</v>
      </c>
      <c r="E291" s="317" t="s">
        <v>1973</v>
      </c>
      <c r="F291" s="318">
        <v>1</v>
      </c>
      <c r="G291" s="354" t="s">
        <v>97</v>
      </c>
      <c r="H291" s="320">
        <v>27300</v>
      </c>
      <c r="I291" s="321" t="b">
        <v>0</v>
      </c>
      <c r="J291" s="322"/>
      <c r="K291" s="323" t="s">
        <v>1973</v>
      </c>
      <c r="L291" s="324" t="e">
        <f t="shared" si="15"/>
        <v>#VALUE!</v>
      </c>
      <c r="M291" s="325"/>
    </row>
    <row r="292" spans="1:13" ht="13">
      <c r="A292" s="316" t="s">
        <v>779</v>
      </c>
      <c r="B292" s="316" t="s">
        <v>1973</v>
      </c>
      <c r="C292" s="316" t="s">
        <v>1973</v>
      </c>
      <c r="D292" s="316" t="s">
        <v>1973</v>
      </c>
      <c r="E292" s="317" t="s">
        <v>1973</v>
      </c>
      <c r="F292" s="318">
        <v>3</v>
      </c>
      <c r="G292" s="354" t="s">
        <v>62</v>
      </c>
      <c r="H292" s="320">
        <v>115500</v>
      </c>
      <c r="I292" s="321" t="b">
        <v>1</v>
      </c>
      <c r="J292" s="322">
        <v>2</v>
      </c>
      <c r="K292" s="323" t="s">
        <v>1973</v>
      </c>
      <c r="L292" s="324" t="e">
        <f t="shared" si="15"/>
        <v>#VALUE!</v>
      </c>
      <c r="M292" s="325"/>
    </row>
    <row r="293" spans="1:13" ht="13">
      <c r="A293" s="316" t="s">
        <v>540</v>
      </c>
      <c r="B293" s="316" t="s">
        <v>1973</v>
      </c>
      <c r="C293" s="316" t="s">
        <v>1973</v>
      </c>
      <c r="D293" s="316" t="s">
        <v>1973</v>
      </c>
      <c r="E293" s="317" t="s">
        <v>1973</v>
      </c>
      <c r="F293" s="318">
        <v>4</v>
      </c>
      <c r="G293" s="354" t="s">
        <v>36</v>
      </c>
      <c r="H293" s="320">
        <v>680000</v>
      </c>
      <c r="I293" s="321" t="b">
        <v>0</v>
      </c>
      <c r="J293" s="322"/>
      <c r="K293" s="323" t="s">
        <v>1973</v>
      </c>
      <c r="L293" s="324" t="e">
        <f t="shared" si="15"/>
        <v>#VALUE!</v>
      </c>
      <c r="M293" s="325"/>
    </row>
    <row r="294" spans="1:13" ht="13">
      <c r="A294" s="316" t="s">
        <v>590</v>
      </c>
      <c r="B294" s="316" t="s">
        <v>1973</v>
      </c>
      <c r="C294" s="316" t="s">
        <v>1973</v>
      </c>
      <c r="D294" s="316" t="s">
        <v>1973</v>
      </c>
      <c r="E294" s="317" t="s">
        <v>1973</v>
      </c>
      <c r="F294" s="318">
        <v>2</v>
      </c>
      <c r="G294" s="354" t="s">
        <v>62</v>
      </c>
      <c r="H294" s="320">
        <v>170000</v>
      </c>
      <c r="I294" s="321" t="b">
        <v>0</v>
      </c>
      <c r="J294" s="322"/>
      <c r="K294" s="323" t="s">
        <v>1973</v>
      </c>
      <c r="L294" s="324" t="e">
        <f t="shared" si="15"/>
        <v>#VALUE!</v>
      </c>
      <c r="M294" s="325"/>
    </row>
    <row r="295" spans="1:13" ht="13">
      <c r="A295" s="316" t="s">
        <v>1602</v>
      </c>
      <c r="B295" s="316" t="s">
        <v>1973</v>
      </c>
      <c r="C295" s="316" t="s">
        <v>1973</v>
      </c>
      <c r="D295" s="316" t="s">
        <v>1973</v>
      </c>
      <c r="E295" s="317" t="s">
        <v>1973</v>
      </c>
      <c r="F295" s="318">
        <v>4</v>
      </c>
      <c r="G295" s="354" t="s">
        <v>36</v>
      </c>
      <c r="H295" s="320">
        <v>56000</v>
      </c>
      <c r="I295" s="321" t="b">
        <v>0</v>
      </c>
      <c r="J295" s="322"/>
      <c r="K295" s="323" t="s">
        <v>1973</v>
      </c>
      <c r="L295" s="324" t="e">
        <f t="shared" si="15"/>
        <v>#VALUE!</v>
      </c>
      <c r="M295" s="325"/>
    </row>
    <row r="296" spans="1:13" ht="13">
      <c r="A296" s="316" t="s">
        <v>528</v>
      </c>
      <c r="B296" s="316" t="s">
        <v>1973</v>
      </c>
      <c r="C296" s="316" t="s">
        <v>1973</v>
      </c>
      <c r="D296" s="316" t="s">
        <v>1973</v>
      </c>
      <c r="E296" s="317" t="s">
        <v>1973</v>
      </c>
      <c r="F296" s="318">
        <v>2</v>
      </c>
      <c r="G296" s="354" t="s">
        <v>50</v>
      </c>
      <c r="H296" s="320">
        <v>32000</v>
      </c>
      <c r="I296" s="321" t="b">
        <v>0</v>
      </c>
      <c r="J296" s="322"/>
      <c r="K296" s="323" t="s">
        <v>1973</v>
      </c>
      <c r="L296" s="324" t="e">
        <f t="shared" si="15"/>
        <v>#VALUE!</v>
      </c>
      <c r="M296" s="325"/>
    </row>
    <row r="297" spans="1:13" ht="13">
      <c r="A297" s="316" t="s">
        <v>635</v>
      </c>
      <c r="B297" s="316" t="s">
        <v>1973</v>
      </c>
      <c r="C297" s="316" t="s">
        <v>1973</v>
      </c>
      <c r="D297" s="316" t="s">
        <v>1973</v>
      </c>
      <c r="E297" s="317" t="s">
        <v>1973</v>
      </c>
      <c r="F297" s="318">
        <v>4</v>
      </c>
      <c r="G297" s="354" t="s">
        <v>50</v>
      </c>
      <c r="H297" s="320">
        <v>40000</v>
      </c>
      <c r="I297" s="321" t="b">
        <v>0</v>
      </c>
      <c r="J297" s="322"/>
      <c r="K297" s="323" t="s">
        <v>1973</v>
      </c>
      <c r="L297" s="324" t="e">
        <f t="shared" si="15"/>
        <v>#VALUE!</v>
      </c>
      <c r="M297" s="325"/>
    </row>
    <row r="298" spans="1:13" ht="13">
      <c r="A298" s="316" t="s">
        <v>696</v>
      </c>
      <c r="B298" s="316" t="s">
        <v>1973</v>
      </c>
      <c r="C298" s="316" t="s">
        <v>1973</v>
      </c>
      <c r="D298" s="316" t="s">
        <v>1973</v>
      </c>
      <c r="E298" s="317" t="s">
        <v>1973</v>
      </c>
      <c r="F298" s="318">
        <v>5</v>
      </c>
      <c r="G298" s="354" t="s">
        <v>62</v>
      </c>
      <c r="H298" s="320">
        <v>55000</v>
      </c>
      <c r="I298" s="321" t="b">
        <v>1</v>
      </c>
      <c r="J298" s="322">
        <v>4</v>
      </c>
      <c r="K298" s="323" t="s">
        <v>1973</v>
      </c>
      <c r="L298" s="324" t="e">
        <f t="shared" si="15"/>
        <v>#VALUE!</v>
      </c>
      <c r="M298" s="325"/>
    </row>
    <row r="299" spans="1:13" ht="13">
      <c r="A299" s="316" t="s">
        <v>735</v>
      </c>
      <c r="B299" s="316" t="s">
        <v>1973</v>
      </c>
      <c r="C299" s="316" t="s">
        <v>1973</v>
      </c>
      <c r="D299" s="316" t="s">
        <v>1973</v>
      </c>
      <c r="E299" s="317" t="s">
        <v>1973</v>
      </c>
      <c r="F299" s="318">
        <v>1</v>
      </c>
      <c r="G299" s="354" t="s">
        <v>97</v>
      </c>
      <c r="H299" s="320">
        <v>48000</v>
      </c>
      <c r="I299" s="321" t="b">
        <v>1</v>
      </c>
      <c r="J299" s="322"/>
      <c r="K299" s="323" t="s">
        <v>1973</v>
      </c>
      <c r="L299" s="324" t="e">
        <f t="shared" si="15"/>
        <v>#VALUE!</v>
      </c>
      <c r="M299" s="325"/>
    </row>
    <row r="300" spans="1:13" ht="13">
      <c r="A300" s="316" t="s">
        <v>748</v>
      </c>
      <c r="B300" s="316" t="s">
        <v>1973</v>
      </c>
      <c r="C300" s="316" t="s">
        <v>1973</v>
      </c>
      <c r="D300" s="316" t="s">
        <v>1973</v>
      </c>
      <c r="E300" s="317" t="s">
        <v>1973</v>
      </c>
      <c r="F300" s="318">
        <v>5</v>
      </c>
      <c r="G300" s="354" t="s">
        <v>62</v>
      </c>
      <c r="H300" s="320">
        <v>150000</v>
      </c>
      <c r="I300" s="321" t="b">
        <v>1</v>
      </c>
      <c r="J300" s="322"/>
      <c r="K300" s="323" t="s">
        <v>1973</v>
      </c>
      <c r="L300" s="324" t="e">
        <f t="shared" si="15"/>
        <v>#VALUE!</v>
      </c>
      <c r="M300" s="325"/>
    </row>
    <row r="301" spans="1:13" ht="13">
      <c r="A301" s="316" t="s">
        <v>934</v>
      </c>
      <c r="B301" s="316" t="s">
        <v>1973</v>
      </c>
      <c r="C301" s="316" t="s">
        <v>1973</v>
      </c>
      <c r="D301" s="316" t="s">
        <v>1973</v>
      </c>
      <c r="E301" s="317" t="s">
        <v>1973</v>
      </c>
      <c r="F301" s="318">
        <v>5</v>
      </c>
      <c r="G301" s="354" t="s">
        <v>62</v>
      </c>
      <c r="H301" s="320">
        <v>45000</v>
      </c>
      <c r="I301" s="321" t="b">
        <v>1</v>
      </c>
      <c r="J301" s="322"/>
      <c r="K301" s="323" t="s">
        <v>1973</v>
      </c>
      <c r="L301" s="324" t="e">
        <f t="shared" si="15"/>
        <v>#VALUE!</v>
      </c>
      <c r="M301" s="325"/>
    </row>
    <row r="302" spans="1:13" ht="13">
      <c r="A302" s="316" t="s">
        <v>943</v>
      </c>
      <c r="B302" s="316" t="s">
        <v>1973</v>
      </c>
      <c r="C302" s="316" t="s">
        <v>1973</v>
      </c>
      <c r="D302" s="316" t="s">
        <v>1973</v>
      </c>
      <c r="E302" s="317" t="s">
        <v>1973</v>
      </c>
      <c r="F302" s="318">
        <v>4</v>
      </c>
      <c r="G302" s="354" t="s">
        <v>62</v>
      </c>
      <c r="H302" s="320">
        <v>34000</v>
      </c>
      <c r="I302" s="321" t="b">
        <v>1</v>
      </c>
      <c r="J302" s="322">
        <v>3</v>
      </c>
      <c r="K302" s="323" t="s">
        <v>1973</v>
      </c>
      <c r="L302" s="324" t="e">
        <f t="shared" si="15"/>
        <v>#VALUE!</v>
      </c>
      <c r="M302" s="325"/>
    </row>
    <row r="303" spans="1:13" ht="13">
      <c r="A303" s="316" t="s">
        <v>1548</v>
      </c>
      <c r="B303" s="316" t="s">
        <v>1973</v>
      </c>
      <c r="C303" s="316" t="s">
        <v>1973</v>
      </c>
      <c r="D303" s="316" t="s">
        <v>1973</v>
      </c>
      <c r="E303" s="317" t="s">
        <v>1973</v>
      </c>
      <c r="F303" s="318">
        <v>3</v>
      </c>
      <c r="G303" s="354" t="s">
        <v>62</v>
      </c>
      <c r="H303" s="320">
        <v>36000</v>
      </c>
      <c r="I303" s="321" t="b">
        <v>0</v>
      </c>
      <c r="J303" s="322"/>
      <c r="K303" s="323" t="s">
        <v>1973</v>
      </c>
      <c r="L303" s="324" t="e">
        <f t="shared" si="15"/>
        <v>#VALUE!</v>
      </c>
      <c r="M303" s="325"/>
    </row>
    <row r="304" spans="1:13" ht="13">
      <c r="A304" s="316" t="s">
        <v>1615</v>
      </c>
      <c r="B304" s="316" t="s">
        <v>1973</v>
      </c>
      <c r="C304" s="316" t="s">
        <v>1973</v>
      </c>
      <c r="D304" s="316" t="s">
        <v>1973</v>
      </c>
      <c r="E304" s="317" t="s">
        <v>1973</v>
      </c>
      <c r="F304" s="318">
        <v>3</v>
      </c>
      <c r="G304" s="354" t="s">
        <v>62</v>
      </c>
      <c r="H304" s="320">
        <v>24000</v>
      </c>
      <c r="I304" s="321" t="b">
        <v>0</v>
      </c>
      <c r="J304" s="322"/>
      <c r="K304" s="323" t="s">
        <v>1973</v>
      </c>
      <c r="L304" s="324" t="e">
        <f t="shared" si="15"/>
        <v>#VALUE!</v>
      </c>
      <c r="M304" s="325"/>
    </row>
    <row r="305" spans="1:13" ht="13">
      <c r="A305" s="316" t="s">
        <v>1017</v>
      </c>
      <c r="B305" s="316" t="s">
        <v>1973</v>
      </c>
      <c r="C305" s="316" t="s">
        <v>1973</v>
      </c>
      <c r="D305" s="316" t="s">
        <v>1973</v>
      </c>
      <c r="E305" s="317" t="s">
        <v>1973</v>
      </c>
      <c r="F305" s="318">
        <v>3</v>
      </c>
      <c r="G305" s="354" t="s">
        <v>62</v>
      </c>
      <c r="H305" s="320">
        <v>7500</v>
      </c>
      <c r="I305" s="321" t="b">
        <v>0</v>
      </c>
      <c r="J305" s="322"/>
      <c r="K305" s="323" t="s">
        <v>1973</v>
      </c>
      <c r="L305" s="324" t="e">
        <f t="shared" si="15"/>
        <v>#VALUE!</v>
      </c>
      <c r="M305" s="325"/>
    </row>
    <row r="306" spans="1:13" ht="13">
      <c r="A306" s="316" t="s">
        <v>1037</v>
      </c>
      <c r="B306" s="316" t="s">
        <v>1973</v>
      </c>
      <c r="C306" s="316" t="s">
        <v>1973</v>
      </c>
      <c r="D306" s="316" t="s">
        <v>1973</v>
      </c>
      <c r="E306" s="317" t="s">
        <v>1973</v>
      </c>
      <c r="F306" s="318">
        <v>2</v>
      </c>
      <c r="G306" s="354" t="s">
        <v>62</v>
      </c>
      <c r="H306" s="320">
        <v>40200</v>
      </c>
      <c r="I306" s="321" t="b">
        <v>0</v>
      </c>
      <c r="J306" s="322"/>
      <c r="K306" s="323" t="s">
        <v>1973</v>
      </c>
      <c r="L306" s="324" t="e">
        <f t="shared" si="15"/>
        <v>#VALUE!</v>
      </c>
      <c r="M306" s="325"/>
    </row>
    <row r="308" spans="1:13" ht="13">
      <c r="F308" s="429">
        <v>44677</v>
      </c>
      <c r="G308" s="428"/>
      <c r="H308" s="424"/>
      <c r="J308" s="429">
        <f>F308+1</f>
        <v>44678</v>
      </c>
      <c r="K308" s="428"/>
      <c r="L308" s="424"/>
    </row>
    <row r="309" spans="1:13" ht="13">
      <c r="F309" s="425" t="s">
        <v>1490</v>
      </c>
      <c r="G309" s="426"/>
      <c r="H309" s="304">
        <f>SUM(H311:H341)</f>
        <v>1538200</v>
      </c>
      <c r="J309" s="425" t="s">
        <v>1491</v>
      </c>
      <c r="K309" s="426"/>
      <c r="L309" s="304" t="e">
        <f>SUM(L311:L341)</f>
        <v>#VALUE!</v>
      </c>
    </row>
    <row r="310" spans="1:13" ht="13">
      <c r="A310" s="2" t="s">
        <v>4</v>
      </c>
      <c r="B310" s="305" t="s">
        <v>5</v>
      </c>
      <c r="C310" s="305" t="s">
        <v>11</v>
      </c>
      <c r="D310" s="305" t="s">
        <v>12</v>
      </c>
      <c r="E310" s="306" t="s">
        <v>6</v>
      </c>
      <c r="F310" s="307" t="s">
        <v>1494</v>
      </c>
      <c r="G310" s="308" t="s">
        <v>10</v>
      </c>
      <c r="H310" s="309" t="s">
        <v>1495</v>
      </c>
      <c r="I310" s="310" t="s">
        <v>1289</v>
      </c>
      <c r="J310" s="311" t="s">
        <v>1496</v>
      </c>
      <c r="K310" s="312" t="s">
        <v>1497</v>
      </c>
      <c r="L310" s="313" t="s">
        <v>1498</v>
      </c>
      <c r="M310" s="314" t="s">
        <v>16</v>
      </c>
    </row>
    <row r="311" spans="1:13" ht="13">
      <c r="A311" s="316" t="s">
        <v>627</v>
      </c>
      <c r="B311" s="316" t="s">
        <v>1973</v>
      </c>
      <c r="C311" s="316" t="s">
        <v>1973</v>
      </c>
      <c r="D311" s="316" t="s">
        <v>1973</v>
      </c>
      <c r="E311" s="317" t="s">
        <v>1973</v>
      </c>
      <c r="F311" s="318">
        <v>1</v>
      </c>
      <c r="G311" s="354" t="s">
        <v>36</v>
      </c>
      <c r="H311" s="320">
        <v>37900</v>
      </c>
      <c r="I311" s="321" t="b">
        <v>0</v>
      </c>
      <c r="J311" s="322"/>
      <c r="K311" s="323" t="s">
        <v>1973</v>
      </c>
      <c r="L311" s="324" t="e">
        <f t="shared" ref="L311:L341" si="16">J311*K311</f>
        <v>#VALUE!</v>
      </c>
      <c r="M311" s="325"/>
    </row>
    <row r="312" spans="1:13" ht="13">
      <c r="A312" s="316" t="s">
        <v>1598</v>
      </c>
      <c r="B312" s="316" t="s">
        <v>1973</v>
      </c>
      <c r="C312" s="316" t="s">
        <v>1973</v>
      </c>
      <c r="D312" s="316" t="s">
        <v>1973</v>
      </c>
      <c r="E312" s="317" t="s">
        <v>1973</v>
      </c>
      <c r="F312" s="318">
        <v>2</v>
      </c>
      <c r="G312" s="354" t="s">
        <v>97</v>
      </c>
      <c r="H312" s="320">
        <v>20800</v>
      </c>
      <c r="I312" s="321" t="b">
        <v>1</v>
      </c>
      <c r="J312" s="322"/>
      <c r="K312" s="323" t="s">
        <v>1973</v>
      </c>
      <c r="L312" s="324" t="e">
        <f t="shared" si="16"/>
        <v>#VALUE!</v>
      </c>
      <c r="M312" s="325"/>
    </row>
    <row r="313" spans="1:13" ht="13">
      <c r="A313" s="316" t="s">
        <v>770</v>
      </c>
      <c r="B313" s="316" t="s">
        <v>1973</v>
      </c>
      <c r="C313" s="316" t="s">
        <v>1973</v>
      </c>
      <c r="D313" s="316" t="s">
        <v>1973</v>
      </c>
      <c r="E313" s="317" t="s">
        <v>1973</v>
      </c>
      <c r="F313" s="318">
        <v>1</v>
      </c>
      <c r="G313" s="354" t="s">
        <v>97</v>
      </c>
      <c r="H313" s="320">
        <v>24400</v>
      </c>
      <c r="I313" s="321" t="b">
        <v>0</v>
      </c>
      <c r="J313" s="322"/>
      <c r="K313" s="323" t="s">
        <v>1973</v>
      </c>
      <c r="L313" s="324" t="e">
        <f t="shared" si="16"/>
        <v>#VALUE!</v>
      </c>
      <c r="M313" s="325"/>
    </row>
    <row r="314" spans="1:13" ht="13">
      <c r="A314" s="316" t="s">
        <v>782</v>
      </c>
      <c r="B314" s="316" t="s">
        <v>1973</v>
      </c>
      <c r="C314" s="316" t="s">
        <v>1973</v>
      </c>
      <c r="D314" s="316" t="s">
        <v>1973</v>
      </c>
      <c r="E314" s="317" t="s">
        <v>1973</v>
      </c>
      <c r="F314" s="318">
        <v>2</v>
      </c>
      <c r="G314" s="354" t="s">
        <v>62</v>
      </c>
      <c r="H314" s="320">
        <v>24000</v>
      </c>
      <c r="I314" s="321" t="b">
        <v>1</v>
      </c>
      <c r="J314" s="322">
        <v>1</v>
      </c>
      <c r="K314" s="323" t="s">
        <v>1973</v>
      </c>
      <c r="L314" s="324" t="e">
        <f t="shared" si="16"/>
        <v>#VALUE!</v>
      </c>
      <c r="M314" s="325"/>
    </row>
    <row r="315" spans="1:13" ht="13">
      <c r="A315" s="316" t="s">
        <v>1661</v>
      </c>
      <c r="B315" s="316" t="s">
        <v>1973</v>
      </c>
      <c r="C315" s="316" t="s">
        <v>1973</v>
      </c>
      <c r="D315" s="316" t="s">
        <v>1973</v>
      </c>
      <c r="E315" s="317" t="s">
        <v>1973</v>
      </c>
      <c r="F315" s="318">
        <v>1</v>
      </c>
      <c r="G315" s="354" t="s">
        <v>97</v>
      </c>
      <c r="H315" s="320">
        <v>14600</v>
      </c>
      <c r="I315" s="321" t="b">
        <v>0</v>
      </c>
      <c r="J315" s="322"/>
      <c r="K315" s="323" t="s">
        <v>1973</v>
      </c>
      <c r="L315" s="324" t="e">
        <f t="shared" si="16"/>
        <v>#VALUE!</v>
      </c>
      <c r="M315" s="325"/>
    </row>
    <row r="316" spans="1:13" ht="13">
      <c r="A316" s="316" t="s">
        <v>919</v>
      </c>
      <c r="B316" s="316" t="s">
        <v>1973</v>
      </c>
      <c r="C316" s="316" t="s">
        <v>1973</v>
      </c>
      <c r="D316" s="316" t="s">
        <v>1973</v>
      </c>
      <c r="E316" s="317" t="s">
        <v>1973</v>
      </c>
      <c r="F316" s="318">
        <v>4</v>
      </c>
      <c r="G316" s="354" t="s">
        <v>62</v>
      </c>
      <c r="H316" s="320">
        <v>35200</v>
      </c>
      <c r="I316" s="321" t="b">
        <v>1</v>
      </c>
      <c r="J316" s="322">
        <v>3</v>
      </c>
      <c r="K316" s="323" t="s">
        <v>1973</v>
      </c>
      <c r="L316" s="324" t="e">
        <f t="shared" si="16"/>
        <v>#VALUE!</v>
      </c>
      <c r="M316" s="325"/>
    </row>
    <row r="317" spans="1:13" ht="13">
      <c r="A317" s="316" t="s">
        <v>976</v>
      </c>
      <c r="B317" s="316" t="s">
        <v>1973</v>
      </c>
      <c r="C317" s="316" t="s">
        <v>1973</v>
      </c>
      <c r="D317" s="316" t="s">
        <v>1973</v>
      </c>
      <c r="E317" s="317" t="s">
        <v>1973</v>
      </c>
      <c r="F317" s="318">
        <v>1</v>
      </c>
      <c r="G317" s="354" t="s">
        <v>62</v>
      </c>
      <c r="H317" s="320">
        <v>25000</v>
      </c>
      <c r="I317" s="321" t="b">
        <v>0</v>
      </c>
      <c r="J317" s="322"/>
      <c r="K317" s="323" t="s">
        <v>1973</v>
      </c>
      <c r="L317" s="324" t="e">
        <f t="shared" si="16"/>
        <v>#VALUE!</v>
      </c>
      <c r="M317" s="325"/>
    </row>
    <row r="318" spans="1:13" ht="13">
      <c r="A318" s="316" t="s">
        <v>631</v>
      </c>
      <c r="B318" s="316" t="s">
        <v>1973</v>
      </c>
      <c r="C318" s="316" t="s">
        <v>1973</v>
      </c>
      <c r="D318" s="316" t="s">
        <v>1973</v>
      </c>
      <c r="E318" s="317" t="s">
        <v>1973</v>
      </c>
      <c r="F318" s="318">
        <v>1</v>
      </c>
      <c r="G318" s="354" t="s">
        <v>36</v>
      </c>
      <c r="H318" s="320">
        <v>16000</v>
      </c>
      <c r="I318" s="321" t="b">
        <v>0</v>
      </c>
      <c r="J318" s="322"/>
      <c r="K318" s="323" t="s">
        <v>1973</v>
      </c>
      <c r="L318" s="324" t="e">
        <f t="shared" si="16"/>
        <v>#VALUE!</v>
      </c>
      <c r="M318" s="325"/>
    </row>
    <row r="319" spans="1:13" ht="13">
      <c r="A319" s="316" t="s">
        <v>1610</v>
      </c>
      <c r="B319" s="316" t="s">
        <v>1973</v>
      </c>
      <c r="C319" s="316" t="s">
        <v>1973</v>
      </c>
      <c r="D319" s="316" t="s">
        <v>1973</v>
      </c>
      <c r="E319" s="317" t="s">
        <v>1973</v>
      </c>
      <c r="F319" s="318">
        <v>4</v>
      </c>
      <c r="G319" s="354" t="s">
        <v>36</v>
      </c>
      <c r="H319" s="320">
        <v>40000</v>
      </c>
      <c r="I319" s="321" t="b">
        <v>1</v>
      </c>
      <c r="J319" s="322">
        <v>1.5</v>
      </c>
      <c r="K319" s="323" t="s">
        <v>1973</v>
      </c>
      <c r="L319" s="324" t="e">
        <f t="shared" si="16"/>
        <v>#VALUE!</v>
      </c>
      <c r="M319" s="325"/>
    </row>
    <row r="320" spans="1:13" ht="13">
      <c r="A320" s="316" t="s">
        <v>1611</v>
      </c>
      <c r="B320" s="316" t="s">
        <v>1973</v>
      </c>
      <c r="C320" s="316" t="s">
        <v>1973</v>
      </c>
      <c r="D320" s="316" t="s">
        <v>1973</v>
      </c>
      <c r="E320" s="317" t="s">
        <v>1973</v>
      </c>
      <c r="F320" s="318">
        <v>3</v>
      </c>
      <c r="G320" s="354" t="s">
        <v>36</v>
      </c>
      <c r="H320" s="320">
        <v>150000</v>
      </c>
      <c r="I320" s="321" t="b">
        <v>1</v>
      </c>
      <c r="J320" s="322"/>
      <c r="K320" s="323" t="s">
        <v>1973</v>
      </c>
      <c r="L320" s="324" t="e">
        <f t="shared" si="16"/>
        <v>#VALUE!</v>
      </c>
      <c r="M320" s="325"/>
    </row>
    <row r="321" spans="1:13" ht="13">
      <c r="A321" s="316" t="s">
        <v>1698</v>
      </c>
      <c r="B321" s="316" t="s">
        <v>1973</v>
      </c>
      <c r="C321" s="316" t="s">
        <v>1973</v>
      </c>
      <c r="D321" s="316" t="s">
        <v>1973</v>
      </c>
      <c r="E321" s="317" t="s">
        <v>1973</v>
      </c>
      <c r="F321" s="318">
        <v>3</v>
      </c>
      <c r="G321" s="354" t="s">
        <v>36</v>
      </c>
      <c r="H321" s="320">
        <v>111000</v>
      </c>
      <c r="I321" s="321" t="b">
        <v>1</v>
      </c>
      <c r="J321" s="322"/>
      <c r="K321" s="323" t="s">
        <v>1973</v>
      </c>
      <c r="L321" s="324" t="e">
        <f t="shared" si="16"/>
        <v>#VALUE!</v>
      </c>
      <c r="M321" s="325"/>
    </row>
    <row r="322" spans="1:13" ht="13">
      <c r="A322" s="316" t="s">
        <v>675</v>
      </c>
      <c r="B322" s="316" t="s">
        <v>1973</v>
      </c>
      <c r="C322" s="316" t="s">
        <v>1973</v>
      </c>
      <c r="D322" s="316" t="s">
        <v>1973</v>
      </c>
      <c r="E322" s="317" t="s">
        <v>1973</v>
      </c>
      <c r="F322" s="318">
        <v>10</v>
      </c>
      <c r="G322" s="354" t="s">
        <v>62</v>
      </c>
      <c r="H322" s="320">
        <v>45000</v>
      </c>
      <c r="I322" s="321" t="b">
        <v>1</v>
      </c>
      <c r="J322" s="322"/>
      <c r="K322" s="323" t="s">
        <v>1973</v>
      </c>
      <c r="L322" s="324" t="e">
        <f t="shared" si="16"/>
        <v>#VALUE!</v>
      </c>
      <c r="M322" s="325"/>
    </row>
    <row r="323" spans="1:13" ht="13">
      <c r="A323" s="316" t="s">
        <v>712</v>
      </c>
      <c r="B323" s="316" t="s">
        <v>1973</v>
      </c>
      <c r="C323" s="316" t="s">
        <v>1973</v>
      </c>
      <c r="D323" s="316" t="s">
        <v>1973</v>
      </c>
      <c r="E323" s="317" t="s">
        <v>1973</v>
      </c>
      <c r="F323" s="318">
        <v>2</v>
      </c>
      <c r="G323" s="354" t="s">
        <v>36</v>
      </c>
      <c r="H323" s="320">
        <v>48000</v>
      </c>
      <c r="I323" s="321" t="b">
        <v>1</v>
      </c>
      <c r="J323" s="322"/>
      <c r="K323" s="323" t="s">
        <v>1973</v>
      </c>
      <c r="L323" s="324" t="e">
        <f t="shared" si="16"/>
        <v>#VALUE!</v>
      </c>
      <c r="M323" s="325"/>
    </row>
    <row r="324" spans="1:13" ht="13">
      <c r="A324" s="316" t="s">
        <v>732</v>
      </c>
      <c r="B324" s="316" t="s">
        <v>1973</v>
      </c>
      <c r="C324" s="316" t="s">
        <v>1973</v>
      </c>
      <c r="D324" s="316" t="s">
        <v>1973</v>
      </c>
      <c r="E324" s="317" t="s">
        <v>1973</v>
      </c>
      <c r="F324" s="318">
        <v>2</v>
      </c>
      <c r="G324" s="354" t="s">
        <v>36</v>
      </c>
      <c r="H324" s="320">
        <v>52000</v>
      </c>
      <c r="I324" s="321" t="b">
        <v>1</v>
      </c>
      <c r="J324" s="322"/>
      <c r="K324" s="323" t="s">
        <v>1973</v>
      </c>
      <c r="L324" s="324" t="e">
        <f t="shared" si="16"/>
        <v>#VALUE!</v>
      </c>
      <c r="M324" s="325"/>
    </row>
    <row r="325" spans="1:13" ht="13">
      <c r="A325" s="316" t="s">
        <v>795</v>
      </c>
      <c r="B325" s="316" t="s">
        <v>1973</v>
      </c>
      <c r="C325" s="316" t="s">
        <v>1973</v>
      </c>
      <c r="D325" s="316" t="s">
        <v>1973</v>
      </c>
      <c r="E325" s="317" t="s">
        <v>1973</v>
      </c>
      <c r="F325" s="318">
        <v>4</v>
      </c>
      <c r="G325" s="354" t="s">
        <v>62</v>
      </c>
      <c r="H325" s="320">
        <v>20000</v>
      </c>
      <c r="I325" s="321" t="b">
        <v>1</v>
      </c>
      <c r="J325" s="322"/>
      <c r="K325" s="323" t="s">
        <v>1973</v>
      </c>
      <c r="L325" s="324" t="e">
        <f t="shared" si="16"/>
        <v>#VALUE!</v>
      </c>
      <c r="M325" s="325"/>
    </row>
    <row r="326" spans="1:13" ht="13">
      <c r="A326" s="316" t="s">
        <v>827</v>
      </c>
      <c r="B326" s="316" t="s">
        <v>1973</v>
      </c>
      <c r="C326" s="316" t="s">
        <v>1973</v>
      </c>
      <c r="D326" s="316" t="s">
        <v>1973</v>
      </c>
      <c r="E326" s="317" t="s">
        <v>1973</v>
      </c>
      <c r="F326" s="318">
        <v>0.5</v>
      </c>
      <c r="G326" s="354" t="s">
        <v>36</v>
      </c>
      <c r="H326" s="320">
        <v>4000</v>
      </c>
      <c r="I326" s="321" t="b">
        <v>1</v>
      </c>
      <c r="J326" s="322"/>
      <c r="K326" s="323" t="s">
        <v>1973</v>
      </c>
      <c r="L326" s="324" t="e">
        <f t="shared" si="16"/>
        <v>#VALUE!</v>
      </c>
      <c r="M326" s="325"/>
    </row>
    <row r="327" spans="1:13" ht="13">
      <c r="A327" s="316" t="s">
        <v>1709</v>
      </c>
      <c r="B327" s="316" t="s">
        <v>1973</v>
      </c>
      <c r="C327" s="316" t="s">
        <v>1973</v>
      </c>
      <c r="D327" s="316" t="s">
        <v>1973</v>
      </c>
      <c r="E327" s="317" t="s">
        <v>1973</v>
      </c>
      <c r="F327" s="318">
        <v>3</v>
      </c>
      <c r="G327" s="354" t="s">
        <v>62</v>
      </c>
      <c r="H327" s="320">
        <v>7500</v>
      </c>
      <c r="I327" s="321" t="b">
        <v>1</v>
      </c>
      <c r="J327" s="322">
        <v>2</v>
      </c>
      <c r="K327" s="323" t="s">
        <v>1973</v>
      </c>
      <c r="L327" s="324" t="e">
        <f t="shared" si="16"/>
        <v>#VALUE!</v>
      </c>
      <c r="M327" s="325"/>
    </row>
    <row r="328" spans="1:13" ht="13">
      <c r="A328" s="316" t="s">
        <v>1608</v>
      </c>
      <c r="B328" s="316" t="s">
        <v>1973</v>
      </c>
      <c r="C328" s="316" t="s">
        <v>1973</v>
      </c>
      <c r="D328" s="316" t="s">
        <v>1973</v>
      </c>
      <c r="E328" s="317" t="s">
        <v>1973</v>
      </c>
      <c r="F328" s="318">
        <v>0.7</v>
      </c>
      <c r="G328" s="354" t="s">
        <v>36</v>
      </c>
      <c r="H328" s="320">
        <v>48300</v>
      </c>
      <c r="I328" s="321" t="b">
        <v>1</v>
      </c>
      <c r="J328" s="322">
        <v>0.5</v>
      </c>
      <c r="K328" s="323" t="s">
        <v>1973</v>
      </c>
      <c r="L328" s="324" t="e">
        <f t="shared" si="16"/>
        <v>#VALUE!</v>
      </c>
      <c r="M328" s="325"/>
    </row>
    <row r="329" spans="1:13" ht="13">
      <c r="A329" s="316" t="s">
        <v>1671</v>
      </c>
      <c r="B329" s="316" t="s">
        <v>1973</v>
      </c>
      <c r="C329" s="316" t="s">
        <v>1973</v>
      </c>
      <c r="D329" s="316" t="s">
        <v>1973</v>
      </c>
      <c r="E329" s="317" t="s">
        <v>1973</v>
      </c>
      <c r="F329" s="318">
        <v>2</v>
      </c>
      <c r="G329" s="354" t="s">
        <v>36</v>
      </c>
      <c r="H329" s="320">
        <v>180000</v>
      </c>
      <c r="I329" s="321" t="b">
        <v>1</v>
      </c>
      <c r="J329" s="322">
        <v>1.7</v>
      </c>
      <c r="K329" s="323" t="s">
        <v>1973</v>
      </c>
      <c r="L329" s="324" t="e">
        <f t="shared" si="16"/>
        <v>#VALUE!</v>
      </c>
      <c r="M329" s="325"/>
    </row>
    <row r="330" spans="1:13" ht="13">
      <c r="A330" s="316" t="s">
        <v>989</v>
      </c>
      <c r="B330" s="316" t="s">
        <v>1973</v>
      </c>
      <c r="C330" s="316" t="s">
        <v>1973</v>
      </c>
      <c r="D330" s="316" t="s">
        <v>1973</v>
      </c>
      <c r="E330" s="317" t="s">
        <v>1973</v>
      </c>
      <c r="F330" s="318">
        <v>3</v>
      </c>
      <c r="G330" s="354" t="s">
        <v>62</v>
      </c>
      <c r="H330" s="320">
        <v>51000</v>
      </c>
      <c r="I330" s="321" t="b">
        <v>0</v>
      </c>
      <c r="J330" s="322"/>
      <c r="K330" s="323" t="s">
        <v>1973</v>
      </c>
      <c r="L330" s="324" t="e">
        <f t="shared" si="16"/>
        <v>#VALUE!</v>
      </c>
      <c r="M330" s="325"/>
    </row>
    <row r="331" spans="1:13" ht="13">
      <c r="A331" s="316" t="s">
        <v>1020</v>
      </c>
      <c r="B331" s="316" t="s">
        <v>1973</v>
      </c>
      <c r="C331" s="316" t="s">
        <v>1973</v>
      </c>
      <c r="D331" s="316" t="s">
        <v>1973</v>
      </c>
      <c r="E331" s="317" t="s">
        <v>1973</v>
      </c>
      <c r="F331" s="318">
        <v>3</v>
      </c>
      <c r="G331" s="354" t="s">
        <v>36</v>
      </c>
      <c r="H331" s="320">
        <v>36000</v>
      </c>
      <c r="I331" s="321" t="b">
        <v>1</v>
      </c>
      <c r="J331" s="322">
        <v>2</v>
      </c>
      <c r="K331" s="323" t="s">
        <v>1973</v>
      </c>
      <c r="L331" s="324" t="e">
        <f t="shared" si="16"/>
        <v>#VALUE!</v>
      </c>
      <c r="M331" s="325"/>
    </row>
    <row r="332" spans="1:13" ht="13">
      <c r="A332" s="316" t="s">
        <v>1600</v>
      </c>
      <c r="B332" s="316" t="s">
        <v>1973</v>
      </c>
      <c r="C332" s="316" t="s">
        <v>1973</v>
      </c>
      <c r="D332" s="316" t="s">
        <v>1973</v>
      </c>
      <c r="E332" s="317" t="s">
        <v>1973</v>
      </c>
      <c r="F332" s="318">
        <v>1</v>
      </c>
      <c r="G332" s="354" t="s">
        <v>36</v>
      </c>
      <c r="H332" s="320">
        <v>10000</v>
      </c>
      <c r="I332" s="321" t="b">
        <v>1</v>
      </c>
      <c r="J332" s="322"/>
      <c r="K332" s="323" t="s">
        <v>1973</v>
      </c>
      <c r="L332" s="324" t="e">
        <f t="shared" si="16"/>
        <v>#VALUE!</v>
      </c>
      <c r="M332" s="325"/>
    </row>
    <row r="333" spans="1:13" ht="13">
      <c r="A333" s="316" t="s">
        <v>779</v>
      </c>
      <c r="B333" s="316" t="s">
        <v>1973</v>
      </c>
      <c r="C333" s="316" t="s">
        <v>1973</v>
      </c>
      <c r="D333" s="316" t="s">
        <v>1973</v>
      </c>
      <c r="E333" s="317" t="s">
        <v>1973</v>
      </c>
      <c r="F333" s="318">
        <v>1</v>
      </c>
      <c r="G333" s="354" t="s">
        <v>62</v>
      </c>
      <c r="H333" s="320">
        <v>38500</v>
      </c>
      <c r="I333" s="321" t="b">
        <v>1</v>
      </c>
      <c r="J333" s="322"/>
      <c r="K333" s="323" t="s">
        <v>1973</v>
      </c>
      <c r="L333" s="324" t="e">
        <f t="shared" si="16"/>
        <v>#VALUE!</v>
      </c>
      <c r="M333" s="325"/>
    </row>
    <row r="334" spans="1:13" ht="13">
      <c r="A334" s="316" t="s">
        <v>1602</v>
      </c>
      <c r="B334" s="316" t="s">
        <v>1973</v>
      </c>
      <c r="C334" s="316" t="s">
        <v>1973</v>
      </c>
      <c r="D334" s="316" t="s">
        <v>1973</v>
      </c>
      <c r="E334" s="317" t="s">
        <v>1973</v>
      </c>
      <c r="F334" s="318">
        <v>5</v>
      </c>
      <c r="G334" s="354" t="s">
        <v>36</v>
      </c>
      <c r="H334" s="320">
        <v>70000</v>
      </c>
      <c r="I334" s="321" t="b">
        <v>0</v>
      </c>
      <c r="J334" s="322"/>
      <c r="K334" s="323" t="s">
        <v>1973</v>
      </c>
      <c r="L334" s="324" t="e">
        <f t="shared" si="16"/>
        <v>#VALUE!</v>
      </c>
      <c r="M334" s="325"/>
    </row>
    <row r="335" spans="1:13" ht="13">
      <c r="A335" s="316" t="s">
        <v>528</v>
      </c>
      <c r="B335" s="316" t="s">
        <v>1973</v>
      </c>
      <c r="C335" s="316" t="s">
        <v>1973</v>
      </c>
      <c r="D335" s="316" t="s">
        <v>1973</v>
      </c>
      <c r="E335" s="317" t="s">
        <v>1973</v>
      </c>
      <c r="F335" s="318">
        <v>3</v>
      </c>
      <c r="G335" s="354" t="s">
        <v>50</v>
      </c>
      <c r="H335" s="320">
        <v>48000</v>
      </c>
      <c r="I335" s="321" t="b">
        <v>0</v>
      </c>
      <c r="J335" s="322"/>
      <c r="K335" s="323" t="s">
        <v>1973</v>
      </c>
      <c r="L335" s="324" t="e">
        <f t="shared" si="16"/>
        <v>#VALUE!</v>
      </c>
      <c r="M335" s="325"/>
    </row>
    <row r="336" spans="1:13" ht="13">
      <c r="A336" s="316" t="s">
        <v>635</v>
      </c>
      <c r="B336" s="316" t="s">
        <v>1973</v>
      </c>
      <c r="C336" s="316" t="s">
        <v>1973</v>
      </c>
      <c r="D336" s="316" t="s">
        <v>1973</v>
      </c>
      <c r="E336" s="317" t="s">
        <v>1973</v>
      </c>
      <c r="F336" s="318">
        <v>6</v>
      </c>
      <c r="G336" s="354" t="s">
        <v>50</v>
      </c>
      <c r="H336" s="320">
        <v>60000</v>
      </c>
      <c r="I336" s="321" t="b">
        <v>0</v>
      </c>
      <c r="J336" s="322"/>
      <c r="K336" s="323" t="s">
        <v>1973</v>
      </c>
      <c r="L336" s="324" t="e">
        <f t="shared" si="16"/>
        <v>#VALUE!</v>
      </c>
      <c r="M336" s="325"/>
    </row>
    <row r="337" spans="1:13" ht="13">
      <c r="A337" s="316" t="s">
        <v>643</v>
      </c>
      <c r="B337" s="316" t="s">
        <v>1973</v>
      </c>
      <c r="C337" s="316" t="s">
        <v>1973</v>
      </c>
      <c r="D337" s="316" t="s">
        <v>1973</v>
      </c>
      <c r="E337" s="317" t="s">
        <v>1973</v>
      </c>
      <c r="F337" s="318">
        <v>1</v>
      </c>
      <c r="G337" s="354" t="s">
        <v>36</v>
      </c>
      <c r="H337" s="320">
        <v>15000</v>
      </c>
      <c r="I337" s="321" t="b">
        <v>1</v>
      </c>
      <c r="J337" s="322"/>
      <c r="K337" s="323" t="s">
        <v>1973</v>
      </c>
      <c r="L337" s="324" t="e">
        <f t="shared" si="16"/>
        <v>#VALUE!</v>
      </c>
      <c r="M337" s="325"/>
    </row>
    <row r="338" spans="1:13" ht="13">
      <c r="A338" s="316" t="s">
        <v>680</v>
      </c>
      <c r="B338" s="316" t="s">
        <v>1973</v>
      </c>
      <c r="C338" s="316" t="s">
        <v>1973</v>
      </c>
      <c r="D338" s="316" t="s">
        <v>1973</v>
      </c>
      <c r="E338" s="317" t="s">
        <v>1973</v>
      </c>
      <c r="F338" s="318">
        <v>3</v>
      </c>
      <c r="G338" s="354" t="s">
        <v>97</v>
      </c>
      <c r="H338" s="320">
        <v>93000</v>
      </c>
      <c r="I338" s="321" t="b">
        <v>0</v>
      </c>
      <c r="J338" s="322"/>
      <c r="K338" s="323" t="s">
        <v>1973</v>
      </c>
      <c r="L338" s="324" t="e">
        <f t="shared" si="16"/>
        <v>#VALUE!</v>
      </c>
      <c r="M338" s="325"/>
    </row>
    <row r="339" spans="1:13" ht="13">
      <c r="A339" s="316" t="s">
        <v>735</v>
      </c>
      <c r="B339" s="316" t="s">
        <v>1973</v>
      </c>
      <c r="C339" s="316" t="s">
        <v>1973</v>
      </c>
      <c r="D339" s="316" t="s">
        <v>1973</v>
      </c>
      <c r="E339" s="317" t="s">
        <v>1973</v>
      </c>
      <c r="F339" s="318">
        <v>1</v>
      </c>
      <c r="G339" s="354" t="s">
        <v>97</v>
      </c>
      <c r="H339" s="320">
        <v>48000</v>
      </c>
      <c r="I339" s="321" t="b">
        <v>0</v>
      </c>
      <c r="J339" s="322"/>
      <c r="K339" s="323" t="s">
        <v>1973</v>
      </c>
      <c r="L339" s="324" t="e">
        <f t="shared" si="16"/>
        <v>#VALUE!</v>
      </c>
      <c r="M339" s="325"/>
    </row>
    <row r="340" spans="1:13" ht="13">
      <c r="A340" s="316" t="s">
        <v>892</v>
      </c>
      <c r="B340" s="316" t="s">
        <v>1973</v>
      </c>
      <c r="C340" s="316" t="s">
        <v>1973</v>
      </c>
      <c r="D340" s="316" t="s">
        <v>1973</v>
      </c>
      <c r="E340" s="317" t="s">
        <v>1973</v>
      </c>
      <c r="F340" s="318">
        <v>1</v>
      </c>
      <c r="G340" s="354" t="s">
        <v>36</v>
      </c>
      <c r="H340" s="320">
        <v>125000</v>
      </c>
      <c r="I340" s="321" t="b">
        <v>1</v>
      </c>
      <c r="J340" s="322"/>
      <c r="K340" s="323" t="s">
        <v>1973</v>
      </c>
      <c r="L340" s="324" t="e">
        <f t="shared" si="16"/>
        <v>#VALUE!</v>
      </c>
      <c r="M340" s="325"/>
    </row>
    <row r="341" spans="1:13" ht="13">
      <c r="A341" s="316" t="s">
        <v>1046</v>
      </c>
      <c r="B341" s="316" t="s">
        <v>1973</v>
      </c>
      <c r="C341" s="316" t="s">
        <v>1973</v>
      </c>
      <c r="D341" s="316" t="s">
        <v>1973</v>
      </c>
      <c r="E341" s="317" t="s">
        <v>1973</v>
      </c>
      <c r="F341" s="318">
        <v>2</v>
      </c>
      <c r="G341" s="354" t="s">
        <v>62</v>
      </c>
      <c r="H341" s="320">
        <v>40000</v>
      </c>
      <c r="I341" s="321" t="b">
        <v>0</v>
      </c>
      <c r="J341" s="322"/>
      <c r="K341" s="323" t="s">
        <v>1973</v>
      </c>
      <c r="L341" s="324" t="e">
        <f t="shared" si="16"/>
        <v>#VALUE!</v>
      </c>
      <c r="M341" s="325"/>
    </row>
    <row r="343" spans="1:13" ht="13">
      <c r="F343" s="429">
        <v>44680</v>
      </c>
      <c r="G343" s="428"/>
      <c r="H343" s="424"/>
      <c r="J343" s="429">
        <f>F343+1</f>
        <v>44681</v>
      </c>
      <c r="K343" s="428"/>
      <c r="L343" s="424"/>
    </row>
    <row r="344" spans="1:13" ht="13">
      <c r="F344" s="425" t="s">
        <v>1490</v>
      </c>
      <c r="G344" s="426"/>
      <c r="H344" s="304">
        <f>SUM(H346:H366)</f>
        <v>824200</v>
      </c>
      <c r="J344" s="425" t="s">
        <v>1491</v>
      </c>
      <c r="K344" s="426"/>
      <c r="L344" s="304" t="e">
        <f>SUM(L346:L366)</f>
        <v>#VALUE!</v>
      </c>
    </row>
    <row r="345" spans="1:13" ht="13">
      <c r="A345" s="2" t="s">
        <v>4</v>
      </c>
      <c r="B345" s="305" t="s">
        <v>5</v>
      </c>
      <c r="C345" s="305" t="s">
        <v>11</v>
      </c>
      <c r="D345" s="305" t="s">
        <v>12</v>
      </c>
      <c r="E345" s="306" t="s">
        <v>6</v>
      </c>
      <c r="F345" s="307" t="s">
        <v>1494</v>
      </c>
      <c r="G345" s="308" t="s">
        <v>10</v>
      </c>
      <c r="H345" s="309" t="s">
        <v>1495</v>
      </c>
      <c r="I345" s="310" t="s">
        <v>1289</v>
      </c>
      <c r="J345" s="311" t="s">
        <v>1496</v>
      </c>
      <c r="K345" s="312" t="s">
        <v>1497</v>
      </c>
      <c r="L345" s="313" t="s">
        <v>1498</v>
      </c>
      <c r="M345" s="314" t="s">
        <v>16</v>
      </c>
    </row>
    <row r="346" spans="1:13" ht="13">
      <c r="A346" s="316" t="s">
        <v>1598</v>
      </c>
      <c r="B346" s="316" t="s">
        <v>1973</v>
      </c>
      <c r="C346" s="316" t="s">
        <v>1973</v>
      </c>
      <c r="D346" s="316" t="s">
        <v>1973</v>
      </c>
      <c r="E346" s="317" t="s">
        <v>1973</v>
      </c>
      <c r="F346" s="318">
        <v>2</v>
      </c>
      <c r="G346" s="354" t="s">
        <v>97</v>
      </c>
      <c r="H346" s="320">
        <v>20800</v>
      </c>
      <c r="I346" s="321" t="b">
        <v>0</v>
      </c>
      <c r="J346" s="322"/>
      <c r="K346" s="323" t="s">
        <v>1973</v>
      </c>
      <c r="L346" s="324" t="e">
        <f t="shared" ref="L346:L366" si="17">J346*K346</f>
        <v>#VALUE!</v>
      </c>
      <c r="M346" s="325"/>
    </row>
    <row r="347" spans="1:13" ht="13">
      <c r="A347" s="316" t="s">
        <v>770</v>
      </c>
      <c r="B347" s="316" t="s">
        <v>1973</v>
      </c>
      <c r="C347" s="316" t="s">
        <v>1973</v>
      </c>
      <c r="D347" s="316" t="s">
        <v>1973</v>
      </c>
      <c r="E347" s="317" t="s">
        <v>1973</v>
      </c>
      <c r="F347" s="318">
        <v>1</v>
      </c>
      <c r="G347" s="354" t="s">
        <v>97</v>
      </c>
      <c r="H347" s="320">
        <v>24400</v>
      </c>
      <c r="I347" s="321" t="b">
        <v>0</v>
      </c>
      <c r="J347" s="322"/>
      <c r="K347" s="323" t="s">
        <v>1973</v>
      </c>
      <c r="L347" s="324" t="e">
        <f t="shared" si="17"/>
        <v>#VALUE!</v>
      </c>
      <c r="M347" s="325"/>
    </row>
    <row r="348" spans="1:13" ht="13">
      <c r="A348" s="316" t="s">
        <v>782</v>
      </c>
      <c r="B348" s="316" t="s">
        <v>1973</v>
      </c>
      <c r="C348" s="316" t="s">
        <v>1973</v>
      </c>
      <c r="D348" s="316" t="s">
        <v>1973</v>
      </c>
      <c r="E348" s="317" t="s">
        <v>1973</v>
      </c>
      <c r="F348" s="318">
        <v>1</v>
      </c>
      <c r="G348" s="354" t="s">
        <v>62</v>
      </c>
      <c r="H348" s="320">
        <v>12000</v>
      </c>
      <c r="I348" s="321" t="b">
        <v>0</v>
      </c>
      <c r="J348" s="322"/>
      <c r="K348" s="323" t="s">
        <v>1973</v>
      </c>
      <c r="L348" s="324" t="e">
        <f t="shared" si="17"/>
        <v>#VALUE!</v>
      </c>
      <c r="M348" s="325"/>
    </row>
    <row r="349" spans="1:13" ht="13">
      <c r="A349" s="316" t="s">
        <v>919</v>
      </c>
      <c r="B349" s="316" t="s">
        <v>1973</v>
      </c>
      <c r="C349" s="316" t="s">
        <v>1973</v>
      </c>
      <c r="D349" s="316" t="s">
        <v>1973</v>
      </c>
      <c r="E349" s="317" t="s">
        <v>1973</v>
      </c>
      <c r="F349" s="318">
        <v>3</v>
      </c>
      <c r="G349" s="354" t="s">
        <v>62</v>
      </c>
      <c r="H349" s="320">
        <v>26400</v>
      </c>
      <c r="I349" s="321" t="b">
        <v>0</v>
      </c>
      <c r="J349" s="322"/>
      <c r="K349" s="323" t="s">
        <v>1973</v>
      </c>
      <c r="L349" s="324" t="e">
        <f t="shared" si="17"/>
        <v>#VALUE!</v>
      </c>
      <c r="M349" s="325"/>
    </row>
    <row r="350" spans="1:13" ht="13">
      <c r="A350" s="316" t="s">
        <v>639</v>
      </c>
      <c r="B350" s="316" t="s">
        <v>1973</v>
      </c>
      <c r="C350" s="316" t="s">
        <v>1973</v>
      </c>
      <c r="D350" s="316" t="s">
        <v>1973</v>
      </c>
      <c r="E350" s="317" t="s">
        <v>1973</v>
      </c>
      <c r="F350" s="318">
        <v>1</v>
      </c>
      <c r="G350" s="354" t="s">
        <v>36</v>
      </c>
      <c r="H350" s="320">
        <v>125000</v>
      </c>
      <c r="I350" s="321" t="b">
        <v>0</v>
      </c>
      <c r="J350" s="322"/>
      <c r="K350" s="323" t="s">
        <v>1973</v>
      </c>
      <c r="L350" s="324" t="e">
        <f t="shared" si="17"/>
        <v>#VALUE!</v>
      </c>
      <c r="M350" s="325"/>
    </row>
    <row r="351" spans="1:13" ht="13">
      <c r="A351" s="316" t="s">
        <v>1610</v>
      </c>
      <c r="B351" s="316" t="s">
        <v>1973</v>
      </c>
      <c r="C351" s="316" t="s">
        <v>1973</v>
      </c>
      <c r="D351" s="316" t="s">
        <v>1973</v>
      </c>
      <c r="E351" s="317" t="s">
        <v>1973</v>
      </c>
      <c r="F351" s="318">
        <v>3</v>
      </c>
      <c r="G351" s="354" t="s">
        <v>36</v>
      </c>
      <c r="H351" s="320">
        <v>30000</v>
      </c>
      <c r="I351" s="321" t="b">
        <v>0</v>
      </c>
      <c r="J351" s="322"/>
      <c r="K351" s="323" t="s">
        <v>1973</v>
      </c>
      <c r="L351" s="324" t="e">
        <f t="shared" si="17"/>
        <v>#VALUE!</v>
      </c>
      <c r="M351" s="325"/>
    </row>
    <row r="352" spans="1:13" ht="13">
      <c r="A352" s="316" t="s">
        <v>1611</v>
      </c>
      <c r="B352" s="316" t="s">
        <v>1973</v>
      </c>
      <c r="C352" s="316" t="s">
        <v>1973</v>
      </c>
      <c r="D352" s="316" t="s">
        <v>1973</v>
      </c>
      <c r="E352" s="317" t="s">
        <v>1973</v>
      </c>
      <c r="F352" s="318">
        <v>2</v>
      </c>
      <c r="G352" s="354" t="s">
        <v>36</v>
      </c>
      <c r="H352" s="320">
        <v>100000</v>
      </c>
      <c r="I352" s="321" t="b">
        <v>0</v>
      </c>
      <c r="J352" s="322"/>
      <c r="K352" s="323" t="s">
        <v>1973</v>
      </c>
      <c r="L352" s="324" t="e">
        <f t="shared" si="17"/>
        <v>#VALUE!</v>
      </c>
      <c r="M352" s="325"/>
    </row>
    <row r="353" spans="1:13" ht="13">
      <c r="A353" s="316" t="s">
        <v>1707</v>
      </c>
      <c r="B353" s="316" t="s">
        <v>1973</v>
      </c>
      <c r="C353" s="316" t="s">
        <v>1973</v>
      </c>
      <c r="D353" s="316" t="s">
        <v>1973</v>
      </c>
      <c r="E353" s="317" t="s">
        <v>1973</v>
      </c>
      <c r="F353" s="318">
        <v>0.25</v>
      </c>
      <c r="G353" s="354" t="s">
        <v>36</v>
      </c>
      <c r="H353" s="320">
        <v>7000</v>
      </c>
      <c r="I353" s="321" t="b">
        <v>0</v>
      </c>
      <c r="J353" s="322"/>
      <c r="K353" s="323" t="s">
        <v>1973</v>
      </c>
      <c r="L353" s="324" t="e">
        <f t="shared" si="17"/>
        <v>#VALUE!</v>
      </c>
      <c r="M353" s="325"/>
    </row>
    <row r="354" spans="1:13" ht="13">
      <c r="A354" s="316" t="s">
        <v>675</v>
      </c>
      <c r="B354" s="316" t="s">
        <v>1973</v>
      </c>
      <c r="C354" s="316" t="s">
        <v>1973</v>
      </c>
      <c r="D354" s="316" t="s">
        <v>1973</v>
      </c>
      <c r="E354" s="317" t="s">
        <v>1973</v>
      </c>
      <c r="F354" s="318">
        <v>6</v>
      </c>
      <c r="G354" s="354" t="s">
        <v>62</v>
      </c>
      <c r="H354" s="320">
        <v>27000</v>
      </c>
      <c r="I354" s="321" t="b">
        <v>0</v>
      </c>
      <c r="J354" s="322"/>
      <c r="K354" s="323" t="s">
        <v>1973</v>
      </c>
      <c r="L354" s="324" t="e">
        <f t="shared" si="17"/>
        <v>#VALUE!</v>
      </c>
      <c r="M354" s="325"/>
    </row>
    <row r="355" spans="1:13" ht="13">
      <c r="A355" s="316" t="s">
        <v>744</v>
      </c>
      <c r="B355" s="316" t="s">
        <v>1973</v>
      </c>
      <c r="C355" s="316" t="s">
        <v>1973</v>
      </c>
      <c r="D355" s="316" t="s">
        <v>1973</v>
      </c>
      <c r="E355" s="317" t="s">
        <v>1973</v>
      </c>
      <c r="F355" s="318">
        <v>1</v>
      </c>
      <c r="G355" s="354" t="s">
        <v>36</v>
      </c>
      <c r="H355" s="320">
        <v>70000</v>
      </c>
      <c r="I355" s="321" t="b">
        <v>0</v>
      </c>
      <c r="J355" s="322"/>
      <c r="K355" s="323" t="s">
        <v>1973</v>
      </c>
      <c r="L355" s="324" t="e">
        <f t="shared" si="17"/>
        <v>#VALUE!</v>
      </c>
      <c r="M355" s="325"/>
    </row>
    <row r="356" spans="1:13" ht="13">
      <c r="A356" s="316" t="s">
        <v>1608</v>
      </c>
      <c r="B356" s="316" t="s">
        <v>1973</v>
      </c>
      <c r="C356" s="316" t="s">
        <v>1973</v>
      </c>
      <c r="D356" s="316" t="s">
        <v>1973</v>
      </c>
      <c r="E356" s="317" t="s">
        <v>1973</v>
      </c>
      <c r="F356" s="318">
        <v>0.5</v>
      </c>
      <c r="G356" s="354" t="s">
        <v>36</v>
      </c>
      <c r="H356" s="320">
        <v>34500</v>
      </c>
      <c r="I356" s="321" t="b">
        <v>0</v>
      </c>
      <c r="J356" s="322"/>
      <c r="K356" s="323" t="s">
        <v>1973</v>
      </c>
      <c r="L356" s="324" t="e">
        <f t="shared" si="17"/>
        <v>#VALUE!</v>
      </c>
      <c r="M356" s="325"/>
    </row>
    <row r="357" spans="1:13" ht="13">
      <c r="A357" s="316" t="s">
        <v>989</v>
      </c>
      <c r="B357" s="316" t="s">
        <v>1973</v>
      </c>
      <c r="C357" s="316" t="s">
        <v>1973</v>
      </c>
      <c r="D357" s="316" t="s">
        <v>1973</v>
      </c>
      <c r="E357" s="317" t="s">
        <v>1973</v>
      </c>
      <c r="F357" s="318">
        <v>2</v>
      </c>
      <c r="G357" s="354" t="s">
        <v>62</v>
      </c>
      <c r="H357" s="320">
        <v>34000</v>
      </c>
      <c r="I357" s="321" t="b">
        <v>0</v>
      </c>
      <c r="J357" s="322"/>
      <c r="K357" s="323" t="s">
        <v>1973</v>
      </c>
      <c r="L357" s="324" t="e">
        <f t="shared" si="17"/>
        <v>#VALUE!</v>
      </c>
      <c r="M357" s="325"/>
    </row>
    <row r="358" spans="1:13" ht="13">
      <c r="A358" s="316" t="s">
        <v>1000</v>
      </c>
      <c r="B358" s="316" t="s">
        <v>1973</v>
      </c>
      <c r="C358" s="316" t="s">
        <v>1973</v>
      </c>
      <c r="D358" s="316" t="s">
        <v>1973</v>
      </c>
      <c r="E358" s="317" t="s">
        <v>1973</v>
      </c>
      <c r="F358" s="318">
        <v>1</v>
      </c>
      <c r="G358" s="354" t="s">
        <v>62</v>
      </c>
      <c r="H358" s="320">
        <v>11500</v>
      </c>
      <c r="I358" s="321" t="b">
        <v>0</v>
      </c>
      <c r="J358" s="322"/>
      <c r="K358" s="323" t="s">
        <v>1973</v>
      </c>
      <c r="L358" s="324" t="e">
        <f t="shared" si="17"/>
        <v>#VALUE!</v>
      </c>
      <c r="M358" s="325"/>
    </row>
    <row r="359" spans="1:13" ht="13">
      <c r="A359" s="316" t="s">
        <v>1002</v>
      </c>
      <c r="B359" s="316" t="s">
        <v>1973</v>
      </c>
      <c r="C359" s="316" t="s">
        <v>1973</v>
      </c>
      <c r="D359" s="316" t="s">
        <v>1973</v>
      </c>
      <c r="E359" s="317" t="s">
        <v>1973</v>
      </c>
      <c r="F359" s="318">
        <v>0.5</v>
      </c>
      <c r="G359" s="354" t="s">
        <v>36</v>
      </c>
      <c r="H359" s="320">
        <v>12500</v>
      </c>
      <c r="I359" s="321" t="b">
        <v>0</v>
      </c>
      <c r="J359" s="322"/>
      <c r="K359" s="323" t="s">
        <v>1973</v>
      </c>
      <c r="L359" s="324" t="e">
        <f t="shared" si="17"/>
        <v>#VALUE!</v>
      </c>
      <c r="M359" s="325"/>
    </row>
    <row r="360" spans="1:13" ht="13">
      <c r="A360" s="316" t="s">
        <v>1020</v>
      </c>
      <c r="B360" s="316" t="s">
        <v>1973</v>
      </c>
      <c r="C360" s="316" t="s">
        <v>1973</v>
      </c>
      <c r="D360" s="316" t="s">
        <v>1973</v>
      </c>
      <c r="E360" s="317" t="s">
        <v>1973</v>
      </c>
      <c r="F360" s="318">
        <v>2</v>
      </c>
      <c r="G360" s="354" t="s">
        <v>36</v>
      </c>
      <c r="H360" s="320">
        <v>24000</v>
      </c>
      <c r="I360" s="321" t="b">
        <v>0</v>
      </c>
      <c r="J360" s="322"/>
      <c r="K360" s="323" t="s">
        <v>1973</v>
      </c>
      <c r="L360" s="324" t="e">
        <f t="shared" si="17"/>
        <v>#VALUE!</v>
      </c>
      <c r="M360" s="325"/>
    </row>
    <row r="361" spans="1:13" ht="13">
      <c r="A361" s="316" t="s">
        <v>1600</v>
      </c>
      <c r="B361" s="316" t="s">
        <v>1973</v>
      </c>
      <c r="C361" s="316" t="s">
        <v>1973</v>
      </c>
      <c r="D361" s="316" t="s">
        <v>1973</v>
      </c>
      <c r="E361" s="317" t="s">
        <v>1973</v>
      </c>
      <c r="F361" s="318">
        <v>1</v>
      </c>
      <c r="G361" s="354" t="s">
        <v>36</v>
      </c>
      <c r="H361" s="320">
        <v>10000</v>
      </c>
      <c r="I361" s="321" t="b">
        <v>0</v>
      </c>
      <c r="J361" s="322"/>
      <c r="K361" s="323" t="s">
        <v>1973</v>
      </c>
      <c r="L361" s="324" t="e">
        <f t="shared" si="17"/>
        <v>#VALUE!</v>
      </c>
      <c r="M361" s="325"/>
    </row>
    <row r="362" spans="1:13" ht="13">
      <c r="A362" s="316" t="s">
        <v>1705</v>
      </c>
      <c r="B362" s="316" t="s">
        <v>1973</v>
      </c>
      <c r="C362" s="316" t="s">
        <v>1973</v>
      </c>
      <c r="D362" s="316" t="s">
        <v>1973</v>
      </c>
      <c r="E362" s="317" t="s">
        <v>1973</v>
      </c>
      <c r="F362" s="318">
        <v>2</v>
      </c>
      <c r="G362" s="354" t="s">
        <v>62</v>
      </c>
      <c r="H362" s="320">
        <v>83600</v>
      </c>
      <c r="I362" s="321" t="b">
        <v>0</v>
      </c>
      <c r="J362" s="322"/>
      <c r="K362" s="323" t="s">
        <v>1973</v>
      </c>
      <c r="L362" s="324" t="e">
        <f t="shared" si="17"/>
        <v>#VALUE!</v>
      </c>
      <c r="M362" s="325"/>
    </row>
    <row r="363" spans="1:13" ht="13">
      <c r="A363" s="316" t="s">
        <v>779</v>
      </c>
      <c r="B363" s="316" t="s">
        <v>1973</v>
      </c>
      <c r="C363" s="316" t="s">
        <v>1973</v>
      </c>
      <c r="D363" s="316" t="s">
        <v>1973</v>
      </c>
      <c r="E363" s="317" t="s">
        <v>1973</v>
      </c>
      <c r="F363" s="318">
        <v>1</v>
      </c>
      <c r="G363" s="354" t="s">
        <v>62</v>
      </c>
      <c r="H363" s="320">
        <v>38500</v>
      </c>
      <c r="I363" s="321" t="b">
        <v>0</v>
      </c>
      <c r="J363" s="322"/>
      <c r="K363" s="323" t="s">
        <v>1973</v>
      </c>
      <c r="L363" s="324" t="e">
        <f t="shared" si="17"/>
        <v>#VALUE!</v>
      </c>
      <c r="M363" s="325"/>
    </row>
    <row r="364" spans="1:13" ht="13">
      <c r="A364" s="316" t="s">
        <v>1602</v>
      </c>
      <c r="B364" s="316" t="s">
        <v>1973</v>
      </c>
      <c r="C364" s="316" t="s">
        <v>1973</v>
      </c>
      <c r="D364" s="316" t="s">
        <v>1973</v>
      </c>
      <c r="E364" s="317" t="s">
        <v>1973</v>
      </c>
      <c r="F364" s="318">
        <v>5</v>
      </c>
      <c r="G364" s="354" t="s">
        <v>36</v>
      </c>
      <c r="H364" s="320">
        <v>70000</v>
      </c>
      <c r="I364" s="321" t="b">
        <v>0</v>
      </c>
      <c r="J364" s="322"/>
      <c r="K364" s="323" t="s">
        <v>1973</v>
      </c>
      <c r="L364" s="324" t="e">
        <f t="shared" si="17"/>
        <v>#VALUE!</v>
      </c>
      <c r="M364" s="325"/>
    </row>
    <row r="365" spans="1:13" ht="13">
      <c r="A365" s="316" t="s">
        <v>643</v>
      </c>
      <c r="B365" s="316" t="s">
        <v>1973</v>
      </c>
      <c r="C365" s="316" t="s">
        <v>1973</v>
      </c>
      <c r="D365" s="316" t="s">
        <v>1973</v>
      </c>
      <c r="E365" s="317" t="s">
        <v>1973</v>
      </c>
      <c r="F365" s="318">
        <v>1</v>
      </c>
      <c r="G365" s="354" t="s">
        <v>36</v>
      </c>
      <c r="H365" s="320">
        <v>15000</v>
      </c>
      <c r="I365" s="321" t="b">
        <v>0</v>
      </c>
      <c r="J365" s="322"/>
      <c r="K365" s="323" t="s">
        <v>1973</v>
      </c>
      <c r="L365" s="324" t="e">
        <f t="shared" si="17"/>
        <v>#VALUE!</v>
      </c>
      <c r="M365" s="325"/>
    </row>
    <row r="366" spans="1:13" ht="13">
      <c r="A366" s="316" t="s">
        <v>735</v>
      </c>
      <c r="B366" s="316" t="s">
        <v>1973</v>
      </c>
      <c r="C366" s="316" t="s">
        <v>1973</v>
      </c>
      <c r="D366" s="316" t="s">
        <v>1973</v>
      </c>
      <c r="E366" s="317" t="s">
        <v>1973</v>
      </c>
      <c r="F366" s="318">
        <v>1</v>
      </c>
      <c r="G366" s="354" t="s">
        <v>97</v>
      </c>
      <c r="H366" s="320">
        <v>48000</v>
      </c>
      <c r="I366" s="321" t="b">
        <v>0</v>
      </c>
      <c r="J366" s="322"/>
      <c r="K366" s="323" t="s">
        <v>1973</v>
      </c>
      <c r="L366" s="324" t="e">
        <f t="shared" si="17"/>
        <v>#VALUE!</v>
      </c>
      <c r="M366" s="325"/>
    </row>
    <row r="367" spans="1:13" ht="13">
      <c r="A367" s="316"/>
      <c r="B367" s="316"/>
      <c r="C367" s="316"/>
      <c r="D367" s="316"/>
      <c r="E367" s="317"/>
      <c r="F367" s="318"/>
      <c r="G367" s="354"/>
      <c r="H367" s="320"/>
      <c r="I367" s="321"/>
      <c r="J367" s="322"/>
      <c r="K367" s="323"/>
      <c r="L367" s="324"/>
      <c r="M367" s="325"/>
    </row>
    <row r="369" spans="1:13" ht="13">
      <c r="F369" s="429">
        <v>44680</v>
      </c>
      <c r="G369" s="428"/>
      <c r="H369" s="424"/>
      <c r="J369" s="429">
        <f>F369+1</f>
        <v>44681</v>
      </c>
      <c r="K369" s="428"/>
      <c r="L369" s="424"/>
    </row>
    <row r="370" spans="1:13" ht="13">
      <c r="F370" s="425" t="s">
        <v>1490</v>
      </c>
      <c r="G370" s="426"/>
      <c r="H370" s="304">
        <f>SUM(H372:H374)</f>
        <v>140000</v>
      </c>
      <c r="J370" s="425" t="s">
        <v>1491</v>
      </c>
      <c r="K370" s="426"/>
      <c r="L370" s="304" t="e">
        <f>SUM(L372:L374)</f>
        <v>#VALUE!</v>
      </c>
    </row>
    <row r="371" spans="1:13" ht="13">
      <c r="A371" s="2" t="s">
        <v>4</v>
      </c>
      <c r="B371" s="305" t="s">
        <v>5</v>
      </c>
      <c r="C371" s="305" t="s">
        <v>11</v>
      </c>
      <c r="D371" s="305" t="s">
        <v>12</v>
      </c>
      <c r="E371" s="306" t="s">
        <v>6</v>
      </c>
      <c r="F371" s="307" t="s">
        <v>1494</v>
      </c>
      <c r="G371" s="308" t="s">
        <v>10</v>
      </c>
      <c r="H371" s="309" t="s">
        <v>1495</v>
      </c>
      <c r="I371" s="310" t="s">
        <v>1289</v>
      </c>
      <c r="J371" s="311" t="s">
        <v>1496</v>
      </c>
      <c r="K371" s="312" t="s">
        <v>1497</v>
      </c>
      <c r="L371" s="313" t="s">
        <v>1498</v>
      </c>
      <c r="M371" s="314" t="s">
        <v>16</v>
      </c>
    </row>
    <row r="372" spans="1:13" ht="13">
      <c r="A372" s="316" t="s">
        <v>1612</v>
      </c>
      <c r="B372" s="316" t="s">
        <v>1973</v>
      </c>
      <c r="C372" s="316" t="s">
        <v>1973</v>
      </c>
      <c r="D372" s="316" t="s">
        <v>1973</v>
      </c>
      <c r="E372" s="317" t="s">
        <v>1973</v>
      </c>
      <c r="F372" s="318">
        <v>3</v>
      </c>
      <c r="G372" s="354" t="s">
        <v>36</v>
      </c>
      <c r="H372" s="320">
        <v>75000</v>
      </c>
      <c r="I372" s="321" t="b">
        <v>0</v>
      </c>
      <c r="J372" s="322"/>
      <c r="K372" s="323" t="s">
        <v>1973</v>
      </c>
      <c r="L372" s="324" t="e">
        <f t="shared" ref="L372:L374" si="18">J372*K372</f>
        <v>#VALUE!</v>
      </c>
      <c r="M372" s="325"/>
    </row>
    <row r="373" spans="1:13" ht="13">
      <c r="A373" s="316" t="s">
        <v>767</v>
      </c>
      <c r="B373" s="316" t="s">
        <v>1973</v>
      </c>
      <c r="C373" s="316" t="s">
        <v>1973</v>
      </c>
      <c r="D373" s="316" t="s">
        <v>1973</v>
      </c>
      <c r="E373" s="317" t="s">
        <v>1973</v>
      </c>
      <c r="F373" s="318">
        <v>1</v>
      </c>
      <c r="G373" s="354" t="s">
        <v>62</v>
      </c>
      <c r="H373" s="320">
        <v>20000</v>
      </c>
      <c r="I373" s="321" t="b">
        <v>0</v>
      </c>
      <c r="J373" s="322"/>
      <c r="K373" s="323" t="s">
        <v>1973</v>
      </c>
      <c r="L373" s="324" t="e">
        <f t="shared" si="18"/>
        <v>#VALUE!</v>
      </c>
      <c r="M373" s="325"/>
    </row>
    <row r="374" spans="1:13" ht="13">
      <c r="A374" s="316" t="s">
        <v>1700</v>
      </c>
      <c r="B374" s="316" t="s">
        <v>1973</v>
      </c>
      <c r="C374" s="316" t="s">
        <v>1973</v>
      </c>
      <c r="D374" s="316" t="s">
        <v>1973</v>
      </c>
      <c r="E374" s="317" t="s">
        <v>1973</v>
      </c>
      <c r="F374" s="318">
        <v>3</v>
      </c>
      <c r="G374" s="354" t="s">
        <v>62</v>
      </c>
      <c r="H374" s="320">
        <v>45000</v>
      </c>
      <c r="I374" s="321" t="b">
        <v>0</v>
      </c>
      <c r="J374" s="322"/>
      <c r="K374" s="323" t="s">
        <v>1973</v>
      </c>
      <c r="L374" s="324" t="e">
        <f t="shared" si="18"/>
        <v>#VALUE!</v>
      </c>
      <c r="M374" s="325"/>
    </row>
    <row r="377" spans="1:13" ht="13">
      <c r="H377" s="109">
        <f>H370+H344</f>
        <v>964200</v>
      </c>
    </row>
  </sheetData>
  <mergeCells count="44">
    <mergeCell ref="F4:H4"/>
    <mergeCell ref="J4:L4"/>
    <mergeCell ref="F5:G5"/>
    <mergeCell ref="J5:K5"/>
    <mergeCell ref="F66:H66"/>
    <mergeCell ref="J66:L66"/>
    <mergeCell ref="J67:K67"/>
    <mergeCell ref="J142:L142"/>
    <mergeCell ref="J143:K143"/>
    <mergeCell ref="F67:G67"/>
    <mergeCell ref="F105:H105"/>
    <mergeCell ref="J105:L105"/>
    <mergeCell ref="F106:G106"/>
    <mergeCell ref="J106:K106"/>
    <mergeCell ref="F142:H142"/>
    <mergeCell ref="F143:G143"/>
    <mergeCell ref="F168:H168"/>
    <mergeCell ref="J168:L168"/>
    <mergeCell ref="F169:G169"/>
    <mergeCell ref="J169:K169"/>
    <mergeCell ref="F177:H177"/>
    <mergeCell ref="J177:L177"/>
    <mergeCell ref="J178:K178"/>
    <mergeCell ref="J256:L256"/>
    <mergeCell ref="J257:K257"/>
    <mergeCell ref="F178:G178"/>
    <mergeCell ref="F222:H222"/>
    <mergeCell ref="J222:L222"/>
    <mergeCell ref="F223:G223"/>
    <mergeCell ref="J223:K223"/>
    <mergeCell ref="F256:H256"/>
    <mergeCell ref="F257:G257"/>
    <mergeCell ref="F344:G344"/>
    <mergeCell ref="F369:H369"/>
    <mergeCell ref="J369:L369"/>
    <mergeCell ref="F370:G370"/>
    <mergeCell ref="J370:K370"/>
    <mergeCell ref="J344:K344"/>
    <mergeCell ref="F308:H308"/>
    <mergeCell ref="J308:L308"/>
    <mergeCell ref="F309:G309"/>
    <mergeCell ref="J309:K309"/>
    <mergeCell ref="F343:H343"/>
    <mergeCell ref="J343:L34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C00-000000000000}">
          <x14:formula1>
            <xm:f>'Database Bahan &amp; Alat (Terupdate)'!#REF!</xm:f>
          </x14:formula1>
          <xm:sqref>A7:A64 A69:A103 A108:A140 A145:A166 A171:A175 A180:A220 A225:A254 A259:A306 A311:A341 A346:A367 A372:A374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M391"/>
  <sheetViews>
    <sheetView workbookViewId="0"/>
  </sheetViews>
  <sheetFormatPr baseColWidth="10" defaultColWidth="12.6640625" defaultRowHeight="15.75" customHeight="1"/>
  <cols>
    <col min="1" max="1" width="26.33203125" customWidth="1"/>
    <col min="2" max="2" width="12.6640625" hidden="1"/>
    <col min="3" max="3" width="6" customWidth="1"/>
    <col min="4" max="4" width="5.83203125" customWidth="1"/>
    <col min="6" max="6" width="8.83203125" customWidth="1"/>
    <col min="7" max="7" width="10.5" customWidth="1"/>
    <col min="9" max="9" width="8.33203125" customWidth="1"/>
    <col min="13" max="13" width="51.33203125" customWidth="1"/>
  </cols>
  <sheetData>
    <row r="1" spans="1:13" ht="15.75" customHeight="1">
      <c r="A1" s="303" t="s">
        <v>1710</v>
      </c>
    </row>
    <row r="2" spans="1:13" ht="15.75" customHeight="1">
      <c r="A2" s="303" t="s">
        <v>2</v>
      </c>
    </row>
    <row r="4" spans="1:13" ht="15.75" customHeight="1">
      <c r="F4" s="429">
        <v>44620</v>
      </c>
      <c r="G4" s="428"/>
      <c r="H4" s="424"/>
      <c r="J4" s="429">
        <f>F4+1</f>
        <v>44621</v>
      </c>
      <c r="K4" s="428"/>
      <c r="L4" s="424"/>
    </row>
    <row r="5" spans="1:13" ht="15.75" customHeight="1">
      <c r="F5" s="425" t="s">
        <v>1490</v>
      </c>
      <c r="G5" s="426"/>
      <c r="H5" s="304">
        <f>SUM(H7:H58)</f>
        <v>2481687</v>
      </c>
      <c r="J5" s="425" t="s">
        <v>1491</v>
      </c>
      <c r="K5" s="426"/>
      <c r="L5" s="304" t="e">
        <f>SUM(L7:L58)</f>
        <v>#VALUE!</v>
      </c>
    </row>
    <row r="6" spans="1:13" ht="15.75" customHeight="1">
      <c r="A6" s="2" t="s">
        <v>4</v>
      </c>
      <c r="B6" s="305" t="s">
        <v>5</v>
      </c>
      <c r="C6" s="305" t="s">
        <v>11</v>
      </c>
      <c r="D6" s="305" t="s">
        <v>12</v>
      </c>
      <c r="E6" s="306" t="s">
        <v>6</v>
      </c>
      <c r="F6" s="307" t="s">
        <v>1494</v>
      </c>
      <c r="G6" s="308" t="s">
        <v>10</v>
      </c>
      <c r="H6" s="309" t="s">
        <v>1495</v>
      </c>
      <c r="I6" s="310" t="s">
        <v>1289</v>
      </c>
      <c r="J6" s="311" t="s">
        <v>1496</v>
      </c>
      <c r="K6" s="312" t="s">
        <v>1497</v>
      </c>
      <c r="L6" s="313" t="s">
        <v>1498</v>
      </c>
      <c r="M6" s="314" t="s">
        <v>16</v>
      </c>
    </row>
    <row r="7" spans="1:13" ht="15.75" customHeight="1">
      <c r="A7" s="316" t="s">
        <v>544</v>
      </c>
      <c r="B7" s="316" t="s">
        <v>1973</v>
      </c>
      <c r="C7" s="316" t="s">
        <v>1973</v>
      </c>
      <c r="D7" s="316" t="s">
        <v>1973</v>
      </c>
      <c r="E7" s="317" t="s">
        <v>1973</v>
      </c>
      <c r="F7" s="318">
        <v>2</v>
      </c>
      <c r="G7" s="354" t="s">
        <v>62</v>
      </c>
      <c r="H7" s="320">
        <v>45200</v>
      </c>
      <c r="I7" s="321" t="b">
        <v>1</v>
      </c>
      <c r="J7" s="322">
        <v>2</v>
      </c>
      <c r="K7" s="323" t="s">
        <v>1973</v>
      </c>
      <c r="L7" s="371" t="e">
        <f t="shared" ref="L7:L58" si="0">J7*K7</f>
        <v>#VALUE!</v>
      </c>
      <c r="M7" s="325"/>
    </row>
    <row r="8" spans="1:13" ht="15.75" customHeight="1">
      <c r="A8" s="316" t="s">
        <v>586</v>
      </c>
      <c r="B8" s="316" t="s">
        <v>1973</v>
      </c>
      <c r="C8" s="316" t="s">
        <v>1973</v>
      </c>
      <c r="D8" s="316" t="s">
        <v>1973</v>
      </c>
      <c r="E8" s="317" t="s">
        <v>1973</v>
      </c>
      <c r="F8" s="318">
        <v>2</v>
      </c>
      <c r="G8" s="354" t="s">
        <v>62</v>
      </c>
      <c r="H8" s="320">
        <v>14400</v>
      </c>
      <c r="I8" s="321" t="b">
        <v>1</v>
      </c>
      <c r="J8" s="322">
        <v>1</v>
      </c>
      <c r="K8" s="323" t="s">
        <v>1973</v>
      </c>
      <c r="L8" s="371" t="e">
        <f t="shared" si="0"/>
        <v>#VALUE!</v>
      </c>
      <c r="M8" s="325"/>
    </row>
    <row r="9" spans="1:13" ht="15.75" customHeight="1">
      <c r="A9" s="316" t="s">
        <v>627</v>
      </c>
      <c r="B9" s="316" t="s">
        <v>1973</v>
      </c>
      <c r="C9" s="316" t="s">
        <v>1973</v>
      </c>
      <c r="D9" s="316" t="s">
        <v>1973</v>
      </c>
      <c r="E9" s="317" t="s">
        <v>1973</v>
      </c>
      <c r="F9" s="318">
        <v>1.5</v>
      </c>
      <c r="G9" s="354" t="s">
        <v>36</v>
      </c>
      <c r="H9" s="320">
        <v>56850</v>
      </c>
      <c r="I9" s="321" t="b">
        <v>1</v>
      </c>
      <c r="J9" s="322">
        <v>1.335</v>
      </c>
      <c r="K9" s="323">
        <v>33200</v>
      </c>
      <c r="L9" s="371">
        <f t="shared" si="0"/>
        <v>44322</v>
      </c>
      <c r="M9" s="325"/>
    </row>
    <row r="10" spans="1:13" ht="15.75" customHeight="1">
      <c r="A10" s="316" t="s">
        <v>1598</v>
      </c>
      <c r="B10" s="316" t="s">
        <v>1973</v>
      </c>
      <c r="C10" s="316" t="s">
        <v>1973</v>
      </c>
      <c r="D10" s="316" t="s">
        <v>1973</v>
      </c>
      <c r="E10" s="317" t="s">
        <v>1973</v>
      </c>
      <c r="F10" s="318">
        <v>3</v>
      </c>
      <c r="G10" s="354" t="s">
        <v>97</v>
      </c>
      <c r="H10" s="320">
        <v>31200</v>
      </c>
      <c r="I10" s="321" t="b">
        <v>1</v>
      </c>
      <c r="J10" s="322">
        <v>2</v>
      </c>
      <c r="K10" s="323">
        <v>11500</v>
      </c>
      <c r="L10" s="380">
        <f t="shared" si="0"/>
        <v>23000</v>
      </c>
      <c r="M10" s="325"/>
    </row>
    <row r="11" spans="1:13" ht="15.75" customHeight="1">
      <c r="A11" s="316" t="s">
        <v>770</v>
      </c>
      <c r="B11" s="316" t="s">
        <v>1973</v>
      </c>
      <c r="C11" s="316" t="s">
        <v>1973</v>
      </c>
      <c r="D11" s="316" t="s">
        <v>1973</v>
      </c>
      <c r="E11" s="317" t="s">
        <v>1973</v>
      </c>
      <c r="F11" s="318">
        <v>1</v>
      </c>
      <c r="G11" s="354" t="s">
        <v>97</v>
      </c>
      <c r="H11" s="320">
        <v>24400</v>
      </c>
      <c r="I11" s="319" t="b">
        <v>0</v>
      </c>
      <c r="J11" s="372"/>
      <c r="K11" s="373" t="s">
        <v>1973</v>
      </c>
      <c r="L11" s="374" t="e">
        <f t="shared" si="0"/>
        <v>#VALUE!</v>
      </c>
      <c r="M11" s="325"/>
    </row>
    <row r="12" spans="1:13" ht="15.75" customHeight="1">
      <c r="A12" s="316" t="s">
        <v>782</v>
      </c>
      <c r="B12" s="316" t="s">
        <v>1973</v>
      </c>
      <c r="C12" s="316" t="s">
        <v>1973</v>
      </c>
      <c r="D12" s="316" t="s">
        <v>1973</v>
      </c>
      <c r="E12" s="317" t="s">
        <v>1973</v>
      </c>
      <c r="F12" s="318">
        <v>2</v>
      </c>
      <c r="G12" s="354" t="s">
        <v>62</v>
      </c>
      <c r="H12" s="320">
        <v>24000</v>
      </c>
      <c r="I12" s="319" t="b">
        <v>0</v>
      </c>
      <c r="J12" s="372"/>
      <c r="K12" s="373" t="s">
        <v>1973</v>
      </c>
      <c r="L12" s="374" t="e">
        <f t="shared" si="0"/>
        <v>#VALUE!</v>
      </c>
      <c r="M12" s="325"/>
    </row>
    <row r="13" spans="1:13" ht="15.75" customHeight="1">
      <c r="A13" s="316" t="s">
        <v>1661</v>
      </c>
      <c r="B13" s="316" t="s">
        <v>1973</v>
      </c>
      <c r="C13" s="316" t="s">
        <v>1973</v>
      </c>
      <c r="D13" s="316" t="s">
        <v>1973</v>
      </c>
      <c r="E13" s="317" t="s">
        <v>1973</v>
      </c>
      <c r="F13" s="318">
        <v>1</v>
      </c>
      <c r="G13" s="354" t="s">
        <v>97</v>
      </c>
      <c r="H13" s="320">
        <v>14600</v>
      </c>
      <c r="I13" s="321" t="b">
        <v>1</v>
      </c>
      <c r="J13" s="322">
        <v>1</v>
      </c>
      <c r="K13" s="323">
        <v>11000</v>
      </c>
      <c r="L13" s="380">
        <f t="shared" si="0"/>
        <v>11000</v>
      </c>
      <c r="M13" s="325"/>
    </row>
    <row r="14" spans="1:13" ht="15.75" customHeight="1">
      <c r="A14" s="316" t="s">
        <v>1670</v>
      </c>
      <c r="B14" s="316" t="s">
        <v>1973</v>
      </c>
      <c r="C14" s="316" t="s">
        <v>1973</v>
      </c>
      <c r="D14" s="316" t="s">
        <v>1973</v>
      </c>
      <c r="E14" s="317" t="s">
        <v>1973</v>
      </c>
      <c r="F14" s="318">
        <v>1</v>
      </c>
      <c r="G14" s="354" t="s">
        <v>62</v>
      </c>
      <c r="H14" s="320">
        <v>11500</v>
      </c>
      <c r="I14" s="321" t="b">
        <v>1</v>
      </c>
      <c r="J14" s="322">
        <v>1</v>
      </c>
      <c r="K14" s="323">
        <v>9800</v>
      </c>
      <c r="L14" s="380">
        <f t="shared" si="0"/>
        <v>9800</v>
      </c>
      <c r="M14" s="325"/>
    </row>
    <row r="15" spans="1:13" ht="15.75" customHeight="1">
      <c r="A15" s="316" t="s">
        <v>1607</v>
      </c>
      <c r="B15" s="316" t="s">
        <v>1973</v>
      </c>
      <c r="C15" s="316" t="s">
        <v>1973</v>
      </c>
      <c r="D15" s="316" t="s">
        <v>1973</v>
      </c>
      <c r="E15" s="317" t="s">
        <v>1973</v>
      </c>
      <c r="F15" s="318">
        <v>1</v>
      </c>
      <c r="G15" s="354" t="s">
        <v>62</v>
      </c>
      <c r="H15" s="320">
        <v>11500</v>
      </c>
      <c r="I15" s="321" t="b">
        <v>1</v>
      </c>
      <c r="J15" s="322">
        <v>1</v>
      </c>
      <c r="K15" s="323">
        <v>10200</v>
      </c>
      <c r="L15" s="380">
        <f t="shared" si="0"/>
        <v>10200</v>
      </c>
      <c r="M15" s="325"/>
    </row>
    <row r="16" spans="1:13" ht="15.75" customHeight="1">
      <c r="A16" s="316" t="s">
        <v>919</v>
      </c>
      <c r="B16" s="316" t="s">
        <v>1973</v>
      </c>
      <c r="C16" s="316" t="s">
        <v>1973</v>
      </c>
      <c r="D16" s="316" t="s">
        <v>1973</v>
      </c>
      <c r="E16" s="317" t="s">
        <v>1973</v>
      </c>
      <c r="F16" s="318">
        <v>4</v>
      </c>
      <c r="G16" s="354" t="s">
        <v>62</v>
      </c>
      <c r="H16" s="320">
        <v>35200</v>
      </c>
      <c r="I16" s="321" t="b">
        <v>1</v>
      </c>
      <c r="J16" s="322">
        <v>3</v>
      </c>
      <c r="K16" s="323" t="s">
        <v>1973</v>
      </c>
      <c r="L16" s="371" t="e">
        <f t="shared" si="0"/>
        <v>#VALUE!</v>
      </c>
      <c r="M16" s="325"/>
    </row>
    <row r="17" spans="1:13" ht="15.75" customHeight="1">
      <c r="A17" s="316" t="s">
        <v>937</v>
      </c>
      <c r="B17" s="316" t="s">
        <v>1973</v>
      </c>
      <c r="C17" s="316" t="s">
        <v>1973</v>
      </c>
      <c r="D17" s="316" t="s">
        <v>1973</v>
      </c>
      <c r="E17" s="317" t="s">
        <v>1973</v>
      </c>
      <c r="F17" s="318">
        <v>1</v>
      </c>
      <c r="G17" s="354" t="s">
        <v>62</v>
      </c>
      <c r="H17" s="320">
        <v>7200</v>
      </c>
      <c r="I17" s="321" t="b">
        <v>1</v>
      </c>
      <c r="J17" s="322">
        <v>1</v>
      </c>
      <c r="K17" s="323" t="s">
        <v>1973</v>
      </c>
      <c r="L17" s="371" t="e">
        <f t="shared" si="0"/>
        <v>#VALUE!</v>
      </c>
      <c r="M17" s="325"/>
    </row>
    <row r="18" spans="1:13" ht="15.75" customHeight="1">
      <c r="A18" s="316" t="s">
        <v>970</v>
      </c>
      <c r="B18" s="316" t="s">
        <v>1973</v>
      </c>
      <c r="C18" s="316" t="s">
        <v>1973</v>
      </c>
      <c r="D18" s="316" t="s">
        <v>1973</v>
      </c>
      <c r="E18" s="317" t="s">
        <v>1973</v>
      </c>
      <c r="F18" s="318">
        <v>1</v>
      </c>
      <c r="G18" s="354" t="s">
        <v>75</v>
      </c>
      <c r="H18" s="320">
        <v>16500</v>
      </c>
      <c r="I18" s="321" t="b">
        <v>1</v>
      </c>
      <c r="J18" s="322">
        <v>1</v>
      </c>
      <c r="K18" s="323" t="s">
        <v>1973</v>
      </c>
      <c r="L18" s="371" t="e">
        <f t="shared" si="0"/>
        <v>#VALUE!</v>
      </c>
      <c r="M18" s="325"/>
    </row>
    <row r="19" spans="1:13" ht="15.75" customHeight="1">
      <c r="A19" s="18" t="s">
        <v>1094</v>
      </c>
      <c r="B19" s="316" t="s">
        <v>1973</v>
      </c>
      <c r="C19" s="316" t="s">
        <v>1973</v>
      </c>
      <c r="D19" s="316" t="s">
        <v>1973</v>
      </c>
      <c r="E19" s="317" t="s">
        <v>1973</v>
      </c>
      <c r="F19" s="318">
        <v>1</v>
      </c>
      <c r="G19" s="354" t="s">
        <v>62</v>
      </c>
      <c r="H19" s="320">
        <v>17600</v>
      </c>
      <c r="I19" s="321" t="b">
        <v>1</v>
      </c>
      <c r="J19" s="322">
        <v>1</v>
      </c>
      <c r="K19" s="323" t="s">
        <v>1973</v>
      </c>
      <c r="L19" s="371" t="e">
        <f t="shared" si="0"/>
        <v>#VALUE!</v>
      </c>
      <c r="M19" s="325"/>
    </row>
    <row r="20" spans="1:13" ht="15.75" customHeight="1">
      <c r="A20" s="18" t="s">
        <v>1096</v>
      </c>
      <c r="B20" s="316" t="s">
        <v>1973</v>
      </c>
      <c r="C20" s="316" t="s">
        <v>1973</v>
      </c>
      <c r="D20" s="316" t="s">
        <v>1973</v>
      </c>
      <c r="E20" s="317" t="s">
        <v>1973</v>
      </c>
      <c r="F20" s="318">
        <v>1</v>
      </c>
      <c r="G20" s="354" t="s">
        <v>62</v>
      </c>
      <c r="H20" s="320">
        <v>9100</v>
      </c>
      <c r="I20" s="321" t="b">
        <v>1</v>
      </c>
      <c r="J20" s="322">
        <v>1</v>
      </c>
      <c r="K20" s="323" t="s">
        <v>1973</v>
      </c>
      <c r="L20" s="371" t="e">
        <f t="shared" si="0"/>
        <v>#VALUE!</v>
      </c>
      <c r="M20" s="325"/>
    </row>
    <row r="21" spans="1:13" ht="15.75" customHeight="1">
      <c r="A21" s="316" t="s">
        <v>536</v>
      </c>
      <c r="B21" s="316" t="s">
        <v>1973</v>
      </c>
      <c r="C21" s="316" t="s">
        <v>1973</v>
      </c>
      <c r="D21" s="316" t="s">
        <v>1973</v>
      </c>
      <c r="E21" s="317" t="s">
        <v>1973</v>
      </c>
      <c r="F21" s="318">
        <v>50</v>
      </c>
      <c r="G21" s="354" t="s">
        <v>1711</v>
      </c>
      <c r="H21" s="320">
        <v>8000</v>
      </c>
      <c r="I21" s="321" t="b">
        <v>1</v>
      </c>
      <c r="J21" s="322">
        <v>50</v>
      </c>
      <c r="K21" s="323" t="s">
        <v>1973</v>
      </c>
      <c r="L21" s="371" t="e">
        <f t="shared" si="0"/>
        <v>#VALUE!</v>
      </c>
      <c r="M21" s="325"/>
    </row>
    <row r="22" spans="1:13" ht="15.75" customHeight="1">
      <c r="A22" s="316" t="s">
        <v>631</v>
      </c>
      <c r="B22" s="316" t="s">
        <v>1973</v>
      </c>
      <c r="C22" s="316" t="s">
        <v>1973</v>
      </c>
      <c r="D22" s="316" t="s">
        <v>1973</v>
      </c>
      <c r="E22" s="317" t="s">
        <v>1973</v>
      </c>
      <c r="F22" s="318">
        <v>1</v>
      </c>
      <c r="G22" s="354" t="s">
        <v>36</v>
      </c>
      <c r="H22" s="320">
        <v>16000</v>
      </c>
      <c r="I22" s="321" t="b">
        <v>1</v>
      </c>
      <c r="J22" s="322">
        <v>1</v>
      </c>
      <c r="K22" s="323" t="s">
        <v>1973</v>
      </c>
      <c r="L22" s="371" t="e">
        <f t="shared" si="0"/>
        <v>#VALUE!</v>
      </c>
      <c r="M22" s="325"/>
    </row>
    <row r="23" spans="1:13" ht="15.75" customHeight="1">
      <c r="A23" s="316" t="s">
        <v>639</v>
      </c>
      <c r="B23" s="316" t="s">
        <v>1973</v>
      </c>
      <c r="C23" s="316" t="s">
        <v>1973</v>
      </c>
      <c r="D23" s="316" t="s">
        <v>1973</v>
      </c>
      <c r="E23" s="317" t="s">
        <v>1973</v>
      </c>
      <c r="F23" s="318">
        <v>1</v>
      </c>
      <c r="G23" s="354" t="s">
        <v>36</v>
      </c>
      <c r="H23" s="320">
        <v>125000</v>
      </c>
      <c r="I23" s="319" t="b">
        <v>0</v>
      </c>
      <c r="J23" s="372"/>
      <c r="K23" s="373" t="s">
        <v>1973</v>
      </c>
      <c r="L23" s="374" t="e">
        <f t="shared" si="0"/>
        <v>#VALUE!</v>
      </c>
      <c r="M23" s="325"/>
    </row>
    <row r="24" spans="1:13" ht="15.75" customHeight="1">
      <c r="A24" s="316" t="s">
        <v>1610</v>
      </c>
      <c r="B24" s="316" t="s">
        <v>1973</v>
      </c>
      <c r="C24" s="316" t="s">
        <v>1973</v>
      </c>
      <c r="D24" s="316" t="s">
        <v>1973</v>
      </c>
      <c r="E24" s="317" t="s">
        <v>1973</v>
      </c>
      <c r="F24" s="318">
        <v>2.5</v>
      </c>
      <c r="G24" s="354" t="s">
        <v>36</v>
      </c>
      <c r="H24" s="320">
        <v>25000</v>
      </c>
      <c r="I24" s="321" t="b">
        <v>1</v>
      </c>
      <c r="J24" s="322">
        <v>2.5</v>
      </c>
      <c r="K24" s="323" t="s">
        <v>1973</v>
      </c>
      <c r="L24" s="371" t="e">
        <f t="shared" si="0"/>
        <v>#VALUE!</v>
      </c>
      <c r="M24" s="325"/>
    </row>
    <row r="25" spans="1:13" ht="15.75" customHeight="1">
      <c r="A25" s="316" t="s">
        <v>1611</v>
      </c>
      <c r="B25" s="316" t="s">
        <v>1973</v>
      </c>
      <c r="C25" s="316" t="s">
        <v>1973</v>
      </c>
      <c r="D25" s="316" t="s">
        <v>1973</v>
      </c>
      <c r="E25" s="317" t="s">
        <v>1973</v>
      </c>
      <c r="F25" s="318">
        <v>3</v>
      </c>
      <c r="G25" s="354" t="s">
        <v>36</v>
      </c>
      <c r="H25" s="320">
        <v>150000</v>
      </c>
      <c r="I25" s="321" t="b">
        <v>1</v>
      </c>
      <c r="J25" s="322">
        <v>3</v>
      </c>
      <c r="K25" s="323">
        <v>44000</v>
      </c>
      <c r="L25" s="380">
        <f t="shared" si="0"/>
        <v>132000</v>
      </c>
      <c r="M25" s="325" t="s">
        <v>1712</v>
      </c>
    </row>
    <row r="26" spans="1:13" ht="15.75" customHeight="1">
      <c r="A26" s="316" t="s">
        <v>1698</v>
      </c>
      <c r="B26" s="316" t="s">
        <v>1973</v>
      </c>
      <c r="C26" s="316" t="s">
        <v>1973</v>
      </c>
      <c r="D26" s="316" t="s">
        <v>1973</v>
      </c>
      <c r="E26" s="317" t="s">
        <v>1973</v>
      </c>
      <c r="F26" s="318">
        <v>3</v>
      </c>
      <c r="G26" s="354" t="s">
        <v>36</v>
      </c>
      <c r="H26" s="320">
        <v>111000</v>
      </c>
      <c r="I26" s="321" t="b">
        <v>1</v>
      </c>
      <c r="J26" s="322">
        <v>3</v>
      </c>
      <c r="K26" s="323">
        <v>32000</v>
      </c>
      <c r="L26" s="380">
        <f t="shared" si="0"/>
        <v>96000</v>
      </c>
      <c r="M26" s="325" t="s">
        <v>1713</v>
      </c>
    </row>
    <row r="27" spans="1:13" ht="15.75" customHeight="1">
      <c r="A27" s="316" t="s">
        <v>1699</v>
      </c>
      <c r="B27" s="316" t="s">
        <v>1973</v>
      </c>
      <c r="C27" s="316" t="s">
        <v>1973</v>
      </c>
      <c r="D27" s="316" t="s">
        <v>1973</v>
      </c>
      <c r="E27" s="317" t="s">
        <v>1973</v>
      </c>
      <c r="F27" s="318">
        <v>0.5</v>
      </c>
      <c r="G27" s="354" t="s">
        <v>36</v>
      </c>
      <c r="H27" s="320">
        <v>34000</v>
      </c>
      <c r="I27" s="321" t="b">
        <v>1</v>
      </c>
      <c r="J27" s="322">
        <v>0.5</v>
      </c>
      <c r="K27" s="323">
        <v>70000</v>
      </c>
      <c r="L27" s="379">
        <f t="shared" si="0"/>
        <v>35000</v>
      </c>
      <c r="M27" s="325" t="s">
        <v>1714</v>
      </c>
    </row>
    <row r="28" spans="1:13" ht="15.75" customHeight="1">
      <c r="A28" s="316" t="s">
        <v>675</v>
      </c>
      <c r="B28" s="316" t="s">
        <v>1973</v>
      </c>
      <c r="C28" s="316" t="s">
        <v>1973</v>
      </c>
      <c r="D28" s="316" t="s">
        <v>1973</v>
      </c>
      <c r="E28" s="317" t="s">
        <v>1973</v>
      </c>
      <c r="F28" s="318">
        <v>20</v>
      </c>
      <c r="G28" s="354" t="s">
        <v>62</v>
      </c>
      <c r="H28" s="320">
        <v>90000</v>
      </c>
      <c r="I28" s="321" t="b">
        <v>1</v>
      </c>
      <c r="J28" s="322">
        <v>15</v>
      </c>
      <c r="K28" s="323" t="e">
        <f>VLOOKUP($A28,'[1]Database Bahan &amp; Alat (Terupdat'!$B$50:$N$232,6,FALSE)</f>
        <v>#N/A</v>
      </c>
      <c r="L28" s="371" t="e">
        <f t="shared" si="0"/>
        <v>#N/A</v>
      </c>
      <c r="M28" s="325"/>
    </row>
    <row r="29" spans="1:13" ht="15.75" customHeight="1">
      <c r="A29" s="316" t="s">
        <v>712</v>
      </c>
      <c r="B29" s="316" t="s">
        <v>1973</v>
      </c>
      <c r="C29" s="316" t="s">
        <v>1973</v>
      </c>
      <c r="D29" s="316" t="s">
        <v>1973</v>
      </c>
      <c r="E29" s="317" t="s">
        <v>1973</v>
      </c>
      <c r="F29" s="318">
        <v>1</v>
      </c>
      <c r="G29" s="354" t="s">
        <v>36</v>
      </c>
      <c r="H29" s="320">
        <v>24000</v>
      </c>
      <c r="I29" s="321" t="b">
        <v>1</v>
      </c>
      <c r="J29" s="322">
        <v>1</v>
      </c>
      <c r="K29" s="323">
        <v>26000</v>
      </c>
      <c r="L29" s="379">
        <f t="shared" si="0"/>
        <v>26000</v>
      </c>
      <c r="M29" s="325" t="s">
        <v>1715</v>
      </c>
    </row>
    <row r="30" spans="1:13" ht="15.75" customHeight="1">
      <c r="A30" s="316" t="s">
        <v>732</v>
      </c>
      <c r="B30" s="316" t="s">
        <v>1973</v>
      </c>
      <c r="C30" s="316" t="s">
        <v>1973</v>
      </c>
      <c r="D30" s="316" t="s">
        <v>1973</v>
      </c>
      <c r="E30" s="317" t="s">
        <v>1973</v>
      </c>
      <c r="F30" s="318">
        <v>2</v>
      </c>
      <c r="G30" s="354" t="s">
        <v>36</v>
      </c>
      <c r="H30" s="320">
        <v>52000</v>
      </c>
      <c r="I30" s="321" t="b">
        <v>1</v>
      </c>
      <c r="J30" s="322">
        <v>2</v>
      </c>
      <c r="K30" s="323">
        <v>28000</v>
      </c>
      <c r="L30" s="379">
        <f t="shared" si="0"/>
        <v>56000</v>
      </c>
      <c r="M30" s="325" t="s">
        <v>1716</v>
      </c>
    </row>
    <row r="31" spans="1:13" ht="15.75" customHeight="1">
      <c r="A31" s="316" t="s">
        <v>744</v>
      </c>
      <c r="B31" s="316" t="s">
        <v>1973</v>
      </c>
      <c r="C31" s="316" t="s">
        <v>1973</v>
      </c>
      <c r="D31" s="316" t="s">
        <v>1973</v>
      </c>
      <c r="E31" s="317" t="s">
        <v>1973</v>
      </c>
      <c r="F31" s="318">
        <v>0.5</v>
      </c>
      <c r="G31" s="354" t="s">
        <v>36</v>
      </c>
      <c r="H31" s="320">
        <v>35000</v>
      </c>
      <c r="I31" s="321" t="b">
        <v>1</v>
      </c>
      <c r="J31" s="322">
        <v>0.5</v>
      </c>
      <c r="K31" s="323" t="s">
        <v>1973</v>
      </c>
      <c r="L31" s="371" t="e">
        <f t="shared" si="0"/>
        <v>#VALUE!</v>
      </c>
      <c r="M31" s="325"/>
    </row>
    <row r="32" spans="1:13" ht="15.75" customHeight="1">
      <c r="A32" s="316" t="s">
        <v>1601</v>
      </c>
      <c r="B32" s="316" t="s">
        <v>1973</v>
      </c>
      <c r="C32" s="316" t="s">
        <v>1973</v>
      </c>
      <c r="D32" s="316" t="s">
        <v>1973</v>
      </c>
      <c r="E32" s="317" t="s">
        <v>1973</v>
      </c>
      <c r="F32" s="318">
        <v>1</v>
      </c>
      <c r="G32" s="354" t="s">
        <v>97</v>
      </c>
      <c r="H32" s="320">
        <v>21000</v>
      </c>
      <c r="I32" s="321" t="b">
        <v>1</v>
      </c>
      <c r="J32" s="322">
        <v>1</v>
      </c>
      <c r="K32" s="323" t="s">
        <v>1973</v>
      </c>
      <c r="L32" s="371" t="e">
        <f t="shared" si="0"/>
        <v>#VALUE!</v>
      </c>
      <c r="M32" s="325"/>
    </row>
    <row r="33" spans="1:13" ht="15.75" customHeight="1">
      <c r="A33" s="316" t="s">
        <v>795</v>
      </c>
      <c r="B33" s="316" t="s">
        <v>1973</v>
      </c>
      <c r="C33" s="316" t="s">
        <v>1973</v>
      </c>
      <c r="D33" s="316" t="s">
        <v>1973</v>
      </c>
      <c r="E33" s="317" t="s">
        <v>1973</v>
      </c>
      <c r="F33" s="318">
        <v>10</v>
      </c>
      <c r="G33" s="354" t="s">
        <v>62</v>
      </c>
      <c r="H33" s="320">
        <v>50000</v>
      </c>
      <c r="I33" s="321" t="b">
        <v>1</v>
      </c>
      <c r="J33" s="322">
        <v>10</v>
      </c>
      <c r="K33" s="323" t="s">
        <v>1973</v>
      </c>
      <c r="L33" s="371" t="e">
        <f t="shared" si="0"/>
        <v>#VALUE!</v>
      </c>
      <c r="M33" s="325"/>
    </row>
    <row r="34" spans="1:13" ht="15.75" customHeight="1">
      <c r="A34" s="316" t="s">
        <v>1704</v>
      </c>
      <c r="B34" s="316" t="s">
        <v>1973</v>
      </c>
      <c r="C34" s="316" t="s">
        <v>1973</v>
      </c>
      <c r="D34" s="316" t="s">
        <v>1973</v>
      </c>
      <c r="E34" s="317" t="s">
        <v>1973</v>
      </c>
      <c r="F34" s="318">
        <v>0.25</v>
      </c>
      <c r="G34" s="354" t="s">
        <v>36</v>
      </c>
      <c r="H34" s="320">
        <v>3000</v>
      </c>
      <c r="I34" s="321" t="b">
        <v>1</v>
      </c>
      <c r="J34" s="322">
        <v>0.25</v>
      </c>
      <c r="K34" s="323" t="s">
        <v>1973</v>
      </c>
      <c r="L34" s="371" t="e">
        <f t="shared" si="0"/>
        <v>#VALUE!</v>
      </c>
      <c r="M34" s="325"/>
    </row>
    <row r="35" spans="1:13" ht="15.75" customHeight="1">
      <c r="A35" s="316" t="s">
        <v>819</v>
      </c>
      <c r="B35" s="316" t="s">
        <v>1973</v>
      </c>
      <c r="C35" s="316" t="s">
        <v>1973</v>
      </c>
      <c r="D35" s="316" t="s">
        <v>1973</v>
      </c>
      <c r="E35" s="317" t="s">
        <v>1973</v>
      </c>
      <c r="F35" s="318">
        <v>0.15</v>
      </c>
      <c r="G35" s="354" t="s">
        <v>36</v>
      </c>
      <c r="H35" s="320">
        <v>3000</v>
      </c>
      <c r="I35" s="321" t="b">
        <v>1</v>
      </c>
      <c r="J35" s="322">
        <v>0.2</v>
      </c>
      <c r="K35" s="323" t="s">
        <v>1973</v>
      </c>
      <c r="L35" s="371" t="e">
        <f t="shared" si="0"/>
        <v>#VALUE!</v>
      </c>
      <c r="M35" s="325"/>
    </row>
    <row r="36" spans="1:13" ht="15.75" customHeight="1">
      <c r="A36" s="316" t="s">
        <v>1614</v>
      </c>
      <c r="B36" s="316" t="s">
        <v>1973</v>
      </c>
      <c r="C36" s="316" t="s">
        <v>1973</v>
      </c>
      <c r="D36" s="316" t="s">
        <v>1973</v>
      </c>
      <c r="E36" s="317" t="s">
        <v>1973</v>
      </c>
      <c r="F36" s="318">
        <v>0.3</v>
      </c>
      <c r="G36" s="354" t="s">
        <v>36</v>
      </c>
      <c r="H36" s="320">
        <v>40500</v>
      </c>
      <c r="I36" s="321" t="b">
        <v>1</v>
      </c>
      <c r="J36" s="322">
        <v>0.3</v>
      </c>
      <c r="K36" s="323">
        <v>130000</v>
      </c>
      <c r="L36" s="370">
        <f t="shared" si="0"/>
        <v>39000</v>
      </c>
      <c r="M36" s="325" t="s">
        <v>1717</v>
      </c>
    </row>
    <row r="37" spans="1:13" ht="15.75" customHeight="1">
      <c r="A37" s="316" t="s">
        <v>1709</v>
      </c>
      <c r="B37" s="316" t="s">
        <v>1973</v>
      </c>
      <c r="C37" s="316" t="s">
        <v>1973</v>
      </c>
      <c r="D37" s="316" t="s">
        <v>1973</v>
      </c>
      <c r="E37" s="317" t="s">
        <v>1973</v>
      </c>
      <c r="F37" s="318">
        <v>5</v>
      </c>
      <c r="G37" s="354" t="s">
        <v>62</v>
      </c>
      <c r="H37" s="320">
        <v>12500</v>
      </c>
      <c r="I37" s="321" t="b">
        <v>1</v>
      </c>
      <c r="J37" s="322">
        <v>5</v>
      </c>
      <c r="K37" s="323" t="e">
        <f>VLOOKUP($A37,'[1]Database Bahan &amp; Alat (Terupdat'!$B$50:$N$232,6,FALSE)</f>
        <v>#N/A</v>
      </c>
      <c r="L37" s="371" t="e">
        <f t="shared" si="0"/>
        <v>#N/A</v>
      </c>
      <c r="M37" s="325"/>
    </row>
    <row r="38" spans="1:13" ht="15.75" customHeight="1">
      <c r="A38" s="316" t="s">
        <v>1671</v>
      </c>
      <c r="B38" s="316" t="s">
        <v>1973</v>
      </c>
      <c r="C38" s="316" t="s">
        <v>1973</v>
      </c>
      <c r="D38" s="316" t="s">
        <v>1973</v>
      </c>
      <c r="E38" s="317" t="s">
        <v>1973</v>
      </c>
      <c r="F38" s="318">
        <v>3</v>
      </c>
      <c r="G38" s="354" t="s">
        <v>36</v>
      </c>
      <c r="H38" s="320">
        <v>270000</v>
      </c>
      <c r="I38" s="321" t="b">
        <v>1</v>
      </c>
      <c r="J38" s="322">
        <v>3</v>
      </c>
      <c r="K38" s="323">
        <v>95000</v>
      </c>
      <c r="L38" s="379">
        <f t="shared" si="0"/>
        <v>285000</v>
      </c>
      <c r="M38" s="325" t="s">
        <v>1718</v>
      </c>
    </row>
    <row r="39" spans="1:13" ht="15.75" customHeight="1">
      <c r="A39" s="316" t="s">
        <v>989</v>
      </c>
      <c r="B39" s="316" t="s">
        <v>1973</v>
      </c>
      <c r="C39" s="316" t="s">
        <v>1973</v>
      </c>
      <c r="D39" s="316" t="s">
        <v>1973</v>
      </c>
      <c r="E39" s="317" t="s">
        <v>1973</v>
      </c>
      <c r="F39" s="318">
        <v>2</v>
      </c>
      <c r="G39" s="354" t="s">
        <v>62</v>
      </c>
      <c r="H39" s="320">
        <v>34000</v>
      </c>
      <c r="I39" s="321" t="b">
        <v>1</v>
      </c>
      <c r="J39" s="322">
        <v>2</v>
      </c>
      <c r="K39" s="323" t="s">
        <v>1973</v>
      </c>
      <c r="L39" s="371" t="e">
        <f t="shared" si="0"/>
        <v>#VALUE!</v>
      </c>
      <c r="M39" s="325"/>
    </row>
    <row r="40" spans="1:13" ht="15.75" customHeight="1">
      <c r="A40" s="316" t="s">
        <v>1676</v>
      </c>
      <c r="B40" s="316" t="s">
        <v>1973</v>
      </c>
      <c r="C40" s="316" t="s">
        <v>1973</v>
      </c>
      <c r="D40" s="316" t="s">
        <v>1973</v>
      </c>
      <c r="E40" s="317" t="s">
        <v>1973</v>
      </c>
      <c r="F40" s="318">
        <v>0.15</v>
      </c>
      <c r="G40" s="354" t="s">
        <v>36</v>
      </c>
      <c r="H40" s="320">
        <v>36000</v>
      </c>
      <c r="I40" s="321" t="b">
        <v>1</v>
      </c>
      <c r="J40" s="322">
        <v>0.2</v>
      </c>
      <c r="K40" s="323" t="s">
        <v>1973</v>
      </c>
      <c r="L40" s="371" t="e">
        <f t="shared" si="0"/>
        <v>#VALUE!</v>
      </c>
      <c r="M40" s="325"/>
    </row>
    <row r="41" spans="1:13" ht="15.75" customHeight="1">
      <c r="A41" s="316" t="s">
        <v>1000</v>
      </c>
      <c r="B41" s="316" t="s">
        <v>1973</v>
      </c>
      <c r="C41" s="316" t="s">
        <v>1973</v>
      </c>
      <c r="D41" s="316" t="s">
        <v>1973</v>
      </c>
      <c r="E41" s="317" t="s">
        <v>1973</v>
      </c>
      <c r="F41" s="318">
        <v>0.3</v>
      </c>
      <c r="G41" s="354" t="s">
        <v>62</v>
      </c>
      <c r="H41" s="320">
        <v>3450</v>
      </c>
      <c r="I41" s="321" t="b">
        <v>1</v>
      </c>
      <c r="J41" s="322">
        <v>1</v>
      </c>
      <c r="K41" s="323">
        <v>11000</v>
      </c>
      <c r="L41" s="380">
        <f t="shared" si="0"/>
        <v>11000</v>
      </c>
      <c r="M41" s="325" t="s">
        <v>1719</v>
      </c>
    </row>
    <row r="42" spans="1:13" ht="15.75" customHeight="1">
      <c r="A42" s="316" t="s">
        <v>1020</v>
      </c>
      <c r="B42" s="316" t="s">
        <v>1973</v>
      </c>
      <c r="C42" s="316" t="s">
        <v>1973</v>
      </c>
      <c r="D42" s="316" t="s">
        <v>1973</v>
      </c>
      <c r="E42" s="317" t="s">
        <v>1973</v>
      </c>
      <c r="F42" s="318">
        <v>1</v>
      </c>
      <c r="G42" s="354" t="s">
        <v>36</v>
      </c>
      <c r="H42" s="320">
        <v>12000</v>
      </c>
      <c r="I42" s="321" t="b">
        <v>1</v>
      </c>
      <c r="J42" s="322">
        <v>1</v>
      </c>
      <c r="K42" s="323" t="s">
        <v>1973</v>
      </c>
      <c r="L42" s="371" t="e">
        <f t="shared" si="0"/>
        <v>#VALUE!</v>
      </c>
      <c r="M42" s="325"/>
    </row>
    <row r="43" spans="1:13" ht="15.75" customHeight="1">
      <c r="A43" s="316" t="s">
        <v>1600</v>
      </c>
      <c r="B43" s="316" t="s">
        <v>1973</v>
      </c>
      <c r="C43" s="316" t="s">
        <v>1973</v>
      </c>
      <c r="D43" s="316" t="s">
        <v>1973</v>
      </c>
      <c r="E43" s="317" t="s">
        <v>1973</v>
      </c>
      <c r="F43" s="318">
        <v>1</v>
      </c>
      <c r="G43" s="354" t="s">
        <v>36</v>
      </c>
      <c r="H43" s="320">
        <v>10000</v>
      </c>
      <c r="I43" s="321" t="b">
        <v>1</v>
      </c>
      <c r="J43" s="322">
        <v>1</v>
      </c>
      <c r="K43" s="323" t="s">
        <v>1973</v>
      </c>
      <c r="L43" s="371" t="e">
        <f t="shared" si="0"/>
        <v>#VALUE!</v>
      </c>
      <c r="M43" s="325"/>
    </row>
    <row r="44" spans="1:13" ht="15.75" customHeight="1">
      <c r="A44" s="316" t="s">
        <v>1703</v>
      </c>
      <c r="B44" s="316" t="s">
        <v>1973</v>
      </c>
      <c r="C44" s="316" t="s">
        <v>1973</v>
      </c>
      <c r="D44" s="316" t="s">
        <v>1973</v>
      </c>
      <c r="E44" s="317" t="s">
        <v>1973</v>
      </c>
      <c r="F44" s="318">
        <v>1</v>
      </c>
      <c r="G44" s="354" t="s">
        <v>62</v>
      </c>
      <c r="H44" s="320">
        <v>22407</v>
      </c>
      <c r="I44" s="321" t="b">
        <v>1</v>
      </c>
      <c r="J44" s="322">
        <v>1</v>
      </c>
      <c r="K44" s="323">
        <v>22000</v>
      </c>
      <c r="L44" s="380">
        <f t="shared" si="0"/>
        <v>22000</v>
      </c>
      <c r="M44" s="325"/>
    </row>
    <row r="45" spans="1:13" ht="15.75" customHeight="1">
      <c r="A45" s="316" t="s">
        <v>688</v>
      </c>
      <c r="B45" s="316" t="s">
        <v>1973</v>
      </c>
      <c r="C45" s="316" t="s">
        <v>1973</v>
      </c>
      <c r="D45" s="316" t="s">
        <v>1973</v>
      </c>
      <c r="E45" s="317" t="s">
        <v>1973</v>
      </c>
      <c r="F45" s="318">
        <v>2</v>
      </c>
      <c r="G45" s="354" t="s">
        <v>62</v>
      </c>
      <c r="H45" s="320">
        <v>115940</v>
      </c>
      <c r="I45" s="319" t="b">
        <v>0</v>
      </c>
      <c r="J45" s="372"/>
      <c r="K45" s="373" t="e">
        <f>VLOOKUP($A45,'[1]Database Bahan &amp; Alat (Terupdat'!$B$50:$N$232,6,FALSE)</f>
        <v>#N/A</v>
      </c>
      <c r="L45" s="374" t="e">
        <f t="shared" si="0"/>
        <v>#N/A</v>
      </c>
      <c r="M45" s="325"/>
    </row>
    <row r="46" spans="1:13" ht="15.75" customHeight="1">
      <c r="A46" s="316" t="s">
        <v>1705</v>
      </c>
      <c r="B46" s="316" t="s">
        <v>1973</v>
      </c>
      <c r="C46" s="316" t="s">
        <v>1973</v>
      </c>
      <c r="D46" s="316" t="s">
        <v>1973</v>
      </c>
      <c r="E46" s="317" t="s">
        <v>1973</v>
      </c>
      <c r="F46" s="318">
        <v>3</v>
      </c>
      <c r="G46" s="354" t="s">
        <v>62</v>
      </c>
      <c r="H46" s="320">
        <v>125400</v>
      </c>
      <c r="I46" s="321" t="b">
        <v>1</v>
      </c>
      <c r="J46" s="322">
        <v>3</v>
      </c>
      <c r="K46" s="323">
        <v>23000</v>
      </c>
      <c r="L46" s="380">
        <f t="shared" si="0"/>
        <v>69000</v>
      </c>
      <c r="M46" s="325"/>
    </row>
    <row r="47" spans="1:13" ht="15.75" customHeight="1">
      <c r="A47" s="316" t="s">
        <v>779</v>
      </c>
      <c r="B47" s="316" t="s">
        <v>1973</v>
      </c>
      <c r="C47" s="316" t="s">
        <v>1973</v>
      </c>
      <c r="D47" s="316" t="s">
        <v>1973</v>
      </c>
      <c r="E47" s="317" t="s">
        <v>1973</v>
      </c>
      <c r="F47" s="318">
        <v>2</v>
      </c>
      <c r="G47" s="354" t="s">
        <v>62</v>
      </c>
      <c r="H47" s="320">
        <v>77000</v>
      </c>
      <c r="I47" s="321" t="b">
        <v>1</v>
      </c>
      <c r="J47" s="322">
        <v>2</v>
      </c>
      <c r="K47" s="323">
        <v>36000</v>
      </c>
      <c r="L47" s="380">
        <f t="shared" si="0"/>
        <v>72000</v>
      </c>
      <c r="M47" s="325" t="s">
        <v>1720</v>
      </c>
    </row>
    <row r="48" spans="1:13" ht="15.75" customHeight="1">
      <c r="A48" s="316" t="s">
        <v>874</v>
      </c>
      <c r="B48" s="316" t="s">
        <v>1973</v>
      </c>
      <c r="C48" s="316" t="s">
        <v>1973</v>
      </c>
      <c r="D48" s="316" t="s">
        <v>1973</v>
      </c>
      <c r="E48" s="317" t="s">
        <v>1973</v>
      </c>
      <c r="F48" s="318">
        <v>3</v>
      </c>
      <c r="G48" s="354" t="s">
        <v>62</v>
      </c>
      <c r="H48" s="320">
        <v>48000</v>
      </c>
      <c r="I48" s="321" t="b">
        <v>1</v>
      </c>
      <c r="J48" s="322">
        <v>3</v>
      </c>
      <c r="K48" s="323">
        <v>17000</v>
      </c>
      <c r="L48" s="379">
        <f t="shared" si="0"/>
        <v>51000</v>
      </c>
      <c r="M48" s="325" t="s">
        <v>1721</v>
      </c>
    </row>
    <row r="49" spans="1:13" ht="15.75" customHeight="1">
      <c r="A49" s="316" t="s">
        <v>1606</v>
      </c>
      <c r="B49" s="316" t="s">
        <v>1973</v>
      </c>
      <c r="C49" s="316" t="s">
        <v>1973</v>
      </c>
      <c r="D49" s="316" t="s">
        <v>1973</v>
      </c>
      <c r="E49" s="317" t="s">
        <v>1973</v>
      </c>
      <c r="F49" s="318">
        <v>0.7</v>
      </c>
      <c r="G49" s="354" t="s">
        <v>36</v>
      </c>
      <c r="H49" s="320">
        <v>30239.999999999996</v>
      </c>
      <c r="I49" s="321" t="b">
        <v>1</v>
      </c>
      <c r="J49" s="322">
        <v>0.71799999999999997</v>
      </c>
      <c r="K49" s="323" t="s">
        <v>1973</v>
      </c>
      <c r="L49" s="371" t="e">
        <f t="shared" si="0"/>
        <v>#VALUE!</v>
      </c>
      <c r="M49" s="325"/>
    </row>
    <row r="50" spans="1:13" ht="15.75" customHeight="1">
      <c r="A50" s="316" t="s">
        <v>910</v>
      </c>
      <c r="B50" s="316" t="s">
        <v>1973</v>
      </c>
      <c r="C50" s="316" t="s">
        <v>1973</v>
      </c>
      <c r="D50" s="316" t="s">
        <v>1973</v>
      </c>
      <c r="E50" s="317" t="s">
        <v>1973</v>
      </c>
      <c r="F50" s="318">
        <v>6</v>
      </c>
      <c r="G50" s="354" t="s">
        <v>62</v>
      </c>
      <c r="H50" s="320">
        <v>78000</v>
      </c>
      <c r="I50" s="321" t="b">
        <v>1</v>
      </c>
      <c r="J50" s="322">
        <v>4</v>
      </c>
      <c r="K50" s="323" t="s">
        <v>1973</v>
      </c>
      <c r="L50" s="371" t="e">
        <f t="shared" si="0"/>
        <v>#VALUE!</v>
      </c>
      <c r="M50" s="325"/>
    </row>
    <row r="51" spans="1:13" ht="13">
      <c r="A51" s="316" t="s">
        <v>1683</v>
      </c>
      <c r="B51" s="316" t="s">
        <v>1973</v>
      </c>
      <c r="C51" s="316" t="s">
        <v>1973</v>
      </c>
      <c r="D51" s="316" t="s">
        <v>1973</v>
      </c>
      <c r="E51" s="317" t="s">
        <v>1973</v>
      </c>
      <c r="F51" s="318">
        <v>1</v>
      </c>
      <c r="G51" s="354" t="s">
        <v>36</v>
      </c>
      <c r="H51" s="320">
        <v>30000</v>
      </c>
      <c r="I51" s="321" t="b">
        <v>1</v>
      </c>
      <c r="J51" s="322">
        <v>0.40799999999999997</v>
      </c>
      <c r="K51" s="323" t="s">
        <v>1973</v>
      </c>
      <c r="L51" s="370" t="e">
        <f t="shared" si="0"/>
        <v>#VALUE!</v>
      </c>
      <c r="M51" s="325" t="s">
        <v>1722</v>
      </c>
    </row>
    <row r="52" spans="1:13" ht="13">
      <c r="A52" s="316" t="s">
        <v>635</v>
      </c>
      <c r="B52" s="316" t="s">
        <v>1973</v>
      </c>
      <c r="C52" s="316" t="s">
        <v>1973</v>
      </c>
      <c r="D52" s="316" t="s">
        <v>1973</v>
      </c>
      <c r="E52" s="317" t="s">
        <v>1973</v>
      </c>
      <c r="F52" s="318">
        <v>6</v>
      </c>
      <c r="G52" s="354" t="s">
        <v>50</v>
      </c>
      <c r="H52" s="320">
        <v>57000</v>
      </c>
      <c r="I52" s="321" t="b">
        <v>1</v>
      </c>
      <c r="J52" s="322">
        <v>6</v>
      </c>
      <c r="K52" s="323">
        <v>10000</v>
      </c>
      <c r="L52" s="379">
        <f t="shared" si="0"/>
        <v>60000</v>
      </c>
      <c r="M52" s="325" t="s">
        <v>1721</v>
      </c>
    </row>
    <row r="53" spans="1:13" ht="13">
      <c r="A53" s="316" t="s">
        <v>643</v>
      </c>
      <c r="B53" s="316" t="s">
        <v>1973</v>
      </c>
      <c r="C53" s="316" t="s">
        <v>1973</v>
      </c>
      <c r="D53" s="316" t="s">
        <v>1973</v>
      </c>
      <c r="E53" s="317" t="s">
        <v>1973</v>
      </c>
      <c r="F53" s="318">
        <v>1</v>
      </c>
      <c r="G53" s="354" t="s">
        <v>36</v>
      </c>
      <c r="H53" s="320">
        <v>15000</v>
      </c>
      <c r="I53" s="321" t="b">
        <v>1</v>
      </c>
      <c r="J53" s="322">
        <v>1</v>
      </c>
      <c r="K53" s="323" t="s">
        <v>1973</v>
      </c>
      <c r="L53" s="371" t="e">
        <f t="shared" si="0"/>
        <v>#VALUE!</v>
      </c>
      <c r="M53" s="325"/>
    </row>
    <row r="54" spans="1:13" ht="13">
      <c r="A54" s="316" t="s">
        <v>696</v>
      </c>
      <c r="B54" s="316" t="s">
        <v>1973</v>
      </c>
      <c r="C54" s="316" t="s">
        <v>1973</v>
      </c>
      <c r="D54" s="316" t="s">
        <v>1973</v>
      </c>
      <c r="E54" s="317" t="s">
        <v>1973</v>
      </c>
      <c r="F54" s="318">
        <v>4</v>
      </c>
      <c r="G54" s="354" t="s">
        <v>62</v>
      </c>
      <c r="H54" s="320">
        <v>44000</v>
      </c>
      <c r="I54" s="321" t="b">
        <v>1</v>
      </c>
      <c r="J54" s="322"/>
      <c r="K54" s="323" t="s">
        <v>1973</v>
      </c>
      <c r="L54" s="324" t="e">
        <f t="shared" si="0"/>
        <v>#VALUE!</v>
      </c>
      <c r="M54" s="325"/>
    </row>
    <row r="55" spans="1:13" ht="13">
      <c r="A55" s="316" t="s">
        <v>735</v>
      </c>
      <c r="B55" s="316" t="s">
        <v>1973</v>
      </c>
      <c r="C55" s="316" t="s">
        <v>1973</v>
      </c>
      <c r="D55" s="316" t="s">
        <v>1973</v>
      </c>
      <c r="E55" s="317" t="s">
        <v>1973</v>
      </c>
      <c r="F55" s="318">
        <v>1</v>
      </c>
      <c r="G55" s="354" t="s">
        <v>97</v>
      </c>
      <c r="H55" s="320">
        <v>48000</v>
      </c>
      <c r="I55" s="321" t="b">
        <v>1</v>
      </c>
      <c r="J55" s="322">
        <v>1</v>
      </c>
      <c r="K55" s="323" t="s">
        <v>1973</v>
      </c>
      <c r="L55" s="371" t="e">
        <f t="shared" si="0"/>
        <v>#VALUE!</v>
      </c>
      <c r="M55" s="325"/>
    </row>
    <row r="56" spans="1:13" ht="13">
      <c r="A56" s="316" t="s">
        <v>889</v>
      </c>
      <c r="B56" s="316" t="s">
        <v>1973</v>
      </c>
      <c r="C56" s="316" t="s">
        <v>1973</v>
      </c>
      <c r="D56" s="316" t="s">
        <v>1973</v>
      </c>
      <c r="E56" s="317" t="s">
        <v>1973</v>
      </c>
      <c r="F56" s="318">
        <v>1</v>
      </c>
      <c r="G56" s="354" t="s">
        <v>62</v>
      </c>
      <c r="H56" s="320">
        <v>20000</v>
      </c>
      <c r="I56" s="321" t="b">
        <v>1</v>
      </c>
      <c r="J56" s="322">
        <v>1</v>
      </c>
      <c r="K56" s="323" t="s">
        <v>1973</v>
      </c>
      <c r="L56" s="371" t="e">
        <f t="shared" si="0"/>
        <v>#VALUE!</v>
      </c>
      <c r="M56" s="325"/>
    </row>
    <row r="57" spans="1:13" ht="13">
      <c r="A57" s="316" t="s">
        <v>892</v>
      </c>
      <c r="B57" s="316" t="s">
        <v>1973</v>
      </c>
      <c r="C57" s="316" t="s">
        <v>1973</v>
      </c>
      <c r="D57" s="316" t="s">
        <v>1973</v>
      </c>
      <c r="E57" s="317" t="s">
        <v>1973</v>
      </c>
      <c r="F57" s="318">
        <v>2</v>
      </c>
      <c r="G57" s="354" t="s">
        <v>36</v>
      </c>
      <c r="H57" s="320">
        <v>250000</v>
      </c>
      <c r="I57" s="321" t="b">
        <v>1</v>
      </c>
      <c r="J57" s="322">
        <v>2</v>
      </c>
      <c r="K57" s="323" t="s">
        <v>1973</v>
      </c>
      <c r="L57" s="371" t="e">
        <f t="shared" si="0"/>
        <v>#VALUE!</v>
      </c>
      <c r="M57" s="325"/>
    </row>
    <row r="58" spans="1:13" ht="13">
      <c r="A58" s="316" t="s">
        <v>934</v>
      </c>
      <c r="B58" s="316" t="s">
        <v>1973</v>
      </c>
      <c r="C58" s="316" t="s">
        <v>1973</v>
      </c>
      <c r="D58" s="316" t="s">
        <v>1973</v>
      </c>
      <c r="E58" s="317" t="s">
        <v>1973</v>
      </c>
      <c r="F58" s="318">
        <v>4</v>
      </c>
      <c r="G58" s="354" t="s">
        <v>62</v>
      </c>
      <c r="H58" s="320">
        <v>36000</v>
      </c>
      <c r="I58" s="321" t="b">
        <v>1</v>
      </c>
      <c r="J58" s="322">
        <v>4</v>
      </c>
      <c r="K58" s="323" t="s">
        <v>1973</v>
      </c>
      <c r="L58" s="371" t="e">
        <f t="shared" si="0"/>
        <v>#VALUE!</v>
      </c>
      <c r="M58" s="325"/>
    </row>
    <row r="60" spans="1:13" ht="13">
      <c r="F60" s="429">
        <v>44624</v>
      </c>
      <c r="G60" s="428"/>
      <c r="H60" s="424"/>
      <c r="J60" s="429">
        <f>F60+1</f>
        <v>44625</v>
      </c>
      <c r="K60" s="428"/>
      <c r="L60" s="424"/>
    </row>
    <row r="61" spans="1:13" ht="13">
      <c r="F61" s="425" t="s">
        <v>1490</v>
      </c>
      <c r="G61" s="426"/>
      <c r="H61" s="304">
        <f>SUM(H63:H137)</f>
        <v>5760731</v>
      </c>
      <c r="J61" s="425" t="s">
        <v>1491</v>
      </c>
      <c r="K61" s="426"/>
      <c r="L61" s="304" t="e">
        <f>SUM(L63:L137)</f>
        <v>#VALUE!</v>
      </c>
    </row>
    <row r="62" spans="1:13" ht="13">
      <c r="A62" s="2" t="s">
        <v>4</v>
      </c>
      <c r="B62" s="305" t="s">
        <v>5</v>
      </c>
      <c r="C62" s="305" t="s">
        <v>11</v>
      </c>
      <c r="D62" s="305" t="s">
        <v>12</v>
      </c>
      <c r="E62" s="306" t="s">
        <v>6</v>
      </c>
      <c r="F62" s="307" t="s">
        <v>1494</v>
      </c>
      <c r="G62" s="308" t="s">
        <v>10</v>
      </c>
      <c r="H62" s="309" t="s">
        <v>1495</v>
      </c>
      <c r="I62" s="310" t="s">
        <v>1289</v>
      </c>
      <c r="J62" s="311" t="s">
        <v>1496</v>
      </c>
      <c r="K62" s="312" t="s">
        <v>1497</v>
      </c>
      <c r="L62" s="313" t="s">
        <v>1498</v>
      </c>
      <c r="M62" s="314" t="s">
        <v>16</v>
      </c>
    </row>
    <row r="63" spans="1:13" ht="13">
      <c r="A63" s="316" t="s">
        <v>739</v>
      </c>
      <c r="B63" s="316" t="s">
        <v>1973</v>
      </c>
      <c r="C63" s="316" t="s">
        <v>1973</v>
      </c>
      <c r="D63" s="316" t="s">
        <v>1973</v>
      </c>
      <c r="E63" s="317" t="s">
        <v>1973</v>
      </c>
      <c r="F63" s="318">
        <v>1</v>
      </c>
      <c r="G63" s="354" t="s">
        <v>62</v>
      </c>
      <c r="H63" s="320">
        <v>100000</v>
      </c>
      <c r="I63" s="319" t="b">
        <v>0</v>
      </c>
      <c r="J63" s="372"/>
      <c r="K63" s="373" t="s">
        <v>1973</v>
      </c>
      <c r="L63" s="374" t="e">
        <f t="shared" ref="L63:L137" si="1">J63*K63</f>
        <v>#VALUE!</v>
      </c>
      <c r="M63" s="325"/>
    </row>
    <row r="64" spans="1:13" ht="13">
      <c r="A64" s="316" t="s">
        <v>544</v>
      </c>
      <c r="B64" s="316" t="s">
        <v>1973</v>
      </c>
      <c r="C64" s="316" t="s">
        <v>1973</v>
      </c>
      <c r="D64" s="316" t="s">
        <v>1973</v>
      </c>
      <c r="E64" s="317" t="s">
        <v>1973</v>
      </c>
      <c r="F64" s="318">
        <v>5</v>
      </c>
      <c r="G64" s="354" t="s">
        <v>62</v>
      </c>
      <c r="H64" s="320">
        <v>113000</v>
      </c>
      <c r="I64" s="321" t="b">
        <v>1</v>
      </c>
      <c r="J64" s="322">
        <v>5</v>
      </c>
      <c r="K64" s="323" t="s">
        <v>1973</v>
      </c>
      <c r="L64" s="371" t="e">
        <f t="shared" si="1"/>
        <v>#VALUE!</v>
      </c>
      <c r="M64" s="325"/>
    </row>
    <row r="65" spans="1:13" ht="13">
      <c r="A65" s="316" t="s">
        <v>586</v>
      </c>
      <c r="B65" s="316" t="s">
        <v>1973</v>
      </c>
      <c r="C65" s="316" t="s">
        <v>1973</v>
      </c>
      <c r="D65" s="316" t="s">
        <v>1973</v>
      </c>
      <c r="E65" s="317" t="s">
        <v>1973</v>
      </c>
      <c r="F65" s="318">
        <v>4</v>
      </c>
      <c r="G65" s="354" t="s">
        <v>62</v>
      </c>
      <c r="H65" s="320">
        <v>28800</v>
      </c>
      <c r="I65" s="321" t="b">
        <v>1</v>
      </c>
      <c r="J65" s="322">
        <v>4</v>
      </c>
      <c r="K65" s="323" t="s">
        <v>1973</v>
      </c>
      <c r="L65" s="371" t="e">
        <f t="shared" si="1"/>
        <v>#VALUE!</v>
      </c>
      <c r="M65" s="325"/>
    </row>
    <row r="66" spans="1:13" ht="13">
      <c r="A66" s="316" t="s">
        <v>627</v>
      </c>
      <c r="B66" s="316" t="s">
        <v>1973</v>
      </c>
      <c r="C66" s="316" t="s">
        <v>1973</v>
      </c>
      <c r="D66" s="316" t="s">
        <v>1973</v>
      </c>
      <c r="E66" s="317" t="s">
        <v>1973</v>
      </c>
      <c r="F66" s="318">
        <v>1</v>
      </c>
      <c r="G66" s="354" t="s">
        <v>36</v>
      </c>
      <c r="H66" s="320">
        <v>37900</v>
      </c>
      <c r="I66" s="321" t="b">
        <v>1</v>
      </c>
      <c r="J66" s="322">
        <v>1.01</v>
      </c>
      <c r="K66" s="323">
        <v>33200</v>
      </c>
      <c r="L66" s="371">
        <f t="shared" si="1"/>
        <v>33532</v>
      </c>
      <c r="M66" s="325"/>
    </row>
    <row r="67" spans="1:13" ht="13">
      <c r="A67" s="316" t="s">
        <v>1598</v>
      </c>
      <c r="B67" s="316" t="s">
        <v>1973</v>
      </c>
      <c r="C67" s="316" t="s">
        <v>1973</v>
      </c>
      <c r="D67" s="316" t="s">
        <v>1973</v>
      </c>
      <c r="E67" s="317" t="s">
        <v>1973</v>
      </c>
      <c r="F67" s="318">
        <v>3</v>
      </c>
      <c r="G67" s="354" t="s">
        <v>97</v>
      </c>
      <c r="H67" s="320">
        <v>31200</v>
      </c>
      <c r="I67" s="321" t="b">
        <v>1</v>
      </c>
      <c r="J67" s="322">
        <v>2</v>
      </c>
      <c r="K67" s="323">
        <v>17600</v>
      </c>
      <c r="L67" s="379">
        <f t="shared" si="1"/>
        <v>35200</v>
      </c>
      <c r="M67" s="325"/>
    </row>
    <row r="68" spans="1:13" ht="13">
      <c r="A68" s="316" t="s">
        <v>770</v>
      </c>
      <c r="B68" s="316" t="s">
        <v>1973</v>
      </c>
      <c r="C68" s="316" t="s">
        <v>1973</v>
      </c>
      <c r="D68" s="316" t="s">
        <v>1973</v>
      </c>
      <c r="E68" s="317" t="s">
        <v>1973</v>
      </c>
      <c r="F68" s="318">
        <v>1</v>
      </c>
      <c r="G68" s="354" t="s">
        <v>97</v>
      </c>
      <c r="H68" s="320">
        <v>24400</v>
      </c>
      <c r="I68" s="321" t="b">
        <v>1</v>
      </c>
      <c r="J68" s="322">
        <v>1</v>
      </c>
      <c r="K68" s="323">
        <v>25000</v>
      </c>
      <c r="L68" s="379">
        <f t="shared" si="1"/>
        <v>25000</v>
      </c>
      <c r="M68" s="325"/>
    </row>
    <row r="69" spans="1:13" ht="13">
      <c r="A69" s="316" t="s">
        <v>782</v>
      </c>
      <c r="B69" s="316" t="s">
        <v>1973</v>
      </c>
      <c r="C69" s="316" t="s">
        <v>1973</v>
      </c>
      <c r="D69" s="316" t="s">
        <v>1973</v>
      </c>
      <c r="E69" s="317" t="s">
        <v>1973</v>
      </c>
      <c r="F69" s="318">
        <v>2</v>
      </c>
      <c r="G69" s="354" t="s">
        <v>62</v>
      </c>
      <c r="H69" s="320">
        <v>24000</v>
      </c>
      <c r="I69" s="321" t="b">
        <v>1</v>
      </c>
      <c r="J69" s="322">
        <v>2</v>
      </c>
      <c r="K69" s="323" t="e">
        <f>VLOOKUP($A69,'[1]Database Bahan &amp; Alat (Terupdat'!$B$50:$N$232,6,FALSE)</f>
        <v>#N/A</v>
      </c>
      <c r="L69" s="371" t="e">
        <f t="shared" si="1"/>
        <v>#N/A</v>
      </c>
      <c r="M69" s="325"/>
    </row>
    <row r="70" spans="1:13" ht="13">
      <c r="A70" s="316" t="s">
        <v>1670</v>
      </c>
      <c r="B70" s="316" t="s">
        <v>1973</v>
      </c>
      <c r="C70" s="316" t="s">
        <v>1973</v>
      </c>
      <c r="D70" s="316" t="s">
        <v>1973</v>
      </c>
      <c r="E70" s="317" t="s">
        <v>1973</v>
      </c>
      <c r="F70" s="318">
        <v>1</v>
      </c>
      <c r="G70" s="354" t="s">
        <v>62</v>
      </c>
      <c r="H70" s="320">
        <v>11500</v>
      </c>
      <c r="I70" s="321" t="b">
        <v>1</v>
      </c>
      <c r="J70" s="322">
        <v>1</v>
      </c>
      <c r="K70" s="323">
        <v>9800</v>
      </c>
      <c r="L70" s="371">
        <f t="shared" si="1"/>
        <v>9800</v>
      </c>
      <c r="M70" s="325"/>
    </row>
    <row r="71" spans="1:13" ht="13">
      <c r="A71" s="316" t="s">
        <v>1607</v>
      </c>
      <c r="B71" s="316" t="s">
        <v>1973</v>
      </c>
      <c r="C71" s="316" t="s">
        <v>1973</v>
      </c>
      <c r="D71" s="316" t="s">
        <v>1973</v>
      </c>
      <c r="E71" s="317" t="s">
        <v>1973</v>
      </c>
      <c r="F71" s="318">
        <v>1</v>
      </c>
      <c r="G71" s="354" t="s">
        <v>62</v>
      </c>
      <c r="H71" s="320">
        <v>11500</v>
      </c>
      <c r="I71" s="321" t="b">
        <v>1</v>
      </c>
      <c r="J71" s="322">
        <v>1</v>
      </c>
      <c r="K71" s="323">
        <v>9310</v>
      </c>
      <c r="L71" s="380">
        <f t="shared" si="1"/>
        <v>9310</v>
      </c>
      <c r="M71" s="325"/>
    </row>
    <row r="72" spans="1:13" ht="13">
      <c r="A72" s="316" t="s">
        <v>919</v>
      </c>
      <c r="B72" s="316" t="s">
        <v>1973</v>
      </c>
      <c r="C72" s="316" t="s">
        <v>1973</v>
      </c>
      <c r="D72" s="316" t="s">
        <v>1973</v>
      </c>
      <c r="E72" s="317" t="s">
        <v>1973</v>
      </c>
      <c r="F72" s="318">
        <v>3</v>
      </c>
      <c r="G72" s="354" t="s">
        <v>62</v>
      </c>
      <c r="H72" s="320">
        <v>26400</v>
      </c>
      <c r="I72" s="321" t="b">
        <v>1</v>
      </c>
      <c r="J72" s="322">
        <v>3</v>
      </c>
      <c r="K72" s="323" t="s">
        <v>1973</v>
      </c>
      <c r="L72" s="371" t="e">
        <f t="shared" si="1"/>
        <v>#VALUE!</v>
      </c>
      <c r="M72" s="325"/>
    </row>
    <row r="73" spans="1:13" ht="13">
      <c r="A73" s="316" t="s">
        <v>937</v>
      </c>
      <c r="B73" s="316" t="s">
        <v>1973</v>
      </c>
      <c r="C73" s="316" t="s">
        <v>1973</v>
      </c>
      <c r="D73" s="316" t="s">
        <v>1973</v>
      </c>
      <c r="E73" s="317" t="s">
        <v>1973</v>
      </c>
      <c r="F73" s="318">
        <v>2</v>
      </c>
      <c r="G73" s="354" t="s">
        <v>62</v>
      </c>
      <c r="H73" s="320">
        <v>14400</v>
      </c>
      <c r="I73" s="319" t="b">
        <v>0</v>
      </c>
      <c r="J73" s="372"/>
      <c r="K73" s="373" t="s">
        <v>1973</v>
      </c>
      <c r="L73" s="374" t="e">
        <f t="shared" si="1"/>
        <v>#VALUE!</v>
      </c>
      <c r="M73" s="325"/>
    </row>
    <row r="74" spans="1:13" ht="13">
      <c r="A74" s="316" t="s">
        <v>1041</v>
      </c>
      <c r="B74" s="316" t="s">
        <v>1973</v>
      </c>
      <c r="C74" s="316" t="s">
        <v>1973</v>
      </c>
      <c r="D74" s="316" t="s">
        <v>1973</v>
      </c>
      <c r="E74" s="317" t="s">
        <v>1973</v>
      </c>
      <c r="F74" s="318">
        <v>1</v>
      </c>
      <c r="G74" s="354" t="s">
        <v>62</v>
      </c>
      <c r="H74" s="320">
        <v>12800</v>
      </c>
      <c r="I74" s="319" t="b">
        <v>0</v>
      </c>
      <c r="J74" s="372"/>
      <c r="K74" s="373" t="s">
        <v>1973</v>
      </c>
      <c r="L74" s="374" t="e">
        <f t="shared" si="1"/>
        <v>#VALUE!</v>
      </c>
      <c r="M74" s="325"/>
    </row>
    <row r="75" spans="1:13" ht="13">
      <c r="A75" s="18" t="s">
        <v>1609</v>
      </c>
      <c r="B75" s="316" t="s">
        <v>1973</v>
      </c>
      <c r="C75" s="316" t="s">
        <v>1973</v>
      </c>
      <c r="D75" s="316" t="s">
        <v>1973</v>
      </c>
      <c r="E75" s="317" t="s">
        <v>1973</v>
      </c>
      <c r="F75" s="318">
        <v>8</v>
      </c>
      <c r="G75" s="354" t="s">
        <v>36</v>
      </c>
      <c r="H75" s="320">
        <v>160000</v>
      </c>
      <c r="I75" s="321" t="b">
        <v>1</v>
      </c>
      <c r="J75" s="322">
        <v>8</v>
      </c>
      <c r="K75" s="323" t="s">
        <v>1973</v>
      </c>
      <c r="L75" s="371" t="e">
        <f t="shared" si="1"/>
        <v>#VALUE!</v>
      </c>
      <c r="M75" s="325"/>
    </row>
    <row r="76" spans="1:13" ht="13">
      <c r="A76" s="316" t="s">
        <v>1503</v>
      </c>
      <c r="B76" s="316" t="s">
        <v>1973</v>
      </c>
      <c r="C76" s="316" t="s">
        <v>1973</v>
      </c>
      <c r="D76" s="316" t="s">
        <v>1973</v>
      </c>
      <c r="E76" s="317" t="s">
        <v>1973</v>
      </c>
      <c r="F76" s="318">
        <v>1</v>
      </c>
      <c r="G76" s="354" t="s">
        <v>97</v>
      </c>
      <c r="H76" s="320">
        <v>134200</v>
      </c>
      <c r="I76" s="319" t="b">
        <v>0</v>
      </c>
      <c r="J76" s="372"/>
      <c r="K76" s="373" t="s">
        <v>1973</v>
      </c>
      <c r="L76" s="374" t="e">
        <f t="shared" si="1"/>
        <v>#VALUE!</v>
      </c>
      <c r="M76" s="325"/>
    </row>
    <row r="77" spans="1:13" ht="13">
      <c r="A77" s="316" t="s">
        <v>1505</v>
      </c>
      <c r="B77" s="316" t="s">
        <v>1973</v>
      </c>
      <c r="C77" s="316" t="s">
        <v>1973</v>
      </c>
      <c r="D77" s="316" t="s">
        <v>1973</v>
      </c>
      <c r="E77" s="317" t="s">
        <v>1973</v>
      </c>
      <c r="F77" s="318">
        <v>1</v>
      </c>
      <c r="G77" s="354" t="s">
        <v>97</v>
      </c>
      <c r="H77" s="320">
        <v>128700</v>
      </c>
      <c r="I77" s="319" t="b">
        <v>0</v>
      </c>
      <c r="J77" s="372"/>
      <c r="K77" s="373" t="s">
        <v>1973</v>
      </c>
      <c r="L77" s="374" t="e">
        <f t="shared" si="1"/>
        <v>#VALUE!</v>
      </c>
      <c r="M77" s="325"/>
    </row>
    <row r="78" spans="1:13" ht="13">
      <c r="A78" s="316" t="s">
        <v>976</v>
      </c>
      <c r="B78" s="316" t="s">
        <v>1973</v>
      </c>
      <c r="C78" s="316" t="s">
        <v>1973</v>
      </c>
      <c r="D78" s="316" t="s">
        <v>1973</v>
      </c>
      <c r="E78" s="317" t="s">
        <v>1973</v>
      </c>
      <c r="F78" s="318">
        <v>2</v>
      </c>
      <c r="G78" s="354" t="s">
        <v>62</v>
      </c>
      <c r="H78" s="320">
        <v>50000</v>
      </c>
      <c r="I78" s="321" t="b">
        <v>1</v>
      </c>
      <c r="J78" s="322">
        <v>2</v>
      </c>
      <c r="K78" s="323" t="s">
        <v>1973</v>
      </c>
      <c r="L78" s="371" t="e">
        <f t="shared" si="1"/>
        <v>#VALUE!</v>
      </c>
      <c r="M78" s="325"/>
    </row>
    <row r="79" spans="1:13" ht="13">
      <c r="A79" s="316" t="s">
        <v>1696</v>
      </c>
      <c r="B79" s="316" t="s">
        <v>1973</v>
      </c>
      <c r="C79" s="316" t="s">
        <v>1973</v>
      </c>
      <c r="D79" s="316" t="s">
        <v>1973</v>
      </c>
      <c r="E79" s="317" t="s">
        <v>1973</v>
      </c>
      <c r="F79" s="318">
        <v>1</v>
      </c>
      <c r="G79" s="354" t="s">
        <v>62</v>
      </c>
      <c r="H79" s="320">
        <v>15000</v>
      </c>
      <c r="I79" s="321" t="b">
        <v>1</v>
      </c>
      <c r="J79" s="322">
        <v>1</v>
      </c>
      <c r="K79" s="323" t="s">
        <v>1973</v>
      </c>
      <c r="L79" s="371" t="e">
        <f t="shared" si="1"/>
        <v>#VALUE!</v>
      </c>
      <c r="M79" s="325"/>
    </row>
    <row r="80" spans="1:13" ht="13">
      <c r="A80" s="316" t="s">
        <v>1697</v>
      </c>
      <c r="B80" s="316" t="s">
        <v>1973</v>
      </c>
      <c r="C80" s="316" t="s">
        <v>1973</v>
      </c>
      <c r="D80" s="316" t="s">
        <v>1973</v>
      </c>
      <c r="E80" s="317" t="s">
        <v>1973</v>
      </c>
      <c r="F80" s="318">
        <v>1</v>
      </c>
      <c r="G80" s="354" t="s">
        <v>62</v>
      </c>
      <c r="H80" s="320">
        <v>12500</v>
      </c>
      <c r="I80" s="321" t="b">
        <v>1</v>
      </c>
      <c r="J80" s="322">
        <v>1</v>
      </c>
      <c r="K80" s="323" t="s">
        <v>1973</v>
      </c>
      <c r="L80" s="371" t="e">
        <f t="shared" si="1"/>
        <v>#VALUE!</v>
      </c>
      <c r="M80" s="325"/>
    </row>
    <row r="81" spans="1:13" ht="13">
      <c r="A81" s="18" t="s">
        <v>1096</v>
      </c>
      <c r="B81" s="316" t="s">
        <v>1973</v>
      </c>
      <c r="C81" s="316" t="s">
        <v>1973</v>
      </c>
      <c r="D81" s="316" t="s">
        <v>1973</v>
      </c>
      <c r="E81" s="317" t="s">
        <v>1973</v>
      </c>
      <c r="F81" s="318">
        <v>1</v>
      </c>
      <c r="G81" s="354" t="s">
        <v>62</v>
      </c>
      <c r="H81" s="320">
        <v>9100</v>
      </c>
      <c r="I81" s="321" t="b">
        <v>1</v>
      </c>
      <c r="J81" s="322">
        <v>1</v>
      </c>
      <c r="K81" s="323" t="s">
        <v>1973</v>
      </c>
      <c r="L81" s="371" t="e">
        <f t="shared" si="1"/>
        <v>#VALUE!</v>
      </c>
      <c r="M81" s="325"/>
    </row>
    <row r="82" spans="1:13" ht="13">
      <c r="A82" s="316" t="s">
        <v>631</v>
      </c>
      <c r="B82" s="316" t="s">
        <v>1973</v>
      </c>
      <c r="C82" s="316" t="s">
        <v>1973</v>
      </c>
      <c r="D82" s="316" t="s">
        <v>1973</v>
      </c>
      <c r="E82" s="317" t="s">
        <v>1973</v>
      </c>
      <c r="F82" s="318">
        <v>1</v>
      </c>
      <c r="G82" s="354" t="s">
        <v>36</v>
      </c>
      <c r="H82" s="320">
        <v>16000</v>
      </c>
      <c r="I82" s="321" t="b">
        <v>1</v>
      </c>
      <c r="J82" s="322">
        <v>1</v>
      </c>
      <c r="K82" s="323">
        <v>15000</v>
      </c>
      <c r="L82" s="380">
        <f t="shared" si="1"/>
        <v>15000</v>
      </c>
      <c r="M82" s="325" t="s">
        <v>1723</v>
      </c>
    </row>
    <row r="83" spans="1:13" ht="13">
      <c r="A83" s="316" t="s">
        <v>639</v>
      </c>
      <c r="B83" s="316" t="s">
        <v>1973</v>
      </c>
      <c r="C83" s="316" t="s">
        <v>1973</v>
      </c>
      <c r="D83" s="316" t="s">
        <v>1973</v>
      </c>
      <c r="E83" s="317" t="s">
        <v>1973</v>
      </c>
      <c r="F83" s="318">
        <v>1</v>
      </c>
      <c r="G83" s="354" t="s">
        <v>36</v>
      </c>
      <c r="H83" s="320">
        <v>125000</v>
      </c>
      <c r="I83" s="321" t="b">
        <v>1</v>
      </c>
      <c r="J83" s="322">
        <v>1</v>
      </c>
      <c r="K83" s="323" t="e">
        <f>VLOOKUP($A83,'[1]Database Bahan &amp; Alat (Terupdat'!$B$50:$N$232,6,FALSE)</f>
        <v>#N/A</v>
      </c>
      <c r="L83" s="371" t="e">
        <f t="shared" si="1"/>
        <v>#N/A</v>
      </c>
      <c r="M83" s="325"/>
    </row>
    <row r="84" spans="1:13" ht="13">
      <c r="A84" s="316" t="s">
        <v>1610</v>
      </c>
      <c r="B84" s="316" t="s">
        <v>1973</v>
      </c>
      <c r="C84" s="316" t="s">
        <v>1973</v>
      </c>
      <c r="D84" s="316" t="s">
        <v>1973</v>
      </c>
      <c r="E84" s="317" t="s">
        <v>1973</v>
      </c>
      <c r="F84" s="318">
        <v>2</v>
      </c>
      <c r="G84" s="354" t="s">
        <v>36</v>
      </c>
      <c r="H84" s="320">
        <v>20000</v>
      </c>
      <c r="I84" s="321" t="b">
        <v>1</v>
      </c>
      <c r="J84" s="322">
        <v>2</v>
      </c>
      <c r="K84" s="323">
        <v>9000</v>
      </c>
      <c r="L84" s="380">
        <f t="shared" si="1"/>
        <v>18000</v>
      </c>
      <c r="M84" s="325" t="s">
        <v>1724</v>
      </c>
    </row>
    <row r="85" spans="1:13" ht="13">
      <c r="A85" s="316" t="s">
        <v>1611</v>
      </c>
      <c r="B85" s="316" t="s">
        <v>1973</v>
      </c>
      <c r="C85" s="316" t="s">
        <v>1973</v>
      </c>
      <c r="D85" s="316" t="s">
        <v>1973</v>
      </c>
      <c r="E85" s="317" t="s">
        <v>1973</v>
      </c>
      <c r="F85" s="318">
        <v>3</v>
      </c>
      <c r="G85" s="354" t="s">
        <v>36</v>
      </c>
      <c r="H85" s="320">
        <v>150000</v>
      </c>
      <c r="I85" s="321" t="b">
        <v>1</v>
      </c>
      <c r="J85" s="322">
        <v>3</v>
      </c>
      <c r="K85" s="323">
        <v>44000</v>
      </c>
      <c r="L85" s="380">
        <f t="shared" si="1"/>
        <v>132000</v>
      </c>
      <c r="M85" s="325" t="s">
        <v>1712</v>
      </c>
    </row>
    <row r="86" spans="1:13" ht="13">
      <c r="A86" s="316" t="s">
        <v>1698</v>
      </c>
      <c r="B86" s="316" t="s">
        <v>1973</v>
      </c>
      <c r="C86" s="316" t="s">
        <v>1973</v>
      </c>
      <c r="D86" s="316" t="s">
        <v>1973</v>
      </c>
      <c r="E86" s="317" t="s">
        <v>1973</v>
      </c>
      <c r="F86" s="318">
        <v>2</v>
      </c>
      <c r="G86" s="354" t="s">
        <v>36</v>
      </c>
      <c r="H86" s="320">
        <v>74000</v>
      </c>
      <c r="I86" s="321" t="b">
        <v>1</v>
      </c>
      <c r="J86" s="322">
        <v>2</v>
      </c>
      <c r="K86" s="323">
        <v>32000</v>
      </c>
      <c r="L86" s="380">
        <f t="shared" si="1"/>
        <v>64000</v>
      </c>
      <c r="M86" s="325" t="s">
        <v>1725</v>
      </c>
    </row>
    <row r="87" spans="1:13" ht="13">
      <c r="A87" s="316" t="s">
        <v>675</v>
      </c>
      <c r="B87" s="316" t="s">
        <v>1973</v>
      </c>
      <c r="C87" s="316" t="s">
        <v>1973</v>
      </c>
      <c r="D87" s="316" t="s">
        <v>1973</v>
      </c>
      <c r="E87" s="317" t="s">
        <v>1973</v>
      </c>
      <c r="F87" s="318">
        <v>20</v>
      </c>
      <c r="G87" s="354" t="s">
        <v>62</v>
      </c>
      <c r="H87" s="320">
        <v>90000</v>
      </c>
      <c r="I87" s="321" t="b">
        <v>1</v>
      </c>
      <c r="J87" s="322">
        <v>20</v>
      </c>
      <c r="K87" s="323" t="s">
        <v>1973</v>
      </c>
      <c r="L87" s="371" t="e">
        <f t="shared" si="1"/>
        <v>#VALUE!</v>
      </c>
      <c r="M87" s="325"/>
    </row>
    <row r="88" spans="1:13" ht="13">
      <c r="A88" s="316" t="s">
        <v>732</v>
      </c>
      <c r="B88" s="316" t="s">
        <v>1973</v>
      </c>
      <c r="C88" s="316" t="s">
        <v>1973</v>
      </c>
      <c r="D88" s="316" t="s">
        <v>1973</v>
      </c>
      <c r="E88" s="317" t="s">
        <v>1973</v>
      </c>
      <c r="F88" s="318">
        <v>1.5</v>
      </c>
      <c r="G88" s="354" t="s">
        <v>36</v>
      </c>
      <c r="H88" s="320">
        <v>39000</v>
      </c>
      <c r="I88" s="321" t="b">
        <v>1</v>
      </c>
      <c r="J88" s="322">
        <v>1.5</v>
      </c>
      <c r="K88" s="323" t="s">
        <v>1973</v>
      </c>
      <c r="L88" s="371" t="e">
        <f t="shared" si="1"/>
        <v>#VALUE!</v>
      </c>
      <c r="M88" s="325"/>
    </row>
    <row r="89" spans="1:13" ht="13">
      <c r="A89" s="316" t="s">
        <v>744</v>
      </c>
      <c r="B89" s="316" t="s">
        <v>1973</v>
      </c>
      <c r="C89" s="316" t="s">
        <v>1973</v>
      </c>
      <c r="D89" s="316" t="s">
        <v>1973</v>
      </c>
      <c r="E89" s="317" t="s">
        <v>1973</v>
      </c>
      <c r="F89" s="318">
        <v>0.5</v>
      </c>
      <c r="G89" s="354" t="s">
        <v>36</v>
      </c>
      <c r="H89" s="320">
        <v>35000</v>
      </c>
      <c r="I89" s="321" t="b">
        <v>1</v>
      </c>
      <c r="J89" s="322">
        <v>0.5</v>
      </c>
      <c r="K89" s="323" t="s">
        <v>1973</v>
      </c>
      <c r="L89" s="371" t="e">
        <f t="shared" si="1"/>
        <v>#VALUE!</v>
      </c>
      <c r="M89" s="325"/>
    </row>
    <row r="90" spans="1:13" ht="13">
      <c r="A90" s="316" t="s">
        <v>752</v>
      </c>
      <c r="B90" s="316" t="s">
        <v>1973</v>
      </c>
      <c r="C90" s="316" t="s">
        <v>1973</v>
      </c>
      <c r="D90" s="316" t="s">
        <v>1973</v>
      </c>
      <c r="E90" s="317" t="s">
        <v>1973</v>
      </c>
      <c r="F90" s="318">
        <v>1</v>
      </c>
      <c r="G90" s="354" t="s">
        <v>62</v>
      </c>
      <c r="H90" s="320">
        <v>36000</v>
      </c>
      <c r="I90" s="321" t="b">
        <v>1</v>
      </c>
      <c r="J90" s="322">
        <v>1</v>
      </c>
      <c r="K90" s="323" t="s">
        <v>1973</v>
      </c>
      <c r="L90" s="371" t="e">
        <f t="shared" si="1"/>
        <v>#VALUE!</v>
      </c>
      <c r="M90" s="325"/>
    </row>
    <row r="91" spans="1:13" ht="13">
      <c r="A91" s="316" t="s">
        <v>764</v>
      </c>
      <c r="B91" s="316" t="s">
        <v>1973</v>
      </c>
      <c r="C91" s="316" t="s">
        <v>1973</v>
      </c>
      <c r="D91" s="316" t="s">
        <v>1973</v>
      </c>
      <c r="E91" s="317" t="s">
        <v>1973</v>
      </c>
      <c r="F91" s="318">
        <v>1</v>
      </c>
      <c r="G91" s="354" t="s">
        <v>62</v>
      </c>
      <c r="H91" s="320">
        <v>2500</v>
      </c>
      <c r="I91" s="321" t="b">
        <v>1</v>
      </c>
      <c r="J91" s="322">
        <v>1</v>
      </c>
      <c r="K91" s="323">
        <v>2000</v>
      </c>
      <c r="L91" s="380">
        <f t="shared" si="1"/>
        <v>2000</v>
      </c>
      <c r="M91" s="325" t="s">
        <v>1719</v>
      </c>
    </row>
    <row r="92" spans="1:13" ht="13">
      <c r="A92" s="316" t="s">
        <v>767</v>
      </c>
      <c r="B92" s="316" t="s">
        <v>1973</v>
      </c>
      <c r="C92" s="316" t="s">
        <v>1973</v>
      </c>
      <c r="D92" s="316" t="s">
        <v>1973</v>
      </c>
      <c r="E92" s="317" t="s">
        <v>1973</v>
      </c>
      <c r="F92" s="318">
        <v>5</v>
      </c>
      <c r="G92" s="354" t="s">
        <v>62</v>
      </c>
      <c r="H92" s="320">
        <v>100000</v>
      </c>
      <c r="I92" s="321" t="b">
        <v>1</v>
      </c>
      <c r="J92" s="322">
        <v>5</v>
      </c>
      <c r="K92" s="323">
        <v>21000</v>
      </c>
      <c r="L92" s="379">
        <f t="shared" si="1"/>
        <v>105000</v>
      </c>
      <c r="M92" s="325" t="s">
        <v>1726</v>
      </c>
    </row>
    <row r="93" spans="1:13" ht="13">
      <c r="A93" s="316" t="s">
        <v>1700</v>
      </c>
      <c r="B93" s="316" t="s">
        <v>1973</v>
      </c>
      <c r="C93" s="316" t="s">
        <v>1973</v>
      </c>
      <c r="D93" s="316" t="s">
        <v>1973</v>
      </c>
      <c r="E93" s="317" t="s">
        <v>1973</v>
      </c>
      <c r="F93" s="318">
        <v>8</v>
      </c>
      <c r="G93" s="354" t="s">
        <v>62</v>
      </c>
      <c r="H93" s="320">
        <v>120000</v>
      </c>
      <c r="I93" s="321" t="b">
        <v>1</v>
      </c>
      <c r="J93" s="322">
        <v>8</v>
      </c>
      <c r="K93" s="323">
        <v>16000</v>
      </c>
      <c r="L93" s="379">
        <f t="shared" si="1"/>
        <v>128000</v>
      </c>
      <c r="M93" s="325" t="s">
        <v>1727</v>
      </c>
    </row>
    <row r="94" spans="1:13" ht="13">
      <c r="A94" s="316" t="s">
        <v>1601</v>
      </c>
      <c r="B94" s="316" t="s">
        <v>1973</v>
      </c>
      <c r="C94" s="316" t="s">
        <v>1973</v>
      </c>
      <c r="D94" s="316" t="s">
        <v>1973</v>
      </c>
      <c r="E94" s="317" t="s">
        <v>1973</v>
      </c>
      <c r="F94" s="318">
        <v>2</v>
      </c>
      <c r="G94" s="354" t="s">
        <v>97</v>
      </c>
      <c r="H94" s="320">
        <v>42000</v>
      </c>
      <c r="I94" s="321" t="b">
        <v>1</v>
      </c>
      <c r="J94" s="322">
        <v>2</v>
      </c>
      <c r="K94" s="323" t="s">
        <v>1973</v>
      </c>
      <c r="L94" s="371" t="e">
        <f t="shared" si="1"/>
        <v>#VALUE!</v>
      </c>
      <c r="M94" s="325"/>
    </row>
    <row r="95" spans="1:13" ht="13">
      <c r="A95" s="316" t="s">
        <v>795</v>
      </c>
      <c r="B95" s="316" t="s">
        <v>1973</v>
      </c>
      <c r="C95" s="316" t="s">
        <v>1973</v>
      </c>
      <c r="D95" s="316" t="s">
        <v>1973</v>
      </c>
      <c r="E95" s="317" t="s">
        <v>1973</v>
      </c>
      <c r="F95" s="318">
        <v>5</v>
      </c>
      <c r="G95" s="354" t="s">
        <v>62</v>
      </c>
      <c r="H95" s="320">
        <v>25000</v>
      </c>
      <c r="I95" s="321" t="b">
        <v>1</v>
      </c>
      <c r="J95" s="322">
        <v>5</v>
      </c>
      <c r="K95" s="323" t="s">
        <v>1973</v>
      </c>
      <c r="L95" s="371" t="e">
        <f t="shared" si="1"/>
        <v>#VALUE!</v>
      </c>
      <c r="M95" s="325"/>
    </row>
    <row r="96" spans="1:13" ht="13">
      <c r="A96" s="316" t="s">
        <v>799</v>
      </c>
      <c r="B96" s="316" t="s">
        <v>1973</v>
      </c>
      <c r="C96" s="316" t="s">
        <v>1973</v>
      </c>
      <c r="D96" s="316" t="s">
        <v>1973</v>
      </c>
      <c r="E96" s="317" t="s">
        <v>1973</v>
      </c>
      <c r="F96" s="318">
        <v>0.25</v>
      </c>
      <c r="G96" s="354" t="s">
        <v>36</v>
      </c>
      <c r="H96" s="320">
        <v>37500</v>
      </c>
      <c r="I96" s="321" t="b">
        <v>1</v>
      </c>
      <c r="J96" s="322">
        <v>0.25</v>
      </c>
      <c r="K96" s="323">
        <v>140000</v>
      </c>
      <c r="L96" s="380">
        <f t="shared" si="1"/>
        <v>35000</v>
      </c>
      <c r="M96" s="325" t="s">
        <v>1728</v>
      </c>
    </row>
    <row r="97" spans="1:13" ht="13">
      <c r="A97" s="316" t="s">
        <v>819</v>
      </c>
      <c r="B97" s="316" t="s">
        <v>1973</v>
      </c>
      <c r="C97" s="316" t="s">
        <v>1973</v>
      </c>
      <c r="D97" s="316" t="s">
        <v>1973</v>
      </c>
      <c r="E97" s="317" t="s">
        <v>1973</v>
      </c>
      <c r="F97" s="318">
        <v>0.1</v>
      </c>
      <c r="G97" s="354" t="s">
        <v>36</v>
      </c>
      <c r="H97" s="320">
        <v>2000</v>
      </c>
      <c r="I97" s="321" t="b">
        <v>1</v>
      </c>
      <c r="J97" s="322">
        <v>0.2</v>
      </c>
      <c r="K97" s="323" t="s">
        <v>1973</v>
      </c>
      <c r="L97" s="371" t="e">
        <f t="shared" si="1"/>
        <v>#VALUE!</v>
      </c>
      <c r="M97" s="325"/>
    </row>
    <row r="98" spans="1:13" ht="13">
      <c r="A98" s="316" t="s">
        <v>827</v>
      </c>
      <c r="B98" s="316" t="s">
        <v>1973</v>
      </c>
      <c r="C98" s="316" t="s">
        <v>1973</v>
      </c>
      <c r="D98" s="316" t="s">
        <v>1973</v>
      </c>
      <c r="E98" s="317" t="s">
        <v>1973</v>
      </c>
      <c r="F98" s="318">
        <v>0.5</v>
      </c>
      <c r="G98" s="354" t="s">
        <v>36</v>
      </c>
      <c r="H98" s="320">
        <v>4000</v>
      </c>
      <c r="I98" s="321" t="b">
        <v>1</v>
      </c>
      <c r="J98" s="322">
        <v>0.5</v>
      </c>
      <c r="K98" s="323" t="s">
        <v>1973</v>
      </c>
      <c r="L98" s="371" t="e">
        <f t="shared" si="1"/>
        <v>#VALUE!</v>
      </c>
      <c r="M98" s="325"/>
    </row>
    <row r="99" spans="1:13" ht="13">
      <c r="A99" s="316" t="s">
        <v>1701</v>
      </c>
      <c r="B99" s="316" t="s">
        <v>1973</v>
      </c>
      <c r="C99" s="316" t="s">
        <v>1973</v>
      </c>
      <c r="D99" s="316" t="s">
        <v>1973</v>
      </c>
      <c r="E99" s="317" t="s">
        <v>1973</v>
      </c>
      <c r="F99" s="318">
        <v>1</v>
      </c>
      <c r="G99" s="354" t="s">
        <v>36</v>
      </c>
      <c r="H99" s="320">
        <v>18000</v>
      </c>
      <c r="I99" s="321" t="b">
        <v>1</v>
      </c>
      <c r="J99" s="322">
        <v>1</v>
      </c>
      <c r="K99" s="323" t="s">
        <v>1973</v>
      </c>
      <c r="L99" s="371" t="e">
        <f t="shared" si="1"/>
        <v>#VALUE!</v>
      </c>
      <c r="M99" s="325"/>
    </row>
    <row r="100" spans="1:13" ht="13">
      <c r="A100" s="316" t="s">
        <v>1702</v>
      </c>
      <c r="B100" s="316" t="s">
        <v>1973</v>
      </c>
      <c r="C100" s="316" t="s">
        <v>1973</v>
      </c>
      <c r="D100" s="316" t="s">
        <v>1973</v>
      </c>
      <c r="E100" s="317" t="s">
        <v>1973</v>
      </c>
      <c r="F100" s="318">
        <v>0.25</v>
      </c>
      <c r="G100" s="354" t="s">
        <v>36</v>
      </c>
      <c r="H100" s="320">
        <v>30000</v>
      </c>
      <c r="I100" s="321" t="b">
        <v>1</v>
      </c>
      <c r="J100" s="322">
        <v>0.25</v>
      </c>
      <c r="K100" s="323">
        <v>140000</v>
      </c>
      <c r="L100" s="379">
        <f t="shared" si="1"/>
        <v>35000</v>
      </c>
      <c r="M100" s="325" t="s">
        <v>1726</v>
      </c>
    </row>
    <row r="101" spans="1:13" ht="13">
      <c r="A101" s="316" t="s">
        <v>1608</v>
      </c>
      <c r="B101" s="316" t="s">
        <v>1973</v>
      </c>
      <c r="C101" s="316" t="s">
        <v>1973</v>
      </c>
      <c r="D101" s="316" t="s">
        <v>1973</v>
      </c>
      <c r="E101" s="317" t="s">
        <v>1973</v>
      </c>
      <c r="F101" s="318">
        <v>1</v>
      </c>
      <c r="G101" s="354" t="s">
        <v>36</v>
      </c>
      <c r="H101" s="320">
        <v>69000</v>
      </c>
      <c r="I101" s="321" t="b">
        <v>1</v>
      </c>
      <c r="J101" s="322">
        <v>1</v>
      </c>
      <c r="K101" s="323">
        <v>54000</v>
      </c>
      <c r="L101" s="379">
        <f t="shared" si="1"/>
        <v>54000</v>
      </c>
      <c r="M101" s="325" t="s">
        <v>1718</v>
      </c>
    </row>
    <row r="102" spans="1:13" ht="13">
      <c r="A102" s="316" t="s">
        <v>931</v>
      </c>
      <c r="B102" s="316" t="s">
        <v>1973</v>
      </c>
      <c r="C102" s="316" t="s">
        <v>1973</v>
      </c>
      <c r="D102" s="316" t="s">
        <v>1973</v>
      </c>
      <c r="E102" s="317" t="s">
        <v>1973</v>
      </c>
      <c r="F102" s="318">
        <v>0.5</v>
      </c>
      <c r="G102" s="354" t="s">
        <v>36</v>
      </c>
      <c r="H102" s="320">
        <v>10000</v>
      </c>
      <c r="I102" s="321" t="b">
        <v>1</v>
      </c>
      <c r="J102" s="322">
        <v>0.5</v>
      </c>
      <c r="K102" s="323" t="s">
        <v>1973</v>
      </c>
      <c r="L102" s="371" t="e">
        <f t="shared" si="1"/>
        <v>#VALUE!</v>
      </c>
      <c r="M102" s="325"/>
    </row>
    <row r="103" spans="1:13" ht="13">
      <c r="A103" s="316" t="s">
        <v>955</v>
      </c>
      <c r="B103" s="316" t="s">
        <v>1973</v>
      </c>
      <c r="C103" s="316" t="s">
        <v>1973</v>
      </c>
      <c r="D103" s="316" t="s">
        <v>1973</v>
      </c>
      <c r="E103" s="317" t="s">
        <v>1973</v>
      </c>
      <c r="F103" s="318">
        <v>2</v>
      </c>
      <c r="G103" s="354" t="s">
        <v>97</v>
      </c>
      <c r="H103" s="320">
        <v>42000</v>
      </c>
      <c r="I103" s="321" t="b">
        <v>1</v>
      </c>
      <c r="J103" s="322">
        <v>2</v>
      </c>
      <c r="K103" s="323" t="s">
        <v>1973</v>
      </c>
      <c r="L103" s="371" t="e">
        <f t="shared" si="1"/>
        <v>#VALUE!</v>
      </c>
      <c r="M103" s="325"/>
    </row>
    <row r="104" spans="1:13" ht="13">
      <c r="A104" s="316" t="s">
        <v>1677</v>
      </c>
      <c r="B104" s="316" t="s">
        <v>1973</v>
      </c>
      <c r="C104" s="316" t="s">
        <v>1973</v>
      </c>
      <c r="D104" s="316" t="s">
        <v>1973</v>
      </c>
      <c r="E104" s="317" t="s">
        <v>1973</v>
      </c>
      <c r="F104" s="318">
        <v>0.5</v>
      </c>
      <c r="G104" s="354" t="s">
        <v>36</v>
      </c>
      <c r="H104" s="320">
        <v>30000</v>
      </c>
      <c r="I104" s="321" t="b">
        <v>1</v>
      </c>
      <c r="J104" s="322">
        <v>0.5</v>
      </c>
      <c r="K104" s="323" t="s">
        <v>1973</v>
      </c>
      <c r="L104" s="371" t="e">
        <f t="shared" si="1"/>
        <v>#VALUE!</v>
      </c>
      <c r="M104" s="325"/>
    </row>
    <row r="105" spans="1:13" ht="13">
      <c r="A105" s="316" t="s">
        <v>1020</v>
      </c>
      <c r="B105" s="316" t="s">
        <v>1973</v>
      </c>
      <c r="C105" s="316" t="s">
        <v>1973</v>
      </c>
      <c r="D105" s="316" t="s">
        <v>1973</v>
      </c>
      <c r="E105" s="317" t="s">
        <v>1973</v>
      </c>
      <c r="F105" s="318">
        <v>0.5</v>
      </c>
      <c r="G105" s="354" t="s">
        <v>36</v>
      </c>
      <c r="H105" s="320">
        <v>6000</v>
      </c>
      <c r="I105" s="321" t="b">
        <v>1</v>
      </c>
      <c r="J105" s="322">
        <v>0.5</v>
      </c>
      <c r="K105" s="323">
        <v>10000</v>
      </c>
      <c r="L105" s="380">
        <f t="shared" si="1"/>
        <v>5000</v>
      </c>
      <c r="M105" s="325" t="s">
        <v>1723</v>
      </c>
    </row>
    <row r="106" spans="1:13" ht="13">
      <c r="A106" s="316" t="s">
        <v>1600</v>
      </c>
      <c r="B106" s="316" t="s">
        <v>1973</v>
      </c>
      <c r="C106" s="316" t="s">
        <v>1973</v>
      </c>
      <c r="D106" s="316" t="s">
        <v>1973</v>
      </c>
      <c r="E106" s="317" t="s">
        <v>1973</v>
      </c>
      <c r="F106" s="318">
        <v>1</v>
      </c>
      <c r="G106" s="354" t="s">
        <v>36</v>
      </c>
      <c r="H106" s="320">
        <v>10000</v>
      </c>
      <c r="I106" s="321" t="b">
        <v>1</v>
      </c>
      <c r="J106" s="322">
        <v>1</v>
      </c>
      <c r="K106" s="323" t="s">
        <v>1973</v>
      </c>
      <c r="L106" s="371" t="e">
        <f t="shared" si="1"/>
        <v>#VALUE!</v>
      </c>
      <c r="M106" s="325"/>
    </row>
    <row r="107" spans="1:13" ht="13">
      <c r="A107" s="316" t="s">
        <v>1541</v>
      </c>
      <c r="B107" s="316" t="s">
        <v>1973</v>
      </c>
      <c r="C107" s="316" t="s">
        <v>1973</v>
      </c>
      <c r="D107" s="316" t="s">
        <v>1973</v>
      </c>
      <c r="E107" s="317" t="s">
        <v>1973</v>
      </c>
      <c r="F107" s="318">
        <v>1</v>
      </c>
      <c r="G107" s="354" t="s">
        <v>97</v>
      </c>
      <c r="H107" s="320">
        <v>195000</v>
      </c>
      <c r="I107" s="319" t="b">
        <v>0</v>
      </c>
      <c r="J107" s="372"/>
      <c r="K107" s="373" t="s">
        <v>1973</v>
      </c>
      <c r="L107" s="374" t="e">
        <f t="shared" si="1"/>
        <v>#VALUE!</v>
      </c>
      <c r="M107" s="325"/>
    </row>
    <row r="108" spans="1:13" ht="13">
      <c r="A108" s="316" t="s">
        <v>1703</v>
      </c>
      <c r="B108" s="316" t="s">
        <v>1973</v>
      </c>
      <c r="C108" s="316" t="s">
        <v>1973</v>
      </c>
      <c r="D108" s="316" t="s">
        <v>1973</v>
      </c>
      <c r="E108" s="317" t="s">
        <v>1973</v>
      </c>
      <c r="F108" s="318">
        <v>3</v>
      </c>
      <c r="G108" s="354" t="s">
        <v>62</v>
      </c>
      <c r="H108" s="320">
        <v>67221</v>
      </c>
      <c r="I108" s="321" t="b">
        <v>1</v>
      </c>
      <c r="J108" s="322">
        <v>3</v>
      </c>
      <c r="K108" s="323">
        <v>22000</v>
      </c>
      <c r="L108" s="371">
        <f t="shared" si="1"/>
        <v>66000</v>
      </c>
      <c r="M108" s="325"/>
    </row>
    <row r="109" spans="1:13" ht="13">
      <c r="A109" s="316" t="s">
        <v>623</v>
      </c>
      <c r="B109" s="316" t="s">
        <v>1973</v>
      </c>
      <c r="C109" s="316" t="s">
        <v>1973</v>
      </c>
      <c r="D109" s="316" t="s">
        <v>1973</v>
      </c>
      <c r="E109" s="317" t="s">
        <v>1973</v>
      </c>
      <c r="F109" s="318">
        <v>2</v>
      </c>
      <c r="G109" s="354" t="s">
        <v>143</v>
      </c>
      <c r="H109" s="320">
        <v>359700</v>
      </c>
      <c r="I109" s="319" t="b">
        <v>0</v>
      </c>
      <c r="J109" s="372"/>
      <c r="K109" s="373" t="s">
        <v>1973</v>
      </c>
      <c r="L109" s="374" t="e">
        <f t="shared" si="1"/>
        <v>#VALUE!</v>
      </c>
      <c r="M109" s="325"/>
    </row>
    <row r="110" spans="1:13" ht="13">
      <c r="A110" s="316" t="s">
        <v>688</v>
      </c>
      <c r="B110" s="316" t="s">
        <v>1973</v>
      </c>
      <c r="C110" s="316" t="s">
        <v>1973</v>
      </c>
      <c r="D110" s="316" t="s">
        <v>1973</v>
      </c>
      <c r="E110" s="317" t="s">
        <v>1973</v>
      </c>
      <c r="F110" s="318">
        <v>1</v>
      </c>
      <c r="G110" s="354" t="s">
        <v>62</v>
      </c>
      <c r="H110" s="320">
        <v>57970</v>
      </c>
      <c r="I110" s="319" t="b">
        <v>0</v>
      </c>
      <c r="J110" s="372"/>
      <c r="K110" s="373" t="s">
        <v>1973</v>
      </c>
      <c r="L110" s="374" t="e">
        <f t="shared" si="1"/>
        <v>#VALUE!</v>
      </c>
      <c r="M110" s="325"/>
    </row>
    <row r="111" spans="1:13" ht="13">
      <c r="A111" s="316" t="s">
        <v>704</v>
      </c>
      <c r="B111" s="316" t="s">
        <v>1973</v>
      </c>
      <c r="C111" s="316" t="s">
        <v>1973</v>
      </c>
      <c r="D111" s="316" t="s">
        <v>1973</v>
      </c>
      <c r="E111" s="317" t="s">
        <v>1973</v>
      </c>
      <c r="F111" s="318">
        <v>2</v>
      </c>
      <c r="G111" s="354" t="s">
        <v>143</v>
      </c>
      <c r="H111" s="320">
        <v>364500</v>
      </c>
      <c r="I111" s="319" t="b">
        <v>0</v>
      </c>
      <c r="J111" s="372"/>
      <c r="K111" s="373" t="s">
        <v>1973</v>
      </c>
      <c r="L111" s="374" t="e">
        <f t="shared" si="1"/>
        <v>#VALUE!</v>
      </c>
      <c r="M111" s="325"/>
    </row>
    <row r="112" spans="1:13" ht="13">
      <c r="A112" s="316" t="s">
        <v>949</v>
      </c>
      <c r="B112" s="316" t="s">
        <v>1973</v>
      </c>
      <c r="C112" s="316" t="s">
        <v>1973</v>
      </c>
      <c r="D112" s="316" t="s">
        <v>1973</v>
      </c>
      <c r="E112" s="317" t="s">
        <v>1973</v>
      </c>
      <c r="F112" s="318">
        <v>1</v>
      </c>
      <c r="G112" s="354" t="s">
        <v>97</v>
      </c>
      <c r="H112" s="320">
        <v>23200</v>
      </c>
      <c r="I112" s="321" t="b">
        <v>1</v>
      </c>
      <c r="J112" s="322">
        <v>1</v>
      </c>
      <c r="K112" s="323" t="s">
        <v>1973</v>
      </c>
      <c r="L112" s="371" t="e">
        <f t="shared" si="1"/>
        <v>#VALUE!</v>
      </c>
      <c r="M112" s="325"/>
    </row>
    <row r="113" spans="1:13" ht="13">
      <c r="A113" s="316" t="s">
        <v>952</v>
      </c>
      <c r="B113" s="316" t="s">
        <v>1973</v>
      </c>
      <c r="C113" s="316" t="s">
        <v>1973</v>
      </c>
      <c r="D113" s="316" t="s">
        <v>1973</v>
      </c>
      <c r="E113" s="317" t="s">
        <v>1973</v>
      </c>
      <c r="F113" s="318">
        <v>1</v>
      </c>
      <c r="G113" s="354" t="s">
        <v>97</v>
      </c>
      <c r="H113" s="320">
        <v>27300</v>
      </c>
      <c r="I113" s="321" t="b">
        <v>1</v>
      </c>
      <c r="J113" s="322">
        <v>1</v>
      </c>
      <c r="K113" s="323" t="s">
        <v>1973</v>
      </c>
      <c r="L113" s="371" t="e">
        <f t="shared" si="1"/>
        <v>#VALUE!</v>
      </c>
      <c r="M113" s="325"/>
    </row>
    <row r="114" spans="1:13" ht="13">
      <c r="A114" s="316" t="s">
        <v>779</v>
      </c>
      <c r="B114" s="316" t="s">
        <v>1973</v>
      </c>
      <c r="C114" s="316" t="s">
        <v>1973</v>
      </c>
      <c r="D114" s="316" t="s">
        <v>1973</v>
      </c>
      <c r="E114" s="317" t="s">
        <v>1973</v>
      </c>
      <c r="F114" s="318">
        <v>2</v>
      </c>
      <c r="G114" s="354" t="s">
        <v>62</v>
      </c>
      <c r="H114" s="320">
        <v>77000</v>
      </c>
      <c r="I114" s="321" t="b">
        <v>1</v>
      </c>
      <c r="J114" s="322">
        <v>2</v>
      </c>
      <c r="K114" s="323">
        <v>36000</v>
      </c>
      <c r="L114" s="380">
        <f t="shared" si="1"/>
        <v>72000</v>
      </c>
      <c r="M114" s="325" t="s">
        <v>1720</v>
      </c>
    </row>
    <row r="115" spans="1:13" ht="13">
      <c r="A115" s="316" t="s">
        <v>1606</v>
      </c>
      <c r="B115" s="316" t="s">
        <v>1973</v>
      </c>
      <c r="C115" s="316" t="s">
        <v>1973</v>
      </c>
      <c r="D115" s="316" t="s">
        <v>1973</v>
      </c>
      <c r="E115" s="317" t="s">
        <v>1973</v>
      </c>
      <c r="F115" s="318">
        <v>0.7</v>
      </c>
      <c r="G115" s="354" t="s">
        <v>36</v>
      </c>
      <c r="H115" s="320">
        <v>30239.999999999996</v>
      </c>
      <c r="I115" s="321" t="b">
        <v>1</v>
      </c>
      <c r="J115" s="322">
        <v>0.628</v>
      </c>
      <c r="K115" s="323" t="s">
        <v>1973</v>
      </c>
      <c r="L115" s="371" t="e">
        <f t="shared" si="1"/>
        <v>#VALUE!</v>
      </c>
      <c r="M115" s="325"/>
    </row>
    <row r="116" spans="1:13" ht="13">
      <c r="A116" s="316" t="s">
        <v>910</v>
      </c>
      <c r="B116" s="316" t="s">
        <v>1973</v>
      </c>
      <c r="C116" s="316" t="s">
        <v>1973</v>
      </c>
      <c r="D116" s="316" t="s">
        <v>1973</v>
      </c>
      <c r="E116" s="317" t="s">
        <v>1973</v>
      </c>
      <c r="F116" s="318">
        <v>3</v>
      </c>
      <c r="G116" s="354" t="s">
        <v>62</v>
      </c>
      <c r="H116" s="320">
        <v>39000</v>
      </c>
      <c r="I116" s="321" t="b">
        <v>1</v>
      </c>
      <c r="J116" s="322">
        <v>3</v>
      </c>
      <c r="K116" s="323" t="s">
        <v>1973</v>
      </c>
      <c r="L116" s="371" t="e">
        <f t="shared" si="1"/>
        <v>#VALUE!</v>
      </c>
      <c r="M116" s="325"/>
    </row>
    <row r="117" spans="1:13" ht="13">
      <c r="A117" s="316" t="s">
        <v>1651</v>
      </c>
      <c r="B117" s="316" t="s">
        <v>1973</v>
      </c>
      <c r="C117" s="316" t="s">
        <v>1973</v>
      </c>
      <c r="D117" s="316" t="s">
        <v>1973</v>
      </c>
      <c r="E117" s="317" t="s">
        <v>1973</v>
      </c>
      <c r="F117" s="318">
        <v>1</v>
      </c>
      <c r="G117" s="354" t="s">
        <v>97</v>
      </c>
      <c r="H117" s="320">
        <v>105000</v>
      </c>
      <c r="I117" s="319" t="b">
        <v>0</v>
      </c>
      <c r="J117" s="372"/>
      <c r="K117" s="373" t="s">
        <v>1973</v>
      </c>
      <c r="L117" s="374" t="e">
        <f t="shared" si="1"/>
        <v>#VALUE!</v>
      </c>
      <c r="M117" s="325"/>
    </row>
    <row r="118" spans="1:13" ht="13">
      <c r="A118" s="316" t="s">
        <v>540</v>
      </c>
      <c r="B118" s="316" t="s">
        <v>1973</v>
      </c>
      <c r="C118" s="316" t="s">
        <v>1973</v>
      </c>
      <c r="D118" s="316" t="s">
        <v>1973</v>
      </c>
      <c r="E118" s="317" t="s">
        <v>1973</v>
      </c>
      <c r="F118" s="318">
        <v>4</v>
      </c>
      <c r="G118" s="354" t="s">
        <v>36</v>
      </c>
      <c r="H118" s="320">
        <v>680000</v>
      </c>
      <c r="I118" s="319" t="b">
        <v>0</v>
      </c>
      <c r="J118" s="372"/>
      <c r="K118" s="373" t="s">
        <v>1973</v>
      </c>
      <c r="L118" s="374" t="e">
        <f t="shared" si="1"/>
        <v>#VALUE!</v>
      </c>
      <c r="M118" s="325"/>
    </row>
    <row r="119" spans="1:13" ht="13">
      <c r="A119" s="316" t="s">
        <v>590</v>
      </c>
      <c r="B119" s="316" t="s">
        <v>1973</v>
      </c>
      <c r="C119" s="316" t="s">
        <v>1973</v>
      </c>
      <c r="D119" s="316" t="s">
        <v>1973</v>
      </c>
      <c r="E119" s="317" t="s">
        <v>1973</v>
      </c>
      <c r="F119" s="318">
        <v>2</v>
      </c>
      <c r="G119" s="354" t="s">
        <v>62</v>
      </c>
      <c r="H119" s="320">
        <v>170000</v>
      </c>
      <c r="I119" s="319" t="b">
        <v>0</v>
      </c>
      <c r="J119" s="372"/>
      <c r="K119" s="373" t="s">
        <v>1973</v>
      </c>
      <c r="L119" s="374" t="e">
        <f t="shared" si="1"/>
        <v>#VALUE!</v>
      </c>
      <c r="M119" s="325"/>
    </row>
    <row r="120" spans="1:13" ht="13">
      <c r="A120" s="316" t="s">
        <v>1602</v>
      </c>
      <c r="B120" s="316" t="s">
        <v>1973</v>
      </c>
      <c r="C120" s="316" t="s">
        <v>1973</v>
      </c>
      <c r="D120" s="316" t="s">
        <v>1973</v>
      </c>
      <c r="E120" s="317" t="s">
        <v>1973</v>
      </c>
      <c r="F120" s="318">
        <v>5</v>
      </c>
      <c r="G120" s="354" t="s">
        <v>36</v>
      </c>
      <c r="H120" s="320">
        <v>70000</v>
      </c>
      <c r="I120" s="321" t="b">
        <v>1</v>
      </c>
      <c r="J120" s="322">
        <v>5</v>
      </c>
      <c r="K120" s="323" t="s">
        <v>1973</v>
      </c>
      <c r="L120" s="371" t="e">
        <f t="shared" si="1"/>
        <v>#VALUE!</v>
      </c>
      <c r="M120" s="325"/>
    </row>
    <row r="121" spans="1:13" ht="13">
      <c r="A121" s="316" t="s">
        <v>528</v>
      </c>
      <c r="B121" s="316" t="s">
        <v>1973</v>
      </c>
      <c r="C121" s="316" t="s">
        <v>1973</v>
      </c>
      <c r="D121" s="316" t="s">
        <v>1973</v>
      </c>
      <c r="E121" s="317" t="s">
        <v>1973</v>
      </c>
      <c r="F121" s="318">
        <v>5</v>
      </c>
      <c r="G121" s="354" t="s">
        <v>50</v>
      </c>
      <c r="H121" s="320">
        <v>80000</v>
      </c>
      <c r="I121" s="321" t="b">
        <v>1</v>
      </c>
      <c r="J121" s="322">
        <v>5</v>
      </c>
      <c r="K121" s="323" t="s">
        <v>1973</v>
      </c>
      <c r="L121" s="371" t="e">
        <f t="shared" si="1"/>
        <v>#VALUE!</v>
      </c>
      <c r="M121" s="325"/>
    </row>
    <row r="122" spans="1:13" ht="13">
      <c r="A122" s="316" t="s">
        <v>1603</v>
      </c>
      <c r="B122" s="316" t="s">
        <v>1973</v>
      </c>
      <c r="C122" s="316" t="s">
        <v>1973</v>
      </c>
      <c r="D122" s="316" t="s">
        <v>1973</v>
      </c>
      <c r="E122" s="317" t="s">
        <v>1973</v>
      </c>
      <c r="F122" s="318">
        <v>1</v>
      </c>
      <c r="G122" s="354" t="s">
        <v>62</v>
      </c>
      <c r="H122" s="320">
        <v>60000</v>
      </c>
      <c r="I122" s="321" t="b">
        <v>1</v>
      </c>
      <c r="J122" s="322">
        <v>1</v>
      </c>
      <c r="K122" s="323" t="s">
        <v>1973</v>
      </c>
      <c r="L122" s="371" t="e">
        <f t="shared" si="1"/>
        <v>#VALUE!</v>
      </c>
      <c r="M122" s="325"/>
    </row>
    <row r="123" spans="1:13" ht="13">
      <c r="A123" s="316" t="s">
        <v>635</v>
      </c>
      <c r="B123" s="316" t="s">
        <v>1973</v>
      </c>
      <c r="C123" s="316" t="s">
        <v>1973</v>
      </c>
      <c r="D123" s="316" t="s">
        <v>1973</v>
      </c>
      <c r="E123" s="317" t="s">
        <v>1973</v>
      </c>
      <c r="F123" s="318">
        <v>20</v>
      </c>
      <c r="G123" s="354" t="s">
        <v>50</v>
      </c>
      <c r="H123" s="320">
        <v>190000</v>
      </c>
      <c r="I123" s="321" t="b">
        <v>1</v>
      </c>
      <c r="J123" s="322">
        <v>20</v>
      </c>
      <c r="K123" s="323" t="s">
        <v>1973</v>
      </c>
      <c r="L123" s="371" t="e">
        <f t="shared" si="1"/>
        <v>#VALUE!</v>
      </c>
      <c r="M123" s="325"/>
    </row>
    <row r="124" spans="1:13" ht="13">
      <c r="A124" s="316" t="s">
        <v>643</v>
      </c>
      <c r="B124" s="316" t="s">
        <v>1973</v>
      </c>
      <c r="C124" s="316" t="s">
        <v>1973</v>
      </c>
      <c r="D124" s="316" t="s">
        <v>1973</v>
      </c>
      <c r="E124" s="317" t="s">
        <v>1973</v>
      </c>
      <c r="F124" s="318">
        <v>0.5</v>
      </c>
      <c r="G124" s="354" t="s">
        <v>36</v>
      </c>
      <c r="H124" s="320">
        <v>7500</v>
      </c>
      <c r="I124" s="321" t="b">
        <v>1</v>
      </c>
      <c r="J124" s="322">
        <v>0.5</v>
      </c>
      <c r="K124" s="323" t="s">
        <v>1973</v>
      </c>
      <c r="L124" s="371" t="e">
        <f t="shared" si="1"/>
        <v>#VALUE!</v>
      </c>
      <c r="M124" s="325"/>
    </row>
    <row r="125" spans="1:13" ht="13">
      <c r="A125" s="316" t="s">
        <v>647</v>
      </c>
      <c r="B125" s="316" t="s">
        <v>1973</v>
      </c>
      <c r="C125" s="316" t="s">
        <v>1973</v>
      </c>
      <c r="D125" s="316" t="s">
        <v>1973</v>
      </c>
      <c r="E125" s="317" t="s">
        <v>1973</v>
      </c>
      <c r="F125" s="318">
        <v>1</v>
      </c>
      <c r="G125" s="354" t="s">
        <v>75</v>
      </c>
      <c r="H125" s="320">
        <v>48000</v>
      </c>
      <c r="I125" s="319" t="b">
        <v>0</v>
      </c>
      <c r="J125" s="372"/>
      <c r="K125" s="373" t="s">
        <v>1973</v>
      </c>
      <c r="L125" s="374" t="e">
        <f t="shared" si="1"/>
        <v>#VALUE!</v>
      </c>
      <c r="M125" s="325"/>
    </row>
    <row r="126" spans="1:13" ht="13">
      <c r="A126" s="316" t="s">
        <v>680</v>
      </c>
      <c r="B126" s="316" t="s">
        <v>1973</v>
      </c>
      <c r="C126" s="316" t="s">
        <v>1973</v>
      </c>
      <c r="D126" s="316" t="s">
        <v>1973</v>
      </c>
      <c r="E126" s="317" t="s">
        <v>1973</v>
      </c>
      <c r="F126" s="318">
        <v>6</v>
      </c>
      <c r="G126" s="354" t="s">
        <v>97</v>
      </c>
      <c r="H126" s="320">
        <v>186000</v>
      </c>
      <c r="I126" s="321" t="b">
        <v>1</v>
      </c>
      <c r="J126" s="322">
        <v>6</v>
      </c>
      <c r="K126" s="323" t="s">
        <v>1973</v>
      </c>
      <c r="L126" s="371" t="e">
        <f t="shared" si="1"/>
        <v>#VALUE!</v>
      </c>
      <c r="M126" s="325"/>
    </row>
    <row r="127" spans="1:13" ht="13">
      <c r="A127" s="316" t="s">
        <v>684</v>
      </c>
      <c r="B127" s="316" t="s">
        <v>1973</v>
      </c>
      <c r="C127" s="316" t="s">
        <v>1973</v>
      </c>
      <c r="D127" s="316" t="s">
        <v>1973</v>
      </c>
      <c r="E127" s="317" t="s">
        <v>1973</v>
      </c>
      <c r="F127" s="318">
        <v>3</v>
      </c>
      <c r="G127" s="354" t="s">
        <v>97</v>
      </c>
      <c r="H127" s="320">
        <v>93000</v>
      </c>
      <c r="I127" s="321" t="b">
        <v>1</v>
      </c>
      <c r="J127" s="322">
        <v>3</v>
      </c>
      <c r="K127" s="323" t="s">
        <v>1973</v>
      </c>
      <c r="L127" s="371" t="e">
        <f t="shared" si="1"/>
        <v>#VALUE!</v>
      </c>
      <c r="M127" s="325"/>
    </row>
    <row r="128" spans="1:13" ht="13">
      <c r="A128" s="316" t="s">
        <v>692</v>
      </c>
      <c r="B128" s="316" t="s">
        <v>1973</v>
      </c>
      <c r="C128" s="316" t="s">
        <v>1973</v>
      </c>
      <c r="D128" s="316" t="s">
        <v>1973</v>
      </c>
      <c r="E128" s="317" t="s">
        <v>1973</v>
      </c>
      <c r="F128" s="318">
        <v>1</v>
      </c>
      <c r="G128" s="354" t="s">
        <v>62</v>
      </c>
      <c r="H128" s="320">
        <v>52000</v>
      </c>
      <c r="I128" s="321" t="b">
        <v>1</v>
      </c>
      <c r="J128" s="322">
        <v>1</v>
      </c>
      <c r="K128" s="323">
        <v>53000</v>
      </c>
      <c r="L128" s="379">
        <f t="shared" si="1"/>
        <v>53000</v>
      </c>
      <c r="M128" s="325" t="s">
        <v>1714</v>
      </c>
    </row>
    <row r="129" spans="1:13" ht="13">
      <c r="A129" s="316" t="s">
        <v>696</v>
      </c>
      <c r="B129" s="316" t="s">
        <v>1973</v>
      </c>
      <c r="C129" s="316" t="s">
        <v>1973</v>
      </c>
      <c r="D129" s="316" t="s">
        <v>1973</v>
      </c>
      <c r="E129" s="317" t="s">
        <v>1973</v>
      </c>
      <c r="F129" s="318">
        <v>5</v>
      </c>
      <c r="G129" s="354" t="s">
        <v>62</v>
      </c>
      <c r="H129" s="320">
        <v>55000</v>
      </c>
      <c r="I129" s="321" t="b">
        <v>1</v>
      </c>
      <c r="J129" s="322">
        <v>5</v>
      </c>
      <c r="K129" s="323" t="s">
        <v>1973</v>
      </c>
      <c r="L129" s="371" t="e">
        <f t="shared" si="1"/>
        <v>#VALUE!</v>
      </c>
      <c r="M129" s="325"/>
    </row>
    <row r="130" spans="1:13" ht="13">
      <c r="A130" s="316" t="s">
        <v>748</v>
      </c>
      <c r="B130" s="316" t="s">
        <v>1973</v>
      </c>
      <c r="C130" s="316" t="s">
        <v>1973</v>
      </c>
      <c r="D130" s="316" t="s">
        <v>1973</v>
      </c>
      <c r="E130" s="317" t="s">
        <v>1973</v>
      </c>
      <c r="F130" s="318">
        <v>6</v>
      </c>
      <c r="G130" s="354" t="s">
        <v>62</v>
      </c>
      <c r="H130" s="320">
        <v>180000</v>
      </c>
      <c r="I130" s="321" t="b">
        <v>1</v>
      </c>
      <c r="J130" s="322">
        <v>6</v>
      </c>
      <c r="K130" s="323" t="s">
        <v>1973</v>
      </c>
      <c r="L130" s="371" t="e">
        <f t="shared" si="1"/>
        <v>#VALUE!</v>
      </c>
      <c r="M130" s="325"/>
    </row>
    <row r="131" spans="1:13" ht="13">
      <c r="A131" s="316" t="s">
        <v>803</v>
      </c>
      <c r="B131" s="316" t="s">
        <v>1973</v>
      </c>
      <c r="C131" s="316" t="s">
        <v>1973</v>
      </c>
      <c r="D131" s="316" t="s">
        <v>1973</v>
      </c>
      <c r="E131" s="317" t="s">
        <v>1973</v>
      </c>
      <c r="F131" s="318">
        <v>2</v>
      </c>
      <c r="G131" s="354" t="s">
        <v>97</v>
      </c>
      <c r="H131" s="320">
        <v>12000</v>
      </c>
      <c r="I131" s="321" t="b">
        <v>1</v>
      </c>
      <c r="J131" s="322">
        <v>2</v>
      </c>
      <c r="K131" s="323" t="s">
        <v>1973</v>
      </c>
      <c r="L131" s="371" t="e">
        <f t="shared" si="1"/>
        <v>#VALUE!</v>
      </c>
      <c r="M131" s="325"/>
    </row>
    <row r="132" spans="1:13" ht="13">
      <c r="A132" s="316" t="s">
        <v>866</v>
      </c>
      <c r="B132" s="316" t="s">
        <v>1973</v>
      </c>
      <c r="C132" s="316" t="s">
        <v>1973</v>
      </c>
      <c r="D132" s="316" t="s">
        <v>1973</v>
      </c>
      <c r="E132" s="317" t="s">
        <v>1973</v>
      </c>
      <c r="F132" s="318">
        <v>2</v>
      </c>
      <c r="G132" s="354" t="s">
        <v>62</v>
      </c>
      <c r="H132" s="320">
        <v>70000</v>
      </c>
      <c r="I132" s="321" t="b">
        <v>1</v>
      </c>
      <c r="J132" s="322">
        <v>2</v>
      </c>
      <c r="K132" s="323" t="s">
        <v>1973</v>
      </c>
      <c r="L132" s="371" t="e">
        <f t="shared" si="1"/>
        <v>#VALUE!</v>
      </c>
      <c r="M132" s="325"/>
    </row>
    <row r="133" spans="1:13" ht="13">
      <c r="A133" s="316" t="s">
        <v>892</v>
      </c>
      <c r="B133" s="316" t="s">
        <v>1973</v>
      </c>
      <c r="C133" s="316" t="s">
        <v>1973</v>
      </c>
      <c r="D133" s="316" t="s">
        <v>1973</v>
      </c>
      <c r="E133" s="317" t="s">
        <v>1973</v>
      </c>
      <c r="F133" s="318">
        <v>2</v>
      </c>
      <c r="G133" s="354" t="s">
        <v>36</v>
      </c>
      <c r="H133" s="320">
        <v>250000</v>
      </c>
      <c r="I133" s="321" t="b">
        <v>1</v>
      </c>
      <c r="J133" s="322">
        <v>2</v>
      </c>
      <c r="K133" s="323" t="s">
        <v>1973</v>
      </c>
      <c r="L133" s="371" t="e">
        <f t="shared" si="1"/>
        <v>#VALUE!</v>
      </c>
      <c r="M133" s="325"/>
    </row>
    <row r="134" spans="1:13" ht="13">
      <c r="A134" s="316" t="s">
        <v>934</v>
      </c>
      <c r="B134" s="316" t="s">
        <v>1973</v>
      </c>
      <c r="C134" s="316" t="s">
        <v>1973</v>
      </c>
      <c r="D134" s="316" t="s">
        <v>1973</v>
      </c>
      <c r="E134" s="317" t="s">
        <v>1973</v>
      </c>
      <c r="F134" s="318">
        <v>4</v>
      </c>
      <c r="G134" s="354" t="s">
        <v>62</v>
      </c>
      <c r="H134" s="320">
        <v>36000</v>
      </c>
      <c r="I134" s="321" t="b">
        <v>1</v>
      </c>
      <c r="J134" s="322">
        <v>4</v>
      </c>
      <c r="K134" s="323" t="s">
        <v>1973</v>
      </c>
      <c r="L134" s="371" t="e">
        <f t="shared" si="1"/>
        <v>#VALUE!</v>
      </c>
      <c r="M134" s="325"/>
    </row>
    <row r="135" spans="1:13" ht="13">
      <c r="A135" s="316" t="s">
        <v>943</v>
      </c>
      <c r="B135" s="316" t="s">
        <v>1973</v>
      </c>
      <c r="C135" s="316" t="s">
        <v>1973</v>
      </c>
      <c r="D135" s="316" t="s">
        <v>1973</v>
      </c>
      <c r="E135" s="317" t="s">
        <v>1973</v>
      </c>
      <c r="F135" s="318">
        <v>1</v>
      </c>
      <c r="G135" s="354" t="s">
        <v>62</v>
      </c>
      <c r="H135" s="320">
        <v>8500</v>
      </c>
      <c r="I135" s="321" t="b">
        <v>1</v>
      </c>
      <c r="J135" s="322">
        <v>1</v>
      </c>
      <c r="K135" s="323" t="s">
        <v>1973</v>
      </c>
      <c r="L135" s="371" t="e">
        <f t="shared" si="1"/>
        <v>#VALUE!</v>
      </c>
      <c r="M135" s="325"/>
    </row>
    <row r="136" spans="1:13" ht="13">
      <c r="A136" s="316" t="s">
        <v>1604</v>
      </c>
      <c r="B136" s="316" t="s">
        <v>1973</v>
      </c>
      <c r="C136" s="316" t="s">
        <v>1973</v>
      </c>
      <c r="D136" s="316" t="s">
        <v>1973</v>
      </c>
      <c r="E136" s="317" t="s">
        <v>1973</v>
      </c>
      <c r="F136" s="318">
        <v>1</v>
      </c>
      <c r="G136" s="354" t="s">
        <v>62</v>
      </c>
      <c r="H136" s="320">
        <v>48000</v>
      </c>
      <c r="I136" s="319" t="b">
        <v>0</v>
      </c>
      <c r="J136" s="372"/>
      <c r="K136" s="373" t="s">
        <v>1973</v>
      </c>
      <c r="L136" s="374" t="e">
        <f t="shared" si="1"/>
        <v>#VALUE!</v>
      </c>
      <c r="M136" s="325"/>
    </row>
    <row r="137" spans="1:13" ht="13">
      <c r="A137" s="316" t="s">
        <v>1037</v>
      </c>
      <c r="B137" s="316" t="s">
        <v>1973</v>
      </c>
      <c r="C137" s="316" t="s">
        <v>1973</v>
      </c>
      <c r="D137" s="316" t="s">
        <v>1973</v>
      </c>
      <c r="E137" s="317" t="s">
        <v>1973</v>
      </c>
      <c r="F137" s="318">
        <v>2</v>
      </c>
      <c r="G137" s="354" t="s">
        <v>62</v>
      </c>
      <c r="H137" s="320">
        <v>40200</v>
      </c>
      <c r="I137" s="319" t="b">
        <v>0</v>
      </c>
      <c r="J137" s="372"/>
      <c r="K137" s="373" t="s">
        <v>1973</v>
      </c>
      <c r="L137" s="374" t="e">
        <f t="shared" si="1"/>
        <v>#VALUE!</v>
      </c>
      <c r="M137" s="325"/>
    </row>
    <row r="139" spans="1:13" ht="13">
      <c r="F139" s="429">
        <v>44627</v>
      </c>
      <c r="G139" s="428"/>
      <c r="H139" s="424"/>
      <c r="J139" s="429">
        <f>F139+1</f>
        <v>44628</v>
      </c>
      <c r="K139" s="428"/>
      <c r="L139" s="424"/>
    </row>
    <row r="140" spans="1:13" ht="13">
      <c r="F140" s="425" t="s">
        <v>1490</v>
      </c>
      <c r="G140" s="426"/>
      <c r="H140" s="304">
        <f>SUM(H142:H194)</f>
        <v>2421980</v>
      </c>
      <c r="J140" s="425" t="s">
        <v>1491</v>
      </c>
      <c r="K140" s="426"/>
      <c r="L140" s="304" t="e">
        <f>SUM(L142:L194)</f>
        <v>#VALUE!</v>
      </c>
    </row>
    <row r="141" spans="1:13" ht="13">
      <c r="A141" s="2" t="s">
        <v>4</v>
      </c>
      <c r="B141" s="305" t="s">
        <v>5</v>
      </c>
      <c r="C141" s="305" t="s">
        <v>11</v>
      </c>
      <c r="D141" s="305" t="s">
        <v>12</v>
      </c>
      <c r="E141" s="306" t="s">
        <v>6</v>
      </c>
      <c r="F141" s="307" t="s">
        <v>1494</v>
      </c>
      <c r="G141" s="308" t="s">
        <v>10</v>
      </c>
      <c r="H141" s="309" t="s">
        <v>1495</v>
      </c>
      <c r="I141" s="310" t="s">
        <v>1289</v>
      </c>
      <c r="J141" s="311" t="s">
        <v>1496</v>
      </c>
      <c r="K141" s="312" t="s">
        <v>1497</v>
      </c>
      <c r="L141" s="313" t="s">
        <v>1498</v>
      </c>
      <c r="M141" s="314" t="s">
        <v>16</v>
      </c>
    </row>
    <row r="142" spans="1:13" ht="13">
      <c r="A142" s="316" t="s">
        <v>1598</v>
      </c>
      <c r="B142" s="316" t="s">
        <v>1973</v>
      </c>
      <c r="C142" s="316" t="s">
        <v>1973</v>
      </c>
      <c r="D142" s="316" t="s">
        <v>1973</v>
      </c>
      <c r="E142" s="317" t="s">
        <v>1973</v>
      </c>
      <c r="F142" s="318">
        <v>1</v>
      </c>
      <c r="G142" s="354" t="s">
        <v>97</v>
      </c>
      <c r="H142" s="320">
        <v>10400</v>
      </c>
      <c r="I142" s="321" t="b">
        <v>1</v>
      </c>
      <c r="J142" s="322">
        <v>1</v>
      </c>
      <c r="K142" s="323">
        <v>17600</v>
      </c>
      <c r="L142" s="379">
        <f t="shared" ref="L142:L194" si="2">J142*K142</f>
        <v>17600</v>
      </c>
      <c r="M142" s="325"/>
    </row>
    <row r="143" spans="1:13" ht="13">
      <c r="A143" s="316" t="s">
        <v>782</v>
      </c>
      <c r="B143" s="316" t="s">
        <v>1973</v>
      </c>
      <c r="C143" s="316" t="s">
        <v>1973</v>
      </c>
      <c r="D143" s="316" t="s">
        <v>1973</v>
      </c>
      <c r="E143" s="317" t="s">
        <v>1973</v>
      </c>
      <c r="F143" s="318">
        <v>1</v>
      </c>
      <c r="G143" s="354" t="s">
        <v>62</v>
      </c>
      <c r="H143" s="320">
        <v>12000</v>
      </c>
      <c r="I143" s="321" t="b">
        <v>1</v>
      </c>
      <c r="J143" s="322">
        <v>1</v>
      </c>
      <c r="K143" s="323" t="s">
        <v>1973</v>
      </c>
      <c r="L143" s="371" t="e">
        <f t="shared" si="2"/>
        <v>#VALUE!</v>
      </c>
      <c r="M143" s="325"/>
    </row>
    <row r="144" spans="1:13" ht="13">
      <c r="A144" s="316" t="s">
        <v>1670</v>
      </c>
      <c r="B144" s="316" t="s">
        <v>1973</v>
      </c>
      <c r="C144" s="316" t="s">
        <v>1973</v>
      </c>
      <c r="D144" s="316" t="s">
        <v>1973</v>
      </c>
      <c r="E144" s="317" t="s">
        <v>1973</v>
      </c>
      <c r="F144" s="318">
        <v>1</v>
      </c>
      <c r="G144" s="354" t="s">
        <v>62</v>
      </c>
      <c r="H144" s="320">
        <v>11500</v>
      </c>
      <c r="I144" s="321" t="b">
        <v>1</v>
      </c>
      <c r="J144" s="322">
        <v>1</v>
      </c>
      <c r="K144" s="323" t="s">
        <v>1973</v>
      </c>
      <c r="L144" s="371" t="e">
        <f t="shared" si="2"/>
        <v>#VALUE!</v>
      </c>
      <c r="M144" s="325"/>
    </row>
    <row r="145" spans="1:13" ht="13">
      <c r="A145" s="316" t="s">
        <v>1607</v>
      </c>
      <c r="B145" s="316" t="s">
        <v>1973</v>
      </c>
      <c r="C145" s="316" t="s">
        <v>1973</v>
      </c>
      <c r="D145" s="316" t="s">
        <v>1973</v>
      </c>
      <c r="E145" s="317" t="s">
        <v>1973</v>
      </c>
      <c r="F145" s="318">
        <v>1</v>
      </c>
      <c r="G145" s="354" t="s">
        <v>62</v>
      </c>
      <c r="H145" s="320">
        <v>11500</v>
      </c>
      <c r="I145" s="321" t="b">
        <v>1</v>
      </c>
      <c r="J145" s="322">
        <v>1</v>
      </c>
      <c r="K145" s="323">
        <v>10200</v>
      </c>
      <c r="L145" s="380">
        <f t="shared" si="2"/>
        <v>10200</v>
      </c>
      <c r="M145" s="325"/>
    </row>
    <row r="146" spans="1:13" ht="13">
      <c r="A146" s="316" t="s">
        <v>919</v>
      </c>
      <c r="B146" s="316" t="s">
        <v>1973</v>
      </c>
      <c r="C146" s="316" t="s">
        <v>1973</v>
      </c>
      <c r="D146" s="316" t="s">
        <v>1973</v>
      </c>
      <c r="E146" s="317" t="s">
        <v>1973</v>
      </c>
      <c r="F146" s="318">
        <v>3</v>
      </c>
      <c r="G146" s="354" t="s">
        <v>62</v>
      </c>
      <c r="H146" s="320">
        <v>26400</v>
      </c>
      <c r="I146" s="321" t="b">
        <v>1</v>
      </c>
      <c r="J146" s="322">
        <v>3</v>
      </c>
      <c r="K146" s="323" t="s">
        <v>1973</v>
      </c>
      <c r="L146" s="371" t="e">
        <f t="shared" si="2"/>
        <v>#VALUE!</v>
      </c>
      <c r="M146" s="325"/>
    </row>
    <row r="147" spans="1:13" ht="13">
      <c r="A147" s="316" t="s">
        <v>937</v>
      </c>
      <c r="B147" s="316" t="s">
        <v>1973</v>
      </c>
      <c r="C147" s="316" t="s">
        <v>1973</v>
      </c>
      <c r="D147" s="316" t="s">
        <v>1973</v>
      </c>
      <c r="E147" s="317" t="s">
        <v>1973</v>
      </c>
      <c r="F147" s="318">
        <v>2</v>
      </c>
      <c r="G147" s="354" t="s">
        <v>62</v>
      </c>
      <c r="H147" s="320">
        <v>14400</v>
      </c>
      <c r="I147" s="321" t="b">
        <v>1</v>
      </c>
      <c r="J147" s="322">
        <v>2</v>
      </c>
      <c r="K147" s="323" t="s">
        <v>1973</v>
      </c>
      <c r="L147" s="371" t="e">
        <f t="shared" si="2"/>
        <v>#VALUE!</v>
      </c>
      <c r="M147" s="325"/>
    </row>
    <row r="148" spans="1:13" ht="13">
      <c r="A148" s="18" t="s">
        <v>1101</v>
      </c>
      <c r="B148" s="316" t="s">
        <v>1973</v>
      </c>
      <c r="C148" s="316" t="s">
        <v>1973</v>
      </c>
      <c r="D148" s="316" t="s">
        <v>1973</v>
      </c>
      <c r="E148" s="317" t="s">
        <v>1973</v>
      </c>
      <c r="F148" s="318">
        <v>1</v>
      </c>
      <c r="G148" s="354" t="s">
        <v>62</v>
      </c>
      <c r="H148" s="320">
        <v>16100</v>
      </c>
      <c r="I148" s="319" t="b">
        <v>0</v>
      </c>
      <c r="J148" s="372"/>
      <c r="K148" s="373" t="s">
        <v>1973</v>
      </c>
      <c r="L148" s="374" t="e">
        <f t="shared" si="2"/>
        <v>#VALUE!</v>
      </c>
      <c r="M148" s="325"/>
    </row>
    <row r="149" spans="1:13" ht="13">
      <c r="A149" s="316" t="s">
        <v>639</v>
      </c>
      <c r="B149" s="316" t="s">
        <v>1973</v>
      </c>
      <c r="C149" s="316" t="s">
        <v>1973</v>
      </c>
      <c r="D149" s="316" t="s">
        <v>1973</v>
      </c>
      <c r="E149" s="317" t="s">
        <v>1973</v>
      </c>
      <c r="F149" s="318">
        <v>1</v>
      </c>
      <c r="G149" s="354" t="s">
        <v>36</v>
      </c>
      <c r="H149" s="320">
        <v>125000</v>
      </c>
      <c r="I149" s="321" t="b">
        <v>1</v>
      </c>
      <c r="J149" s="322">
        <v>1</v>
      </c>
      <c r="K149" s="323">
        <v>126000</v>
      </c>
      <c r="L149" s="379">
        <f t="shared" si="2"/>
        <v>126000</v>
      </c>
      <c r="M149" s="325"/>
    </row>
    <row r="150" spans="1:13" ht="13">
      <c r="A150" s="316" t="s">
        <v>1610</v>
      </c>
      <c r="B150" s="316" t="s">
        <v>1973</v>
      </c>
      <c r="C150" s="316" t="s">
        <v>1973</v>
      </c>
      <c r="D150" s="316" t="s">
        <v>1973</v>
      </c>
      <c r="E150" s="317" t="s">
        <v>1973</v>
      </c>
      <c r="F150" s="318">
        <v>3</v>
      </c>
      <c r="G150" s="354" t="s">
        <v>36</v>
      </c>
      <c r="H150" s="320">
        <v>30000</v>
      </c>
      <c r="I150" s="321" t="b">
        <v>1</v>
      </c>
      <c r="J150" s="322">
        <v>3</v>
      </c>
      <c r="K150" s="323" t="e">
        <f>VLOOKUP($A150,'[1]Database Bahan &amp; Alat (Terupdat'!$B$50:$N$232,6,FALSE)</f>
        <v>#N/A</v>
      </c>
      <c r="L150" s="371" t="e">
        <f t="shared" si="2"/>
        <v>#N/A</v>
      </c>
      <c r="M150" s="325"/>
    </row>
    <row r="151" spans="1:13" ht="13">
      <c r="A151" s="316" t="s">
        <v>1611</v>
      </c>
      <c r="B151" s="316" t="s">
        <v>1973</v>
      </c>
      <c r="C151" s="316" t="s">
        <v>1973</v>
      </c>
      <c r="D151" s="316" t="s">
        <v>1973</v>
      </c>
      <c r="E151" s="317" t="s">
        <v>1973</v>
      </c>
      <c r="F151" s="318">
        <v>3</v>
      </c>
      <c r="G151" s="354" t="s">
        <v>36</v>
      </c>
      <c r="H151" s="320">
        <v>150000</v>
      </c>
      <c r="I151" s="321" t="b">
        <v>1</v>
      </c>
      <c r="J151" s="322">
        <v>3</v>
      </c>
      <c r="K151" s="323">
        <v>46000</v>
      </c>
      <c r="L151" s="380">
        <f t="shared" si="2"/>
        <v>138000</v>
      </c>
      <c r="M151" s="325"/>
    </row>
    <row r="152" spans="1:13" ht="13">
      <c r="A152" s="316" t="s">
        <v>1698</v>
      </c>
      <c r="B152" s="316" t="s">
        <v>1973</v>
      </c>
      <c r="C152" s="316" t="s">
        <v>1973</v>
      </c>
      <c r="D152" s="316" t="s">
        <v>1973</v>
      </c>
      <c r="E152" s="317" t="s">
        <v>1973</v>
      </c>
      <c r="F152" s="318">
        <v>3</v>
      </c>
      <c r="G152" s="354" t="s">
        <v>36</v>
      </c>
      <c r="H152" s="320">
        <v>111000</v>
      </c>
      <c r="I152" s="321" t="b">
        <v>1</v>
      </c>
      <c r="J152" s="322">
        <v>3</v>
      </c>
      <c r="K152" s="323">
        <v>34000</v>
      </c>
      <c r="L152" s="380">
        <f t="shared" si="2"/>
        <v>102000</v>
      </c>
      <c r="M152" s="325"/>
    </row>
    <row r="153" spans="1:13" ht="13">
      <c r="A153" s="316" t="s">
        <v>1699</v>
      </c>
      <c r="B153" s="316" t="s">
        <v>1973</v>
      </c>
      <c r="C153" s="316" t="s">
        <v>1973</v>
      </c>
      <c r="D153" s="316" t="s">
        <v>1973</v>
      </c>
      <c r="E153" s="317" t="s">
        <v>1973</v>
      </c>
      <c r="F153" s="318">
        <v>0.5</v>
      </c>
      <c r="G153" s="354" t="s">
        <v>36</v>
      </c>
      <c r="H153" s="320">
        <v>34000</v>
      </c>
      <c r="I153" s="321" t="b">
        <v>1</v>
      </c>
      <c r="J153" s="322">
        <v>0.5</v>
      </c>
      <c r="K153" s="323">
        <v>70000</v>
      </c>
      <c r="L153" s="379">
        <f t="shared" si="2"/>
        <v>35000</v>
      </c>
      <c r="M153" s="325" t="s">
        <v>1714</v>
      </c>
    </row>
    <row r="154" spans="1:13" ht="13">
      <c r="A154" s="316" t="s">
        <v>1707</v>
      </c>
      <c r="B154" s="316" t="s">
        <v>1973</v>
      </c>
      <c r="C154" s="316" t="s">
        <v>1973</v>
      </c>
      <c r="D154" s="316" t="s">
        <v>1973</v>
      </c>
      <c r="E154" s="317" t="s">
        <v>1973</v>
      </c>
      <c r="F154" s="318">
        <v>0.25</v>
      </c>
      <c r="G154" s="354" t="s">
        <v>36</v>
      </c>
      <c r="H154" s="320">
        <v>7000</v>
      </c>
      <c r="I154" s="321" t="b">
        <v>1</v>
      </c>
      <c r="J154" s="322">
        <v>0.25</v>
      </c>
      <c r="K154" s="323">
        <v>72000</v>
      </c>
      <c r="L154" s="379">
        <f t="shared" si="2"/>
        <v>18000</v>
      </c>
      <c r="M154" s="325" t="s">
        <v>1729</v>
      </c>
    </row>
    <row r="155" spans="1:13" ht="13">
      <c r="A155" s="316" t="s">
        <v>675</v>
      </c>
      <c r="B155" s="316" t="s">
        <v>1973</v>
      </c>
      <c r="C155" s="316" t="s">
        <v>1973</v>
      </c>
      <c r="D155" s="316" t="s">
        <v>1973</v>
      </c>
      <c r="E155" s="317" t="s">
        <v>1973</v>
      </c>
      <c r="F155" s="318">
        <v>20</v>
      </c>
      <c r="G155" s="354" t="s">
        <v>62</v>
      </c>
      <c r="H155" s="320">
        <v>90000</v>
      </c>
      <c r="I155" s="321" t="b">
        <v>1</v>
      </c>
      <c r="J155" s="322">
        <v>20</v>
      </c>
      <c r="K155" s="323" t="e">
        <f>VLOOKUP($A155,'[1]Database Bahan &amp; Alat (Terupdat'!$B$50:$N$232,6,FALSE)</f>
        <v>#N/A</v>
      </c>
      <c r="L155" s="371" t="e">
        <f t="shared" si="2"/>
        <v>#N/A</v>
      </c>
      <c r="M155" s="325"/>
    </row>
    <row r="156" spans="1:13" ht="13">
      <c r="A156" s="316" t="s">
        <v>712</v>
      </c>
      <c r="B156" s="316" t="s">
        <v>1973</v>
      </c>
      <c r="C156" s="316" t="s">
        <v>1973</v>
      </c>
      <c r="D156" s="316" t="s">
        <v>1973</v>
      </c>
      <c r="E156" s="317" t="s">
        <v>1973</v>
      </c>
      <c r="F156" s="318">
        <v>2</v>
      </c>
      <c r="G156" s="354" t="s">
        <v>36</v>
      </c>
      <c r="H156" s="320">
        <v>48000</v>
      </c>
      <c r="I156" s="321" t="b">
        <v>1</v>
      </c>
      <c r="J156" s="322">
        <v>2</v>
      </c>
      <c r="K156" s="323">
        <v>26000</v>
      </c>
      <c r="L156" s="379">
        <f t="shared" si="2"/>
        <v>52000</v>
      </c>
      <c r="M156" s="325" t="s">
        <v>1716</v>
      </c>
    </row>
    <row r="157" spans="1:13" ht="13">
      <c r="A157" s="316" t="s">
        <v>724</v>
      </c>
      <c r="B157" s="316" t="s">
        <v>1973</v>
      </c>
      <c r="C157" s="316" t="s">
        <v>1973</v>
      </c>
      <c r="D157" s="316" t="s">
        <v>1973</v>
      </c>
      <c r="E157" s="317" t="s">
        <v>1973</v>
      </c>
      <c r="F157" s="318">
        <v>0.5</v>
      </c>
      <c r="G157" s="354" t="s">
        <v>36</v>
      </c>
      <c r="H157" s="320">
        <v>10000</v>
      </c>
      <c r="I157" s="321" t="b">
        <v>1</v>
      </c>
      <c r="J157" s="322">
        <v>0.5</v>
      </c>
      <c r="K157" s="323" t="s">
        <v>1973</v>
      </c>
      <c r="L157" s="371" t="e">
        <f t="shared" si="2"/>
        <v>#VALUE!</v>
      </c>
      <c r="M157" s="325"/>
    </row>
    <row r="158" spans="1:13" ht="13">
      <c r="A158" s="316" t="s">
        <v>732</v>
      </c>
      <c r="B158" s="316" t="s">
        <v>1973</v>
      </c>
      <c r="C158" s="316" t="s">
        <v>1973</v>
      </c>
      <c r="D158" s="316" t="s">
        <v>1973</v>
      </c>
      <c r="E158" s="317" t="s">
        <v>1973</v>
      </c>
      <c r="F158" s="318">
        <v>2</v>
      </c>
      <c r="G158" s="354" t="s">
        <v>36</v>
      </c>
      <c r="H158" s="320">
        <v>52000</v>
      </c>
      <c r="I158" s="321" t="b">
        <v>1</v>
      </c>
      <c r="J158" s="322">
        <v>2</v>
      </c>
      <c r="K158" s="323" t="s">
        <v>1973</v>
      </c>
      <c r="L158" s="371" t="e">
        <f t="shared" si="2"/>
        <v>#VALUE!</v>
      </c>
      <c r="M158" s="325"/>
    </row>
    <row r="159" spans="1:13" ht="13">
      <c r="A159" s="316" t="s">
        <v>744</v>
      </c>
      <c r="B159" s="316" t="s">
        <v>1973</v>
      </c>
      <c r="C159" s="316" t="s">
        <v>1973</v>
      </c>
      <c r="D159" s="316" t="s">
        <v>1973</v>
      </c>
      <c r="E159" s="317" t="s">
        <v>1973</v>
      </c>
      <c r="F159" s="318">
        <v>0.5</v>
      </c>
      <c r="G159" s="354" t="s">
        <v>36</v>
      </c>
      <c r="H159" s="320">
        <v>35000</v>
      </c>
      <c r="I159" s="321" t="b">
        <v>1</v>
      </c>
      <c r="J159" s="322">
        <v>0.5</v>
      </c>
      <c r="K159" s="323" t="s">
        <v>1973</v>
      </c>
      <c r="L159" s="371" t="e">
        <f t="shared" si="2"/>
        <v>#VALUE!</v>
      </c>
      <c r="M159" s="325"/>
    </row>
    <row r="160" spans="1:13" ht="13">
      <c r="A160" s="316" t="s">
        <v>795</v>
      </c>
      <c r="B160" s="316" t="s">
        <v>1973</v>
      </c>
      <c r="C160" s="316" t="s">
        <v>1973</v>
      </c>
      <c r="D160" s="316" t="s">
        <v>1973</v>
      </c>
      <c r="E160" s="317" t="s">
        <v>1973</v>
      </c>
      <c r="F160" s="318">
        <v>10</v>
      </c>
      <c r="G160" s="354" t="s">
        <v>62</v>
      </c>
      <c r="H160" s="320">
        <v>50000</v>
      </c>
      <c r="I160" s="321" t="b">
        <v>1</v>
      </c>
      <c r="J160" s="322">
        <v>9</v>
      </c>
      <c r="K160" s="323" t="s">
        <v>1973</v>
      </c>
      <c r="L160" s="370" t="e">
        <f t="shared" si="2"/>
        <v>#VALUE!</v>
      </c>
      <c r="M160" s="325" t="s">
        <v>1730</v>
      </c>
    </row>
    <row r="161" spans="1:13" ht="13">
      <c r="A161" s="316" t="s">
        <v>819</v>
      </c>
      <c r="B161" s="316" t="s">
        <v>1973</v>
      </c>
      <c r="C161" s="316" t="s">
        <v>1973</v>
      </c>
      <c r="D161" s="316" t="s">
        <v>1973</v>
      </c>
      <c r="E161" s="317" t="s">
        <v>1973</v>
      </c>
      <c r="F161" s="318">
        <v>0.15</v>
      </c>
      <c r="G161" s="354" t="s">
        <v>36</v>
      </c>
      <c r="H161" s="320">
        <v>3000</v>
      </c>
      <c r="I161" s="321" t="b">
        <v>1</v>
      </c>
      <c r="J161" s="322">
        <v>0.2</v>
      </c>
      <c r="K161" s="323" t="s">
        <v>1973</v>
      </c>
      <c r="L161" s="371" t="e">
        <f t="shared" si="2"/>
        <v>#VALUE!</v>
      </c>
      <c r="M161" s="325"/>
    </row>
    <row r="162" spans="1:13" ht="13">
      <c r="A162" s="316" t="s">
        <v>827</v>
      </c>
      <c r="B162" s="316" t="s">
        <v>1973</v>
      </c>
      <c r="C162" s="316" t="s">
        <v>1973</v>
      </c>
      <c r="D162" s="316" t="s">
        <v>1973</v>
      </c>
      <c r="E162" s="317" t="s">
        <v>1973</v>
      </c>
      <c r="F162" s="318">
        <v>0.5</v>
      </c>
      <c r="G162" s="354" t="s">
        <v>36</v>
      </c>
      <c r="H162" s="320">
        <v>4000</v>
      </c>
      <c r="I162" s="321" t="b">
        <v>1</v>
      </c>
      <c r="J162" s="322">
        <v>0.5</v>
      </c>
      <c r="K162" s="323" t="s">
        <v>1973</v>
      </c>
      <c r="L162" s="371" t="e">
        <f t="shared" si="2"/>
        <v>#VALUE!</v>
      </c>
      <c r="M162" s="325"/>
    </row>
    <row r="163" spans="1:13" ht="13">
      <c r="A163" s="316" t="s">
        <v>1613</v>
      </c>
      <c r="B163" s="316" t="s">
        <v>1973</v>
      </c>
      <c r="C163" s="316" t="s">
        <v>1973</v>
      </c>
      <c r="D163" s="316" t="s">
        <v>1973</v>
      </c>
      <c r="E163" s="317" t="s">
        <v>1973</v>
      </c>
      <c r="F163" s="318">
        <v>0.3</v>
      </c>
      <c r="G163" s="354" t="s">
        <v>36</v>
      </c>
      <c r="H163" s="320">
        <v>12900</v>
      </c>
      <c r="I163" s="321" t="b">
        <v>1</v>
      </c>
      <c r="J163" s="322">
        <v>0.4</v>
      </c>
      <c r="K163" s="323">
        <v>48000</v>
      </c>
      <c r="L163" s="379">
        <f t="shared" si="2"/>
        <v>19200</v>
      </c>
      <c r="M163" s="325"/>
    </row>
    <row r="164" spans="1:13" ht="13">
      <c r="A164" s="316" t="s">
        <v>1614</v>
      </c>
      <c r="B164" s="316" t="s">
        <v>1973</v>
      </c>
      <c r="C164" s="316" t="s">
        <v>1973</v>
      </c>
      <c r="D164" s="316" t="s">
        <v>1973</v>
      </c>
      <c r="E164" s="317" t="s">
        <v>1973</v>
      </c>
      <c r="F164" s="318">
        <v>0.4</v>
      </c>
      <c r="G164" s="354" t="s">
        <v>36</v>
      </c>
      <c r="H164" s="320">
        <v>54000</v>
      </c>
      <c r="I164" s="321" t="b">
        <v>1</v>
      </c>
      <c r="J164" s="322">
        <v>0.3</v>
      </c>
      <c r="K164" s="323">
        <v>129000</v>
      </c>
      <c r="L164" s="380">
        <f t="shared" si="2"/>
        <v>38700</v>
      </c>
      <c r="M164" s="325"/>
    </row>
    <row r="165" spans="1:13" ht="13">
      <c r="A165" s="316" t="s">
        <v>885</v>
      </c>
      <c r="B165" s="316" t="s">
        <v>1973</v>
      </c>
      <c r="C165" s="316" t="s">
        <v>1973</v>
      </c>
      <c r="D165" s="316" t="s">
        <v>1973</v>
      </c>
      <c r="E165" s="317" t="s">
        <v>1973</v>
      </c>
      <c r="F165" s="318">
        <v>0.15</v>
      </c>
      <c r="G165" s="354" t="s">
        <v>36</v>
      </c>
      <c r="H165" s="320">
        <v>1800</v>
      </c>
      <c r="I165" s="321" t="b">
        <v>1</v>
      </c>
      <c r="J165" s="322">
        <v>0.2</v>
      </c>
      <c r="K165" s="323">
        <v>20000</v>
      </c>
      <c r="L165" s="379">
        <f t="shared" si="2"/>
        <v>4000</v>
      </c>
      <c r="M165" s="325"/>
    </row>
    <row r="166" spans="1:13" ht="13">
      <c r="A166" s="316" t="s">
        <v>1669</v>
      </c>
      <c r="B166" s="316" t="s">
        <v>1973</v>
      </c>
      <c r="C166" s="316" t="s">
        <v>1973</v>
      </c>
      <c r="D166" s="316" t="s">
        <v>1973</v>
      </c>
      <c r="E166" s="317" t="s">
        <v>1973</v>
      </c>
      <c r="F166" s="318">
        <v>3</v>
      </c>
      <c r="G166" s="354" t="s">
        <v>36</v>
      </c>
      <c r="H166" s="320">
        <v>39000</v>
      </c>
      <c r="I166" s="321" t="b">
        <v>1</v>
      </c>
      <c r="J166" s="322">
        <v>3</v>
      </c>
      <c r="K166" s="323" t="e">
        <f>VLOOKUP($A166,'[1]Database Bahan &amp; Alat (Terupdat'!$B$50:$N$232,6,FALSE)</f>
        <v>#N/A</v>
      </c>
      <c r="L166" s="371" t="e">
        <f t="shared" si="2"/>
        <v>#N/A</v>
      </c>
      <c r="M166" s="325"/>
    </row>
    <row r="167" spans="1:13" ht="13">
      <c r="A167" s="316" t="s">
        <v>1608</v>
      </c>
      <c r="B167" s="316" t="s">
        <v>1973</v>
      </c>
      <c r="C167" s="316" t="s">
        <v>1973</v>
      </c>
      <c r="D167" s="316" t="s">
        <v>1973</v>
      </c>
      <c r="E167" s="317" t="s">
        <v>1973</v>
      </c>
      <c r="F167" s="318">
        <v>0.7</v>
      </c>
      <c r="G167" s="354" t="s">
        <v>36</v>
      </c>
      <c r="H167" s="320">
        <v>48300</v>
      </c>
      <c r="I167" s="321" t="b">
        <v>1</v>
      </c>
      <c r="J167" s="322">
        <v>1</v>
      </c>
      <c r="K167" s="323">
        <v>54000</v>
      </c>
      <c r="L167" s="380">
        <f t="shared" si="2"/>
        <v>54000</v>
      </c>
      <c r="M167" s="325"/>
    </row>
    <row r="168" spans="1:13" ht="13">
      <c r="A168" s="316" t="s">
        <v>931</v>
      </c>
      <c r="B168" s="316" t="s">
        <v>1973</v>
      </c>
      <c r="C168" s="316" t="s">
        <v>1973</v>
      </c>
      <c r="D168" s="316" t="s">
        <v>1973</v>
      </c>
      <c r="E168" s="317" t="s">
        <v>1973</v>
      </c>
      <c r="F168" s="318">
        <v>0.5</v>
      </c>
      <c r="G168" s="354" t="s">
        <v>36</v>
      </c>
      <c r="H168" s="320">
        <v>10000</v>
      </c>
      <c r="I168" s="321" t="b">
        <v>1</v>
      </c>
      <c r="J168" s="322">
        <v>0.5</v>
      </c>
      <c r="K168" s="323" t="s">
        <v>1973</v>
      </c>
      <c r="L168" s="371" t="e">
        <f t="shared" si="2"/>
        <v>#VALUE!</v>
      </c>
      <c r="M168" s="325"/>
    </row>
    <row r="169" spans="1:13" ht="13">
      <c r="A169" s="316" t="s">
        <v>989</v>
      </c>
      <c r="B169" s="316" t="s">
        <v>1973</v>
      </c>
      <c r="C169" s="316" t="s">
        <v>1973</v>
      </c>
      <c r="D169" s="316" t="s">
        <v>1973</v>
      </c>
      <c r="E169" s="317" t="s">
        <v>1973</v>
      </c>
      <c r="F169" s="318">
        <v>3</v>
      </c>
      <c r="G169" s="354" t="s">
        <v>62</v>
      </c>
      <c r="H169" s="320">
        <v>51000</v>
      </c>
      <c r="I169" s="321" t="b">
        <v>1</v>
      </c>
      <c r="J169" s="322">
        <v>3</v>
      </c>
      <c r="K169" s="323" t="s">
        <v>1973</v>
      </c>
      <c r="L169" s="370" t="e">
        <f t="shared" si="2"/>
        <v>#VALUE!</v>
      </c>
      <c r="M169" s="325" t="s">
        <v>1731</v>
      </c>
    </row>
    <row r="170" spans="1:13" ht="13">
      <c r="A170" s="316" t="s">
        <v>1020</v>
      </c>
      <c r="B170" s="316" t="s">
        <v>1973</v>
      </c>
      <c r="C170" s="316" t="s">
        <v>1973</v>
      </c>
      <c r="D170" s="316" t="s">
        <v>1973</v>
      </c>
      <c r="E170" s="317" t="s">
        <v>1973</v>
      </c>
      <c r="F170" s="318">
        <v>1</v>
      </c>
      <c r="G170" s="354" t="s">
        <v>36</v>
      </c>
      <c r="H170" s="320">
        <v>12000</v>
      </c>
      <c r="I170" s="321" t="b">
        <v>1</v>
      </c>
      <c r="J170" s="322">
        <v>1</v>
      </c>
      <c r="K170" s="323" t="s">
        <v>1973</v>
      </c>
      <c r="L170" s="371" t="e">
        <f t="shared" si="2"/>
        <v>#VALUE!</v>
      </c>
      <c r="M170" s="325"/>
    </row>
    <row r="171" spans="1:13" ht="13">
      <c r="A171" s="316" t="s">
        <v>1600</v>
      </c>
      <c r="B171" s="316" t="s">
        <v>1973</v>
      </c>
      <c r="C171" s="316" t="s">
        <v>1973</v>
      </c>
      <c r="D171" s="316" t="s">
        <v>1973</v>
      </c>
      <c r="E171" s="317" t="s">
        <v>1973</v>
      </c>
      <c r="F171" s="318">
        <v>1</v>
      </c>
      <c r="G171" s="354" t="s">
        <v>36</v>
      </c>
      <c r="H171" s="320">
        <v>10000</v>
      </c>
      <c r="I171" s="321" t="b">
        <v>1</v>
      </c>
      <c r="J171" s="322">
        <v>1</v>
      </c>
      <c r="K171" s="323" t="s">
        <v>1973</v>
      </c>
      <c r="L171" s="371" t="e">
        <f t="shared" si="2"/>
        <v>#VALUE!</v>
      </c>
      <c r="M171" s="325"/>
    </row>
    <row r="172" spans="1:13" ht="13">
      <c r="A172" s="316" t="s">
        <v>1541</v>
      </c>
      <c r="B172" s="316" t="s">
        <v>1973</v>
      </c>
      <c r="C172" s="316" t="s">
        <v>1973</v>
      </c>
      <c r="D172" s="316" t="s">
        <v>1973</v>
      </c>
      <c r="E172" s="317" t="s">
        <v>1973</v>
      </c>
      <c r="F172" s="318">
        <v>1</v>
      </c>
      <c r="G172" s="354" t="s">
        <v>97</v>
      </c>
      <c r="H172" s="320">
        <v>195000</v>
      </c>
      <c r="I172" s="319" t="b">
        <v>0</v>
      </c>
      <c r="J172" s="372"/>
      <c r="K172" s="373" t="s">
        <v>1973</v>
      </c>
      <c r="L172" s="374" t="e">
        <f t="shared" si="2"/>
        <v>#VALUE!</v>
      </c>
      <c r="M172" s="325"/>
    </row>
    <row r="173" spans="1:13" ht="13">
      <c r="A173" s="316" t="s">
        <v>688</v>
      </c>
      <c r="B173" s="316" t="s">
        <v>1973</v>
      </c>
      <c r="C173" s="316" t="s">
        <v>1973</v>
      </c>
      <c r="D173" s="316" t="s">
        <v>1973</v>
      </c>
      <c r="E173" s="317" t="s">
        <v>1973</v>
      </c>
      <c r="F173" s="318">
        <v>2</v>
      </c>
      <c r="G173" s="354" t="s">
        <v>62</v>
      </c>
      <c r="H173" s="320">
        <v>115940</v>
      </c>
      <c r="I173" s="319" t="b">
        <v>0</v>
      </c>
      <c r="J173" s="372"/>
      <c r="K173" s="373" t="s">
        <v>1973</v>
      </c>
      <c r="L173" s="374" t="e">
        <f t="shared" si="2"/>
        <v>#VALUE!</v>
      </c>
      <c r="M173" s="325"/>
    </row>
    <row r="174" spans="1:13" ht="13">
      <c r="A174" s="316" t="s">
        <v>949</v>
      </c>
      <c r="B174" s="316" t="s">
        <v>1973</v>
      </c>
      <c r="C174" s="316" t="s">
        <v>1973</v>
      </c>
      <c r="D174" s="316" t="s">
        <v>1973</v>
      </c>
      <c r="E174" s="317" t="s">
        <v>1973</v>
      </c>
      <c r="F174" s="318">
        <v>1</v>
      </c>
      <c r="G174" s="354" t="s">
        <v>97</v>
      </c>
      <c r="H174" s="320">
        <v>23200</v>
      </c>
      <c r="I174" s="321" t="b">
        <v>1</v>
      </c>
      <c r="J174" s="322">
        <v>1</v>
      </c>
      <c r="K174" s="323" t="s">
        <v>1973</v>
      </c>
      <c r="L174" s="371" t="e">
        <f t="shared" si="2"/>
        <v>#VALUE!</v>
      </c>
      <c r="M174" s="325"/>
    </row>
    <row r="175" spans="1:13" ht="13">
      <c r="A175" s="316" t="s">
        <v>952</v>
      </c>
      <c r="B175" s="316" t="s">
        <v>1973</v>
      </c>
      <c r="C175" s="316" t="s">
        <v>1973</v>
      </c>
      <c r="D175" s="316" t="s">
        <v>1973</v>
      </c>
      <c r="E175" s="317" t="s">
        <v>1973</v>
      </c>
      <c r="F175" s="318">
        <v>1</v>
      </c>
      <c r="G175" s="354" t="s">
        <v>97</v>
      </c>
      <c r="H175" s="320">
        <v>27300</v>
      </c>
      <c r="I175" s="321" t="b">
        <v>1</v>
      </c>
      <c r="J175" s="322">
        <v>1</v>
      </c>
      <c r="K175" s="323" t="s">
        <v>1973</v>
      </c>
      <c r="L175" s="371" t="e">
        <f t="shared" si="2"/>
        <v>#VALUE!</v>
      </c>
      <c r="M175" s="325"/>
    </row>
    <row r="176" spans="1:13" ht="13">
      <c r="A176" s="316" t="s">
        <v>1705</v>
      </c>
      <c r="B176" s="316" t="s">
        <v>1973</v>
      </c>
      <c r="C176" s="316" t="s">
        <v>1973</v>
      </c>
      <c r="D176" s="316" t="s">
        <v>1973</v>
      </c>
      <c r="E176" s="317" t="s">
        <v>1973</v>
      </c>
      <c r="F176" s="318">
        <v>3</v>
      </c>
      <c r="G176" s="354" t="s">
        <v>62</v>
      </c>
      <c r="H176" s="320">
        <v>125400</v>
      </c>
      <c r="I176" s="321" t="b">
        <v>1</v>
      </c>
      <c r="J176" s="322">
        <v>3</v>
      </c>
      <c r="K176" s="323">
        <v>24500</v>
      </c>
      <c r="L176" s="380">
        <f t="shared" si="2"/>
        <v>73500</v>
      </c>
      <c r="M176" s="325"/>
    </row>
    <row r="177" spans="1:13" ht="13">
      <c r="A177" s="316" t="s">
        <v>779</v>
      </c>
      <c r="B177" s="316" t="s">
        <v>1973</v>
      </c>
      <c r="C177" s="316" t="s">
        <v>1973</v>
      </c>
      <c r="D177" s="316" t="s">
        <v>1973</v>
      </c>
      <c r="E177" s="317" t="s">
        <v>1973</v>
      </c>
      <c r="F177" s="318">
        <v>1</v>
      </c>
      <c r="G177" s="354" t="s">
        <v>62</v>
      </c>
      <c r="H177" s="320">
        <v>38500</v>
      </c>
      <c r="I177" s="321" t="b">
        <v>1</v>
      </c>
      <c r="J177" s="322">
        <v>1</v>
      </c>
      <c r="K177" s="323">
        <v>36000</v>
      </c>
      <c r="L177" s="380">
        <f t="shared" si="2"/>
        <v>36000</v>
      </c>
      <c r="M177" s="325"/>
    </row>
    <row r="178" spans="1:13" ht="13">
      <c r="A178" s="316" t="s">
        <v>874</v>
      </c>
      <c r="B178" s="316" t="s">
        <v>1973</v>
      </c>
      <c r="C178" s="316" t="s">
        <v>1973</v>
      </c>
      <c r="D178" s="316" t="s">
        <v>1973</v>
      </c>
      <c r="E178" s="317" t="s">
        <v>1973</v>
      </c>
      <c r="F178" s="318">
        <v>2</v>
      </c>
      <c r="G178" s="354" t="s">
        <v>62</v>
      </c>
      <c r="H178" s="320">
        <v>32000</v>
      </c>
      <c r="I178" s="321" t="b">
        <v>1</v>
      </c>
      <c r="J178" s="322">
        <v>2</v>
      </c>
      <c r="K178" s="323">
        <v>17000</v>
      </c>
      <c r="L178" s="379">
        <f t="shared" si="2"/>
        <v>34000</v>
      </c>
      <c r="M178" s="325"/>
    </row>
    <row r="179" spans="1:13" ht="13">
      <c r="A179" s="316" t="s">
        <v>1606</v>
      </c>
      <c r="B179" s="316" t="s">
        <v>1973</v>
      </c>
      <c r="C179" s="316" t="s">
        <v>1973</v>
      </c>
      <c r="D179" s="316" t="s">
        <v>1973</v>
      </c>
      <c r="E179" s="317" t="s">
        <v>1973</v>
      </c>
      <c r="F179" s="318">
        <v>0.7</v>
      </c>
      <c r="G179" s="354" t="s">
        <v>36</v>
      </c>
      <c r="H179" s="320">
        <v>30239.999999999996</v>
      </c>
      <c r="I179" s="321" t="b">
        <v>1</v>
      </c>
      <c r="J179" s="322">
        <v>0.63600000000000001</v>
      </c>
      <c r="K179" s="323" t="s">
        <v>1973</v>
      </c>
      <c r="L179" s="371" t="e">
        <f t="shared" si="2"/>
        <v>#VALUE!</v>
      </c>
      <c r="M179" s="325"/>
    </row>
    <row r="180" spans="1:13" ht="13">
      <c r="A180" s="316" t="s">
        <v>910</v>
      </c>
      <c r="B180" s="316" t="s">
        <v>1973</v>
      </c>
      <c r="C180" s="316" t="s">
        <v>1973</v>
      </c>
      <c r="D180" s="316" t="s">
        <v>1973</v>
      </c>
      <c r="E180" s="317" t="s">
        <v>1973</v>
      </c>
      <c r="F180" s="318">
        <v>3</v>
      </c>
      <c r="G180" s="354" t="s">
        <v>62</v>
      </c>
      <c r="H180" s="320">
        <v>39000</v>
      </c>
      <c r="I180" s="321" t="b">
        <v>1</v>
      </c>
      <c r="J180" s="322">
        <v>2</v>
      </c>
      <c r="K180" s="323" t="s">
        <v>1973</v>
      </c>
      <c r="L180" s="371" t="e">
        <f t="shared" si="2"/>
        <v>#VALUE!</v>
      </c>
      <c r="M180" s="325"/>
    </row>
    <row r="181" spans="1:13" ht="13">
      <c r="A181" s="316" t="s">
        <v>1683</v>
      </c>
      <c r="B181" s="316" t="s">
        <v>1973</v>
      </c>
      <c r="C181" s="316" t="s">
        <v>1973</v>
      </c>
      <c r="D181" s="316" t="s">
        <v>1973</v>
      </c>
      <c r="E181" s="317" t="s">
        <v>1973</v>
      </c>
      <c r="F181" s="318">
        <v>0.25</v>
      </c>
      <c r="G181" s="354" t="s">
        <v>36</v>
      </c>
      <c r="H181" s="320">
        <v>7500</v>
      </c>
      <c r="I181" s="321" t="b">
        <v>1</v>
      </c>
      <c r="J181" s="322">
        <f>0.106*2</f>
        <v>0.21199999999999999</v>
      </c>
      <c r="K181" s="323" t="s">
        <v>1973</v>
      </c>
      <c r="L181" s="371" t="e">
        <f t="shared" si="2"/>
        <v>#VALUE!</v>
      </c>
      <c r="M181" s="325"/>
    </row>
    <row r="182" spans="1:13" ht="13">
      <c r="A182" s="316" t="s">
        <v>1602</v>
      </c>
      <c r="B182" s="316" t="s">
        <v>1973</v>
      </c>
      <c r="C182" s="316" t="s">
        <v>1973</v>
      </c>
      <c r="D182" s="316" t="s">
        <v>1973</v>
      </c>
      <c r="E182" s="317" t="s">
        <v>1973</v>
      </c>
      <c r="F182" s="318">
        <v>2</v>
      </c>
      <c r="G182" s="354" t="s">
        <v>36</v>
      </c>
      <c r="H182" s="320">
        <v>28000</v>
      </c>
      <c r="I182" s="321" t="b">
        <v>1</v>
      </c>
      <c r="J182" s="322">
        <v>2</v>
      </c>
      <c r="K182" s="323" t="s">
        <v>1973</v>
      </c>
      <c r="L182" s="371" t="e">
        <f t="shared" si="2"/>
        <v>#VALUE!</v>
      </c>
      <c r="M182" s="325"/>
    </row>
    <row r="183" spans="1:13" ht="13">
      <c r="A183" s="316" t="s">
        <v>528</v>
      </c>
      <c r="B183" s="316" t="s">
        <v>1973</v>
      </c>
      <c r="C183" s="316" t="s">
        <v>1973</v>
      </c>
      <c r="D183" s="316" t="s">
        <v>1973</v>
      </c>
      <c r="E183" s="317" t="s">
        <v>1973</v>
      </c>
      <c r="F183" s="318">
        <v>3</v>
      </c>
      <c r="G183" s="354" t="s">
        <v>50</v>
      </c>
      <c r="H183" s="320">
        <v>48000</v>
      </c>
      <c r="I183" s="321" t="b">
        <v>1</v>
      </c>
      <c r="J183" s="322">
        <v>3</v>
      </c>
      <c r="K183" s="323" t="s">
        <v>1973</v>
      </c>
      <c r="L183" s="371" t="e">
        <f t="shared" si="2"/>
        <v>#VALUE!</v>
      </c>
      <c r="M183" s="325"/>
    </row>
    <row r="184" spans="1:13" ht="13">
      <c r="A184" s="316" t="s">
        <v>635</v>
      </c>
      <c r="B184" s="316" t="s">
        <v>1973</v>
      </c>
      <c r="C184" s="316" t="s">
        <v>1973</v>
      </c>
      <c r="D184" s="316" t="s">
        <v>1973</v>
      </c>
      <c r="E184" s="317" t="s">
        <v>1973</v>
      </c>
      <c r="F184" s="318">
        <v>6</v>
      </c>
      <c r="G184" s="354" t="s">
        <v>50</v>
      </c>
      <c r="H184" s="320">
        <v>57000</v>
      </c>
      <c r="I184" s="321" t="b">
        <v>1</v>
      </c>
      <c r="J184" s="322">
        <v>6</v>
      </c>
      <c r="K184" s="323" t="s">
        <v>1973</v>
      </c>
      <c r="L184" s="371" t="e">
        <f t="shared" si="2"/>
        <v>#VALUE!</v>
      </c>
      <c r="M184" s="325"/>
    </row>
    <row r="185" spans="1:13" ht="13">
      <c r="A185" s="316" t="s">
        <v>643</v>
      </c>
      <c r="B185" s="316" t="s">
        <v>1973</v>
      </c>
      <c r="C185" s="316" t="s">
        <v>1973</v>
      </c>
      <c r="D185" s="316" t="s">
        <v>1973</v>
      </c>
      <c r="E185" s="317" t="s">
        <v>1973</v>
      </c>
      <c r="F185" s="318">
        <v>0.5</v>
      </c>
      <c r="G185" s="354" t="s">
        <v>36</v>
      </c>
      <c r="H185" s="320">
        <v>7500</v>
      </c>
      <c r="I185" s="321" t="b">
        <v>1</v>
      </c>
      <c r="J185" s="322">
        <v>0.5</v>
      </c>
      <c r="K185" s="323" t="s">
        <v>1973</v>
      </c>
      <c r="L185" s="371" t="e">
        <f t="shared" si="2"/>
        <v>#VALUE!</v>
      </c>
      <c r="M185" s="325"/>
    </row>
    <row r="186" spans="1:13" ht="13">
      <c r="A186" s="316" t="s">
        <v>647</v>
      </c>
      <c r="B186" s="316" t="s">
        <v>1973</v>
      </c>
      <c r="C186" s="316" t="s">
        <v>1973</v>
      </c>
      <c r="D186" s="316" t="s">
        <v>1973</v>
      </c>
      <c r="E186" s="317" t="s">
        <v>1973</v>
      </c>
      <c r="F186" s="318">
        <v>1</v>
      </c>
      <c r="G186" s="354" t="s">
        <v>75</v>
      </c>
      <c r="H186" s="320">
        <v>48000</v>
      </c>
      <c r="I186" s="319" t="b">
        <v>0</v>
      </c>
      <c r="J186" s="372"/>
      <c r="K186" s="373" t="s">
        <v>1973</v>
      </c>
      <c r="L186" s="374" t="e">
        <f t="shared" si="2"/>
        <v>#VALUE!</v>
      </c>
      <c r="M186" s="325"/>
    </row>
    <row r="187" spans="1:13" ht="13">
      <c r="A187" s="316" t="s">
        <v>680</v>
      </c>
      <c r="B187" s="316" t="s">
        <v>1973</v>
      </c>
      <c r="C187" s="316" t="s">
        <v>1973</v>
      </c>
      <c r="D187" s="316" t="s">
        <v>1973</v>
      </c>
      <c r="E187" s="317" t="s">
        <v>1973</v>
      </c>
      <c r="F187" s="318">
        <v>2</v>
      </c>
      <c r="G187" s="354" t="s">
        <v>97</v>
      </c>
      <c r="H187" s="320">
        <v>62000</v>
      </c>
      <c r="I187" s="321" t="b">
        <v>1</v>
      </c>
      <c r="J187" s="322">
        <v>2</v>
      </c>
      <c r="K187" s="323" t="s">
        <v>1973</v>
      </c>
      <c r="L187" s="371" t="e">
        <f t="shared" si="2"/>
        <v>#VALUE!</v>
      </c>
      <c r="M187" s="325"/>
    </row>
    <row r="188" spans="1:13" ht="13">
      <c r="A188" s="316" t="s">
        <v>684</v>
      </c>
      <c r="B188" s="316" t="s">
        <v>1973</v>
      </c>
      <c r="C188" s="316" t="s">
        <v>1973</v>
      </c>
      <c r="D188" s="316" t="s">
        <v>1973</v>
      </c>
      <c r="E188" s="317" t="s">
        <v>1973</v>
      </c>
      <c r="F188" s="318">
        <v>1</v>
      </c>
      <c r="G188" s="354" t="s">
        <v>97</v>
      </c>
      <c r="H188" s="320">
        <v>31000</v>
      </c>
      <c r="I188" s="321" t="b">
        <v>1</v>
      </c>
      <c r="J188" s="322">
        <v>1</v>
      </c>
      <c r="K188" s="323" t="s">
        <v>1973</v>
      </c>
      <c r="L188" s="371" t="e">
        <f t="shared" si="2"/>
        <v>#VALUE!</v>
      </c>
      <c r="M188" s="325"/>
    </row>
    <row r="189" spans="1:13" ht="13">
      <c r="A189" s="316" t="s">
        <v>696</v>
      </c>
      <c r="B189" s="316" t="s">
        <v>1973</v>
      </c>
      <c r="C189" s="316" t="s">
        <v>1973</v>
      </c>
      <c r="D189" s="316" t="s">
        <v>1973</v>
      </c>
      <c r="E189" s="317" t="s">
        <v>1973</v>
      </c>
      <c r="F189" s="318">
        <v>5</v>
      </c>
      <c r="G189" s="354" t="s">
        <v>62</v>
      </c>
      <c r="H189" s="320">
        <v>55000</v>
      </c>
      <c r="I189" s="321" t="b">
        <v>1</v>
      </c>
      <c r="J189" s="322">
        <v>5</v>
      </c>
      <c r="K189" s="323" t="s">
        <v>1973</v>
      </c>
      <c r="L189" s="371" t="e">
        <f t="shared" si="2"/>
        <v>#VALUE!</v>
      </c>
      <c r="M189" s="325"/>
    </row>
    <row r="190" spans="1:13" ht="13">
      <c r="A190" s="316" t="s">
        <v>735</v>
      </c>
      <c r="B190" s="316" t="s">
        <v>1973</v>
      </c>
      <c r="C190" s="316" t="s">
        <v>1973</v>
      </c>
      <c r="D190" s="316" t="s">
        <v>1973</v>
      </c>
      <c r="E190" s="317" t="s">
        <v>1973</v>
      </c>
      <c r="F190" s="318">
        <v>1</v>
      </c>
      <c r="G190" s="354" t="s">
        <v>97</v>
      </c>
      <c r="H190" s="320">
        <v>48000</v>
      </c>
      <c r="I190" s="321" t="b">
        <v>1</v>
      </c>
      <c r="J190" s="322">
        <v>1</v>
      </c>
      <c r="K190" s="323" t="s">
        <v>1973</v>
      </c>
      <c r="L190" s="371" t="e">
        <f t="shared" si="2"/>
        <v>#VALUE!</v>
      </c>
      <c r="M190" s="325"/>
    </row>
    <row r="191" spans="1:13" ht="13">
      <c r="A191" s="316" t="s">
        <v>756</v>
      </c>
      <c r="B191" s="316" t="s">
        <v>1973</v>
      </c>
      <c r="C191" s="316" t="s">
        <v>1973</v>
      </c>
      <c r="D191" s="316" t="s">
        <v>1973</v>
      </c>
      <c r="E191" s="317" t="s">
        <v>1973</v>
      </c>
      <c r="F191" s="318">
        <v>1</v>
      </c>
      <c r="G191" s="354" t="s">
        <v>62</v>
      </c>
      <c r="H191" s="320">
        <v>25000</v>
      </c>
      <c r="I191" s="321" t="b">
        <v>1</v>
      </c>
      <c r="J191" s="322">
        <v>1</v>
      </c>
      <c r="K191" s="323" t="s">
        <v>1973</v>
      </c>
      <c r="L191" s="371" t="e">
        <f t="shared" si="2"/>
        <v>#VALUE!</v>
      </c>
      <c r="M191" s="325"/>
    </row>
    <row r="192" spans="1:13" ht="13">
      <c r="A192" s="316" t="s">
        <v>892</v>
      </c>
      <c r="B192" s="316" t="s">
        <v>1973</v>
      </c>
      <c r="C192" s="316" t="s">
        <v>1973</v>
      </c>
      <c r="D192" s="316" t="s">
        <v>1973</v>
      </c>
      <c r="E192" s="317" t="s">
        <v>1973</v>
      </c>
      <c r="F192" s="318">
        <v>2</v>
      </c>
      <c r="G192" s="354" t="s">
        <v>36</v>
      </c>
      <c r="H192" s="320">
        <v>250000</v>
      </c>
      <c r="I192" s="321" t="b">
        <v>1</v>
      </c>
      <c r="J192" s="322">
        <v>2</v>
      </c>
      <c r="K192" s="323" t="s">
        <v>1973</v>
      </c>
      <c r="L192" s="371" t="e">
        <f t="shared" si="2"/>
        <v>#VALUE!</v>
      </c>
      <c r="M192" s="325"/>
    </row>
    <row r="193" spans="1:13" ht="13">
      <c r="A193" s="316" t="s">
        <v>934</v>
      </c>
      <c r="B193" s="316" t="s">
        <v>1973</v>
      </c>
      <c r="C193" s="316" t="s">
        <v>1973</v>
      </c>
      <c r="D193" s="316" t="s">
        <v>1973</v>
      </c>
      <c r="E193" s="317" t="s">
        <v>1973</v>
      </c>
      <c r="F193" s="318">
        <v>2</v>
      </c>
      <c r="G193" s="354" t="s">
        <v>62</v>
      </c>
      <c r="H193" s="320">
        <v>18000</v>
      </c>
      <c r="I193" s="321" t="b">
        <v>1</v>
      </c>
      <c r="J193" s="322">
        <v>2</v>
      </c>
      <c r="K193" s="323" t="s">
        <v>1973</v>
      </c>
      <c r="L193" s="371" t="e">
        <f t="shared" si="2"/>
        <v>#VALUE!</v>
      </c>
      <c r="M193" s="325"/>
    </row>
    <row r="194" spans="1:13" ht="13">
      <c r="A194" s="316" t="s">
        <v>1037</v>
      </c>
      <c r="B194" s="316" t="s">
        <v>1973</v>
      </c>
      <c r="C194" s="316" t="s">
        <v>1973</v>
      </c>
      <c r="D194" s="316" t="s">
        <v>1973</v>
      </c>
      <c r="E194" s="317" t="s">
        <v>1973</v>
      </c>
      <c r="F194" s="318">
        <v>1</v>
      </c>
      <c r="G194" s="354" t="s">
        <v>62</v>
      </c>
      <c r="H194" s="320">
        <v>20100</v>
      </c>
      <c r="I194" s="319" t="b">
        <v>0</v>
      </c>
      <c r="J194" s="372"/>
      <c r="K194" s="373" t="s">
        <v>1973</v>
      </c>
      <c r="L194" s="374" t="e">
        <f t="shared" si="2"/>
        <v>#VALUE!</v>
      </c>
      <c r="M194" s="325"/>
    </row>
    <row r="196" spans="1:13" ht="13">
      <c r="F196" s="429">
        <v>44631</v>
      </c>
      <c r="G196" s="428"/>
      <c r="H196" s="424"/>
      <c r="J196" s="429">
        <f>F196+1</f>
        <v>44632</v>
      </c>
      <c r="K196" s="428"/>
      <c r="L196" s="424"/>
    </row>
    <row r="197" spans="1:13" ht="13">
      <c r="F197" s="425" t="s">
        <v>1490</v>
      </c>
      <c r="G197" s="426"/>
      <c r="H197" s="304">
        <f>SUM(H199:H255)</f>
        <v>2635007</v>
      </c>
      <c r="J197" s="425" t="s">
        <v>1491</v>
      </c>
      <c r="K197" s="426"/>
      <c r="L197" s="304" t="e">
        <f>SUM(L199:L255)</f>
        <v>#VALUE!</v>
      </c>
    </row>
    <row r="198" spans="1:13" ht="13">
      <c r="A198" s="2" t="s">
        <v>4</v>
      </c>
      <c r="B198" s="305" t="s">
        <v>5</v>
      </c>
      <c r="C198" s="305" t="s">
        <v>11</v>
      </c>
      <c r="D198" s="305" t="s">
        <v>12</v>
      </c>
      <c r="E198" s="306" t="s">
        <v>6</v>
      </c>
      <c r="F198" s="307" t="s">
        <v>1494</v>
      </c>
      <c r="G198" s="308" t="s">
        <v>10</v>
      </c>
      <c r="H198" s="309" t="s">
        <v>1495</v>
      </c>
      <c r="I198" s="310" t="s">
        <v>1289</v>
      </c>
      <c r="J198" s="311" t="s">
        <v>1496</v>
      </c>
      <c r="K198" s="312" t="s">
        <v>1497</v>
      </c>
      <c r="L198" s="313" t="s">
        <v>1498</v>
      </c>
      <c r="M198" s="314" t="s">
        <v>16</v>
      </c>
    </row>
    <row r="199" spans="1:13" ht="13">
      <c r="A199" s="316" t="s">
        <v>544</v>
      </c>
      <c r="B199" s="316" t="s">
        <v>1973</v>
      </c>
      <c r="C199" s="316" t="s">
        <v>1973</v>
      </c>
      <c r="D199" s="316" t="s">
        <v>1973</v>
      </c>
      <c r="E199" s="317" t="s">
        <v>1973</v>
      </c>
      <c r="F199" s="318">
        <v>5</v>
      </c>
      <c r="G199" s="354" t="s">
        <v>62</v>
      </c>
      <c r="H199" s="320">
        <v>113000</v>
      </c>
      <c r="I199" s="321" t="b">
        <v>1</v>
      </c>
      <c r="J199" s="322">
        <v>3</v>
      </c>
      <c r="K199" s="323" t="s">
        <v>1973</v>
      </c>
      <c r="L199" s="371" t="e">
        <f t="shared" ref="L199:L255" si="3">J199*K199</f>
        <v>#VALUE!</v>
      </c>
      <c r="M199" s="325"/>
    </row>
    <row r="200" spans="1:13" ht="13">
      <c r="A200" s="316" t="s">
        <v>586</v>
      </c>
      <c r="B200" s="316" t="s">
        <v>1973</v>
      </c>
      <c r="C200" s="316" t="s">
        <v>1973</v>
      </c>
      <c r="D200" s="316" t="s">
        <v>1973</v>
      </c>
      <c r="E200" s="317" t="s">
        <v>1973</v>
      </c>
      <c r="F200" s="318">
        <v>4</v>
      </c>
      <c r="G200" s="354" t="s">
        <v>62</v>
      </c>
      <c r="H200" s="320">
        <v>28800</v>
      </c>
      <c r="I200" s="321" t="b">
        <v>1</v>
      </c>
      <c r="J200" s="322">
        <v>3</v>
      </c>
      <c r="K200" s="323" t="s">
        <v>1973</v>
      </c>
      <c r="L200" s="371" t="e">
        <f t="shared" si="3"/>
        <v>#VALUE!</v>
      </c>
      <c r="M200" s="325"/>
    </row>
    <row r="201" spans="1:13" ht="13">
      <c r="A201" s="316" t="s">
        <v>627</v>
      </c>
      <c r="B201" s="316" t="s">
        <v>1973</v>
      </c>
      <c r="C201" s="316" t="s">
        <v>1973</v>
      </c>
      <c r="D201" s="316" t="s">
        <v>1973</v>
      </c>
      <c r="E201" s="317" t="s">
        <v>1973</v>
      </c>
      <c r="F201" s="318">
        <v>1</v>
      </c>
      <c r="G201" s="354" t="s">
        <v>36</v>
      </c>
      <c r="H201" s="320">
        <v>37900</v>
      </c>
      <c r="I201" s="321" t="b">
        <v>1</v>
      </c>
      <c r="J201" s="322">
        <v>800</v>
      </c>
      <c r="K201" s="323">
        <v>43.9</v>
      </c>
      <c r="L201" s="380">
        <f t="shared" si="3"/>
        <v>35120</v>
      </c>
      <c r="M201" s="325"/>
    </row>
    <row r="202" spans="1:13" ht="13">
      <c r="A202" s="316" t="s">
        <v>1598</v>
      </c>
      <c r="B202" s="316" t="s">
        <v>1973</v>
      </c>
      <c r="C202" s="316" t="s">
        <v>1973</v>
      </c>
      <c r="D202" s="316" t="s">
        <v>1973</v>
      </c>
      <c r="E202" s="317" t="s">
        <v>1973</v>
      </c>
      <c r="F202" s="318">
        <v>2</v>
      </c>
      <c r="G202" s="354" t="s">
        <v>97</v>
      </c>
      <c r="H202" s="320">
        <v>20800</v>
      </c>
      <c r="I202" s="321" t="b">
        <v>1</v>
      </c>
      <c r="J202" s="322">
        <v>2</v>
      </c>
      <c r="K202" s="323">
        <v>11500</v>
      </c>
      <c r="L202" s="379">
        <f t="shared" si="3"/>
        <v>23000</v>
      </c>
      <c r="M202" s="325"/>
    </row>
    <row r="203" spans="1:13" ht="13">
      <c r="A203" s="316" t="s">
        <v>770</v>
      </c>
      <c r="B203" s="316" t="s">
        <v>1973</v>
      </c>
      <c r="C203" s="316" t="s">
        <v>1973</v>
      </c>
      <c r="D203" s="316" t="s">
        <v>1973</v>
      </c>
      <c r="E203" s="317" t="s">
        <v>1973</v>
      </c>
      <c r="F203" s="318">
        <v>1</v>
      </c>
      <c r="G203" s="354" t="s">
        <v>97</v>
      </c>
      <c r="H203" s="320">
        <v>24400</v>
      </c>
      <c r="I203" s="321" t="b">
        <v>1</v>
      </c>
      <c r="J203" s="322">
        <v>1</v>
      </c>
      <c r="K203" s="323">
        <v>25000</v>
      </c>
      <c r="L203" s="379">
        <f t="shared" si="3"/>
        <v>25000</v>
      </c>
      <c r="M203" s="325"/>
    </row>
    <row r="204" spans="1:13" ht="13">
      <c r="A204" s="316" t="s">
        <v>782</v>
      </c>
      <c r="B204" s="316" t="s">
        <v>1973</v>
      </c>
      <c r="C204" s="316" t="s">
        <v>1973</v>
      </c>
      <c r="D204" s="316" t="s">
        <v>1973</v>
      </c>
      <c r="E204" s="317" t="s">
        <v>1973</v>
      </c>
      <c r="F204" s="318">
        <v>2</v>
      </c>
      <c r="G204" s="354" t="s">
        <v>62</v>
      </c>
      <c r="H204" s="320">
        <v>24000</v>
      </c>
      <c r="I204" s="321" t="b">
        <v>1</v>
      </c>
      <c r="J204" s="322">
        <v>1</v>
      </c>
      <c r="K204" s="323" t="s">
        <v>1973</v>
      </c>
      <c r="L204" s="371" t="e">
        <f t="shared" si="3"/>
        <v>#VALUE!</v>
      </c>
      <c r="M204" s="325"/>
    </row>
    <row r="205" spans="1:13" ht="13">
      <c r="A205" s="316" t="s">
        <v>919</v>
      </c>
      <c r="B205" s="316" t="s">
        <v>1973</v>
      </c>
      <c r="C205" s="316" t="s">
        <v>1973</v>
      </c>
      <c r="D205" s="316" t="s">
        <v>1973</v>
      </c>
      <c r="E205" s="317" t="s">
        <v>1973</v>
      </c>
      <c r="F205" s="318">
        <v>3</v>
      </c>
      <c r="G205" s="354" t="s">
        <v>62</v>
      </c>
      <c r="H205" s="320">
        <v>26400</v>
      </c>
      <c r="I205" s="321" t="b">
        <v>1</v>
      </c>
      <c r="J205" s="322">
        <v>2</v>
      </c>
      <c r="K205" s="323" t="s">
        <v>1973</v>
      </c>
      <c r="L205" s="371" t="e">
        <f t="shared" si="3"/>
        <v>#VALUE!</v>
      </c>
      <c r="M205" s="325"/>
    </row>
    <row r="206" spans="1:13" ht="13">
      <c r="A206" s="316" t="s">
        <v>937</v>
      </c>
      <c r="B206" s="316" t="s">
        <v>1973</v>
      </c>
      <c r="C206" s="316" t="s">
        <v>1973</v>
      </c>
      <c r="D206" s="316" t="s">
        <v>1973</v>
      </c>
      <c r="E206" s="317" t="s">
        <v>1973</v>
      </c>
      <c r="F206" s="318">
        <v>1</v>
      </c>
      <c r="G206" s="354" t="s">
        <v>62</v>
      </c>
      <c r="H206" s="320">
        <v>7200</v>
      </c>
      <c r="I206" s="321" t="b">
        <v>1</v>
      </c>
      <c r="J206" s="322">
        <v>1</v>
      </c>
      <c r="K206" s="323" t="s">
        <v>1973</v>
      </c>
      <c r="L206" s="371" t="e">
        <f t="shared" si="3"/>
        <v>#VALUE!</v>
      </c>
      <c r="M206" s="325"/>
    </row>
    <row r="207" spans="1:13" ht="13">
      <c r="A207" s="316" t="s">
        <v>1041</v>
      </c>
      <c r="B207" s="316" t="s">
        <v>1973</v>
      </c>
      <c r="C207" s="316" t="s">
        <v>1973</v>
      </c>
      <c r="D207" s="316" t="s">
        <v>1973</v>
      </c>
      <c r="E207" s="317" t="s">
        <v>1973</v>
      </c>
      <c r="F207" s="318">
        <v>1</v>
      </c>
      <c r="G207" s="354" t="s">
        <v>62</v>
      </c>
      <c r="H207" s="320">
        <v>12800</v>
      </c>
      <c r="I207" s="319" t="b">
        <v>0</v>
      </c>
      <c r="J207" s="372"/>
      <c r="K207" s="373" t="s">
        <v>1973</v>
      </c>
      <c r="L207" s="374" t="e">
        <f t="shared" si="3"/>
        <v>#VALUE!</v>
      </c>
      <c r="M207" s="325"/>
    </row>
    <row r="208" spans="1:13" ht="13">
      <c r="A208" s="18" t="s">
        <v>1094</v>
      </c>
      <c r="B208" s="316" t="s">
        <v>1973</v>
      </c>
      <c r="C208" s="316" t="s">
        <v>1973</v>
      </c>
      <c r="D208" s="316" t="s">
        <v>1973</v>
      </c>
      <c r="E208" s="317" t="s">
        <v>1973</v>
      </c>
      <c r="F208" s="318">
        <v>2</v>
      </c>
      <c r="G208" s="354" t="s">
        <v>62</v>
      </c>
      <c r="H208" s="320">
        <v>35200</v>
      </c>
      <c r="I208" s="321" t="b">
        <v>1</v>
      </c>
      <c r="J208" s="322">
        <v>1</v>
      </c>
      <c r="K208" s="323" t="s">
        <v>1973</v>
      </c>
      <c r="L208" s="370" t="e">
        <f t="shared" si="3"/>
        <v>#VALUE!</v>
      </c>
      <c r="M208" s="325" t="s">
        <v>1732</v>
      </c>
    </row>
    <row r="209" spans="1:13" ht="13">
      <c r="A209" s="316" t="s">
        <v>1696</v>
      </c>
      <c r="B209" s="316" t="s">
        <v>1973</v>
      </c>
      <c r="C209" s="316" t="s">
        <v>1973</v>
      </c>
      <c r="D209" s="316" t="s">
        <v>1973</v>
      </c>
      <c r="E209" s="317" t="s">
        <v>1973</v>
      </c>
      <c r="F209" s="318">
        <v>1</v>
      </c>
      <c r="G209" s="354" t="s">
        <v>62</v>
      </c>
      <c r="H209" s="320">
        <v>15000</v>
      </c>
      <c r="I209" s="321" t="b">
        <v>1</v>
      </c>
      <c r="J209" s="322">
        <v>1</v>
      </c>
      <c r="K209" s="323">
        <v>12500</v>
      </c>
      <c r="L209" s="380">
        <f t="shared" si="3"/>
        <v>12500</v>
      </c>
      <c r="M209" s="325"/>
    </row>
    <row r="210" spans="1:13" ht="13">
      <c r="A210" s="316" t="s">
        <v>1697</v>
      </c>
      <c r="B210" s="316" t="s">
        <v>1973</v>
      </c>
      <c r="C210" s="316" t="s">
        <v>1973</v>
      </c>
      <c r="D210" s="316" t="s">
        <v>1973</v>
      </c>
      <c r="E210" s="317" t="s">
        <v>1973</v>
      </c>
      <c r="F210" s="318">
        <v>3</v>
      </c>
      <c r="G210" s="354" t="s">
        <v>62</v>
      </c>
      <c r="H210" s="320">
        <v>37500</v>
      </c>
      <c r="I210" s="321" t="b">
        <v>1</v>
      </c>
      <c r="J210" s="322">
        <v>3</v>
      </c>
      <c r="K210" s="323" t="s">
        <v>1973</v>
      </c>
      <c r="L210" s="371" t="e">
        <f t="shared" si="3"/>
        <v>#VALUE!</v>
      </c>
      <c r="M210" s="325"/>
    </row>
    <row r="211" spans="1:13" ht="13">
      <c r="A211" s="18" t="s">
        <v>1096</v>
      </c>
      <c r="B211" s="316" t="s">
        <v>1973</v>
      </c>
      <c r="C211" s="316" t="s">
        <v>1973</v>
      </c>
      <c r="D211" s="316" t="s">
        <v>1973</v>
      </c>
      <c r="E211" s="317" t="s">
        <v>1973</v>
      </c>
      <c r="F211" s="318">
        <v>1</v>
      </c>
      <c r="G211" s="354" t="s">
        <v>62</v>
      </c>
      <c r="H211" s="320">
        <v>9100</v>
      </c>
      <c r="I211" s="321" t="b">
        <v>1</v>
      </c>
      <c r="J211" s="322">
        <v>1</v>
      </c>
      <c r="K211" s="323" t="s">
        <v>1973</v>
      </c>
      <c r="L211" s="371" t="e">
        <f t="shared" si="3"/>
        <v>#VALUE!</v>
      </c>
      <c r="M211" s="325"/>
    </row>
    <row r="212" spans="1:13" ht="13">
      <c r="A212" s="316" t="s">
        <v>631</v>
      </c>
      <c r="B212" s="316" t="s">
        <v>1973</v>
      </c>
      <c r="C212" s="316" t="s">
        <v>1973</v>
      </c>
      <c r="D212" s="316" t="s">
        <v>1973</v>
      </c>
      <c r="E212" s="317" t="s">
        <v>1973</v>
      </c>
      <c r="F212" s="318">
        <v>1</v>
      </c>
      <c r="G212" s="354" t="s">
        <v>36</v>
      </c>
      <c r="H212" s="320">
        <v>16000</v>
      </c>
      <c r="I212" s="321" t="b">
        <v>1</v>
      </c>
      <c r="J212" s="322">
        <v>1</v>
      </c>
      <c r="K212" s="323" t="s">
        <v>1973</v>
      </c>
      <c r="L212" s="371" t="e">
        <f t="shared" si="3"/>
        <v>#VALUE!</v>
      </c>
      <c r="M212" s="325"/>
    </row>
    <row r="213" spans="1:13" ht="13">
      <c r="A213" s="316" t="s">
        <v>639</v>
      </c>
      <c r="B213" s="316" t="s">
        <v>1973</v>
      </c>
      <c r="C213" s="316" t="s">
        <v>1973</v>
      </c>
      <c r="D213" s="316" t="s">
        <v>1973</v>
      </c>
      <c r="E213" s="317" t="s">
        <v>1973</v>
      </c>
      <c r="F213" s="318">
        <v>1</v>
      </c>
      <c r="G213" s="354" t="s">
        <v>36</v>
      </c>
      <c r="H213" s="320">
        <v>125000</v>
      </c>
      <c r="I213" s="321" t="b">
        <v>1</v>
      </c>
      <c r="J213" s="322">
        <v>1</v>
      </c>
      <c r="K213" s="323">
        <v>130000</v>
      </c>
      <c r="L213" s="379">
        <f t="shared" si="3"/>
        <v>130000</v>
      </c>
      <c r="M213" s="325"/>
    </row>
    <row r="214" spans="1:13" ht="13">
      <c r="A214" s="316" t="s">
        <v>1610</v>
      </c>
      <c r="B214" s="316" t="s">
        <v>1973</v>
      </c>
      <c r="C214" s="316" t="s">
        <v>1973</v>
      </c>
      <c r="D214" s="316" t="s">
        <v>1973</v>
      </c>
      <c r="E214" s="317" t="s">
        <v>1973</v>
      </c>
      <c r="F214" s="318">
        <v>2</v>
      </c>
      <c r="G214" s="354" t="s">
        <v>36</v>
      </c>
      <c r="H214" s="320">
        <v>20000</v>
      </c>
      <c r="I214" s="321" t="b">
        <v>1</v>
      </c>
      <c r="J214" s="322">
        <v>2</v>
      </c>
      <c r="K214" s="323" t="e">
        <f>VLOOKUP($A214,'[1]Database Bahan &amp; Alat (Terupdat'!$B$50:$N$232,6,FALSE)</f>
        <v>#N/A</v>
      </c>
      <c r="L214" s="371" t="e">
        <f t="shared" si="3"/>
        <v>#N/A</v>
      </c>
      <c r="M214" s="325"/>
    </row>
    <row r="215" spans="1:13" ht="13">
      <c r="A215" s="316" t="s">
        <v>1611</v>
      </c>
      <c r="B215" s="316" t="s">
        <v>1973</v>
      </c>
      <c r="C215" s="316" t="s">
        <v>1973</v>
      </c>
      <c r="D215" s="316" t="s">
        <v>1973</v>
      </c>
      <c r="E215" s="317" t="s">
        <v>1973</v>
      </c>
      <c r="F215" s="318">
        <v>2</v>
      </c>
      <c r="G215" s="354" t="s">
        <v>36</v>
      </c>
      <c r="H215" s="320">
        <v>100000</v>
      </c>
      <c r="I215" s="321" t="b">
        <v>1</v>
      </c>
      <c r="J215" s="322">
        <v>2</v>
      </c>
      <c r="K215" s="323">
        <v>48000</v>
      </c>
      <c r="L215" s="380">
        <f t="shared" si="3"/>
        <v>96000</v>
      </c>
      <c r="M215" s="325"/>
    </row>
    <row r="216" spans="1:13" ht="13">
      <c r="A216" s="316" t="s">
        <v>675</v>
      </c>
      <c r="B216" s="316" t="s">
        <v>1973</v>
      </c>
      <c r="C216" s="316" t="s">
        <v>1973</v>
      </c>
      <c r="D216" s="316" t="s">
        <v>1973</v>
      </c>
      <c r="E216" s="317" t="s">
        <v>1973</v>
      </c>
      <c r="F216" s="318">
        <v>8</v>
      </c>
      <c r="G216" s="354" t="s">
        <v>62</v>
      </c>
      <c r="H216" s="320">
        <v>36000</v>
      </c>
      <c r="I216" s="321" t="b">
        <v>1</v>
      </c>
      <c r="J216" s="322">
        <v>8</v>
      </c>
      <c r="K216" s="323" t="e">
        <f>VLOOKUP($A216,'[1]Database Bahan &amp; Alat (Terupdat'!$B$50:$N$232,6,FALSE)</f>
        <v>#N/A</v>
      </c>
      <c r="L216" s="371" t="e">
        <f t="shared" si="3"/>
        <v>#N/A</v>
      </c>
      <c r="M216" s="325"/>
    </row>
    <row r="217" spans="1:13" ht="13">
      <c r="A217" s="316" t="s">
        <v>732</v>
      </c>
      <c r="B217" s="316" t="s">
        <v>1973</v>
      </c>
      <c r="C217" s="316" t="s">
        <v>1973</v>
      </c>
      <c r="D217" s="316" t="s">
        <v>1973</v>
      </c>
      <c r="E217" s="317" t="s">
        <v>1973</v>
      </c>
      <c r="F217" s="318">
        <v>2</v>
      </c>
      <c r="G217" s="354" t="s">
        <v>36</v>
      </c>
      <c r="H217" s="320">
        <v>52000</v>
      </c>
      <c r="I217" s="321" t="b">
        <v>1</v>
      </c>
      <c r="J217" s="322">
        <v>2</v>
      </c>
      <c r="K217" s="323">
        <v>28000</v>
      </c>
      <c r="L217" s="379">
        <f t="shared" si="3"/>
        <v>56000</v>
      </c>
      <c r="M217" s="325"/>
    </row>
    <row r="218" spans="1:13" ht="13">
      <c r="A218" s="316" t="s">
        <v>744</v>
      </c>
      <c r="B218" s="316" t="s">
        <v>1973</v>
      </c>
      <c r="C218" s="316" t="s">
        <v>1973</v>
      </c>
      <c r="D218" s="316" t="s">
        <v>1973</v>
      </c>
      <c r="E218" s="317" t="s">
        <v>1973</v>
      </c>
      <c r="F218" s="318">
        <v>0.3</v>
      </c>
      <c r="G218" s="354" t="s">
        <v>36</v>
      </c>
      <c r="H218" s="320">
        <v>21000</v>
      </c>
      <c r="I218" s="321" t="b">
        <v>1</v>
      </c>
      <c r="J218" s="322">
        <v>0.3</v>
      </c>
      <c r="K218" s="323" t="s">
        <v>1973</v>
      </c>
      <c r="L218" s="371" t="e">
        <f t="shared" si="3"/>
        <v>#VALUE!</v>
      </c>
      <c r="M218" s="325"/>
    </row>
    <row r="219" spans="1:13" ht="13">
      <c r="A219" s="316" t="s">
        <v>767</v>
      </c>
      <c r="B219" s="316" t="s">
        <v>1973</v>
      </c>
      <c r="C219" s="316" t="s">
        <v>1973</v>
      </c>
      <c r="D219" s="316" t="s">
        <v>1973</v>
      </c>
      <c r="E219" s="317" t="s">
        <v>1973</v>
      </c>
      <c r="F219" s="318">
        <v>6</v>
      </c>
      <c r="G219" s="354" t="s">
        <v>62</v>
      </c>
      <c r="H219" s="320">
        <v>120000</v>
      </c>
      <c r="I219" s="321" t="b">
        <v>1</v>
      </c>
      <c r="J219" s="322">
        <v>6</v>
      </c>
      <c r="K219" s="323" t="s">
        <v>1973</v>
      </c>
      <c r="L219" s="370" t="e">
        <f t="shared" si="3"/>
        <v>#VALUE!</v>
      </c>
      <c r="M219" s="325" t="s">
        <v>1733</v>
      </c>
    </row>
    <row r="220" spans="1:13" ht="13">
      <c r="A220" s="316" t="s">
        <v>1700</v>
      </c>
      <c r="B220" s="316" t="s">
        <v>1973</v>
      </c>
      <c r="C220" s="316" t="s">
        <v>1973</v>
      </c>
      <c r="D220" s="316" t="s">
        <v>1973</v>
      </c>
      <c r="E220" s="317" t="s">
        <v>1973</v>
      </c>
      <c r="F220" s="318">
        <v>10</v>
      </c>
      <c r="G220" s="354" t="s">
        <v>62</v>
      </c>
      <c r="H220" s="320">
        <v>150000</v>
      </c>
      <c r="I220" s="321" t="b">
        <v>1</v>
      </c>
      <c r="J220" s="322">
        <v>10</v>
      </c>
      <c r="K220" s="323">
        <v>18000</v>
      </c>
      <c r="L220" s="370">
        <f t="shared" si="3"/>
        <v>180000</v>
      </c>
      <c r="M220" s="325" t="s">
        <v>1734</v>
      </c>
    </row>
    <row r="221" spans="1:13" ht="13">
      <c r="A221" s="316" t="s">
        <v>1601</v>
      </c>
      <c r="B221" s="316" t="s">
        <v>1973</v>
      </c>
      <c r="C221" s="316" t="s">
        <v>1973</v>
      </c>
      <c r="D221" s="316" t="s">
        <v>1973</v>
      </c>
      <c r="E221" s="317" t="s">
        <v>1973</v>
      </c>
      <c r="F221" s="318">
        <v>2</v>
      </c>
      <c r="G221" s="354" t="s">
        <v>97</v>
      </c>
      <c r="H221" s="320">
        <v>42000</v>
      </c>
      <c r="I221" s="321" t="b">
        <v>1</v>
      </c>
      <c r="J221" s="322">
        <v>2</v>
      </c>
      <c r="K221" s="323" t="s">
        <v>1973</v>
      </c>
      <c r="L221" s="370" t="e">
        <f t="shared" si="3"/>
        <v>#VALUE!</v>
      </c>
      <c r="M221" s="325" t="s">
        <v>1735</v>
      </c>
    </row>
    <row r="222" spans="1:13" ht="13">
      <c r="A222" s="316" t="s">
        <v>795</v>
      </c>
      <c r="B222" s="316" t="s">
        <v>1973</v>
      </c>
      <c r="C222" s="316" t="s">
        <v>1973</v>
      </c>
      <c r="D222" s="316" t="s">
        <v>1973</v>
      </c>
      <c r="E222" s="317" t="s">
        <v>1973</v>
      </c>
      <c r="F222" s="318">
        <v>3</v>
      </c>
      <c r="G222" s="354" t="s">
        <v>62</v>
      </c>
      <c r="H222" s="320">
        <v>15000</v>
      </c>
      <c r="I222" s="321" t="b">
        <v>1</v>
      </c>
      <c r="J222" s="322">
        <v>3</v>
      </c>
      <c r="K222" s="323" t="s">
        <v>1973</v>
      </c>
      <c r="L222" s="371" t="e">
        <f t="shared" si="3"/>
        <v>#VALUE!</v>
      </c>
      <c r="M222" s="325"/>
    </row>
    <row r="223" spans="1:13" ht="13">
      <c r="A223" s="316" t="s">
        <v>1704</v>
      </c>
      <c r="B223" s="316" t="s">
        <v>1973</v>
      </c>
      <c r="C223" s="316" t="s">
        <v>1973</v>
      </c>
      <c r="D223" s="316" t="s">
        <v>1973</v>
      </c>
      <c r="E223" s="317" t="s">
        <v>1973</v>
      </c>
      <c r="F223" s="318">
        <v>0.15</v>
      </c>
      <c r="G223" s="354" t="s">
        <v>36</v>
      </c>
      <c r="H223" s="320">
        <v>1800</v>
      </c>
      <c r="I223" s="321" t="b">
        <v>1</v>
      </c>
      <c r="J223" s="322">
        <v>0.2</v>
      </c>
      <c r="K223" s="323">
        <v>10000</v>
      </c>
      <c r="L223" s="380">
        <f t="shared" si="3"/>
        <v>2000</v>
      </c>
      <c r="M223" s="325"/>
    </row>
    <row r="224" spans="1:13" ht="13">
      <c r="A224" s="316" t="s">
        <v>1701</v>
      </c>
      <c r="B224" s="316" t="s">
        <v>1973</v>
      </c>
      <c r="C224" s="316" t="s">
        <v>1973</v>
      </c>
      <c r="D224" s="316" t="s">
        <v>1973</v>
      </c>
      <c r="E224" s="317" t="s">
        <v>1973</v>
      </c>
      <c r="F224" s="318">
        <v>1</v>
      </c>
      <c r="G224" s="354" t="s">
        <v>36</v>
      </c>
      <c r="H224" s="320">
        <v>18000</v>
      </c>
      <c r="I224" s="319" t="b">
        <v>0</v>
      </c>
      <c r="J224" s="372"/>
      <c r="K224" s="373" t="e">
        <f>VLOOKUP($A224,'[1]Database Bahan &amp; Alat (Terupdat'!$B$50:$N$232,6,FALSE)</f>
        <v>#N/A</v>
      </c>
      <c r="L224" s="374" t="e">
        <f t="shared" si="3"/>
        <v>#N/A</v>
      </c>
      <c r="M224" s="325"/>
    </row>
    <row r="225" spans="1:13" ht="13">
      <c r="A225" s="316" t="s">
        <v>1614</v>
      </c>
      <c r="B225" s="316" t="s">
        <v>1973</v>
      </c>
      <c r="C225" s="316" t="s">
        <v>1973</v>
      </c>
      <c r="D225" s="316" t="s">
        <v>1973</v>
      </c>
      <c r="E225" s="317" t="s">
        <v>1973</v>
      </c>
      <c r="F225" s="318">
        <v>0.3</v>
      </c>
      <c r="G225" s="354" t="s">
        <v>36</v>
      </c>
      <c r="H225" s="320">
        <v>40500</v>
      </c>
      <c r="I225" s="321" t="b">
        <v>1</v>
      </c>
      <c r="J225" s="322">
        <v>0.3</v>
      </c>
      <c r="K225" s="323">
        <v>133000</v>
      </c>
      <c r="L225" s="380">
        <f t="shared" si="3"/>
        <v>39900</v>
      </c>
      <c r="M225" s="325"/>
    </row>
    <row r="226" spans="1:13" ht="13">
      <c r="A226" s="316" t="s">
        <v>1608</v>
      </c>
      <c r="B226" s="316" t="s">
        <v>1973</v>
      </c>
      <c r="C226" s="316" t="s">
        <v>1973</v>
      </c>
      <c r="D226" s="316" t="s">
        <v>1973</v>
      </c>
      <c r="E226" s="317" t="s">
        <v>1973</v>
      </c>
      <c r="F226" s="318">
        <v>1</v>
      </c>
      <c r="G226" s="354" t="s">
        <v>36</v>
      </c>
      <c r="H226" s="320">
        <v>69000</v>
      </c>
      <c r="I226" s="321" t="b">
        <v>1</v>
      </c>
      <c r="J226" s="322">
        <v>1</v>
      </c>
      <c r="K226" s="323">
        <v>56000</v>
      </c>
      <c r="L226" s="380">
        <f t="shared" si="3"/>
        <v>56000</v>
      </c>
      <c r="M226" s="325"/>
    </row>
    <row r="227" spans="1:13" ht="13">
      <c r="A227" s="316" t="s">
        <v>931</v>
      </c>
      <c r="B227" s="316" t="s">
        <v>1973</v>
      </c>
      <c r="C227" s="316" t="s">
        <v>1973</v>
      </c>
      <c r="D227" s="316" t="s">
        <v>1973</v>
      </c>
      <c r="E227" s="317" t="s">
        <v>1973</v>
      </c>
      <c r="F227" s="318">
        <v>1</v>
      </c>
      <c r="G227" s="354" t="s">
        <v>36</v>
      </c>
      <c r="H227" s="320">
        <v>20000</v>
      </c>
      <c r="I227" s="321" t="b">
        <v>1</v>
      </c>
      <c r="J227" s="322">
        <v>1</v>
      </c>
      <c r="K227" s="323" t="s">
        <v>1973</v>
      </c>
      <c r="L227" s="371" t="e">
        <f t="shared" si="3"/>
        <v>#VALUE!</v>
      </c>
      <c r="M227" s="325"/>
    </row>
    <row r="228" spans="1:13" ht="13">
      <c r="A228" s="316" t="s">
        <v>987</v>
      </c>
      <c r="B228" s="316" t="s">
        <v>1973</v>
      </c>
      <c r="C228" s="316" t="s">
        <v>1973</v>
      </c>
      <c r="D228" s="316" t="s">
        <v>1973</v>
      </c>
      <c r="E228" s="317" t="s">
        <v>1973</v>
      </c>
      <c r="F228" s="318">
        <v>2</v>
      </c>
      <c r="G228" s="354" t="s">
        <v>62</v>
      </c>
      <c r="H228" s="320">
        <v>34000</v>
      </c>
      <c r="I228" s="321" t="b">
        <v>1</v>
      </c>
      <c r="J228" s="322">
        <v>2</v>
      </c>
      <c r="K228" s="323" t="s">
        <v>1973</v>
      </c>
      <c r="L228" s="371" t="e">
        <f t="shared" si="3"/>
        <v>#VALUE!</v>
      </c>
      <c r="M228" s="325"/>
    </row>
    <row r="229" spans="1:13" ht="13">
      <c r="A229" s="316" t="s">
        <v>1000</v>
      </c>
      <c r="B229" s="316" t="s">
        <v>1973</v>
      </c>
      <c r="C229" s="316" t="s">
        <v>1973</v>
      </c>
      <c r="D229" s="316" t="s">
        <v>1973</v>
      </c>
      <c r="E229" s="317" t="s">
        <v>1973</v>
      </c>
      <c r="F229" s="318">
        <v>1</v>
      </c>
      <c r="G229" s="354" t="s">
        <v>62</v>
      </c>
      <c r="H229" s="320">
        <v>11500</v>
      </c>
      <c r="I229" s="321" t="b">
        <v>1</v>
      </c>
      <c r="J229" s="322">
        <v>1</v>
      </c>
      <c r="K229" s="323">
        <v>10000</v>
      </c>
      <c r="L229" s="380">
        <f t="shared" si="3"/>
        <v>10000</v>
      </c>
      <c r="M229" s="325"/>
    </row>
    <row r="230" spans="1:13" ht="13">
      <c r="A230" s="316" t="s">
        <v>1020</v>
      </c>
      <c r="B230" s="316" t="s">
        <v>1973</v>
      </c>
      <c r="C230" s="316" t="s">
        <v>1973</v>
      </c>
      <c r="D230" s="316" t="s">
        <v>1973</v>
      </c>
      <c r="E230" s="317" t="s">
        <v>1973</v>
      </c>
      <c r="F230" s="318">
        <v>1</v>
      </c>
      <c r="G230" s="354" t="s">
        <v>36</v>
      </c>
      <c r="H230" s="320">
        <v>12000</v>
      </c>
      <c r="I230" s="321" t="b">
        <v>1</v>
      </c>
      <c r="J230" s="322">
        <v>1</v>
      </c>
      <c r="K230" s="323">
        <v>10000</v>
      </c>
      <c r="L230" s="380">
        <f t="shared" si="3"/>
        <v>10000</v>
      </c>
      <c r="M230" s="325"/>
    </row>
    <row r="231" spans="1:13" ht="13">
      <c r="A231" s="316" t="s">
        <v>1600</v>
      </c>
      <c r="B231" s="316" t="s">
        <v>1973</v>
      </c>
      <c r="C231" s="316" t="s">
        <v>1973</v>
      </c>
      <c r="D231" s="316" t="s">
        <v>1973</v>
      </c>
      <c r="E231" s="317" t="s">
        <v>1973</v>
      </c>
      <c r="F231" s="318">
        <v>1</v>
      </c>
      <c r="G231" s="354" t="s">
        <v>36</v>
      </c>
      <c r="H231" s="320">
        <v>10000</v>
      </c>
      <c r="I231" s="321" t="b">
        <v>1</v>
      </c>
      <c r="J231" s="322">
        <v>1</v>
      </c>
      <c r="K231" s="323" t="e">
        <f>VLOOKUP($A231,'[1]Database Bahan &amp; Alat (Terupdat'!$B$50:$N$232,6,FALSE)</f>
        <v>#N/A</v>
      </c>
      <c r="L231" s="371" t="e">
        <f t="shared" si="3"/>
        <v>#N/A</v>
      </c>
      <c r="M231" s="325"/>
    </row>
    <row r="232" spans="1:13" ht="13">
      <c r="A232" s="316" t="s">
        <v>1703</v>
      </c>
      <c r="B232" s="316" t="s">
        <v>1973</v>
      </c>
      <c r="C232" s="316" t="s">
        <v>1973</v>
      </c>
      <c r="D232" s="316" t="s">
        <v>1973</v>
      </c>
      <c r="E232" s="317" t="s">
        <v>1973</v>
      </c>
      <c r="F232" s="318">
        <v>1</v>
      </c>
      <c r="G232" s="354" t="s">
        <v>62</v>
      </c>
      <c r="H232" s="320">
        <v>22407</v>
      </c>
      <c r="I232" s="321" t="b">
        <v>1</v>
      </c>
      <c r="J232" s="322">
        <v>1</v>
      </c>
      <c r="K232" s="323">
        <v>22000</v>
      </c>
      <c r="L232" s="380">
        <f t="shared" si="3"/>
        <v>22000</v>
      </c>
      <c r="M232" s="325"/>
    </row>
    <row r="233" spans="1:13" ht="13">
      <c r="A233" s="316" t="s">
        <v>949</v>
      </c>
      <c r="B233" s="316" t="s">
        <v>1973</v>
      </c>
      <c r="C233" s="316" t="s">
        <v>1973</v>
      </c>
      <c r="D233" s="316" t="s">
        <v>1973</v>
      </c>
      <c r="E233" s="317" t="s">
        <v>1973</v>
      </c>
      <c r="F233" s="318">
        <v>1</v>
      </c>
      <c r="G233" s="354" t="s">
        <v>97</v>
      </c>
      <c r="H233" s="320">
        <v>23200</v>
      </c>
      <c r="I233" s="319" t="b">
        <v>0</v>
      </c>
      <c r="J233" s="372"/>
      <c r="K233" s="373" t="s">
        <v>1973</v>
      </c>
      <c r="L233" s="374" t="e">
        <f t="shared" si="3"/>
        <v>#VALUE!</v>
      </c>
      <c r="M233" s="325"/>
    </row>
    <row r="234" spans="1:13" ht="13">
      <c r="A234" s="316" t="s">
        <v>952</v>
      </c>
      <c r="B234" s="316" t="s">
        <v>1973</v>
      </c>
      <c r="C234" s="316" t="s">
        <v>1973</v>
      </c>
      <c r="D234" s="316" t="s">
        <v>1973</v>
      </c>
      <c r="E234" s="317" t="s">
        <v>1973</v>
      </c>
      <c r="F234" s="318">
        <v>1</v>
      </c>
      <c r="G234" s="354" t="s">
        <v>97</v>
      </c>
      <c r="H234" s="320">
        <v>27300</v>
      </c>
      <c r="I234" s="319" t="b">
        <v>0</v>
      </c>
      <c r="J234" s="372"/>
      <c r="K234" s="373" t="s">
        <v>1973</v>
      </c>
      <c r="L234" s="374" t="e">
        <f t="shared" si="3"/>
        <v>#VALUE!</v>
      </c>
      <c r="M234" s="325"/>
    </row>
    <row r="235" spans="1:13" ht="13">
      <c r="A235" s="316" t="s">
        <v>779</v>
      </c>
      <c r="B235" s="316" t="s">
        <v>1973</v>
      </c>
      <c r="C235" s="316" t="s">
        <v>1973</v>
      </c>
      <c r="D235" s="316" t="s">
        <v>1973</v>
      </c>
      <c r="E235" s="317" t="s">
        <v>1973</v>
      </c>
      <c r="F235" s="318">
        <v>1</v>
      </c>
      <c r="G235" s="354" t="s">
        <v>62</v>
      </c>
      <c r="H235" s="320">
        <v>38500</v>
      </c>
      <c r="I235" s="321" t="b">
        <v>1</v>
      </c>
      <c r="J235" s="322">
        <v>1</v>
      </c>
      <c r="K235" s="323">
        <v>36000</v>
      </c>
      <c r="L235" s="380">
        <f t="shared" si="3"/>
        <v>36000</v>
      </c>
      <c r="M235" s="325"/>
    </row>
    <row r="236" spans="1:13" ht="13">
      <c r="A236" s="316" t="s">
        <v>1602</v>
      </c>
      <c r="B236" s="316" t="s">
        <v>1973</v>
      </c>
      <c r="C236" s="316" t="s">
        <v>1973</v>
      </c>
      <c r="D236" s="316" t="s">
        <v>1973</v>
      </c>
      <c r="E236" s="317" t="s">
        <v>1973</v>
      </c>
      <c r="F236" s="318">
        <v>5</v>
      </c>
      <c r="G236" s="354" t="s">
        <v>36</v>
      </c>
      <c r="H236" s="320">
        <v>70000</v>
      </c>
      <c r="I236" s="321" t="b">
        <v>1</v>
      </c>
      <c r="J236" s="322">
        <v>5</v>
      </c>
      <c r="K236" s="323" t="s">
        <v>1973</v>
      </c>
      <c r="L236" s="371" t="e">
        <f t="shared" si="3"/>
        <v>#VALUE!</v>
      </c>
      <c r="M236" s="325"/>
    </row>
    <row r="237" spans="1:13" ht="13">
      <c r="A237" s="316" t="s">
        <v>528</v>
      </c>
      <c r="B237" s="316" t="s">
        <v>1973</v>
      </c>
      <c r="C237" s="316" t="s">
        <v>1973</v>
      </c>
      <c r="D237" s="316" t="s">
        <v>1973</v>
      </c>
      <c r="E237" s="317" t="s">
        <v>1973</v>
      </c>
      <c r="F237" s="318">
        <v>5</v>
      </c>
      <c r="G237" s="354" t="s">
        <v>50</v>
      </c>
      <c r="H237" s="320">
        <v>80000</v>
      </c>
      <c r="I237" s="321" t="b">
        <v>1</v>
      </c>
      <c r="J237" s="322">
        <v>5</v>
      </c>
      <c r="K237" s="323" t="s">
        <v>1973</v>
      </c>
      <c r="L237" s="371" t="e">
        <f t="shared" si="3"/>
        <v>#VALUE!</v>
      </c>
      <c r="M237" s="325"/>
    </row>
    <row r="238" spans="1:13" ht="13">
      <c r="A238" s="316" t="s">
        <v>635</v>
      </c>
      <c r="B238" s="316" t="s">
        <v>1973</v>
      </c>
      <c r="C238" s="316" t="s">
        <v>1973</v>
      </c>
      <c r="D238" s="316" t="s">
        <v>1973</v>
      </c>
      <c r="E238" s="317" t="s">
        <v>1973</v>
      </c>
      <c r="F238" s="318">
        <v>10</v>
      </c>
      <c r="G238" s="354" t="s">
        <v>50</v>
      </c>
      <c r="H238" s="320">
        <v>95000</v>
      </c>
      <c r="I238" s="321" t="b">
        <v>1</v>
      </c>
      <c r="J238" s="322">
        <v>10</v>
      </c>
      <c r="K238" s="323">
        <v>10000</v>
      </c>
      <c r="L238" s="379">
        <f t="shared" si="3"/>
        <v>100000</v>
      </c>
      <c r="M238" s="325"/>
    </row>
    <row r="239" spans="1:13" ht="13">
      <c r="A239" s="316" t="s">
        <v>643</v>
      </c>
      <c r="B239" s="316" t="s">
        <v>1973</v>
      </c>
      <c r="C239" s="316" t="s">
        <v>1973</v>
      </c>
      <c r="D239" s="316" t="s">
        <v>1973</v>
      </c>
      <c r="E239" s="317" t="s">
        <v>1973</v>
      </c>
      <c r="F239" s="318">
        <v>1</v>
      </c>
      <c r="G239" s="354" t="s">
        <v>36</v>
      </c>
      <c r="H239" s="320">
        <v>15000</v>
      </c>
      <c r="I239" s="321" t="b">
        <v>1</v>
      </c>
      <c r="J239" s="322">
        <v>1</v>
      </c>
      <c r="K239" s="323" t="s">
        <v>1973</v>
      </c>
      <c r="L239" s="371" t="e">
        <f t="shared" si="3"/>
        <v>#VALUE!</v>
      </c>
      <c r="M239" s="325"/>
    </row>
    <row r="240" spans="1:13" ht="13">
      <c r="A240" s="316" t="s">
        <v>647</v>
      </c>
      <c r="B240" s="316" t="s">
        <v>1973</v>
      </c>
      <c r="C240" s="316" t="s">
        <v>1973</v>
      </c>
      <c r="D240" s="316" t="s">
        <v>1973</v>
      </c>
      <c r="E240" s="317" t="s">
        <v>1973</v>
      </c>
      <c r="F240" s="318">
        <v>1</v>
      </c>
      <c r="G240" s="354" t="s">
        <v>75</v>
      </c>
      <c r="H240" s="320">
        <v>48000</v>
      </c>
      <c r="I240" s="319" t="b">
        <v>0</v>
      </c>
      <c r="J240" s="372"/>
      <c r="K240" s="373" t="s">
        <v>1973</v>
      </c>
      <c r="L240" s="374" t="e">
        <f t="shared" si="3"/>
        <v>#VALUE!</v>
      </c>
      <c r="M240" s="325"/>
    </row>
    <row r="241" spans="1:13" ht="13">
      <c r="A241" s="316" t="s">
        <v>680</v>
      </c>
      <c r="B241" s="316" t="s">
        <v>1973</v>
      </c>
      <c r="C241" s="316" t="s">
        <v>1973</v>
      </c>
      <c r="D241" s="316" t="s">
        <v>1973</v>
      </c>
      <c r="E241" s="317" t="s">
        <v>1973</v>
      </c>
      <c r="F241" s="318">
        <v>6</v>
      </c>
      <c r="G241" s="354" t="s">
        <v>97</v>
      </c>
      <c r="H241" s="320">
        <v>186000</v>
      </c>
      <c r="I241" s="321" t="b">
        <v>1</v>
      </c>
      <c r="J241" s="322">
        <v>6</v>
      </c>
      <c r="K241" s="323">
        <v>32000</v>
      </c>
      <c r="L241" s="379">
        <f t="shared" si="3"/>
        <v>192000</v>
      </c>
      <c r="M241" s="325"/>
    </row>
    <row r="242" spans="1:13" ht="13">
      <c r="A242" s="316" t="s">
        <v>684</v>
      </c>
      <c r="B242" s="316" t="s">
        <v>1973</v>
      </c>
      <c r="C242" s="316" t="s">
        <v>1973</v>
      </c>
      <c r="D242" s="316" t="s">
        <v>1973</v>
      </c>
      <c r="E242" s="317" t="s">
        <v>1973</v>
      </c>
      <c r="F242" s="318">
        <v>1</v>
      </c>
      <c r="G242" s="354" t="s">
        <v>97</v>
      </c>
      <c r="H242" s="320">
        <v>31000</v>
      </c>
      <c r="I242" s="321" t="b">
        <v>1</v>
      </c>
      <c r="J242" s="322">
        <v>1</v>
      </c>
      <c r="K242" s="323">
        <v>32000</v>
      </c>
      <c r="L242" s="379">
        <f t="shared" si="3"/>
        <v>32000</v>
      </c>
      <c r="M242" s="325"/>
    </row>
    <row r="243" spans="1:13" ht="13">
      <c r="A243" s="316" t="s">
        <v>696</v>
      </c>
      <c r="B243" s="316" t="s">
        <v>1973</v>
      </c>
      <c r="C243" s="316" t="s">
        <v>1973</v>
      </c>
      <c r="D243" s="316" t="s">
        <v>1973</v>
      </c>
      <c r="E243" s="317" t="s">
        <v>1973</v>
      </c>
      <c r="F243" s="318">
        <v>9</v>
      </c>
      <c r="G243" s="354" t="s">
        <v>62</v>
      </c>
      <c r="H243" s="320">
        <v>99000</v>
      </c>
      <c r="I243" s="321" t="b">
        <v>1</v>
      </c>
      <c r="J243" s="322">
        <v>9</v>
      </c>
      <c r="K243" s="323" t="s">
        <v>1973</v>
      </c>
      <c r="L243" s="371" t="e">
        <f t="shared" si="3"/>
        <v>#VALUE!</v>
      </c>
      <c r="M243" s="325"/>
    </row>
    <row r="244" spans="1:13" ht="13">
      <c r="A244" s="316" t="s">
        <v>735</v>
      </c>
      <c r="B244" s="316" t="s">
        <v>1973</v>
      </c>
      <c r="C244" s="316" t="s">
        <v>1973</v>
      </c>
      <c r="D244" s="316" t="s">
        <v>1973</v>
      </c>
      <c r="E244" s="317" t="s">
        <v>1973</v>
      </c>
      <c r="F244" s="318">
        <v>2</v>
      </c>
      <c r="G244" s="354" t="s">
        <v>97</v>
      </c>
      <c r="H244" s="320">
        <v>96000</v>
      </c>
      <c r="I244" s="321" t="b">
        <v>1</v>
      </c>
      <c r="J244" s="322">
        <v>2</v>
      </c>
      <c r="K244" s="323" t="s">
        <v>1973</v>
      </c>
      <c r="L244" s="371" t="e">
        <f t="shared" si="3"/>
        <v>#VALUE!</v>
      </c>
      <c r="M244" s="325"/>
    </row>
    <row r="245" spans="1:13" ht="13">
      <c r="A245" s="316" t="s">
        <v>748</v>
      </c>
      <c r="B245" s="316" t="s">
        <v>1973</v>
      </c>
      <c r="C245" s="316" t="s">
        <v>1973</v>
      </c>
      <c r="D245" s="316" t="s">
        <v>1973</v>
      </c>
      <c r="E245" s="317" t="s">
        <v>1973</v>
      </c>
      <c r="F245" s="318">
        <v>4</v>
      </c>
      <c r="G245" s="354" t="s">
        <v>62</v>
      </c>
      <c r="H245" s="320">
        <v>120000</v>
      </c>
      <c r="I245" s="321" t="b">
        <v>1</v>
      </c>
      <c r="J245" s="322">
        <v>4</v>
      </c>
      <c r="K245" s="323" t="s">
        <v>1973</v>
      </c>
      <c r="L245" s="371" t="e">
        <f t="shared" si="3"/>
        <v>#VALUE!</v>
      </c>
      <c r="M245" s="325"/>
    </row>
    <row r="246" spans="1:13" ht="13">
      <c r="A246" s="316" t="s">
        <v>889</v>
      </c>
      <c r="B246" s="316" t="s">
        <v>1973</v>
      </c>
      <c r="C246" s="316" t="s">
        <v>1973</v>
      </c>
      <c r="D246" s="316" t="s">
        <v>1973</v>
      </c>
      <c r="E246" s="317" t="s">
        <v>1973</v>
      </c>
      <c r="F246" s="318">
        <v>1</v>
      </c>
      <c r="G246" s="354" t="s">
        <v>62</v>
      </c>
      <c r="H246" s="320">
        <v>20000</v>
      </c>
      <c r="I246" s="321" t="b">
        <v>1</v>
      </c>
      <c r="J246" s="322">
        <v>1</v>
      </c>
      <c r="K246" s="323">
        <v>18000</v>
      </c>
      <c r="L246" s="380">
        <f t="shared" si="3"/>
        <v>18000</v>
      </c>
      <c r="M246" s="325"/>
    </row>
    <row r="247" spans="1:13" ht="13">
      <c r="A247" s="316" t="s">
        <v>892</v>
      </c>
      <c r="B247" s="316" t="s">
        <v>1973</v>
      </c>
      <c r="C247" s="316" t="s">
        <v>1973</v>
      </c>
      <c r="D247" s="316" t="s">
        <v>1973</v>
      </c>
      <c r="E247" s="317" t="s">
        <v>1973</v>
      </c>
      <c r="F247" s="318">
        <v>1</v>
      </c>
      <c r="G247" s="354" t="s">
        <v>36</v>
      </c>
      <c r="H247" s="320">
        <v>125000</v>
      </c>
      <c r="I247" s="321" t="b">
        <v>1</v>
      </c>
      <c r="J247" s="322">
        <v>1</v>
      </c>
      <c r="K247" s="323" t="s">
        <v>1973</v>
      </c>
      <c r="L247" s="371" t="e">
        <f t="shared" si="3"/>
        <v>#VALUE!</v>
      </c>
      <c r="M247" s="325"/>
    </row>
    <row r="248" spans="1:13" ht="13">
      <c r="A248" s="316" t="s">
        <v>934</v>
      </c>
      <c r="B248" s="316" t="s">
        <v>1973</v>
      </c>
      <c r="C248" s="316" t="s">
        <v>1973</v>
      </c>
      <c r="D248" s="316" t="s">
        <v>1973</v>
      </c>
      <c r="E248" s="317" t="s">
        <v>1973</v>
      </c>
      <c r="F248" s="318">
        <v>5</v>
      </c>
      <c r="G248" s="354" t="s">
        <v>62</v>
      </c>
      <c r="H248" s="320">
        <v>45000</v>
      </c>
      <c r="I248" s="321" t="b">
        <v>1</v>
      </c>
      <c r="J248" s="322">
        <v>5</v>
      </c>
      <c r="K248" s="323" t="s">
        <v>1973</v>
      </c>
      <c r="L248" s="371" t="e">
        <f t="shared" si="3"/>
        <v>#VALUE!</v>
      </c>
      <c r="M248" s="325"/>
    </row>
    <row r="249" spans="1:13" ht="13">
      <c r="A249" s="316" t="s">
        <v>940</v>
      </c>
      <c r="B249" s="316" t="s">
        <v>1973</v>
      </c>
      <c r="C249" s="316" t="s">
        <v>1973</v>
      </c>
      <c r="D249" s="316" t="s">
        <v>1973</v>
      </c>
      <c r="E249" s="317" t="s">
        <v>1973</v>
      </c>
      <c r="F249" s="318">
        <v>0.25</v>
      </c>
      <c r="G249" s="354" t="s">
        <v>36</v>
      </c>
      <c r="H249" s="320">
        <v>25000</v>
      </c>
      <c r="I249" s="321" t="b">
        <v>1</v>
      </c>
      <c r="J249" s="322">
        <v>0.25</v>
      </c>
      <c r="K249" s="323" t="s">
        <v>1973</v>
      </c>
      <c r="L249" s="371" t="e">
        <f t="shared" si="3"/>
        <v>#VALUE!</v>
      </c>
      <c r="M249" s="325"/>
    </row>
    <row r="250" spans="1:13" ht="13">
      <c r="A250" s="316" t="s">
        <v>943</v>
      </c>
      <c r="B250" s="316" t="s">
        <v>1973</v>
      </c>
      <c r="C250" s="316" t="s">
        <v>1973</v>
      </c>
      <c r="D250" s="316" t="s">
        <v>1973</v>
      </c>
      <c r="E250" s="317" t="s">
        <v>1973</v>
      </c>
      <c r="F250" s="318">
        <v>1</v>
      </c>
      <c r="G250" s="354" t="s">
        <v>62</v>
      </c>
      <c r="H250" s="320">
        <v>8500</v>
      </c>
      <c r="I250" s="321" t="b">
        <v>1</v>
      </c>
      <c r="J250" s="322">
        <v>1</v>
      </c>
      <c r="K250" s="323" t="s">
        <v>1973</v>
      </c>
      <c r="L250" s="371" t="e">
        <f t="shared" si="3"/>
        <v>#VALUE!</v>
      </c>
      <c r="M250" s="325"/>
    </row>
    <row r="251" spans="1:13" ht="13">
      <c r="A251" s="316" t="s">
        <v>1548</v>
      </c>
      <c r="B251" s="316" t="s">
        <v>1973</v>
      </c>
      <c r="C251" s="316" t="s">
        <v>1973</v>
      </c>
      <c r="D251" s="316" t="s">
        <v>1973</v>
      </c>
      <c r="E251" s="317" t="s">
        <v>1973</v>
      </c>
      <c r="F251" s="318">
        <v>2</v>
      </c>
      <c r="G251" s="354" t="s">
        <v>62</v>
      </c>
      <c r="H251" s="320">
        <v>24000</v>
      </c>
      <c r="I251" s="321" t="b">
        <v>1</v>
      </c>
      <c r="J251" s="322">
        <v>2</v>
      </c>
      <c r="K251" s="323" t="s">
        <v>1973</v>
      </c>
      <c r="L251" s="371" t="e">
        <f t="shared" si="3"/>
        <v>#VALUE!</v>
      </c>
      <c r="M251" s="325"/>
    </row>
    <row r="252" spans="1:13" ht="13">
      <c r="A252" s="316" t="s">
        <v>1615</v>
      </c>
      <c r="B252" s="316" t="s">
        <v>1973</v>
      </c>
      <c r="C252" s="316" t="s">
        <v>1973</v>
      </c>
      <c r="D252" s="316" t="s">
        <v>1973</v>
      </c>
      <c r="E252" s="317" t="s">
        <v>1973</v>
      </c>
      <c r="F252" s="318">
        <v>4</v>
      </c>
      <c r="G252" s="354" t="s">
        <v>62</v>
      </c>
      <c r="H252" s="320">
        <v>32000</v>
      </c>
      <c r="I252" s="321" t="b">
        <v>1</v>
      </c>
      <c r="J252" s="322">
        <v>4</v>
      </c>
      <c r="K252" s="323" t="s">
        <v>1973</v>
      </c>
      <c r="L252" s="371" t="e">
        <f t="shared" si="3"/>
        <v>#VALUE!</v>
      </c>
      <c r="M252" s="325"/>
    </row>
    <row r="253" spans="1:13" ht="13">
      <c r="A253" s="316" t="s">
        <v>1017</v>
      </c>
      <c r="B253" s="316" t="s">
        <v>1973</v>
      </c>
      <c r="C253" s="316" t="s">
        <v>1973</v>
      </c>
      <c r="D253" s="316" t="s">
        <v>1973</v>
      </c>
      <c r="E253" s="317" t="s">
        <v>1973</v>
      </c>
      <c r="F253" s="318">
        <v>4</v>
      </c>
      <c r="G253" s="354" t="s">
        <v>62</v>
      </c>
      <c r="H253" s="320">
        <v>10000</v>
      </c>
      <c r="I253" s="321" t="b">
        <v>1</v>
      </c>
      <c r="J253" s="322">
        <v>2</v>
      </c>
      <c r="K253" s="323">
        <v>1300</v>
      </c>
      <c r="L253" s="380">
        <f t="shared" si="3"/>
        <v>2600</v>
      </c>
      <c r="M253" s="325"/>
    </row>
    <row r="254" spans="1:13" ht="13">
      <c r="A254" s="316" t="s">
        <v>1604</v>
      </c>
      <c r="B254" s="316" t="s">
        <v>1973</v>
      </c>
      <c r="C254" s="316" t="s">
        <v>1973</v>
      </c>
      <c r="D254" s="316" t="s">
        <v>1973</v>
      </c>
      <c r="E254" s="317" t="s">
        <v>1973</v>
      </c>
      <c r="F254" s="318">
        <v>1</v>
      </c>
      <c r="G254" s="354" t="s">
        <v>62</v>
      </c>
      <c r="H254" s="320">
        <v>48000</v>
      </c>
      <c r="I254" s="319" t="b">
        <v>0</v>
      </c>
      <c r="J254" s="372"/>
      <c r="K254" s="373" t="s">
        <v>1973</v>
      </c>
      <c r="L254" s="374" t="e">
        <f t="shared" si="3"/>
        <v>#VALUE!</v>
      </c>
      <c r="M254" s="325"/>
    </row>
    <row r="255" spans="1:13" ht="13">
      <c r="A255" s="316" t="s">
        <v>1037</v>
      </c>
      <c r="B255" s="316" t="s">
        <v>1973</v>
      </c>
      <c r="C255" s="316" t="s">
        <v>1973</v>
      </c>
      <c r="D255" s="316" t="s">
        <v>1973</v>
      </c>
      <c r="E255" s="317" t="s">
        <v>1973</v>
      </c>
      <c r="F255" s="318">
        <v>2</v>
      </c>
      <c r="G255" s="354" t="s">
        <v>62</v>
      </c>
      <c r="H255" s="320">
        <v>40200</v>
      </c>
      <c r="I255" s="321" t="b">
        <v>1</v>
      </c>
      <c r="J255" s="322">
        <v>1</v>
      </c>
      <c r="K255" s="323" t="s">
        <v>1973</v>
      </c>
      <c r="L255" s="371" t="e">
        <f t="shared" si="3"/>
        <v>#VALUE!</v>
      </c>
      <c r="M255" s="325"/>
    </row>
    <row r="257" spans="1:13" ht="13">
      <c r="F257" s="429">
        <v>44634</v>
      </c>
      <c r="G257" s="428"/>
      <c r="H257" s="424"/>
      <c r="J257" s="429">
        <f>F257+1</f>
        <v>44635</v>
      </c>
      <c r="K257" s="428"/>
      <c r="L257" s="424"/>
    </row>
    <row r="258" spans="1:13" ht="13">
      <c r="F258" s="425" t="s">
        <v>1490</v>
      </c>
      <c r="G258" s="426"/>
      <c r="H258" s="304">
        <f>SUM(H260:H284)</f>
        <v>1390350</v>
      </c>
      <c r="J258" s="425" t="s">
        <v>1491</v>
      </c>
      <c r="K258" s="426"/>
      <c r="L258" s="304" t="e">
        <f>SUM(L260:L284)</f>
        <v>#VALUE!</v>
      </c>
    </row>
    <row r="259" spans="1:13" ht="13">
      <c r="A259" s="2" t="s">
        <v>4</v>
      </c>
      <c r="B259" s="305" t="s">
        <v>5</v>
      </c>
      <c r="C259" s="305" t="s">
        <v>11</v>
      </c>
      <c r="D259" s="305" t="s">
        <v>12</v>
      </c>
      <c r="E259" s="306" t="s">
        <v>6</v>
      </c>
      <c r="F259" s="307" t="s">
        <v>1494</v>
      </c>
      <c r="G259" s="308" t="s">
        <v>10</v>
      </c>
      <c r="H259" s="309" t="s">
        <v>1495</v>
      </c>
      <c r="I259" s="310" t="s">
        <v>1289</v>
      </c>
      <c r="J259" s="311" t="s">
        <v>1496</v>
      </c>
      <c r="K259" s="312" t="s">
        <v>1497</v>
      </c>
      <c r="L259" s="313" t="s">
        <v>1498</v>
      </c>
      <c r="M259" s="314" t="s">
        <v>16</v>
      </c>
    </row>
    <row r="260" spans="1:13" ht="13">
      <c r="A260" s="316" t="s">
        <v>544</v>
      </c>
      <c r="B260" s="316" t="s">
        <v>1973</v>
      </c>
      <c r="C260" s="316" t="s">
        <v>1973</v>
      </c>
      <c r="D260" s="316" t="s">
        <v>1973</v>
      </c>
      <c r="E260" s="317" t="s">
        <v>1973</v>
      </c>
      <c r="F260" s="318">
        <v>3</v>
      </c>
      <c r="G260" s="354" t="s">
        <v>62</v>
      </c>
      <c r="H260" s="320">
        <v>67800</v>
      </c>
      <c r="I260" s="321" t="b">
        <v>1</v>
      </c>
      <c r="J260" s="322">
        <v>2</v>
      </c>
      <c r="K260" s="323" t="s">
        <v>1973</v>
      </c>
      <c r="L260" s="370" t="e">
        <f t="shared" ref="L260:L284" si="4">J260*K260</f>
        <v>#VALUE!</v>
      </c>
      <c r="M260" s="325" t="s">
        <v>1736</v>
      </c>
    </row>
    <row r="261" spans="1:13" ht="13">
      <c r="A261" s="316" t="s">
        <v>782</v>
      </c>
      <c r="B261" s="316" t="s">
        <v>1973</v>
      </c>
      <c r="C261" s="316" t="s">
        <v>1973</v>
      </c>
      <c r="D261" s="316" t="s">
        <v>1973</v>
      </c>
      <c r="E261" s="317" t="s">
        <v>1973</v>
      </c>
      <c r="F261" s="318">
        <v>2</v>
      </c>
      <c r="G261" s="354" t="s">
        <v>62</v>
      </c>
      <c r="H261" s="320">
        <v>24000</v>
      </c>
      <c r="I261" s="321" t="b">
        <v>1</v>
      </c>
      <c r="J261" s="322">
        <v>1</v>
      </c>
      <c r="K261" s="323" t="s">
        <v>1973</v>
      </c>
      <c r="L261" s="370" t="e">
        <f t="shared" si="4"/>
        <v>#VALUE!</v>
      </c>
      <c r="M261" s="325" t="s">
        <v>1735</v>
      </c>
    </row>
    <row r="262" spans="1:13" ht="13">
      <c r="A262" s="316" t="s">
        <v>1661</v>
      </c>
      <c r="B262" s="316" t="s">
        <v>1973</v>
      </c>
      <c r="C262" s="316" t="s">
        <v>1973</v>
      </c>
      <c r="D262" s="316" t="s">
        <v>1973</v>
      </c>
      <c r="E262" s="317" t="s">
        <v>1973</v>
      </c>
      <c r="F262" s="318">
        <v>1</v>
      </c>
      <c r="G262" s="354" t="s">
        <v>97</v>
      </c>
      <c r="H262" s="320">
        <v>14600</v>
      </c>
      <c r="I262" s="321" t="b">
        <v>1</v>
      </c>
      <c r="J262" s="322">
        <v>1</v>
      </c>
      <c r="K262" s="323">
        <v>11000</v>
      </c>
      <c r="L262" s="371">
        <f t="shared" si="4"/>
        <v>11000</v>
      </c>
      <c r="M262" s="325"/>
    </row>
    <row r="263" spans="1:13" ht="13">
      <c r="A263" s="316" t="s">
        <v>919</v>
      </c>
      <c r="B263" s="316" t="s">
        <v>1973</v>
      </c>
      <c r="C263" s="316" t="s">
        <v>1973</v>
      </c>
      <c r="D263" s="316" t="s">
        <v>1973</v>
      </c>
      <c r="E263" s="317" t="s">
        <v>1973</v>
      </c>
      <c r="F263" s="318">
        <v>4</v>
      </c>
      <c r="G263" s="354" t="s">
        <v>62</v>
      </c>
      <c r="H263" s="320">
        <v>35200</v>
      </c>
      <c r="I263" s="321" t="b">
        <v>1</v>
      </c>
      <c r="J263" s="322">
        <v>2</v>
      </c>
      <c r="K263" s="323" t="e">
        <f>VLOOKUP($A263,'[1]Database Bahan &amp; Alat (Terupdat'!$B$50:$N$232,6,FALSE)</f>
        <v>#N/A</v>
      </c>
      <c r="L263" s="370" t="e">
        <f t="shared" si="4"/>
        <v>#N/A</v>
      </c>
      <c r="M263" s="325" t="s">
        <v>1736</v>
      </c>
    </row>
    <row r="264" spans="1:13" ht="13">
      <c r="A264" s="316" t="s">
        <v>639</v>
      </c>
      <c r="B264" s="316" t="s">
        <v>1973</v>
      </c>
      <c r="C264" s="316" t="s">
        <v>1973</v>
      </c>
      <c r="D264" s="316" t="s">
        <v>1973</v>
      </c>
      <c r="E264" s="317" t="s">
        <v>1973</v>
      </c>
      <c r="F264" s="318">
        <v>1</v>
      </c>
      <c r="G264" s="354" t="s">
        <v>36</v>
      </c>
      <c r="H264" s="320">
        <v>125000</v>
      </c>
      <c r="I264" s="321" t="b">
        <v>1</v>
      </c>
      <c r="J264" s="322">
        <v>1</v>
      </c>
      <c r="K264" s="323">
        <v>128000</v>
      </c>
      <c r="L264" s="379">
        <f t="shared" si="4"/>
        <v>128000</v>
      </c>
      <c r="M264" s="325"/>
    </row>
    <row r="265" spans="1:13" ht="13">
      <c r="A265" s="316" t="s">
        <v>1610</v>
      </c>
      <c r="B265" s="316" t="s">
        <v>1973</v>
      </c>
      <c r="C265" s="316" t="s">
        <v>1973</v>
      </c>
      <c r="D265" s="316" t="s">
        <v>1973</v>
      </c>
      <c r="E265" s="317" t="s">
        <v>1973</v>
      </c>
      <c r="F265" s="318">
        <v>2</v>
      </c>
      <c r="G265" s="354" t="s">
        <v>36</v>
      </c>
      <c r="H265" s="320">
        <v>20000</v>
      </c>
      <c r="I265" s="321" t="b">
        <v>1</v>
      </c>
      <c r="J265" s="322">
        <v>2</v>
      </c>
      <c r="K265" s="323" t="e">
        <f>VLOOKUP($A265,'[1]Database Bahan &amp; Alat (Terupdat'!$B$50:$N$232,6,FALSE)</f>
        <v>#N/A</v>
      </c>
      <c r="L265" s="370" t="e">
        <f t="shared" si="4"/>
        <v>#N/A</v>
      </c>
      <c r="M265" s="325" t="s">
        <v>1735</v>
      </c>
    </row>
    <row r="266" spans="1:13" ht="13">
      <c r="A266" s="316" t="s">
        <v>1611</v>
      </c>
      <c r="B266" s="316" t="s">
        <v>1973</v>
      </c>
      <c r="C266" s="316" t="s">
        <v>1973</v>
      </c>
      <c r="D266" s="316" t="s">
        <v>1973</v>
      </c>
      <c r="E266" s="317" t="s">
        <v>1973</v>
      </c>
      <c r="F266" s="318">
        <v>4</v>
      </c>
      <c r="G266" s="354" t="s">
        <v>36</v>
      </c>
      <c r="H266" s="320">
        <v>200000</v>
      </c>
      <c r="I266" s="321" t="b">
        <v>1</v>
      </c>
      <c r="J266" s="322">
        <v>4</v>
      </c>
      <c r="K266" s="323">
        <v>48000</v>
      </c>
      <c r="L266" s="380">
        <f t="shared" si="4"/>
        <v>192000</v>
      </c>
      <c r="M266" s="325"/>
    </row>
    <row r="267" spans="1:13" ht="13">
      <c r="A267" s="316" t="s">
        <v>1698</v>
      </c>
      <c r="B267" s="316" t="s">
        <v>1973</v>
      </c>
      <c r="C267" s="316" t="s">
        <v>1973</v>
      </c>
      <c r="D267" s="316" t="s">
        <v>1973</v>
      </c>
      <c r="E267" s="317" t="s">
        <v>1973</v>
      </c>
      <c r="F267" s="318">
        <v>3</v>
      </c>
      <c r="G267" s="354" t="s">
        <v>36</v>
      </c>
      <c r="H267" s="320">
        <v>111000</v>
      </c>
      <c r="I267" s="321" t="b">
        <v>1</v>
      </c>
      <c r="J267" s="322">
        <v>3</v>
      </c>
      <c r="K267" s="323">
        <v>36000</v>
      </c>
      <c r="L267" s="371">
        <f t="shared" si="4"/>
        <v>108000</v>
      </c>
      <c r="M267" s="325"/>
    </row>
    <row r="268" spans="1:13" ht="13">
      <c r="A268" s="316" t="s">
        <v>675</v>
      </c>
      <c r="B268" s="316" t="s">
        <v>1973</v>
      </c>
      <c r="C268" s="316" t="s">
        <v>1973</v>
      </c>
      <c r="D268" s="316" t="s">
        <v>1973</v>
      </c>
      <c r="E268" s="317" t="s">
        <v>1973</v>
      </c>
      <c r="F268" s="318">
        <v>10</v>
      </c>
      <c r="G268" s="354" t="s">
        <v>62</v>
      </c>
      <c r="H268" s="320">
        <v>45000</v>
      </c>
      <c r="I268" s="321" t="b">
        <v>1</v>
      </c>
      <c r="J268" s="322">
        <v>10</v>
      </c>
      <c r="K268" s="323" t="e">
        <f>VLOOKUP($A268,'[1]Database Bahan &amp; Alat (Terupdat'!$B$50:$N$232,6,FALSE)</f>
        <v>#N/A</v>
      </c>
      <c r="L268" s="371" t="e">
        <f t="shared" si="4"/>
        <v>#N/A</v>
      </c>
      <c r="M268" s="325"/>
    </row>
    <row r="269" spans="1:13" ht="13">
      <c r="A269" s="316" t="s">
        <v>712</v>
      </c>
      <c r="B269" s="316" t="s">
        <v>1973</v>
      </c>
      <c r="C269" s="316" t="s">
        <v>1973</v>
      </c>
      <c r="D269" s="316" t="s">
        <v>1973</v>
      </c>
      <c r="E269" s="317" t="s">
        <v>1973</v>
      </c>
      <c r="F269" s="318">
        <v>2</v>
      </c>
      <c r="G269" s="354" t="s">
        <v>36</v>
      </c>
      <c r="H269" s="320">
        <v>48000</v>
      </c>
      <c r="I269" s="321" t="b">
        <v>1</v>
      </c>
      <c r="J269" s="322">
        <v>2</v>
      </c>
      <c r="K269" s="323">
        <v>28000</v>
      </c>
      <c r="L269" s="379">
        <f t="shared" si="4"/>
        <v>56000</v>
      </c>
      <c r="M269" s="325"/>
    </row>
    <row r="270" spans="1:13" ht="13">
      <c r="A270" s="316" t="s">
        <v>724</v>
      </c>
      <c r="B270" s="316" t="s">
        <v>1973</v>
      </c>
      <c r="C270" s="316" t="s">
        <v>1973</v>
      </c>
      <c r="D270" s="316" t="s">
        <v>1973</v>
      </c>
      <c r="E270" s="317" t="s">
        <v>1973</v>
      </c>
      <c r="F270" s="318">
        <v>0.25</v>
      </c>
      <c r="G270" s="354" t="s">
        <v>36</v>
      </c>
      <c r="H270" s="320">
        <v>5000</v>
      </c>
      <c r="I270" s="321" t="b">
        <v>1</v>
      </c>
      <c r="J270" s="322">
        <v>0.25</v>
      </c>
      <c r="K270" s="323" t="e">
        <f>VLOOKUP($A270,'[1]Database Bahan &amp; Alat (Terupdat'!$B$50:$N$232,6,FALSE)</f>
        <v>#N/A</v>
      </c>
      <c r="L270" s="371" t="e">
        <f t="shared" si="4"/>
        <v>#N/A</v>
      </c>
      <c r="M270" s="325"/>
    </row>
    <row r="271" spans="1:13" ht="13">
      <c r="A271" s="316" t="s">
        <v>732</v>
      </c>
      <c r="B271" s="316" t="s">
        <v>1973</v>
      </c>
      <c r="C271" s="316" t="s">
        <v>1973</v>
      </c>
      <c r="D271" s="316" t="s">
        <v>1973</v>
      </c>
      <c r="E271" s="317" t="s">
        <v>1973</v>
      </c>
      <c r="F271" s="318">
        <v>2</v>
      </c>
      <c r="G271" s="354" t="s">
        <v>36</v>
      </c>
      <c r="H271" s="320">
        <v>52000</v>
      </c>
      <c r="I271" s="321" t="b">
        <v>1</v>
      </c>
      <c r="J271" s="322">
        <v>2</v>
      </c>
      <c r="K271" s="323">
        <v>28000</v>
      </c>
      <c r="L271" s="379">
        <f t="shared" si="4"/>
        <v>56000</v>
      </c>
      <c r="M271" s="325"/>
    </row>
    <row r="272" spans="1:13" ht="13">
      <c r="A272" s="316" t="s">
        <v>744</v>
      </c>
      <c r="B272" s="316" t="s">
        <v>1973</v>
      </c>
      <c r="C272" s="316" t="s">
        <v>1973</v>
      </c>
      <c r="D272" s="316" t="s">
        <v>1973</v>
      </c>
      <c r="E272" s="317" t="s">
        <v>1973</v>
      </c>
      <c r="F272" s="318">
        <v>0.5</v>
      </c>
      <c r="G272" s="354" t="s">
        <v>36</v>
      </c>
      <c r="H272" s="320">
        <v>35000</v>
      </c>
      <c r="I272" s="321" t="b">
        <v>1</v>
      </c>
      <c r="J272" s="322">
        <v>0.5</v>
      </c>
      <c r="K272" s="323" t="s">
        <v>1973</v>
      </c>
      <c r="L272" s="371" t="e">
        <f t="shared" si="4"/>
        <v>#VALUE!</v>
      </c>
      <c r="M272" s="325"/>
    </row>
    <row r="273" spans="1:13" ht="13">
      <c r="A273" s="316" t="s">
        <v>795</v>
      </c>
      <c r="B273" s="316" t="s">
        <v>1973</v>
      </c>
      <c r="C273" s="316" t="s">
        <v>1973</v>
      </c>
      <c r="D273" s="316" t="s">
        <v>1973</v>
      </c>
      <c r="E273" s="317" t="s">
        <v>1973</v>
      </c>
      <c r="F273" s="318">
        <v>10</v>
      </c>
      <c r="G273" s="354" t="s">
        <v>62</v>
      </c>
      <c r="H273" s="320">
        <v>50000</v>
      </c>
      <c r="I273" s="321" t="b">
        <v>1</v>
      </c>
      <c r="J273" s="322">
        <v>10</v>
      </c>
      <c r="K273" s="323" t="s">
        <v>1973</v>
      </c>
      <c r="L273" s="371" t="e">
        <f t="shared" si="4"/>
        <v>#VALUE!</v>
      </c>
      <c r="M273" s="325"/>
    </row>
    <row r="274" spans="1:13" ht="13">
      <c r="A274" s="316" t="s">
        <v>1613</v>
      </c>
      <c r="B274" s="316" t="s">
        <v>1973</v>
      </c>
      <c r="C274" s="316" t="s">
        <v>1973</v>
      </c>
      <c r="D274" s="316" t="s">
        <v>1973</v>
      </c>
      <c r="E274" s="317" t="s">
        <v>1973</v>
      </c>
      <c r="F274" s="318">
        <v>0.25</v>
      </c>
      <c r="G274" s="354" t="s">
        <v>36</v>
      </c>
      <c r="H274" s="320">
        <v>10750</v>
      </c>
      <c r="I274" s="321" t="b">
        <v>1</v>
      </c>
      <c r="J274" s="322">
        <v>0.3</v>
      </c>
      <c r="K274" s="323">
        <v>50000</v>
      </c>
      <c r="L274" s="370">
        <f t="shared" si="4"/>
        <v>15000</v>
      </c>
      <c r="M274" s="325" t="s">
        <v>1737</v>
      </c>
    </row>
    <row r="275" spans="1:13" ht="13">
      <c r="A275" s="316" t="s">
        <v>1614</v>
      </c>
      <c r="B275" s="316" t="s">
        <v>1973</v>
      </c>
      <c r="C275" s="316" t="s">
        <v>1973</v>
      </c>
      <c r="D275" s="316" t="s">
        <v>1973</v>
      </c>
      <c r="E275" s="317" t="s">
        <v>1973</v>
      </c>
      <c r="F275" s="318">
        <v>0.3</v>
      </c>
      <c r="G275" s="354" t="s">
        <v>36</v>
      </c>
      <c r="H275" s="320">
        <v>40500</v>
      </c>
      <c r="I275" s="321" t="b">
        <v>1</v>
      </c>
      <c r="J275" s="322">
        <v>0.3</v>
      </c>
      <c r="K275" s="323">
        <v>130000</v>
      </c>
      <c r="L275" s="370">
        <f t="shared" si="4"/>
        <v>39000</v>
      </c>
      <c r="M275" s="325"/>
    </row>
    <row r="276" spans="1:13" ht="13">
      <c r="A276" s="316" t="s">
        <v>1608</v>
      </c>
      <c r="B276" s="316" t="s">
        <v>1973</v>
      </c>
      <c r="C276" s="316" t="s">
        <v>1973</v>
      </c>
      <c r="D276" s="316" t="s">
        <v>1973</v>
      </c>
      <c r="E276" s="317" t="s">
        <v>1973</v>
      </c>
      <c r="F276" s="318">
        <v>1</v>
      </c>
      <c r="G276" s="354" t="s">
        <v>36</v>
      </c>
      <c r="H276" s="320">
        <v>69000</v>
      </c>
      <c r="I276" s="321" t="b">
        <v>1</v>
      </c>
      <c r="J276" s="322">
        <v>1</v>
      </c>
      <c r="K276" s="323">
        <v>56000</v>
      </c>
      <c r="L276" s="380">
        <f t="shared" si="4"/>
        <v>56000</v>
      </c>
      <c r="M276" s="325"/>
    </row>
    <row r="277" spans="1:13" ht="13">
      <c r="A277" s="316" t="s">
        <v>1020</v>
      </c>
      <c r="B277" s="316" t="s">
        <v>1973</v>
      </c>
      <c r="C277" s="316" t="s">
        <v>1973</v>
      </c>
      <c r="D277" s="316" t="s">
        <v>1973</v>
      </c>
      <c r="E277" s="317" t="s">
        <v>1973</v>
      </c>
      <c r="F277" s="318">
        <v>1</v>
      </c>
      <c r="G277" s="354" t="s">
        <v>36</v>
      </c>
      <c r="H277" s="320">
        <v>12000</v>
      </c>
      <c r="I277" s="321" t="b">
        <v>1</v>
      </c>
      <c r="J277" s="322">
        <v>1</v>
      </c>
      <c r="K277" s="323">
        <v>10000</v>
      </c>
      <c r="L277" s="380">
        <f t="shared" si="4"/>
        <v>10000</v>
      </c>
      <c r="M277" s="325"/>
    </row>
    <row r="278" spans="1:13" ht="13">
      <c r="A278" s="316" t="s">
        <v>1600</v>
      </c>
      <c r="B278" s="316" t="s">
        <v>1973</v>
      </c>
      <c r="C278" s="316" t="s">
        <v>1973</v>
      </c>
      <c r="D278" s="316" t="s">
        <v>1973</v>
      </c>
      <c r="E278" s="317" t="s">
        <v>1973</v>
      </c>
      <c r="F278" s="318">
        <v>1</v>
      </c>
      <c r="G278" s="354" t="s">
        <v>36</v>
      </c>
      <c r="H278" s="320">
        <v>10000</v>
      </c>
      <c r="I278" s="321" t="b">
        <v>1</v>
      </c>
      <c r="J278" s="322">
        <v>1</v>
      </c>
      <c r="K278" s="323" t="e">
        <f>VLOOKUP($A278,'[1]Database Bahan &amp; Alat (Terupdat'!$B$50:$N$232,6,FALSE)</f>
        <v>#N/A</v>
      </c>
      <c r="L278" s="371" t="e">
        <f t="shared" si="4"/>
        <v>#N/A</v>
      </c>
      <c r="M278" s="325"/>
    </row>
    <row r="279" spans="1:13" ht="13">
      <c r="A279" s="316" t="s">
        <v>779</v>
      </c>
      <c r="B279" s="316" t="s">
        <v>1973</v>
      </c>
      <c r="C279" s="316" t="s">
        <v>1973</v>
      </c>
      <c r="D279" s="316" t="s">
        <v>1973</v>
      </c>
      <c r="E279" s="317" t="s">
        <v>1973</v>
      </c>
      <c r="F279" s="318">
        <v>2</v>
      </c>
      <c r="G279" s="354" t="s">
        <v>62</v>
      </c>
      <c r="H279" s="320">
        <v>77000</v>
      </c>
      <c r="I279" s="321" t="b">
        <v>1</v>
      </c>
      <c r="J279" s="322">
        <v>1</v>
      </c>
      <c r="K279" s="323">
        <v>36000</v>
      </c>
      <c r="L279" s="371">
        <f t="shared" si="4"/>
        <v>36000</v>
      </c>
      <c r="M279" s="325"/>
    </row>
    <row r="280" spans="1:13" ht="13">
      <c r="A280" s="316" t="s">
        <v>643</v>
      </c>
      <c r="B280" s="316" t="s">
        <v>1973</v>
      </c>
      <c r="C280" s="316" t="s">
        <v>1973</v>
      </c>
      <c r="D280" s="316" t="s">
        <v>1973</v>
      </c>
      <c r="E280" s="317" t="s">
        <v>1973</v>
      </c>
      <c r="F280" s="318">
        <v>0.5</v>
      </c>
      <c r="G280" s="354" t="s">
        <v>36</v>
      </c>
      <c r="H280" s="320">
        <v>7500</v>
      </c>
      <c r="I280" s="321" t="b">
        <v>1</v>
      </c>
      <c r="J280" s="322">
        <v>0.5</v>
      </c>
      <c r="K280" s="323" t="e">
        <f>VLOOKUP($A280,'[1]Database Bahan &amp; Alat (Terupdat'!$B$50:$N$232,6,FALSE)</f>
        <v>#N/A</v>
      </c>
      <c r="L280" s="371" t="e">
        <f t="shared" si="4"/>
        <v>#N/A</v>
      </c>
      <c r="M280" s="325"/>
    </row>
    <row r="281" spans="1:13" ht="13">
      <c r="A281" s="316" t="s">
        <v>756</v>
      </c>
      <c r="B281" s="316" t="s">
        <v>1973</v>
      </c>
      <c r="C281" s="316" t="s">
        <v>1973</v>
      </c>
      <c r="D281" s="316" t="s">
        <v>1973</v>
      </c>
      <c r="E281" s="317" t="s">
        <v>1973</v>
      </c>
      <c r="F281" s="318">
        <v>1</v>
      </c>
      <c r="G281" s="354" t="s">
        <v>62</v>
      </c>
      <c r="H281" s="320">
        <v>25000</v>
      </c>
      <c r="I281" s="321" t="b">
        <v>1</v>
      </c>
      <c r="J281" s="322">
        <v>1</v>
      </c>
      <c r="K281" s="323">
        <v>27000</v>
      </c>
      <c r="L281" s="379">
        <f t="shared" si="4"/>
        <v>27000</v>
      </c>
      <c r="M281" s="325"/>
    </row>
    <row r="282" spans="1:13" ht="13">
      <c r="A282" s="316" t="s">
        <v>889</v>
      </c>
      <c r="B282" s="316" t="s">
        <v>1973</v>
      </c>
      <c r="C282" s="316" t="s">
        <v>1973</v>
      </c>
      <c r="D282" s="316" t="s">
        <v>1973</v>
      </c>
      <c r="E282" s="317" t="s">
        <v>1973</v>
      </c>
      <c r="F282" s="318">
        <v>1</v>
      </c>
      <c r="G282" s="354" t="s">
        <v>62</v>
      </c>
      <c r="H282" s="320">
        <v>20000</v>
      </c>
      <c r="I282" s="321" t="b">
        <v>1</v>
      </c>
      <c r="J282" s="322">
        <v>1</v>
      </c>
      <c r="K282" s="323">
        <v>22000</v>
      </c>
      <c r="L282" s="379">
        <f t="shared" si="4"/>
        <v>22000</v>
      </c>
      <c r="M282" s="325"/>
    </row>
    <row r="283" spans="1:13" ht="13">
      <c r="A283" s="316" t="s">
        <v>892</v>
      </c>
      <c r="B283" s="316" t="s">
        <v>1973</v>
      </c>
      <c r="C283" s="316" t="s">
        <v>1973</v>
      </c>
      <c r="D283" s="316" t="s">
        <v>1973</v>
      </c>
      <c r="E283" s="317" t="s">
        <v>1973</v>
      </c>
      <c r="F283" s="318">
        <v>2</v>
      </c>
      <c r="G283" s="354" t="s">
        <v>36</v>
      </c>
      <c r="H283" s="320">
        <v>250000</v>
      </c>
      <c r="I283" s="321" t="b">
        <v>1</v>
      </c>
      <c r="J283" s="322">
        <v>2</v>
      </c>
      <c r="K283" s="323" t="s">
        <v>1973</v>
      </c>
      <c r="L283" s="371" t="e">
        <f t="shared" si="4"/>
        <v>#VALUE!</v>
      </c>
      <c r="M283" s="325"/>
    </row>
    <row r="284" spans="1:13" ht="13">
      <c r="A284" s="316" t="s">
        <v>934</v>
      </c>
      <c r="B284" s="316" t="s">
        <v>1973</v>
      </c>
      <c r="C284" s="316" t="s">
        <v>1973</v>
      </c>
      <c r="D284" s="316" t="s">
        <v>1973</v>
      </c>
      <c r="E284" s="317" t="s">
        <v>1973</v>
      </c>
      <c r="F284" s="318">
        <v>4</v>
      </c>
      <c r="G284" s="354" t="s">
        <v>62</v>
      </c>
      <c r="H284" s="320">
        <v>36000</v>
      </c>
      <c r="I284" s="321" t="b">
        <v>1</v>
      </c>
      <c r="J284" s="322">
        <v>4</v>
      </c>
      <c r="K284" s="323" t="s">
        <v>1973</v>
      </c>
      <c r="L284" s="371" t="e">
        <f t="shared" si="4"/>
        <v>#VALUE!</v>
      </c>
      <c r="M284" s="325"/>
    </row>
    <row r="286" spans="1:13" ht="13">
      <c r="F286" s="429">
        <v>44638</v>
      </c>
      <c r="G286" s="428"/>
      <c r="H286" s="424"/>
      <c r="J286" s="429">
        <f>F286+1</f>
        <v>44639</v>
      </c>
      <c r="K286" s="428"/>
      <c r="L286" s="424"/>
    </row>
    <row r="287" spans="1:13" ht="13">
      <c r="F287" s="425" t="s">
        <v>1490</v>
      </c>
      <c r="G287" s="426"/>
      <c r="H287" s="304">
        <f>SUM(H289:H329)</f>
        <v>1981720</v>
      </c>
      <c r="J287" s="425" t="s">
        <v>1491</v>
      </c>
      <c r="K287" s="426"/>
      <c r="L287" s="304" t="e">
        <f>SUM(L289:L329)</f>
        <v>#VALUE!</v>
      </c>
    </row>
    <row r="288" spans="1:13" ht="13">
      <c r="A288" s="2" t="s">
        <v>4</v>
      </c>
      <c r="B288" s="305" t="s">
        <v>5</v>
      </c>
      <c r="C288" s="305" t="s">
        <v>11</v>
      </c>
      <c r="D288" s="305" t="s">
        <v>12</v>
      </c>
      <c r="E288" s="306" t="s">
        <v>6</v>
      </c>
      <c r="F288" s="307" t="s">
        <v>1494</v>
      </c>
      <c r="G288" s="308" t="s">
        <v>10</v>
      </c>
      <c r="H288" s="309" t="s">
        <v>1495</v>
      </c>
      <c r="I288" s="310" t="s">
        <v>1289</v>
      </c>
      <c r="J288" s="311" t="s">
        <v>1496</v>
      </c>
      <c r="K288" s="312" t="s">
        <v>1497</v>
      </c>
      <c r="L288" s="313" t="s">
        <v>1498</v>
      </c>
      <c r="M288" s="314" t="s">
        <v>16</v>
      </c>
    </row>
    <row r="289" spans="1:13" ht="13">
      <c r="A289" s="316" t="s">
        <v>544</v>
      </c>
      <c r="B289" s="316" t="s">
        <v>1973</v>
      </c>
      <c r="C289" s="316" t="s">
        <v>1973</v>
      </c>
      <c r="D289" s="316" t="s">
        <v>1973</v>
      </c>
      <c r="E289" s="317" t="s">
        <v>1973</v>
      </c>
      <c r="F289" s="318">
        <v>5</v>
      </c>
      <c r="G289" s="354" t="s">
        <v>62</v>
      </c>
      <c r="H289" s="320">
        <v>113000</v>
      </c>
      <c r="I289" s="321" t="b">
        <v>1</v>
      </c>
      <c r="J289" s="322">
        <v>4</v>
      </c>
      <c r="K289" s="323" t="s">
        <v>1973</v>
      </c>
      <c r="L289" s="371" t="e">
        <f t="shared" ref="L289:L300" si="5">J289*K289</f>
        <v>#VALUE!</v>
      </c>
      <c r="M289" s="325"/>
    </row>
    <row r="290" spans="1:13" ht="13">
      <c r="A290" s="316" t="s">
        <v>586</v>
      </c>
      <c r="B290" s="316" t="s">
        <v>1973</v>
      </c>
      <c r="C290" s="316" t="s">
        <v>1973</v>
      </c>
      <c r="D290" s="316" t="s">
        <v>1973</v>
      </c>
      <c r="E290" s="317" t="s">
        <v>1973</v>
      </c>
      <c r="F290" s="318">
        <v>4</v>
      </c>
      <c r="G290" s="354" t="s">
        <v>62</v>
      </c>
      <c r="H290" s="320">
        <v>28800</v>
      </c>
      <c r="I290" s="321" t="b">
        <v>1</v>
      </c>
      <c r="J290" s="322">
        <v>3</v>
      </c>
      <c r="K290" s="323" t="s">
        <v>1973</v>
      </c>
      <c r="L290" s="371" t="e">
        <f t="shared" si="5"/>
        <v>#VALUE!</v>
      </c>
      <c r="M290" s="325"/>
    </row>
    <row r="291" spans="1:13" ht="13">
      <c r="A291" s="316" t="s">
        <v>627</v>
      </c>
      <c r="B291" s="316" t="s">
        <v>1973</v>
      </c>
      <c r="C291" s="316" t="s">
        <v>1973</v>
      </c>
      <c r="D291" s="316" t="s">
        <v>1973</v>
      </c>
      <c r="E291" s="317" t="s">
        <v>1973</v>
      </c>
      <c r="F291" s="318">
        <v>1</v>
      </c>
      <c r="G291" s="354" t="s">
        <v>36</v>
      </c>
      <c r="H291" s="320">
        <v>37900</v>
      </c>
      <c r="I291" s="321" t="b">
        <v>1</v>
      </c>
      <c r="J291" s="322">
        <v>735</v>
      </c>
      <c r="K291" s="323">
        <v>43.9</v>
      </c>
      <c r="L291" s="371">
        <f t="shared" si="5"/>
        <v>32266.5</v>
      </c>
      <c r="M291" s="325"/>
    </row>
    <row r="292" spans="1:13" ht="13">
      <c r="A292" s="316" t="s">
        <v>782</v>
      </c>
      <c r="B292" s="316" t="s">
        <v>1973</v>
      </c>
      <c r="C292" s="316" t="s">
        <v>1973</v>
      </c>
      <c r="D292" s="316" t="s">
        <v>1973</v>
      </c>
      <c r="E292" s="317" t="s">
        <v>1973</v>
      </c>
      <c r="F292" s="318">
        <v>2</v>
      </c>
      <c r="G292" s="354" t="s">
        <v>62</v>
      </c>
      <c r="H292" s="320">
        <v>24000</v>
      </c>
      <c r="I292" s="321" t="b">
        <v>1</v>
      </c>
      <c r="J292" s="322">
        <v>1</v>
      </c>
      <c r="K292" s="323" t="e">
        <f>VLOOKUP($A292,'[1]Database Bahan &amp; Alat (Terupdat'!$B$50:$N$232,6,FALSE)</f>
        <v>#N/A</v>
      </c>
      <c r="L292" s="370" t="e">
        <f t="shared" si="5"/>
        <v>#N/A</v>
      </c>
      <c r="M292" s="325"/>
    </row>
    <row r="293" spans="1:13" ht="13">
      <c r="A293" s="316" t="s">
        <v>919</v>
      </c>
      <c r="B293" s="316" t="s">
        <v>1973</v>
      </c>
      <c r="C293" s="316" t="s">
        <v>1973</v>
      </c>
      <c r="D293" s="316" t="s">
        <v>1973</v>
      </c>
      <c r="E293" s="317" t="s">
        <v>1973</v>
      </c>
      <c r="F293" s="318">
        <v>3</v>
      </c>
      <c r="G293" s="354" t="s">
        <v>62</v>
      </c>
      <c r="H293" s="320">
        <v>26400</v>
      </c>
      <c r="I293" s="321" t="b">
        <v>1</v>
      </c>
      <c r="J293" s="322">
        <v>755</v>
      </c>
      <c r="K293" s="323">
        <v>49.9</v>
      </c>
      <c r="L293" s="370">
        <f t="shared" si="5"/>
        <v>37674.5</v>
      </c>
      <c r="M293" s="325"/>
    </row>
    <row r="294" spans="1:13" ht="13">
      <c r="A294" s="316" t="s">
        <v>937</v>
      </c>
      <c r="B294" s="316" t="s">
        <v>1973</v>
      </c>
      <c r="C294" s="316" t="s">
        <v>1973</v>
      </c>
      <c r="D294" s="316" t="s">
        <v>1973</v>
      </c>
      <c r="E294" s="317" t="s">
        <v>1973</v>
      </c>
      <c r="F294" s="318">
        <v>2</v>
      </c>
      <c r="G294" s="354" t="s">
        <v>62</v>
      </c>
      <c r="H294" s="320">
        <v>14400</v>
      </c>
      <c r="I294" s="321" t="b">
        <v>1</v>
      </c>
      <c r="J294" s="322">
        <v>2</v>
      </c>
      <c r="K294" s="323" t="s">
        <v>1973</v>
      </c>
      <c r="L294" s="371" t="e">
        <f t="shared" si="5"/>
        <v>#VALUE!</v>
      </c>
      <c r="M294" s="325"/>
    </row>
    <row r="295" spans="1:13" ht="13">
      <c r="A295" s="316" t="s">
        <v>970</v>
      </c>
      <c r="B295" s="316" t="s">
        <v>1973</v>
      </c>
      <c r="C295" s="316" t="s">
        <v>1973</v>
      </c>
      <c r="D295" s="316" t="s">
        <v>1973</v>
      </c>
      <c r="E295" s="317" t="s">
        <v>1973</v>
      </c>
      <c r="F295" s="318">
        <v>1</v>
      </c>
      <c r="G295" s="354" t="s">
        <v>75</v>
      </c>
      <c r="H295" s="320">
        <v>16500</v>
      </c>
      <c r="I295" s="321" t="b">
        <v>1</v>
      </c>
      <c r="J295" s="322">
        <v>1</v>
      </c>
      <c r="K295" s="323" t="s">
        <v>1973</v>
      </c>
      <c r="L295" s="371" t="e">
        <f t="shared" si="5"/>
        <v>#VALUE!</v>
      </c>
      <c r="M295" s="325"/>
    </row>
    <row r="296" spans="1:13" ht="13">
      <c r="A296" s="18" t="s">
        <v>1609</v>
      </c>
      <c r="B296" s="316" t="s">
        <v>1973</v>
      </c>
      <c r="C296" s="316" t="s">
        <v>1973</v>
      </c>
      <c r="D296" s="316" t="s">
        <v>1973</v>
      </c>
      <c r="E296" s="317" t="s">
        <v>1973</v>
      </c>
      <c r="F296" s="318">
        <v>2</v>
      </c>
      <c r="G296" s="354" t="s">
        <v>36</v>
      </c>
      <c r="H296" s="320">
        <v>40000</v>
      </c>
      <c r="I296" s="319" t="b">
        <v>0</v>
      </c>
      <c r="J296" s="372"/>
      <c r="K296" s="373" t="s">
        <v>1973</v>
      </c>
      <c r="L296" s="374" t="e">
        <f t="shared" si="5"/>
        <v>#VALUE!</v>
      </c>
      <c r="M296" s="325"/>
    </row>
    <row r="297" spans="1:13" ht="13">
      <c r="A297" s="18" t="s">
        <v>1094</v>
      </c>
      <c r="B297" s="316" t="s">
        <v>1973</v>
      </c>
      <c r="C297" s="316" t="s">
        <v>1973</v>
      </c>
      <c r="D297" s="316" t="s">
        <v>1973</v>
      </c>
      <c r="E297" s="317" t="s">
        <v>1973</v>
      </c>
      <c r="F297" s="318">
        <v>1</v>
      </c>
      <c r="G297" s="354" t="s">
        <v>62</v>
      </c>
      <c r="H297" s="320">
        <v>17600</v>
      </c>
      <c r="I297" s="319" t="b">
        <v>0</v>
      </c>
      <c r="J297" s="372"/>
      <c r="K297" s="373" t="s">
        <v>1973</v>
      </c>
      <c r="L297" s="374" t="e">
        <f t="shared" si="5"/>
        <v>#VALUE!</v>
      </c>
      <c r="M297" s="325"/>
    </row>
    <row r="298" spans="1:13" ht="13">
      <c r="A298" s="18" t="s">
        <v>1096</v>
      </c>
      <c r="B298" s="316" t="s">
        <v>1973</v>
      </c>
      <c r="C298" s="316" t="s">
        <v>1973</v>
      </c>
      <c r="D298" s="316" t="s">
        <v>1973</v>
      </c>
      <c r="E298" s="317" t="s">
        <v>1973</v>
      </c>
      <c r="F298" s="318">
        <v>1</v>
      </c>
      <c r="G298" s="354" t="s">
        <v>62</v>
      </c>
      <c r="H298" s="320">
        <v>9100</v>
      </c>
      <c r="I298" s="321" t="b">
        <v>1</v>
      </c>
      <c r="J298" s="322">
        <v>1</v>
      </c>
      <c r="K298" s="323" t="s">
        <v>1973</v>
      </c>
      <c r="L298" s="371" t="e">
        <f t="shared" si="5"/>
        <v>#VALUE!</v>
      </c>
      <c r="M298" s="325"/>
    </row>
    <row r="299" spans="1:13" ht="13">
      <c r="A299" s="316" t="s">
        <v>631</v>
      </c>
      <c r="B299" s="316" t="s">
        <v>1973</v>
      </c>
      <c r="C299" s="316" t="s">
        <v>1973</v>
      </c>
      <c r="D299" s="316" t="s">
        <v>1973</v>
      </c>
      <c r="E299" s="317" t="s">
        <v>1973</v>
      </c>
      <c r="F299" s="318">
        <v>1</v>
      </c>
      <c r="G299" s="354" t="s">
        <v>36</v>
      </c>
      <c r="H299" s="320">
        <v>16000</v>
      </c>
      <c r="I299" s="321" t="b">
        <v>1</v>
      </c>
      <c r="J299" s="322">
        <v>1</v>
      </c>
      <c r="K299" s="323">
        <v>20000</v>
      </c>
      <c r="L299" s="379">
        <f t="shared" si="5"/>
        <v>20000</v>
      </c>
      <c r="M299" s="381"/>
    </row>
    <row r="300" spans="1:13" ht="13">
      <c r="A300" s="316" t="s">
        <v>1610</v>
      </c>
      <c r="B300" s="316" t="s">
        <v>1973</v>
      </c>
      <c r="C300" s="316" t="s">
        <v>1973</v>
      </c>
      <c r="D300" s="316" t="s">
        <v>1973</v>
      </c>
      <c r="E300" s="317" t="s">
        <v>1973</v>
      </c>
      <c r="F300" s="318">
        <v>2</v>
      </c>
      <c r="G300" s="354" t="s">
        <v>36</v>
      </c>
      <c r="H300" s="320">
        <v>20000</v>
      </c>
      <c r="I300" s="321" t="b">
        <v>1</v>
      </c>
      <c r="J300" s="322">
        <v>2</v>
      </c>
      <c r="K300" s="323" t="e">
        <f>VLOOKUP($A300,'[1]Database Bahan &amp; Alat (Terupdat'!$B$50:$N$232,6,FALSE)</f>
        <v>#N/A</v>
      </c>
      <c r="L300" s="371" t="e">
        <f t="shared" si="5"/>
        <v>#N/A</v>
      </c>
      <c r="M300" s="381"/>
    </row>
    <row r="301" spans="1:13" ht="13">
      <c r="A301" s="316" t="s">
        <v>1612</v>
      </c>
      <c r="B301" s="316" t="s">
        <v>1973</v>
      </c>
      <c r="C301" s="316" t="s">
        <v>1973</v>
      </c>
      <c r="D301" s="316" t="s">
        <v>1973</v>
      </c>
      <c r="E301" s="317" t="s">
        <v>1973</v>
      </c>
      <c r="F301" s="318">
        <v>2.5</v>
      </c>
      <c r="G301" s="354" t="s">
        <v>36</v>
      </c>
      <c r="H301" s="320">
        <v>62500</v>
      </c>
      <c r="I301" s="321" t="b">
        <v>1</v>
      </c>
      <c r="J301" s="322">
        <v>1.8</v>
      </c>
      <c r="K301" s="323">
        <f>L301/J301</f>
        <v>36111.111111111109</v>
      </c>
      <c r="L301" s="370">
        <v>65000</v>
      </c>
      <c r="M301" s="381" t="s">
        <v>1738</v>
      </c>
    </row>
    <row r="302" spans="1:13" ht="13">
      <c r="A302" s="316" t="s">
        <v>1707</v>
      </c>
      <c r="B302" s="316" t="s">
        <v>1973</v>
      </c>
      <c r="C302" s="316" t="s">
        <v>1973</v>
      </c>
      <c r="D302" s="316" t="s">
        <v>1973</v>
      </c>
      <c r="E302" s="317" t="s">
        <v>1973</v>
      </c>
      <c r="F302" s="318">
        <v>0.25</v>
      </c>
      <c r="G302" s="354" t="s">
        <v>36</v>
      </c>
      <c r="H302" s="320">
        <v>7000</v>
      </c>
      <c r="I302" s="321" t="b">
        <v>1</v>
      </c>
      <c r="J302" s="322">
        <v>0.25</v>
      </c>
      <c r="K302" s="323">
        <v>60000</v>
      </c>
      <c r="L302" s="379">
        <f t="shared" ref="L302:L329" si="6">J302*K302</f>
        <v>15000</v>
      </c>
      <c r="M302" s="381"/>
    </row>
    <row r="303" spans="1:13" ht="13">
      <c r="A303" s="316" t="s">
        <v>675</v>
      </c>
      <c r="B303" s="316" t="s">
        <v>1973</v>
      </c>
      <c r="C303" s="316" t="s">
        <v>1973</v>
      </c>
      <c r="D303" s="316" t="s">
        <v>1973</v>
      </c>
      <c r="E303" s="317" t="s">
        <v>1973</v>
      </c>
      <c r="F303" s="318">
        <v>10</v>
      </c>
      <c r="G303" s="354" t="s">
        <v>62</v>
      </c>
      <c r="H303" s="320">
        <v>45000</v>
      </c>
      <c r="I303" s="321" t="b">
        <v>1</v>
      </c>
      <c r="J303" s="322">
        <v>10</v>
      </c>
      <c r="K303" s="323" t="e">
        <f>VLOOKUP($A303,'[1]Database Bahan &amp; Alat (Terupdat'!$B$50:$N$232,6,FALSE)</f>
        <v>#N/A</v>
      </c>
      <c r="L303" s="371" t="e">
        <f t="shared" si="6"/>
        <v>#N/A</v>
      </c>
      <c r="M303" s="325"/>
    </row>
    <row r="304" spans="1:13" ht="13">
      <c r="A304" s="316" t="s">
        <v>732</v>
      </c>
      <c r="B304" s="316" t="s">
        <v>1973</v>
      </c>
      <c r="C304" s="316" t="s">
        <v>1973</v>
      </c>
      <c r="D304" s="316" t="s">
        <v>1973</v>
      </c>
      <c r="E304" s="317" t="s">
        <v>1973</v>
      </c>
      <c r="F304" s="318">
        <v>2</v>
      </c>
      <c r="G304" s="354" t="s">
        <v>36</v>
      </c>
      <c r="H304" s="320">
        <v>52000</v>
      </c>
      <c r="I304" s="321" t="b">
        <v>1</v>
      </c>
      <c r="J304" s="322">
        <v>2</v>
      </c>
      <c r="K304" s="323">
        <v>28000</v>
      </c>
      <c r="L304" s="379">
        <f t="shared" si="6"/>
        <v>56000</v>
      </c>
      <c r="M304" s="381"/>
    </row>
    <row r="305" spans="1:13" ht="13">
      <c r="A305" s="316" t="s">
        <v>744</v>
      </c>
      <c r="B305" s="316" t="s">
        <v>1973</v>
      </c>
      <c r="C305" s="316" t="s">
        <v>1973</v>
      </c>
      <c r="D305" s="316" t="s">
        <v>1973</v>
      </c>
      <c r="E305" s="317" t="s">
        <v>1973</v>
      </c>
      <c r="F305" s="318">
        <v>0.3</v>
      </c>
      <c r="G305" s="354" t="s">
        <v>36</v>
      </c>
      <c r="H305" s="320">
        <v>21000</v>
      </c>
      <c r="I305" s="321" t="b">
        <v>1</v>
      </c>
      <c r="J305" s="322">
        <v>0.3</v>
      </c>
      <c r="K305" s="323" t="e">
        <f>VLOOKUP($A305,'[1]Database Bahan &amp; Alat (Terupdat'!$B$50:$N$232,6,FALSE)</f>
        <v>#N/A</v>
      </c>
      <c r="L305" s="370" t="e">
        <f t="shared" si="6"/>
        <v>#N/A</v>
      </c>
      <c r="M305" s="381" t="s">
        <v>1739</v>
      </c>
    </row>
    <row r="306" spans="1:13" ht="13">
      <c r="A306" s="316" t="s">
        <v>767</v>
      </c>
      <c r="B306" s="316" t="s">
        <v>1973</v>
      </c>
      <c r="C306" s="316" t="s">
        <v>1973</v>
      </c>
      <c r="D306" s="316" t="s">
        <v>1973</v>
      </c>
      <c r="E306" s="317" t="s">
        <v>1973</v>
      </c>
      <c r="F306" s="318">
        <v>3</v>
      </c>
      <c r="G306" s="354" t="s">
        <v>62</v>
      </c>
      <c r="H306" s="320">
        <v>60000</v>
      </c>
      <c r="I306" s="321" t="b">
        <v>1</v>
      </c>
      <c r="J306" s="322">
        <v>3</v>
      </c>
      <c r="K306" s="323">
        <v>21000</v>
      </c>
      <c r="L306" s="379">
        <f t="shared" si="6"/>
        <v>63000</v>
      </c>
      <c r="M306" s="381"/>
    </row>
    <row r="307" spans="1:13" ht="13">
      <c r="A307" s="316" t="s">
        <v>1601</v>
      </c>
      <c r="B307" s="316" t="s">
        <v>1973</v>
      </c>
      <c r="C307" s="316" t="s">
        <v>1973</v>
      </c>
      <c r="D307" s="316" t="s">
        <v>1973</v>
      </c>
      <c r="E307" s="317" t="s">
        <v>1973</v>
      </c>
      <c r="F307" s="318">
        <v>2</v>
      </c>
      <c r="G307" s="354" t="s">
        <v>97</v>
      </c>
      <c r="H307" s="320">
        <v>42000</v>
      </c>
      <c r="I307" s="321" t="b">
        <v>1</v>
      </c>
      <c r="J307" s="322">
        <v>2</v>
      </c>
      <c r="K307" s="323" t="s">
        <v>1973</v>
      </c>
      <c r="L307" s="371" t="e">
        <f t="shared" si="6"/>
        <v>#VALUE!</v>
      </c>
      <c r="M307" s="381"/>
    </row>
    <row r="308" spans="1:13" ht="13">
      <c r="A308" s="316" t="s">
        <v>1704</v>
      </c>
      <c r="B308" s="316" t="s">
        <v>1973</v>
      </c>
      <c r="C308" s="316" t="s">
        <v>1973</v>
      </c>
      <c r="D308" s="316" t="s">
        <v>1973</v>
      </c>
      <c r="E308" s="317" t="s">
        <v>1973</v>
      </c>
      <c r="F308" s="318">
        <v>0.2</v>
      </c>
      <c r="G308" s="354" t="s">
        <v>36</v>
      </c>
      <c r="H308" s="320">
        <v>2400</v>
      </c>
      <c r="I308" s="321" t="b">
        <v>1</v>
      </c>
      <c r="J308" s="322">
        <v>0.25</v>
      </c>
      <c r="K308" s="323" t="s">
        <v>1973</v>
      </c>
      <c r="L308" s="371" t="e">
        <f t="shared" si="6"/>
        <v>#VALUE!</v>
      </c>
      <c r="M308" s="381"/>
    </row>
    <row r="309" spans="1:13" ht="13">
      <c r="A309" s="316" t="s">
        <v>1709</v>
      </c>
      <c r="B309" s="316" t="s">
        <v>1973</v>
      </c>
      <c r="C309" s="316" t="s">
        <v>1973</v>
      </c>
      <c r="D309" s="316" t="s">
        <v>1973</v>
      </c>
      <c r="E309" s="317" t="s">
        <v>1973</v>
      </c>
      <c r="F309" s="318">
        <v>5</v>
      </c>
      <c r="G309" s="354" t="s">
        <v>62</v>
      </c>
      <c r="H309" s="320">
        <v>12500</v>
      </c>
      <c r="I309" s="321" t="b">
        <v>1</v>
      </c>
      <c r="J309" s="322">
        <v>5</v>
      </c>
      <c r="K309" s="323">
        <v>3000</v>
      </c>
      <c r="L309" s="379">
        <f t="shared" si="6"/>
        <v>15000</v>
      </c>
      <c r="M309" s="381"/>
    </row>
    <row r="310" spans="1:13" ht="13">
      <c r="A310" s="316" t="s">
        <v>1608</v>
      </c>
      <c r="B310" s="316" t="s">
        <v>1973</v>
      </c>
      <c r="C310" s="316" t="s">
        <v>1973</v>
      </c>
      <c r="D310" s="316" t="s">
        <v>1973</v>
      </c>
      <c r="E310" s="317" t="s">
        <v>1973</v>
      </c>
      <c r="F310" s="318">
        <v>0.7</v>
      </c>
      <c r="G310" s="354" t="s">
        <v>36</v>
      </c>
      <c r="H310" s="320">
        <v>48300</v>
      </c>
      <c r="I310" s="321" t="b">
        <v>1</v>
      </c>
      <c r="J310" s="322">
        <v>1</v>
      </c>
      <c r="K310" s="323">
        <v>54000</v>
      </c>
      <c r="L310" s="379">
        <f t="shared" si="6"/>
        <v>54000</v>
      </c>
      <c r="M310" s="381"/>
    </row>
    <row r="311" spans="1:13" ht="13">
      <c r="A311" s="316" t="s">
        <v>955</v>
      </c>
      <c r="B311" s="316" t="s">
        <v>1973</v>
      </c>
      <c r="C311" s="316" t="s">
        <v>1973</v>
      </c>
      <c r="D311" s="316" t="s">
        <v>1973</v>
      </c>
      <c r="E311" s="317" t="s">
        <v>1973</v>
      </c>
      <c r="F311" s="318">
        <v>1</v>
      </c>
      <c r="G311" s="354" t="s">
        <v>97</v>
      </c>
      <c r="H311" s="320">
        <v>21000</v>
      </c>
      <c r="I311" s="321" t="b">
        <v>1</v>
      </c>
      <c r="J311" s="322">
        <v>1</v>
      </c>
      <c r="K311" s="323" t="e">
        <f>VLOOKUP($A311,'[1]Database Bahan &amp; Alat (Terupdat'!$B$50:$N$232,6,FALSE)</f>
        <v>#N/A</v>
      </c>
      <c r="L311" s="371" t="e">
        <f t="shared" si="6"/>
        <v>#N/A</v>
      </c>
      <c r="M311" s="381"/>
    </row>
    <row r="312" spans="1:13" ht="13">
      <c r="A312" s="316" t="s">
        <v>989</v>
      </c>
      <c r="B312" s="316" t="s">
        <v>1973</v>
      </c>
      <c r="C312" s="316" t="s">
        <v>1973</v>
      </c>
      <c r="D312" s="316" t="s">
        <v>1973</v>
      </c>
      <c r="E312" s="317" t="s">
        <v>1973</v>
      </c>
      <c r="F312" s="318">
        <v>3</v>
      </c>
      <c r="G312" s="354" t="s">
        <v>62</v>
      </c>
      <c r="H312" s="320">
        <v>51000</v>
      </c>
      <c r="I312" s="321" t="b">
        <v>1</v>
      </c>
      <c r="J312" s="322">
        <v>3</v>
      </c>
      <c r="K312" s="323">
        <v>18000</v>
      </c>
      <c r="L312" s="379">
        <f t="shared" si="6"/>
        <v>54000</v>
      </c>
      <c r="M312" s="381"/>
    </row>
    <row r="313" spans="1:13" ht="13">
      <c r="A313" s="316" t="s">
        <v>1020</v>
      </c>
      <c r="B313" s="316" t="s">
        <v>1973</v>
      </c>
      <c r="C313" s="316" t="s">
        <v>1973</v>
      </c>
      <c r="D313" s="316" t="s">
        <v>1973</v>
      </c>
      <c r="E313" s="317" t="s">
        <v>1973</v>
      </c>
      <c r="F313" s="318">
        <v>0.5</v>
      </c>
      <c r="G313" s="354" t="s">
        <v>36</v>
      </c>
      <c r="H313" s="320">
        <v>6000</v>
      </c>
      <c r="I313" s="321" t="b">
        <v>1</v>
      </c>
      <c r="J313" s="322">
        <v>0.5</v>
      </c>
      <c r="K313" s="323" t="s">
        <v>1973</v>
      </c>
      <c r="L313" s="371" t="e">
        <f t="shared" si="6"/>
        <v>#VALUE!</v>
      </c>
      <c r="M313" s="381"/>
    </row>
    <row r="314" spans="1:13" ht="13">
      <c r="A314" s="316" t="s">
        <v>1600</v>
      </c>
      <c r="B314" s="316" t="s">
        <v>1973</v>
      </c>
      <c r="C314" s="316" t="s">
        <v>1973</v>
      </c>
      <c r="D314" s="316" t="s">
        <v>1973</v>
      </c>
      <c r="E314" s="317" t="s">
        <v>1973</v>
      </c>
      <c r="F314" s="318">
        <v>1</v>
      </c>
      <c r="G314" s="354" t="s">
        <v>36</v>
      </c>
      <c r="H314" s="320">
        <v>10000</v>
      </c>
      <c r="I314" s="321" t="b">
        <v>1</v>
      </c>
      <c r="J314" s="322">
        <v>1</v>
      </c>
      <c r="K314" s="323" t="s">
        <v>1973</v>
      </c>
      <c r="L314" s="371" t="e">
        <f t="shared" si="6"/>
        <v>#VALUE!</v>
      </c>
      <c r="M314" s="381"/>
    </row>
    <row r="315" spans="1:13" ht="13">
      <c r="A315" s="316" t="s">
        <v>548</v>
      </c>
      <c r="B315" s="316" t="s">
        <v>1973</v>
      </c>
      <c r="C315" s="316" t="s">
        <v>1973</v>
      </c>
      <c r="D315" s="316" t="s">
        <v>1973</v>
      </c>
      <c r="E315" s="317" t="s">
        <v>1973</v>
      </c>
      <c r="F315" s="318">
        <v>1</v>
      </c>
      <c r="G315" s="354" t="s">
        <v>87</v>
      </c>
      <c r="H315" s="320">
        <v>142120</v>
      </c>
      <c r="I315" s="319" t="b">
        <v>0</v>
      </c>
      <c r="J315" s="372"/>
      <c r="K315" s="373" t="s">
        <v>1973</v>
      </c>
      <c r="L315" s="374" t="e">
        <f t="shared" si="6"/>
        <v>#VALUE!</v>
      </c>
      <c r="M315" s="325"/>
    </row>
    <row r="316" spans="1:13" ht="13">
      <c r="A316" s="316" t="s">
        <v>949</v>
      </c>
      <c r="B316" s="316" t="s">
        <v>1973</v>
      </c>
      <c r="C316" s="316" t="s">
        <v>1973</v>
      </c>
      <c r="D316" s="316" t="s">
        <v>1973</v>
      </c>
      <c r="E316" s="317" t="s">
        <v>1973</v>
      </c>
      <c r="F316" s="318">
        <v>1</v>
      </c>
      <c r="G316" s="354" t="s">
        <v>97</v>
      </c>
      <c r="H316" s="320">
        <v>23200</v>
      </c>
      <c r="I316" s="321" t="b">
        <v>1</v>
      </c>
      <c r="J316" s="322">
        <v>1</v>
      </c>
      <c r="K316" s="323" t="s">
        <v>1973</v>
      </c>
      <c r="L316" s="371" t="e">
        <f t="shared" si="6"/>
        <v>#VALUE!</v>
      </c>
      <c r="M316" s="325"/>
    </row>
    <row r="317" spans="1:13" ht="13">
      <c r="A317" s="316" t="s">
        <v>952</v>
      </c>
      <c r="B317" s="316" t="s">
        <v>1973</v>
      </c>
      <c r="C317" s="316" t="s">
        <v>1973</v>
      </c>
      <c r="D317" s="316" t="s">
        <v>1973</v>
      </c>
      <c r="E317" s="317" t="s">
        <v>1973</v>
      </c>
      <c r="F317" s="318">
        <v>1</v>
      </c>
      <c r="G317" s="354" t="s">
        <v>97</v>
      </c>
      <c r="H317" s="320">
        <v>27300</v>
      </c>
      <c r="I317" s="321" t="b">
        <v>1</v>
      </c>
      <c r="J317" s="322">
        <v>1</v>
      </c>
      <c r="K317" s="323" t="s">
        <v>1973</v>
      </c>
      <c r="L317" s="371" t="e">
        <f t="shared" si="6"/>
        <v>#VALUE!</v>
      </c>
      <c r="M317" s="325"/>
    </row>
    <row r="318" spans="1:13" ht="13">
      <c r="A318" s="316" t="s">
        <v>779</v>
      </c>
      <c r="B318" s="316" t="s">
        <v>1973</v>
      </c>
      <c r="C318" s="316" t="s">
        <v>1973</v>
      </c>
      <c r="D318" s="316" t="s">
        <v>1973</v>
      </c>
      <c r="E318" s="317" t="s">
        <v>1973</v>
      </c>
      <c r="F318" s="318">
        <v>2</v>
      </c>
      <c r="G318" s="354" t="s">
        <v>62</v>
      </c>
      <c r="H318" s="320">
        <v>77000</v>
      </c>
      <c r="I318" s="321" t="b">
        <v>1</v>
      </c>
      <c r="J318" s="322">
        <v>2</v>
      </c>
      <c r="K318" s="323">
        <v>36000</v>
      </c>
      <c r="L318" s="380">
        <f t="shared" si="6"/>
        <v>72000</v>
      </c>
      <c r="M318" s="325"/>
    </row>
    <row r="319" spans="1:13" ht="13">
      <c r="A319" s="316" t="s">
        <v>1602</v>
      </c>
      <c r="B319" s="316" t="s">
        <v>1973</v>
      </c>
      <c r="C319" s="316" t="s">
        <v>1973</v>
      </c>
      <c r="D319" s="316" t="s">
        <v>1973</v>
      </c>
      <c r="E319" s="317" t="s">
        <v>1973</v>
      </c>
      <c r="F319" s="318">
        <v>4</v>
      </c>
      <c r="G319" s="354" t="s">
        <v>36</v>
      </c>
      <c r="H319" s="320">
        <v>56000</v>
      </c>
      <c r="I319" s="321" t="b">
        <v>1</v>
      </c>
      <c r="J319" s="322">
        <v>4</v>
      </c>
      <c r="K319" s="323" t="s">
        <v>1973</v>
      </c>
      <c r="L319" s="371" t="e">
        <f t="shared" si="6"/>
        <v>#VALUE!</v>
      </c>
      <c r="M319" s="381"/>
    </row>
    <row r="320" spans="1:13" ht="13">
      <c r="A320" s="316" t="s">
        <v>528</v>
      </c>
      <c r="B320" s="316" t="s">
        <v>1973</v>
      </c>
      <c r="C320" s="316" t="s">
        <v>1973</v>
      </c>
      <c r="D320" s="316" t="s">
        <v>1973</v>
      </c>
      <c r="E320" s="317" t="s">
        <v>1973</v>
      </c>
      <c r="F320" s="318">
        <v>4</v>
      </c>
      <c r="G320" s="354" t="s">
        <v>50</v>
      </c>
      <c r="H320" s="320">
        <v>64000</v>
      </c>
      <c r="I320" s="321" t="b">
        <v>1</v>
      </c>
      <c r="J320" s="322">
        <v>4</v>
      </c>
      <c r="K320" s="323" t="s">
        <v>1973</v>
      </c>
      <c r="L320" s="371" t="e">
        <f t="shared" si="6"/>
        <v>#VALUE!</v>
      </c>
      <c r="M320" s="325"/>
    </row>
    <row r="321" spans="1:13" ht="13">
      <c r="A321" s="316" t="s">
        <v>1603</v>
      </c>
      <c r="B321" s="316" t="s">
        <v>1973</v>
      </c>
      <c r="C321" s="316" t="s">
        <v>1973</v>
      </c>
      <c r="D321" s="316" t="s">
        <v>1973</v>
      </c>
      <c r="E321" s="317" t="s">
        <v>1973</v>
      </c>
      <c r="F321" s="318">
        <v>1</v>
      </c>
      <c r="G321" s="354" t="s">
        <v>62</v>
      </c>
      <c r="H321" s="320">
        <v>60000</v>
      </c>
      <c r="I321" s="321" t="b">
        <v>1</v>
      </c>
      <c r="J321" s="322">
        <v>1</v>
      </c>
      <c r="K321" s="323" t="s">
        <v>1973</v>
      </c>
      <c r="L321" s="371" t="e">
        <f t="shared" si="6"/>
        <v>#VALUE!</v>
      </c>
      <c r="M321" s="325"/>
    </row>
    <row r="322" spans="1:13" ht="13">
      <c r="A322" s="316" t="s">
        <v>635</v>
      </c>
      <c r="B322" s="316" t="s">
        <v>1973</v>
      </c>
      <c r="C322" s="316" t="s">
        <v>1973</v>
      </c>
      <c r="D322" s="316" t="s">
        <v>1973</v>
      </c>
      <c r="E322" s="317" t="s">
        <v>1973</v>
      </c>
      <c r="F322" s="318">
        <v>8</v>
      </c>
      <c r="G322" s="354" t="s">
        <v>50</v>
      </c>
      <c r="H322" s="320">
        <v>76000</v>
      </c>
      <c r="I322" s="321" t="b">
        <v>1</v>
      </c>
      <c r="J322" s="322">
        <v>8</v>
      </c>
      <c r="K322" s="323">
        <v>10000</v>
      </c>
      <c r="L322" s="379">
        <f t="shared" si="6"/>
        <v>80000</v>
      </c>
      <c r="M322" s="325"/>
    </row>
    <row r="323" spans="1:13" ht="13">
      <c r="A323" s="316" t="s">
        <v>643</v>
      </c>
      <c r="B323" s="316" t="s">
        <v>1973</v>
      </c>
      <c r="C323" s="316" t="s">
        <v>1973</v>
      </c>
      <c r="D323" s="316" t="s">
        <v>1973</v>
      </c>
      <c r="E323" s="317" t="s">
        <v>1973</v>
      </c>
      <c r="F323" s="318">
        <v>0.5</v>
      </c>
      <c r="G323" s="354" t="s">
        <v>36</v>
      </c>
      <c r="H323" s="320">
        <v>7500</v>
      </c>
      <c r="I323" s="321" t="b">
        <v>1</v>
      </c>
      <c r="J323" s="322">
        <v>0.5</v>
      </c>
      <c r="K323" s="323" t="s">
        <v>1973</v>
      </c>
      <c r="L323" s="371" t="e">
        <f t="shared" si="6"/>
        <v>#VALUE!</v>
      </c>
      <c r="M323" s="381"/>
    </row>
    <row r="324" spans="1:13" ht="13">
      <c r="A324" s="316" t="s">
        <v>680</v>
      </c>
      <c r="B324" s="316" t="s">
        <v>1973</v>
      </c>
      <c r="C324" s="316" t="s">
        <v>1973</v>
      </c>
      <c r="D324" s="316" t="s">
        <v>1973</v>
      </c>
      <c r="E324" s="317" t="s">
        <v>1973</v>
      </c>
      <c r="F324" s="318">
        <v>6</v>
      </c>
      <c r="G324" s="354" t="s">
        <v>97</v>
      </c>
      <c r="H324" s="320">
        <v>186000</v>
      </c>
      <c r="I324" s="321" t="b">
        <v>1</v>
      </c>
      <c r="J324" s="322">
        <v>6</v>
      </c>
      <c r="K324" s="323" t="s">
        <v>1973</v>
      </c>
      <c r="L324" s="371" t="e">
        <f t="shared" si="6"/>
        <v>#VALUE!</v>
      </c>
      <c r="M324" s="325"/>
    </row>
    <row r="325" spans="1:13" ht="13">
      <c r="A325" s="316" t="s">
        <v>684</v>
      </c>
      <c r="B325" s="316" t="s">
        <v>1973</v>
      </c>
      <c r="C325" s="316" t="s">
        <v>1973</v>
      </c>
      <c r="D325" s="316" t="s">
        <v>1973</v>
      </c>
      <c r="E325" s="317" t="s">
        <v>1973</v>
      </c>
      <c r="F325" s="318">
        <v>3</v>
      </c>
      <c r="G325" s="354" t="s">
        <v>97</v>
      </c>
      <c r="H325" s="320">
        <v>93000</v>
      </c>
      <c r="I325" s="321" t="b">
        <v>1</v>
      </c>
      <c r="J325" s="322">
        <v>3</v>
      </c>
      <c r="K325" s="323" t="s">
        <v>1973</v>
      </c>
      <c r="L325" s="371" t="e">
        <f t="shared" si="6"/>
        <v>#VALUE!</v>
      </c>
      <c r="M325" s="325"/>
    </row>
    <row r="326" spans="1:13" ht="13">
      <c r="A326" s="316" t="s">
        <v>735</v>
      </c>
      <c r="B326" s="316" t="s">
        <v>1973</v>
      </c>
      <c r="C326" s="316" t="s">
        <v>1973</v>
      </c>
      <c r="D326" s="316" t="s">
        <v>1973</v>
      </c>
      <c r="E326" s="317" t="s">
        <v>1973</v>
      </c>
      <c r="F326" s="318">
        <v>1</v>
      </c>
      <c r="G326" s="354" t="s">
        <v>97</v>
      </c>
      <c r="H326" s="320">
        <v>48000</v>
      </c>
      <c r="I326" s="321" t="b">
        <v>1</v>
      </c>
      <c r="J326" s="322">
        <v>1</v>
      </c>
      <c r="K326" s="323" t="s">
        <v>1973</v>
      </c>
      <c r="L326" s="371" t="e">
        <f t="shared" si="6"/>
        <v>#VALUE!</v>
      </c>
      <c r="M326" s="381"/>
    </row>
    <row r="327" spans="1:13" ht="13">
      <c r="A327" s="316" t="s">
        <v>892</v>
      </c>
      <c r="B327" s="316" t="s">
        <v>1973</v>
      </c>
      <c r="C327" s="316" t="s">
        <v>1973</v>
      </c>
      <c r="D327" s="316" t="s">
        <v>1973</v>
      </c>
      <c r="E327" s="317" t="s">
        <v>1973</v>
      </c>
      <c r="F327" s="318">
        <v>2</v>
      </c>
      <c r="G327" s="354" t="s">
        <v>36</v>
      </c>
      <c r="H327" s="320">
        <v>250000</v>
      </c>
      <c r="I327" s="321" t="b">
        <v>1</v>
      </c>
      <c r="J327" s="322">
        <v>2</v>
      </c>
      <c r="K327" s="323" t="s">
        <v>1973</v>
      </c>
      <c r="L327" s="371" t="e">
        <f t="shared" si="6"/>
        <v>#VALUE!</v>
      </c>
      <c r="M327" s="325"/>
    </row>
    <row r="328" spans="1:13" ht="13">
      <c r="A328" s="316" t="s">
        <v>934</v>
      </c>
      <c r="B328" s="316" t="s">
        <v>1973</v>
      </c>
      <c r="C328" s="316" t="s">
        <v>1973</v>
      </c>
      <c r="D328" s="316" t="s">
        <v>1973</v>
      </c>
      <c r="E328" s="317" t="s">
        <v>1973</v>
      </c>
      <c r="F328" s="318">
        <v>3</v>
      </c>
      <c r="G328" s="354" t="s">
        <v>62</v>
      </c>
      <c r="H328" s="320">
        <v>27000</v>
      </c>
      <c r="I328" s="321" t="b">
        <v>1</v>
      </c>
      <c r="J328" s="322">
        <v>3</v>
      </c>
      <c r="K328" s="323" t="s">
        <v>1973</v>
      </c>
      <c r="L328" s="370" t="e">
        <f t="shared" si="6"/>
        <v>#VALUE!</v>
      </c>
      <c r="M328" s="325" t="s">
        <v>1736</v>
      </c>
    </row>
    <row r="329" spans="1:13" ht="13">
      <c r="A329" s="316" t="s">
        <v>1037</v>
      </c>
      <c r="B329" s="316" t="s">
        <v>1973</v>
      </c>
      <c r="C329" s="316" t="s">
        <v>1973</v>
      </c>
      <c r="D329" s="316" t="s">
        <v>1973</v>
      </c>
      <c r="E329" s="317" t="s">
        <v>1973</v>
      </c>
      <c r="F329" s="318">
        <v>2</v>
      </c>
      <c r="G329" s="354" t="s">
        <v>62</v>
      </c>
      <c r="H329" s="320">
        <v>40200</v>
      </c>
      <c r="I329" s="321" t="b">
        <v>1</v>
      </c>
      <c r="J329" s="322">
        <v>1</v>
      </c>
      <c r="K329" s="323">
        <v>22100</v>
      </c>
      <c r="L329" s="379">
        <f t="shared" si="6"/>
        <v>22100</v>
      </c>
      <c r="M329" s="325"/>
    </row>
    <row r="331" spans="1:13" ht="13">
      <c r="F331" s="429">
        <v>44641</v>
      </c>
      <c r="G331" s="428"/>
      <c r="H331" s="424"/>
      <c r="J331" s="429">
        <f>F331+1</f>
        <v>44642</v>
      </c>
      <c r="K331" s="428"/>
      <c r="L331" s="424"/>
    </row>
    <row r="332" spans="1:13" ht="13">
      <c r="F332" s="425" t="s">
        <v>1490</v>
      </c>
      <c r="G332" s="426"/>
      <c r="H332" s="304">
        <f>SUM(H334:H365)</f>
        <v>2959800</v>
      </c>
      <c r="J332" s="425" t="s">
        <v>1491</v>
      </c>
      <c r="K332" s="426"/>
      <c r="L332" s="304" t="e">
        <f>SUM(L334:L365)</f>
        <v>#N/A</v>
      </c>
    </row>
    <row r="333" spans="1:13" ht="13">
      <c r="A333" s="2" t="s">
        <v>4</v>
      </c>
      <c r="B333" s="305" t="s">
        <v>5</v>
      </c>
      <c r="C333" s="305" t="s">
        <v>11</v>
      </c>
      <c r="D333" s="305" t="s">
        <v>12</v>
      </c>
      <c r="E333" s="306" t="s">
        <v>6</v>
      </c>
      <c r="F333" s="307" t="s">
        <v>1494</v>
      </c>
      <c r="G333" s="308" t="s">
        <v>10</v>
      </c>
      <c r="H333" s="309" t="s">
        <v>1495</v>
      </c>
      <c r="I333" s="310" t="s">
        <v>1289</v>
      </c>
      <c r="J333" s="311" t="s">
        <v>1496</v>
      </c>
      <c r="K333" s="312" t="s">
        <v>1497</v>
      </c>
      <c r="L333" s="313" t="s">
        <v>1498</v>
      </c>
      <c r="M333" s="314" t="s">
        <v>16</v>
      </c>
    </row>
    <row r="334" spans="1:13" ht="13">
      <c r="A334" s="316" t="s">
        <v>586</v>
      </c>
      <c r="B334" s="316" t="s">
        <v>1973</v>
      </c>
      <c r="C334" s="316" t="s">
        <v>1973</v>
      </c>
      <c r="D334" s="316" t="s">
        <v>1973</v>
      </c>
      <c r="E334" s="317" t="s">
        <v>1973</v>
      </c>
      <c r="F334" s="318">
        <v>3</v>
      </c>
      <c r="G334" s="354" t="s">
        <v>62</v>
      </c>
      <c r="H334" s="320">
        <v>21600</v>
      </c>
      <c r="I334" s="321" t="b">
        <v>1</v>
      </c>
      <c r="J334" s="322">
        <v>3</v>
      </c>
      <c r="K334" s="323" t="e">
        <f>VLOOKUP($A334,'[1]Database Bahan &amp; Alat (Terupdat'!$B$50:$N$232,6,FALSE)</f>
        <v>#N/A</v>
      </c>
      <c r="L334" s="371" t="e">
        <f t="shared" ref="L334:L345" si="7">J334*K334</f>
        <v>#N/A</v>
      </c>
      <c r="M334" s="325"/>
    </row>
    <row r="335" spans="1:13" ht="13">
      <c r="A335" s="316" t="s">
        <v>1598</v>
      </c>
      <c r="B335" s="316" t="s">
        <v>1973</v>
      </c>
      <c r="C335" s="316" t="s">
        <v>1973</v>
      </c>
      <c r="D335" s="316" t="s">
        <v>1973</v>
      </c>
      <c r="E335" s="317" t="s">
        <v>1973</v>
      </c>
      <c r="F335" s="318">
        <v>2</v>
      </c>
      <c r="G335" s="354" t="s">
        <v>97</v>
      </c>
      <c r="H335" s="320">
        <v>20800</v>
      </c>
      <c r="I335" s="321" t="b">
        <v>1</v>
      </c>
      <c r="J335" s="322">
        <v>2</v>
      </c>
      <c r="K335" s="323">
        <v>11500</v>
      </c>
      <c r="L335" s="379">
        <f t="shared" si="7"/>
        <v>23000</v>
      </c>
      <c r="M335" s="325"/>
    </row>
    <row r="336" spans="1:13" ht="13">
      <c r="A336" s="316" t="s">
        <v>782</v>
      </c>
      <c r="B336" s="316" t="s">
        <v>1973</v>
      </c>
      <c r="C336" s="316" t="s">
        <v>1973</v>
      </c>
      <c r="D336" s="316" t="s">
        <v>1973</v>
      </c>
      <c r="E336" s="317" t="s">
        <v>1973</v>
      </c>
      <c r="F336" s="318">
        <v>2</v>
      </c>
      <c r="G336" s="354" t="s">
        <v>62</v>
      </c>
      <c r="H336" s="320">
        <v>24000</v>
      </c>
      <c r="I336" s="321" t="b">
        <v>1</v>
      </c>
      <c r="J336" s="322">
        <v>2</v>
      </c>
      <c r="K336" s="323" t="s">
        <v>1973</v>
      </c>
      <c r="L336" s="371" t="e">
        <f t="shared" si="7"/>
        <v>#VALUE!</v>
      </c>
      <c r="M336" s="325"/>
    </row>
    <row r="337" spans="1:13" ht="13">
      <c r="A337" s="316" t="s">
        <v>919</v>
      </c>
      <c r="B337" s="316" t="s">
        <v>1973</v>
      </c>
      <c r="C337" s="316" t="s">
        <v>1973</v>
      </c>
      <c r="D337" s="316" t="s">
        <v>1973</v>
      </c>
      <c r="E337" s="317" t="s">
        <v>1973</v>
      </c>
      <c r="F337" s="318">
        <v>4</v>
      </c>
      <c r="G337" s="354" t="s">
        <v>62</v>
      </c>
      <c r="H337" s="320">
        <v>35200</v>
      </c>
      <c r="I337" s="321" t="b">
        <v>1</v>
      </c>
      <c r="J337" s="322">
        <v>4</v>
      </c>
      <c r="K337" s="323" t="s">
        <v>1973</v>
      </c>
      <c r="L337" s="371" t="e">
        <f t="shared" si="7"/>
        <v>#VALUE!</v>
      </c>
      <c r="M337" s="325"/>
    </row>
    <row r="338" spans="1:13" ht="13">
      <c r="A338" s="316" t="s">
        <v>937</v>
      </c>
      <c r="B338" s="316" t="s">
        <v>1973</v>
      </c>
      <c r="C338" s="316" t="s">
        <v>1973</v>
      </c>
      <c r="D338" s="316" t="s">
        <v>1973</v>
      </c>
      <c r="E338" s="317" t="s">
        <v>1973</v>
      </c>
      <c r="F338" s="318">
        <v>2</v>
      </c>
      <c r="G338" s="354" t="s">
        <v>62</v>
      </c>
      <c r="H338" s="320">
        <v>14400</v>
      </c>
      <c r="I338" s="321" t="b">
        <v>1</v>
      </c>
      <c r="J338" s="322">
        <v>2</v>
      </c>
      <c r="K338" s="323" t="s">
        <v>1973</v>
      </c>
      <c r="L338" s="371" t="e">
        <f t="shared" si="7"/>
        <v>#VALUE!</v>
      </c>
      <c r="M338" s="325"/>
    </row>
    <row r="339" spans="1:13" ht="13">
      <c r="A339" s="316" t="s">
        <v>574</v>
      </c>
      <c r="B339" s="316" t="s">
        <v>1973</v>
      </c>
      <c r="C339" s="316" t="s">
        <v>1973</v>
      </c>
      <c r="D339" s="316" t="s">
        <v>1973</v>
      </c>
      <c r="E339" s="317" t="s">
        <v>1973</v>
      </c>
      <c r="F339" s="318">
        <v>1</v>
      </c>
      <c r="G339" s="354" t="s">
        <v>62</v>
      </c>
      <c r="H339" s="320">
        <v>170000</v>
      </c>
      <c r="I339" s="319" t="b">
        <v>0</v>
      </c>
      <c r="J339" s="372"/>
      <c r="K339" s="373" t="s">
        <v>1973</v>
      </c>
      <c r="L339" s="374" t="e">
        <f t="shared" si="7"/>
        <v>#VALUE!</v>
      </c>
      <c r="M339" s="325"/>
    </row>
    <row r="340" spans="1:13" ht="13">
      <c r="A340" s="316" t="s">
        <v>1610</v>
      </c>
      <c r="B340" s="316" t="s">
        <v>1973</v>
      </c>
      <c r="C340" s="316" t="s">
        <v>1973</v>
      </c>
      <c r="D340" s="316" t="s">
        <v>1973</v>
      </c>
      <c r="E340" s="317" t="s">
        <v>1973</v>
      </c>
      <c r="F340" s="318">
        <v>2</v>
      </c>
      <c r="G340" s="354" t="s">
        <v>36</v>
      </c>
      <c r="H340" s="320">
        <v>20000</v>
      </c>
      <c r="I340" s="321" t="b">
        <v>1</v>
      </c>
      <c r="J340" s="322">
        <v>2</v>
      </c>
      <c r="K340" s="323" t="s">
        <v>1973</v>
      </c>
      <c r="L340" s="371" t="e">
        <f t="shared" si="7"/>
        <v>#VALUE!</v>
      </c>
      <c r="M340" s="325"/>
    </row>
    <row r="341" spans="1:13" ht="13">
      <c r="A341" s="316" t="s">
        <v>1611</v>
      </c>
      <c r="B341" s="316" t="s">
        <v>1973</v>
      </c>
      <c r="C341" s="316" t="s">
        <v>1973</v>
      </c>
      <c r="D341" s="316" t="s">
        <v>1973</v>
      </c>
      <c r="E341" s="317" t="s">
        <v>1973</v>
      </c>
      <c r="F341" s="318">
        <v>3</v>
      </c>
      <c r="G341" s="354" t="s">
        <v>36</v>
      </c>
      <c r="H341" s="320">
        <v>150000</v>
      </c>
      <c r="I341" s="321" t="b">
        <v>1</v>
      </c>
      <c r="J341" s="322">
        <v>3</v>
      </c>
      <c r="K341" s="323">
        <v>47000</v>
      </c>
      <c r="L341" s="380">
        <f t="shared" si="7"/>
        <v>141000</v>
      </c>
      <c r="M341" s="325"/>
    </row>
    <row r="342" spans="1:13" ht="13">
      <c r="A342" s="316" t="s">
        <v>1699</v>
      </c>
      <c r="B342" s="316" t="s">
        <v>1973</v>
      </c>
      <c r="C342" s="316" t="s">
        <v>1973</v>
      </c>
      <c r="D342" s="316" t="s">
        <v>1973</v>
      </c>
      <c r="E342" s="317" t="s">
        <v>1973</v>
      </c>
      <c r="F342" s="318">
        <v>0.3</v>
      </c>
      <c r="G342" s="354" t="s">
        <v>36</v>
      </c>
      <c r="H342" s="320">
        <v>20400</v>
      </c>
      <c r="I342" s="321" t="b">
        <v>1</v>
      </c>
      <c r="J342" s="322">
        <v>0.25</v>
      </c>
      <c r="K342" s="323">
        <v>80000</v>
      </c>
      <c r="L342" s="379">
        <f t="shared" si="7"/>
        <v>20000</v>
      </c>
      <c r="M342" s="325"/>
    </row>
    <row r="343" spans="1:13" ht="13">
      <c r="A343" s="316" t="s">
        <v>675</v>
      </c>
      <c r="B343" s="316" t="s">
        <v>1973</v>
      </c>
      <c r="C343" s="316" t="s">
        <v>1973</v>
      </c>
      <c r="D343" s="316" t="s">
        <v>1973</v>
      </c>
      <c r="E343" s="317" t="s">
        <v>1973</v>
      </c>
      <c r="F343" s="318">
        <v>15</v>
      </c>
      <c r="G343" s="354" t="s">
        <v>62</v>
      </c>
      <c r="H343" s="320">
        <v>67500</v>
      </c>
      <c r="I343" s="321" t="b">
        <v>1</v>
      </c>
      <c r="J343" s="322">
        <v>15</v>
      </c>
      <c r="K343" s="323" t="e">
        <f>VLOOKUP($A343,'[1]Database Bahan &amp; Alat (Terupdat'!$B$50:$N$232,6,FALSE)</f>
        <v>#N/A</v>
      </c>
      <c r="L343" s="371" t="e">
        <f t="shared" si="7"/>
        <v>#N/A</v>
      </c>
      <c r="M343" s="325"/>
    </row>
    <row r="344" spans="1:13" ht="13">
      <c r="A344" s="316" t="s">
        <v>712</v>
      </c>
      <c r="B344" s="316" t="s">
        <v>1973</v>
      </c>
      <c r="C344" s="316" t="s">
        <v>1973</v>
      </c>
      <c r="D344" s="316" t="s">
        <v>1973</v>
      </c>
      <c r="E344" s="317" t="s">
        <v>1973</v>
      </c>
      <c r="F344" s="318">
        <v>1</v>
      </c>
      <c r="G344" s="354" t="s">
        <v>36</v>
      </c>
      <c r="H344" s="320">
        <v>24000</v>
      </c>
      <c r="I344" s="321" t="b">
        <v>1</v>
      </c>
      <c r="J344" s="322">
        <v>1</v>
      </c>
      <c r="K344" s="323">
        <v>28000</v>
      </c>
      <c r="L344" s="379">
        <f t="shared" si="7"/>
        <v>28000</v>
      </c>
      <c r="M344" s="325"/>
    </row>
    <row r="345" spans="1:13" ht="13">
      <c r="A345" s="316" t="s">
        <v>732</v>
      </c>
      <c r="B345" s="316" t="s">
        <v>1973</v>
      </c>
      <c r="C345" s="316" t="s">
        <v>1973</v>
      </c>
      <c r="D345" s="316" t="s">
        <v>1973</v>
      </c>
      <c r="E345" s="317" t="s">
        <v>1973</v>
      </c>
      <c r="F345" s="318">
        <v>2</v>
      </c>
      <c r="G345" s="354" t="s">
        <v>36</v>
      </c>
      <c r="H345" s="320">
        <v>52000</v>
      </c>
      <c r="I345" s="321" t="b">
        <v>1</v>
      </c>
      <c r="J345" s="322">
        <v>2</v>
      </c>
      <c r="K345" s="323">
        <v>28000</v>
      </c>
      <c r="L345" s="371">
        <f t="shared" si="7"/>
        <v>56000</v>
      </c>
      <c r="M345" s="325"/>
    </row>
    <row r="346" spans="1:13" ht="13">
      <c r="A346" s="316" t="s">
        <v>744</v>
      </c>
      <c r="B346" s="316" t="s">
        <v>1973</v>
      </c>
      <c r="C346" s="316" t="s">
        <v>1973</v>
      </c>
      <c r="D346" s="316" t="s">
        <v>1973</v>
      </c>
      <c r="E346" s="317" t="s">
        <v>1973</v>
      </c>
      <c r="F346" s="318">
        <v>0.8</v>
      </c>
      <c r="G346" s="354" t="s">
        <v>36</v>
      </c>
      <c r="H346" s="320">
        <v>56000</v>
      </c>
      <c r="I346" s="321" t="b">
        <v>1</v>
      </c>
      <c r="J346" s="322">
        <v>0.75</v>
      </c>
      <c r="K346" s="323">
        <v>74500</v>
      </c>
      <c r="L346" s="370">
        <v>56000</v>
      </c>
      <c r="M346" s="325"/>
    </row>
    <row r="347" spans="1:13" ht="13">
      <c r="A347" s="316" t="s">
        <v>1601</v>
      </c>
      <c r="B347" s="316" t="s">
        <v>1973</v>
      </c>
      <c r="C347" s="316" t="s">
        <v>1973</v>
      </c>
      <c r="D347" s="316" t="s">
        <v>1973</v>
      </c>
      <c r="E347" s="317" t="s">
        <v>1973</v>
      </c>
      <c r="F347" s="318">
        <v>1</v>
      </c>
      <c r="G347" s="354" t="s">
        <v>97</v>
      </c>
      <c r="H347" s="320">
        <v>21000</v>
      </c>
      <c r="I347" s="321" t="b">
        <v>1</v>
      </c>
      <c r="J347" s="322">
        <v>1</v>
      </c>
      <c r="K347" s="323" t="s">
        <v>1973</v>
      </c>
      <c r="L347" s="371" t="e">
        <f t="shared" ref="L347:L365" si="8">J347*K347</f>
        <v>#VALUE!</v>
      </c>
      <c r="M347" s="325"/>
    </row>
    <row r="348" spans="1:13" ht="13">
      <c r="A348" s="316" t="s">
        <v>795</v>
      </c>
      <c r="B348" s="316" t="s">
        <v>1973</v>
      </c>
      <c r="C348" s="316" t="s">
        <v>1973</v>
      </c>
      <c r="D348" s="316" t="s">
        <v>1973</v>
      </c>
      <c r="E348" s="317" t="s">
        <v>1973</v>
      </c>
      <c r="F348" s="318">
        <v>5</v>
      </c>
      <c r="G348" s="354" t="s">
        <v>62</v>
      </c>
      <c r="H348" s="320">
        <v>25000</v>
      </c>
      <c r="I348" s="321" t="b">
        <v>1</v>
      </c>
      <c r="J348" s="322">
        <v>5</v>
      </c>
      <c r="K348" s="323" t="s">
        <v>1973</v>
      </c>
      <c r="L348" s="371" t="e">
        <f t="shared" si="8"/>
        <v>#VALUE!</v>
      </c>
      <c r="M348" s="325"/>
    </row>
    <row r="349" spans="1:13" ht="13">
      <c r="A349" s="316" t="s">
        <v>819</v>
      </c>
      <c r="B349" s="316" t="s">
        <v>1973</v>
      </c>
      <c r="C349" s="316" t="s">
        <v>1973</v>
      </c>
      <c r="D349" s="316" t="s">
        <v>1973</v>
      </c>
      <c r="E349" s="317" t="s">
        <v>1973</v>
      </c>
      <c r="F349" s="318">
        <v>0.2</v>
      </c>
      <c r="G349" s="354" t="s">
        <v>36</v>
      </c>
      <c r="H349" s="320">
        <v>4000</v>
      </c>
      <c r="I349" s="321" t="b">
        <v>1</v>
      </c>
      <c r="J349" s="322">
        <v>0.2</v>
      </c>
      <c r="K349" s="323" t="s">
        <v>1973</v>
      </c>
      <c r="L349" s="371" t="e">
        <f t="shared" si="8"/>
        <v>#VALUE!</v>
      </c>
      <c r="M349" s="325"/>
    </row>
    <row r="350" spans="1:13" ht="13">
      <c r="A350" s="316" t="s">
        <v>827</v>
      </c>
      <c r="B350" s="316" t="s">
        <v>1973</v>
      </c>
      <c r="C350" s="316" t="s">
        <v>1973</v>
      </c>
      <c r="D350" s="316" t="s">
        <v>1973</v>
      </c>
      <c r="E350" s="317" t="s">
        <v>1973</v>
      </c>
      <c r="F350" s="318">
        <v>0.5</v>
      </c>
      <c r="G350" s="354" t="s">
        <v>36</v>
      </c>
      <c r="H350" s="320">
        <v>4000</v>
      </c>
      <c r="I350" s="321" t="b">
        <v>1</v>
      </c>
      <c r="J350" s="322">
        <v>0.5</v>
      </c>
      <c r="K350" s="323" t="s">
        <v>1973</v>
      </c>
      <c r="L350" s="371" t="e">
        <f t="shared" si="8"/>
        <v>#VALUE!</v>
      </c>
      <c r="M350" s="325"/>
    </row>
    <row r="351" spans="1:13" ht="13">
      <c r="A351" s="316" t="s">
        <v>1669</v>
      </c>
      <c r="B351" s="316" t="s">
        <v>1973</v>
      </c>
      <c r="C351" s="316" t="s">
        <v>1973</v>
      </c>
      <c r="D351" s="316" t="s">
        <v>1973</v>
      </c>
      <c r="E351" s="317" t="s">
        <v>1973</v>
      </c>
      <c r="F351" s="318">
        <v>3</v>
      </c>
      <c r="G351" s="354" t="s">
        <v>36</v>
      </c>
      <c r="H351" s="320">
        <v>39000</v>
      </c>
      <c r="I351" s="321" t="b">
        <v>1</v>
      </c>
      <c r="J351" s="322">
        <v>3</v>
      </c>
      <c r="K351" s="323" t="s">
        <v>1973</v>
      </c>
      <c r="L351" s="371" t="e">
        <f t="shared" si="8"/>
        <v>#VALUE!</v>
      </c>
      <c r="M351" s="325"/>
    </row>
    <row r="352" spans="1:13" ht="13">
      <c r="A352" s="316" t="s">
        <v>1671</v>
      </c>
      <c r="B352" s="316" t="s">
        <v>1973</v>
      </c>
      <c r="C352" s="316" t="s">
        <v>1973</v>
      </c>
      <c r="D352" s="316" t="s">
        <v>1973</v>
      </c>
      <c r="E352" s="317" t="s">
        <v>1973</v>
      </c>
      <c r="F352" s="318">
        <v>4</v>
      </c>
      <c r="G352" s="354" t="s">
        <v>36</v>
      </c>
      <c r="H352" s="320">
        <v>360000</v>
      </c>
      <c r="I352" s="321" t="b">
        <v>1</v>
      </c>
      <c r="J352" s="322">
        <v>4</v>
      </c>
      <c r="K352" s="323">
        <v>95000</v>
      </c>
      <c r="L352" s="379">
        <f t="shared" si="8"/>
        <v>380000</v>
      </c>
      <c r="M352" s="325"/>
    </row>
    <row r="353" spans="1:13" ht="13">
      <c r="A353" s="316" t="s">
        <v>1020</v>
      </c>
      <c r="B353" s="316" t="s">
        <v>1973</v>
      </c>
      <c r="C353" s="316" t="s">
        <v>1973</v>
      </c>
      <c r="D353" s="316" t="s">
        <v>1973</v>
      </c>
      <c r="E353" s="317" t="s">
        <v>1973</v>
      </c>
      <c r="F353" s="318">
        <v>0.7</v>
      </c>
      <c r="G353" s="354" t="s">
        <v>36</v>
      </c>
      <c r="H353" s="320">
        <v>8400</v>
      </c>
      <c r="I353" s="321" t="b">
        <v>1</v>
      </c>
      <c r="J353" s="322">
        <v>0.75</v>
      </c>
      <c r="K353" s="323" t="s">
        <v>1973</v>
      </c>
      <c r="L353" s="371" t="e">
        <f t="shared" si="8"/>
        <v>#VALUE!</v>
      </c>
      <c r="M353" s="325"/>
    </row>
    <row r="354" spans="1:13" ht="13">
      <c r="A354" s="316" t="s">
        <v>1600</v>
      </c>
      <c r="B354" s="316" t="s">
        <v>1973</v>
      </c>
      <c r="C354" s="316" t="s">
        <v>1973</v>
      </c>
      <c r="D354" s="316" t="s">
        <v>1973</v>
      </c>
      <c r="E354" s="317" t="s">
        <v>1973</v>
      </c>
      <c r="F354" s="318">
        <v>1</v>
      </c>
      <c r="G354" s="354" t="s">
        <v>36</v>
      </c>
      <c r="H354" s="320">
        <v>10000</v>
      </c>
      <c r="I354" s="321" t="b">
        <v>1</v>
      </c>
      <c r="J354" s="322">
        <v>1</v>
      </c>
      <c r="K354" s="323" t="s">
        <v>1973</v>
      </c>
      <c r="L354" s="371" t="e">
        <f t="shared" si="8"/>
        <v>#VALUE!</v>
      </c>
      <c r="M354" s="325"/>
    </row>
    <row r="355" spans="1:13" ht="13">
      <c r="A355" s="316" t="s">
        <v>779</v>
      </c>
      <c r="B355" s="316" t="s">
        <v>1973</v>
      </c>
      <c r="C355" s="316" t="s">
        <v>1973</v>
      </c>
      <c r="D355" s="316" t="s">
        <v>1973</v>
      </c>
      <c r="E355" s="317" t="s">
        <v>1973</v>
      </c>
      <c r="F355" s="318">
        <v>2</v>
      </c>
      <c r="G355" s="354" t="s">
        <v>62</v>
      </c>
      <c r="H355" s="320">
        <v>77000</v>
      </c>
      <c r="I355" s="321" t="b">
        <v>1</v>
      </c>
      <c r="J355" s="322">
        <v>2</v>
      </c>
      <c r="K355" s="323">
        <v>36000</v>
      </c>
      <c r="L355" s="379">
        <f t="shared" si="8"/>
        <v>72000</v>
      </c>
      <c r="M355" s="325"/>
    </row>
    <row r="356" spans="1:13" ht="13">
      <c r="A356" s="316" t="s">
        <v>874</v>
      </c>
      <c r="B356" s="316" t="s">
        <v>1973</v>
      </c>
      <c r="C356" s="316" t="s">
        <v>1973</v>
      </c>
      <c r="D356" s="316" t="s">
        <v>1973</v>
      </c>
      <c r="E356" s="317" t="s">
        <v>1973</v>
      </c>
      <c r="F356" s="318">
        <v>4</v>
      </c>
      <c r="G356" s="354" t="s">
        <v>62</v>
      </c>
      <c r="H356" s="320">
        <v>64000</v>
      </c>
      <c r="I356" s="319" t="b">
        <v>0</v>
      </c>
      <c r="J356" s="372"/>
      <c r="K356" s="373" t="s">
        <v>1973</v>
      </c>
      <c r="L356" s="374" t="e">
        <f t="shared" si="8"/>
        <v>#VALUE!</v>
      </c>
      <c r="M356" s="325"/>
    </row>
    <row r="357" spans="1:13" ht="13">
      <c r="A357" s="316" t="s">
        <v>540</v>
      </c>
      <c r="B357" s="316" t="s">
        <v>1973</v>
      </c>
      <c r="C357" s="316" t="s">
        <v>1973</v>
      </c>
      <c r="D357" s="316" t="s">
        <v>1973</v>
      </c>
      <c r="E357" s="317" t="s">
        <v>1973</v>
      </c>
      <c r="F357" s="318">
        <v>6</v>
      </c>
      <c r="G357" s="354" t="s">
        <v>36</v>
      </c>
      <c r="H357" s="320">
        <v>1020000</v>
      </c>
      <c r="I357" s="319" t="b">
        <v>0</v>
      </c>
      <c r="J357" s="372"/>
      <c r="K357" s="373" t="s">
        <v>1973</v>
      </c>
      <c r="L357" s="374" t="e">
        <f t="shared" si="8"/>
        <v>#VALUE!</v>
      </c>
      <c r="M357" s="325"/>
    </row>
    <row r="358" spans="1:13" ht="13">
      <c r="A358" s="316" t="s">
        <v>590</v>
      </c>
      <c r="B358" s="316" t="s">
        <v>1973</v>
      </c>
      <c r="C358" s="316" t="s">
        <v>1973</v>
      </c>
      <c r="D358" s="316" t="s">
        <v>1973</v>
      </c>
      <c r="E358" s="317" t="s">
        <v>1973</v>
      </c>
      <c r="F358" s="318">
        <v>3</v>
      </c>
      <c r="G358" s="354" t="s">
        <v>62</v>
      </c>
      <c r="H358" s="320">
        <v>255000</v>
      </c>
      <c r="I358" s="319" t="b">
        <v>0</v>
      </c>
      <c r="J358" s="372"/>
      <c r="K358" s="373" t="s">
        <v>1973</v>
      </c>
      <c r="L358" s="374" t="e">
        <f t="shared" si="8"/>
        <v>#VALUE!</v>
      </c>
      <c r="M358" s="325"/>
    </row>
    <row r="359" spans="1:13" ht="13">
      <c r="A359" s="316" t="s">
        <v>528</v>
      </c>
      <c r="B359" s="316" t="s">
        <v>1973</v>
      </c>
      <c r="C359" s="316" t="s">
        <v>1973</v>
      </c>
      <c r="D359" s="316" t="s">
        <v>1973</v>
      </c>
      <c r="E359" s="317" t="s">
        <v>1973</v>
      </c>
      <c r="F359" s="318">
        <v>3</v>
      </c>
      <c r="G359" s="354" t="s">
        <v>50</v>
      </c>
      <c r="H359" s="320">
        <v>48000</v>
      </c>
      <c r="I359" s="321" t="b">
        <v>1</v>
      </c>
      <c r="J359" s="322">
        <v>3</v>
      </c>
      <c r="K359" s="323" t="s">
        <v>1973</v>
      </c>
      <c r="L359" s="371" t="e">
        <f t="shared" si="8"/>
        <v>#VALUE!</v>
      </c>
      <c r="M359" s="325"/>
    </row>
    <row r="360" spans="1:13" ht="13">
      <c r="A360" s="316" t="s">
        <v>635</v>
      </c>
      <c r="B360" s="316" t="s">
        <v>1973</v>
      </c>
      <c r="C360" s="316" t="s">
        <v>1973</v>
      </c>
      <c r="D360" s="316" t="s">
        <v>1973</v>
      </c>
      <c r="E360" s="317" t="s">
        <v>1973</v>
      </c>
      <c r="F360" s="318">
        <v>6</v>
      </c>
      <c r="G360" s="354" t="s">
        <v>50</v>
      </c>
      <c r="H360" s="320">
        <v>57000</v>
      </c>
      <c r="I360" s="321" t="b">
        <v>1</v>
      </c>
      <c r="J360" s="322">
        <v>6</v>
      </c>
      <c r="K360" s="323">
        <v>10000</v>
      </c>
      <c r="L360" s="379">
        <f t="shared" si="8"/>
        <v>60000</v>
      </c>
      <c r="M360" s="325"/>
    </row>
    <row r="361" spans="1:13" ht="13">
      <c r="A361" s="316" t="s">
        <v>643</v>
      </c>
      <c r="B361" s="316" t="s">
        <v>1973</v>
      </c>
      <c r="C361" s="316" t="s">
        <v>1973</v>
      </c>
      <c r="D361" s="316" t="s">
        <v>1973</v>
      </c>
      <c r="E361" s="317" t="s">
        <v>1973</v>
      </c>
      <c r="F361" s="318">
        <v>0.5</v>
      </c>
      <c r="G361" s="354" t="s">
        <v>36</v>
      </c>
      <c r="H361" s="320">
        <v>7500</v>
      </c>
      <c r="I361" s="321" t="b">
        <v>1</v>
      </c>
      <c r="J361" s="322">
        <v>0.5</v>
      </c>
      <c r="K361" s="323" t="s">
        <v>1973</v>
      </c>
      <c r="L361" s="371" t="e">
        <f t="shared" si="8"/>
        <v>#VALUE!</v>
      </c>
      <c r="M361" s="325"/>
    </row>
    <row r="362" spans="1:13" ht="13">
      <c r="A362" s="316" t="s">
        <v>696</v>
      </c>
      <c r="B362" s="316" t="s">
        <v>1973</v>
      </c>
      <c r="C362" s="316" t="s">
        <v>1973</v>
      </c>
      <c r="D362" s="316" t="s">
        <v>1973</v>
      </c>
      <c r="E362" s="317" t="s">
        <v>1973</v>
      </c>
      <c r="F362" s="318">
        <v>3</v>
      </c>
      <c r="G362" s="354" t="s">
        <v>62</v>
      </c>
      <c r="H362" s="320">
        <v>33000</v>
      </c>
      <c r="I362" s="321" t="b">
        <v>1</v>
      </c>
      <c r="J362" s="322">
        <v>3</v>
      </c>
      <c r="K362" s="323" t="s">
        <v>1973</v>
      </c>
      <c r="L362" s="371" t="e">
        <f t="shared" si="8"/>
        <v>#VALUE!</v>
      </c>
      <c r="M362" s="325"/>
    </row>
    <row r="363" spans="1:13" ht="13">
      <c r="A363" s="316" t="s">
        <v>748</v>
      </c>
      <c r="B363" s="316" t="s">
        <v>1973</v>
      </c>
      <c r="C363" s="316" t="s">
        <v>1973</v>
      </c>
      <c r="D363" s="316" t="s">
        <v>1973</v>
      </c>
      <c r="E363" s="317" t="s">
        <v>1973</v>
      </c>
      <c r="F363" s="318">
        <v>3</v>
      </c>
      <c r="G363" s="354" t="s">
        <v>62</v>
      </c>
      <c r="H363" s="320">
        <v>90000</v>
      </c>
      <c r="I363" s="321" t="b">
        <v>1</v>
      </c>
      <c r="J363" s="322">
        <v>3</v>
      </c>
      <c r="K363" s="323" t="s">
        <v>1973</v>
      </c>
      <c r="L363" s="370" t="e">
        <f t="shared" si="8"/>
        <v>#VALUE!</v>
      </c>
      <c r="M363" s="325" t="s">
        <v>1736</v>
      </c>
    </row>
    <row r="364" spans="1:13" ht="13">
      <c r="A364" s="316" t="s">
        <v>892</v>
      </c>
      <c r="B364" s="316" t="s">
        <v>1973</v>
      </c>
      <c r="C364" s="316" t="s">
        <v>1973</v>
      </c>
      <c r="D364" s="316" t="s">
        <v>1973</v>
      </c>
      <c r="E364" s="317" t="s">
        <v>1973</v>
      </c>
      <c r="F364" s="318">
        <v>1</v>
      </c>
      <c r="G364" s="354" t="s">
        <v>36</v>
      </c>
      <c r="H364" s="320">
        <v>125000</v>
      </c>
      <c r="I364" s="321" t="b">
        <v>1</v>
      </c>
      <c r="J364" s="322">
        <v>1</v>
      </c>
      <c r="K364" s="323" t="s">
        <v>1973</v>
      </c>
      <c r="L364" s="371" t="e">
        <f t="shared" si="8"/>
        <v>#VALUE!</v>
      </c>
      <c r="M364" s="325"/>
    </row>
    <row r="365" spans="1:13" ht="13">
      <c r="A365" s="316" t="s">
        <v>934</v>
      </c>
      <c r="B365" s="316" t="s">
        <v>1973</v>
      </c>
      <c r="C365" s="316" t="s">
        <v>1973</v>
      </c>
      <c r="D365" s="316" t="s">
        <v>1973</v>
      </c>
      <c r="E365" s="317" t="s">
        <v>1973</v>
      </c>
      <c r="F365" s="318">
        <v>4</v>
      </c>
      <c r="G365" s="354" t="s">
        <v>62</v>
      </c>
      <c r="H365" s="320">
        <v>36000</v>
      </c>
      <c r="I365" s="321" t="b">
        <v>1</v>
      </c>
      <c r="J365" s="322">
        <v>4</v>
      </c>
      <c r="K365" s="323" t="s">
        <v>1973</v>
      </c>
      <c r="L365" s="371" t="e">
        <f t="shared" si="8"/>
        <v>#VALUE!</v>
      </c>
      <c r="M365" s="325"/>
    </row>
    <row r="367" spans="1:13" ht="13">
      <c r="F367" s="429">
        <v>44648</v>
      </c>
      <c r="G367" s="428"/>
      <c r="H367" s="424"/>
      <c r="J367" s="429">
        <f>F367+1</f>
        <v>44649</v>
      </c>
      <c r="K367" s="428"/>
      <c r="L367" s="424"/>
    </row>
    <row r="368" spans="1:13" ht="13">
      <c r="F368" s="425" t="s">
        <v>1490</v>
      </c>
      <c r="G368" s="426"/>
      <c r="H368" s="304">
        <f>SUM(H370:H551)</f>
        <v>745500</v>
      </c>
      <c r="J368" s="425" t="s">
        <v>1491</v>
      </c>
      <c r="K368" s="426"/>
      <c r="L368" s="304" t="e">
        <f>SUM(L370:L551)</f>
        <v>#VALUE!</v>
      </c>
    </row>
    <row r="369" spans="1:13" ht="13">
      <c r="A369" s="2" t="s">
        <v>4</v>
      </c>
      <c r="B369" s="305" t="s">
        <v>5</v>
      </c>
      <c r="C369" s="305" t="s">
        <v>11</v>
      </c>
      <c r="D369" s="305" t="s">
        <v>12</v>
      </c>
      <c r="E369" s="306" t="s">
        <v>6</v>
      </c>
      <c r="F369" s="307" t="s">
        <v>1494</v>
      </c>
      <c r="G369" s="308" t="s">
        <v>10</v>
      </c>
      <c r="H369" s="309" t="s">
        <v>1495</v>
      </c>
      <c r="I369" s="310" t="s">
        <v>1289</v>
      </c>
      <c r="J369" s="311" t="s">
        <v>1496</v>
      </c>
      <c r="K369" s="312" t="s">
        <v>1497</v>
      </c>
      <c r="L369" s="313" t="s">
        <v>1498</v>
      </c>
      <c r="M369" s="314" t="s">
        <v>16</v>
      </c>
    </row>
    <row r="370" spans="1:13" ht="13">
      <c r="A370" s="316" t="s">
        <v>1598</v>
      </c>
      <c r="B370" s="316" t="s">
        <v>1973</v>
      </c>
      <c r="C370" s="316" t="s">
        <v>1973</v>
      </c>
      <c r="D370" s="316" t="s">
        <v>1973</v>
      </c>
      <c r="E370" s="317" t="s">
        <v>1973</v>
      </c>
      <c r="F370" s="318">
        <v>1</v>
      </c>
      <c r="G370" s="354" t="s">
        <v>97</v>
      </c>
      <c r="H370" s="320">
        <v>10400</v>
      </c>
      <c r="I370" s="321" t="b">
        <v>0</v>
      </c>
      <c r="J370" s="322"/>
      <c r="K370" s="323" t="s">
        <v>1973</v>
      </c>
      <c r="L370" s="324" t="e">
        <f t="shared" ref="L370:L391" si="9">J370*K370</f>
        <v>#VALUE!</v>
      </c>
      <c r="M370" s="325"/>
    </row>
    <row r="371" spans="1:13" ht="13">
      <c r="A371" s="316" t="s">
        <v>782</v>
      </c>
      <c r="B371" s="316" t="s">
        <v>1973</v>
      </c>
      <c r="C371" s="316" t="s">
        <v>1973</v>
      </c>
      <c r="D371" s="316" t="s">
        <v>1973</v>
      </c>
      <c r="E371" s="317" t="s">
        <v>1973</v>
      </c>
      <c r="F371" s="318">
        <v>2</v>
      </c>
      <c r="G371" s="354" t="s">
        <v>62</v>
      </c>
      <c r="H371" s="320">
        <v>24000</v>
      </c>
      <c r="I371" s="321" t="b">
        <v>0</v>
      </c>
      <c r="J371" s="322"/>
      <c r="K371" s="323" t="s">
        <v>1973</v>
      </c>
      <c r="L371" s="324" t="e">
        <f t="shared" si="9"/>
        <v>#VALUE!</v>
      </c>
      <c r="M371" s="325"/>
    </row>
    <row r="372" spans="1:13" ht="13">
      <c r="A372" s="316" t="s">
        <v>919</v>
      </c>
      <c r="B372" s="316" t="s">
        <v>1973</v>
      </c>
      <c r="C372" s="316" t="s">
        <v>1973</v>
      </c>
      <c r="D372" s="316" t="s">
        <v>1973</v>
      </c>
      <c r="E372" s="317" t="s">
        <v>1973</v>
      </c>
      <c r="F372" s="318">
        <v>3</v>
      </c>
      <c r="G372" s="354" t="s">
        <v>62</v>
      </c>
      <c r="H372" s="320">
        <v>26400</v>
      </c>
      <c r="I372" s="321" t="b">
        <v>0</v>
      </c>
      <c r="J372" s="322"/>
      <c r="K372" s="323" t="s">
        <v>1973</v>
      </c>
      <c r="L372" s="324" t="e">
        <f t="shared" si="9"/>
        <v>#VALUE!</v>
      </c>
      <c r="M372" s="325"/>
    </row>
    <row r="373" spans="1:13" ht="13">
      <c r="A373" s="316" t="s">
        <v>819</v>
      </c>
      <c r="B373" s="316" t="s">
        <v>1973</v>
      </c>
      <c r="C373" s="316" t="s">
        <v>1973</v>
      </c>
      <c r="D373" s="316" t="s">
        <v>1973</v>
      </c>
      <c r="E373" s="317" t="s">
        <v>1973</v>
      </c>
      <c r="F373" s="318">
        <v>0.1</v>
      </c>
      <c r="G373" s="354" t="s">
        <v>36</v>
      </c>
      <c r="H373" s="320">
        <v>2000</v>
      </c>
      <c r="I373" s="321" t="b">
        <v>1</v>
      </c>
      <c r="J373" s="322">
        <v>0.1</v>
      </c>
      <c r="K373" s="323" t="s">
        <v>1973</v>
      </c>
      <c r="L373" s="371" t="e">
        <f t="shared" si="9"/>
        <v>#VALUE!</v>
      </c>
      <c r="M373" s="325"/>
    </row>
    <row r="374" spans="1:13" ht="13">
      <c r="A374" s="316" t="s">
        <v>885</v>
      </c>
      <c r="B374" s="316" t="s">
        <v>1973</v>
      </c>
      <c r="C374" s="316" t="s">
        <v>1973</v>
      </c>
      <c r="D374" s="316" t="s">
        <v>1973</v>
      </c>
      <c r="E374" s="317" t="s">
        <v>1973</v>
      </c>
      <c r="F374" s="318">
        <v>0.1</v>
      </c>
      <c r="G374" s="354" t="s">
        <v>36</v>
      </c>
      <c r="H374" s="320">
        <v>1200</v>
      </c>
      <c r="I374" s="321" t="b">
        <v>1</v>
      </c>
      <c r="J374" s="322">
        <v>0.1</v>
      </c>
      <c r="K374" s="323">
        <v>15000</v>
      </c>
      <c r="L374" s="379">
        <f t="shared" si="9"/>
        <v>1500</v>
      </c>
      <c r="M374" s="325"/>
    </row>
    <row r="375" spans="1:13" ht="13">
      <c r="A375" s="316" t="s">
        <v>724</v>
      </c>
      <c r="B375" s="316" t="s">
        <v>1973</v>
      </c>
      <c r="C375" s="316" t="s">
        <v>1973</v>
      </c>
      <c r="D375" s="316" t="s">
        <v>1973</v>
      </c>
      <c r="E375" s="317" t="s">
        <v>1973</v>
      </c>
      <c r="F375" s="318">
        <v>0.25</v>
      </c>
      <c r="G375" s="354" t="s">
        <v>36</v>
      </c>
      <c r="H375" s="320">
        <v>5000</v>
      </c>
      <c r="I375" s="321" t="b">
        <v>1</v>
      </c>
      <c r="J375" s="322">
        <v>0.25</v>
      </c>
      <c r="K375" s="323" t="s">
        <v>1973</v>
      </c>
      <c r="L375" s="371" t="e">
        <f t="shared" si="9"/>
        <v>#VALUE!</v>
      </c>
      <c r="M375" s="325"/>
    </row>
    <row r="376" spans="1:13" ht="13">
      <c r="A376" s="316" t="s">
        <v>1704</v>
      </c>
      <c r="B376" s="316" t="s">
        <v>1973</v>
      </c>
      <c r="C376" s="316" t="s">
        <v>1973</v>
      </c>
      <c r="D376" s="316" t="s">
        <v>1973</v>
      </c>
      <c r="E376" s="317" t="s">
        <v>1973</v>
      </c>
      <c r="F376" s="318">
        <v>0.25</v>
      </c>
      <c r="G376" s="354" t="s">
        <v>36</v>
      </c>
      <c r="H376" s="320">
        <v>3000</v>
      </c>
      <c r="I376" s="321" t="b">
        <v>1</v>
      </c>
      <c r="J376" s="322">
        <v>0.25</v>
      </c>
      <c r="K376" s="323" t="s">
        <v>1973</v>
      </c>
      <c r="L376" s="371" t="e">
        <f t="shared" si="9"/>
        <v>#VALUE!</v>
      </c>
      <c r="M376" s="325"/>
    </row>
    <row r="377" spans="1:13" ht="13">
      <c r="A377" s="316" t="s">
        <v>744</v>
      </c>
      <c r="B377" s="316" t="s">
        <v>1973</v>
      </c>
      <c r="C377" s="316" t="s">
        <v>1973</v>
      </c>
      <c r="D377" s="316" t="s">
        <v>1973</v>
      </c>
      <c r="E377" s="317" t="s">
        <v>1973</v>
      </c>
      <c r="F377" s="318">
        <v>0.5</v>
      </c>
      <c r="G377" s="354" t="s">
        <v>36</v>
      </c>
      <c r="H377" s="320">
        <v>35000</v>
      </c>
      <c r="I377" s="321" t="b">
        <v>1</v>
      </c>
      <c r="J377" s="322"/>
      <c r="K377" s="323" t="s">
        <v>1973</v>
      </c>
      <c r="L377" s="324" t="e">
        <f t="shared" si="9"/>
        <v>#VALUE!</v>
      </c>
      <c r="M377" s="325"/>
    </row>
    <row r="378" spans="1:13" ht="13">
      <c r="A378" s="316" t="s">
        <v>712</v>
      </c>
      <c r="B378" s="316" t="s">
        <v>1973</v>
      </c>
      <c r="C378" s="316" t="s">
        <v>1973</v>
      </c>
      <c r="D378" s="316" t="s">
        <v>1973</v>
      </c>
      <c r="E378" s="317" t="s">
        <v>1973</v>
      </c>
      <c r="F378" s="318">
        <v>1</v>
      </c>
      <c r="G378" s="354" t="s">
        <v>36</v>
      </c>
      <c r="H378" s="320">
        <v>24000</v>
      </c>
      <c r="I378" s="321" t="b">
        <v>1</v>
      </c>
      <c r="J378" s="322">
        <v>1</v>
      </c>
      <c r="K378" s="323">
        <v>28000</v>
      </c>
      <c r="L378" s="379">
        <f t="shared" si="9"/>
        <v>28000</v>
      </c>
      <c r="M378" s="325"/>
    </row>
    <row r="379" spans="1:13" ht="13">
      <c r="A379" s="316" t="s">
        <v>1020</v>
      </c>
      <c r="B379" s="316" t="s">
        <v>1973</v>
      </c>
      <c r="C379" s="316" t="s">
        <v>1973</v>
      </c>
      <c r="D379" s="316" t="s">
        <v>1973</v>
      </c>
      <c r="E379" s="317" t="s">
        <v>1973</v>
      </c>
      <c r="F379" s="318">
        <v>1</v>
      </c>
      <c r="G379" s="354" t="s">
        <v>36</v>
      </c>
      <c r="H379" s="320">
        <v>12000</v>
      </c>
      <c r="I379" s="321" t="b">
        <v>1</v>
      </c>
      <c r="J379" s="322">
        <v>1</v>
      </c>
      <c r="K379" s="323" t="s">
        <v>1973</v>
      </c>
      <c r="L379" s="371" t="e">
        <f t="shared" si="9"/>
        <v>#VALUE!</v>
      </c>
      <c r="M379" s="325"/>
    </row>
    <row r="380" spans="1:13" ht="13">
      <c r="A380" s="316" t="s">
        <v>1600</v>
      </c>
      <c r="B380" s="316" t="s">
        <v>1973</v>
      </c>
      <c r="C380" s="316" t="s">
        <v>1973</v>
      </c>
      <c r="D380" s="316" t="s">
        <v>1973</v>
      </c>
      <c r="E380" s="317" t="s">
        <v>1973</v>
      </c>
      <c r="F380" s="318">
        <v>1</v>
      </c>
      <c r="G380" s="354" t="s">
        <v>36</v>
      </c>
      <c r="H380" s="320">
        <v>10000</v>
      </c>
      <c r="I380" s="321" t="b">
        <v>1</v>
      </c>
      <c r="J380" s="322">
        <v>1</v>
      </c>
      <c r="K380" s="323" t="s">
        <v>1973</v>
      </c>
      <c r="L380" s="371" t="e">
        <f t="shared" si="9"/>
        <v>#VALUE!</v>
      </c>
      <c r="M380" s="325"/>
    </row>
    <row r="381" spans="1:13" ht="13">
      <c r="A381" s="316" t="s">
        <v>1610</v>
      </c>
      <c r="B381" s="316" t="s">
        <v>1973</v>
      </c>
      <c r="C381" s="316" t="s">
        <v>1973</v>
      </c>
      <c r="D381" s="316" t="s">
        <v>1973</v>
      </c>
      <c r="E381" s="317" t="s">
        <v>1973</v>
      </c>
      <c r="F381" s="318">
        <v>1.5</v>
      </c>
      <c r="G381" s="354" t="s">
        <v>36</v>
      </c>
      <c r="H381" s="320">
        <v>15000</v>
      </c>
      <c r="I381" s="321" t="b">
        <v>1</v>
      </c>
      <c r="J381" s="322">
        <v>1.5</v>
      </c>
      <c r="K381" s="323" t="s">
        <v>1973</v>
      </c>
      <c r="L381" s="371" t="e">
        <f t="shared" si="9"/>
        <v>#VALUE!</v>
      </c>
      <c r="M381" s="325"/>
    </row>
    <row r="382" spans="1:13" ht="13">
      <c r="A382" s="316" t="s">
        <v>732</v>
      </c>
      <c r="B382" s="316" t="s">
        <v>1973</v>
      </c>
      <c r="C382" s="316" t="s">
        <v>1973</v>
      </c>
      <c r="D382" s="316" t="s">
        <v>1973</v>
      </c>
      <c r="E382" s="317" t="s">
        <v>1973</v>
      </c>
      <c r="F382" s="318">
        <v>1.5</v>
      </c>
      <c r="G382" s="354" t="s">
        <v>36</v>
      </c>
      <c r="H382" s="320">
        <v>39000</v>
      </c>
      <c r="I382" s="321" t="b">
        <v>1</v>
      </c>
      <c r="J382" s="322">
        <v>1.5</v>
      </c>
      <c r="K382" s="323">
        <v>28000</v>
      </c>
      <c r="L382" s="379">
        <f t="shared" si="9"/>
        <v>42000</v>
      </c>
      <c r="M382" s="325"/>
    </row>
    <row r="383" spans="1:13" ht="13">
      <c r="A383" s="316" t="s">
        <v>1611</v>
      </c>
      <c r="B383" s="316" t="s">
        <v>1973</v>
      </c>
      <c r="C383" s="316" t="s">
        <v>1973</v>
      </c>
      <c r="D383" s="316" t="s">
        <v>1973</v>
      </c>
      <c r="E383" s="317" t="s">
        <v>1973</v>
      </c>
      <c r="F383" s="318">
        <v>2</v>
      </c>
      <c r="G383" s="354" t="s">
        <v>36</v>
      </c>
      <c r="H383" s="320">
        <v>100000</v>
      </c>
      <c r="I383" s="321" t="b">
        <v>1</v>
      </c>
      <c r="J383" s="322"/>
      <c r="K383" s="323" t="s">
        <v>1973</v>
      </c>
      <c r="L383" s="324" t="e">
        <f t="shared" si="9"/>
        <v>#VALUE!</v>
      </c>
      <c r="M383" s="325"/>
    </row>
    <row r="384" spans="1:13" ht="13">
      <c r="A384" s="316" t="s">
        <v>1709</v>
      </c>
      <c r="B384" s="316" t="s">
        <v>1973</v>
      </c>
      <c r="C384" s="316" t="s">
        <v>1973</v>
      </c>
      <c r="D384" s="316" t="s">
        <v>1973</v>
      </c>
      <c r="E384" s="317" t="s">
        <v>1973</v>
      </c>
      <c r="F384" s="318">
        <v>3</v>
      </c>
      <c r="G384" s="354" t="s">
        <v>62</v>
      </c>
      <c r="H384" s="320">
        <v>7500</v>
      </c>
      <c r="I384" s="321" t="b">
        <v>1</v>
      </c>
      <c r="J384" s="322"/>
      <c r="K384" s="323" t="s">
        <v>1973</v>
      </c>
      <c r="L384" s="324" t="e">
        <f t="shared" si="9"/>
        <v>#VALUE!</v>
      </c>
      <c r="M384" s="325"/>
    </row>
    <row r="385" spans="1:13" ht="13">
      <c r="A385" s="316" t="s">
        <v>795</v>
      </c>
      <c r="B385" s="316" t="s">
        <v>1973</v>
      </c>
      <c r="C385" s="316" t="s">
        <v>1973</v>
      </c>
      <c r="D385" s="316" t="s">
        <v>1973</v>
      </c>
      <c r="E385" s="317" t="s">
        <v>1973</v>
      </c>
      <c r="F385" s="318">
        <v>5</v>
      </c>
      <c r="G385" s="354" t="s">
        <v>62</v>
      </c>
      <c r="H385" s="320">
        <v>25000</v>
      </c>
      <c r="I385" s="321" t="b">
        <v>0</v>
      </c>
      <c r="J385" s="322"/>
      <c r="K385" s="323" t="s">
        <v>1973</v>
      </c>
      <c r="L385" s="324" t="e">
        <f t="shared" si="9"/>
        <v>#VALUE!</v>
      </c>
      <c r="M385" s="325"/>
    </row>
    <row r="386" spans="1:13" ht="13">
      <c r="A386" s="316" t="s">
        <v>675</v>
      </c>
      <c r="B386" s="316" t="s">
        <v>1973</v>
      </c>
      <c r="C386" s="316" t="s">
        <v>1973</v>
      </c>
      <c r="D386" s="316" t="s">
        <v>1973</v>
      </c>
      <c r="E386" s="317" t="s">
        <v>1973</v>
      </c>
      <c r="F386" s="318">
        <v>10</v>
      </c>
      <c r="G386" s="354" t="s">
        <v>62</v>
      </c>
      <c r="H386" s="320">
        <v>45000</v>
      </c>
      <c r="I386" s="321" t="b">
        <v>0</v>
      </c>
      <c r="J386" s="322"/>
      <c r="K386" s="323" t="s">
        <v>1973</v>
      </c>
      <c r="L386" s="324" t="e">
        <f t="shared" si="9"/>
        <v>#VALUE!</v>
      </c>
      <c r="M386" s="325"/>
    </row>
    <row r="387" spans="1:13" ht="13">
      <c r="A387" s="316" t="s">
        <v>779</v>
      </c>
      <c r="B387" s="316" t="s">
        <v>1973</v>
      </c>
      <c r="C387" s="316" t="s">
        <v>1973</v>
      </c>
      <c r="D387" s="316" t="s">
        <v>1973</v>
      </c>
      <c r="E387" s="317" t="s">
        <v>1973</v>
      </c>
      <c r="F387" s="318">
        <v>2</v>
      </c>
      <c r="G387" s="354" t="s">
        <v>62</v>
      </c>
      <c r="H387" s="320">
        <v>77000</v>
      </c>
      <c r="I387" s="321" t="b">
        <v>1</v>
      </c>
      <c r="J387" s="322">
        <v>1</v>
      </c>
      <c r="K387" s="323" t="s">
        <v>1973</v>
      </c>
      <c r="L387" s="324" t="e">
        <f t="shared" si="9"/>
        <v>#VALUE!</v>
      </c>
      <c r="M387" s="325"/>
    </row>
    <row r="388" spans="1:13" ht="13">
      <c r="A388" s="316" t="s">
        <v>643</v>
      </c>
      <c r="B388" s="316" t="s">
        <v>1973</v>
      </c>
      <c r="C388" s="316" t="s">
        <v>1973</v>
      </c>
      <c r="D388" s="316" t="s">
        <v>1973</v>
      </c>
      <c r="E388" s="317" t="s">
        <v>1973</v>
      </c>
      <c r="F388" s="318">
        <v>1</v>
      </c>
      <c r="G388" s="354" t="s">
        <v>36</v>
      </c>
      <c r="H388" s="320">
        <v>15000</v>
      </c>
      <c r="I388" s="321" t="b">
        <v>1</v>
      </c>
      <c r="J388" s="322"/>
      <c r="K388" s="323" t="s">
        <v>1973</v>
      </c>
      <c r="L388" s="324" t="e">
        <f t="shared" si="9"/>
        <v>#VALUE!</v>
      </c>
      <c r="M388" s="325"/>
    </row>
    <row r="389" spans="1:13" ht="13">
      <c r="A389" s="316" t="s">
        <v>892</v>
      </c>
      <c r="B389" s="316" t="s">
        <v>1973</v>
      </c>
      <c r="C389" s="316" t="s">
        <v>1973</v>
      </c>
      <c r="D389" s="316" t="s">
        <v>1973</v>
      </c>
      <c r="E389" s="317" t="s">
        <v>1973</v>
      </c>
      <c r="F389" s="318">
        <v>1</v>
      </c>
      <c r="G389" s="354" t="s">
        <v>36</v>
      </c>
      <c r="H389" s="320">
        <v>125000</v>
      </c>
      <c r="I389" s="321" t="b">
        <v>1</v>
      </c>
      <c r="J389" s="322"/>
      <c r="K389" s="323" t="s">
        <v>1973</v>
      </c>
      <c r="L389" s="324" t="e">
        <f t="shared" si="9"/>
        <v>#VALUE!</v>
      </c>
      <c r="M389" s="325"/>
    </row>
    <row r="390" spans="1:13" ht="13">
      <c r="A390" s="316" t="s">
        <v>528</v>
      </c>
      <c r="B390" s="316" t="s">
        <v>1973</v>
      </c>
      <c r="C390" s="316" t="s">
        <v>1973</v>
      </c>
      <c r="D390" s="316" t="s">
        <v>1973</v>
      </c>
      <c r="E390" s="317" t="s">
        <v>1973</v>
      </c>
      <c r="F390" s="318">
        <v>4</v>
      </c>
      <c r="G390" s="354" t="s">
        <v>50</v>
      </c>
      <c r="H390" s="320">
        <v>64000</v>
      </c>
      <c r="I390" s="321" t="b">
        <v>0</v>
      </c>
      <c r="J390" s="322"/>
      <c r="K390" s="323" t="s">
        <v>1973</v>
      </c>
      <c r="L390" s="324" t="e">
        <f t="shared" si="9"/>
        <v>#VALUE!</v>
      </c>
      <c r="M390" s="325"/>
    </row>
    <row r="391" spans="1:13" ht="13">
      <c r="A391" s="316" t="s">
        <v>635</v>
      </c>
      <c r="B391" s="316" t="s">
        <v>1973</v>
      </c>
      <c r="C391" s="316" t="s">
        <v>1973</v>
      </c>
      <c r="D391" s="316" t="s">
        <v>1973</v>
      </c>
      <c r="E391" s="317" t="s">
        <v>1973</v>
      </c>
      <c r="F391" s="318">
        <v>8</v>
      </c>
      <c r="G391" s="354" t="s">
        <v>50</v>
      </c>
      <c r="H391" s="320">
        <v>80000</v>
      </c>
      <c r="I391" s="321" t="b">
        <v>0</v>
      </c>
      <c r="J391" s="322"/>
      <c r="K391" s="323" t="s">
        <v>1973</v>
      </c>
      <c r="L391" s="324" t="e">
        <f t="shared" si="9"/>
        <v>#VALUE!</v>
      </c>
      <c r="M391" s="325"/>
    </row>
  </sheetData>
  <mergeCells count="32">
    <mergeCell ref="F4:H4"/>
    <mergeCell ref="J4:L4"/>
    <mergeCell ref="F5:G5"/>
    <mergeCell ref="J5:K5"/>
    <mergeCell ref="F60:H60"/>
    <mergeCell ref="J60:L60"/>
    <mergeCell ref="J61:K61"/>
    <mergeCell ref="J196:L196"/>
    <mergeCell ref="J197:K197"/>
    <mergeCell ref="F61:G61"/>
    <mergeCell ref="F139:H139"/>
    <mergeCell ref="J139:L139"/>
    <mergeCell ref="F140:G140"/>
    <mergeCell ref="J140:K140"/>
    <mergeCell ref="F196:H196"/>
    <mergeCell ref="F197:G197"/>
    <mergeCell ref="F257:H257"/>
    <mergeCell ref="J257:L257"/>
    <mergeCell ref="F258:G258"/>
    <mergeCell ref="J258:K258"/>
    <mergeCell ref="F286:H286"/>
    <mergeCell ref="J286:L286"/>
    <mergeCell ref="J287:K287"/>
    <mergeCell ref="J367:L367"/>
    <mergeCell ref="J368:K368"/>
    <mergeCell ref="F287:G287"/>
    <mergeCell ref="F331:H331"/>
    <mergeCell ref="J331:L331"/>
    <mergeCell ref="F332:G332"/>
    <mergeCell ref="J332:K332"/>
    <mergeCell ref="F367:H367"/>
    <mergeCell ref="F368:G36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D00-000000000000}">
          <x14:formula1>
            <xm:f>'Database Bahan &amp; Alat (Terupdate)'!#REF!</xm:f>
          </x14:formula1>
          <xm:sqref>A7:A58 A63:A137 A142:A194 A199:A255 A260:A284 A289:A329 A334:A365 A370:A391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M686"/>
  <sheetViews>
    <sheetView workbookViewId="0">
      <pane xSplit="1" topLeftCell="B1" activePane="topRight" state="frozen"/>
      <selection pane="topRight" activeCell="C2" sqref="C2"/>
    </sheetView>
  </sheetViews>
  <sheetFormatPr baseColWidth="10" defaultColWidth="12.6640625" defaultRowHeight="15.75" customHeight="1"/>
  <cols>
    <col min="1" max="1" width="26.33203125" customWidth="1"/>
    <col min="2" max="2" width="4.83203125" customWidth="1"/>
    <col min="3" max="3" width="5.6640625" customWidth="1"/>
    <col min="4" max="4" width="5.83203125" customWidth="1"/>
    <col min="5" max="5" width="13.1640625" customWidth="1"/>
    <col min="6" max="6" width="8.33203125" customWidth="1"/>
    <col min="7" max="7" width="8.6640625" customWidth="1"/>
    <col min="8" max="8" width="11.5" customWidth="1"/>
    <col min="9" max="9" width="7.83203125" customWidth="1"/>
    <col min="10" max="11" width="9.33203125" customWidth="1"/>
    <col min="12" max="12" width="11.5" customWidth="1"/>
    <col min="13" max="13" width="23.6640625" customWidth="1"/>
  </cols>
  <sheetData>
    <row r="1" spans="1:13" ht="15.75" customHeight="1">
      <c r="A1" s="303" t="s">
        <v>1740</v>
      </c>
    </row>
    <row r="2" spans="1:13" ht="15.75" customHeight="1">
      <c r="A2" s="303" t="s">
        <v>2</v>
      </c>
    </row>
    <row r="3" spans="1:13" ht="15.75" customHeight="1">
      <c r="H3" s="132">
        <f>6650000+516000</f>
        <v>7166000</v>
      </c>
      <c r="M3" s="132" t="s">
        <v>1741</v>
      </c>
    </row>
    <row r="4" spans="1:13" ht="15.75" customHeight="1">
      <c r="A4" s="132" t="s">
        <v>1742</v>
      </c>
      <c r="F4" s="429">
        <v>44530</v>
      </c>
      <c r="G4" s="428"/>
      <c r="H4" s="424"/>
      <c r="J4" s="429">
        <v>44531</v>
      </c>
      <c r="K4" s="428"/>
      <c r="L4" s="424"/>
      <c r="M4" s="132" t="s">
        <v>1743</v>
      </c>
    </row>
    <row r="5" spans="1:13" ht="15.75" customHeight="1">
      <c r="F5" s="425" t="s">
        <v>1490</v>
      </c>
      <c r="G5" s="426"/>
      <c r="H5" s="304">
        <f>SUM(H8:H130)</f>
        <v>13033901</v>
      </c>
      <c r="J5" s="425" t="s">
        <v>1491</v>
      </c>
      <c r="K5" s="426"/>
      <c r="L5" s="304" t="e">
        <f>SUM(L8:L130)</f>
        <v>#VALUE!</v>
      </c>
      <c r="M5" s="132" t="s">
        <v>1744</v>
      </c>
    </row>
    <row r="6" spans="1:13" ht="15.75" customHeight="1">
      <c r="A6" s="2" t="s">
        <v>4</v>
      </c>
      <c r="B6" s="305" t="s">
        <v>5</v>
      </c>
      <c r="C6" s="305" t="s">
        <v>11</v>
      </c>
      <c r="D6" s="305" t="s">
        <v>12</v>
      </c>
      <c r="E6" s="306" t="s">
        <v>6</v>
      </c>
      <c r="F6" s="307" t="s">
        <v>1494</v>
      </c>
      <c r="G6" s="308" t="s">
        <v>10</v>
      </c>
      <c r="H6" s="309" t="s">
        <v>1495</v>
      </c>
      <c r="I6" s="382" t="s">
        <v>1289</v>
      </c>
      <c r="J6" s="383" t="s">
        <v>1496</v>
      </c>
      <c r="K6" s="384" t="s">
        <v>1497</v>
      </c>
      <c r="L6" s="385" t="s">
        <v>1498</v>
      </c>
      <c r="M6" s="314" t="s">
        <v>16</v>
      </c>
    </row>
    <row r="7" spans="1:13" ht="15.75" customHeight="1">
      <c r="A7" s="386" t="s">
        <v>127</v>
      </c>
      <c r="B7" s="386" t="s">
        <v>127</v>
      </c>
      <c r="C7" s="386"/>
      <c r="D7" s="386"/>
      <c r="E7" s="329" t="s">
        <v>127</v>
      </c>
      <c r="F7" s="387" t="s">
        <v>127</v>
      </c>
      <c r="G7" s="386" t="s">
        <v>127</v>
      </c>
      <c r="H7" s="388" t="s">
        <v>127</v>
      </c>
      <c r="I7" s="389"/>
      <c r="J7" s="387"/>
      <c r="K7" s="386"/>
      <c r="L7" s="388"/>
      <c r="M7" s="390"/>
    </row>
    <row r="8" spans="1:13" ht="15.75" customHeight="1">
      <c r="A8" s="316" t="s">
        <v>544</v>
      </c>
      <c r="B8" s="316" t="s">
        <v>1973</v>
      </c>
      <c r="C8" s="316" t="s">
        <v>1973</v>
      </c>
      <c r="D8" s="316" t="s">
        <v>1973</v>
      </c>
      <c r="E8" s="317" t="s">
        <v>1973</v>
      </c>
      <c r="F8" s="372">
        <v>6</v>
      </c>
      <c r="G8" s="391" t="s">
        <v>62</v>
      </c>
      <c r="H8" s="392">
        <v>127200</v>
      </c>
      <c r="I8" s="393" t="b">
        <v>1</v>
      </c>
      <c r="J8" s="322">
        <v>6</v>
      </c>
      <c r="K8" s="323" t="s">
        <v>1973</v>
      </c>
      <c r="L8" s="371" t="e">
        <f t="shared" ref="L8:L130" si="0">J8*K8</f>
        <v>#VALUE!</v>
      </c>
      <c r="M8" s="394"/>
    </row>
    <row r="9" spans="1:13" ht="15.75" customHeight="1">
      <c r="A9" s="316" t="s">
        <v>586</v>
      </c>
      <c r="B9" s="316" t="s">
        <v>1973</v>
      </c>
      <c r="C9" s="316" t="s">
        <v>1973</v>
      </c>
      <c r="D9" s="316" t="s">
        <v>1973</v>
      </c>
      <c r="E9" s="317" t="s">
        <v>1973</v>
      </c>
      <c r="F9" s="372">
        <v>10</v>
      </c>
      <c r="G9" s="391" t="s">
        <v>62</v>
      </c>
      <c r="H9" s="392">
        <v>72000</v>
      </c>
      <c r="I9" s="393" t="b">
        <v>1</v>
      </c>
      <c r="J9" s="322">
        <v>10</v>
      </c>
      <c r="K9" s="323" t="s">
        <v>1973</v>
      </c>
      <c r="L9" s="371" t="e">
        <f t="shared" si="0"/>
        <v>#VALUE!</v>
      </c>
      <c r="M9" s="394"/>
    </row>
    <row r="10" spans="1:13" ht="15.75" customHeight="1">
      <c r="A10" s="316" t="s">
        <v>627</v>
      </c>
      <c r="B10" s="316" t="s">
        <v>1973</v>
      </c>
      <c r="C10" s="316" t="s">
        <v>1973</v>
      </c>
      <c r="D10" s="316" t="s">
        <v>1973</v>
      </c>
      <c r="E10" s="317" t="s">
        <v>1973</v>
      </c>
      <c r="F10" s="372">
        <v>1</v>
      </c>
      <c r="G10" s="391" t="s">
        <v>36</v>
      </c>
      <c r="H10" s="392">
        <v>35900</v>
      </c>
      <c r="I10" s="393" t="b">
        <v>1</v>
      </c>
      <c r="J10" s="322">
        <v>0.91500000000000004</v>
      </c>
      <c r="K10" s="323" t="s">
        <v>1973</v>
      </c>
      <c r="L10" s="371" t="e">
        <f t="shared" si="0"/>
        <v>#VALUE!</v>
      </c>
      <c r="M10" s="394"/>
    </row>
    <row r="11" spans="1:13" ht="15.75" customHeight="1">
      <c r="A11" s="316" t="s">
        <v>1655</v>
      </c>
      <c r="B11" s="316" t="s">
        <v>1973</v>
      </c>
      <c r="C11" s="316" t="s">
        <v>1973</v>
      </c>
      <c r="D11" s="316" t="s">
        <v>1973</v>
      </c>
      <c r="E11" s="317" t="s">
        <v>1973</v>
      </c>
      <c r="F11" s="372">
        <v>1</v>
      </c>
      <c r="G11" s="391" t="s">
        <v>62</v>
      </c>
      <c r="H11" s="392">
        <v>11000</v>
      </c>
      <c r="I11" s="393" t="b">
        <v>1</v>
      </c>
      <c r="J11" s="322">
        <v>1</v>
      </c>
      <c r="K11" s="323" t="s">
        <v>1973</v>
      </c>
      <c r="L11" s="371" t="e">
        <f t="shared" si="0"/>
        <v>#VALUE!</v>
      </c>
      <c r="M11" s="394"/>
    </row>
    <row r="12" spans="1:13" ht="15.75" customHeight="1">
      <c r="A12" s="316" t="s">
        <v>770</v>
      </c>
      <c r="B12" s="316" t="s">
        <v>1973</v>
      </c>
      <c r="C12" s="316" t="s">
        <v>1973</v>
      </c>
      <c r="D12" s="316" t="s">
        <v>1973</v>
      </c>
      <c r="E12" s="317" t="s">
        <v>1973</v>
      </c>
      <c r="F12" s="372">
        <v>3</v>
      </c>
      <c r="G12" s="391" t="s">
        <v>97</v>
      </c>
      <c r="H12" s="392">
        <v>72300</v>
      </c>
      <c r="I12" s="393" t="b">
        <v>1</v>
      </c>
      <c r="J12" s="322">
        <v>2</v>
      </c>
      <c r="K12" s="323" t="s">
        <v>1973</v>
      </c>
      <c r="L12" s="371" t="e">
        <f t="shared" si="0"/>
        <v>#VALUE!</v>
      </c>
      <c r="M12" s="394"/>
    </row>
    <row r="13" spans="1:13" ht="15.75" customHeight="1">
      <c r="A13" s="316" t="s">
        <v>782</v>
      </c>
      <c r="B13" s="316" t="s">
        <v>1973</v>
      </c>
      <c r="C13" s="316" t="s">
        <v>1973</v>
      </c>
      <c r="D13" s="316" t="s">
        <v>1973</v>
      </c>
      <c r="E13" s="317" t="s">
        <v>1973</v>
      </c>
      <c r="F13" s="372">
        <v>2</v>
      </c>
      <c r="G13" s="391" t="s">
        <v>62</v>
      </c>
      <c r="H13" s="392">
        <v>22000</v>
      </c>
      <c r="I13" s="393" t="b">
        <v>1</v>
      </c>
      <c r="J13" s="322">
        <v>2</v>
      </c>
      <c r="K13" s="323" t="s">
        <v>1973</v>
      </c>
      <c r="L13" s="371" t="e">
        <f t="shared" si="0"/>
        <v>#VALUE!</v>
      </c>
      <c r="M13" s="394"/>
    </row>
    <row r="14" spans="1:13" ht="15.75" customHeight="1">
      <c r="A14" s="316" t="s">
        <v>1661</v>
      </c>
      <c r="B14" s="316" t="s">
        <v>1973</v>
      </c>
      <c r="C14" s="316" t="s">
        <v>1973</v>
      </c>
      <c r="D14" s="316" t="s">
        <v>1973</v>
      </c>
      <c r="E14" s="317" t="s">
        <v>1973</v>
      </c>
      <c r="F14" s="372">
        <v>2</v>
      </c>
      <c r="G14" s="391" t="s">
        <v>97</v>
      </c>
      <c r="H14" s="392">
        <v>29200</v>
      </c>
      <c r="I14" s="395" t="b">
        <v>1</v>
      </c>
      <c r="J14" s="322">
        <v>1</v>
      </c>
      <c r="K14" s="323">
        <v>10000</v>
      </c>
      <c r="L14" s="379">
        <f t="shared" si="0"/>
        <v>10000</v>
      </c>
      <c r="M14" s="394" t="s">
        <v>1745</v>
      </c>
    </row>
    <row r="15" spans="1:13" ht="15.75" customHeight="1">
      <c r="A15" s="316" t="s">
        <v>919</v>
      </c>
      <c r="B15" s="316" t="s">
        <v>1973</v>
      </c>
      <c r="C15" s="316" t="s">
        <v>1973</v>
      </c>
      <c r="D15" s="316" t="s">
        <v>1973</v>
      </c>
      <c r="E15" s="317" t="s">
        <v>1973</v>
      </c>
      <c r="F15" s="372">
        <v>4</v>
      </c>
      <c r="G15" s="391" t="s">
        <v>62</v>
      </c>
      <c r="H15" s="392">
        <v>35200</v>
      </c>
      <c r="I15" s="395" t="b">
        <v>1</v>
      </c>
      <c r="J15" s="322">
        <v>2</v>
      </c>
      <c r="K15" s="323">
        <v>9900</v>
      </c>
      <c r="L15" s="379">
        <f t="shared" si="0"/>
        <v>19800</v>
      </c>
      <c r="M15" s="394" t="s">
        <v>1745</v>
      </c>
    </row>
    <row r="16" spans="1:13" ht="15.75" customHeight="1">
      <c r="A16" s="316" t="s">
        <v>937</v>
      </c>
      <c r="B16" s="316" t="s">
        <v>1973</v>
      </c>
      <c r="C16" s="316" t="s">
        <v>1973</v>
      </c>
      <c r="D16" s="316" t="s">
        <v>1973</v>
      </c>
      <c r="E16" s="317" t="s">
        <v>1973</v>
      </c>
      <c r="F16" s="372">
        <v>4</v>
      </c>
      <c r="G16" s="391" t="s">
        <v>62</v>
      </c>
      <c r="H16" s="392">
        <v>28800</v>
      </c>
      <c r="I16" s="393" t="b">
        <v>1</v>
      </c>
      <c r="J16" s="322">
        <v>4</v>
      </c>
      <c r="K16" s="323" t="s">
        <v>1973</v>
      </c>
      <c r="L16" s="371" t="e">
        <f t="shared" si="0"/>
        <v>#VALUE!</v>
      </c>
      <c r="M16" s="394"/>
    </row>
    <row r="17" spans="1:13" ht="15.75" customHeight="1">
      <c r="A17" s="316" t="s">
        <v>970</v>
      </c>
      <c r="B17" s="316" t="s">
        <v>1973</v>
      </c>
      <c r="C17" s="316" t="s">
        <v>1973</v>
      </c>
      <c r="D17" s="316" t="s">
        <v>1973</v>
      </c>
      <c r="E17" s="317" t="s">
        <v>1973</v>
      </c>
      <c r="F17" s="372">
        <v>1</v>
      </c>
      <c r="G17" s="391" t="s">
        <v>75</v>
      </c>
      <c r="H17" s="392">
        <v>16500</v>
      </c>
      <c r="I17" s="393" t="b">
        <v>1</v>
      </c>
      <c r="J17" s="322">
        <v>1</v>
      </c>
      <c r="K17" s="323" t="s">
        <v>1973</v>
      </c>
      <c r="L17" s="371" t="e">
        <f t="shared" si="0"/>
        <v>#VALUE!</v>
      </c>
      <c r="M17" s="394"/>
    </row>
    <row r="18" spans="1:13" ht="15.75" customHeight="1">
      <c r="A18" s="316" t="s">
        <v>1041</v>
      </c>
      <c r="B18" s="316" t="s">
        <v>1973</v>
      </c>
      <c r="C18" s="316" t="s">
        <v>1973</v>
      </c>
      <c r="D18" s="316" t="s">
        <v>1973</v>
      </c>
      <c r="E18" s="317" t="s">
        <v>1973</v>
      </c>
      <c r="F18" s="372">
        <v>1</v>
      </c>
      <c r="G18" s="391" t="s">
        <v>62</v>
      </c>
      <c r="H18" s="392">
        <v>12800</v>
      </c>
      <c r="I18" s="395" t="b">
        <v>1</v>
      </c>
      <c r="J18" s="322">
        <v>1</v>
      </c>
      <c r="K18" s="323">
        <v>11300</v>
      </c>
      <c r="L18" s="379">
        <f t="shared" si="0"/>
        <v>11300</v>
      </c>
      <c r="M18" s="394" t="s">
        <v>1746</v>
      </c>
    </row>
    <row r="19" spans="1:13" ht="15.75" customHeight="1">
      <c r="A19" s="316" t="s">
        <v>1043</v>
      </c>
      <c r="B19" s="316" t="s">
        <v>1973</v>
      </c>
      <c r="C19" s="316" t="s">
        <v>1973</v>
      </c>
      <c r="D19" s="316" t="s">
        <v>1973</v>
      </c>
      <c r="E19" s="317" t="s">
        <v>1973</v>
      </c>
      <c r="F19" s="372">
        <v>2</v>
      </c>
      <c r="G19" s="391" t="s">
        <v>50</v>
      </c>
      <c r="H19" s="392">
        <v>61600</v>
      </c>
      <c r="I19" s="393" t="b">
        <v>1</v>
      </c>
      <c r="J19" s="322">
        <v>1</v>
      </c>
      <c r="K19" s="323" t="e">
        <f>VLOOKUP($A19,'[1]Database Bahan &amp; Alat (Terupdat'!$B$50:$N$232,6,FALSE)</f>
        <v>#N/A</v>
      </c>
      <c r="L19" s="371" t="e">
        <f t="shared" si="0"/>
        <v>#N/A</v>
      </c>
      <c r="M19" s="394"/>
    </row>
    <row r="20" spans="1:13" ht="15.75" customHeight="1">
      <c r="A20" s="316" t="s">
        <v>524</v>
      </c>
      <c r="B20" s="316" t="s">
        <v>1973</v>
      </c>
      <c r="C20" s="316" t="s">
        <v>1973</v>
      </c>
      <c r="D20" s="316" t="s">
        <v>1973</v>
      </c>
      <c r="E20" s="317" t="s">
        <v>1973</v>
      </c>
      <c r="F20" s="372">
        <v>10</v>
      </c>
      <c r="G20" s="391" t="s">
        <v>108</v>
      </c>
      <c r="H20" s="392">
        <v>150000</v>
      </c>
      <c r="I20" s="319" t="b">
        <v>0</v>
      </c>
      <c r="J20" s="372">
        <v>0</v>
      </c>
      <c r="K20" s="373">
        <v>12500</v>
      </c>
      <c r="L20" s="374">
        <f t="shared" si="0"/>
        <v>0</v>
      </c>
      <c r="M20" s="396"/>
    </row>
    <row r="21" spans="1:13" ht="15.75" customHeight="1">
      <c r="A21" s="316" t="s">
        <v>851</v>
      </c>
      <c r="B21" s="316" t="s">
        <v>1973</v>
      </c>
      <c r="C21" s="316" t="s">
        <v>1973</v>
      </c>
      <c r="D21" s="316" t="s">
        <v>1973</v>
      </c>
      <c r="E21" s="317" t="s">
        <v>1973</v>
      </c>
      <c r="F21" s="372">
        <v>5</v>
      </c>
      <c r="G21" s="391" t="s">
        <v>143</v>
      </c>
      <c r="H21" s="392">
        <v>150000</v>
      </c>
      <c r="I21" s="319" t="b">
        <v>0</v>
      </c>
      <c r="J21" s="372">
        <v>0</v>
      </c>
      <c r="K21" s="373" t="s">
        <v>1973</v>
      </c>
      <c r="L21" s="374" t="e">
        <f t="shared" si="0"/>
        <v>#VALUE!</v>
      </c>
      <c r="M21" s="396"/>
    </row>
    <row r="22" spans="1:13" ht="15.75" customHeight="1">
      <c r="A22" s="316" t="s">
        <v>578</v>
      </c>
      <c r="B22" s="316" t="s">
        <v>1973</v>
      </c>
      <c r="C22" s="316" t="s">
        <v>1973</v>
      </c>
      <c r="D22" s="316" t="s">
        <v>1973</v>
      </c>
      <c r="E22" s="317" t="s">
        <v>1973</v>
      </c>
      <c r="F22" s="372">
        <v>2</v>
      </c>
      <c r="G22" s="391" t="s">
        <v>62</v>
      </c>
      <c r="H22" s="392">
        <v>440000</v>
      </c>
      <c r="I22" s="319" t="b">
        <v>0</v>
      </c>
      <c r="J22" s="372">
        <v>0</v>
      </c>
      <c r="K22" s="373" t="s">
        <v>1973</v>
      </c>
      <c r="L22" s="374" t="e">
        <f t="shared" si="0"/>
        <v>#VALUE!</v>
      </c>
      <c r="M22" s="396"/>
    </row>
    <row r="23" spans="1:13" ht="15.75" customHeight="1">
      <c r="A23" s="316" t="s">
        <v>1648</v>
      </c>
      <c r="B23" s="316" t="s">
        <v>1973</v>
      </c>
      <c r="C23" s="316" t="s">
        <v>1973</v>
      </c>
      <c r="D23" s="316" t="s">
        <v>1973</v>
      </c>
      <c r="E23" s="317" t="s">
        <v>1973</v>
      </c>
      <c r="F23" s="372">
        <v>1</v>
      </c>
      <c r="G23" s="391" t="s">
        <v>62</v>
      </c>
      <c r="H23" s="392">
        <v>100000</v>
      </c>
      <c r="I23" s="319" t="b">
        <v>0</v>
      </c>
      <c r="J23" s="372">
        <v>0</v>
      </c>
      <c r="K23" s="373" t="s">
        <v>1973</v>
      </c>
      <c r="L23" s="374" t="e">
        <f t="shared" si="0"/>
        <v>#VALUE!</v>
      </c>
      <c r="M23" s="396" t="s">
        <v>1747</v>
      </c>
    </row>
    <row r="24" spans="1:13" ht="15.75" customHeight="1">
      <c r="A24" s="316" t="s">
        <v>958</v>
      </c>
      <c r="B24" s="316" t="s">
        <v>1973</v>
      </c>
      <c r="C24" s="316" t="s">
        <v>1973</v>
      </c>
      <c r="D24" s="316" t="s">
        <v>1973</v>
      </c>
      <c r="E24" s="317" t="s">
        <v>1973</v>
      </c>
      <c r="F24" s="372">
        <v>1</v>
      </c>
      <c r="G24" s="391" t="s">
        <v>97</v>
      </c>
      <c r="H24" s="392">
        <v>129000</v>
      </c>
      <c r="I24" s="393" t="b">
        <v>0</v>
      </c>
      <c r="J24" s="322"/>
      <c r="K24" s="323" t="s">
        <v>1973</v>
      </c>
      <c r="L24" s="371" t="e">
        <f t="shared" si="0"/>
        <v>#VALUE!</v>
      </c>
      <c r="M24" s="394"/>
    </row>
    <row r="25" spans="1:13" ht="15.75" customHeight="1">
      <c r="A25" s="316" t="s">
        <v>964</v>
      </c>
      <c r="B25" s="316" t="s">
        <v>1973</v>
      </c>
      <c r="C25" s="316" t="s">
        <v>1973</v>
      </c>
      <c r="D25" s="316" t="s">
        <v>1973</v>
      </c>
      <c r="E25" s="317" t="s">
        <v>1973</v>
      </c>
      <c r="F25" s="372">
        <v>1</v>
      </c>
      <c r="G25" s="391" t="s">
        <v>97</v>
      </c>
      <c r="H25" s="392">
        <v>129000</v>
      </c>
      <c r="I25" s="393" t="b">
        <v>0</v>
      </c>
      <c r="J25" s="322"/>
      <c r="K25" s="323" t="s">
        <v>1973</v>
      </c>
      <c r="L25" s="371" t="e">
        <f t="shared" si="0"/>
        <v>#VALUE!</v>
      </c>
      <c r="M25" s="394"/>
    </row>
    <row r="26" spans="1:13" ht="15.75" customHeight="1">
      <c r="A26" s="316" t="s">
        <v>967</v>
      </c>
      <c r="B26" s="316" t="s">
        <v>1973</v>
      </c>
      <c r="C26" s="316" t="s">
        <v>1973</v>
      </c>
      <c r="D26" s="316" t="s">
        <v>1973</v>
      </c>
      <c r="E26" s="317" t="s">
        <v>1973</v>
      </c>
      <c r="F26" s="372">
        <v>2</v>
      </c>
      <c r="G26" s="391" t="s">
        <v>97</v>
      </c>
      <c r="H26" s="392">
        <v>258000</v>
      </c>
      <c r="I26" s="393" t="b">
        <v>0</v>
      </c>
      <c r="J26" s="322"/>
      <c r="K26" s="323" t="s">
        <v>1973</v>
      </c>
      <c r="L26" s="371" t="e">
        <f t="shared" si="0"/>
        <v>#VALUE!</v>
      </c>
      <c r="M26" s="394" t="e">
        <f>SUM(L24:L26)</f>
        <v>#VALUE!</v>
      </c>
    </row>
    <row r="27" spans="1:13" ht="15.75" customHeight="1">
      <c r="A27" s="316" t="s">
        <v>631</v>
      </c>
      <c r="B27" s="316" t="s">
        <v>1973</v>
      </c>
      <c r="C27" s="316" t="s">
        <v>1973</v>
      </c>
      <c r="D27" s="316" t="s">
        <v>1973</v>
      </c>
      <c r="E27" s="317" t="s">
        <v>1973</v>
      </c>
      <c r="F27" s="372">
        <v>1</v>
      </c>
      <c r="G27" s="391" t="s">
        <v>36</v>
      </c>
      <c r="H27" s="392">
        <v>15000</v>
      </c>
      <c r="I27" s="393" t="b">
        <v>1</v>
      </c>
      <c r="J27" s="322">
        <v>1</v>
      </c>
      <c r="K27" s="323" t="s">
        <v>1973</v>
      </c>
      <c r="L27" s="371" t="e">
        <f t="shared" si="0"/>
        <v>#VALUE!</v>
      </c>
      <c r="M27" s="394"/>
    </row>
    <row r="28" spans="1:13" ht="15.75" customHeight="1">
      <c r="A28" s="316" t="s">
        <v>639</v>
      </c>
      <c r="B28" s="316" t="s">
        <v>1973</v>
      </c>
      <c r="C28" s="316" t="s">
        <v>1973</v>
      </c>
      <c r="D28" s="316" t="s">
        <v>1973</v>
      </c>
      <c r="E28" s="317" t="s">
        <v>1973</v>
      </c>
      <c r="F28" s="372">
        <v>1.5</v>
      </c>
      <c r="G28" s="391" t="s">
        <v>36</v>
      </c>
      <c r="H28" s="392">
        <v>187500</v>
      </c>
      <c r="I28" s="393" t="b">
        <v>1</v>
      </c>
      <c r="J28" s="322">
        <v>1.5</v>
      </c>
      <c r="K28" s="323" t="s">
        <v>1973</v>
      </c>
      <c r="L28" s="371" t="e">
        <f t="shared" si="0"/>
        <v>#VALUE!</v>
      </c>
      <c r="M28" s="394"/>
    </row>
    <row r="29" spans="1:13" ht="15.75" customHeight="1">
      <c r="A29" s="316" t="s">
        <v>1610</v>
      </c>
      <c r="B29" s="316" t="s">
        <v>1973</v>
      </c>
      <c r="C29" s="316" t="s">
        <v>1973</v>
      </c>
      <c r="D29" s="316" t="s">
        <v>1973</v>
      </c>
      <c r="E29" s="317" t="s">
        <v>1973</v>
      </c>
      <c r="F29" s="372">
        <v>1</v>
      </c>
      <c r="G29" s="391" t="s">
        <v>36</v>
      </c>
      <c r="H29" s="392">
        <v>8000</v>
      </c>
      <c r="I29" s="393" t="b">
        <v>1</v>
      </c>
      <c r="J29" s="322">
        <v>1</v>
      </c>
      <c r="K29" s="323" t="s">
        <v>1973</v>
      </c>
      <c r="L29" s="371" t="e">
        <f t="shared" si="0"/>
        <v>#VALUE!</v>
      </c>
      <c r="M29" s="394"/>
    </row>
    <row r="30" spans="1:13" ht="15.75" customHeight="1">
      <c r="A30" s="316" t="s">
        <v>1611</v>
      </c>
      <c r="B30" s="316" t="s">
        <v>1973</v>
      </c>
      <c r="C30" s="316" t="s">
        <v>1973</v>
      </c>
      <c r="D30" s="316" t="s">
        <v>1973</v>
      </c>
      <c r="E30" s="317" t="s">
        <v>1973</v>
      </c>
      <c r="F30" s="372">
        <v>2</v>
      </c>
      <c r="G30" s="391" t="s">
        <v>36</v>
      </c>
      <c r="H30" s="392">
        <v>80000</v>
      </c>
      <c r="I30" s="393" t="b">
        <v>1</v>
      </c>
      <c r="J30" s="322">
        <v>2</v>
      </c>
      <c r="K30" s="323" t="s">
        <v>1973</v>
      </c>
      <c r="L30" s="371" t="e">
        <f t="shared" si="0"/>
        <v>#VALUE!</v>
      </c>
      <c r="M30" s="394"/>
    </row>
    <row r="31" spans="1:13" ht="15.75" customHeight="1">
      <c r="A31" s="316" t="s">
        <v>1612</v>
      </c>
      <c r="B31" s="316" t="s">
        <v>1973</v>
      </c>
      <c r="C31" s="316" t="s">
        <v>1973</v>
      </c>
      <c r="D31" s="316" t="s">
        <v>1973</v>
      </c>
      <c r="E31" s="317" t="s">
        <v>1973</v>
      </c>
      <c r="F31" s="372">
        <v>9</v>
      </c>
      <c r="G31" s="391" t="s">
        <v>36</v>
      </c>
      <c r="H31" s="392">
        <v>227700</v>
      </c>
      <c r="I31" s="319" t="b">
        <v>0</v>
      </c>
      <c r="J31" s="372">
        <v>0</v>
      </c>
      <c r="K31" s="373" t="s">
        <v>1973</v>
      </c>
      <c r="L31" s="374" t="e">
        <f t="shared" si="0"/>
        <v>#VALUE!</v>
      </c>
      <c r="M31" s="396"/>
    </row>
    <row r="32" spans="1:13" ht="15.75" customHeight="1">
      <c r="A32" s="316" t="s">
        <v>1698</v>
      </c>
      <c r="B32" s="316" t="s">
        <v>1973</v>
      </c>
      <c r="C32" s="316" t="s">
        <v>1973</v>
      </c>
      <c r="D32" s="316" t="s">
        <v>1973</v>
      </c>
      <c r="E32" s="317" t="s">
        <v>1973</v>
      </c>
      <c r="F32" s="372">
        <v>4</v>
      </c>
      <c r="G32" s="391" t="s">
        <v>36</v>
      </c>
      <c r="H32" s="392">
        <v>120000</v>
      </c>
      <c r="I32" s="393" t="b">
        <v>1</v>
      </c>
      <c r="J32" s="322">
        <v>4</v>
      </c>
      <c r="K32" s="323" t="s">
        <v>1973</v>
      </c>
      <c r="L32" s="371" t="e">
        <f t="shared" si="0"/>
        <v>#VALUE!</v>
      </c>
      <c r="M32" s="394"/>
    </row>
    <row r="33" spans="1:13" ht="15.75" customHeight="1">
      <c r="A33" s="316" t="s">
        <v>1707</v>
      </c>
      <c r="B33" s="316" t="s">
        <v>1973</v>
      </c>
      <c r="C33" s="316" t="s">
        <v>1973</v>
      </c>
      <c r="D33" s="316" t="s">
        <v>1973</v>
      </c>
      <c r="E33" s="317" t="s">
        <v>1973</v>
      </c>
      <c r="F33" s="372">
        <v>0.25</v>
      </c>
      <c r="G33" s="391" t="s">
        <v>36</v>
      </c>
      <c r="H33" s="392">
        <v>6500</v>
      </c>
      <c r="I33" s="393" t="b">
        <v>1</v>
      </c>
      <c r="J33" s="322">
        <v>0.25</v>
      </c>
      <c r="K33" s="323" t="s">
        <v>1973</v>
      </c>
      <c r="L33" s="371" t="e">
        <f t="shared" si="0"/>
        <v>#VALUE!</v>
      </c>
      <c r="M33" s="394"/>
    </row>
    <row r="34" spans="1:13" ht="15.75" customHeight="1">
      <c r="A34" s="316" t="s">
        <v>675</v>
      </c>
      <c r="B34" s="316" t="s">
        <v>1973</v>
      </c>
      <c r="C34" s="316" t="s">
        <v>1973</v>
      </c>
      <c r="D34" s="316" t="s">
        <v>1973</v>
      </c>
      <c r="E34" s="317" t="s">
        <v>1973</v>
      </c>
      <c r="F34" s="372">
        <v>5</v>
      </c>
      <c r="G34" s="391" t="s">
        <v>62</v>
      </c>
      <c r="H34" s="392">
        <v>17500</v>
      </c>
      <c r="I34" s="393" t="b">
        <v>1</v>
      </c>
      <c r="J34" s="322">
        <v>5</v>
      </c>
      <c r="K34" s="323" t="s">
        <v>1973</v>
      </c>
      <c r="L34" s="371" t="e">
        <f t="shared" si="0"/>
        <v>#VALUE!</v>
      </c>
      <c r="M34" s="394"/>
    </row>
    <row r="35" spans="1:13" ht="15.75" customHeight="1">
      <c r="A35" s="316" t="s">
        <v>712</v>
      </c>
      <c r="B35" s="316" t="s">
        <v>1973</v>
      </c>
      <c r="C35" s="316" t="s">
        <v>1973</v>
      </c>
      <c r="D35" s="316" t="s">
        <v>1973</v>
      </c>
      <c r="E35" s="317" t="s">
        <v>1973</v>
      </c>
      <c r="F35" s="372">
        <v>2</v>
      </c>
      <c r="G35" s="391" t="s">
        <v>36</v>
      </c>
      <c r="H35" s="392">
        <v>48000</v>
      </c>
      <c r="I35" s="393" t="b">
        <v>1</v>
      </c>
      <c r="J35" s="322">
        <v>2</v>
      </c>
      <c r="K35" s="323" t="s">
        <v>1973</v>
      </c>
      <c r="L35" s="371" t="e">
        <f t="shared" si="0"/>
        <v>#VALUE!</v>
      </c>
      <c r="M35" s="394"/>
    </row>
    <row r="36" spans="1:13" ht="15.75" customHeight="1">
      <c r="A36" s="316" t="s">
        <v>724</v>
      </c>
      <c r="B36" s="316" t="s">
        <v>1973</v>
      </c>
      <c r="C36" s="316" t="s">
        <v>1973</v>
      </c>
      <c r="D36" s="316" t="s">
        <v>1973</v>
      </c>
      <c r="E36" s="317" t="s">
        <v>1973</v>
      </c>
      <c r="F36" s="372">
        <v>0.5</v>
      </c>
      <c r="G36" s="391" t="s">
        <v>36</v>
      </c>
      <c r="H36" s="392">
        <v>9000</v>
      </c>
      <c r="I36" s="393" t="b">
        <v>1</v>
      </c>
      <c r="J36" s="322">
        <v>0.5</v>
      </c>
      <c r="K36" s="323" t="s">
        <v>1973</v>
      </c>
      <c r="L36" s="371" t="e">
        <f t="shared" si="0"/>
        <v>#VALUE!</v>
      </c>
      <c r="M36" s="394"/>
    </row>
    <row r="37" spans="1:13" ht="15.75" customHeight="1">
      <c r="A37" s="316" t="s">
        <v>732</v>
      </c>
      <c r="B37" s="316" t="s">
        <v>1973</v>
      </c>
      <c r="C37" s="316" t="s">
        <v>1973</v>
      </c>
      <c r="D37" s="316" t="s">
        <v>1973</v>
      </c>
      <c r="E37" s="317" t="s">
        <v>1973</v>
      </c>
      <c r="F37" s="372">
        <v>2</v>
      </c>
      <c r="G37" s="391" t="s">
        <v>36</v>
      </c>
      <c r="H37" s="392">
        <v>44000</v>
      </c>
      <c r="I37" s="393" t="b">
        <v>1</v>
      </c>
      <c r="J37" s="322">
        <v>2</v>
      </c>
      <c r="K37" s="323" t="s">
        <v>1973</v>
      </c>
      <c r="L37" s="371" t="e">
        <f t="shared" si="0"/>
        <v>#VALUE!</v>
      </c>
      <c r="M37" s="394"/>
    </row>
    <row r="38" spans="1:13" ht="15.75" customHeight="1">
      <c r="A38" s="316" t="s">
        <v>752</v>
      </c>
      <c r="B38" s="316" t="s">
        <v>1973</v>
      </c>
      <c r="C38" s="316" t="s">
        <v>1973</v>
      </c>
      <c r="D38" s="316" t="s">
        <v>1973</v>
      </c>
      <c r="E38" s="317" t="s">
        <v>1973</v>
      </c>
      <c r="F38" s="372">
        <v>2</v>
      </c>
      <c r="G38" s="391" t="s">
        <v>62</v>
      </c>
      <c r="H38" s="392">
        <v>72000</v>
      </c>
      <c r="I38" s="393" t="b">
        <v>1</v>
      </c>
      <c r="J38" s="322">
        <v>2</v>
      </c>
      <c r="K38" s="323" t="s">
        <v>1973</v>
      </c>
      <c r="L38" s="371" t="e">
        <f t="shared" si="0"/>
        <v>#VALUE!</v>
      </c>
      <c r="M38" s="394"/>
    </row>
    <row r="39" spans="1:13" ht="15.75" customHeight="1">
      <c r="A39" s="316" t="s">
        <v>764</v>
      </c>
      <c r="B39" s="316" t="s">
        <v>1973</v>
      </c>
      <c r="C39" s="316" t="s">
        <v>1973</v>
      </c>
      <c r="D39" s="316" t="s">
        <v>1973</v>
      </c>
      <c r="E39" s="317" t="s">
        <v>1973</v>
      </c>
      <c r="F39" s="372">
        <v>2</v>
      </c>
      <c r="G39" s="391" t="s">
        <v>62</v>
      </c>
      <c r="H39" s="392">
        <v>5000</v>
      </c>
      <c r="I39" s="393" t="b">
        <v>1</v>
      </c>
      <c r="J39" s="322">
        <v>2</v>
      </c>
      <c r="K39" s="323" t="s">
        <v>1973</v>
      </c>
      <c r="L39" s="371" t="e">
        <f t="shared" si="0"/>
        <v>#VALUE!</v>
      </c>
      <c r="M39" s="394"/>
    </row>
    <row r="40" spans="1:13" ht="15.75" customHeight="1">
      <c r="A40" s="316" t="s">
        <v>767</v>
      </c>
      <c r="B40" s="316" t="s">
        <v>1973</v>
      </c>
      <c r="C40" s="316" t="s">
        <v>1973</v>
      </c>
      <c r="D40" s="316" t="s">
        <v>1973</v>
      </c>
      <c r="E40" s="317" t="s">
        <v>1973</v>
      </c>
      <c r="F40" s="372">
        <v>7</v>
      </c>
      <c r="G40" s="391" t="s">
        <v>62</v>
      </c>
      <c r="H40" s="392">
        <v>140000</v>
      </c>
      <c r="I40" s="393" t="b">
        <v>1</v>
      </c>
      <c r="J40" s="322">
        <v>7</v>
      </c>
      <c r="K40" s="323" t="s">
        <v>1973</v>
      </c>
      <c r="L40" s="371" t="e">
        <f t="shared" si="0"/>
        <v>#VALUE!</v>
      </c>
      <c r="M40" s="394"/>
    </row>
    <row r="41" spans="1:13" ht="15.75" customHeight="1">
      <c r="A41" s="316" t="s">
        <v>1700</v>
      </c>
      <c r="B41" s="316" t="s">
        <v>1973</v>
      </c>
      <c r="C41" s="316" t="s">
        <v>1973</v>
      </c>
      <c r="D41" s="316" t="s">
        <v>1973</v>
      </c>
      <c r="E41" s="317" t="s">
        <v>1973</v>
      </c>
      <c r="F41" s="372">
        <v>12</v>
      </c>
      <c r="G41" s="391" t="s">
        <v>62</v>
      </c>
      <c r="H41" s="392">
        <v>180000</v>
      </c>
      <c r="I41" s="393" t="b">
        <v>1</v>
      </c>
      <c r="J41" s="322">
        <v>12</v>
      </c>
      <c r="K41" s="323" t="s">
        <v>1973</v>
      </c>
      <c r="L41" s="371" t="e">
        <f t="shared" si="0"/>
        <v>#VALUE!</v>
      </c>
      <c r="M41" s="394"/>
    </row>
    <row r="42" spans="1:13" ht="15.75" customHeight="1">
      <c r="A42" s="316" t="s">
        <v>785</v>
      </c>
      <c r="B42" s="316" t="s">
        <v>1973</v>
      </c>
      <c r="C42" s="316" t="s">
        <v>1973</v>
      </c>
      <c r="D42" s="316" t="s">
        <v>1973</v>
      </c>
      <c r="E42" s="317" t="s">
        <v>1973</v>
      </c>
      <c r="F42" s="372">
        <v>1</v>
      </c>
      <c r="G42" s="391" t="s">
        <v>62</v>
      </c>
      <c r="H42" s="392">
        <v>23000</v>
      </c>
      <c r="I42" s="393" t="b">
        <v>1</v>
      </c>
      <c r="J42" s="322">
        <v>1</v>
      </c>
      <c r="K42" s="323" t="s">
        <v>1973</v>
      </c>
      <c r="L42" s="371" t="e">
        <f t="shared" si="0"/>
        <v>#VALUE!</v>
      </c>
      <c r="M42" s="394"/>
    </row>
    <row r="43" spans="1:13" ht="15.75" customHeight="1">
      <c r="A43" s="316" t="s">
        <v>1601</v>
      </c>
      <c r="B43" s="316" t="s">
        <v>1973</v>
      </c>
      <c r="C43" s="316" t="s">
        <v>1973</v>
      </c>
      <c r="D43" s="316" t="s">
        <v>1973</v>
      </c>
      <c r="E43" s="317" t="s">
        <v>1973</v>
      </c>
      <c r="F43" s="372">
        <v>1</v>
      </c>
      <c r="G43" s="391" t="s">
        <v>97</v>
      </c>
      <c r="H43" s="392">
        <v>20000</v>
      </c>
      <c r="I43" s="393" t="b">
        <v>1</v>
      </c>
      <c r="J43" s="322">
        <v>1</v>
      </c>
      <c r="K43" s="323" t="s">
        <v>1973</v>
      </c>
      <c r="L43" s="371" t="e">
        <f t="shared" si="0"/>
        <v>#VALUE!</v>
      </c>
      <c r="M43" s="394"/>
    </row>
    <row r="44" spans="1:13" ht="15.75" customHeight="1">
      <c r="A44" s="316" t="s">
        <v>795</v>
      </c>
      <c r="B44" s="316" t="s">
        <v>1973</v>
      </c>
      <c r="C44" s="316" t="s">
        <v>1973</v>
      </c>
      <c r="D44" s="316" t="s">
        <v>1973</v>
      </c>
      <c r="E44" s="317" t="s">
        <v>1973</v>
      </c>
      <c r="F44" s="372">
        <v>10</v>
      </c>
      <c r="G44" s="391" t="s">
        <v>62</v>
      </c>
      <c r="H44" s="392">
        <v>50000</v>
      </c>
      <c r="I44" s="393" t="b">
        <v>1</v>
      </c>
      <c r="J44" s="322">
        <v>10</v>
      </c>
      <c r="K44" s="323" t="s">
        <v>1973</v>
      </c>
      <c r="L44" s="371" t="e">
        <f t="shared" si="0"/>
        <v>#VALUE!</v>
      </c>
      <c r="M44" s="394"/>
    </row>
    <row r="45" spans="1:13" ht="15.75" customHeight="1">
      <c r="A45" s="316" t="s">
        <v>799</v>
      </c>
      <c r="B45" s="316" t="s">
        <v>1973</v>
      </c>
      <c r="C45" s="316" t="s">
        <v>1973</v>
      </c>
      <c r="D45" s="316" t="s">
        <v>1973</v>
      </c>
      <c r="E45" s="317" t="s">
        <v>1973</v>
      </c>
      <c r="F45" s="372">
        <v>1</v>
      </c>
      <c r="G45" s="391" t="s">
        <v>36</v>
      </c>
      <c r="H45" s="392">
        <v>160000</v>
      </c>
      <c r="I45" s="393" t="b">
        <v>1</v>
      </c>
      <c r="J45" s="322">
        <v>1</v>
      </c>
      <c r="K45" s="323" t="s">
        <v>1973</v>
      </c>
      <c r="L45" s="371" t="e">
        <f t="shared" si="0"/>
        <v>#VALUE!</v>
      </c>
      <c r="M45" s="394"/>
    </row>
    <row r="46" spans="1:13" ht="15.75" customHeight="1">
      <c r="A46" s="316" t="s">
        <v>819</v>
      </c>
      <c r="B46" s="316" t="s">
        <v>1973</v>
      </c>
      <c r="C46" s="316" t="s">
        <v>1973</v>
      </c>
      <c r="D46" s="316" t="s">
        <v>1973</v>
      </c>
      <c r="E46" s="317" t="s">
        <v>1973</v>
      </c>
      <c r="F46" s="372">
        <v>0.25</v>
      </c>
      <c r="G46" s="391" t="s">
        <v>36</v>
      </c>
      <c r="H46" s="392">
        <v>3750</v>
      </c>
      <c r="I46" s="393" t="b">
        <v>1</v>
      </c>
      <c r="J46" s="322">
        <v>0.25</v>
      </c>
      <c r="K46" s="323" t="s">
        <v>1973</v>
      </c>
      <c r="L46" s="371" t="e">
        <f t="shared" si="0"/>
        <v>#VALUE!</v>
      </c>
      <c r="M46" s="394"/>
    </row>
    <row r="47" spans="1:13" ht="15.75" customHeight="1">
      <c r="A47" s="316" t="s">
        <v>823</v>
      </c>
      <c r="B47" s="316" t="s">
        <v>1973</v>
      </c>
      <c r="C47" s="316" t="s">
        <v>1973</v>
      </c>
      <c r="D47" s="316" t="s">
        <v>1973</v>
      </c>
      <c r="E47" s="317" t="s">
        <v>1973</v>
      </c>
      <c r="F47" s="372">
        <v>3</v>
      </c>
      <c r="G47" s="391" t="s">
        <v>97</v>
      </c>
      <c r="H47" s="392">
        <v>54900</v>
      </c>
      <c r="I47" s="393" t="b">
        <v>1</v>
      </c>
      <c r="J47" s="322">
        <v>3</v>
      </c>
      <c r="K47" s="323" t="s">
        <v>1973</v>
      </c>
      <c r="L47" s="371" t="e">
        <f t="shared" si="0"/>
        <v>#VALUE!</v>
      </c>
      <c r="M47" s="394"/>
    </row>
    <row r="48" spans="1:13" ht="15.75" customHeight="1">
      <c r="A48" s="316" t="s">
        <v>1701</v>
      </c>
      <c r="B48" s="316" t="s">
        <v>1973</v>
      </c>
      <c r="C48" s="316" t="s">
        <v>1973</v>
      </c>
      <c r="D48" s="316" t="s">
        <v>1973</v>
      </c>
      <c r="E48" s="317" t="s">
        <v>1973</v>
      </c>
      <c r="F48" s="372">
        <v>3</v>
      </c>
      <c r="G48" s="391" t="s">
        <v>36</v>
      </c>
      <c r="H48" s="392">
        <v>54000</v>
      </c>
      <c r="I48" s="393" t="b">
        <v>1</v>
      </c>
      <c r="J48" s="322">
        <v>3</v>
      </c>
      <c r="K48" s="323" t="s">
        <v>1973</v>
      </c>
      <c r="L48" s="371" t="e">
        <f t="shared" si="0"/>
        <v>#VALUE!</v>
      </c>
      <c r="M48" s="394"/>
    </row>
    <row r="49" spans="1:13" ht="15.75" customHeight="1">
      <c r="A49" s="316" t="s">
        <v>879</v>
      </c>
      <c r="B49" s="316" t="s">
        <v>1973</v>
      </c>
      <c r="C49" s="316" t="s">
        <v>1973</v>
      </c>
      <c r="D49" s="316" t="s">
        <v>1973</v>
      </c>
      <c r="E49" s="317" t="s">
        <v>1973</v>
      </c>
      <c r="F49" s="372">
        <v>1</v>
      </c>
      <c r="G49" s="391" t="s">
        <v>62</v>
      </c>
      <c r="H49" s="392">
        <v>36000</v>
      </c>
      <c r="I49" s="393" t="b">
        <v>1</v>
      </c>
      <c r="J49" s="322">
        <v>1</v>
      </c>
      <c r="K49" s="323" t="s">
        <v>1973</v>
      </c>
      <c r="L49" s="371" t="e">
        <f t="shared" si="0"/>
        <v>#VALUE!</v>
      </c>
      <c r="M49" s="394"/>
    </row>
    <row r="50" spans="1:13" ht="15.75" customHeight="1">
      <c r="A50" s="316" t="s">
        <v>1613</v>
      </c>
      <c r="B50" s="316" t="s">
        <v>1973</v>
      </c>
      <c r="C50" s="316" t="s">
        <v>1973</v>
      </c>
      <c r="D50" s="316" t="s">
        <v>1973</v>
      </c>
      <c r="E50" s="317" t="s">
        <v>1973</v>
      </c>
      <c r="F50" s="372">
        <v>0.5</v>
      </c>
      <c r="G50" s="391" t="s">
        <v>36</v>
      </c>
      <c r="H50" s="392">
        <v>21500</v>
      </c>
      <c r="I50" s="395" t="b">
        <v>1</v>
      </c>
      <c r="J50" s="322">
        <v>0.5</v>
      </c>
      <c r="K50" s="323">
        <v>44000</v>
      </c>
      <c r="L50" s="397">
        <f t="shared" si="0"/>
        <v>22000</v>
      </c>
      <c r="M50" s="394" t="s">
        <v>1745</v>
      </c>
    </row>
    <row r="51" spans="1:13" ht="13">
      <c r="A51" s="316" t="s">
        <v>1614</v>
      </c>
      <c r="B51" s="316" t="s">
        <v>1973</v>
      </c>
      <c r="C51" s="316" t="s">
        <v>1973</v>
      </c>
      <c r="D51" s="316" t="s">
        <v>1973</v>
      </c>
      <c r="E51" s="317" t="s">
        <v>1973</v>
      </c>
      <c r="F51" s="372">
        <v>0.5</v>
      </c>
      <c r="G51" s="391" t="s">
        <v>36</v>
      </c>
      <c r="H51" s="392">
        <v>64000</v>
      </c>
      <c r="I51" s="393" t="b">
        <v>1</v>
      </c>
      <c r="J51" s="322">
        <v>0.5</v>
      </c>
      <c r="K51" s="323">
        <v>129000</v>
      </c>
      <c r="L51" s="371">
        <f t="shared" si="0"/>
        <v>64500</v>
      </c>
      <c r="M51" s="394"/>
    </row>
    <row r="52" spans="1:13" ht="13">
      <c r="A52" s="316" t="s">
        <v>1702</v>
      </c>
      <c r="B52" s="316" t="s">
        <v>1973</v>
      </c>
      <c r="C52" s="316" t="s">
        <v>1973</v>
      </c>
      <c r="D52" s="316" t="s">
        <v>1973</v>
      </c>
      <c r="E52" s="317" t="s">
        <v>1973</v>
      </c>
      <c r="F52" s="372">
        <v>1</v>
      </c>
      <c r="G52" s="391" t="s">
        <v>36</v>
      </c>
      <c r="H52" s="392">
        <v>120000</v>
      </c>
      <c r="I52" s="393" t="b">
        <v>1</v>
      </c>
      <c r="J52" s="322">
        <v>1</v>
      </c>
      <c r="K52" s="323" t="s">
        <v>1973</v>
      </c>
      <c r="L52" s="371" t="e">
        <f t="shared" si="0"/>
        <v>#VALUE!</v>
      </c>
      <c r="M52" s="394"/>
    </row>
    <row r="53" spans="1:13" ht="13">
      <c r="A53" s="316" t="s">
        <v>1709</v>
      </c>
      <c r="B53" s="316" t="s">
        <v>1973</v>
      </c>
      <c r="C53" s="316" t="s">
        <v>1973</v>
      </c>
      <c r="D53" s="316" t="s">
        <v>1973</v>
      </c>
      <c r="E53" s="317" t="s">
        <v>1973</v>
      </c>
      <c r="F53" s="372">
        <v>5</v>
      </c>
      <c r="G53" s="391" t="s">
        <v>62</v>
      </c>
      <c r="H53" s="392">
        <v>12500</v>
      </c>
      <c r="I53" s="393" t="b">
        <v>1</v>
      </c>
      <c r="J53" s="322">
        <v>5</v>
      </c>
      <c r="K53" s="323" t="s">
        <v>1973</v>
      </c>
      <c r="L53" s="371" t="e">
        <f t="shared" si="0"/>
        <v>#VALUE!</v>
      </c>
      <c r="M53" s="394"/>
    </row>
    <row r="54" spans="1:13" ht="13">
      <c r="A54" s="316" t="s">
        <v>1669</v>
      </c>
      <c r="B54" s="316" t="s">
        <v>1973</v>
      </c>
      <c r="C54" s="316" t="s">
        <v>1973</v>
      </c>
      <c r="D54" s="316" t="s">
        <v>1973</v>
      </c>
      <c r="E54" s="317" t="s">
        <v>1973</v>
      </c>
      <c r="F54" s="372">
        <v>5</v>
      </c>
      <c r="G54" s="391" t="s">
        <v>36</v>
      </c>
      <c r="H54" s="392">
        <v>65000</v>
      </c>
      <c r="I54" s="393" t="b">
        <v>1</v>
      </c>
      <c r="J54" s="322">
        <v>5</v>
      </c>
      <c r="K54" s="323" t="s">
        <v>1973</v>
      </c>
      <c r="L54" s="371" t="e">
        <f t="shared" si="0"/>
        <v>#VALUE!</v>
      </c>
      <c r="M54" s="394"/>
    </row>
    <row r="55" spans="1:13" ht="13">
      <c r="A55" s="316" t="s">
        <v>1608</v>
      </c>
      <c r="B55" s="316" t="s">
        <v>1973</v>
      </c>
      <c r="C55" s="316" t="s">
        <v>1973</v>
      </c>
      <c r="D55" s="316" t="s">
        <v>1973</v>
      </c>
      <c r="E55" s="317" t="s">
        <v>1973</v>
      </c>
      <c r="F55" s="372">
        <v>1</v>
      </c>
      <c r="G55" s="391" t="s">
        <v>36</v>
      </c>
      <c r="H55" s="392">
        <v>32000</v>
      </c>
      <c r="I55" s="393" t="b">
        <v>1</v>
      </c>
      <c r="J55" s="322">
        <v>1</v>
      </c>
      <c r="K55" s="323" t="s">
        <v>1973</v>
      </c>
      <c r="L55" s="371" t="e">
        <f t="shared" si="0"/>
        <v>#VALUE!</v>
      </c>
      <c r="M55" s="394"/>
    </row>
    <row r="56" spans="1:13" ht="13">
      <c r="A56" s="316" t="s">
        <v>1671</v>
      </c>
      <c r="B56" s="316" t="s">
        <v>1973</v>
      </c>
      <c r="C56" s="316" t="s">
        <v>1973</v>
      </c>
      <c r="D56" s="316" t="s">
        <v>1973</v>
      </c>
      <c r="E56" s="317" t="s">
        <v>1973</v>
      </c>
      <c r="F56" s="372">
        <v>4</v>
      </c>
      <c r="G56" s="391" t="s">
        <v>36</v>
      </c>
      <c r="H56" s="392">
        <v>360000</v>
      </c>
      <c r="I56" s="393" t="b">
        <v>1</v>
      </c>
      <c r="J56" s="322">
        <v>3</v>
      </c>
      <c r="K56" s="323" t="s">
        <v>1973</v>
      </c>
      <c r="L56" s="371" t="e">
        <f t="shared" si="0"/>
        <v>#VALUE!</v>
      </c>
      <c r="M56" s="394"/>
    </row>
    <row r="57" spans="1:13" ht="13">
      <c r="A57" s="316" t="s">
        <v>931</v>
      </c>
      <c r="B57" s="316" t="s">
        <v>1973</v>
      </c>
      <c r="C57" s="316" t="s">
        <v>1973</v>
      </c>
      <c r="D57" s="316" t="s">
        <v>1973</v>
      </c>
      <c r="E57" s="317" t="s">
        <v>1973</v>
      </c>
      <c r="F57" s="372">
        <v>1</v>
      </c>
      <c r="G57" s="391" t="s">
        <v>36</v>
      </c>
      <c r="H57" s="392">
        <v>36000</v>
      </c>
      <c r="I57" s="393" t="b">
        <v>1</v>
      </c>
      <c r="J57" s="322">
        <v>0.5</v>
      </c>
      <c r="K57" s="323" t="s">
        <v>1973</v>
      </c>
      <c r="L57" s="371" t="e">
        <f t="shared" si="0"/>
        <v>#VALUE!</v>
      </c>
      <c r="M57" s="394"/>
    </row>
    <row r="58" spans="1:13" ht="13">
      <c r="A58" s="316" t="s">
        <v>955</v>
      </c>
      <c r="B58" s="316" t="s">
        <v>1973</v>
      </c>
      <c r="C58" s="316" t="s">
        <v>1973</v>
      </c>
      <c r="D58" s="316" t="s">
        <v>1973</v>
      </c>
      <c r="E58" s="317" t="s">
        <v>1973</v>
      </c>
      <c r="F58" s="372">
        <v>3</v>
      </c>
      <c r="G58" s="391" t="s">
        <v>97</v>
      </c>
      <c r="H58" s="392">
        <v>60000</v>
      </c>
      <c r="I58" s="393" t="b">
        <v>1</v>
      </c>
      <c r="J58" s="322">
        <v>3</v>
      </c>
      <c r="K58" s="323" t="s">
        <v>1973</v>
      </c>
      <c r="L58" s="371" t="e">
        <f t="shared" si="0"/>
        <v>#VALUE!</v>
      </c>
      <c r="M58" s="394"/>
    </row>
    <row r="59" spans="1:13" ht="13">
      <c r="A59" s="316" t="s">
        <v>987</v>
      </c>
      <c r="B59" s="316" t="s">
        <v>1973</v>
      </c>
      <c r="C59" s="316" t="s">
        <v>1973</v>
      </c>
      <c r="D59" s="316" t="s">
        <v>1973</v>
      </c>
      <c r="E59" s="317" t="s">
        <v>1973</v>
      </c>
      <c r="F59" s="372">
        <v>4</v>
      </c>
      <c r="G59" s="391" t="s">
        <v>62</v>
      </c>
      <c r="H59" s="392">
        <v>68000</v>
      </c>
      <c r="I59" s="393" t="b">
        <v>1</v>
      </c>
      <c r="J59" s="322">
        <v>4</v>
      </c>
      <c r="K59" s="323" t="s">
        <v>1973</v>
      </c>
      <c r="L59" s="371" t="e">
        <f t="shared" si="0"/>
        <v>#VALUE!</v>
      </c>
      <c r="M59" s="394"/>
    </row>
    <row r="60" spans="1:13" ht="13">
      <c r="A60" s="316" t="s">
        <v>989</v>
      </c>
      <c r="B60" s="316" t="s">
        <v>1973</v>
      </c>
      <c r="C60" s="316" t="s">
        <v>1973</v>
      </c>
      <c r="D60" s="316" t="s">
        <v>1973</v>
      </c>
      <c r="E60" s="317" t="s">
        <v>1973</v>
      </c>
      <c r="F60" s="372">
        <v>9</v>
      </c>
      <c r="G60" s="391" t="s">
        <v>62</v>
      </c>
      <c r="H60" s="392">
        <v>144000</v>
      </c>
      <c r="I60" s="393" t="b">
        <v>1</v>
      </c>
      <c r="J60" s="322">
        <v>9</v>
      </c>
      <c r="K60" s="323" t="s">
        <v>1973</v>
      </c>
      <c r="L60" s="371" t="e">
        <f t="shared" si="0"/>
        <v>#VALUE!</v>
      </c>
      <c r="M60" s="394"/>
    </row>
    <row r="61" spans="1:13" ht="13">
      <c r="A61" s="316" t="s">
        <v>1000</v>
      </c>
      <c r="B61" s="316" t="s">
        <v>1973</v>
      </c>
      <c r="C61" s="316" t="s">
        <v>1973</v>
      </c>
      <c r="D61" s="316" t="s">
        <v>1973</v>
      </c>
      <c r="E61" s="317" t="s">
        <v>1973</v>
      </c>
      <c r="F61" s="372">
        <v>1</v>
      </c>
      <c r="G61" s="391" t="s">
        <v>62</v>
      </c>
      <c r="H61" s="392">
        <v>9000</v>
      </c>
      <c r="I61" s="393" t="b">
        <v>1</v>
      </c>
      <c r="J61" s="322">
        <v>1</v>
      </c>
      <c r="K61" s="323" t="s">
        <v>1973</v>
      </c>
      <c r="L61" s="371" t="e">
        <f t="shared" si="0"/>
        <v>#VALUE!</v>
      </c>
      <c r="M61" s="394"/>
    </row>
    <row r="62" spans="1:13" ht="13">
      <c r="A62" s="316" t="s">
        <v>1002</v>
      </c>
      <c r="B62" s="316" t="s">
        <v>1973</v>
      </c>
      <c r="C62" s="316" t="s">
        <v>1973</v>
      </c>
      <c r="D62" s="316" t="s">
        <v>1973</v>
      </c>
      <c r="E62" s="317" t="s">
        <v>1973</v>
      </c>
      <c r="F62" s="372">
        <v>1</v>
      </c>
      <c r="G62" s="391" t="s">
        <v>36</v>
      </c>
      <c r="H62" s="392">
        <v>25000</v>
      </c>
      <c r="I62" s="393" t="b">
        <v>1</v>
      </c>
      <c r="J62" s="322">
        <v>1</v>
      </c>
      <c r="K62" s="323" t="s">
        <v>1973</v>
      </c>
      <c r="L62" s="371" t="e">
        <f t="shared" si="0"/>
        <v>#VALUE!</v>
      </c>
      <c r="M62" s="394"/>
    </row>
    <row r="63" spans="1:13" ht="13">
      <c r="A63" s="316" t="s">
        <v>1677</v>
      </c>
      <c r="B63" s="316" t="s">
        <v>1973</v>
      </c>
      <c r="C63" s="316" t="s">
        <v>1973</v>
      </c>
      <c r="D63" s="316" t="s">
        <v>1973</v>
      </c>
      <c r="E63" s="317" t="s">
        <v>1973</v>
      </c>
      <c r="F63" s="372">
        <v>1</v>
      </c>
      <c r="G63" s="391" t="s">
        <v>36</v>
      </c>
      <c r="H63" s="392">
        <v>60000</v>
      </c>
      <c r="I63" s="393" t="b">
        <v>1</v>
      </c>
      <c r="J63" s="322">
        <v>1</v>
      </c>
      <c r="K63" s="323" t="s">
        <v>1973</v>
      </c>
      <c r="L63" s="371" t="e">
        <f t="shared" si="0"/>
        <v>#VALUE!</v>
      </c>
      <c r="M63" s="394"/>
    </row>
    <row r="64" spans="1:13" ht="13">
      <c r="A64" s="316" t="s">
        <v>1020</v>
      </c>
      <c r="B64" s="316" t="s">
        <v>1973</v>
      </c>
      <c r="C64" s="316" t="s">
        <v>1973</v>
      </c>
      <c r="D64" s="316" t="s">
        <v>1973</v>
      </c>
      <c r="E64" s="317" t="s">
        <v>1973</v>
      </c>
      <c r="F64" s="372">
        <v>0.5</v>
      </c>
      <c r="G64" s="391" t="s">
        <v>36</v>
      </c>
      <c r="H64" s="392">
        <v>8000</v>
      </c>
      <c r="I64" s="393" t="b">
        <v>1</v>
      </c>
      <c r="J64" s="322">
        <v>1</v>
      </c>
      <c r="K64" s="323" t="s">
        <v>1973</v>
      </c>
      <c r="L64" s="371" t="e">
        <f t="shared" si="0"/>
        <v>#VALUE!</v>
      </c>
      <c r="M64" s="394"/>
    </row>
    <row r="65" spans="1:13" ht="13">
      <c r="A65" s="316" t="s">
        <v>1600</v>
      </c>
      <c r="B65" s="316" t="s">
        <v>1973</v>
      </c>
      <c r="C65" s="316" t="s">
        <v>1973</v>
      </c>
      <c r="D65" s="316" t="s">
        <v>1973</v>
      </c>
      <c r="E65" s="317" t="s">
        <v>1973</v>
      </c>
      <c r="F65" s="372">
        <v>1</v>
      </c>
      <c r="G65" s="391" t="s">
        <v>36</v>
      </c>
      <c r="H65" s="392">
        <v>10000</v>
      </c>
      <c r="I65" s="393" t="b">
        <v>1</v>
      </c>
      <c r="J65" s="322">
        <v>1</v>
      </c>
      <c r="K65" s="323" t="s">
        <v>1973</v>
      </c>
      <c r="L65" s="371" t="e">
        <f t="shared" si="0"/>
        <v>#VALUE!</v>
      </c>
      <c r="M65" s="394"/>
    </row>
    <row r="66" spans="1:13" ht="13">
      <c r="A66" s="316" t="s">
        <v>1681</v>
      </c>
      <c r="B66" s="316" t="s">
        <v>1973</v>
      </c>
      <c r="C66" s="316" t="s">
        <v>1973</v>
      </c>
      <c r="D66" s="316" t="s">
        <v>1973</v>
      </c>
      <c r="E66" s="317" t="s">
        <v>1973</v>
      </c>
      <c r="F66" s="372">
        <v>1</v>
      </c>
      <c r="G66" s="391" t="s">
        <v>143</v>
      </c>
      <c r="H66" s="392">
        <v>320000</v>
      </c>
      <c r="I66" s="319" t="b">
        <v>1</v>
      </c>
      <c r="J66" s="372"/>
      <c r="K66" s="373" t="s">
        <v>1973</v>
      </c>
      <c r="L66" s="374" t="e">
        <f t="shared" si="0"/>
        <v>#VALUE!</v>
      </c>
      <c r="M66" s="396" t="s">
        <v>1748</v>
      </c>
    </row>
    <row r="67" spans="1:13" ht="13">
      <c r="A67" s="316" t="s">
        <v>562</v>
      </c>
      <c r="B67" s="316" t="s">
        <v>1973</v>
      </c>
      <c r="C67" s="316" t="s">
        <v>1973</v>
      </c>
      <c r="D67" s="316" t="s">
        <v>1973</v>
      </c>
      <c r="E67" s="317" t="s">
        <v>1973</v>
      </c>
      <c r="F67" s="372">
        <v>1</v>
      </c>
      <c r="G67" s="391" t="s">
        <v>97</v>
      </c>
      <c r="H67" s="392">
        <v>195000</v>
      </c>
      <c r="I67" s="319" t="b">
        <v>0</v>
      </c>
      <c r="J67" s="372">
        <v>0</v>
      </c>
      <c r="K67" s="373">
        <v>179045</v>
      </c>
      <c r="L67" s="374">
        <f t="shared" si="0"/>
        <v>0</v>
      </c>
      <c r="M67" s="396" t="s">
        <v>1745</v>
      </c>
    </row>
    <row r="68" spans="1:13" ht="13">
      <c r="A68" s="316" t="s">
        <v>566</v>
      </c>
      <c r="B68" s="316" t="s">
        <v>1973</v>
      </c>
      <c r="C68" s="316" t="s">
        <v>1973</v>
      </c>
      <c r="D68" s="316" t="s">
        <v>1973</v>
      </c>
      <c r="E68" s="317" t="s">
        <v>1973</v>
      </c>
      <c r="F68" s="372">
        <v>1</v>
      </c>
      <c r="G68" s="391" t="s">
        <v>62</v>
      </c>
      <c r="H68" s="392">
        <v>200000</v>
      </c>
      <c r="I68" s="319" t="b">
        <v>0</v>
      </c>
      <c r="J68" s="372">
        <v>0</v>
      </c>
      <c r="K68" s="373">
        <v>199999</v>
      </c>
      <c r="L68" s="374">
        <f t="shared" si="0"/>
        <v>0</v>
      </c>
      <c r="M68" s="396" t="s">
        <v>1745</v>
      </c>
    </row>
    <row r="69" spans="1:13" ht="13">
      <c r="A69" s="316" t="s">
        <v>570</v>
      </c>
      <c r="B69" s="316" t="s">
        <v>1973</v>
      </c>
      <c r="C69" s="316" t="s">
        <v>1973</v>
      </c>
      <c r="D69" s="316" t="s">
        <v>1973</v>
      </c>
      <c r="E69" s="317" t="s">
        <v>1973</v>
      </c>
      <c r="F69" s="372">
        <v>1</v>
      </c>
      <c r="G69" s="391" t="s">
        <v>62</v>
      </c>
      <c r="H69" s="392">
        <v>200000</v>
      </c>
      <c r="I69" s="319" t="b">
        <v>0</v>
      </c>
      <c r="J69" s="372">
        <v>0</v>
      </c>
      <c r="K69" s="373">
        <v>199999</v>
      </c>
      <c r="L69" s="374">
        <f t="shared" si="0"/>
        <v>0</v>
      </c>
      <c r="M69" s="396" t="s">
        <v>1745</v>
      </c>
    </row>
    <row r="70" spans="1:13" ht="13">
      <c r="A70" s="353" t="s">
        <v>708</v>
      </c>
      <c r="B70" s="353" t="s">
        <v>1973</v>
      </c>
      <c r="C70" s="353" t="s">
        <v>1973</v>
      </c>
      <c r="D70" s="353" t="s">
        <v>1973</v>
      </c>
      <c r="E70" s="398" t="s">
        <v>1973</v>
      </c>
      <c r="F70" s="399">
        <v>1</v>
      </c>
      <c r="G70" s="369" t="s">
        <v>143</v>
      </c>
      <c r="H70" s="400">
        <v>259091</v>
      </c>
      <c r="I70" s="401" t="b">
        <v>0</v>
      </c>
      <c r="J70" s="399"/>
      <c r="K70" s="353" t="e">
        <f>VLOOKUP($A70,'[1]Database Bahan &amp; Alat (Terupdat'!$B$50:$N$232,6,FALSE)</f>
        <v>#N/A</v>
      </c>
      <c r="L70" s="379" t="e">
        <f t="shared" si="0"/>
        <v>#N/A</v>
      </c>
      <c r="M70" s="402" t="s">
        <v>1749</v>
      </c>
    </row>
    <row r="71" spans="1:13" ht="13">
      <c r="A71" s="316" t="s">
        <v>961</v>
      </c>
      <c r="B71" s="316" t="s">
        <v>1973</v>
      </c>
      <c r="C71" s="316" t="s">
        <v>1973</v>
      </c>
      <c r="D71" s="316" t="s">
        <v>1973</v>
      </c>
      <c r="E71" s="317" t="s">
        <v>1973</v>
      </c>
      <c r="F71" s="372">
        <v>1</v>
      </c>
      <c r="G71" s="391" t="s">
        <v>97</v>
      </c>
      <c r="H71" s="392">
        <v>77273</v>
      </c>
      <c r="I71" s="319" t="b">
        <v>0</v>
      </c>
      <c r="J71" s="372">
        <v>0</v>
      </c>
      <c r="K71" s="373">
        <v>85000</v>
      </c>
      <c r="L71" s="374">
        <f t="shared" si="0"/>
        <v>0</v>
      </c>
      <c r="M71" s="396" t="s">
        <v>1745</v>
      </c>
    </row>
    <row r="72" spans="1:13" ht="13">
      <c r="A72" s="316" t="s">
        <v>1541</v>
      </c>
      <c r="B72" s="316" t="s">
        <v>1973</v>
      </c>
      <c r="C72" s="316" t="s">
        <v>1973</v>
      </c>
      <c r="D72" s="316" t="s">
        <v>1973</v>
      </c>
      <c r="E72" s="317" t="s">
        <v>1973</v>
      </c>
      <c r="F72" s="372">
        <v>1</v>
      </c>
      <c r="G72" s="391" t="s">
        <v>97</v>
      </c>
      <c r="H72" s="392">
        <v>195000</v>
      </c>
      <c r="I72" s="319" t="b">
        <v>0</v>
      </c>
      <c r="J72" s="372">
        <v>0</v>
      </c>
      <c r="K72" s="373">
        <v>179045</v>
      </c>
      <c r="L72" s="374">
        <f t="shared" si="0"/>
        <v>0</v>
      </c>
      <c r="M72" s="396" t="s">
        <v>1745</v>
      </c>
    </row>
    <row r="73" spans="1:13" ht="13">
      <c r="A73" s="316" t="s">
        <v>1703</v>
      </c>
      <c r="B73" s="316" t="s">
        <v>1973</v>
      </c>
      <c r="C73" s="316" t="s">
        <v>1973</v>
      </c>
      <c r="D73" s="316" t="s">
        <v>1973</v>
      </c>
      <c r="E73" s="317" t="s">
        <v>1973</v>
      </c>
      <c r="F73" s="372">
        <v>4</v>
      </c>
      <c r="G73" s="391" t="s">
        <v>62</v>
      </c>
      <c r="H73" s="392">
        <v>89628</v>
      </c>
      <c r="I73" s="319" t="b">
        <v>0</v>
      </c>
      <c r="J73" s="372">
        <v>0</v>
      </c>
      <c r="K73" s="373" t="s">
        <v>1973</v>
      </c>
      <c r="L73" s="374" t="e">
        <f t="shared" si="0"/>
        <v>#VALUE!</v>
      </c>
      <c r="M73" s="396"/>
    </row>
    <row r="74" spans="1:13" ht="13">
      <c r="A74" s="316" t="s">
        <v>992</v>
      </c>
      <c r="B74" s="316" t="s">
        <v>1973</v>
      </c>
      <c r="C74" s="316" t="s">
        <v>1973</v>
      </c>
      <c r="D74" s="316" t="s">
        <v>1973</v>
      </c>
      <c r="E74" s="317" t="s">
        <v>1973</v>
      </c>
      <c r="F74" s="372">
        <v>1</v>
      </c>
      <c r="G74" s="391" t="s">
        <v>143</v>
      </c>
      <c r="H74" s="392">
        <v>149952</v>
      </c>
      <c r="I74" s="319" t="b">
        <v>0</v>
      </c>
      <c r="J74" s="372">
        <v>0</v>
      </c>
      <c r="K74" s="373" t="s">
        <v>1973</v>
      </c>
      <c r="L74" s="374" t="e">
        <f t="shared" si="0"/>
        <v>#VALUE!</v>
      </c>
      <c r="M74" s="396"/>
    </row>
    <row r="75" spans="1:13" ht="13">
      <c r="A75" s="316" t="s">
        <v>995</v>
      </c>
      <c r="B75" s="316" t="s">
        <v>1973</v>
      </c>
      <c r="C75" s="316" t="s">
        <v>1973</v>
      </c>
      <c r="D75" s="316" t="s">
        <v>1973</v>
      </c>
      <c r="E75" s="317" t="s">
        <v>1973</v>
      </c>
      <c r="F75" s="372">
        <v>1</v>
      </c>
      <c r="G75" s="391" t="s">
        <v>143</v>
      </c>
      <c r="H75" s="392">
        <v>199663</v>
      </c>
      <c r="I75" s="319" t="b">
        <v>0</v>
      </c>
      <c r="J75" s="372">
        <v>0</v>
      </c>
      <c r="K75" s="373">
        <v>218064</v>
      </c>
      <c r="L75" s="374">
        <f t="shared" si="0"/>
        <v>0</v>
      </c>
      <c r="M75" s="396" t="e">
        <f>SUM(L67:L69,L71:L75)</f>
        <v>#VALUE!</v>
      </c>
    </row>
    <row r="76" spans="1:13" ht="13">
      <c r="A76" s="316" t="s">
        <v>548</v>
      </c>
      <c r="B76" s="316" t="s">
        <v>1973</v>
      </c>
      <c r="C76" s="316" t="s">
        <v>1973</v>
      </c>
      <c r="D76" s="316" t="s">
        <v>1973</v>
      </c>
      <c r="E76" s="317" t="s">
        <v>1973</v>
      </c>
      <c r="F76" s="372">
        <v>3</v>
      </c>
      <c r="G76" s="391" t="s">
        <v>87</v>
      </c>
      <c r="H76" s="392">
        <v>426360</v>
      </c>
      <c r="I76" s="319" t="b">
        <v>0</v>
      </c>
      <c r="J76" s="372">
        <v>0</v>
      </c>
      <c r="K76" s="373" t="s">
        <v>1973</v>
      </c>
      <c r="L76" s="374" t="e">
        <f t="shared" si="0"/>
        <v>#VALUE!</v>
      </c>
      <c r="M76" s="396"/>
    </row>
    <row r="77" spans="1:13" ht="13">
      <c r="A77" s="316" t="s">
        <v>623</v>
      </c>
      <c r="B77" s="316" t="s">
        <v>1973</v>
      </c>
      <c r="C77" s="316" t="s">
        <v>1973</v>
      </c>
      <c r="D77" s="316" t="s">
        <v>1973</v>
      </c>
      <c r="E77" s="317" t="s">
        <v>1973</v>
      </c>
      <c r="F77" s="372">
        <v>2</v>
      </c>
      <c r="G77" s="391" t="s">
        <v>143</v>
      </c>
      <c r="H77" s="392">
        <v>359700</v>
      </c>
      <c r="I77" s="319" t="b">
        <v>0</v>
      </c>
      <c r="J77" s="372">
        <v>0</v>
      </c>
      <c r="K77" s="373" t="s">
        <v>1973</v>
      </c>
      <c r="L77" s="374" t="e">
        <f t="shared" si="0"/>
        <v>#VALUE!</v>
      </c>
      <c r="M77" s="396"/>
    </row>
    <row r="78" spans="1:13" ht="13">
      <c r="A78" s="316" t="s">
        <v>688</v>
      </c>
      <c r="B78" s="316" t="s">
        <v>1973</v>
      </c>
      <c r="C78" s="316" t="s">
        <v>1973</v>
      </c>
      <c r="D78" s="316" t="s">
        <v>1973</v>
      </c>
      <c r="E78" s="317" t="s">
        <v>1973</v>
      </c>
      <c r="F78" s="372">
        <v>3</v>
      </c>
      <c r="G78" s="391" t="s">
        <v>62</v>
      </c>
      <c r="H78" s="392">
        <v>153120</v>
      </c>
      <c r="I78" s="319" t="b">
        <v>0</v>
      </c>
      <c r="J78" s="372">
        <v>0</v>
      </c>
      <c r="K78" s="373" t="s">
        <v>1973</v>
      </c>
      <c r="L78" s="374" t="e">
        <f t="shared" si="0"/>
        <v>#VALUE!</v>
      </c>
      <c r="M78" s="396"/>
    </row>
    <row r="79" spans="1:13" ht="13">
      <c r="A79" s="316" t="s">
        <v>704</v>
      </c>
      <c r="B79" s="316" t="s">
        <v>1973</v>
      </c>
      <c r="C79" s="316" t="s">
        <v>1973</v>
      </c>
      <c r="D79" s="316" t="s">
        <v>1973</v>
      </c>
      <c r="E79" s="317" t="s">
        <v>1973</v>
      </c>
      <c r="F79" s="372">
        <v>4</v>
      </c>
      <c r="G79" s="391" t="s">
        <v>143</v>
      </c>
      <c r="H79" s="392">
        <v>729000</v>
      </c>
      <c r="I79" s="319" t="b">
        <v>0</v>
      </c>
      <c r="J79" s="372">
        <v>0</v>
      </c>
      <c r="K79" s="373" t="s">
        <v>1973</v>
      </c>
      <c r="L79" s="374" t="e">
        <f t="shared" si="0"/>
        <v>#VALUE!</v>
      </c>
      <c r="M79" s="396"/>
    </row>
    <row r="80" spans="1:13" ht="13">
      <c r="A80" s="316" t="s">
        <v>925</v>
      </c>
      <c r="B80" s="316" t="s">
        <v>1973</v>
      </c>
      <c r="C80" s="316" t="s">
        <v>1973</v>
      </c>
      <c r="D80" s="316" t="s">
        <v>1973</v>
      </c>
      <c r="E80" s="317" t="s">
        <v>1973</v>
      </c>
      <c r="F80" s="372">
        <v>1</v>
      </c>
      <c r="G80" s="391" t="s">
        <v>143</v>
      </c>
      <c r="H80" s="392">
        <v>357214</v>
      </c>
      <c r="I80" s="319" t="b">
        <v>0</v>
      </c>
      <c r="J80" s="372">
        <v>0</v>
      </c>
      <c r="K80" s="373" t="s">
        <v>1973</v>
      </c>
      <c r="L80" s="374" t="e">
        <f t="shared" si="0"/>
        <v>#VALUE!</v>
      </c>
      <c r="M80" s="396" t="s">
        <v>1750</v>
      </c>
    </row>
    <row r="81" spans="1:13" ht="13">
      <c r="A81" s="316" t="s">
        <v>949</v>
      </c>
      <c r="B81" s="316" t="s">
        <v>1973</v>
      </c>
      <c r="C81" s="316" t="s">
        <v>1973</v>
      </c>
      <c r="D81" s="316" t="s">
        <v>1973</v>
      </c>
      <c r="E81" s="317" t="s">
        <v>1973</v>
      </c>
      <c r="F81" s="372">
        <v>1</v>
      </c>
      <c r="G81" s="391" t="s">
        <v>97</v>
      </c>
      <c r="H81" s="392">
        <v>23200</v>
      </c>
      <c r="I81" s="393" t="b">
        <v>1</v>
      </c>
      <c r="J81" s="322">
        <v>1</v>
      </c>
      <c r="K81" s="323" t="s">
        <v>1973</v>
      </c>
      <c r="L81" s="371" t="e">
        <f t="shared" si="0"/>
        <v>#VALUE!</v>
      </c>
      <c r="M81" s="394"/>
    </row>
    <row r="82" spans="1:13" ht="13">
      <c r="A82" s="316" t="s">
        <v>952</v>
      </c>
      <c r="B82" s="316" t="s">
        <v>1973</v>
      </c>
      <c r="C82" s="316" t="s">
        <v>1973</v>
      </c>
      <c r="D82" s="316" t="s">
        <v>1973</v>
      </c>
      <c r="E82" s="317" t="s">
        <v>1973</v>
      </c>
      <c r="F82" s="372">
        <v>2</v>
      </c>
      <c r="G82" s="391" t="s">
        <v>97</v>
      </c>
      <c r="H82" s="392">
        <v>54600</v>
      </c>
      <c r="I82" s="393" t="b">
        <v>1</v>
      </c>
      <c r="J82" s="322">
        <v>1</v>
      </c>
      <c r="K82" s="323" t="s">
        <v>1973</v>
      </c>
      <c r="L82" s="371" t="e">
        <f t="shared" si="0"/>
        <v>#VALUE!</v>
      </c>
      <c r="M82" s="394"/>
    </row>
    <row r="83" spans="1:13" ht="13">
      <c r="A83" s="316" t="s">
        <v>1751</v>
      </c>
      <c r="B83" s="316" t="s">
        <v>1973</v>
      </c>
      <c r="C83" s="316" t="s">
        <v>1973</v>
      </c>
      <c r="D83" s="316" t="s">
        <v>1973</v>
      </c>
      <c r="E83" s="317" t="s">
        <v>1973</v>
      </c>
      <c r="F83" s="372">
        <v>15</v>
      </c>
      <c r="G83" s="391" t="s">
        <v>36</v>
      </c>
      <c r="H83" s="392">
        <v>180000</v>
      </c>
      <c r="I83" s="393" t="b">
        <v>1</v>
      </c>
      <c r="J83" s="322">
        <v>15</v>
      </c>
      <c r="K83" s="323" t="s">
        <v>1973</v>
      </c>
      <c r="L83" s="371" t="e">
        <f t="shared" si="0"/>
        <v>#VALUE!</v>
      </c>
      <c r="M83" s="394"/>
    </row>
    <row r="84" spans="1:13" ht="13">
      <c r="A84" s="316" t="s">
        <v>1705</v>
      </c>
      <c r="B84" s="316" t="s">
        <v>1973</v>
      </c>
      <c r="C84" s="316" t="s">
        <v>1973</v>
      </c>
      <c r="D84" s="316" t="s">
        <v>1973</v>
      </c>
      <c r="E84" s="317" t="s">
        <v>1973</v>
      </c>
      <c r="F84" s="372">
        <v>6</v>
      </c>
      <c r="G84" s="391" t="s">
        <v>62</v>
      </c>
      <c r="H84" s="392">
        <v>141000</v>
      </c>
      <c r="I84" s="395" t="b">
        <v>1</v>
      </c>
      <c r="J84" s="322">
        <v>3</v>
      </c>
      <c r="K84" s="323">
        <v>22500</v>
      </c>
      <c r="L84" s="379">
        <f t="shared" si="0"/>
        <v>67500</v>
      </c>
      <c r="M84" s="394" t="s">
        <v>1752</v>
      </c>
    </row>
    <row r="85" spans="1:13" ht="13">
      <c r="A85" s="316" t="s">
        <v>779</v>
      </c>
      <c r="B85" s="316" t="s">
        <v>1973</v>
      </c>
      <c r="C85" s="316" t="s">
        <v>1973</v>
      </c>
      <c r="D85" s="316" t="s">
        <v>1973</v>
      </c>
      <c r="E85" s="317" t="s">
        <v>1973</v>
      </c>
      <c r="F85" s="372">
        <v>3</v>
      </c>
      <c r="G85" s="391" t="s">
        <v>62</v>
      </c>
      <c r="H85" s="392">
        <v>115500</v>
      </c>
      <c r="I85" s="395" t="b">
        <v>1</v>
      </c>
      <c r="J85" s="322">
        <v>2</v>
      </c>
      <c r="K85" s="323">
        <v>53000</v>
      </c>
      <c r="L85" s="379">
        <f t="shared" si="0"/>
        <v>106000</v>
      </c>
      <c r="M85" s="394" t="s">
        <v>1752</v>
      </c>
    </row>
    <row r="86" spans="1:13" ht="13">
      <c r="A86" s="316" t="s">
        <v>874</v>
      </c>
      <c r="B86" s="316" t="s">
        <v>1973</v>
      </c>
      <c r="C86" s="316" t="s">
        <v>1973</v>
      </c>
      <c r="D86" s="316" t="s">
        <v>1973</v>
      </c>
      <c r="E86" s="317" t="s">
        <v>1973</v>
      </c>
      <c r="F86" s="372">
        <v>7</v>
      </c>
      <c r="G86" s="391" t="s">
        <v>62</v>
      </c>
      <c r="H86" s="392">
        <v>112000</v>
      </c>
      <c r="I86" s="393" t="b">
        <v>1</v>
      </c>
      <c r="J86" s="322">
        <v>7</v>
      </c>
      <c r="K86" s="323" t="e">
        <f>VLOOKUP($A86,'[1]Database Bahan &amp; Alat (Terupdat'!$B$50:$N$232,6,FALSE)</f>
        <v>#N/A</v>
      </c>
      <c r="L86" s="371" t="e">
        <f t="shared" si="0"/>
        <v>#N/A</v>
      </c>
      <c r="M86" s="394"/>
    </row>
    <row r="87" spans="1:13" ht="13">
      <c r="A87" s="316" t="s">
        <v>1606</v>
      </c>
      <c r="B87" s="316" t="s">
        <v>1973</v>
      </c>
      <c r="C87" s="316" t="s">
        <v>1973</v>
      </c>
      <c r="D87" s="316" t="s">
        <v>1973</v>
      </c>
      <c r="E87" s="317" t="s">
        <v>1973</v>
      </c>
      <c r="F87" s="372">
        <v>0.5</v>
      </c>
      <c r="G87" s="391" t="s">
        <v>36</v>
      </c>
      <c r="H87" s="392">
        <v>17500</v>
      </c>
      <c r="I87" s="395" t="b">
        <v>1</v>
      </c>
      <c r="J87" s="322">
        <v>0.72799999999999998</v>
      </c>
      <c r="K87" s="323">
        <v>43200</v>
      </c>
      <c r="L87" s="371">
        <f t="shared" si="0"/>
        <v>31449.599999999999</v>
      </c>
      <c r="M87" s="394"/>
    </row>
    <row r="88" spans="1:13" ht="13">
      <c r="A88" s="316" t="s">
        <v>910</v>
      </c>
      <c r="B88" s="316" t="s">
        <v>1973</v>
      </c>
      <c r="C88" s="316" t="s">
        <v>1973</v>
      </c>
      <c r="D88" s="316" t="s">
        <v>1973</v>
      </c>
      <c r="E88" s="317" t="s">
        <v>1973</v>
      </c>
      <c r="F88" s="372">
        <v>9</v>
      </c>
      <c r="G88" s="391" t="s">
        <v>62</v>
      </c>
      <c r="H88" s="392">
        <v>117000</v>
      </c>
      <c r="I88" s="393" t="b">
        <v>1</v>
      </c>
      <c r="J88" s="322">
        <v>6</v>
      </c>
      <c r="K88" s="323" t="s">
        <v>1973</v>
      </c>
      <c r="L88" s="371" t="e">
        <f t="shared" si="0"/>
        <v>#VALUE!</v>
      </c>
      <c r="M88" s="394"/>
    </row>
    <row r="89" spans="1:13" ht="13">
      <c r="A89" s="316" t="s">
        <v>1550</v>
      </c>
      <c r="B89" s="316" t="s">
        <v>1973</v>
      </c>
      <c r="C89" s="316" t="s">
        <v>1973</v>
      </c>
      <c r="D89" s="316" t="s">
        <v>1973</v>
      </c>
      <c r="E89" s="317" t="s">
        <v>1973</v>
      </c>
      <c r="F89" s="372">
        <v>1</v>
      </c>
      <c r="G89" s="391" t="s">
        <v>97</v>
      </c>
      <c r="H89" s="392" t="s">
        <v>1753</v>
      </c>
      <c r="I89" s="319" t="b">
        <v>0</v>
      </c>
      <c r="J89" s="372">
        <v>0</v>
      </c>
      <c r="K89" s="373" t="s">
        <v>1973</v>
      </c>
      <c r="L89" s="374" t="e">
        <f t="shared" si="0"/>
        <v>#VALUE!</v>
      </c>
      <c r="M89" s="396"/>
    </row>
    <row r="90" spans="1:13" ht="13">
      <c r="A90" s="316" t="s">
        <v>1651</v>
      </c>
      <c r="B90" s="316" t="s">
        <v>1973</v>
      </c>
      <c r="C90" s="316" t="s">
        <v>1973</v>
      </c>
      <c r="D90" s="316" t="s">
        <v>1973</v>
      </c>
      <c r="E90" s="317" t="s">
        <v>1973</v>
      </c>
      <c r="F90" s="372">
        <v>1</v>
      </c>
      <c r="G90" s="391" t="s">
        <v>97</v>
      </c>
      <c r="H90" s="392">
        <v>105000</v>
      </c>
      <c r="I90" s="319" t="b">
        <v>0</v>
      </c>
      <c r="J90" s="372">
        <v>0</v>
      </c>
      <c r="K90" s="373" t="s">
        <v>1973</v>
      </c>
      <c r="L90" s="374" t="e">
        <f t="shared" si="0"/>
        <v>#VALUE!</v>
      </c>
      <c r="M90" s="396" t="e">
        <f>SUM(L89,L90)</f>
        <v>#VALUE!</v>
      </c>
    </row>
    <row r="91" spans="1:13" ht="13">
      <c r="A91" s="353" t="s">
        <v>847</v>
      </c>
      <c r="B91" s="353" t="s">
        <v>1973</v>
      </c>
      <c r="C91" s="353" t="s">
        <v>1973</v>
      </c>
      <c r="D91" s="353" t="s">
        <v>1973</v>
      </c>
      <c r="E91" s="398" t="s">
        <v>1973</v>
      </c>
      <c r="F91" s="399">
        <v>2</v>
      </c>
      <c r="G91" s="369" t="s">
        <v>75</v>
      </c>
      <c r="H91" s="400">
        <v>92000</v>
      </c>
      <c r="I91" s="401" t="b">
        <v>0</v>
      </c>
      <c r="J91" s="399"/>
      <c r="K91" s="353" t="s">
        <v>1973</v>
      </c>
      <c r="L91" s="379" t="e">
        <f t="shared" si="0"/>
        <v>#VALUE!</v>
      </c>
      <c r="M91" s="402" t="s">
        <v>1748</v>
      </c>
    </row>
    <row r="92" spans="1:13" ht="13">
      <c r="A92" s="316" t="s">
        <v>1684</v>
      </c>
      <c r="B92" s="316" t="s">
        <v>1973</v>
      </c>
      <c r="C92" s="316" t="s">
        <v>1973</v>
      </c>
      <c r="D92" s="316" t="s">
        <v>1973</v>
      </c>
      <c r="E92" s="317" t="s">
        <v>1973</v>
      </c>
      <c r="F92" s="372">
        <v>1</v>
      </c>
      <c r="G92" s="391" t="s">
        <v>97</v>
      </c>
      <c r="H92" s="392">
        <v>9000</v>
      </c>
      <c r="I92" s="319" t="b">
        <v>0</v>
      </c>
      <c r="J92" s="372"/>
      <c r="K92" s="373" t="s">
        <v>1973</v>
      </c>
      <c r="L92" s="374" t="e">
        <f t="shared" si="0"/>
        <v>#VALUE!</v>
      </c>
      <c r="M92" s="396"/>
    </row>
    <row r="93" spans="1:13" ht="13">
      <c r="A93" s="316" t="s">
        <v>540</v>
      </c>
      <c r="B93" s="316" t="s">
        <v>1973</v>
      </c>
      <c r="C93" s="316" t="s">
        <v>1973</v>
      </c>
      <c r="D93" s="316" t="s">
        <v>1973</v>
      </c>
      <c r="E93" s="317" t="s">
        <v>1973</v>
      </c>
      <c r="F93" s="372">
        <v>6</v>
      </c>
      <c r="G93" s="391" t="s">
        <v>36</v>
      </c>
      <c r="H93" s="392">
        <v>1020000</v>
      </c>
      <c r="I93" s="319" t="b">
        <v>0</v>
      </c>
      <c r="J93" s="372">
        <v>0</v>
      </c>
      <c r="K93" s="373" t="s">
        <v>1973</v>
      </c>
      <c r="L93" s="374" t="e">
        <f t="shared" si="0"/>
        <v>#VALUE!</v>
      </c>
      <c r="M93" s="396"/>
    </row>
    <row r="94" spans="1:13" ht="13">
      <c r="A94" s="316" t="s">
        <v>590</v>
      </c>
      <c r="B94" s="316" t="s">
        <v>1973</v>
      </c>
      <c r="C94" s="316" t="s">
        <v>1973</v>
      </c>
      <c r="D94" s="316" t="s">
        <v>1973</v>
      </c>
      <c r="E94" s="317" t="s">
        <v>1973</v>
      </c>
      <c r="F94" s="372">
        <v>2</v>
      </c>
      <c r="G94" s="391" t="s">
        <v>62</v>
      </c>
      <c r="H94" s="392">
        <v>170000</v>
      </c>
      <c r="I94" s="319" t="b">
        <v>0</v>
      </c>
      <c r="J94" s="372">
        <v>0</v>
      </c>
      <c r="K94" s="373" t="s">
        <v>1973</v>
      </c>
      <c r="L94" s="374" t="e">
        <f t="shared" si="0"/>
        <v>#VALUE!</v>
      </c>
      <c r="M94" s="396"/>
    </row>
    <row r="95" spans="1:13" ht="13">
      <c r="A95" s="316" t="s">
        <v>602</v>
      </c>
      <c r="B95" s="316" t="s">
        <v>1973</v>
      </c>
      <c r="C95" s="316" t="s">
        <v>1973</v>
      </c>
      <c r="D95" s="316" t="s">
        <v>1973</v>
      </c>
      <c r="E95" s="317" t="s">
        <v>1973</v>
      </c>
      <c r="F95" s="372">
        <v>1</v>
      </c>
      <c r="G95" s="391" t="s">
        <v>62</v>
      </c>
      <c r="H95" s="392">
        <v>100000</v>
      </c>
      <c r="I95" s="319" t="b">
        <v>0</v>
      </c>
      <c r="J95" s="372">
        <v>0</v>
      </c>
      <c r="K95" s="373" t="s">
        <v>1973</v>
      </c>
      <c r="L95" s="374" t="e">
        <f t="shared" si="0"/>
        <v>#VALUE!</v>
      </c>
      <c r="M95" s="396" t="e">
        <f>SUM(L93:L95)</f>
        <v>#VALUE!</v>
      </c>
    </row>
    <row r="96" spans="1:13" ht="13">
      <c r="A96" s="316" t="s">
        <v>1602</v>
      </c>
      <c r="B96" s="316" t="s">
        <v>1973</v>
      </c>
      <c r="C96" s="316" t="s">
        <v>1973</v>
      </c>
      <c r="D96" s="316" t="s">
        <v>1973</v>
      </c>
      <c r="E96" s="317" t="s">
        <v>1973</v>
      </c>
      <c r="F96" s="372">
        <v>3</v>
      </c>
      <c r="G96" s="391" t="s">
        <v>36</v>
      </c>
      <c r="H96" s="392">
        <v>39000</v>
      </c>
      <c r="I96" s="393" t="b">
        <v>1</v>
      </c>
      <c r="J96" s="322">
        <v>3</v>
      </c>
      <c r="K96" s="323" t="s">
        <v>1973</v>
      </c>
      <c r="L96" s="371" t="e">
        <f t="shared" si="0"/>
        <v>#VALUE!</v>
      </c>
      <c r="M96" s="403"/>
    </row>
    <row r="97" spans="1:13" ht="13">
      <c r="A97" s="316" t="s">
        <v>528</v>
      </c>
      <c r="B97" s="316" t="s">
        <v>1973</v>
      </c>
      <c r="C97" s="316" t="s">
        <v>1973</v>
      </c>
      <c r="D97" s="316" t="s">
        <v>1973</v>
      </c>
      <c r="E97" s="317" t="s">
        <v>1973</v>
      </c>
      <c r="F97" s="372">
        <v>6</v>
      </c>
      <c r="G97" s="391" t="s">
        <v>50</v>
      </c>
      <c r="H97" s="392">
        <v>90000</v>
      </c>
      <c r="I97" s="393" t="b">
        <v>1</v>
      </c>
      <c r="J97" s="322">
        <v>6</v>
      </c>
      <c r="K97" s="323" t="s">
        <v>1973</v>
      </c>
      <c r="L97" s="371" t="e">
        <f t="shared" si="0"/>
        <v>#VALUE!</v>
      </c>
      <c r="M97" s="394"/>
    </row>
    <row r="98" spans="1:13" ht="13">
      <c r="A98" s="316" t="s">
        <v>1603</v>
      </c>
      <c r="B98" s="316" t="s">
        <v>1973</v>
      </c>
      <c r="C98" s="316" t="s">
        <v>1973</v>
      </c>
      <c r="D98" s="316" t="s">
        <v>1973</v>
      </c>
      <c r="E98" s="317" t="s">
        <v>1973</v>
      </c>
      <c r="F98" s="372">
        <v>1</v>
      </c>
      <c r="G98" s="391" t="s">
        <v>62</v>
      </c>
      <c r="H98" s="392">
        <v>58000</v>
      </c>
      <c r="I98" s="393" t="b">
        <v>1</v>
      </c>
      <c r="J98" s="322">
        <v>1</v>
      </c>
      <c r="K98" s="323" t="s">
        <v>1973</v>
      </c>
      <c r="L98" s="371" t="e">
        <f t="shared" si="0"/>
        <v>#VALUE!</v>
      </c>
      <c r="M98" s="394"/>
    </row>
    <row r="99" spans="1:13" ht="13">
      <c r="A99" s="316" t="s">
        <v>635</v>
      </c>
      <c r="B99" s="316" t="s">
        <v>1973</v>
      </c>
      <c r="C99" s="316" t="s">
        <v>1973</v>
      </c>
      <c r="D99" s="316" t="s">
        <v>1973</v>
      </c>
      <c r="E99" s="317" t="s">
        <v>1973</v>
      </c>
      <c r="F99" s="372">
        <v>19</v>
      </c>
      <c r="G99" s="391" t="s">
        <v>50</v>
      </c>
      <c r="H99" s="392">
        <v>171000</v>
      </c>
      <c r="I99" s="393" t="b">
        <v>1</v>
      </c>
      <c r="J99" s="322">
        <v>19</v>
      </c>
      <c r="K99" s="323" t="s">
        <v>1973</v>
      </c>
      <c r="L99" s="371" t="e">
        <f t="shared" si="0"/>
        <v>#VALUE!</v>
      </c>
      <c r="M99" s="394"/>
    </row>
    <row r="100" spans="1:13" ht="13">
      <c r="A100" s="316" t="s">
        <v>643</v>
      </c>
      <c r="B100" s="316" t="s">
        <v>1973</v>
      </c>
      <c r="C100" s="316" t="s">
        <v>1973</v>
      </c>
      <c r="D100" s="316" t="s">
        <v>1973</v>
      </c>
      <c r="E100" s="317" t="s">
        <v>1973</v>
      </c>
      <c r="F100" s="372">
        <v>2</v>
      </c>
      <c r="G100" s="391" t="s">
        <v>36</v>
      </c>
      <c r="H100" s="392">
        <v>30000</v>
      </c>
      <c r="I100" s="319" t="b">
        <v>0</v>
      </c>
      <c r="J100" s="372"/>
      <c r="K100" s="373" t="s">
        <v>1973</v>
      </c>
      <c r="L100" s="374" t="e">
        <f t="shared" si="0"/>
        <v>#VALUE!</v>
      </c>
      <c r="M100" s="396"/>
    </row>
    <row r="101" spans="1:13" ht="13">
      <c r="A101" s="316" t="s">
        <v>1604</v>
      </c>
      <c r="B101" s="316" t="s">
        <v>1973</v>
      </c>
      <c r="C101" s="316" t="s">
        <v>1973</v>
      </c>
      <c r="D101" s="316" t="s">
        <v>1973</v>
      </c>
      <c r="E101" s="317" t="s">
        <v>1973</v>
      </c>
      <c r="F101" s="372">
        <v>1</v>
      </c>
      <c r="G101" s="391" t="s">
        <v>75</v>
      </c>
      <c r="H101" s="392">
        <v>48000</v>
      </c>
      <c r="I101" s="393" t="b">
        <v>1</v>
      </c>
      <c r="J101" s="322">
        <v>1</v>
      </c>
      <c r="K101" s="323" t="s">
        <v>1973</v>
      </c>
      <c r="L101" s="371" t="e">
        <f t="shared" si="0"/>
        <v>#VALUE!</v>
      </c>
      <c r="M101" s="394"/>
    </row>
    <row r="102" spans="1:13" ht="13">
      <c r="A102" s="316" t="s">
        <v>680</v>
      </c>
      <c r="B102" s="316" t="s">
        <v>1973</v>
      </c>
      <c r="C102" s="316" t="s">
        <v>1973</v>
      </c>
      <c r="D102" s="316" t="s">
        <v>1973</v>
      </c>
      <c r="E102" s="317" t="s">
        <v>1973</v>
      </c>
      <c r="F102" s="372">
        <v>8</v>
      </c>
      <c r="G102" s="391" t="s">
        <v>97</v>
      </c>
      <c r="H102" s="392">
        <v>224000</v>
      </c>
      <c r="I102" s="393" t="b">
        <v>1</v>
      </c>
      <c r="J102" s="322">
        <v>8</v>
      </c>
      <c r="K102" s="323" t="s">
        <v>1973</v>
      </c>
      <c r="L102" s="371" t="e">
        <f t="shared" si="0"/>
        <v>#VALUE!</v>
      </c>
      <c r="M102" s="394"/>
    </row>
    <row r="103" spans="1:13" ht="13">
      <c r="A103" s="316" t="s">
        <v>684</v>
      </c>
      <c r="B103" s="316" t="s">
        <v>1973</v>
      </c>
      <c r="C103" s="316" t="s">
        <v>1973</v>
      </c>
      <c r="D103" s="316" t="s">
        <v>1973</v>
      </c>
      <c r="E103" s="317" t="s">
        <v>1973</v>
      </c>
      <c r="F103" s="372">
        <v>3</v>
      </c>
      <c r="G103" s="391" t="s">
        <v>97</v>
      </c>
      <c r="H103" s="392">
        <v>84000</v>
      </c>
      <c r="I103" s="393" t="b">
        <v>1</v>
      </c>
      <c r="J103" s="322">
        <v>3</v>
      </c>
      <c r="K103" s="323" t="s">
        <v>1973</v>
      </c>
      <c r="L103" s="371" t="e">
        <f t="shared" si="0"/>
        <v>#VALUE!</v>
      </c>
      <c r="M103" s="394"/>
    </row>
    <row r="104" spans="1:13" ht="13">
      <c r="A104" s="316" t="s">
        <v>692</v>
      </c>
      <c r="B104" s="316" t="s">
        <v>1973</v>
      </c>
      <c r="C104" s="316" t="s">
        <v>1973</v>
      </c>
      <c r="D104" s="316" t="s">
        <v>1973</v>
      </c>
      <c r="E104" s="317" t="s">
        <v>1973</v>
      </c>
      <c r="F104" s="372">
        <v>1</v>
      </c>
      <c r="G104" s="391" t="s">
        <v>62</v>
      </c>
      <c r="H104" s="392">
        <v>52000</v>
      </c>
      <c r="I104" s="393" t="b">
        <v>1</v>
      </c>
      <c r="J104" s="322">
        <v>1</v>
      </c>
      <c r="K104" s="323" t="s">
        <v>1973</v>
      </c>
      <c r="L104" s="371" t="e">
        <f t="shared" si="0"/>
        <v>#VALUE!</v>
      </c>
      <c r="M104" s="394"/>
    </row>
    <row r="105" spans="1:13" ht="13">
      <c r="A105" s="316" t="s">
        <v>696</v>
      </c>
      <c r="B105" s="316" t="s">
        <v>1973</v>
      </c>
      <c r="C105" s="316" t="s">
        <v>1973</v>
      </c>
      <c r="D105" s="316" t="s">
        <v>1973</v>
      </c>
      <c r="E105" s="317" t="s">
        <v>1973</v>
      </c>
      <c r="F105" s="372">
        <v>10</v>
      </c>
      <c r="G105" s="391" t="s">
        <v>62</v>
      </c>
      <c r="H105" s="392">
        <v>100000</v>
      </c>
      <c r="I105" s="393" t="b">
        <v>1</v>
      </c>
      <c r="J105" s="322">
        <v>12</v>
      </c>
      <c r="K105" s="323" t="s">
        <v>1973</v>
      </c>
      <c r="L105" s="371" t="e">
        <f t="shared" si="0"/>
        <v>#VALUE!</v>
      </c>
      <c r="M105" s="394"/>
    </row>
    <row r="106" spans="1:13" ht="13">
      <c r="A106" s="316" t="s">
        <v>1754</v>
      </c>
      <c r="B106" s="316" t="s">
        <v>1973</v>
      </c>
      <c r="C106" s="316" t="s">
        <v>1973</v>
      </c>
      <c r="D106" s="316" t="s">
        <v>1973</v>
      </c>
      <c r="E106" s="317" t="s">
        <v>1973</v>
      </c>
      <c r="F106" s="372">
        <v>1</v>
      </c>
      <c r="G106" s="391" t="s">
        <v>62</v>
      </c>
      <c r="H106" s="392">
        <v>30000</v>
      </c>
      <c r="I106" s="393" t="b">
        <v>1</v>
      </c>
      <c r="J106" s="322">
        <v>1</v>
      </c>
      <c r="K106" s="323" t="s">
        <v>1973</v>
      </c>
      <c r="L106" s="371" t="e">
        <f t="shared" si="0"/>
        <v>#VALUE!</v>
      </c>
      <c r="M106" s="394"/>
    </row>
    <row r="107" spans="1:13" ht="13">
      <c r="A107" s="316" t="s">
        <v>735</v>
      </c>
      <c r="B107" s="316" t="s">
        <v>1973</v>
      </c>
      <c r="C107" s="316" t="s">
        <v>1973</v>
      </c>
      <c r="D107" s="316" t="s">
        <v>1973</v>
      </c>
      <c r="E107" s="317" t="s">
        <v>1973</v>
      </c>
      <c r="F107" s="372">
        <v>2</v>
      </c>
      <c r="G107" s="391" t="s">
        <v>97</v>
      </c>
      <c r="H107" s="392">
        <v>92000</v>
      </c>
      <c r="I107" s="393" t="b">
        <v>1</v>
      </c>
      <c r="J107" s="322">
        <v>2</v>
      </c>
      <c r="K107" s="323" t="s">
        <v>1973</v>
      </c>
      <c r="L107" s="371" t="e">
        <f t="shared" si="0"/>
        <v>#VALUE!</v>
      </c>
      <c r="M107" s="394"/>
    </row>
    <row r="108" spans="1:13" ht="13">
      <c r="A108" s="316" t="s">
        <v>748</v>
      </c>
      <c r="B108" s="316" t="s">
        <v>1973</v>
      </c>
      <c r="C108" s="316" t="s">
        <v>1973</v>
      </c>
      <c r="D108" s="316" t="s">
        <v>1973</v>
      </c>
      <c r="E108" s="317" t="s">
        <v>1973</v>
      </c>
      <c r="F108" s="372">
        <v>7</v>
      </c>
      <c r="G108" s="391" t="s">
        <v>62</v>
      </c>
      <c r="H108" s="392">
        <v>203000</v>
      </c>
      <c r="I108" s="393" t="b">
        <v>1</v>
      </c>
      <c r="J108" s="322">
        <v>7</v>
      </c>
      <c r="K108" s="323" t="s">
        <v>1973</v>
      </c>
      <c r="L108" s="371" t="e">
        <f t="shared" si="0"/>
        <v>#VALUE!</v>
      </c>
      <c r="M108" s="394"/>
    </row>
    <row r="109" spans="1:13" ht="13">
      <c r="A109" s="316" t="s">
        <v>756</v>
      </c>
      <c r="B109" s="316" t="s">
        <v>1973</v>
      </c>
      <c r="C109" s="316" t="s">
        <v>1973</v>
      </c>
      <c r="D109" s="316" t="s">
        <v>1973</v>
      </c>
      <c r="E109" s="317" t="s">
        <v>1973</v>
      </c>
      <c r="F109" s="372">
        <v>1</v>
      </c>
      <c r="G109" s="391" t="s">
        <v>62</v>
      </c>
      <c r="H109" s="392">
        <v>24000</v>
      </c>
      <c r="I109" s="393" t="b">
        <v>1</v>
      </c>
      <c r="J109" s="322">
        <v>1</v>
      </c>
      <c r="K109" s="323" t="s">
        <v>1973</v>
      </c>
      <c r="L109" s="371" t="e">
        <f t="shared" si="0"/>
        <v>#VALUE!</v>
      </c>
      <c r="M109" s="394"/>
    </row>
    <row r="110" spans="1:13" ht="13">
      <c r="A110" s="316" t="s">
        <v>803</v>
      </c>
      <c r="B110" s="316" t="s">
        <v>1973</v>
      </c>
      <c r="C110" s="316" t="s">
        <v>1973</v>
      </c>
      <c r="D110" s="316" t="s">
        <v>1973</v>
      </c>
      <c r="E110" s="317" t="s">
        <v>1973</v>
      </c>
      <c r="F110" s="372">
        <v>1</v>
      </c>
      <c r="G110" s="391" t="s">
        <v>97</v>
      </c>
      <c r="H110" s="392">
        <v>5000</v>
      </c>
      <c r="I110" s="393" t="b">
        <v>1</v>
      </c>
      <c r="J110" s="322">
        <v>1</v>
      </c>
      <c r="K110" s="323" t="s">
        <v>1973</v>
      </c>
      <c r="L110" s="371" t="e">
        <f t="shared" si="0"/>
        <v>#VALUE!</v>
      </c>
      <c r="M110" s="394"/>
    </row>
    <row r="111" spans="1:13" ht="13">
      <c r="A111" s="316" t="s">
        <v>807</v>
      </c>
      <c r="B111" s="316" t="s">
        <v>1973</v>
      </c>
      <c r="C111" s="316" t="s">
        <v>1973</v>
      </c>
      <c r="D111" s="316" t="s">
        <v>1973</v>
      </c>
      <c r="E111" s="317" t="s">
        <v>1973</v>
      </c>
      <c r="F111" s="372">
        <v>1</v>
      </c>
      <c r="G111" s="391" t="s">
        <v>97</v>
      </c>
      <c r="H111" s="392">
        <v>5000</v>
      </c>
      <c r="I111" s="393" t="b">
        <v>1</v>
      </c>
      <c r="J111" s="322">
        <v>1</v>
      </c>
      <c r="K111" s="323" t="s">
        <v>1973</v>
      </c>
      <c r="L111" s="371" t="e">
        <f t="shared" si="0"/>
        <v>#VALUE!</v>
      </c>
      <c r="M111" s="394"/>
    </row>
    <row r="112" spans="1:13" ht="13">
      <c r="A112" s="316" t="s">
        <v>843</v>
      </c>
      <c r="B112" s="316" t="s">
        <v>1973</v>
      </c>
      <c r="C112" s="316" t="s">
        <v>1973</v>
      </c>
      <c r="D112" s="316" t="s">
        <v>1973</v>
      </c>
      <c r="E112" s="317" t="s">
        <v>1973</v>
      </c>
      <c r="F112" s="372">
        <v>1</v>
      </c>
      <c r="G112" s="391" t="s">
        <v>62</v>
      </c>
      <c r="H112" s="392">
        <v>950</v>
      </c>
      <c r="I112" s="319" t="b">
        <v>0</v>
      </c>
      <c r="J112" s="372"/>
      <c r="K112" s="373" t="s">
        <v>1973</v>
      </c>
      <c r="L112" s="374" t="e">
        <f t="shared" si="0"/>
        <v>#VALUE!</v>
      </c>
      <c r="M112" s="396"/>
    </row>
    <row r="113" spans="1:13" ht="13">
      <c r="A113" s="316" t="s">
        <v>866</v>
      </c>
      <c r="B113" s="316" t="s">
        <v>1973</v>
      </c>
      <c r="C113" s="316" t="s">
        <v>1973</v>
      </c>
      <c r="D113" s="316" t="s">
        <v>1973</v>
      </c>
      <c r="E113" s="317" t="s">
        <v>1973</v>
      </c>
      <c r="F113" s="372">
        <v>3</v>
      </c>
      <c r="G113" s="391" t="s">
        <v>62</v>
      </c>
      <c r="H113" s="392">
        <v>105000</v>
      </c>
      <c r="I113" s="393" t="b">
        <v>1</v>
      </c>
      <c r="J113" s="322">
        <v>3</v>
      </c>
      <c r="K113" s="323" t="s">
        <v>1973</v>
      </c>
      <c r="L113" s="371" t="e">
        <f t="shared" si="0"/>
        <v>#VALUE!</v>
      </c>
      <c r="M113" s="394"/>
    </row>
    <row r="114" spans="1:13" ht="13">
      <c r="A114" s="316" t="s">
        <v>889</v>
      </c>
      <c r="B114" s="316" t="s">
        <v>1973</v>
      </c>
      <c r="C114" s="316" t="s">
        <v>1973</v>
      </c>
      <c r="D114" s="316" t="s">
        <v>1973</v>
      </c>
      <c r="E114" s="317" t="s">
        <v>1973</v>
      </c>
      <c r="F114" s="372">
        <v>1</v>
      </c>
      <c r="G114" s="391" t="s">
        <v>62</v>
      </c>
      <c r="H114" s="392">
        <v>20000</v>
      </c>
      <c r="I114" s="393" t="b">
        <v>1</v>
      </c>
      <c r="J114" s="322">
        <v>1</v>
      </c>
      <c r="K114" s="323" t="s">
        <v>1973</v>
      </c>
      <c r="L114" s="371" t="e">
        <f t="shared" si="0"/>
        <v>#VALUE!</v>
      </c>
      <c r="M114" s="394"/>
    </row>
    <row r="115" spans="1:13" ht="13">
      <c r="A115" s="316" t="s">
        <v>892</v>
      </c>
      <c r="B115" s="316" t="s">
        <v>1973</v>
      </c>
      <c r="C115" s="316" t="s">
        <v>1973</v>
      </c>
      <c r="D115" s="316" t="s">
        <v>1973</v>
      </c>
      <c r="E115" s="317" t="s">
        <v>1973</v>
      </c>
      <c r="F115" s="372">
        <v>3</v>
      </c>
      <c r="G115" s="391" t="s">
        <v>36</v>
      </c>
      <c r="H115" s="392">
        <v>360000</v>
      </c>
      <c r="I115" s="393" t="b">
        <v>1</v>
      </c>
      <c r="J115" s="322">
        <v>3</v>
      </c>
      <c r="K115" s="323" t="s">
        <v>1973</v>
      </c>
      <c r="L115" s="371" t="e">
        <f t="shared" si="0"/>
        <v>#VALUE!</v>
      </c>
      <c r="M115" s="394"/>
    </row>
    <row r="116" spans="1:13" ht="13">
      <c r="A116" s="316" t="s">
        <v>934</v>
      </c>
      <c r="B116" s="316" t="s">
        <v>1973</v>
      </c>
      <c r="C116" s="316" t="s">
        <v>1973</v>
      </c>
      <c r="D116" s="316" t="s">
        <v>1973</v>
      </c>
      <c r="E116" s="317" t="s">
        <v>1973</v>
      </c>
      <c r="F116" s="372">
        <v>6</v>
      </c>
      <c r="G116" s="391" t="s">
        <v>62</v>
      </c>
      <c r="H116" s="392">
        <v>48000</v>
      </c>
      <c r="I116" s="393" t="b">
        <v>1</v>
      </c>
      <c r="J116" s="322">
        <v>6</v>
      </c>
      <c r="K116" s="323" t="s">
        <v>1973</v>
      </c>
      <c r="L116" s="371" t="e">
        <f t="shared" si="0"/>
        <v>#VALUE!</v>
      </c>
      <c r="M116" s="394"/>
    </row>
    <row r="117" spans="1:13" ht="13">
      <c r="A117" s="316" t="s">
        <v>940</v>
      </c>
      <c r="B117" s="316" t="s">
        <v>1973</v>
      </c>
      <c r="C117" s="316" t="s">
        <v>1973</v>
      </c>
      <c r="D117" s="316" t="s">
        <v>1973</v>
      </c>
      <c r="E117" s="317" t="s">
        <v>1973</v>
      </c>
      <c r="F117" s="372">
        <v>1</v>
      </c>
      <c r="G117" s="391" t="s">
        <v>36</v>
      </c>
      <c r="H117" s="392">
        <v>100000</v>
      </c>
      <c r="I117" s="393" t="b">
        <v>1</v>
      </c>
      <c r="J117" s="322">
        <v>0.5</v>
      </c>
      <c r="K117" s="323" t="s">
        <v>1973</v>
      </c>
      <c r="L117" s="371" t="e">
        <f t="shared" si="0"/>
        <v>#VALUE!</v>
      </c>
      <c r="M117" s="394"/>
    </row>
    <row r="118" spans="1:13" ht="13">
      <c r="A118" s="316" t="s">
        <v>943</v>
      </c>
      <c r="B118" s="316" t="s">
        <v>1973</v>
      </c>
      <c r="C118" s="316" t="s">
        <v>1973</v>
      </c>
      <c r="D118" s="316" t="s">
        <v>1973</v>
      </c>
      <c r="E118" s="317" t="s">
        <v>1973</v>
      </c>
      <c r="F118" s="372">
        <v>2</v>
      </c>
      <c r="G118" s="391" t="s">
        <v>62</v>
      </c>
      <c r="H118" s="392">
        <v>17000</v>
      </c>
      <c r="I118" s="393" t="b">
        <v>1</v>
      </c>
      <c r="J118" s="322">
        <v>2</v>
      </c>
      <c r="K118" s="323" t="s">
        <v>1973</v>
      </c>
      <c r="L118" s="371" t="e">
        <f t="shared" si="0"/>
        <v>#VALUE!</v>
      </c>
      <c r="M118" s="394"/>
    </row>
    <row r="119" spans="1:13" ht="13">
      <c r="A119" s="316" t="s">
        <v>976</v>
      </c>
      <c r="B119" s="316" t="s">
        <v>1973</v>
      </c>
      <c r="C119" s="316" t="s">
        <v>1973</v>
      </c>
      <c r="D119" s="316" t="s">
        <v>1973</v>
      </c>
      <c r="E119" s="317" t="s">
        <v>1973</v>
      </c>
      <c r="F119" s="372">
        <v>1</v>
      </c>
      <c r="G119" s="391" t="s">
        <v>62</v>
      </c>
      <c r="H119" s="392">
        <v>35000</v>
      </c>
      <c r="I119" s="393" t="b">
        <v>1</v>
      </c>
      <c r="J119" s="322">
        <v>1</v>
      </c>
      <c r="K119" s="323" t="s">
        <v>1973</v>
      </c>
      <c r="L119" s="371" t="e">
        <f t="shared" si="0"/>
        <v>#VALUE!</v>
      </c>
      <c r="M119" s="394"/>
    </row>
    <row r="120" spans="1:13" ht="13">
      <c r="A120" s="316" t="s">
        <v>979</v>
      </c>
      <c r="B120" s="316" t="s">
        <v>1973</v>
      </c>
      <c r="C120" s="316" t="s">
        <v>1973</v>
      </c>
      <c r="D120" s="316" t="s">
        <v>1973</v>
      </c>
      <c r="E120" s="317" t="s">
        <v>1973</v>
      </c>
      <c r="F120" s="372">
        <v>1</v>
      </c>
      <c r="G120" s="391" t="s">
        <v>62</v>
      </c>
      <c r="H120" s="392">
        <v>45000</v>
      </c>
      <c r="I120" s="319" t="b">
        <v>0</v>
      </c>
      <c r="J120" s="372"/>
      <c r="K120" s="373" t="s">
        <v>1973</v>
      </c>
      <c r="L120" s="374" t="e">
        <f t="shared" si="0"/>
        <v>#VALUE!</v>
      </c>
      <c r="M120" s="396" t="s">
        <v>1748</v>
      </c>
    </row>
    <row r="121" spans="1:13" ht="13">
      <c r="A121" s="316" t="s">
        <v>1548</v>
      </c>
      <c r="B121" s="316" t="s">
        <v>1973</v>
      </c>
      <c r="C121" s="316" t="s">
        <v>1973</v>
      </c>
      <c r="D121" s="316" t="s">
        <v>1973</v>
      </c>
      <c r="E121" s="317" t="s">
        <v>1973</v>
      </c>
      <c r="F121" s="372">
        <v>6</v>
      </c>
      <c r="G121" s="391" t="s">
        <v>62</v>
      </c>
      <c r="H121" s="392">
        <v>72000</v>
      </c>
      <c r="I121" s="393" t="b">
        <v>1</v>
      </c>
      <c r="J121" s="322">
        <v>6</v>
      </c>
      <c r="K121" s="323" t="s">
        <v>1973</v>
      </c>
      <c r="L121" s="371" t="e">
        <f t="shared" si="0"/>
        <v>#VALUE!</v>
      </c>
      <c r="M121" s="394"/>
    </row>
    <row r="122" spans="1:13" ht="13">
      <c r="A122" s="316" t="s">
        <v>1615</v>
      </c>
      <c r="B122" s="316" t="s">
        <v>1973</v>
      </c>
      <c r="C122" s="316" t="s">
        <v>1973</v>
      </c>
      <c r="D122" s="316" t="s">
        <v>1973</v>
      </c>
      <c r="E122" s="317" t="s">
        <v>1973</v>
      </c>
      <c r="F122" s="372">
        <v>4</v>
      </c>
      <c r="G122" s="391" t="s">
        <v>62</v>
      </c>
      <c r="H122" s="392">
        <v>32000</v>
      </c>
      <c r="I122" s="393" t="b">
        <v>1</v>
      </c>
      <c r="J122" s="322">
        <v>4</v>
      </c>
      <c r="K122" s="323" t="s">
        <v>1973</v>
      </c>
      <c r="L122" s="371" t="e">
        <f t="shared" si="0"/>
        <v>#VALUE!</v>
      </c>
      <c r="M122" s="394"/>
    </row>
    <row r="123" spans="1:13" ht="13">
      <c r="A123" s="316" t="s">
        <v>1017</v>
      </c>
      <c r="B123" s="316" t="s">
        <v>1973</v>
      </c>
      <c r="C123" s="316" t="s">
        <v>1973</v>
      </c>
      <c r="D123" s="316" t="s">
        <v>1973</v>
      </c>
      <c r="E123" s="317" t="s">
        <v>1973</v>
      </c>
      <c r="F123" s="372">
        <v>8</v>
      </c>
      <c r="G123" s="391" t="s">
        <v>62</v>
      </c>
      <c r="H123" s="392">
        <v>20000</v>
      </c>
      <c r="I123" s="393" t="b">
        <v>1</v>
      </c>
      <c r="J123" s="322">
        <v>8</v>
      </c>
      <c r="K123" s="323" t="s">
        <v>1973</v>
      </c>
      <c r="L123" s="371" t="e">
        <f t="shared" si="0"/>
        <v>#VALUE!</v>
      </c>
      <c r="M123" s="394"/>
    </row>
    <row r="124" spans="1:13" ht="13">
      <c r="A124" s="316" t="s">
        <v>1696</v>
      </c>
      <c r="B124" s="316" t="s">
        <v>1973</v>
      </c>
      <c r="C124" s="316" t="s">
        <v>1973</v>
      </c>
      <c r="D124" s="316" t="s">
        <v>1973</v>
      </c>
      <c r="E124" s="317" t="s">
        <v>1973</v>
      </c>
      <c r="F124" s="372">
        <v>2</v>
      </c>
      <c r="G124" s="391" t="s">
        <v>62</v>
      </c>
      <c r="H124" s="392">
        <v>24000</v>
      </c>
      <c r="I124" s="393" t="b">
        <v>1</v>
      </c>
      <c r="J124" s="322">
        <v>2</v>
      </c>
      <c r="K124" s="323" t="s">
        <v>1973</v>
      </c>
      <c r="L124" s="371" t="e">
        <f t="shared" si="0"/>
        <v>#VALUE!</v>
      </c>
      <c r="M124" s="394"/>
    </row>
    <row r="125" spans="1:13" ht="13">
      <c r="A125" s="316" t="s">
        <v>1697</v>
      </c>
      <c r="B125" s="316" t="s">
        <v>1973</v>
      </c>
      <c r="C125" s="316" t="s">
        <v>1973</v>
      </c>
      <c r="D125" s="316" t="s">
        <v>1973</v>
      </c>
      <c r="E125" s="317" t="s">
        <v>1973</v>
      </c>
      <c r="F125" s="372">
        <v>1</v>
      </c>
      <c r="G125" s="391" t="s">
        <v>62</v>
      </c>
      <c r="H125" s="392">
        <v>12000</v>
      </c>
      <c r="I125" s="393" t="b">
        <v>1</v>
      </c>
      <c r="J125" s="322">
        <v>1</v>
      </c>
      <c r="K125" s="323" t="s">
        <v>1973</v>
      </c>
      <c r="L125" s="371" t="e">
        <f t="shared" si="0"/>
        <v>#VALUE!</v>
      </c>
      <c r="M125" s="394"/>
    </row>
    <row r="126" spans="1:13" ht="13">
      <c r="A126" s="316" t="s">
        <v>1030</v>
      </c>
      <c r="B126" s="316" t="s">
        <v>1973</v>
      </c>
      <c r="C126" s="316" t="s">
        <v>1973</v>
      </c>
      <c r="D126" s="316" t="s">
        <v>1973</v>
      </c>
      <c r="E126" s="317" t="s">
        <v>1973</v>
      </c>
      <c r="F126" s="372">
        <v>3</v>
      </c>
      <c r="G126" s="391" t="s">
        <v>62</v>
      </c>
      <c r="H126" s="392">
        <v>24000</v>
      </c>
      <c r="I126" s="395" t="b">
        <v>1</v>
      </c>
      <c r="J126" s="322">
        <v>2</v>
      </c>
      <c r="K126" s="323">
        <v>7500</v>
      </c>
      <c r="L126" s="379">
        <f t="shared" si="0"/>
        <v>15000</v>
      </c>
      <c r="M126" s="394" t="s">
        <v>1745</v>
      </c>
    </row>
    <row r="127" spans="1:13" ht="13">
      <c r="A127" s="316" t="s">
        <v>1033</v>
      </c>
      <c r="B127" s="316" t="s">
        <v>1973</v>
      </c>
      <c r="C127" s="316" t="s">
        <v>1973</v>
      </c>
      <c r="D127" s="316" t="s">
        <v>1973</v>
      </c>
      <c r="E127" s="317" t="s">
        <v>1973</v>
      </c>
      <c r="F127" s="372">
        <v>3</v>
      </c>
      <c r="G127" s="391" t="s">
        <v>62</v>
      </c>
      <c r="H127" s="392">
        <v>24000</v>
      </c>
      <c r="I127" s="395" t="b">
        <v>1</v>
      </c>
      <c r="J127" s="322">
        <v>2</v>
      </c>
      <c r="K127" s="323">
        <v>7500</v>
      </c>
      <c r="L127" s="379">
        <f t="shared" si="0"/>
        <v>15000</v>
      </c>
      <c r="M127" s="394" t="s">
        <v>1745</v>
      </c>
    </row>
    <row r="128" spans="1:13" ht="13">
      <c r="A128" s="353" t="s">
        <v>1604</v>
      </c>
      <c r="B128" s="353" t="s">
        <v>1973</v>
      </c>
      <c r="C128" s="353" t="s">
        <v>1973</v>
      </c>
      <c r="D128" s="353" t="s">
        <v>1973</v>
      </c>
      <c r="E128" s="398" t="s">
        <v>1973</v>
      </c>
      <c r="F128" s="399">
        <v>1</v>
      </c>
      <c r="G128" s="369" t="s">
        <v>62</v>
      </c>
      <c r="H128" s="400">
        <v>26500</v>
      </c>
      <c r="I128" s="401" t="b">
        <v>0</v>
      </c>
      <c r="J128" s="399">
        <v>0</v>
      </c>
      <c r="K128" s="353" t="s">
        <v>1973</v>
      </c>
      <c r="L128" s="379" t="e">
        <f t="shared" si="0"/>
        <v>#VALUE!</v>
      </c>
      <c r="M128" s="396" t="s">
        <v>1755</v>
      </c>
    </row>
    <row r="129" spans="1:13" ht="13">
      <c r="A129" s="316" t="s">
        <v>1037</v>
      </c>
      <c r="B129" s="316" t="s">
        <v>1973</v>
      </c>
      <c r="C129" s="316" t="s">
        <v>1973</v>
      </c>
      <c r="D129" s="316" t="s">
        <v>1973</v>
      </c>
      <c r="E129" s="317" t="s">
        <v>1973</v>
      </c>
      <c r="F129" s="372">
        <v>3</v>
      </c>
      <c r="G129" s="391" t="s">
        <v>62</v>
      </c>
      <c r="H129" s="392">
        <v>60300</v>
      </c>
      <c r="I129" s="393" t="b">
        <v>1</v>
      </c>
      <c r="J129" s="322">
        <v>1</v>
      </c>
      <c r="K129" s="323" t="s">
        <v>1973</v>
      </c>
      <c r="L129" s="371" t="e">
        <f t="shared" si="0"/>
        <v>#VALUE!</v>
      </c>
      <c r="M129" s="394"/>
    </row>
    <row r="130" spans="1:13" ht="13">
      <c r="A130" s="316" t="s">
        <v>1046</v>
      </c>
      <c r="B130" s="316" t="s">
        <v>1973</v>
      </c>
      <c r="C130" s="316" t="s">
        <v>1973</v>
      </c>
      <c r="D130" s="316" t="s">
        <v>1973</v>
      </c>
      <c r="E130" s="317" t="s">
        <v>1973</v>
      </c>
      <c r="F130" s="372">
        <v>3</v>
      </c>
      <c r="G130" s="391" t="s">
        <v>62</v>
      </c>
      <c r="H130" s="392">
        <v>48000</v>
      </c>
      <c r="I130" s="393" t="b">
        <v>1</v>
      </c>
      <c r="J130" s="322">
        <v>3</v>
      </c>
      <c r="K130" s="323" t="s">
        <v>1973</v>
      </c>
      <c r="L130" s="371" t="e">
        <f t="shared" si="0"/>
        <v>#VALUE!</v>
      </c>
      <c r="M130" s="394"/>
    </row>
    <row r="131" spans="1:13" ht="13">
      <c r="A131" s="316" t="s">
        <v>127</v>
      </c>
      <c r="B131" s="316" t="s">
        <v>1756</v>
      </c>
      <c r="C131" s="316" t="s">
        <v>127</v>
      </c>
      <c r="D131" s="316" t="s">
        <v>127</v>
      </c>
      <c r="E131" s="317" t="s">
        <v>1756</v>
      </c>
      <c r="F131" s="404" t="s">
        <v>127</v>
      </c>
      <c r="G131" s="316" t="s">
        <v>127</v>
      </c>
      <c r="H131" s="405" t="s">
        <v>127</v>
      </c>
      <c r="I131" s="406" t="s">
        <v>127</v>
      </c>
      <c r="J131" s="404" t="s">
        <v>127</v>
      </c>
      <c r="K131" s="316" t="s">
        <v>127</v>
      </c>
      <c r="L131" s="405" t="s">
        <v>127</v>
      </c>
      <c r="M131" s="396" t="s">
        <v>127</v>
      </c>
    </row>
    <row r="133" spans="1:13" ht="13">
      <c r="A133" s="132" t="s">
        <v>1757</v>
      </c>
      <c r="F133" s="429">
        <v>44534</v>
      </c>
      <c r="G133" s="428"/>
      <c r="H133" s="424"/>
      <c r="J133" s="429">
        <v>44534</v>
      </c>
      <c r="K133" s="428"/>
      <c r="L133" s="424"/>
    </row>
    <row r="134" spans="1:13" ht="13">
      <c r="F134" s="425" t="s">
        <v>1490</v>
      </c>
      <c r="G134" s="426"/>
      <c r="H134" s="304">
        <f>SUM(H137:H163)</f>
        <v>1159100</v>
      </c>
      <c r="J134" s="425" t="s">
        <v>1491</v>
      </c>
      <c r="K134" s="426"/>
      <c r="L134" s="304" t="e">
        <f>SUM(L137:L163)</f>
        <v>#VALUE!</v>
      </c>
    </row>
    <row r="135" spans="1:13" ht="13">
      <c r="A135" s="2" t="s">
        <v>4</v>
      </c>
      <c r="B135" s="305" t="s">
        <v>5</v>
      </c>
      <c r="C135" s="305" t="s">
        <v>11</v>
      </c>
      <c r="D135" s="305" t="s">
        <v>12</v>
      </c>
      <c r="E135" s="306" t="s">
        <v>6</v>
      </c>
      <c r="F135" s="307" t="s">
        <v>1494</v>
      </c>
      <c r="G135" s="308" t="s">
        <v>10</v>
      </c>
      <c r="H135" s="309" t="s">
        <v>1495</v>
      </c>
      <c r="I135" s="310" t="s">
        <v>1289</v>
      </c>
      <c r="J135" s="311" t="s">
        <v>1496</v>
      </c>
      <c r="K135" s="312" t="s">
        <v>1497</v>
      </c>
      <c r="L135" s="313" t="s">
        <v>1498</v>
      </c>
      <c r="M135" s="314" t="s">
        <v>16</v>
      </c>
    </row>
    <row r="136" spans="1:13" ht="13">
      <c r="A136" s="386" t="s">
        <v>127</v>
      </c>
      <c r="B136" s="386" t="s">
        <v>127</v>
      </c>
      <c r="C136" s="386"/>
      <c r="D136" s="386"/>
      <c r="E136" s="329" t="s">
        <v>127</v>
      </c>
      <c r="F136" s="387" t="s">
        <v>127</v>
      </c>
      <c r="G136" s="386" t="s">
        <v>127</v>
      </c>
      <c r="H136" s="388" t="s">
        <v>127</v>
      </c>
      <c r="I136" s="389"/>
      <c r="J136" s="387"/>
      <c r="K136" s="386"/>
      <c r="L136" s="388"/>
      <c r="M136" s="390"/>
    </row>
    <row r="137" spans="1:13" ht="13">
      <c r="A137" s="316" t="s">
        <v>1598</v>
      </c>
      <c r="B137" s="316" t="s">
        <v>1973</v>
      </c>
      <c r="C137" s="316" t="s">
        <v>1973</v>
      </c>
      <c r="D137" s="316" t="s">
        <v>1973</v>
      </c>
      <c r="E137" s="317" t="s">
        <v>1973</v>
      </c>
      <c r="F137" s="372">
        <v>2</v>
      </c>
      <c r="G137" s="391" t="s">
        <v>97</v>
      </c>
      <c r="H137" s="392">
        <v>20800</v>
      </c>
      <c r="I137" s="319" t="b">
        <v>0</v>
      </c>
      <c r="J137" s="372">
        <v>0</v>
      </c>
      <c r="K137" s="373" t="s">
        <v>1973</v>
      </c>
      <c r="L137" s="374" t="e">
        <f t="shared" ref="L137:L163" si="1">J137*K137</f>
        <v>#VALUE!</v>
      </c>
      <c r="M137" s="396" t="s">
        <v>1758</v>
      </c>
    </row>
    <row r="138" spans="1:13" ht="13">
      <c r="A138" s="316" t="s">
        <v>782</v>
      </c>
      <c r="B138" s="316" t="s">
        <v>1973</v>
      </c>
      <c r="C138" s="316" t="s">
        <v>1973</v>
      </c>
      <c r="D138" s="316" t="s">
        <v>1973</v>
      </c>
      <c r="E138" s="317" t="s">
        <v>1973</v>
      </c>
      <c r="F138" s="372">
        <v>1</v>
      </c>
      <c r="G138" s="391" t="s">
        <v>62</v>
      </c>
      <c r="H138" s="392">
        <v>11000</v>
      </c>
      <c r="I138" s="393" t="b">
        <v>1</v>
      </c>
      <c r="J138" s="322">
        <v>1</v>
      </c>
      <c r="K138" s="323" t="s">
        <v>1973</v>
      </c>
      <c r="L138" s="371" t="e">
        <f t="shared" si="1"/>
        <v>#VALUE!</v>
      </c>
      <c r="M138" s="394"/>
    </row>
    <row r="139" spans="1:13" ht="13">
      <c r="A139" s="316" t="s">
        <v>1670</v>
      </c>
      <c r="B139" s="316" t="s">
        <v>1973</v>
      </c>
      <c r="C139" s="316" t="s">
        <v>1973</v>
      </c>
      <c r="D139" s="316" t="s">
        <v>1973</v>
      </c>
      <c r="E139" s="317" t="s">
        <v>1973</v>
      </c>
      <c r="F139" s="372">
        <v>1</v>
      </c>
      <c r="G139" s="391" t="s">
        <v>62</v>
      </c>
      <c r="H139" s="392">
        <v>10350</v>
      </c>
      <c r="I139" s="395" t="b">
        <v>1</v>
      </c>
      <c r="J139" s="322">
        <v>1</v>
      </c>
      <c r="K139" s="323">
        <v>7800</v>
      </c>
      <c r="L139" s="379">
        <f t="shared" si="1"/>
        <v>7800</v>
      </c>
      <c r="M139" s="394" t="s">
        <v>1745</v>
      </c>
    </row>
    <row r="140" spans="1:13" ht="13">
      <c r="A140" s="316" t="s">
        <v>1607</v>
      </c>
      <c r="B140" s="316" t="s">
        <v>1973</v>
      </c>
      <c r="C140" s="316" t="s">
        <v>1973</v>
      </c>
      <c r="D140" s="316" t="s">
        <v>1973</v>
      </c>
      <c r="E140" s="317" t="s">
        <v>1973</v>
      </c>
      <c r="F140" s="372">
        <v>1</v>
      </c>
      <c r="G140" s="391" t="s">
        <v>62</v>
      </c>
      <c r="H140" s="392">
        <v>10050</v>
      </c>
      <c r="I140" s="395" t="b">
        <v>1</v>
      </c>
      <c r="J140" s="322">
        <v>1</v>
      </c>
      <c r="K140" s="323">
        <v>8000</v>
      </c>
      <c r="L140" s="379">
        <f t="shared" si="1"/>
        <v>8000</v>
      </c>
      <c r="M140" s="394" t="s">
        <v>1745</v>
      </c>
    </row>
    <row r="141" spans="1:13" ht="13">
      <c r="A141" s="316" t="s">
        <v>919</v>
      </c>
      <c r="B141" s="316" t="s">
        <v>1973</v>
      </c>
      <c r="C141" s="316" t="s">
        <v>1973</v>
      </c>
      <c r="D141" s="316" t="s">
        <v>1973</v>
      </c>
      <c r="E141" s="317" t="s">
        <v>1973</v>
      </c>
      <c r="F141" s="372">
        <v>4</v>
      </c>
      <c r="G141" s="391" t="s">
        <v>62</v>
      </c>
      <c r="H141" s="392">
        <v>35200</v>
      </c>
      <c r="I141" s="393" t="b">
        <v>1</v>
      </c>
      <c r="J141" s="322">
        <v>2</v>
      </c>
      <c r="K141" s="323" t="s">
        <v>1973</v>
      </c>
      <c r="L141" s="371" t="e">
        <f t="shared" si="1"/>
        <v>#VALUE!</v>
      </c>
      <c r="M141" s="394"/>
    </row>
    <row r="142" spans="1:13" ht="13">
      <c r="A142" s="18" t="s">
        <v>1609</v>
      </c>
      <c r="B142" s="316" t="s">
        <v>1973</v>
      </c>
      <c r="C142" s="316" t="s">
        <v>1973</v>
      </c>
      <c r="D142" s="316" t="s">
        <v>1973</v>
      </c>
      <c r="E142" s="317" t="s">
        <v>1973</v>
      </c>
      <c r="F142" s="372">
        <v>4</v>
      </c>
      <c r="G142" s="391" t="s">
        <v>36</v>
      </c>
      <c r="H142" s="392">
        <v>160000</v>
      </c>
      <c r="I142" s="393" t="b">
        <v>1</v>
      </c>
      <c r="J142" s="322">
        <v>4</v>
      </c>
      <c r="K142" s="323" t="s">
        <v>1973</v>
      </c>
      <c r="L142" s="371" t="e">
        <f t="shared" si="1"/>
        <v>#VALUE!</v>
      </c>
      <c r="M142" s="394"/>
    </row>
    <row r="143" spans="1:13" ht="13">
      <c r="A143" s="18" t="s">
        <v>1094</v>
      </c>
      <c r="B143" s="316" t="s">
        <v>1973</v>
      </c>
      <c r="C143" s="316" t="s">
        <v>1973</v>
      </c>
      <c r="D143" s="316" t="s">
        <v>1973</v>
      </c>
      <c r="E143" s="317" t="s">
        <v>1973</v>
      </c>
      <c r="F143" s="372">
        <v>2</v>
      </c>
      <c r="G143" s="391" t="s">
        <v>62</v>
      </c>
      <c r="H143" s="392">
        <v>46000</v>
      </c>
      <c r="I143" s="393" t="b">
        <v>1</v>
      </c>
      <c r="J143" s="322">
        <v>1</v>
      </c>
      <c r="K143" s="323" t="s">
        <v>1973</v>
      </c>
      <c r="L143" s="371" t="e">
        <f t="shared" si="1"/>
        <v>#VALUE!</v>
      </c>
      <c r="M143" s="394"/>
    </row>
    <row r="144" spans="1:13" ht="13">
      <c r="A144" s="316" t="s">
        <v>631</v>
      </c>
      <c r="B144" s="316" t="s">
        <v>1973</v>
      </c>
      <c r="C144" s="316" t="s">
        <v>1973</v>
      </c>
      <c r="D144" s="316" t="s">
        <v>1973</v>
      </c>
      <c r="E144" s="317" t="s">
        <v>1973</v>
      </c>
      <c r="F144" s="372">
        <v>1</v>
      </c>
      <c r="G144" s="391" t="s">
        <v>36</v>
      </c>
      <c r="H144" s="392">
        <v>15000</v>
      </c>
      <c r="I144" s="395" t="b">
        <v>1</v>
      </c>
      <c r="J144" s="322">
        <v>0.5</v>
      </c>
      <c r="K144" s="323">
        <v>14000</v>
      </c>
      <c r="L144" s="379">
        <f t="shared" si="1"/>
        <v>7000</v>
      </c>
      <c r="M144" s="394" t="s">
        <v>1745</v>
      </c>
    </row>
    <row r="145" spans="1:13" ht="13">
      <c r="A145" s="316" t="s">
        <v>639</v>
      </c>
      <c r="B145" s="316" t="s">
        <v>1973</v>
      </c>
      <c r="C145" s="316" t="s">
        <v>1973</v>
      </c>
      <c r="D145" s="316" t="s">
        <v>1973</v>
      </c>
      <c r="E145" s="317" t="s">
        <v>1973</v>
      </c>
      <c r="F145" s="372">
        <v>1</v>
      </c>
      <c r="G145" s="391" t="s">
        <v>36</v>
      </c>
      <c r="H145" s="392">
        <v>125000</v>
      </c>
      <c r="I145" s="393" t="b">
        <v>1</v>
      </c>
      <c r="J145" s="322">
        <v>1.3</v>
      </c>
      <c r="K145" s="323" t="s">
        <v>1973</v>
      </c>
      <c r="L145" s="371" t="e">
        <f t="shared" si="1"/>
        <v>#VALUE!</v>
      </c>
      <c r="M145" s="394"/>
    </row>
    <row r="146" spans="1:13" ht="13">
      <c r="A146" s="316" t="s">
        <v>1610</v>
      </c>
      <c r="B146" s="316" t="s">
        <v>1973</v>
      </c>
      <c r="C146" s="316" t="s">
        <v>1973</v>
      </c>
      <c r="D146" s="316" t="s">
        <v>1973</v>
      </c>
      <c r="E146" s="317" t="s">
        <v>1973</v>
      </c>
      <c r="F146" s="372">
        <v>2</v>
      </c>
      <c r="G146" s="391" t="s">
        <v>36</v>
      </c>
      <c r="H146" s="392">
        <v>16000</v>
      </c>
      <c r="I146" s="393" t="b">
        <v>1</v>
      </c>
      <c r="J146" s="322">
        <v>2</v>
      </c>
      <c r="K146" s="323" t="s">
        <v>1973</v>
      </c>
      <c r="L146" s="371" t="e">
        <f t="shared" si="1"/>
        <v>#VALUE!</v>
      </c>
      <c r="M146" s="394"/>
    </row>
    <row r="147" spans="1:13" ht="13">
      <c r="A147" s="316" t="s">
        <v>1611</v>
      </c>
      <c r="B147" s="316" t="s">
        <v>1973</v>
      </c>
      <c r="C147" s="316" t="s">
        <v>1973</v>
      </c>
      <c r="D147" s="316" t="s">
        <v>1973</v>
      </c>
      <c r="E147" s="317" t="s">
        <v>1973</v>
      </c>
      <c r="F147" s="372">
        <v>3</v>
      </c>
      <c r="G147" s="391" t="s">
        <v>36</v>
      </c>
      <c r="H147" s="392">
        <v>120000</v>
      </c>
      <c r="I147" s="395" t="b">
        <v>1</v>
      </c>
      <c r="J147" s="322">
        <v>3.5</v>
      </c>
      <c r="K147" s="323">
        <v>44000</v>
      </c>
      <c r="L147" s="379">
        <f t="shared" si="1"/>
        <v>154000</v>
      </c>
      <c r="M147" s="394" t="s">
        <v>1745</v>
      </c>
    </row>
    <row r="148" spans="1:13" ht="13">
      <c r="A148" s="316" t="s">
        <v>1699</v>
      </c>
      <c r="B148" s="316" t="s">
        <v>1973</v>
      </c>
      <c r="C148" s="316" t="s">
        <v>1973</v>
      </c>
      <c r="D148" s="316" t="s">
        <v>1973</v>
      </c>
      <c r="E148" s="317" t="s">
        <v>1973</v>
      </c>
      <c r="F148" s="372">
        <v>0.5</v>
      </c>
      <c r="G148" s="391" t="s">
        <v>36</v>
      </c>
      <c r="H148" s="392">
        <v>34000</v>
      </c>
      <c r="I148" s="393" t="b">
        <v>1</v>
      </c>
      <c r="J148" s="322">
        <v>0.5</v>
      </c>
      <c r="K148" s="323" t="e">
        <f>VLOOKUP($A148,'[1]Database Bahan &amp; Alat (Terupdat'!$B$50:$N$232,6,FALSE)</f>
        <v>#N/A</v>
      </c>
      <c r="L148" s="371" t="e">
        <f t="shared" si="1"/>
        <v>#N/A</v>
      </c>
      <c r="M148" s="394"/>
    </row>
    <row r="149" spans="1:13" ht="13">
      <c r="A149" s="316" t="s">
        <v>1707</v>
      </c>
      <c r="B149" s="316" t="s">
        <v>1973</v>
      </c>
      <c r="C149" s="316" t="s">
        <v>1973</v>
      </c>
      <c r="D149" s="316" t="s">
        <v>1973</v>
      </c>
      <c r="E149" s="317" t="s">
        <v>1973</v>
      </c>
      <c r="F149" s="372">
        <v>0.25</v>
      </c>
      <c r="G149" s="391" t="s">
        <v>36</v>
      </c>
      <c r="H149" s="392">
        <v>6500</v>
      </c>
      <c r="I149" s="395" t="b">
        <v>1</v>
      </c>
      <c r="J149" s="322">
        <v>0.25</v>
      </c>
      <c r="K149" s="323">
        <v>68000</v>
      </c>
      <c r="L149" s="379">
        <f t="shared" si="1"/>
        <v>17000</v>
      </c>
      <c r="M149" s="394" t="s">
        <v>1745</v>
      </c>
    </row>
    <row r="150" spans="1:13" ht="13">
      <c r="A150" s="316" t="s">
        <v>675</v>
      </c>
      <c r="B150" s="316" t="s">
        <v>1973</v>
      </c>
      <c r="C150" s="316" t="s">
        <v>1973</v>
      </c>
      <c r="D150" s="316" t="s">
        <v>1973</v>
      </c>
      <c r="E150" s="317" t="s">
        <v>1973</v>
      </c>
      <c r="F150" s="372">
        <v>15</v>
      </c>
      <c r="G150" s="391" t="s">
        <v>62</v>
      </c>
      <c r="H150" s="392">
        <v>52500</v>
      </c>
      <c r="I150" s="393" t="b">
        <v>1</v>
      </c>
      <c r="J150" s="322">
        <v>6</v>
      </c>
      <c r="K150" s="323" t="s">
        <v>1973</v>
      </c>
      <c r="L150" s="371" t="e">
        <f t="shared" si="1"/>
        <v>#VALUE!</v>
      </c>
      <c r="M150" s="394"/>
    </row>
    <row r="151" spans="1:13" ht="13">
      <c r="A151" s="316" t="s">
        <v>712</v>
      </c>
      <c r="B151" s="316" t="s">
        <v>1973</v>
      </c>
      <c r="C151" s="316" t="s">
        <v>1973</v>
      </c>
      <c r="D151" s="316" t="s">
        <v>1973</v>
      </c>
      <c r="E151" s="317" t="s">
        <v>1973</v>
      </c>
      <c r="F151" s="372">
        <v>2</v>
      </c>
      <c r="G151" s="391" t="s">
        <v>36</v>
      </c>
      <c r="H151" s="392">
        <v>48000</v>
      </c>
      <c r="I151" s="393" t="b">
        <v>1</v>
      </c>
      <c r="J151" s="322">
        <v>2</v>
      </c>
      <c r="K151" s="323" t="s">
        <v>1973</v>
      </c>
      <c r="L151" s="371" t="e">
        <f t="shared" si="1"/>
        <v>#VALUE!</v>
      </c>
      <c r="M151" s="394"/>
    </row>
    <row r="152" spans="1:13" ht="13">
      <c r="A152" s="316" t="s">
        <v>724</v>
      </c>
      <c r="B152" s="316" t="s">
        <v>1973</v>
      </c>
      <c r="C152" s="316" t="s">
        <v>1973</v>
      </c>
      <c r="D152" s="316" t="s">
        <v>1973</v>
      </c>
      <c r="E152" s="317" t="s">
        <v>1973</v>
      </c>
      <c r="F152" s="372">
        <v>0.5</v>
      </c>
      <c r="G152" s="391" t="s">
        <v>36</v>
      </c>
      <c r="H152" s="392">
        <v>9000</v>
      </c>
      <c r="I152" s="395" t="b">
        <v>1</v>
      </c>
      <c r="J152" s="322">
        <v>0.5</v>
      </c>
      <c r="K152" s="323">
        <v>18000</v>
      </c>
      <c r="L152" s="379">
        <f t="shared" si="1"/>
        <v>9000</v>
      </c>
      <c r="M152" s="394" t="s">
        <v>1745</v>
      </c>
    </row>
    <row r="153" spans="1:13" ht="13">
      <c r="A153" s="316" t="s">
        <v>732</v>
      </c>
      <c r="B153" s="316" t="s">
        <v>1973</v>
      </c>
      <c r="C153" s="316" t="s">
        <v>1973</v>
      </c>
      <c r="D153" s="316" t="s">
        <v>1973</v>
      </c>
      <c r="E153" s="317" t="s">
        <v>1973</v>
      </c>
      <c r="F153" s="372">
        <v>2</v>
      </c>
      <c r="G153" s="391" t="s">
        <v>36</v>
      </c>
      <c r="H153" s="392">
        <v>44000</v>
      </c>
      <c r="I153" s="393" t="b">
        <v>1</v>
      </c>
      <c r="J153" s="322">
        <v>2</v>
      </c>
      <c r="K153" s="323" t="s">
        <v>1973</v>
      </c>
      <c r="L153" s="371" t="e">
        <f t="shared" si="1"/>
        <v>#VALUE!</v>
      </c>
      <c r="M153" s="394"/>
    </row>
    <row r="154" spans="1:13" ht="13">
      <c r="A154" s="316" t="s">
        <v>795</v>
      </c>
      <c r="B154" s="316" t="s">
        <v>1973</v>
      </c>
      <c r="C154" s="316" t="s">
        <v>1973</v>
      </c>
      <c r="D154" s="316" t="s">
        <v>1973</v>
      </c>
      <c r="E154" s="317" t="s">
        <v>1973</v>
      </c>
      <c r="F154" s="372">
        <v>15</v>
      </c>
      <c r="G154" s="391" t="s">
        <v>62</v>
      </c>
      <c r="H154" s="392">
        <v>75000</v>
      </c>
      <c r="I154" s="393" t="b">
        <v>1</v>
      </c>
      <c r="J154" s="322">
        <v>5</v>
      </c>
      <c r="K154" s="323" t="s">
        <v>1973</v>
      </c>
      <c r="L154" s="371" t="e">
        <f t="shared" si="1"/>
        <v>#VALUE!</v>
      </c>
      <c r="M154" s="394"/>
    </row>
    <row r="155" spans="1:13" ht="13">
      <c r="A155" s="316" t="s">
        <v>1704</v>
      </c>
      <c r="B155" s="316" t="s">
        <v>1973</v>
      </c>
      <c r="C155" s="316" t="s">
        <v>1973</v>
      </c>
      <c r="D155" s="316" t="s">
        <v>1973</v>
      </c>
      <c r="E155" s="317" t="s">
        <v>1973</v>
      </c>
      <c r="F155" s="372">
        <v>0.25</v>
      </c>
      <c r="G155" s="391" t="s">
        <v>36</v>
      </c>
      <c r="H155" s="392">
        <v>3000</v>
      </c>
      <c r="I155" s="393" t="b">
        <v>1</v>
      </c>
      <c r="J155" s="322">
        <v>0.25</v>
      </c>
      <c r="K155" s="323" t="s">
        <v>1973</v>
      </c>
      <c r="L155" s="371" t="e">
        <f t="shared" si="1"/>
        <v>#VALUE!</v>
      </c>
      <c r="M155" s="394"/>
    </row>
    <row r="156" spans="1:13" ht="13">
      <c r="A156" s="316" t="s">
        <v>1608</v>
      </c>
      <c r="B156" s="316" t="s">
        <v>1973</v>
      </c>
      <c r="C156" s="316" t="s">
        <v>1973</v>
      </c>
      <c r="D156" s="316" t="s">
        <v>1973</v>
      </c>
      <c r="E156" s="317" t="s">
        <v>1973</v>
      </c>
      <c r="F156" s="372">
        <v>1</v>
      </c>
      <c r="G156" s="391" t="s">
        <v>36</v>
      </c>
      <c r="H156" s="392">
        <v>32000</v>
      </c>
      <c r="I156" s="393" t="b">
        <v>1</v>
      </c>
      <c r="J156" s="322">
        <v>1</v>
      </c>
      <c r="K156" s="323" t="s">
        <v>1973</v>
      </c>
      <c r="L156" s="371" t="e">
        <f t="shared" si="1"/>
        <v>#VALUE!</v>
      </c>
      <c r="M156" s="394"/>
    </row>
    <row r="157" spans="1:13" ht="13">
      <c r="A157" s="316" t="s">
        <v>1020</v>
      </c>
      <c r="B157" s="316" t="s">
        <v>1973</v>
      </c>
      <c r="C157" s="316" t="s">
        <v>1973</v>
      </c>
      <c r="D157" s="316" t="s">
        <v>1973</v>
      </c>
      <c r="E157" s="317" t="s">
        <v>1973</v>
      </c>
      <c r="F157" s="372">
        <v>0.5</v>
      </c>
      <c r="G157" s="391" t="s">
        <v>36</v>
      </c>
      <c r="H157" s="392">
        <v>8000</v>
      </c>
      <c r="I157" s="393" t="b">
        <v>1</v>
      </c>
      <c r="J157" s="322">
        <v>0.5</v>
      </c>
      <c r="K157" s="323">
        <v>16000</v>
      </c>
      <c r="L157" s="379">
        <f t="shared" si="1"/>
        <v>8000</v>
      </c>
      <c r="M157" s="394" t="s">
        <v>1745</v>
      </c>
    </row>
    <row r="158" spans="1:13" ht="13">
      <c r="A158" s="316" t="s">
        <v>1600</v>
      </c>
      <c r="B158" s="316" t="s">
        <v>1973</v>
      </c>
      <c r="C158" s="316" t="s">
        <v>1973</v>
      </c>
      <c r="D158" s="316" t="s">
        <v>1973</v>
      </c>
      <c r="E158" s="317" t="s">
        <v>1973</v>
      </c>
      <c r="F158" s="372">
        <v>1</v>
      </c>
      <c r="G158" s="391" t="s">
        <v>36</v>
      </c>
      <c r="H158" s="392">
        <v>10000</v>
      </c>
      <c r="I158" s="395" t="b">
        <v>1</v>
      </c>
      <c r="J158" s="322">
        <v>1</v>
      </c>
      <c r="K158" s="323">
        <v>10000</v>
      </c>
      <c r="L158" s="379">
        <f t="shared" si="1"/>
        <v>10000</v>
      </c>
      <c r="M158" s="394" t="s">
        <v>1745</v>
      </c>
    </row>
    <row r="159" spans="1:13" ht="13">
      <c r="A159" s="316" t="s">
        <v>1606</v>
      </c>
      <c r="B159" s="316" t="s">
        <v>1973</v>
      </c>
      <c r="C159" s="316" t="s">
        <v>1973</v>
      </c>
      <c r="D159" s="316" t="s">
        <v>1973</v>
      </c>
      <c r="E159" s="317" t="s">
        <v>1973</v>
      </c>
      <c r="F159" s="372">
        <v>0.5</v>
      </c>
      <c r="G159" s="391" t="s">
        <v>36</v>
      </c>
      <c r="H159" s="392">
        <v>17500</v>
      </c>
      <c r="I159" s="393" t="b">
        <v>1</v>
      </c>
      <c r="J159" s="322">
        <v>0.45600000000000002</v>
      </c>
      <c r="K159" s="323" t="s">
        <v>1973</v>
      </c>
      <c r="L159" s="371" t="e">
        <f t="shared" si="1"/>
        <v>#VALUE!</v>
      </c>
      <c r="M159" s="394"/>
    </row>
    <row r="160" spans="1:13" ht="13">
      <c r="A160" s="316" t="s">
        <v>528</v>
      </c>
      <c r="B160" s="316" t="s">
        <v>1973</v>
      </c>
      <c r="C160" s="316" t="s">
        <v>1973</v>
      </c>
      <c r="D160" s="316" t="s">
        <v>1973</v>
      </c>
      <c r="E160" s="317" t="s">
        <v>1973</v>
      </c>
      <c r="F160" s="372">
        <v>12</v>
      </c>
      <c r="G160" s="391" t="s">
        <v>50</v>
      </c>
      <c r="H160" s="392">
        <v>180000</v>
      </c>
      <c r="I160" s="393" t="b">
        <v>1</v>
      </c>
      <c r="J160" s="322">
        <v>10</v>
      </c>
      <c r="K160" s="323" t="s">
        <v>1973</v>
      </c>
      <c r="L160" s="371" t="e">
        <f t="shared" si="1"/>
        <v>#VALUE!</v>
      </c>
      <c r="M160" s="394"/>
    </row>
    <row r="161" spans="1:13" ht="13">
      <c r="A161" s="316" t="s">
        <v>643</v>
      </c>
      <c r="B161" s="316" t="s">
        <v>1973</v>
      </c>
      <c r="C161" s="316" t="s">
        <v>1973</v>
      </c>
      <c r="D161" s="316" t="s">
        <v>1973</v>
      </c>
      <c r="E161" s="317" t="s">
        <v>1973</v>
      </c>
      <c r="F161" s="372">
        <v>1</v>
      </c>
      <c r="G161" s="391" t="s">
        <v>36</v>
      </c>
      <c r="H161" s="392">
        <v>15000</v>
      </c>
      <c r="I161" s="393" t="b">
        <v>1</v>
      </c>
      <c r="J161" s="322">
        <v>1</v>
      </c>
      <c r="K161" s="323">
        <v>14000</v>
      </c>
      <c r="L161" s="379">
        <f t="shared" si="1"/>
        <v>14000</v>
      </c>
      <c r="M161" s="394" t="s">
        <v>1745</v>
      </c>
    </row>
    <row r="162" spans="1:13" ht="13">
      <c r="A162" s="316" t="s">
        <v>1037</v>
      </c>
      <c r="B162" s="316" t="s">
        <v>1973</v>
      </c>
      <c r="C162" s="316" t="s">
        <v>1973</v>
      </c>
      <c r="D162" s="316" t="s">
        <v>1973</v>
      </c>
      <c r="E162" s="317" t="s">
        <v>1973</v>
      </c>
      <c r="F162" s="372">
        <v>2</v>
      </c>
      <c r="G162" s="391" t="s">
        <v>62</v>
      </c>
      <c r="H162" s="392">
        <v>40200</v>
      </c>
      <c r="I162" s="393" t="b">
        <v>1</v>
      </c>
      <c r="J162" s="322">
        <v>2</v>
      </c>
      <c r="K162" s="323" t="e">
        <f>VLOOKUP($A162,'[1]Database Bahan &amp; Alat (Terupdat'!$B$50:$N$232,6,FALSE)</f>
        <v>#N/A</v>
      </c>
      <c r="L162" s="371" t="e">
        <f t="shared" si="1"/>
        <v>#N/A</v>
      </c>
      <c r="M162" s="394"/>
    </row>
    <row r="163" spans="1:13" ht="13">
      <c r="A163" s="18" t="s">
        <v>1096</v>
      </c>
      <c r="B163" s="316" t="s">
        <v>1973</v>
      </c>
      <c r="C163" s="316" t="s">
        <v>1973</v>
      </c>
      <c r="D163" s="316" t="s">
        <v>1973</v>
      </c>
      <c r="E163" s="317" t="s">
        <v>1973</v>
      </c>
      <c r="F163" s="372">
        <v>1</v>
      </c>
      <c r="G163" s="391" t="s">
        <v>62</v>
      </c>
      <c r="H163" s="392">
        <v>15000</v>
      </c>
      <c r="I163" s="393" t="b">
        <v>1</v>
      </c>
      <c r="J163" s="322">
        <v>1</v>
      </c>
      <c r="K163" s="323">
        <f>4700+9100</f>
        <v>13800</v>
      </c>
      <c r="L163" s="379">
        <f t="shared" si="1"/>
        <v>13800</v>
      </c>
      <c r="M163" s="394" t="s">
        <v>1745</v>
      </c>
    </row>
    <row r="164" spans="1:13" ht="13">
      <c r="A164" s="316" t="s">
        <v>127</v>
      </c>
      <c r="B164" s="316" t="s">
        <v>1756</v>
      </c>
      <c r="C164" s="316" t="s">
        <v>127</v>
      </c>
      <c r="D164" s="316" t="s">
        <v>127</v>
      </c>
      <c r="E164" s="317" t="s">
        <v>1756</v>
      </c>
      <c r="F164" s="404" t="s">
        <v>127</v>
      </c>
      <c r="G164" s="316" t="s">
        <v>127</v>
      </c>
      <c r="H164" s="405" t="s">
        <v>127</v>
      </c>
      <c r="I164" s="406" t="s">
        <v>127</v>
      </c>
      <c r="J164" s="404" t="s">
        <v>127</v>
      </c>
      <c r="K164" s="316" t="s">
        <v>127</v>
      </c>
      <c r="L164" s="405" t="s">
        <v>127</v>
      </c>
      <c r="M164" s="396" t="s">
        <v>127</v>
      </c>
    </row>
    <row r="166" spans="1:13" ht="13">
      <c r="A166" s="132" t="s">
        <v>1757</v>
      </c>
      <c r="F166" s="429">
        <v>44536</v>
      </c>
      <c r="G166" s="428"/>
      <c r="H166" s="424"/>
      <c r="J166" s="429">
        <f>F166+1</f>
        <v>44537</v>
      </c>
      <c r="K166" s="428"/>
      <c r="L166" s="424"/>
    </row>
    <row r="167" spans="1:13" ht="13">
      <c r="F167" s="425" t="s">
        <v>1490</v>
      </c>
      <c r="G167" s="426"/>
      <c r="H167" s="304">
        <f>SUM(H170:H195)</f>
        <v>786592.5</v>
      </c>
      <c r="J167" s="425" t="s">
        <v>1491</v>
      </c>
      <c r="K167" s="426"/>
      <c r="L167" s="304" t="e">
        <f>SUM(L170:L195)</f>
        <v>#VALUE!</v>
      </c>
    </row>
    <row r="168" spans="1:13" ht="13">
      <c r="A168" s="2" t="s">
        <v>4</v>
      </c>
      <c r="B168" s="305" t="s">
        <v>5</v>
      </c>
      <c r="C168" s="305" t="s">
        <v>11</v>
      </c>
      <c r="D168" s="305" t="s">
        <v>12</v>
      </c>
      <c r="E168" s="306" t="s">
        <v>6</v>
      </c>
      <c r="F168" s="307" t="s">
        <v>1494</v>
      </c>
      <c r="G168" s="308" t="s">
        <v>10</v>
      </c>
      <c r="H168" s="309" t="s">
        <v>1495</v>
      </c>
      <c r="I168" s="310" t="s">
        <v>1289</v>
      </c>
      <c r="J168" s="311" t="s">
        <v>1496</v>
      </c>
      <c r="K168" s="312" t="s">
        <v>1497</v>
      </c>
      <c r="L168" s="313" t="s">
        <v>1498</v>
      </c>
      <c r="M168" s="314" t="s">
        <v>16</v>
      </c>
    </row>
    <row r="169" spans="1:13" ht="13">
      <c r="A169" s="386" t="s">
        <v>127</v>
      </c>
      <c r="B169" s="386" t="s">
        <v>127</v>
      </c>
      <c r="C169" s="386"/>
      <c r="D169" s="386"/>
      <c r="E169" s="329" t="s">
        <v>127</v>
      </c>
      <c r="F169" s="387" t="s">
        <v>127</v>
      </c>
      <c r="G169" s="386" t="s">
        <v>127</v>
      </c>
      <c r="H169" s="388" t="s">
        <v>127</v>
      </c>
      <c r="I169" s="389"/>
      <c r="J169" s="387"/>
      <c r="K169" s="386"/>
      <c r="L169" s="388"/>
      <c r="M169" s="390"/>
    </row>
    <row r="170" spans="1:13" ht="13">
      <c r="A170" s="18" t="s">
        <v>1099</v>
      </c>
      <c r="B170" s="316" t="s">
        <v>1973</v>
      </c>
      <c r="C170" s="316" t="s">
        <v>1973</v>
      </c>
      <c r="D170" s="316" t="s">
        <v>1973</v>
      </c>
      <c r="E170" s="317" t="s">
        <v>1973</v>
      </c>
      <c r="F170" s="372">
        <v>1</v>
      </c>
      <c r="G170" s="391" t="s">
        <v>62</v>
      </c>
      <c r="H170" s="392">
        <v>130000</v>
      </c>
      <c r="I170" s="319" t="b">
        <v>0</v>
      </c>
      <c r="J170" s="372">
        <v>0</v>
      </c>
      <c r="K170" s="373" t="s">
        <v>1973</v>
      </c>
      <c r="L170" s="374" t="e">
        <f t="shared" ref="L170:L188" si="2">J170*K170</f>
        <v>#VALUE!</v>
      </c>
      <c r="M170" s="396"/>
    </row>
    <row r="171" spans="1:13" ht="13">
      <c r="A171" s="316" t="s">
        <v>544</v>
      </c>
      <c r="B171" s="316" t="s">
        <v>1973</v>
      </c>
      <c r="C171" s="316" t="s">
        <v>1973</v>
      </c>
      <c r="D171" s="316" t="s">
        <v>1973</v>
      </c>
      <c r="E171" s="317" t="s">
        <v>1973</v>
      </c>
      <c r="F171" s="372">
        <v>1</v>
      </c>
      <c r="G171" s="391" t="s">
        <v>62</v>
      </c>
      <c r="H171" s="392">
        <v>21200</v>
      </c>
      <c r="I171" s="393" t="b">
        <v>1</v>
      </c>
      <c r="J171" s="322">
        <v>2</v>
      </c>
      <c r="K171" s="323" t="s">
        <v>1973</v>
      </c>
      <c r="L171" s="371" t="e">
        <f t="shared" si="2"/>
        <v>#VALUE!</v>
      </c>
      <c r="M171" s="394"/>
    </row>
    <row r="172" spans="1:13" ht="13">
      <c r="A172" s="316" t="s">
        <v>782</v>
      </c>
      <c r="B172" s="316" t="s">
        <v>1973</v>
      </c>
      <c r="C172" s="316" t="s">
        <v>1973</v>
      </c>
      <c r="D172" s="316" t="s">
        <v>1973</v>
      </c>
      <c r="E172" s="317" t="s">
        <v>1973</v>
      </c>
      <c r="F172" s="372">
        <v>1</v>
      </c>
      <c r="G172" s="391" t="s">
        <v>62</v>
      </c>
      <c r="H172" s="392">
        <v>11000</v>
      </c>
      <c r="I172" s="393" t="b">
        <v>1</v>
      </c>
      <c r="J172" s="322">
        <v>1</v>
      </c>
      <c r="K172" s="323">
        <v>12000</v>
      </c>
      <c r="L172" s="371">
        <f t="shared" si="2"/>
        <v>12000</v>
      </c>
      <c r="M172" s="394"/>
    </row>
    <row r="173" spans="1:13" ht="13">
      <c r="A173" s="316" t="s">
        <v>627</v>
      </c>
      <c r="B173" s="316" t="s">
        <v>1973</v>
      </c>
      <c r="C173" s="316" t="s">
        <v>1973</v>
      </c>
      <c r="D173" s="316" t="s">
        <v>1973</v>
      </c>
      <c r="E173" s="317" t="s">
        <v>1973</v>
      </c>
      <c r="F173" s="372">
        <v>0</v>
      </c>
      <c r="G173" s="391" t="s">
        <v>36</v>
      </c>
      <c r="H173" s="392">
        <v>0</v>
      </c>
      <c r="I173" s="393" t="b">
        <v>1</v>
      </c>
      <c r="J173" s="322">
        <v>0.625</v>
      </c>
      <c r="K173" s="323" t="e">
        <f>VLOOKUP($A173,'[1]Database Bahan &amp; Alat (Terupdat'!$B$50:$N$232,6,FALSE)</f>
        <v>#N/A</v>
      </c>
      <c r="L173" s="371" t="e">
        <f t="shared" si="2"/>
        <v>#N/A</v>
      </c>
      <c r="M173" s="394"/>
    </row>
    <row r="174" spans="1:13" ht="13">
      <c r="A174" s="316" t="s">
        <v>919</v>
      </c>
      <c r="B174" s="316" t="s">
        <v>1973</v>
      </c>
      <c r="C174" s="316" t="s">
        <v>1973</v>
      </c>
      <c r="D174" s="316" t="s">
        <v>1973</v>
      </c>
      <c r="E174" s="317" t="s">
        <v>1973</v>
      </c>
      <c r="F174" s="372">
        <v>4</v>
      </c>
      <c r="G174" s="391" t="s">
        <v>62</v>
      </c>
      <c r="H174" s="392">
        <v>35200</v>
      </c>
      <c r="I174" s="395" t="b">
        <v>1</v>
      </c>
      <c r="J174" s="322">
        <v>2</v>
      </c>
      <c r="K174" s="323">
        <v>8800</v>
      </c>
      <c r="L174" s="371">
        <f t="shared" si="2"/>
        <v>17600</v>
      </c>
      <c r="M174" s="394" t="s">
        <v>1745</v>
      </c>
    </row>
    <row r="175" spans="1:13" ht="13">
      <c r="A175" s="18" t="s">
        <v>1094</v>
      </c>
      <c r="B175" s="316" t="s">
        <v>1973</v>
      </c>
      <c r="C175" s="316" t="s">
        <v>1973</v>
      </c>
      <c r="D175" s="316" t="s">
        <v>1973</v>
      </c>
      <c r="E175" s="317" t="s">
        <v>1973</v>
      </c>
      <c r="F175" s="372">
        <v>1</v>
      </c>
      <c r="G175" s="391" t="s">
        <v>62</v>
      </c>
      <c r="H175" s="392">
        <v>23000</v>
      </c>
      <c r="I175" s="393" t="b">
        <v>1</v>
      </c>
      <c r="J175" s="322">
        <v>1</v>
      </c>
      <c r="K175" s="323" t="e">
        <f>VLOOKUP($A175,'[1]Database Bahan &amp; Alat (Terupdat'!$B$50:$N$232,6,FALSE)</f>
        <v>#N/A</v>
      </c>
      <c r="L175" s="371" t="e">
        <f t="shared" si="2"/>
        <v>#N/A</v>
      </c>
      <c r="M175" s="394"/>
    </row>
    <row r="176" spans="1:13" ht="13">
      <c r="A176" s="316" t="s">
        <v>631</v>
      </c>
      <c r="B176" s="316" t="s">
        <v>1973</v>
      </c>
      <c r="C176" s="316" t="s">
        <v>1973</v>
      </c>
      <c r="D176" s="316" t="s">
        <v>1973</v>
      </c>
      <c r="E176" s="317" t="s">
        <v>1973</v>
      </c>
      <c r="F176" s="372">
        <v>0.5</v>
      </c>
      <c r="G176" s="391" t="s">
        <v>36</v>
      </c>
      <c r="H176" s="392">
        <v>7500</v>
      </c>
      <c r="I176" s="395" t="b">
        <v>1</v>
      </c>
      <c r="J176" s="322">
        <v>0.5</v>
      </c>
      <c r="K176" s="323">
        <v>14000</v>
      </c>
      <c r="L176" s="379">
        <f t="shared" si="2"/>
        <v>7000</v>
      </c>
      <c r="M176" s="394" t="s">
        <v>1745</v>
      </c>
    </row>
    <row r="177" spans="1:13" ht="13">
      <c r="A177" s="316" t="s">
        <v>639</v>
      </c>
      <c r="B177" s="316" t="s">
        <v>1973</v>
      </c>
      <c r="C177" s="316" t="s">
        <v>1973</v>
      </c>
      <c r="D177" s="316" t="s">
        <v>1973</v>
      </c>
      <c r="E177" s="317" t="s">
        <v>1973</v>
      </c>
      <c r="F177" s="372">
        <v>1</v>
      </c>
      <c r="G177" s="391" t="s">
        <v>36</v>
      </c>
      <c r="H177" s="392">
        <v>125000</v>
      </c>
      <c r="I177" s="393" t="b">
        <v>1</v>
      </c>
      <c r="J177" s="322">
        <v>1.5</v>
      </c>
      <c r="K177" s="323" t="s">
        <v>1973</v>
      </c>
      <c r="L177" s="371" t="e">
        <f t="shared" si="2"/>
        <v>#VALUE!</v>
      </c>
      <c r="M177" s="394"/>
    </row>
    <row r="178" spans="1:13" ht="13">
      <c r="A178" s="316" t="s">
        <v>1610</v>
      </c>
      <c r="B178" s="316" t="s">
        <v>1973</v>
      </c>
      <c r="C178" s="316" t="s">
        <v>1973</v>
      </c>
      <c r="D178" s="316" t="s">
        <v>1973</v>
      </c>
      <c r="E178" s="317" t="s">
        <v>1973</v>
      </c>
      <c r="F178" s="372">
        <v>2</v>
      </c>
      <c r="G178" s="391" t="s">
        <v>36</v>
      </c>
      <c r="H178" s="392">
        <v>16000</v>
      </c>
      <c r="I178" s="393" t="b">
        <v>1</v>
      </c>
      <c r="J178" s="322">
        <v>2</v>
      </c>
      <c r="K178" s="323" t="s">
        <v>1973</v>
      </c>
      <c r="L178" s="371" t="e">
        <f t="shared" si="2"/>
        <v>#VALUE!</v>
      </c>
      <c r="M178" s="394"/>
    </row>
    <row r="179" spans="1:13" ht="13">
      <c r="A179" s="316" t="s">
        <v>732</v>
      </c>
      <c r="B179" s="316" t="s">
        <v>1973</v>
      </c>
      <c r="C179" s="316" t="s">
        <v>1973</v>
      </c>
      <c r="D179" s="316" t="s">
        <v>1973</v>
      </c>
      <c r="E179" s="317" t="s">
        <v>1973</v>
      </c>
      <c r="F179" s="372">
        <v>2</v>
      </c>
      <c r="G179" s="391" t="s">
        <v>36</v>
      </c>
      <c r="H179" s="392">
        <v>44000</v>
      </c>
      <c r="I179" s="393" t="b">
        <v>1</v>
      </c>
      <c r="J179" s="322">
        <v>2</v>
      </c>
      <c r="K179" s="323" t="s">
        <v>1973</v>
      </c>
      <c r="L179" s="371" t="e">
        <f t="shared" si="2"/>
        <v>#VALUE!</v>
      </c>
      <c r="M179" s="394"/>
    </row>
    <row r="180" spans="1:13" ht="13">
      <c r="A180" s="316" t="s">
        <v>744</v>
      </c>
      <c r="B180" s="316" t="s">
        <v>1973</v>
      </c>
      <c r="C180" s="316" t="s">
        <v>1973</v>
      </c>
      <c r="D180" s="316" t="s">
        <v>1973</v>
      </c>
      <c r="E180" s="317" t="s">
        <v>1973</v>
      </c>
      <c r="F180" s="372">
        <v>1</v>
      </c>
      <c r="G180" s="391" t="s">
        <v>36</v>
      </c>
      <c r="H180" s="392">
        <v>40000</v>
      </c>
      <c r="I180" s="393" t="b">
        <v>1</v>
      </c>
      <c r="J180" s="322">
        <v>1</v>
      </c>
      <c r="K180" s="323">
        <v>44000</v>
      </c>
      <c r="L180" s="371">
        <f t="shared" si="2"/>
        <v>44000</v>
      </c>
      <c r="M180" s="394"/>
    </row>
    <row r="181" spans="1:13" ht="13">
      <c r="A181" s="316" t="s">
        <v>795</v>
      </c>
      <c r="B181" s="316" t="s">
        <v>1973</v>
      </c>
      <c r="C181" s="316" t="s">
        <v>1973</v>
      </c>
      <c r="D181" s="316" t="s">
        <v>1973</v>
      </c>
      <c r="E181" s="317" t="s">
        <v>1973</v>
      </c>
      <c r="F181" s="372">
        <v>5</v>
      </c>
      <c r="G181" s="391" t="s">
        <v>62</v>
      </c>
      <c r="H181" s="392">
        <v>25000</v>
      </c>
      <c r="I181" s="393" t="b">
        <v>1</v>
      </c>
      <c r="J181" s="322">
        <v>5</v>
      </c>
      <c r="K181" s="323" t="e">
        <f>VLOOKUP($A181,'[1]Database Bahan &amp; Alat (Terupdat'!$B$50:$N$232,6,FALSE)</f>
        <v>#N/A</v>
      </c>
      <c r="L181" s="371" t="e">
        <f t="shared" si="2"/>
        <v>#N/A</v>
      </c>
      <c r="M181" s="394"/>
    </row>
    <row r="182" spans="1:13" ht="13">
      <c r="A182" s="316" t="s">
        <v>1704</v>
      </c>
      <c r="B182" s="316" t="s">
        <v>1973</v>
      </c>
      <c r="C182" s="316" t="s">
        <v>1973</v>
      </c>
      <c r="D182" s="316" t="s">
        <v>1973</v>
      </c>
      <c r="E182" s="317" t="s">
        <v>1973</v>
      </c>
      <c r="F182" s="372">
        <v>0.15</v>
      </c>
      <c r="G182" s="391" t="s">
        <v>36</v>
      </c>
      <c r="H182" s="392">
        <v>1800</v>
      </c>
      <c r="I182" s="395" t="b">
        <v>1</v>
      </c>
      <c r="J182" s="322">
        <v>0.25</v>
      </c>
      <c r="K182" s="323">
        <v>10000</v>
      </c>
      <c r="L182" s="379">
        <f t="shared" si="2"/>
        <v>2500</v>
      </c>
      <c r="M182" s="394" t="s">
        <v>1745</v>
      </c>
    </row>
    <row r="183" spans="1:13" ht="13">
      <c r="A183" s="316" t="s">
        <v>819</v>
      </c>
      <c r="B183" s="316" t="s">
        <v>1973</v>
      </c>
      <c r="C183" s="316" t="s">
        <v>1973</v>
      </c>
      <c r="D183" s="316" t="s">
        <v>1973</v>
      </c>
      <c r="E183" s="317" t="s">
        <v>1973</v>
      </c>
      <c r="F183" s="372">
        <v>0.15</v>
      </c>
      <c r="G183" s="391" t="s">
        <v>36</v>
      </c>
      <c r="H183" s="392">
        <v>2250</v>
      </c>
      <c r="I183" s="393" t="b">
        <v>1</v>
      </c>
      <c r="J183" s="322">
        <v>0.25</v>
      </c>
      <c r="K183" s="323" t="s">
        <v>1973</v>
      </c>
      <c r="L183" s="371" t="e">
        <f t="shared" si="2"/>
        <v>#VALUE!</v>
      </c>
      <c r="M183" s="394"/>
    </row>
    <row r="184" spans="1:13" ht="13">
      <c r="A184" s="316" t="s">
        <v>827</v>
      </c>
      <c r="B184" s="316" t="s">
        <v>1973</v>
      </c>
      <c r="C184" s="316" t="s">
        <v>1973</v>
      </c>
      <c r="D184" s="316" t="s">
        <v>1973</v>
      </c>
      <c r="E184" s="317" t="s">
        <v>1973</v>
      </c>
      <c r="F184" s="372">
        <v>0.5</v>
      </c>
      <c r="G184" s="391" t="s">
        <v>36</v>
      </c>
      <c r="H184" s="392">
        <v>4000</v>
      </c>
      <c r="I184" s="393" t="b">
        <v>1</v>
      </c>
      <c r="J184" s="322">
        <v>0.5</v>
      </c>
      <c r="K184" s="323" t="s">
        <v>1973</v>
      </c>
      <c r="L184" s="371" t="e">
        <f t="shared" si="2"/>
        <v>#VALUE!</v>
      </c>
      <c r="M184" s="394"/>
    </row>
    <row r="185" spans="1:13" ht="13">
      <c r="A185" s="316" t="s">
        <v>1608</v>
      </c>
      <c r="B185" s="316" t="s">
        <v>1973</v>
      </c>
      <c r="C185" s="316" t="s">
        <v>1973</v>
      </c>
      <c r="D185" s="316" t="s">
        <v>1973</v>
      </c>
      <c r="E185" s="317" t="s">
        <v>1973</v>
      </c>
      <c r="F185" s="372">
        <v>1</v>
      </c>
      <c r="G185" s="391" t="s">
        <v>36</v>
      </c>
      <c r="H185" s="392">
        <v>32000</v>
      </c>
      <c r="I185" s="393" t="b">
        <v>1</v>
      </c>
      <c r="J185" s="322">
        <v>1</v>
      </c>
      <c r="K185" s="323" t="s">
        <v>1973</v>
      </c>
      <c r="L185" s="371" t="e">
        <f t="shared" si="2"/>
        <v>#VALUE!</v>
      </c>
      <c r="M185" s="394"/>
    </row>
    <row r="186" spans="1:13" ht="13">
      <c r="A186" s="316" t="s">
        <v>1020</v>
      </c>
      <c r="B186" s="316" t="s">
        <v>1973</v>
      </c>
      <c r="C186" s="316" t="s">
        <v>1973</v>
      </c>
      <c r="D186" s="316" t="s">
        <v>1973</v>
      </c>
      <c r="E186" s="317" t="s">
        <v>1973</v>
      </c>
      <c r="F186" s="372">
        <v>1</v>
      </c>
      <c r="G186" s="391" t="s">
        <v>36</v>
      </c>
      <c r="H186" s="392">
        <v>16000</v>
      </c>
      <c r="I186" s="395" t="b">
        <v>1</v>
      </c>
      <c r="J186" s="322">
        <v>1</v>
      </c>
      <c r="K186" s="323">
        <v>10000</v>
      </c>
      <c r="L186" s="379">
        <f t="shared" si="2"/>
        <v>10000</v>
      </c>
      <c r="M186" s="394" t="s">
        <v>1745</v>
      </c>
    </row>
    <row r="187" spans="1:13" ht="13">
      <c r="A187" s="316" t="s">
        <v>1600</v>
      </c>
      <c r="B187" s="316" t="s">
        <v>1973</v>
      </c>
      <c r="C187" s="316" t="s">
        <v>1973</v>
      </c>
      <c r="D187" s="316" t="s">
        <v>1973</v>
      </c>
      <c r="E187" s="317" t="s">
        <v>1973</v>
      </c>
      <c r="F187" s="372">
        <v>1</v>
      </c>
      <c r="G187" s="391" t="s">
        <v>36</v>
      </c>
      <c r="H187" s="392">
        <v>10000</v>
      </c>
      <c r="I187" s="395" t="b">
        <v>1</v>
      </c>
      <c r="J187" s="322">
        <v>1</v>
      </c>
      <c r="K187" s="323">
        <v>8000</v>
      </c>
      <c r="L187" s="379">
        <f t="shared" si="2"/>
        <v>8000</v>
      </c>
      <c r="M187" s="394" t="s">
        <v>1745</v>
      </c>
    </row>
    <row r="188" spans="1:13" ht="13">
      <c r="A188" s="316" t="s">
        <v>704</v>
      </c>
      <c r="B188" s="316" t="s">
        <v>1973</v>
      </c>
      <c r="C188" s="316" t="s">
        <v>1973</v>
      </c>
      <c r="D188" s="316" t="s">
        <v>1973</v>
      </c>
      <c r="E188" s="317" t="s">
        <v>1973</v>
      </c>
      <c r="F188" s="372">
        <v>0.33</v>
      </c>
      <c r="G188" s="391" t="s">
        <v>143</v>
      </c>
      <c r="H188" s="392">
        <v>60142.5</v>
      </c>
      <c r="I188" s="395" t="b">
        <v>1</v>
      </c>
      <c r="J188" s="322">
        <v>8</v>
      </c>
      <c r="K188" s="323">
        <v>20000</v>
      </c>
      <c r="L188" s="379">
        <f t="shared" si="2"/>
        <v>160000</v>
      </c>
      <c r="M188" s="394" t="s">
        <v>1745</v>
      </c>
    </row>
    <row r="189" spans="1:13" ht="13">
      <c r="A189" s="316" t="s">
        <v>779</v>
      </c>
      <c r="B189" s="316" t="s">
        <v>1973</v>
      </c>
      <c r="C189" s="316" t="s">
        <v>1973</v>
      </c>
      <c r="D189" s="316" t="s">
        <v>1973</v>
      </c>
      <c r="E189" s="317" t="s">
        <v>1973</v>
      </c>
      <c r="F189" s="372">
        <v>2</v>
      </c>
      <c r="G189" s="391" t="s">
        <v>62</v>
      </c>
      <c r="H189" s="392">
        <v>77000</v>
      </c>
      <c r="I189" s="395" t="b">
        <v>1</v>
      </c>
      <c r="J189" s="322">
        <v>1</v>
      </c>
      <c r="K189" s="323">
        <v>48700</v>
      </c>
      <c r="L189" s="379">
        <v>48700</v>
      </c>
      <c r="M189" s="394" t="s">
        <v>1745</v>
      </c>
    </row>
    <row r="190" spans="1:13" ht="13">
      <c r="A190" s="316" t="s">
        <v>910</v>
      </c>
      <c r="B190" s="316" t="s">
        <v>1973</v>
      </c>
      <c r="C190" s="316" t="s">
        <v>1973</v>
      </c>
      <c r="D190" s="316" t="s">
        <v>1973</v>
      </c>
      <c r="E190" s="317" t="s">
        <v>1973</v>
      </c>
      <c r="F190" s="372">
        <v>0</v>
      </c>
      <c r="G190" s="391" t="s">
        <v>62</v>
      </c>
      <c r="H190" s="392">
        <v>0</v>
      </c>
      <c r="I190" s="393" t="b">
        <v>1</v>
      </c>
      <c r="J190" s="322">
        <v>1</v>
      </c>
      <c r="K190" s="323" t="e">
        <f>VLOOKUP($A190,'[1]Database Bahan &amp; Alat (Terupdat'!$B$50:$N$232,6,FALSE)</f>
        <v>#N/A</v>
      </c>
      <c r="L190" s="371" t="e">
        <f t="shared" ref="L190:L194" si="3">J190*K190</f>
        <v>#N/A</v>
      </c>
      <c r="M190" s="394"/>
    </row>
    <row r="191" spans="1:13" ht="13">
      <c r="A191" s="316" t="s">
        <v>1606</v>
      </c>
      <c r="B191" s="316" t="s">
        <v>1973</v>
      </c>
      <c r="C191" s="316" t="s">
        <v>1973</v>
      </c>
      <c r="D191" s="316" t="s">
        <v>1973</v>
      </c>
      <c r="E191" s="317" t="s">
        <v>1973</v>
      </c>
      <c r="F191" s="372">
        <v>0.5</v>
      </c>
      <c r="G191" s="391" t="s">
        <v>36</v>
      </c>
      <c r="H191" s="392">
        <v>17500</v>
      </c>
      <c r="I191" s="395" t="b">
        <v>1</v>
      </c>
      <c r="J191" s="322">
        <v>0.52600000000000002</v>
      </c>
      <c r="K191" s="323">
        <v>43200</v>
      </c>
      <c r="L191" s="379">
        <f t="shared" si="3"/>
        <v>22723.200000000001</v>
      </c>
      <c r="M191" s="394" t="s">
        <v>1745</v>
      </c>
    </row>
    <row r="192" spans="1:13" ht="13">
      <c r="A192" s="316" t="s">
        <v>1603</v>
      </c>
      <c r="B192" s="316" t="s">
        <v>1973</v>
      </c>
      <c r="C192" s="316" t="s">
        <v>1973</v>
      </c>
      <c r="D192" s="316" t="s">
        <v>1973</v>
      </c>
      <c r="E192" s="317" t="s">
        <v>1973</v>
      </c>
      <c r="F192" s="372">
        <v>1</v>
      </c>
      <c r="G192" s="391" t="s">
        <v>62</v>
      </c>
      <c r="H192" s="392">
        <v>58000</v>
      </c>
      <c r="I192" s="393" t="b">
        <v>1</v>
      </c>
      <c r="J192" s="322">
        <v>1</v>
      </c>
      <c r="K192" s="323" t="s">
        <v>1973</v>
      </c>
      <c r="L192" s="371" t="e">
        <f t="shared" si="3"/>
        <v>#VALUE!</v>
      </c>
      <c r="M192" s="394"/>
    </row>
    <row r="193" spans="1:13" ht="13">
      <c r="A193" s="316" t="s">
        <v>976</v>
      </c>
      <c r="B193" s="316" t="s">
        <v>1973</v>
      </c>
      <c r="C193" s="316" t="s">
        <v>1973</v>
      </c>
      <c r="D193" s="316" t="s">
        <v>1973</v>
      </c>
      <c r="E193" s="317" t="s">
        <v>1973</v>
      </c>
      <c r="F193" s="372">
        <v>0</v>
      </c>
      <c r="G193" s="391" t="s">
        <v>62</v>
      </c>
      <c r="H193" s="392">
        <v>0</v>
      </c>
      <c r="I193" s="393" t="b">
        <v>1</v>
      </c>
      <c r="J193" s="322">
        <v>1</v>
      </c>
      <c r="K193" s="323" t="s">
        <v>1973</v>
      </c>
      <c r="L193" s="371" t="e">
        <f t="shared" si="3"/>
        <v>#VALUE!</v>
      </c>
      <c r="M193" s="394" t="s">
        <v>1759</v>
      </c>
    </row>
    <row r="194" spans="1:13" ht="13">
      <c r="A194" s="316" t="s">
        <v>643</v>
      </c>
      <c r="B194" s="316" t="s">
        <v>1973</v>
      </c>
      <c r="C194" s="316" t="s">
        <v>1973</v>
      </c>
      <c r="D194" s="316" t="s">
        <v>1973</v>
      </c>
      <c r="E194" s="317" t="s">
        <v>1973</v>
      </c>
      <c r="F194" s="372">
        <v>1</v>
      </c>
      <c r="G194" s="391" t="s">
        <v>36</v>
      </c>
      <c r="H194" s="392">
        <v>15000</v>
      </c>
      <c r="I194" s="395" t="b">
        <v>1</v>
      </c>
      <c r="J194" s="322">
        <v>1</v>
      </c>
      <c r="K194" s="323">
        <v>14000</v>
      </c>
      <c r="L194" s="379">
        <f t="shared" si="3"/>
        <v>14000</v>
      </c>
      <c r="M194" s="394" t="s">
        <v>1745</v>
      </c>
    </row>
    <row r="195" spans="1:13" ht="13">
      <c r="A195" s="18" t="s">
        <v>1096</v>
      </c>
      <c r="B195" s="316" t="s">
        <v>1973</v>
      </c>
      <c r="C195" s="316" t="s">
        <v>1973</v>
      </c>
      <c r="D195" s="316" t="s">
        <v>1973</v>
      </c>
      <c r="E195" s="317" t="s">
        <v>1973</v>
      </c>
      <c r="F195" s="372">
        <v>1</v>
      </c>
      <c r="G195" s="391" t="s">
        <v>62</v>
      </c>
      <c r="H195" s="392">
        <v>15000</v>
      </c>
      <c r="I195" s="393" t="b">
        <v>1</v>
      </c>
      <c r="J195" s="322">
        <v>2</v>
      </c>
      <c r="K195" s="323" t="e">
        <f>VLOOKUP($A195,'[1]Database Bahan &amp; Alat (Terupdat'!$B$50:$N$232,6,FALSE)</f>
        <v>#N/A</v>
      </c>
      <c r="L195" s="371">
        <v>4700</v>
      </c>
      <c r="M195" s="394" t="s">
        <v>1760</v>
      </c>
    </row>
    <row r="196" spans="1:13" ht="13">
      <c r="A196" s="316" t="s">
        <v>127</v>
      </c>
      <c r="B196" s="316" t="s">
        <v>1756</v>
      </c>
      <c r="C196" s="316" t="s">
        <v>127</v>
      </c>
      <c r="D196" s="316" t="s">
        <v>127</v>
      </c>
      <c r="E196" s="317" t="s">
        <v>1756</v>
      </c>
      <c r="F196" s="316" t="s">
        <v>127</v>
      </c>
      <c r="G196" s="316" t="s">
        <v>127</v>
      </c>
      <c r="H196" s="316" t="s">
        <v>127</v>
      </c>
      <c r="I196" s="406" t="s">
        <v>127</v>
      </c>
      <c r="J196" s="404" t="s">
        <v>127</v>
      </c>
      <c r="K196" s="316" t="s">
        <v>127</v>
      </c>
      <c r="L196" s="405" t="s">
        <v>127</v>
      </c>
      <c r="M196" s="396" t="s">
        <v>127</v>
      </c>
    </row>
    <row r="198" spans="1:13" ht="13">
      <c r="A198" s="132" t="s">
        <v>1761</v>
      </c>
      <c r="F198" s="429">
        <v>44537</v>
      </c>
      <c r="G198" s="428"/>
      <c r="H198" s="424"/>
      <c r="J198" s="429">
        <f>F198+1</f>
        <v>44538</v>
      </c>
      <c r="K198" s="428"/>
      <c r="L198" s="424"/>
    </row>
    <row r="199" spans="1:13" ht="13">
      <c r="F199" s="425" t="s">
        <v>1490</v>
      </c>
      <c r="G199" s="426"/>
      <c r="H199" s="304">
        <f>SUM(H202:H254)</f>
        <v>6282079</v>
      </c>
      <c r="J199" s="425" t="s">
        <v>1491</v>
      </c>
      <c r="K199" s="426"/>
      <c r="L199" s="304" t="e">
        <f>SUM(L202:L254)</f>
        <v>#N/A</v>
      </c>
    </row>
    <row r="200" spans="1:13" ht="13">
      <c r="A200" s="2" t="s">
        <v>4</v>
      </c>
      <c r="B200" s="305" t="s">
        <v>5</v>
      </c>
      <c r="C200" s="305" t="s">
        <v>11</v>
      </c>
      <c r="D200" s="305" t="s">
        <v>12</v>
      </c>
      <c r="E200" s="306" t="s">
        <v>6</v>
      </c>
      <c r="F200" s="307" t="s">
        <v>1494</v>
      </c>
      <c r="G200" s="308" t="s">
        <v>10</v>
      </c>
      <c r="H200" s="309" t="s">
        <v>1495</v>
      </c>
      <c r="I200" s="310" t="s">
        <v>1289</v>
      </c>
      <c r="J200" s="311" t="s">
        <v>1496</v>
      </c>
      <c r="K200" s="312" t="s">
        <v>1497</v>
      </c>
      <c r="L200" s="313" t="s">
        <v>1498</v>
      </c>
      <c r="M200" s="314" t="s">
        <v>16</v>
      </c>
    </row>
    <row r="201" spans="1:13" ht="13">
      <c r="A201" s="386" t="s">
        <v>127</v>
      </c>
      <c r="B201" s="386" t="s">
        <v>127</v>
      </c>
      <c r="C201" s="386"/>
      <c r="D201" s="386"/>
      <c r="E201" s="329" t="s">
        <v>127</v>
      </c>
      <c r="F201" s="387" t="s">
        <v>127</v>
      </c>
      <c r="G201" s="386" t="s">
        <v>127</v>
      </c>
      <c r="H201" s="388" t="s">
        <v>127</v>
      </c>
      <c r="I201" s="389"/>
      <c r="J201" s="387"/>
      <c r="K201" s="386"/>
      <c r="L201" s="388"/>
      <c r="M201" s="390"/>
    </row>
    <row r="202" spans="1:13" ht="13">
      <c r="A202" s="316" t="s">
        <v>627</v>
      </c>
      <c r="B202" s="316" t="s">
        <v>1973</v>
      </c>
      <c r="C202" s="316" t="s">
        <v>1973</v>
      </c>
      <c r="D202" s="316" t="s">
        <v>1973</v>
      </c>
      <c r="E202" s="317" t="s">
        <v>1973</v>
      </c>
      <c r="F202" s="372">
        <v>1</v>
      </c>
      <c r="G202" s="391" t="s">
        <v>36</v>
      </c>
      <c r="H202" s="392">
        <v>35900</v>
      </c>
      <c r="I202" s="395" t="b">
        <v>1</v>
      </c>
      <c r="J202" s="322">
        <v>0.76</v>
      </c>
      <c r="K202" s="323">
        <v>30900</v>
      </c>
      <c r="L202" s="379">
        <f t="shared" ref="L202:L254" si="4">J202*K202</f>
        <v>23484</v>
      </c>
      <c r="M202" s="407" t="s">
        <v>1745</v>
      </c>
    </row>
    <row r="203" spans="1:13" ht="13">
      <c r="A203" s="316" t="s">
        <v>782</v>
      </c>
      <c r="B203" s="316" t="s">
        <v>1973</v>
      </c>
      <c r="C203" s="316" t="s">
        <v>1973</v>
      </c>
      <c r="D203" s="316" t="s">
        <v>1973</v>
      </c>
      <c r="E203" s="317" t="s">
        <v>1973</v>
      </c>
      <c r="F203" s="372">
        <v>1</v>
      </c>
      <c r="G203" s="391" t="s">
        <v>62</v>
      </c>
      <c r="H203" s="392">
        <v>11000</v>
      </c>
      <c r="I203" s="319" t="b">
        <v>0</v>
      </c>
      <c r="J203" s="372"/>
      <c r="K203" s="373" t="e">
        <f>VLOOKUP($A203,'[1]Database Bahan &amp; Alat (Terupdat'!$B$50:$N$232,6,FALSE)</f>
        <v>#N/A</v>
      </c>
      <c r="L203" s="374" t="e">
        <f t="shared" si="4"/>
        <v>#N/A</v>
      </c>
    </row>
    <row r="204" spans="1:13" ht="13">
      <c r="A204" s="316" t="s">
        <v>919</v>
      </c>
      <c r="B204" s="316" t="s">
        <v>1973</v>
      </c>
      <c r="C204" s="316" t="s">
        <v>1973</v>
      </c>
      <c r="D204" s="316" t="s">
        <v>1973</v>
      </c>
      <c r="E204" s="317" t="s">
        <v>1973</v>
      </c>
      <c r="F204" s="372">
        <v>1</v>
      </c>
      <c r="G204" s="391" t="s">
        <v>62</v>
      </c>
      <c r="H204" s="392">
        <v>8800</v>
      </c>
      <c r="I204" s="395" t="b">
        <v>1</v>
      </c>
      <c r="J204" s="322">
        <v>1</v>
      </c>
      <c r="K204" s="323">
        <v>8800</v>
      </c>
      <c r="L204" s="379">
        <f t="shared" si="4"/>
        <v>8800</v>
      </c>
      <c r="M204" s="394" t="s">
        <v>1745</v>
      </c>
    </row>
    <row r="205" spans="1:13" ht="13">
      <c r="A205" s="316" t="s">
        <v>937</v>
      </c>
      <c r="B205" s="316" t="s">
        <v>1973</v>
      </c>
      <c r="C205" s="316" t="s">
        <v>1973</v>
      </c>
      <c r="D205" s="316" t="s">
        <v>1973</v>
      </c>
      <c r="E205" s="317" t="s">
        <v>1973</v>
      </c>
      <c r="F205" s="372">
        <v>1</v>
      </c>
      <c r="G205" s="391" t="s">
        <v>62</v>
      </c>
      <c r="H205" s="392">
        <v>7200</v>
      </c>
      <c r="I205" s="393" t="b">
        <v>1</v>
      </c>
      <c r="J205" s="322">
        <v>1</v>
      </c>
      <c r="K205" s="323" t="s">
        <v>1973</v>
      </c>
      <c r="L205" s="371" t="e">
        <f t="shared" si="4"/>
        <v>#VALUE!</v>
      </c>
      <c r="M205" s="407"/>
    </row>
    <row r="206" spans="1:13" ht="13">
      <c r="A206" s="316" t="s">
        <v>1043</v>
      </c>
      <c r="B206" s="316" t="s">
        <v>1973</v>
      </c>
      <c r="C206" s="316" t="s">
        <v>1973</v>
      </c>
      <c r="D206" s="316" t="s">
        <v>1973</v>
      </c>
      <c r="E206" s="317" t="s">
        <v>1973</v>
      </c>
      <c r="F206" s="372">
        <v>1</v>
      </c>
      <c r="G206" s="391" t="s">
        <v>50</v>
      </c>
      <c r="H206" s="392">
        <v>30800</v>
      </c>
      <c r="I206" s="393" t="b">
        <v>1</v>
      </c>
      <c r="J206" s="322">
        <v>1</v>
      </c>
      <c r="K206" s="323" t="s">
        <v>1973</v>
      </c>
      <c r="L206" s="371" t="e">
        <f t="shared" si="4"/>
        <v>#VALUE!</v>
      </c>
      <c r="M206" s="407"/>
    </row>
    <row r="207" spans="1:13" ht="13">
      <c r="A207" s="18" t="s">
        <v>1094</v>
      </c>
      <c r="B207" s="316" t="s">
        <v>1973</v>
      </c>
      <c r="C207" s="316" t="s">
        <v>1973</v>
      </c>
      <c r="D207" s="316" t="s">
        <v>1973</v>
      </c>
      <c r="E207" s="317" t="s">
        <v>1973</v>
      </c>
      <c r="F207" s="372">
        <v>1</v>
      </c>
      <c r="G207" s="391" t="s">
        <v>62</v>
      </c>
      <c r="H207" s="392">
        <v>17300</v>
      </c>
      <c r="I207" s="393" t="b">
        <v>1</v>
      </c>
      <c r="J207" s="322">
        <v>1</v>
      </c>
      <c r="K207" s="323" t="s">
        <v>1973</v>
      </c>
      <c r="L207" s="371" t="e">
        <f t="shared" si="4"/>
        <v>#VALUE!</v>
      </c>
      <c r="M207" s="394"/>
    </row>
    <row r="208" spans="1:13" ht="13">
      <c r="A208" s="316" t="s">
        <v>586</v>
      </c>
      <c r="B208" s="316" t="s">
        <v>1973</v>
      </c>
      <c r="C208" s="316" t="s">
        <v>1973</v>
      </c>
      <c r="D208" s="316" t="s">
        <v>1973</v>
      </c>
      <c r="E208" s="317" t="s">
        <v>1973</v>
      </c>
      <c r="F208" s="372">
        <v>2</v>
      </c>
      <c r="G208" s="391" t="s">
        <v>62</v>
      </c>
      <c r="H208" s="392">
        <v>14400</v>
      </c>
      <c r="I208" s="393" t="b">
        <v>1</v>
      </c>
      <c r="J208" s="322">
        <v>2</v>
      </c>
      <c r="K208" s="323" t="s">
        <v>1973</v>
      </c>
      <c r="L208" s="371" t="e">
        <f t="shared" si="4"/>
        <v>#VALUE!</v>
      </c>
      <c r="M208" s="394"/>
    </row>
    <row r="209" spans="1:13" ht="13">
      <c r="A209" s="316" t="s">
        <v>770</v>
      </c>
      <c r="B209" s="316" t="s">
        <v>1973</v>
      </c>
      <c r="C209" s="316" t="s">
        <v>1973</v>
      </c>
      <c r="D209" s="316" t="s">
        <v>1973</v>
      </c>
      <c r="E209" s="317" t="s">
        <v>1973</v>
      </c>
      <c r="F209" s="372">
        <v>2</v>
      </c>
      <c r="G209" s="391" t="s">
        <v>97</v>
      </c>
      <c r="H209" s="392">
        <v>48200</v>
      </c>
      <c r="I209" s="395" t="b">
        <v>1</v>
      </c>
      <c r="J209" s="322">
        <v>1</v>
      </c>
      <c r="K209" s="323">
        <v>25000</v>
      </c>
      <c r="L209" s="379">
        <f t="shared" si="4"/>
        <v>25000</v>
      </c>
      <c r="M209" s="394" t="s">
        <v>1745</v>
      </c>
    </row>
    <row r="210" spans="1:13" ht="13">
      <c r="A210" s="316" t="s">
        <v>544</v>
      </c>
      <c r="B210" s="316" t="s">
        <v>1973</v>
      </c>
      <c r="C210" s="316" t="s">
        <v>1973</v>
      </c>
      <c r="D210" s="316" t="s">
        <v>1973</v>
      </c>
      <c r="E210" s="317" t="s">
        <v>1973</v>
      </c>
      <c r="F210" s="372">
        <v>4</v>
      </c>
      <c r="G210" s="391" t="s">
        <v>62</v>
      </c>
      <c r="H210" s="392">
        <v>84800</v>
      </c>
      <c r="I210" s="393" t="b">
        <v>1</v>
      </c>
      <c r="J210" s="322">
        <v>4</v>
      </c>
      <c r="K210" s="323" t="s">
        <v>1973</v>
      </c>
      <c r="L210" s="371" t="e">
        <f t="shared" si="4"/>
        <v>#VALUE!</v>
      </c>
      <c r="M210" s="394"/>
    </row>
    <row r="211" spans="1:13" ht="13">
      <c r="A211" s="316" t="s">
        <v>851</v>
      </c>
      <c r="B211" s="316" t="s">
        <v>1973</v>
      </c>
      <c r="C211" s="316" t="s">
        <v>1973</v>
      </c>
      <c r="D211" s="316" t="s">
        <v>1973</v>
      </c>
      <c r="E211" s="317" t="s">
        <v>1973</v>
      </c>
      <c r="F211" s="372">
        <v>1</v>
      </c>
      <c r="G211" s="391" t="s">
        <v>143</v>
      </c>
      <c r="H211" s="392">
        <v>30000</v>
      </c>
      <c r="I211" s="319" t="b">
        <v>0</v>
      </c>
      <c r="J211" s="372"/>
      <c r="K211" s="373" t="s">
        <v>1973</v>
      </c>
      <c r="L211" s="374" t="e">
        <f t="shared" si="4"/>
        <v>#VALUE!</v>
      </c>
      <c r="M211" s="396"/>
    </row>
    <row r="212" spans="1:13" ht="13">
      <c r="A212" s="316" t="s">
        <v>524</v>
      </c>
      <c r="B212" s="316" t="s">
        <v>1973</v>
      </c>
      <c r="C212" s="316" t="s">
        <v>1973</v>
      </c>
      <c r="D212" s="316" t="s">
        <v>1973</v>
      </c>
      <c r="E212" s="317" t="s">
        <v>1973</v>
      </c>
      <c r="F212" s="372">
        <v>9</v>
      </c>
      <c r="G212" s="391" t="s">
        <v>108</v>
      </c>
      <c r="H212" s="392">
        <v>135000</v>
      </c>
      <c r="I212" s="319" t="b">
        <v>0</v>
      </c>
      <c r="J212" s="372"/>
      <c r="K212" s="373" t="s">
        <v>1973</v>
      </c>
      <c r="L212" s="374" t="e">
        <f t="shared" si="4"/>
        <v>#VALUE!</v>
      </c>
      <c r="M212" s="396"/>
    </row>
    <row r="213" spans="1:13" ht="13">
      <c r="A213" s="316" t="s">
        <v>574</v>
      </c>
      <c r="B213" s="316" t="s">
        <v>1973</v>
      </c>
      <c r="C213" s="316" t="s">
        <v>1973</v>
      </c>
      <c r="D213" s="316" t="s">
        <v>1973</v>
      </c>
      <c r="E213" s="317" t="s">
        <v>1973</v>
      </c>
      <c r="F213" s="372">
        <v>1</v>
      </c>
      <c r="G213" s="391" t="s">
        <v>62</v>
      </c>
      <c r="H213" s="392">
        <v>170000</v>
      </c>
      <c r="I213" s="319" t="b">
        <v>0</v>
      </c>
      <c r="J213" s="372"/>
      <c r="K213" s="373" t="s">
        <v>1973</v>
      </c>
      <c r="L213" s="374" t="e">
        <f t="shared" si="4"/>
        <v>#VALUE!</v>
      </c>
      <c r="M213" s="396"/>
    </row>
    <row r="214" spans="1:13" ht="13">
      <c r="A214" s="316" t="s">
        <v>578</v>
      </c>
      <c r="B214" s="316" t="s">
        <v>1973</v>
      </c>
      <c r="C214" s="316" t="s">
        <v>1973</v>
      </c>
      <c r="D214" s="316" t="s">
        <v>1973</v>
      </c>
      <c r="E214" s="317" t="s">
        <v>1973</v>
      </c>
      <c r="F214" s="372">
        <v>2</v>
      </c>
      <c r="G214" s="391" t="s">
        <v>62</v>
      </c>
      <c r="H214" s="392">
        <v>440000</v>
      </c>
      <c r="I214" s="319" t="b">
        <v>0</v>
      </c>
      <c r="J214" s="372"/>
      <c r="K214" s="373" t="s">
        <v>1973</v>
      </c>
      <c r="L214" s="374" t="e">
        <f t="shared" si="4"/>
        <v>#VALUE!</v>
      </c>
      <c r="M214" s="396"/>
    </row>
    <row r="215" spans="1:13" ht="13">
      <c r="A215" s="316" t="s">
        <v>967</v>
      </c>
      <c r="B215" s="316" t="s">
        <v>1973</v>
      </c>
      <c r="C215" s="316" t="s">
        <v>1973</v>
      </c>
      <c r="D215" s="316" t="s">
        <v>1973</v>
      </c>
      <c r="E215" s="317" t="s">
        <v>1973</v>
      </c>
      <c r="F215" s="372">
        <v>1</v>
      </c>
      <c r="G215" s="391" t="s">
        <v>97</v>
      </c>
      <c r="H215" s="392">
        <v>129000</v>
      </c>
      <c r="I215" s="393" t="b">
        <v>1</v>
      </c>
      <c r="J215" s="322">
        <v>1</v>
      </c>
      <c r="K215" s="323" t="s">
        <v>1973</v>
      </c>
      <c r="L215" s="371" t="e">
        <f t="shared" si="4"/>
        <v>#VALUE!</v>
      </c>
      <c r="M215" s="394"/>
    </row>
    <row r="216" spans="1:13" ht="13">
      <c r="A216" s="316" t="s">
        <v>1505</v>
      </c>
      <c r="B216" s="316" t="s">
        <v>1973</v>
      </c>
      <c r="C216" s="316" t="s">
        <v>1973</v>
      </c>
      <c r="D216" s="316" t="s">
        <v>1973</v>
      </c>
      <c r="E216" s="317" t="s">
        <v>1973</v>
      </c>
      <c r="F216" s="372">
        <v>1</v>
      </c>
      <c r="G216" s="391" t="s">
        <v>97</v>
      </c>
      <c r="H216" s="392">
        <v>128700</v>
      </c>
      <c r="I216" s="319" t="b">
        <v>0</v>
      </c>
      <c r="J216" s="372"/>
      <c r="K216" s="373" t="s">
        <v>1973</v>
      </c>
      <c r="L216" s="374" t="e">
        <f t="shared" si="4"/>
        <v>#VALUE!</v>
      </c>
      <c r="M216" s="396"/>
    </row>
    <row r="217" spans="1:13" ht="13">
      <c r="A217" s="316" t="s">
        <v>976</v>
      </c>
      <c r="B217" s="316" t="s">
        <v>1973</v>
      </c>
      <c r="C217" s="316" t="s">
        <v>1973</v>
      </c>
      <c r="D217" s="316" t="s">
        <v>1973</v>
      </c>
      <c r="E217" s="317" t="s">
        <v>1973</v>
      </c>
      <c r="F217" s="372">
        <v>1</v>
      </c>
      <c r="G217" s="391" t="s">
        <v>62</v>
      </c>
      <c r="H217" s="392">
        <v>15000</v>
      </c>
      <c r="I217" s="393" t="b">
        <v>1</v>
      </c>
      <c r="J217" s="322">
        <v>1</v>
      </c>
      <c r="K217" s="323" t="s">
        <v>1973</v>
      </c>
      <c r="L217" s="371" t="e">
        <f t="shared" si="4"/>
        <v>#VALUE!</v>
      </c>
      <c r="M217" s="394"/>
    </row>
    <row r="218" spans="1:13" ht="13">
      <c r="A218" s="18" t="s">
        <v>1096</v>
      </c>
      <c r="B218" s="316" t="s">
        <v>1973</v>
      </c>
      <c r="C218" s="316" t="s">
        <v>1973</v>
      </c>
      <c r="D218" s="316" t="s">
        <v>1973</v>
      </c>
      <c r="E218" s="317" t="s">
        <v>1973</v>
      </c>
      <c r="F218" s="372">
        <v>1</v>
      </c>
      <c r="G218" s="391" t="s">
        <v>62</v>
      </c>
      <c r="H218" s="392">
        <v>9500</v>
      </c>
      <c r="I218" s="393" t="b">
        <v>1</v>
      </c>
      <c r="J218" s="322">
        <v>2</v>
      </c>
      <c r="K218" s="323" t="s">
        <v>1973</v>
      </c>
      <c r="L218" s="371" t="e">
        <f t="shared" si="4"/>
        <v>#VALUE!</v>
      </c>
      <c r="M218" s="394"/>
    </row>
    <row r="219" spans="1:13" ht="13">
      <c r="A219" s="316" t="s">
        <v>752</v>
      </c>
      <c r="B219" s="316" t="s">
        <v>1973</v>
      </c>
      <c r="C219" s="316" t="s">
        <v>1973</v>
      </c>
      <c r="D219" s="316" t="s">
        <v>1973</v>
      </c>
      <c r="E219" s="317" t="s">
        <v>1973</v>
      </c>
      <c r="F219" s="372">
        <v>1</v>
      </c>
      <c r="G219" s="391" t="s">
        <v>62</v>
      </c>
      <c r="H219" s="392">
        <v>36000</v>
      </c>
      <c r="I219" s="393" t="b">
        <v>1</v>
      </c>
      <c r="J219" s="322">
        <v>1</v>
      </c>
      <c r="K219" s="323">
        <v>38000</v>
      </c>
      <c r="L219" s="379">
        <f t="shared" si="4"/>
        <v>38000</v>
      </c>
      <c r="M219" s="394" t="s">
        <v>1745</v>
      </c>
    </row>
    <row r="220" spans="1:13" ht="13">
      <c r="A220" s="316" t="s">
        <v>767</v>
      </c>
      <c r="B220" s="316" t="s">
        <v>1973</v>
      </c>
      <c r="C220" s="316" t="s">
        <v>1973</v>
      </c>
      <c r="D220" s="316" t="s">
        <v>1973</v>
      </c>
      <c r="E220" s="317" t="s">
        <v>1973</v>
      </c>
      <c r="F220" s="372">
        <v>1</v>
      </c>
      <c r="G220" s="391" t="s">
        <v>62</v>
      </c>
      <c r="H220" s="392">
        <v>20000</v>
      </c>
      <c r="I220" s="319" t="b">
        <v>0</v>
      </c>
      <c r="J220" s="372"/>
      <c r="K220" s="373" t="e">
        <f>VLOOKUP($A220,'[1]Database Bahan &amp; Alat (Terupdat'!$B$50:$N$232,6,FALSE)</f>
        <v>#N/A</v>
      </c>
      <c r="L220" s="374" t="e">
        <f t="shared" si="4"/>
        <v>#N/A</v>
      </c>
      <c r="M220" s="396"/>
    </row>
    <row r="221" spans="1:13" ht="13">
      <c r="A221" s="316" t="s">
        <v>799</v>
      </c>
      <c r="B221" s="316" t="s">
        <v>1973</v>
      </c>
      <c r="C221" s="316" t="s">
        <v>1973</v>
      </c>
      <c r="D221" s="316" t="s">
        <v>1973</v>
      </c>
      <c r="E221" s="317" t="s">
        <v>1973</v>
      </c>
      <c r="F221" s="372">
        <v>1</v>
      </c>
      <c r="G221" s="391" t="s">
        <v>36</v>
      </c>
      <c r="H221" s="392">
        <v>160000</v>
      </c>
      <c r="I221" s="395" t="b">
        <v>1</v>
      </c>
      <c r="J221" s="322">
        <v>1</v>
      </c>
      <c r="K221" s="323">
        <v>160000</v>
      </c>
      <c r="L221" s="379">
        <f t="shared" si="4"/>
        <v>160000</v>
      </c>
      <c r="M221" s="394" t="s">
        <v>1745</v>
      </c>
    </row>
    <row r="222" spans="1:13" ht="13">
      <c r="A222" s="316" t="s">
        <v>1701</v>
      </c>
      <c r="B222" s="316" t="s">
        <v>1973</v>
      </c>
      <c r="C222" s="316" t="s">
        <v>1973</v>
      </c>
      <c r="D222" s="316" t="s">
        <v>1973</v>
      </c>
      <c r="E222" s="317" t="s">
        <v>1973</v>
      </c>
      <c r="F222" s="372">
        <v>1</v>
      </c>
      <c r="G222" s="391" t="s">
        <v>36</v>
      </c>
      <c r="H222" s="392">
        <v>18000</v>
      </c>
      <c r="I222" s="319" t="b">
        <v>0</v>
      </c>
      <c r="J222" s="372"/>
      <c r="K222" s="373" t="s">
        <v>1973</v>
      </c>
      <c r="L222" s="374" t="e">
        <f t="shared" si="4"/>
        <v>#VALUE!</v>
      </c>
      <c r="M222" s="396"/>
    </row>
    <row r="223" spans="1:13" ht="13">
      <c r="A223" s="316" t="s">
        <v>1702</v>
      </c>
      <c r="B223" s="316" t="s">
        <v>1973</v>
      </c>
      <c r="C223" s="316" t="s">
        <v>1973</v>
      </c>
      <c r="D223" s="316" t="s">
        <v>1973</v>
      </c>
      <c r="E223" s="317" t="s">
        <v>1973</v>
      </c>
      <c r="F223" s="372">
        <v>1</v>
      </c>
      <c r="G223" s="391" t="s">
        <v>36</v>
      </c>
      <c r="H223" s="392">
        <v>120000</v>
      </c>
      <c r="I223" s="393" t="b">
        <v>1</v>
      </c>
      <c r="J223" s="322">
        <v>1</v>
      </c>
      <c r="K223" s="323" t="s">
        <v>1973</v>
      </c>
      <c r="L223" s="371" t="e">
        <f t="shared" si="4"/>
        <v>#VALUE!</v>
      </c>
      <c r="M223" s="394"/>
    </row>
    <row r="224" spans="1:13" ht="13">
      <c r="A224" s="316" t="s">
        <v>931</v>
      </c>
      <c r="B224" s="316" t="s">
        <v>1973</v>
      </c>
      <c r="C224" s="316" t="s">
        <v>1973</v>
      </c>
      <c r="D224" s="316" t="s">
        <v>1973</v>
      </c>
      <c r="E224" s="317" t="s">
        <v>1973</v>
      </c>
      <c r="F224" s="372">
        <v>1</v>
      </c>
      <c r="G224" s="391" t="s">
        <v>36</v>
      </c>
      <c r="H224" s="392">
        <v>36000</v>
      </c>
      <c r="I224" s="395" t="b">
        <v>1</v>
      </c>
      <c r="J224" s="322">
        <v>1</v>
      </c>
      <c r="K224" s="323">
        <v>20000</v>
      </c>
      <c r="L224" s="379">
        <f t="shared" si="4"/>
        <v>20000</v>
      </c>
      <c r="M224" s="394" t="s">
        <v>1745</v>
      </c>
    </row>
    <row r="225" spans="1:13" ht="13">
      <c r="A225" s="316" t="s">
        <v>955</v>
      </c>
      <c r="B225" s="316" t="s">
        <v>1973</v>
      </c>
      <c r="C225" s="316" t="s">
        <v>1973</v>
      </c>
      <c r="D225" s="316" t="s">
        <v>1973</v>
      </c>
      <c r="E225" s="317" t="s">
        <v>1973</v>
      </c>
      <c r="F225" s="372">
        <v>1</v>
      </c>
      <c r="G225" s="391" t="s">
        <v>97</v>
      </c>
      <c r="H225" s="392">
        <v>20000</v>
      </c>
      <c r="I225" s="393" t="b">
        <v>1</v>
      </c>
      <c r="J225" s="322">
        <v>1</v>
      </c>
      <c r="K225" s="323" t="s">
        <v>1973</v>
      </c>
      <c r="L225" s="371" t="e">
        <f t="shared" si="4"/>
        <v>#VALUE!</v>
      </c>
      <c r="M225" s="394"/>
    </row>
    <row r="226" spans="1:13" ht="13">
      <c r="A226" s="316" t="s">
        <v>1601</v>
      </c>
      <c r="B226" s="316" t="s">
        <v>1973</v>
      </c>
      <c r="C226" s="316" t="s">
        <v>1973</v>
      </c>
      <c r="D226" s="316" t="s">
        <v>1973</v>
      </c>
      <c r="E226" s="317" t="s">
        <v>1973</v>
      </c>
      <c r="F226" s="372">
        <v>2</v>
      </c>
      <c r="G226" s="391" t="s">
        <v>97</v>
      </c>
      <c r="H226" s="392">
        <v>40000</v>
      </c>
      <c r="I226" s="393" t="b">
        <v>1</v>
      </c>
      <c r="J226" s="322">
        <v>2</v>
      </c>
      <c r="K226" s="323" t="s">
        <v>1973</v>
      </c>
      <c r="L226" s="371" t="e">
        <f t="shared" si="4"/>
        <v>#VALUE!</v>
      </c>
      <c r="M226" s="394"/>
    </row>
    <row r="227" spans="1:13" ht="13">
      <c r="A227" s="316" t="s">
        <v>987</v>
      </c>
      <c r="B227" s="316" t="s">
        <v>1973</v>
      </c>
      <c r="C227" s="316" t="s">
        <v>1973</v>
      </c>
      <c r="D227" s="316" t="s">
        <v>1973</v>
      </c>
      <c r="E227" s="317" t="s">
        <v>1973</v>
      </c>
      <c r="F227" s="372">
        <v>2</v>
      </c>
      <c r="G227" s="391" t="s">
        <v>62</v>
      </c>
      <c r="H227" s="392">
        <v>34000</v>
      </c>
      <c r="I227" s="393" t="b">
        <v>1</v>
      </c>
      <c r="J227" s="322">
        <v>2</v>
      </c>
      <c r="K227" s="323" t="s">
        <v>1973</v>
      </c>
      <c r="L227" s="371" t="e">
        <f t="shared" si="4"/>
        <v>#VALUE!</v>
      </c>
      <c r="M227" s="394"/>
    </row>
    <row r="228" spans="1:13" ht="13">
      <c r="A228" s="316" t="s">
        <v>1700</v>
      </c>
      <c r="B228" s="316" t="s">
        <v>1973</v>
      </c>
      <c r="C228" s="316" t="s">
        <v>1973</v>
      </c>
      <c r="D228" s="316" t="s">
        <v>1973</v>
      </c>
      <c r="E228" s="317" t="s">
        <v>1973</v>
      </c>
      <c r="F228" s="372">
        <v>5</v>
      </c>
      <c r="G228" s="391" t="s">
        <v>62</v>
      </c>
      <c r="H228" s="392">
        <v>75000</v>
      </c>
      <c r="I228" s="319" t="b">
        <v>0</v>
      </c>
      <c r="J228" s="372"/>
      <c r="K228" s="373" t="s">
        <v>1973</v>
      </c>
      <c r="L228" s="374" t="e">
        <f t="shared" si="4"/>
        <v>#VALUE!</v>
      </c>
      <c r="M228" s="396"/>
    </row>
    <row r="229" spans="1:13" ht="13">
      <c r="A229" s="316" t="s">
        <v>989</v>
      </c>
      <c r="B229" s="316" t="s">
        <v>1973</v>
      </c>
      <c r="C229" s="316" t="s">
        <v>1973</v>
      </c>
      <c r="D229" s="316" t="s">
        <v>1973</v>
      </c>
      <c r="E229" s="317" t="s">
        <v>1973</v>
      </c>
      <c r="F229" s="372">
        <v>6</v>
      </c>
      <c r="G229" s="391" t="s">
        <v>62</v>
      </c>
      <c r="H229" s="392">
        <v>96000</v>
      </c>
      <c r="I229" s="393" t="b">
        <v>1</v>
      </c>
      <c r="J229" s="322">
        <v>6</v>
      </c>
      <c r="K229" s="323" t="s">
        <v>1973</v>
      </c>
      <c r="L229" s="371" t="e">
        <f t="shared" si="4"/>
        <v>#VALUE!</v>
      </c>
      <c r="M229" s="394"/>
    </row>
    <row r="230" spans="1:13" ht="13">
      <c r="A230" s="316" t="s">
        <v>675</v>
      </c>
      <c r="B230" s="316" t="s">
        <v>1973</v>
      </c>
      <c r="C230" s="316" t="s">
        <v>1973</v>
      </c>
      <c r="D230" s="316" t="s">
        <v>1973</v>
      </c>
      <c r="E230" s="317" t="s">
        <v>1973</v>
      </c>
      <c r="F230" s="372">
        <v>11</v>
      </c>
      <c r="G230" s="391" t="s">
        <v>62</v>
      </c>
      <c r="H230" s="392">
        <v>38500</v>
      </c>
      <c r="I230" s="393" t="b">
        <v>1</v>
      </c>
      <c r="J230" s="322">
        <v>10</v>
      </c>
      <c r="K230" s="323" t="s">
        <v>1973</v>
      </c>
      <c r="L230" s="371" t="e">
        <f t="shared" si="4"/>
        <v>#VALUE!</v>
      </c>
      <c r="M230" s="394"/>
    </row>
    <row r="231" spans="1:13" ht="13">
      <c r="A231" s="316" t="s">
        <v>992</v>
      </c>
      <c r="B231" s="316" t="s">
        <v>1973</v>
      </c>
      <c r="C231" s="316" t="s">
        <v>1973</v>
      </c>
      <c r="D231" s="316" t="s">
        <v>1973</v>
      </c>
      <c r="E231" s="317" t="s">
        <v>1973</v>
      </c>
      <c r="F231" s="372">
        <v>1</v>
      </c>
      <c r="G231" s="391" t="s">
        <v>143</v>
      </c>
      <c r="H231" s="392">
        <v>149952</v>
      </c>
      <c r="I231" s="319" t="b">
        <v>0</v>
      </c>
      <c r="J231" s="372"/>
      <c r="K231" s="373" t="s">
        <v>1973</v>
      </c>
      <c r="L231" s="374" t="e">
        <f t="shared" si="4"/>
        <v>#VALUE!</v>
      </c>
      <c r="M231" s="396" t="s">
        <v>1762</v>
      </c>
    </row>
    <row r="232" spans="1:13" ht="13">
      <c r="A232" s="316" t="s">
        <v>995</v>
      </c>
      <c r="B232" s="316" t="s">
        <v>1973</v>
      </c>
      <c r="C232" s="316" t="s">
        <v>1973</v>
      </c>
      <c r="D232" s="316" t="s">
        <v>1973</v>
      </c>
      <c r="E232" s="317" t="s">
        <v>1973</v>
      </c>
      <c r="F232" s="372">
        <v>1</v>
      </c>
      <c r="G232" s="391" t="s">
        <v>143</v>
      </c>
      <c r="H232" s="392">
        <v>199663</v>
      </c>
      <c r="I232" s="319" t="b">
        <v>0</v>
      </c>
      <c r="J232" s="372"/>
      <c r="K232" s="373" t="s">
        <v>1973</v>
      </c>
      <c r="L232" s="374" t="e">
        <f t="shared" si="4"/>
        <v>#VALUE!</v>
      </c>
      <c r="M232" s="396"/>
    </row>
    <row r="233" spans="1:13" ht="13">
      <c r="A233" s="316" t="s">
        <v>1703</v>
      </c>
      <c r="B233" s="316" t="s">
        <v>1973</v>
      </c>
      <c r="C233" s="316" t="s">
        <v>1973</v>
      </c>
      <c r="D233" s="316" t="s">
        <v>1973</v>
      </c>
      <c r="E233" s="317" t="s">
        <v>1973</v>
      </c>
      <c r="F233" s="372">
        <v>2</v>
      </c>
      <c r="G233" s="391" t="s">
        <v>62</v>
      </c>
      <c r="H233" s="392">
        <v>44814</v>
      </c>
      <c r="I233" s="319" t="b">
        <v>0</v>
      </c>
      <c r="J233" s="372"/>
      <c r="K233" s="373" t="s">
        <v>1973</v>
      </c>
      <c r="L233" s="374" t="e">
        <f t="shared" si="4"/>
        <v>#VALUE!</v>
      </c>
      <c r="M233" s="396"/>
    </row>
    <row r="234" spans="1:13" ht="13">
      <c r="A234" s="316" t="s">
        <v>623</v>
      </c>
      <c r="B234" s="316" t="s">
        <v>1973</v>
      </c>
      <c r="C234" s="316" t="s">
        <v>1973</v>
      </c>
      <c r="D234" s="316" t="s">
        <v>1973</v>
      </c>
      <c r="E234" s="317" t="s">
        <v>1973</v>
      </c>
      <c r="F234" s="372">
        <v>3</v>
      </c>
      <c r="G234" s="391" t="s">
        <v>143</v>
      </c>
      <c r="H234" s="392">
        <v>539550</v>
      </c>
      <c r="I234" s="319" t="b">
        <v>0</v>
      </c>
      <c r="J234" s="372"/>
      <c r="K234" s="373" t="s">
        <v>1973</v>
      </c>
      <c r="L234" s="374" t="e">
        <f t="shared" si="4"/>
        <v>#VALUE!</v>
      </c>
      <c r="M234" s="396"/>
    </row>
    <row r="235" spans="1:13" ht="13">
      <c r="A235" s="316" t="s">
        <v>704</v>
      </c>
      <c r="B235" s="316" t="s">
        <v>1973</v>
      </c>
      <c r="C235" s="316" t="s">
        <v>1973</v>
      </c>
      <c r="D235" s="316" t="s">
        <v>1973</v>
      </c>
      <c r="E235" s="317" t="s">
        <v>1973</v>
      </c>
      <c r="F235" s="372">
        <v>4</v>
      </c>
      <c r="G235" s="391" t="s">
        <v>143</v>
      </c>
      <c r="H235" s="392">
        <v>729000</v>
      </c>
      <c r="I235" s="395" t="b">
        <v>1</v>
      </c>
      <c r="J235" s="322">
        <v>5</v>
      </c>
      <c r="K235" s="323">
        <v>20500</v>
      </c>
      <c r="L235" s="379">
        <f t="shared" si="4"/>
        <v>102500</v>
      </c>
      <c r="M235" s="394" t="s">
        <v>1745</v>
      </c>
    </row>
    <row r="236" spans="1:13" ht="13">
      <c r="A236" s="316" t="s">
        <v>1751</v>
      </c>
      <c r="B236" s="316" t="s">
        <v>1973</v>
      </c>
      <c r="C236" s="316" t="s">
        <v>1973</v>
      </c>
      <c r="D236" s="316" t="s">
        <v>1973</v>
      </c>
      <c r="E236" s="317" t="s">
        <v>1973</v>
      </c>
      <c r="F236" s="372">
        <v>12</v>
      </c>
      <c r="G236" s="391" t="s">
        <v>36</v>
      </c>
      <c r="H236" s="392">
        <v>144000</v>
      </c>
      <c r="I236" s="393" t="b">
        <v>1</v>
      </c>
      <c r="J236" s="322">
        <v>12</v>
      </c>
      <c r="K236" s="323" t="e">
        <f>VLOOKUP($A236,'[1]Database Bahan &amp; Alat (Terupdat'!$B$50:$N$232,6,FALSE)</f>
        <v>#N/A</v>
      </c>
      <c r="L236" s="371" t="e">
        <f t="shared" si="4"/>
        <v>#N/A</v>
      </c>
      <c r="M236" s="394"/>
    </row>
    <row r="237" spans="1:13" ht="13">
      <c r="A237" s="316" t="s">
        <v>1705</v>
      </c>
      <c r="B237" s="316" t="s">
        <v>1973</v>
      </c>
      <c r="C237" s="316" t="s">
        <v>1973</v>
      </c>
      <c r="D237" s="316" t="s">
        <v>1973</v>
      </c>
      <c r="E237" s="317" t="s">
        <v>1973</v>
      </c>
      <c r="F237" s="372">
        <v>3</v>
      </c>
      <c r="G237" s="391" t="s">
        <v>62</v>
      </c>
      <c r="H237" s="392">
        <v>125400</v>
      </c>
      <c r="I237" s="395" t="b">
        <v>1</v>
      </c>
      <c r="J237" s="322">
        <v>3</v>
      </c>
      <c r="K237" s="323">
        <v>23000</v>
      </c>
      <c r="L237" s="379">
        <f t="shared" si="4"/>
        <v>69000</v>
      </c>
      <c r="M237" s="394" t="s">
        <v>1745</v>
      </c>
    </row>
    <row r="238" spans="1:13" ht="13">
      <c r="A238" s="316" t="s">
        <v>874</v>
      </c>
      <c r="B238" s="316" t="s">
        <v>1973</v>
      </c>
      <c r="C238" s="316" t="s">
        <v>1973</v>
      </c>
      <c r="D238" s="316" t="s">
        <v>1973</v>
      </c>
      <c r="E238" s="317" t="s">
        <v>1973</v>
      </c>
      <c r="F238" s="372">
        <v>5</v>
      </c>
      <c r="G238" s="391" t="s">
        <v>62</v>
      </c>
      <c r="H238" s="392">
        <v>80000</v>
      </c>
      <c r="I238" s="393" t="b">
        <v>1</v>
      </c>
      <c r="J238" s="322">
        <v>5</v>
      </c>
      <c r="K238" s="323" t="s">
        <v>1973</v>
      </c>
      <c r="L238" s="371" t="e">
        <f t="shared" si="4"/>
        <v>#VALUE!</v>
      </c>
      <c r="M238" s="394"/>
    </row>
    <row r="239" spans="1:13" ht="13">
      <c r="A239" s="316" t="s">
        <v>590</v>
      </c>
      <c r="B239" s="316" t="s">
        <v>1973</v>
      </c>
      <c r="C239" s="316" t="s">
        <v>1973</v>
      </c>
      <c r="D239" s="316" t="s">
        <v>1973</v>
      </c>
      <c r="E239" s="317" t="s">
        <v>1973</v>
      </c>
      <c r="F239" s="372">
        <v>3</v>
      </c>
      <c r="G239" s="391" t="s">
        <v>62</v>
      </c>
      <c r="H239" s="392">
        <v>255000</v>
      </c>
      <c r="I239" s="319" t="b">
        <v>0</v>
      </c>
      <c r="J239" s="372"/>
      <c r="K239" s="373" t="s">
        <v>1973</v>
      </c>
      <c r="L239" s="374" t="e">
        <f t="shared" si="4"/>
        <v>#VALUE!</v>
      </c>
      <c r="M239" s="396" t="s">
        <v>1763</v>
      </c>
    </row>
    <row r="240" spans="1:13" ht="13">
      <c r="A240" s="316" t="s">
        <v>540</v>
      </c>
      <c r="B240" s="316" t="s">
        <v>1973</v>
      </c>
      <c r="C240" s="316" t="s">
        <v>1973</v>
      </c>
      <c r="D240" s="316" t="s">
        <v>1973</v>
      </c>
      <c r="E240" s="317" t="s">
        <v>1973</v>
      </c>
      <c r="F240" s="372">
        <v>7</v>
      </c>
      <c r="G240" s="391" t="s">
        <v>36</v>
      </c>
      <c r="H240" s="392">
        <v>1190000</v>
      </c>
      <c r="I240" s="319" t="b">
        <v>0</v>
      </c>
      <c r="J240" s="372"/>
      <c r="K240" s="373" t="s">
        <v>1973</v>
      </c>
      <c r="L240" s="374" t="e">
        <f t="shared" si="4"/>
        <v>#VALUE!</v>
      </c>
      <c r="M240" s="396"/>
    </row>
    <row r="241" spans="1:13" ht="13">
      <c r="A241" s="316" t="s">
        <v>684</v>
      </c>
      <c r="B241" s="316" t="s">
        <v>1973</v>
      </c>
      <c r="C241" s="316" t="s">
        <v>1973</v>
      </c>
      <c r="D241" s="316" t="s">
        <v>1973</v>
      </c>
      <c r="E241" s="317" t="s">
        <v>1973</v>
      </c>
      <c r="F241" s="372">
        <v>1</v>
      </c>
      <c r="G241" s="391" t="s">
        <v>97</v>
      </c>
      <c r="H241" s="392">
        <v>28000</v>
      </c>
      <c r="I241" s="393" t="b">
        <v>1</v>
      </c>
      <c r="J241" s="322">
        <v>1</v>
      </c>
      <c r="K241" s="323" t="s">
        <v>1973</v>
      </c>
      <c r="L241" s="371" t="e">
        <f t="shared" si="4"/>
        <v>#VALUE!</v>
      </c>
      <c r="M241" s="394"/>
    </row>
    <row r="242" spans="1:13" ht="13">
      <c r="A242" s="316" t="s">
        <v>735</v>
      </c>
      <c r="B242" s="316" t="s">
        <v>1973</v>
      </c>
      <c r="C242" s="316" t="s">
        <v>1973</v>
      </c>
      <c r="D242" s="316" t="s">
        <v>1973</v>
      </c>
      <c r="E242" s="317" t="s">
        <v>1973</v>
      </c>
      <c r="F242" s="372">
        <v>1</v>
      </c>
      <c r="G242" s="391" t="s">
        <v>97</v>
      </c>
      <c r="H242" s="392">
        <v>46000</v>
      </c>
      <c r="I242" s="395" t="b">
        <v>1</v>
      </c>
      <c r="J242" s="322">
        <v>1</v>
      </c>
      <c r="K242" s="323">
        <v>48000</v>
      </c>
      <c r="L242" s="379">
        <f t="shared" si="4"/>
        <v>48000</v>
      </c>
      <c r="M242" s="394" t="s">
        <v>1745</v>
      </c>
    </row>
    <row r="243" spans="1:13" ht="13">
      <c r="A243" s="316" t="s">
        <v>940</v>
      </c>
      <c r="B243" s="316" t="s">
        <v>1973</v>
      </c>
      <c r="C243" s="316" t="s">
        <v>1973</v>
      </c>
      <c r="D243" s="316" t="s">
        <v>1973</v>
      </c>
      <c r="E243" s="317" t="s">
        <v>1973</v>
      </c>
      <c r="F243" s="372">
        <v>1</v>
      </c>
      <c r="G243" s="391" t="s">
        <v>36</v>
      </c>
      <c r="H243" s="392">
        <v>100000</v>
      </c>
      <c r="I243" s="319" t="b">
        <v>0</v>
      </c>
      <c r="J243" s="372"/>
      <c r="K243" s="373" t="e">
        <f>VLOOKUP($A243,'[1]Database Bahan &amp; Alat (Terupdat'!$B$50:$N$232,6,FALSE)</f>
        <v>#N/A</v>
      </c>
      <c r="L243" s="374" t="e">
        <f t="shared" si="4"/>
        <v>#N/A</v>
      </c>
      <c r="M243" s="396"/>
    </row>
    <row r="244" spans="1:13" ht="13">
      <c r="A244" s="316" t="s">
        <v>1615</v>
      </c>
      <c r="B244" s="316" t="s">
        <v>1973</v>
      </c>
      <c r="C244" s="316" t="s">
        <v>1973</v>
      </c>
      <c r="D244" s="316" t="s">
        <v>1973</v>
      </c>
      <c r="E244" s="317" t="s">
        <v>1973</v>
      </c>
      <c r="F244" s="372">
        <v>1</v>
      </c>
      <c r="G244" s="391" t="s">
        <v>62</v>
      </c>
      <c r="H244" s="392">
        <v>8000</v>
      </c>
      <c r="I244" s="395" t="b">
        <v>1</v>
      </c>
      <c r="J244" s="322">
        <v>1</v>
      </c>
      <c r="K244" s="323">
        <v>9000</v>
      </c>
      <c r="L244" s="371">
        <f t="shared" si="4"/>
        <v>9000</v>
      </c>
      <c r="M244" s="394" t="s">
        <v>1745</v>
      </c>
    </row>
    <row r="245" spans="1:13" ht="13">
      <c r="A245" s="316" t="s">
        <v>1017</v>
      </c>
      <c r="B245" s="316" t="s">
        <v>1973</v>
      </c>
      <c r="C245" s="316" t="s">
        <v>1973</v>
      </c>
      <c r="D245" s="316" t="s">
        <v>1973</v>
      </c>
      <c r="E245" s="317" t="s">
        <v>1973</v>
      </c>
      <c r="F245" s="372">
        <v>1</v>
      </c>
      <c r="G245" s="391" t="s">
        <v>62</v>
      </c>
      <c r="H245" s="392">
        <v>2500</v>
      </c>
      <c r="I245" s="319" t="b">
        <v>0</v>
      </c>
      <c r="J245" s="372"/>
      <c r="K245" s="373" t="s">
        <v>1973</v>
      </c>
      <c r="L245" s="374" t="e">
        <f t="shared" si="4"/>
        <v>#VALUE!</v>
      </c>
      <c r="M245" s="396"/>
    </row>
    <row r="246" spans="1:13" ht="13">
      <c r="A246" s="316" t="s">
        <v>1037</v>
      </c>
      <c r="B246" s="316" t="s">
        <v>1973</v>
      </c>
      <c r="C246" s="316" t="s">
        <v>1973</v>
      </c>
      <c r="D246" s="316" t="s">
        <v>1973</v>
      </c>
      <c r="E246" s="317" t="s">
        <v>1973</v>
      </c>
      <c r="F246" s="372">
        <v>1</v>
      </c>
      <c r="G246" s="391" t="s">
        <v>62</v>
      </c>
      <c r="H246" s="392">
        <v>20100</v>
      </c>
      <c r="I246" s="319" t="b">
        <v>0</v>
      </c>
      <c r="J246" s="372"/>
      <c r="K246" s="373" t="s">
        <v>1973</v>
      </c>
      <c r="L246" s="374" t="e">
        <f t="shared" si="4"/>
        <v>#VALUE!</v>
      </c>
      <c r="M246" s="396"/>
    </row>
    <row r="247" spans="1:13" ht="13">
      <c r="A247" s="316" t="s">
        <v>934</v>
      </c>
      <c r="B247" s="316" t="s">
        <v>1973</v>
      </c>
      <c r="C247" s="316" t="s">
        <v>1973</v>
      </c>
      <c r="D247" s="316" t="s">
        <v>1973</v>
      </c>
      <c r="E247" s="317" t="s">
        <v>1973</v>
      </c>
      <c r="F247" s="372">
        <v>2</v>
      </c>
      <c r="G247" s="391" t="s">
        <v>62</v>
      </c>
      <c r="H247" s="392">
        <v>16000</v>
      </c>
      <c r="I247" s="319" t="b">
        <v>0</v>
      </c>
      <c r="J247" s="372"/>
      <c r="K247" s="373" t="s">
        <v>1973</v>
      </c>
      <c r="L247" s="374" t="e">
        <f t="shared" si="4"/>
        <v>#VALUE!</v>
      </c>
      <c r="M247" s="396"/>
    </row>
    <row r="248" spans="1:13" ht="13">
      <c r="A248" s="316" t="s">
        <v>1602</v>
      </c>
      <c r="B248" s="316" t="s">
        <v>1973</v>
      </c>
      <c r="C248" s="316" t="s">
        <v>1973</v>
      </c>
      <c r="D248" s="316" t="s">
        <v>1973</v>
      </c>
      <c r="E248" s="317" t="s">
        <v>1973</v>
      </c>
      <c r="F248" s="372">
        <v>3</v>
      </c>
      <c r="G248" s="391" t="s">
        <v>36</v>
      </c>
      <c r="H248" s="392">
        <v>39000</v>
      </c>
      <c r="I248" s="393" t="b">
        <v>1</v>
      </c>
      <c r="J248" s="322">
        <v>3</v>
      </c>
      <c r="K248" s="323" t="s">
        <v>1973</v>
      </c>
      <c r="L248" s="371" t="e">
        <f t="shared" si="4"/>
        <v>#VALUE!</v>
      </c>
      <c r="M248" s="403"/>
    </row>
    <row r="249" spans="1:13" ht="13">
      <c r="A249" s="316" t="s">
        <v>528</v>
      </c>
      <c r="B249" s="316" t="s">
        <v>1973</v>
      </c>
      <c r="C249" s="316" t="s">
        <v>1973</v>
      </c>
      <c r="D249" s="316" t="s">
        <v>1973</v>
      </c>
      <c r="E249" s="317" t="s">
        <v>1973</v>
      </c>
      <c r="F249" s="372">
        <v>3</v>
      </c>
      <c r="G249" s="391" t="s">
        <v>50</v>
      </c>
      <c r="H249" s="392">
        <v>45000</v>
      </c>
      <c r="I249" s="395" t="b">
        <v>1</v>
      </c>
      <c r="J249" s="322">
        <v>3</v>
      </c>
      <c r="K249" s="323">
        <v>15000</v>
      </c>
      <c r="L249" s="379">
        <f t="shared" si="4"/>
        <v>45000</v>
      </c>
      <c r="M249" s="394" t="s">
        <v>1745</v>
      </c>
    </row>
    <row r="250" spans="1:13" ht="13">
      <c r="A250" s="316" t="s">
        <v>696</v>
      </c>
      <c r="B250" s="316" t="s">
        <v>1973</v>
      </c>
      <c r="C250" s="316" t="s">
        <v>1973</v>
      </c>
      <c r="D250" s="316" t="s">
        <v>1973</v>
      </c>
      <c r="E250" s="317" t="s">
        <v>1973</v>
      </c>
      <c r="F250" s="372">
        <v>3</v>
      </c>
      <c r="G250" s="391" t="s">
        <v>62</v>
      </c>
      <c r="H250" s="392">
        <v>30000</v>
      </c>
      <c r="I250" s="393" t="b">
        <v>1</v>
      </c>
      <c r="J250" s="322">
        <v>3</v>
      </c>
      <c r="K250" s="323" t="e">
        <f>VLOOKUP($A250,'[1]Database Bahan &amp; Alat (Terupdat'!$B$50:$N$232,6,FALSE)</f>
        <v>#N/A</v>
      </c>
      <c r="L250" s="371" t="e">
        <f t="shared" si="4"/>
        <v>#N/A</v>
      </c>
      <c r="M250" s="394"/>
    </row>
    <row r="251" spans="1:13" ht="13">
      <c r="A251" s="316" t="s">
        <v>748</v>
      </c>
      <c r="B251" s="316" t="s">
        <v>1973</v>
      </c>
      <c r="C251" s="316" t="s">
        <v>1973</v>
      </c>
      <c r="D251" s="316" t="s">
        <v>1973</v>
      </c>
      <c r="E251" s="317" t="s">
        <v>1973</v>
      </c>
      <c r="F251" s="372">
        <v>3</v>
      </c>
      <c r="G251" s="391" t="s">
        <v>62</v>
      </c>
      <c r="H251" s="392">
        <v>87000</v>
      </c>
      <c r="I251" s="395" t="b">
        <v>1</v>
      </c>
      <c r="J251" s="322">
        <v>3</v>
      </c>
      <c r="K251" s="323">
        <v>29300</v>
      </c>
      <c r="L251" s="379">
        <f t="shared" si="4"/>
        <v>87900</v>
      </c>
      <c r="M251" s="394" t="s">
        <v>1745</v>
      </c>
    </row>
    <row r="252" spans="1:13" ht="13">
      <c r="A252" s="316" t="s">
        <v>1548</v>
      </c>
      <c r="B252" s="316" t="s">
        <v>1973</v>
      </c>
      <c r="C252" s="316" t="s">
        <v>1973</v>
      </c>
      <c r="D252" s="316" t="s">
        <v>1973</v>
      </c>
      <c r="E252" s="317" t="s">
        <v>1973</v>
      </c>
      <c r="F252" s="372">
        <v>3</v>
      </c>
      <c r="G252" s="391" t="s">
        <v>62</v>
      </c>
      <c r="H252" s="392">
        <v>36000</v>
      </c>
      <c r="I252" s="393" t="b">
        <v>1</v>
      </c>
      <c r="J252" s="322">
        <v>3</v>
      </c>
      <c r="K252" s="323" t="s">
        <v>1973</v>
      </c>
      <c r="L252" s="371" t="e">
        <f t="shared" si="4"/>
        <v>#VALUE!</v>
      </c>
      <c r="M252" s="394"/>
    </row>
    <row r="253" spans="1:13" ht="13">
      <c r="A253" s="316" t="s">
        <v>680</v>
      </c>
      <c r="B253" s="316" t="s">
        <v>1973</v>
      </c>
      <c r="C253" s="316" t="s">
        <v>1973</v>
      </c>
      <c r="D253" s="316" t="s">
        <v>1973</v>
      </c>
      <c r="E253" s="317" t="s">
        <v>1973</v>
      </c>
      <c r="F253" s="372">
        <v>7</v>
      </c>
      <c r="G253" s="391" t="s">
        <v>97</v>
      </c>
      <c r="H253" s="392">
        <v>196000</v>
      </c>
      <c r="I253" s="393" t="b">
        <v>1</v>
      </c>
      <c r="J253" s="322">
        <v>7</v>
      </c>
      <c r="K253" s="323" t="s">
        <v>1973</v>
      </c>
      <c r="L253" s="371" t="e">
        <f t="shared" si="4"/>
        <v>#VALUE!</v>
      </c>
      <c r="M253" s="394"/>
    </row>
    <row r="254" spans="1:13" ht="13">
      <c r="A254" s="316" t="s">
        <v>635</v>
      </c>
      <c r="B254" s="316" t="s">
        <v>1973</v>
      </c>
      <c r="C254" s="316" t="s">
        <v>1973</v>
      </c>
      <c r="D254" s="316" t="s">
        <v>1973</v>
      </c>
      <c r="E254" s="317" t="s">
        <v>1973</v>
      </c>
      <c r="F254" s="372">
        <v>18</v>
      </c>
      <c r="G254" s="391" t="s">
        <v>50</v>
      </c>
      <c r="H254" s="392">
        <v>162000</v>
      </c>
      <c r="I254" s="393" t="b">
        <v>1</v>
      </c>
      <c r="J254" s="322">
        <v>18</v>
      </c>
      <c r="K254" s="323" t="s">
        <v>1973</v>
      </c>
      <c r="L254" s="371" t="e">
        <f t="shared" si="4"/>
        <v>#VALUE!</v>
      </c>
      <c r="M254" s="394"/>
    </row>
    <row r="255" spans="1:13" ht="13">
      <c r="A255" s="316" t="s">
        <v>127</v>
      </c>
      <c r="B255" s="316" t="s">
        <v>1756</v>
      </c>
      <c r="C255" s="316" t="s">
        <v>127</v>
      </c>
      <c r="D255" s="316" t="s">
        <v>127</v>
      </c>
      <c r="E255" s="317" t="s">
        <v>1756</v>
      </c>
      <c r="F255" s="316" t="s">
        <v>127</v>
      </c>
      <c r="G255" s="316" t="s">
        <v>127</v>
      </c>
      <c r="H255" s="316" t="s">
        <v>127</v>
      </c>
      <c r="I255" s="406" t="s">
        <v>127</v>
      </c>
      <c r="J255" s="404" t="s">
        <v>127</v>
      </c>
      <c r="K255" s="316" t="s">
        <v>127</v>
      </c>
      <c r="L255" s="405" t="s">
        <v>127</v>
      </c>
      <c r="M255" s="396" t="s">
        <v>127</v>
      </c>
    </row>
    <row r="257" spans="1:13" ht="13">
      <c r="A257" s="132" t="s">
        <v>1757</v>
      </c>
      <c r="F257" s="429">
        <v>44538</v>
      </c>
      <c r="G257" s="428"/>
      <c r="H257" s="424"/>
      <c r="J257" s="429">
        <f>F257+1</f>
        <v>44539</v>
      </c>
      <c r="K257" s="428"/>
      <c r="L257" s="424"/>
    </row>
    <row r="258" spans="1:13" ht="13">
      <c r="F258" s="425" t="s">
        <v>1490</v>
      </c>
      <c r="G258" s="426"/>
      <c r="H258" s="304">
        <f>SUM(H260:H273)</f>
        <v>899500</v>
      </c>
      <c r="J258" s="425" t="s">
        <v>1491</v>
      </c>
      <c r="K258" s="426"/>
      <c r="L258" s="304" t="e">
        <f>SUM(L260:L273)</f>
        <v>#VALUE!</v>
      </c>
    </row>
    <row r="259" spans="1:13" ht="13">
      <c r="A259" s="2" t="s">
        <v>4</v>
      </c>
      <c r="B259" s="305" t="s">
        <v>5</v>
      </c>
      <c r="C259" s="305" t="s">
        <v>11</v>
      </c>
      <c r="D259" s="305" t="s">
        <v>12</v>
      </c>
      <c r="E259" s="306" t="s">
        <v>6</v>
      </c>
      <c r="F259" s="307" t="s">
        <v>1494</v>
      </c>
      <c r="G259" s="308" t="s">
        <v>10</v>
      </c>
      <c r="H259" s="309" t="s">
        <v>1495</v>
      </c>
      <c r="I259" s="310" t="s">
        <v>1289</v>
      </c>
      <c r="J259" s="311" t="s">
        <v>1496</v>
      </c>
      <c r="K259" s="312" t="s">
        <v>1497</v>
      </c>
      <c r="L259" s="313" t="s">
        <v>1498</v>
      </c>
      <c r="M259" s="314" t="s">
        <v>16</v>
      </c>
    </row>
    <row r="260" spans="1:13" ht="13">
      <c r="A260" s="316" t="s">
        <v>1670</v>
      </c>
      <c r="B260" s="316" t="s">
        <v>1973</v>
      </c>
      <c r="C260" s="316" t="s">
        <v>1973</v>
      </c>
      <c r="D260" s="316" t="s">
        <v>1973</v>
      </c>
      <c r="E260" s="317" t="s">
        <v>1973</v>
      </c>
      <c r="F260" s="372">
        <v>1</v>
      </c>
      <c r="G260" s="391" t="s">
        <v>62</v>
      </c>
      <c r="H260" s="392">
        <v>10350</v>
      </c>
      <c r="I260" s="319" t="b">
        <v>0</v>
      </c>
      <c r="J260" s="372"/>
      <c r="K260" s="373" t="s">
        <v>1973</v>
      </c>
      <c r="L260" s="374" t="e">
        <f t="shared" ref="L260:L273" si="5">J260*K260</f>
        <v>#VALUE!</v>
      </c>
      <c r="M260" s="396"/>
    </row>
    <row r="261" spans="1:13" ht="13">
      <c r="A261" s="316" t="s">
        <v>1607</v>
      </c>
      <c r="B261" s="316" t="s">
        <v>1973</v>
      </c>
      <c r="C261" s="316" t="s">
        <v>1973</v>
      </c>
      <c r="D261" s="316" t="s">
        <v>1973</v>
      </c>
      <c r="E261" s="317" t="s">
        <v>1973</v>
      </c>
      <c r="F261" s="372">
        <v>1</v>
      </c>
      <c r="G261" s="391" t="s">
        <v>62</v>
      </c>
      <c r="H261" s="392">
        <v>10050</v>
      </c>
      <c r="I261" s="319" t="b">
        <v>0</v>
      </c>
      <c r="J261" s="372"/>
      <c r="K261" s="373" t="s">
        <v>1973</v>
      </c>
      <c r="L261" s="374" t="e">
        <f t="shared" si="5"/>
        <v>#VALUE!</v>
      </c>
      <c r="M261" s="396"/>
    </row>
    <row r="262" spans="1:13" ht="13">
      <c r="A262" s="316" t="s">
        <v>919</v>
      </c>
      <c r="B262" s="316" t="s">
        <v>1973</v>
      </c>
      <c r="C262" s="316" t="s">
        <v>1973</v>
      </c>
      <c r="D262" s="316" t="s">
        <v>1973</v>
      </c>
      <c r="E262" s="317" t="s">
        <v>1973</v>
      </c>
      <c r="F262" s="372">
        <v>2</v>
      </c>
      <c r="G262" s="391" t="s">
        <v>62</v>
      </c>
      <c r="H262" s="392">
        <v>19800</v>
      </c>
      <c r="I262" s="319" t="b">
        <v>0</v>
      </c>
      <c r="J262" s="372"/>
      <c r="K262" s="373" t="s">
        <v>1973</v>
      </c>
      <c r="L262" s="374" t="e">
        <f t="shared" si="5"/>
        <v>#VALUE!</v>
      </c>
      <c r="M262" s="396"/>
    </row>
    <row r="263" spans="1:13" ht="13">
      <c r="A263" s="316" t="s">
        <v>631</v>
      </c>
      <c r="B263" s="316" t="s">
        <v>1973</v>
      </c>
      <c r="C263" s="316" t="s">
        <v>1973</v>
      </c>
      <c r="D263" s="316" t="s">
        <v>1973</v>
      </c>
      <c r="E263" s="317" t="s">
        <v>1973</v>
      </c>
      <c r="F263" s="372">
        <v>2</v>
      </c>
      <c r="G263" s="391" t="s">
        <v>36</v>
      </c>
      <c r="H263" s="392">
        <v>32000</v>
      </c>
      <c r="I263" s="395" t="b">
        <v>1</v>
      </c>
      <c r="J263" s="322">
        <v>1</v>
      </c>
      <c r="K263" s="323">
        <v>14000</v>
      </c>
      <c r="L263" s="379">
        <f t="shared" si="5"/>
        <v>14000</v>
      </c>
      <c r="M263" s="396" t="s">
        <v>1745</v>
      </c>
    </row>
    <row r="264" spans="1:13" ht="13">
      <c r="A264" s="316" t="s">
        <v>1610</v>
      </c>
      <c r="B264" s="316" t="s">
        <v>1973</v>
      </c>
      <c r="C264" s="316" t="s">
        <v>1973</v>
      </c>
      <c r="D264" s="316" t="s">
        <v>1973</v>
      </c>
      <c r="E264" s="317" t="s">
        <v>1973</v>
      </c>
      <c r="F264" s="372">
        <v>2</v>
      </c>
      <c r="G264" s="391" t="s">
        <v>36</v>
      </c>
      <c r="H264" s="392">
        <v>16000</v>
      </c>
      <c r="I264" s="393" t="b">
        <v>1</v>
      </c>
      <c r="J264" s="322">
        <v>2</v>
      </c>
      <c r="K264" s="323" t="e">
        <f>VLOOKUP($A264,'[1]Database Bahan &amp; Alat (Terupdat'!$B$50:$N$232,6,FALSE)</f>
        <v>#N/A</v>
      </c>
      <c r="L264" s="371" t="e">
        <f t="shared" si="5"/>
        <v>#N/A</v>
      </c>
      <c r="M264" s="396"/>
    </row>
    <row r="265" spans="1:13" ht="13">
      <c r="A265" s="316" t="s">
        <v>1611</v>
      </c>
      <c r="B265" s="316" t="s">
        <v>1973</v>
      </c>
      <c r="C265" s="316" t="s">
        <v>1973</v>
      </c>
      <c r="D265" s="316" t="s">
        <v>1973</v>
      </c>
      <c r="E265" s="317" t="s">
        <v>1973</v>
      </c>
      <c r="F265" s="372">
        <v>2</v>
      </c>
      <c r="G265" s="391" t="s">
        <v>36</v>
      </c>
      <c r="H265" s="392">
        <v>80000</v>
      </c>
      <c r="I265" s="395" t="b">
        <v>1</v>
      </c>
      <c r="J265" s="322">
        <v>2</v>
      </c>
      <c r="K265" s="323">
        <v>44000</v>
      </c>
      <c r="L265" s="379">
        <f t="shared" si="5"/>
        <v>88000</v>
      </c>
      <c r="M265" s="396" t="s">
        <v>1745</v>
      </c>
    </row>
    <row r="266" spans="1:13" ht="13">
      <c r="A266" s="316" t="s">
        <v>1612</v>
      </c>
      <c r="B266" s="316" t="s">
        <v>1973</v>
      </c>
      <c r="C266" s="316" t="s">
        <v>1973</v>
      </c>
      <c r="D266" s="316" t="s">
        <v>1973</v>
      </c>
      <c r="E266" s="317" t="s">
        <v>1973</v>
      </c>
      <c r="F266" s="372">
        <v>6</v>
      </c>
      <c r="G266" s="391" t="s">
        <v>36</v>
      </c>
      <c r="H266" s="392">
        <f>F266*25300</f>
        <v>151800</v>
      </c>
      <c r="I266" s="395" t="b">
        <v>1</v>
      </c>
      <c r="J266" s="322">
        <v>6</v>
      </c>
      <c r="K266" s="323">
        <v>27000</v>
      </c>
      <c r="L266" s="379">
        <f t="shared" si="5"/>
        <v>162000</v>
      </c>
      <c r="M266" s="396" t="s">
        <v>1745</v>
      </c>
    </row>
    <row r="267" spans="1:13" ht="13">
      <c r="A267" s="316" t="s">
        <v>1764</v>
      </c>
      <c r="B267" s="316" t="s">
        <v>1973</v>
      </c>
      <c r="C267" s="316" t="s">
        <v>1973</v>
      </c>
      <c r="D267" s="316" t="s">
        <v>1973</v>
      </c>
      <c r="E267" s="317" t="s">
        <v>1973</v>
      </c>
      <c r="F267" s="372">
        <v>1</v>
      </c>
      <c r="G267" s="391" t="s">
        <v>36</v>
      </c>
      <c r="H267" s="392">
        <v>40000</v>
      </c>
      <c r="I267" s="393" t="b">
        <v>1</v>
      </c>
      <c r="J267" s="322">
        <v>0.25</v>
      </c>
      <c r="K267" s="323" t="s">
        <v>1973</v>
      </c>
      <c r="L267" s="371" t="e">
        <f t="shared" si="5"/>
        <v>#VALUE!</v>
      </c>
      <c r="M267" s="396"/>
    </row>
    <row r="268" spans="1:13" ht="13">
      <c r="A268" s="316" t="s">
        <v>1608</v>
      </c>
      <c r="B268" s="316" t="s">
        <v>1973</v>
      </c>
      <c r="C268" s="316" t="s">
        <v>1973</v>
      </c>
      <c r="D268" s="316" t="s">
        <v>1973</v>
      </c>
      <c r="E268" s="317" t="s">
        <v>1973</v>
      </c>
      <c r="F268" s="372">
        <v>1</v>
      </c>
      <c r="G268" s="391" t="s">
        <v>36</v>
      </c>
      <c r="H268" s="392">
        <v>34000</v>
      </c>
      <c r="I268" s="319" t="b">
        <v>0</v>
      </c>
      <c r="J268" s="372"/>
      <c r="K268" s="373" t="s">
        <v>1973</v>
      </c>
      <c r="L268" s="374" t="e">
        <f t="shared" si="5"/>
        <v>#VALUE!</v>
      </c>
      <c r="M268" s="396"/>
    </row>
    <row r="269" spans="1:13" ht="13">
      <c r="A269" s="316" t="s">
        <v>1020</v>
      </c>
      <c r="B269" s="316" t="s">
        <v>1973</v>
      </c>
      <c r="C269" s="316" t="s">
        <v>1973</v>
      </c>
      <c r="D269" s="316" t="s">
        <v>1973</v>
      </c>
      <c r="E269" s="317" t="s">
        <v>1973</v>
      </c>
      <c r="F269" s="372">
        <v>0.5</v>
      </c>
      <c r="G269" s="391" t="s">
        <v>36</v>
      </c>
      <c r="H269" s="392">
        <v>5000</v>
      </c>
      <c r="I269" s="393" t="b">
        <v>1</v>
      </c>
      <c r="J269" s="322">
        <v>0.5</v>
      </c>
      <c r="K269" s="323" t="s">
        <v>1973</v>
      </c>
      <c r="L269" s="371" t="e">
        <f t="shared" si="5"/>
        <v>#VALUE!</v>
      </c>
      <c r="M269" s="396"/>
    </row>
    <row r="270" spans="1:13" ht="13">
      <c r="A270" s="316" t="s">
        <v>779</v>
      </c>
      <c r="B270" s="316" t="s">
        <v>1973</v>
      </c>
      <c r="C270" s="316" t="s">
        <v>1973</v>
      </c>
      <c r="D270" s="316" t="s">
        <v>1973</v>
      </c>
      <c r="E270" s="317" t="s">
        <v>1973</v>
      </c>
      <c r="F270" s="372">
        <v>3</v>
      </c>
      <c r="G270" s="391" t="s">
        <v>62</v>
      </c>
      <c r="H270" s="392">
        <v>115500</v>
      </c>
      <c r="I270" s="395" t="b">
        <v>1</v>
      </c>
      <c r="J270" s="322">
        <v>3</v>
      </c>
      <c r="K270" s="323">
        <v>35000</v>
      </c>
      <c r="L270" s="379">
        <f t="shared" si="5"/>
        <v>105000</v>
      </c>
      <c r="M270" s="396" t="s">
        <v>1745</v>
      </c>
    </row>
    <row r="271" spans="1:13" ht="13">
      <c r="A271" s="316" t="s">
        <v>1606</v>
      </c>
      <c r="B271" s="316" t="s">
        <v>1973</v>
      </c>
      <c r="C271" s="316" t="s">
        <v>1973</v>
      </c>
      <c r="D271" s="316" t="s">
        <v>1973</v>
      </c>
      <c r="E271" s="317" t="s">
        <v>1973</v>
      </c>
      <c r="F271" s="372">
        <v>0.5</v>
      </c>
      <c r="G271" s="391" t="s">
        <v>36</v>
      </c>
      <c r="H271" s="392">
        <v>17500</v>
      </c>
      <c r="I271" s="395" t="b">
        <v>1</v>
      </c>
      <c r="J271" s="322">
        <v>0.40600000000000003</v>
      </c>
      <c r="K271" s="323">
        <v>43200</v>
      </c>
      <c r="L271" s="379">
        <f t="shared" si="5"/>
        <v>17539.2</v>
      </c>
      <c r="M271" s="396" t="s">
        <v>1745</v>
      </c>
    </row>
    <row r="272" spans="1:13" ht="13">
      <c r="A272" s="316" t="s">
        <v>643</v>
      </c>
      <c r="B272" s="316" t="s">
        <v>1973</v>
      </c>
      <c r="C272" s="316" t="s">
        <v>1973</v>
      </c>
      <c r="D272" s="316" t="s">
        <v>1973</v>
      </c>
      <c r="E272" s="317" t="s">
        <v>1973</v>
      </c>
      <c r="F272" s="372">
        <v>0.5</v>
      </c>
      <c r="G272" s="391" t="s">
        <v>36</v>
      </c>
      <c r="H272" s="392">
        <v>7500</v>
      </c>
      <c r="I272" s="395" t="b">
        <v>1</v>
      </c>
      <c r="J272" s="322">
        <v>0.5</v>
      </c>
      <c r="K272" s="323">
        <v>20000</v>
      </c>
      <c r="L272" s="379">
        <f t="shared" si="5"/>
        <v>10000</v>
      </c>
      <c r="M272" s="396" t="s">
        <v>1745</v>
      </c>
    </row>
    <row r="273" spans="1:13" ht="13">
      <c r="A273" s="316" t="s">
        <v>892</v>
      </c>
      <c r="B273" s="316" t="s">
        <v>1973</v>
      </c>
      <c r="C273" s="316" t="s">
        <v>1973</v>
      </c>
      <c r="D273" s="316" t="s">
        <v>1973</v>
      </c>
      <c r="E273" s="317" t="s">
        <v>1973</v>
      </c>
      <c r="F273" s="372">
        <v>3</v>
      </c>
      <c r="G273" s="391" t="s">
        <v>36</v>
      </c>
      <c r="H273" s="392">
        <v>360000</v>
      </c>
      <c r="I273" s="319" t="b">
        <v>0</v>
      </c>
      <c r="J273" s="372"/>
      <c r="K273" s="373" t="e">
        <f>VLOOKUP($A273,'[1]Database Bahan &amp; Alat (Terupdat'!$B$50:$N$232,6,FALSE)</f>
        <v>#N/A</v>
      </c>
      <c r="L273" s="374" t="e">
        <f t="shared" si="5"/>
        <v>#N/A</v>
      </c>
      <c r="M273" s="396"/>
    </row>
    <row r="274" spans="1:13" ht="13">
      <c r="A274" s="386" t="s">
        <v>127</v>
      </c>
      <c r="B274" s="386" t="s">
        <v>1756</v>
      </c>
      <c r="C274" s="386"/>
      <c r="D274" s="386"/>
      <c r="E274" s="329" t="s">
        <v>1756</v>
      </c>
      <c r="F274" s="387" t="s">
        <v>127</v>
      </c>
      <c r="G274" s="386" t="s">
        <v>127</v>
      </c>
      <c r="H274" s="388" t="s">
        <v>127</v>
      </c>
      <c r="I274" s="389"/>
      <c r="J274" s="387"/>
      <c r="K274" s="386"/>
      <c r="L274" s="388"/>
      <c r="M274" s="390"/>
    </row>
    <row r="276" spans="1:13" ht="13">
      <c r="A276" s="132" t="s">
        <v>1757</v>
      </c>
      <c r="F276" s="429">
        <v>44540</v>
      </c>
      <c r="G276" s="428"/>
      <c r="H276" s="424"/>
      <c r="J276" s="429">
        <f>F276+1</f>
        <v>44541</v>
      </c>
      <c r="K276" s="428"/>
      <c r="L276" s="424"/>
    </row>
    <row r="277" spans="1:13" ht="13">
      <c r="F277" s="425" t="s">
        <v>1490</v>
      </c>
      <c r="G277" s="426"/>
      <c r="H277" s="304">
        <f>SUM(H279:H303)</f>
        <v>734850</v>
      </c>
      <c r="J277" s="425" t="s">
        <v>1491</v>
      </c>
      <c r="K277" s="426"/>
      <c r="L277" s="304" t="e">
        <f>SUM(L279:L303)</f>
        <v>#VALUE!</v>
      </c>
    </row>
    <row r="278" spans="1:13" ht="13">
      <c r="A278" s="2" t="s">
        <v>4</v>
      </c>
      <c r="B278" s="305" t="s">
        <v>5</v>
      </c>
      <c r="C278" s="305" t="s">
        <v>11</v>
      </c>
      <c r="D278" s="305" t="s">
        <v>12</v>
      </c>
      <c r="E278" s="306" t="s">
        <v>6</v>
      </c>
      <c r="F278" s="307" t="s">
        <v>1494</v>
      </c>
      <c r="G278" s="308" t="s">
        <v>10</v>
      </c>
      <c r="H278" s="309" t="s">
        <v>1495</v>
      </c>
      <c r="I278" s="310" t="s">
        <v>1289</v>
      </c>
      <c r="J278" s="311" t="s">
        <v>1496</v>
      </c>
      <c r="K278" s="312" t="s">
        <v>1497</v>
      </c>
      <c r="L278" s="313" t="s">
        <v>1498</v>
      </c>
      <c r="M278" s="314" t="s">
        <v>16</v>
      </c>
    </row>
    <row r="279" spans="1:13" ht="13">
      <c r="A279" s="316" t="s">
        <v>1598</v>
      </c>
      <c r="B279" s="316" t="s">
        <v>1973</v>
      </c>
      <c r="C279" s="316" t="s">
        <v>1973</v>
      </c>
      <c r="D279" s="316" t="s">
        <v>1973</v>
      </c>
      <c r="E279" s="317" t="s">
        <v>1973</v>
      </c>
      <c r="F279" s="372">
        <v>2</v>
      </c>
      <c r="G279" s="391" t="s">
        <v>97</v>
      </c>
      <c r="H279" s="392">
        <v>20800</v>
      </c>
      <c r="I279" s="319" t="b">
        <v>0</v>
      </c>
      <c r="J279" s="372"/>
      <c r="K279" s="373" t="s">
        <v>1973</v>
      </c>
      <c r="L279" s="374" t="e">
        <f t="shared" ref="L279:L303" si="6">J279*K279</f>
        <v>#VALUE!</v>
      </c>
      <c r="M279" s="396"/>
    </row>
    <row r="280" spans="1:13" ht="13">
      <c r="A280" s="316" t="s">
        <v>782</v>
      </c>
      <c r="B280" s="316" t="s">
        <v>1973</v>
      </c>
      <c r="C280" s="316" t="s">
        <v>1973</v>
      </c>
      <c r="D280" s="316" t="s">
        <v>1973</v>
      </c>
      <c r="E280" s="317" t="s">
        <v>1973</v>
      </c>
      <c r="F280" s="372">
        <v>1</v>
      </c>
      <c r="G280" s="391" t="s">
        <v>62</v>
      </c>
      <c r="H280" s="392">
        <v>12000</v>
      </c>
      <c r="I280" s="319" t="b">
        <v>0</v>
      </c>
      <c r="J280" s="372"/>
      <c r="K280" s="373" t="s">
        <v>1973</v>
      </c>
      <c r="L280" s="374" t="e">
        <f t="shared" si="6"/>
        <v>#VALUE!</v>
      </c>
      <c r="M280" s="396"/>
    </row>
    <row r="281" spans="1:13" ht="13">
      <c r="A281" s="316" t="s">
        <v>1661</v>
      </c>
      <c r="B281" s="316" t="s">
        <v>1973</v>
      </c>
      <c r="C281" s="316" t="s">
        <v>1973</v>
      </c>
      <c r="D281" s="316" t="s">
        <v>1973</v>
      </c>
      <c r="E281" s="317" t="s">
        <v>1973</v>
      </c>
      <c r="F281" s="372">
        <v>1</v>
      </c>
      <c r="G281" s="391" t="s">
        <v>97</v>
      </c>
      <c r="H281" s="392">
        <v>14600</v>
      </c>
      <c r="I281" s="319" t="b">
        <v>0</v>
      </c>
      <c r="J281" s="372"/>
      <c r="K281" s="373" t="s">
        <v>1973</v>
      </c>
      <c r="L281" s="374" t="e">
        <f t="shared" si="6"/>
        <v>#VALUE!</v>
      </c>
      <c r="M281" s="396"/>
    </row>
    <row r="282" spans="1:13" ht="13">
      <c r="A282" s="316" t="s">
        <v>1607</v>
      </c>
      <c r="B282" s="316" t="s">
        <v>1973</v>
      </c>
      <c r="C282" s="316" t="s">
        <v>1973</v>
      </c>
      <c r="D282" s="316" t="s">
        <v>1973</v>
      </c>
      <c r="E282" s="317" t="s">
        <v>1973</v>
      </c>
      <c r="F282" s="372">
        <v>1</v>
      </c>
      <c r="G282" s="391" t="s">
        <v>62</v>
      </c>
      <c r="H282" s="392">
        <v>10050</v>
      </c>
      <c r="I282" s="319" t="b">
        <v>0</v>
      </c>
      <c r="J282" s="372"/>
      <c r="K282" s="373" t="s">
        <v>1973</v>
      </c>
      <c r="L282" s="374" t="e">
        <f t="shared" si="6"/>
        <v>#VALUE!</v>
      </c>
      <c r="M282" s="396"/>
    </row>
    <row r="283" spans="1:13" ht="13">
      <c r="A283" s="316" t="s">
        <v>919</v>
      </c>
      <c r="B283" s="316" t="s">
        <v>1973</v>
      </c>
      <c r="C283" s="316" t="s">
        <v>1973</v>
      </c>
      <c r="D283" s="316" t="s">
        <v>1973</v>
      </c>
      <c r="E283" s="317" t="s">
        <v>1973</v>
      </c>
      <c r="F283" s="372">
        <v>4</v>
      </c>
      <c r="G283" s="391" t="s">
        <v>62</v>
      </c>
      <c r="H283" s="392">
        <v>39600</v>
      </c>
      <c r="I283" s="319" t="b">
        <v>0</v>
      </c>
      <c r="J283" s="372"/>
      <c r="K283" s="373" t="s">
        <v>1973</v>
      </c>
      <c r="L283" s="374" t="e">
        <f t="shared" si="6"/>
        <v>#VALUE!</v>
      </c>
      <c r="M283" s="396"/>
    </row>
    <row r="284" spans="1:13" ht="13">
      <c r="A284" s="316" t="s">
        <v>639</v>
      </c>
      <c r="B284" s="316" t="s">
        <v>1973</v>
      </c>
      <c r="C284" s="316" t="s">
        <v>1973</v>
      </c>
      <c r="D284" s="316" t="s">
        <v>1973</v>
      </c>
      <c r="E284" s="317" t="s">
        <v>1973</v>
      </c>
      <c r="F284" s="372">
        <v>1</v>
      </c>
      <c r="G284" s="391" t="s">
        <v>36</v>
      </c>
      <c r="H284" s="392">
        <v>125000</v>
      </c>
      <c r="I284" s="393" t="b">
        <v>1</v>
      </c>
      <c r="J284" s="322">
        <v>1.3</v>
      </c>
      <c r="K284" s="323" t="s">
        <v>1973</v>
      </c>
      <c r="L284" s="371" t="e">
        <f t="shared" si="6"/>
        <v>#VALUE!</v>
      </c>
      <c r="M284" s="396"/>
    </row>
    <row r="285" spans="1:13" ht="13">
      <c r="A285" s="316" t="s">
        <v>1610</v>
      </c>
      <c r="B285" s="316" t="s">
        <v>1973</v>
      </c>
      <c r="C285" s="316" t="s">
        <v>1973</v>
      </c>
      <c r="D285" s="316" t="s">
        <v>1973</v>
      </c>
      <c r="E285" s="317" t="s">
        <v>1973</v>
      </c>
      <c r="F285" s="372">
        <v>1</v>
      </c>
      <c r="G285" s="391" t="s">
        <v>36</v>
      </c>
      <c r="H285" s="392">
        <v>8000</v>
      </c>
      <c r="I285" s="393" t="b">
        <v>1</v>
      </c>
      <c r="J285" s="322">
        <v>1</v>
      </c>
      <c r="K285" s="323" t="s">
        <v>1973</v>
      </c>
      <c r="L285" s="371" t="e">
        <f t="shared" si="6"/>
        <v>#VALUE!</v>
      </c>
      <c r="M285" s="396"/>
    </row>
    <row r="286" spans="1:13" ht="13">
      <c r="A286" s="316" t="s">
        <v>1611</v>
      </c>
      <c r="B286" s="316" t="s">
        <v>1973</v>
      </c>
      <c r="C286" s="316" t="s">
        <v>1973</v>
      </c>
      <c r="D286" s="316" t="s">
        <v>1973</v>
      </c>
      <c r="E286" s="317" t="s">
        <v>1973</v>
      </c>
      <c r="F286" s="372">
        <v>3</v>
      </c>
      <c r="G286" s="391" t="s">
        <v>36</v>
      </c>
      <c r="H286" s="392">
        <v>120000</v>
      </c>
      <c r="I286" s="395" t="b">
        <v>1</v>
      </c>
      <c r="J286" s="322">
        <v>3</v>
      </c>
      <c r="K286" s="323">
        <v>44000</v>
      </c>
      <c r="L286" s="379">
        <f t="shared" si="6"/>
        <v>132000</v>
      </c>
      <c r="M286" s="396" t="s">
        <v>1745</v>
      </c>
    </row>
    <row r="287" spans="1:13" ht="13">
      <c r="A287" s="316" t="s">
        <v>1699</v>
      </c>
      <c r="B287" s="316" t="s">
        <v>1973</v>
      </c>
      <c r="C287" s="316" t="s">
        <v>1973</v>
      </c>
      <c r="D287" s="316" t="s">
        <v>1973</v>
      </c>
      <c r="E287" s="317" t="s">
        <v>1973</v>
      </c>
      <c r="F287" s="372">
        <v>1</v>
      </c>
      <c r="G287" s="391" t="s">
        <v>36</v>
      </c>
      <c r="H287" s="392">
        <v>68000</v>
      </c>
      <c r="I287" s="395" t="b">
        <v>1</v>
      </c>
      <c r="J287" s="322">
        <v>0.5</v>
      </c>
      <c r="K287" s="323">
        <v>60000</v>
      </c>
      <c r="L287" s="379">
        <f t="shared" si="6"/>
        <v>30000</v>
      </c>
      <c r="M287" s="396" t="s">
        <v>1745</v>
      </c>
    </row>
    <row r="288" spans="1:13" ht="13">
      <c r="A288" s="316" t="s">
        <v>675</v>
      </c>
      <c r="B288" s="316" t="s">
        <v>1973</v>
      </c>
      <c r="C288" s="316" t="s">
        <v>1973</v>
      </c>
      <c r="D288" s="316" t="s">
        <v>1973</v>
      </c>
      <c r="E288" s="317" t="s">
        <v>1973</v>
      </c>
      <c r="F288" s="372">
        <v>10</v>
      </c>
      <c r="G288" s="391" t="s">
        <v>62</v>
      </c>
      <c r="H288" s="392">
        <v>35000</v>
      </c>
      <c r="I288" s="393" t="b">
        <v>1</v>
      </c>
      <c r="J288" s="322">
        <v>10</v>
      </c>
      <c r="K288" s="323" t="s">
        <v>1973</v>
      </c>
      <c r="L288" s="371" t="e">
        <f t="shared" si="6"/>
        <v>#VALUE!</v>
      </c>
      <c r="M288" s="396"/>
    </row>
    <row r="289" spans="1:13" ht="13">
      <c r="A289" s="316" t="s">
        <v>712</v>
      </c>
      <c r="B289" s="316" t="s">
        <v>1973</v>
      </c>
      <c r="C289" s="316" t="s">
        <v>1973</v>
      </c>
      <c r="D289" s="316" t="s">
        <v>1973</v>
      </c>
      <c r="E289" s="317" t="s">
        <v>1973</v>
      </c>
      <c r="F289" s="372">
        <v>1</v>
      </c>
      <c r="G289" s="391" t="s">
        <v>36</v>
      </c>
      <c r="H289" s="392">
        <v>24000</v>
      </c>
      <c r="I289" s="393" t="b">
        <v>1</v>
      </c>
      <c r="J289" s="322">
        <v>1</v>
      </c>
      <c r="K289" s="323" t="s">
        <v>1973</v>
      </c>
      <c r="L289" s="371" t="e">
        <f t="shared" si="6"/>
        <v>#VALUE!</v>
      </c>
      <c r="M289" s="396"/>
    </row>
    <row r="290" spans="1:13" ht="13">
      <c r="A290" s="316" t="s">
        <v>724</v>
      </c>
      <c r="B290" s="316" t="s">
        <v>1973</v>
      </c>
      <c r="C290" s="316" t="s">
        <v>1973</v>
      </c>
      <c r="D290" s="316" t="s">
        <v>1973</v>
      </c>
      <c r="E290" s="317" t="s">
        <v>1973</v>
      </c>
      <c r="F290" s="372">
        <v>0.3</v>
      </c>
      <c r="G290" s="391" t="s">
        <v>36</v>
      </c>
      <c r="H290" s="392">
        <v>6000</v>
      </c>
      <c r="I290" s="393" t="b">
        <v>1</v>
      </c>
      <c r="J290" s="322">
        <v>0.25</v>
      </c>
      <c r="K290" s="323" t="s">
        <v>1973</v>
      </c>
      <c r="L290" s="371" t="e">
        <f t="shared" si="6"/>
        <v>#VALUE!</v>
      </c>
      <c r="M290" s="396"/>
    </row>
    <row r="291" spans="1:13" ht="13">
      <c r="A291" s="316" t="s">
        <v>732</v>
      </c>
      <c r="B291" s="316" t="s">
        <v>1973</v>
      </c>
      <c r="C291" s="316" t="s">
        <v>1973</v>
      </c>
      <c r="D291" s="316" t="s">
        <v>1973</v>
      </c>
      <c r="E291" s="317" t="s">
        <v>1973</v>
      </c>
      <c r="F291" s="372">
        <v>2</v>
      </c>
      <c r="G291" s="391" t="s">
        <v>36</v>
      </c>
      <c r="H291" s="392">
        <v>44000</v>
      </c>
      <c r="I291" s="393" t="b">
        <v>1</v>
      </c>
      <c r="J291" s="322">
        <v>2</v>
      </c>
      <c r="K291" s="323" t="s">
        <v>1973</v>
      </c>
      <c r="L291" s="371" t="e">
        <f t="shared" si="6"/>
        <v>#VALUE!</v>
      </c>
      <c r="M291" s="396"/>
    </row>
    <row r="292" spans="1:13" ht="13">
      <c r="A292" s="316" t="s">
        <v>744</v>
      </c>
      <c r="B292" s="316" t="s">
        <v>1973</v>
      </c>
      <c r="C292" s="316" t="s">
        <v>1973</v>
      </c>
      <c r="D292" s="316" t="s">
        <v>1973</v>
      </c>
      <c r="E292" s="317" t="s">
        <v>1973</v>
      </c>
      <c r="F292" s="372">
        <v>1</v>
      </c>
      <c r="G292" s="391" t="s">
        <v>36</v>
      </c>
      <c r="H292" s="392">
        <v>44000</v>
      </c>
      <c r="I292" s="395" t="b">
        <v>1</v>
      </c>
      <c r="J292" s="322">
        <v>0.5</v>
      </c>
      <c r="K292" s="323">
        <v>56000</v>
      </c>
      <c r="L292" s="379">
        <f t="shared" si="6"/>
        <v>28000</v>
      </c>
      <c r="M292" s="396" t="s">
        <v>1745</v>
      </c>
    </row>
    <row r="293" spans="1:13" ht="13">
      <c r="A293" s="316" t="s">
        <v>795</v>
      </c>
      <c r="B293" s="316" t="s">
        <v>1973</v>
      </c>
      <c r="C293" s="316" t="s">
        <v>1973</v>
      </c>
      <c r="D293" s="316" t="s">
        <v>1973</v>
      </c>
      <c r="E293" s="317" t="s">
        <v>1973</v>
      </c>
      <c r="F293" s="372">
        <v>5</v>
      </c>
      <c r="G293" s="391" t="s">
        <v>62</v>
      </c>
      <c r="H293" s="392">
        <v>25000</v>
      </c>
      <c r="I293" s="393" t="b">
        <v>1</v>
      </c>
      <c r="J293" s="322">
        <v>5</v>
      </c>
      <c r="K293" s="323" t="e">
        <f>VLOOKUP($A293,'[1]Database Bahan &amp; Alat (Terupdat'!$B$50:$N$232,6,FALSE)</f>
        <v>#N/A</v>
      </c>
      <c r="L293" s="324" t="e">
        <f t="shared" si="6"/>
        <v>#N/A</v>
      </c>
      <c r="M293" s="396"/>
    </row>
    <row r="294" spans="1:13" ht="13">
      <c r="A294" s="316" t="s">
        <v>1704</v>
      </c>
      <c r="B294" s="316" t="s">
        <v>1973</v>
      </c>
      <c r="C294" s="316" t="s">
        <v>1973</v>
      </c>
      <c r="D294" s="316" t="s">
        <v>1973</v>
      </c>
      <c r="E294" s="317" t="s">
        <v>1973</v>
      </c>
      <c r="F294" s="372">
        <v>0.15</v>
      </c>
      <c r="G294" s="391" t="s">
        <v>36</v>
      </c>
      <c r="H294" s="392">
        <v>1800</v>
      </c>
      <c r="I294" s="395" t="b">
        <v>1</v>
      </c>
      <c r="J294" s="322">
        <v>0.2</v>
      </c>
      <c r="K294" s="323">
        <v>10000</v>
      </c>
      <c r="L294" s="379">
        <f t="shared" si="6"/>
        <v>2000</v>
      </c>
      <c r="M294" s="396" t="s">
        <v>1745</v>
      </c>
    </row>
    <row r="295" spans="1:13" ht="13">
      <c r="A295" s="316" t="s">
        <v>819</v>
      </c>
      <c r="B295" s="316" t="s">
        <v>1973</v>
      </c>
      <c r="C295" s="316" t="s">
        <v>1973</v>
      </c>
      <c r="D295" s="316" t="s">
        <v>1973</v>
      </c>
      <c r="E295" s="317" t="s">
        <v>1973</v>
      </c>
      <c r="F295" s="372">
        <v>0.1</v>
      </c>
      <c r="G295" s="391" t="s">
        <v>36</v>
      </c>
      <c r="H295" s="392">
        <v>2000</v>
      </c>
      <c r="I295" s="319" t="b">
        <v>0</v>
      </c>
      <c r="J295" s="372"/>
      <c r="K295" s="373" t="e">
        <f>VLOOKUP($A295,'[1]Database Bahan &amp; Alat (Terupdat'!$B$50:$N$232,6,FALSE)</f>
        <v>#N/A</v>
      </c>
      <c r="L295" s="374" t="e">
        <f t="shared" si="6"/>
        <v>#N/A</v>
      </c>
      <c r="M295" s="396"/>
    </row>
    <row r="296" spans="1:13" ht="13">
      <c r="A296" s="316" t="s">
        <v>827</v>
      </c>
      <c r="B296" s="316" t="s">
        <v>1973</v>
      </c>
      <c r="C296" s="316" t="s">
        <v>1973</v>
      </c>
      <c r="D296" s="316" t="s">
        <v>1973</v>
      </c>
      <c r="E296" s="317" t="s">
        <v>1973</v>
      </c>
      <c r="F296" s="372">
        <v>0.5</v>
      </c>
      <c r="G296" s="391" t="s">
        <v>36</v>
      </c>
      <c r="H296" s="392">
        <v>4000</v>
      </c>
      <c r="I296" s="395" t="b">
        <v>1</v>
      </c>
      <c r="J296" s="322">
        <v>0.5</v>
      </c>
      <c r="K296" s="323">
        <v>7000</v>
      </c>
      <c r="L296" s="379">
        <f t="shared" si="6"/>
        <v>3500</v>
      </c>
      <c r="M296" s="396" t="s">
        <v>1745</v>
      </c>
    </row>
    <row r="297" spans="1:13" ht="13">
      <c r="A297" s="316" t="s">
        <v>1613</v>
      </c>
      <c r="B297" s="316" t="s">
        <v>1973</v>
      </c>
      <c r="C297" s="316" t="s">
        <v>1973</v>
      </c>
      <c r="D297" s="316" t="s">
        <v>1973</v>
      </c>
      <c r="E297" s="317" t="s">
        <v>1973</v>
      </c>
      <c r="F297" s="372">
        <v>0.5</v>
      </c>
      <c r="G297" s="391" t="s">
        <v>36</v>
      </c>
      <c r="H297" s="392">
        <v>21500</v>
      </c>
      <c r="I297" s="395" t="b">
        <v>1</v>
      </c>
      <c r="J297" s="322">
        <v>0.5</v>
      </c>
      <c r="K297" s="323">
        <v>46000</v>
      </c>
      <c r="L297" s="379">
        <f t="shared" si="6"/>
        <v>23000</v>
      </c>
      <c r="M297" s="396"/>
    </row>
    <row r="298" spans="1:13" ht="13">
      <c r="A298" s="316" t="s">
        <v>1614</v>
      </c>
      <c r="B298" s="316" t="s">
        <v>1973</v>
      </c>
      <c r="C298" s="316" t="s">
        <v>1973</v>
      </c>
      <c r="D298" s="316" t="s">
        <v>1973</v>
      </c>
      <c r="E298" s="317" t="s">
        <v>1973</v>
      </c>
      <c r="F298" s="372">
        <v>0.25</v>
      </c>
      <c r="G298" s="391" t="s">
        <v>36</v>
      </c>
      <c r="H298" s="392">
        <v>32000</v>
      </c>
      <c r="I298" s="393" t="b">
        <v>1</v>
      </c>
      <c r="J298" s="322">
        <v>0.5</v>
      </c>
      <c r="K298" s="323" t="e">
        <f>VLOOKUP($A298,'[1]Database Bahan &amp; Alat (Terupdat'!$B$50:$N$232,6,FALSE)</f>
        <v>#N/A</v>
      </c>
      <c r="L298" s="371" t="e">
        <f t="shared" si="6"/>
        <v>#N/A</v>
      </c>
      <c r="M298" s="396"/>
    </row>
    <row r="299" spans="1:13" ht="13">
      <c r="A299" s="316" t="s">
        <v>885</v>
      </c>
      <c r="B299" s="316" t="s">
        <v>1973</v>
      </c>
      <c r="C299" s="316" t="s">
        <v>1973</v>
      </c>
      <c r="D299" s="316" t="s">
        <v>1973</v>
      </c>
      <c r="E299" s="317" t="s">
        <v>1973</v>
      </c>
      <c r="F299" s="372">
        <v>0.25</v>
      </c>
      <c r="G299" s="391" t="s">
        <v>36</v>
      </c>
      <c r="H299" s="392">
        <v>3000</v>
      </c>
      <c r="I299" s="395" t="b">
        <v>1</v>
      </c>
      <c r="J299" s="322">
        <v>0.2</v>
      </c>
      <c r="K299" s="323">
        <v>30000</v>
      </c>
      <c r="L299" s="379">
        <f t="shared" si="6"/>
        <v>6000</v>
      </c>
      <c r="M299" s="396" t="s">
        <v>1745</v>
      </c>
    </row>
    <row r="300" spans="1:13" ht="13">
      <c r="A300" s="316" t="s">
        <v>1608</v>
      </c>
      <c r="B300" s="316" t="s">
        <v>1973</v>
      </c>
      <c r="C300" s="316" t="s">
        <v>1973</v>
      </c>
      <c r="D300" s="316" t="s">
        <v>1973</v>
      </c>
      <c r="E300" s="317" t="s">
        <v>1973</v>
      </c>
      <c r="F300" s="372">
        <v>1</v>
      </c>
      <c r="G300" s="391" t="s">
        <v>36</v>
      </c>
      <c r="H300" s="392">
        <v>34000</v>
      </c>
      <c r="I300" s="319" t="b">
        <v>0</v>
      </c>
      <c r="J300" s="372"/>
      <c r="K300" s="373" t="s">
        <v>1973</v>
      </c>
      <c r="L300" s="374" t="e">
        <f t="shared" si="6"/>
        <v>#VALUE!</v>
      </c>
      <c r="M300" s="396"/>
    </row>
    <row r="301" spans="1:13" ht="13">
      <c r="A301" s="316" t="s">
        <v>1600</v>
      </c>
      <c r="B301" s="316" t="s">
        <v>1973</v>
      </c>
      <c r="C301" s="316" t="s">
        <v>1973</v>
      </c>
      <c r="D301" s="316" t="s">
        <v>1973</v>
      </c>
      <c r="E301" s="317" t="s">
        <v>1973</v>
      </c>
      <c r="F301" s="372">
        <v>1</v>
      </c>
      <c r="G301" s="391" t="s">
        <v>36</v>
      </c>
      <c r="H301" s="392">
        <v>8000</v>
      </c>
      <c r="I301" s="393" t="b">
        <v>1</v>
      </c>
      <c r="J301" s="322">
        <v>0.5</v>
      </c>
      <c r="K301" s="323" t="s">
        <v>1973</v>
      </c>
      <c r="L301" s="371" t="e">
        <f t="shared" si="6"/>
        <v>#VALUE!</v>
      </c>
      <c r="M301" s="396"/>
    </row>
    <row r="302" spans="1:13" ht="13">
      <c r="A302" s="316" t="s">
        <v>1606</v>
      </c>
      <c r="B302" s="316" t="s">
        <v>1973</v>
      </c>
      <c r="C302" s="316" t="s">
        <v>1973</v>
      </c>
      <c r="D302" s="316" t="s">
        <v>1973</v>
      </c>
      <c r="E302" s="317" t="s">
        <v>1973</v>
      </c>
      <c r="F302" s="372">
        <v>0.5</v>
      </c>
      <c r="G302" s="391" t="s">
        <v>36</v>
      </c>
      <c r="H302" s="392">
        <v>17500</v>
      </c>
      <c r="I302" s="319" t="b">
        <v>0</v>
      </c>
      <c r="J302" s="372"/>
      <c r="K302" s="373" t="s">
        <v>1973</v>
      </c>
      <c r="L302" s="374" t="e">
        <f t="shared" si="6"/>
        <v>#VALUE!</v>
      </c>
      <c r="M302" s="396"/>
    </row>
    <row r="303" spans="1:13" ht="13">
      <c r="A303" s="316" t="s">
        <v>643</v>
      </c>
      <c r="B303" s="316" t="s">
        <v>1973</v>
      </c>
      <c r="C303" s="316" t="s">
        <v>1973</v>
      </c>
      <c r="D303" s="316" t="s">
        <v>1973</v>
      </c>
      <c r="E303" s="317" t="s">
        <v>1973</v>
      </c>
      <c r="F303" s="372">
        <v>1</v>
      </c>
      <c r="G303" s="391" t="s">
        <v>36</v>
      </c>
      <c r="H303" s="392">
        <v>15000</v>
      </c>
      <c r="I303" s="395" t="b">
        <v>1</v>
      </c>
      <c r="J303" s="322">
        <v>0.5</v>
      </c>
      <c r="K303" s="323">
        <v>14000</v>
      </c>
      <c r="L303" s="379">
        <f t="shared" si="6"/>
        <v>7000</v>
      </c>
      <c r="M303" s="396" t="s">
        <v>1745</v>
      </c>
    </row>
    <row r="305" spans="1:13" ht="13">
      <c r="F305" s="429">
        <v>44543</v>
      </c>
      <c r="G305" s="428"/>
      <c r="H305" s="424"/>
      <c r="J305" s="429">
        <f>F305+1</f>
        <v>44544</v>
      </c>
      <c r="K305" s="428"/>
      <c r="L305" s="424"/>
    </row>
    <row r="306" spans="1:13" ht="13">
      <c r="F306" s="425" t="s">
        <v>1490</v>
      </c>
      <c r="G306" s="426"/>
      <c r="H306" s="304">
        <f>SUM(H308:H316)</f>
        <v>2802464</v>
      </c>
      <c r="J306" s="425" t="s">
        <v>1491</v>
      </c>
      <c r="K306" s="426"/>
      <c r="L306" s="304" t="e">
        <f>SUM(L308:L316)</f>
        <v>#VALUE!</v>
      </c>
    </row>
    <row r="307" spans="1:13" ht="13">
      <c r="A307" s="2" t="s">
        <v>4</v>
      </c>
      <c r="B307" s="305" t="s">
        <v>5</v>
      </c>
      <c r="C307" s="305" t="s">
        <v>11</v>
      </c>
      <c r="D307" s="305" t="s">
        <v>12</v>
      </c>
      <c r="E307" s="306" t="s">
        <v>6</v>
      </c>
      <c r="F307" s="307" t="s">
        <v>1494</v>
      </c>
      <c r="G307" s="308" t="s">
        <v>10</v>
      </c>
      <c r="H307" s="309" t="s">
        <v>1495</v>
      </c>
      <c r="I307" s="310" t="s">
        <v>1289</v>
      </c>
      <c r="J307" s="311" t="s">
        <v>1496</v>
      </c>
      <c r="K307" s="312" t="s">
        <v>1497</v>
      </c>
      <c r="L307" s="313" t="s">
        <v>1498</v>
      </c>
      <c r="M307" s="314" t="s">
        <v>16</v>
      </c>
    </row>
    <row r="308" spans="1:13" ht="13">
      <c r="A308" s="316" t="s">
        <v>1612</v>
      </c>
      <c r="B308" s="316" t="s">
        <v>1973</v>
      </c>
      <c r="C308" s="316" t="s">
        <v>1973</v>
      </c>
      <c r="D308" s="316" t="s">
        <v>1973</v>
      </c>
      <c r="E308" s="317" t="s">
        <v>1973</v>
      </c>
      <c r="F308" s="372">
        <v>9</v>
      </c>
      <c r="G308" s="391" t="s">
        <v>36</v>
      </c>
      <c r="H308" s="392">
        <v>227700</v>
      </c>
      <c r="I308" s="395" t="b">
        <v>1</v>
      </c>
      <c r="J308" s="322">
        <v>2.5</v>
      </c>
      <c r="K308" s="323">
        <v>25000</v>
      </c>
      <c r="L308" s="379">
        <f t="shared" ref="L308:L316" si="7">J308*K308</f>
        <v>62500</v>
      </c>
      <c r="M308" s="396" t="s">
        <v>1765</v>
      </c>
    </row>
    <row r="309" spans="1:13" ht="13">
      <c r="A309" s="316" t="s">
        <v>562</v>
      </c>
      <c r="B309" s="316" t="s">
        <v>1973</v>
      </c>
      <c r="C309" s="316" t="s">
        <v>1973</v>
      </c>
      <c r="D309" s="316" t="s">
        <v>1973</v>
      </c>
      <c r="E309" s="317" t="s">
        <v>1973</v>
      </c>
      <c r="F309" s="372">
        <v>1</v>
      </c>
      <c r="G309" s="391" t="s">
        <v>97</v>
      </c>
      <c r="H309" s="392">
        <v>195000</v>
      </c>
      <c r="I309" s="321" t="b">
        <v>0</v>
      </c>
      <c r="J309" s="322"/>
      <c r="K309" s="323" t="s">
        <v>1973</v>
      </c>
      <c r="L309" s="324" t="e">
        <f t="shared" si="7"/>
        <v>#VALUE!</v>
      </c>
      <c r="M309" s="396"/>
    </row>
    <row r="310" spans="1:13" ht="13">
      <c r="A310" s="316" t="s">
        <v>566</v>
      </c>
      <c r="B310" s="316" t="s">
        <v>1973</v>
      </c>
      <c r="C310" s="316" t="s">
        <v>1973</v>
      </c>
      <c r="D310" s="316" t="s">
        <v>1973</v>
      </c>
      <c r="E310" s="317" t="s">
        <v>1973</v>
      </c>
      <c r="F310" s="372">
        <v>1</v>
      </c>
      <c r="G310" s="391" t="s">
        <v>62</v>
      </c>
      <c r="H310" s="392">
        <v>200000</v>
      </c>
      <c r="I310" s="321" t="b">
        <v>0</v>
      </c>
      <c r="J310" s="322"/>
      <c r="K310" s="323" t="s">
        <v>1973</v>
      </c>
      <c r="L310" s="324" t="e">
        <f t="shared" si="7"/>
        <v>#VALUE!</v>
      </c>
      <c r="M310" s="396"/>
    </row>
    <row r="311" spans="1:13" ht="13">
      <c r="A311" s="316" t="s">
        <v>570</v>
      </c>
      <c r="B311" s="316" t="s">
        <v>1973</v>
      </c>
      <c r="C311" s="316" t="s">
        <v>1973</v>
      </c>
      <c r="D311" s="316" t="s">
        <v>1973</v>
      </c>
      <c r="E311" s="317" t="s">
        <v>1973</v>
      </c>
      <c r="F311" s="372">
        <v>1</v>
      </c>
      <c r="G311" s="391" t="s">
        <v>62</v>
      </c>
      <c r="H311" s="392">
        <v>200000</v>
      </c>
      <c r="I311" s="321" t="b">
        <v>0</v>
      </c>
      <c r="J311" s="322"/>
      <c r="K311" s="323" t="s">
        <v>1973</v>
      </c>
      <c r="L311" s="324" t="e">
        <f t="shared" si="7"/>
        <v>#VALUE!</v>
      </c>
      <c r="M311" s="396"/>
    </row>
    <row r="312" spans="1:13" ht="13">
      <c r="A312" s="316" t="s">
        <v>708</v>
      </c>
      <c r="B312" s="316" t="s">
        <v>1973</v>
      </c>
      <c r="C312" s="316" t="s">
        <v>1973</v>
      </c>
      <c r="D312" s="316" t="s">
        <v>1973</v>
      </c>
      <c r="E312" s="317" t="s">
        <v>1973</v>
      </c>
      <c r="F312" s="372">
        <v>1</v>
      </c>
      <c r="G312" s="391" t="s">
        <v>143</v>
      </c>
      <c r="H312" s="392">
        <v>259091</v>
      </c>
      <c r="I312" s="321" t="b">
        <v>0</v>
      </c>
      <c r="J312" s="322"/>
      <c r="K312" s="323" t="s">
        <v>1973</v>
      </c>
      <c r="L312" s="324" t="e">
        <f t="shared" si="7"/>
        <v>#VALUE!</v>
      </c>
      <c r="M312" s="396"/>
    </row>
    <row r="313" spans="1:13" ht="13">
      <c r="A313" s="316" t="s">
        <v>961</v>
      </c>
      <c r="B313" s="316" t="s">
        <v>1973</v>
      </c>
      <c r="C313" s="316" t="s">
        <v>1973</v>
      </c>
      <c r="D313" s="316" t="s">
        <v>1973</v>
      </c>
      <c r="E313" s="317" t="s">
        <v>1973</v>
      </c>
      <c r="F313" s="372">
        <v>1</v>
      </c>
      <c r="G313" s="391" t="s">
        <v>97</v>
      </c>
      <c r="H313" s="392">
        <v>77273</v>
      </c>
      <c r="I313" s="321" t="b">
        <v>0</v>
      </c>
      <c r="J313" s="322"/>
      <c r="K313" s="323" t="s">
        <v>1973</v>
      </c>
      <c r="L313" s="324" t="e">
        <f t="shared" si="7"/>
        <v>#VALUE!</v>
      </c>
      <c r="M313" s="396"/>
    </row>
    <row r="314" spans="1:13" ht="13">
      <c r="A314" s="316" t="s">
        <v>1541</v>
      </c>
      <c r="B314" s="316" t="s">
        <v>1973</v>
      </c>
      <c r="C314" s="316" t="s">
        <v>1973</v>
      </c>
      <c r="D314" s="316" t="s">
        <v>1973</v>
      </c>
      <c r="E314" s="317" t="s">
        <v>1973</v>
      </c>
      <c r="F314" s="372">
        <v>1</v>
      </c>
      <c r="G314" s="391" t="s">
        <v>97</v>
      </c>
      <c r="H314" s="392">
        <v>195000</v>
      </c>
      <c r="I314" s="321" t="b">
        <v>0</v>
      </c>
      <c r="J314" s="322"/>
      <c r="K314" s="323" t="s">
        <v>1973</v>
      </c>
      <c r="L314" s="324" t="e">
        <f t="shared" si="7"/>
        <v>#VALUE!</v>
      </c>
      <c r="M314" s="396"/>
    </row>
    <row r="315" spans="1:13" ht="13">
      <c r="A315" s="316" t="s">
        <v>623</v>
      </c>
      <c r="B315" s="316" t="s">
        <v>1973</v>
      </c>
      <c r="C315" s="316" t="s">
        <v>1973</v>
      </c>
      <c r="D315" s="316" t="s">
        <v>1973</v>
      </c>
      <c r="E315" s="317" t="s">
        <v>1973</v>
      </c>
      <c r="F315" s="372">
        <v>4</v>
      </c>
      <c r="G315" s="391" t="s">
        <v>143</v>
      </c>
      <c r="H315" s="392">
        <v>719400</v>
      </c>
      <c r="I315" s="321" t="b">
        <v>0</v>
      </c>
      <c r="J315" s="322"/>
      <c r="K315" s="323" t="s">
        <v>1973</v>
      </c>
      <c r="L315" s="324" t="e">
        <f t="shared" si="7"/>
        <v>#VALUE!</v>
      </c>
      <c r="M315" s="396" t="s">
        <v>1766</v>
      </c>
    </row>
    <row r="316" spans="1:13" ht="13">
      <c r="A316" s="316" t="s">
        <v>704</v>
      </c>
      <c r="B316" s="316" t="s">
        <v>1973</v>
      </c>
      <c r="C316" s="316" t="s">
        <v>1973</v>
      </c>
      <c r="D316" s="316" t="s">
        <v>1973</v>
      </c>
      <c r="E316" s="317" t="s">
        <v>1973</v>
      </c>
      <c r="F316" s="372">
        <v>4</v>
      </c>
      <c r="G316" s="391" t="s">
        <v>143</v>
      </c>
      <c r="H316" s="392">
        <v>729000</v>
      </c>
      <c r="I316" s="321" t="b">
        <v>0</v>
      </c>
      <c r="J316" s="322"/>
      <c r="K316" s="323" t="s">
        <v>1973</v>
      </c>
      <c r="L316" s="324" t="e">
        <f t="shared" si="7"/>
        <v>#VALUE!</v>
      </c>
      <c r="M316" s="396" t="s">
        <v>1766</v>
      </c>
    </row>
    <row r="318" spans="1:13" ht="13">
      <c r="F318" s="429">
        <v>44544</v>
      </c>
      <c r="G318" s="428"/>
      <c r="H318" s="424"/>
      <c r="J318" s="429">
        <f>F318</f>
        <v>44544</v>
      </c>
      <c r="K318" s="428"/>
      <c r="L318" s="424"/>
    </row>
    <row r="319" spans="1:13" ht="13">
      <c r="F319" s="425" t="s">
        <v>1490</v>
      </c>
      <c r="G319" s="426"/>
      <c r="H319" s="304">
        <f>SUM(H321:H350)</f>
        <v>3129491</v>
      </c>
      <c r="J319" s="425" t="s">
        <v>1491</v>
      </c>
      <c r="K319" s="426"/>
      <c r="L319" s="304" t="e">
        <f>SUM(L321:L350)</f>
        <v>#VALUE!</v>
      </c>
    </row>
    <row r="320" spans="1:13" ht="13">
      <c r="A320" s="2" t="s">
        <v>4</v>
      </c>
      <c r="B320" s="305" t="s">
        <v>5</v>
      </c>
      <c r="C320" s="305" t="s">
        <v>11</v>
      </c>
      <c r="D320" s="305" t="s">
        <v>12</v>
      </c>
      <c r="E320" s="306" t="s">
        <v>6</v>
      </c>
      <c r="F320" s="307" t="s">
        <v>1494</v>
      </c>
      <c r="G320" s="308" t="s">
        <v>10</v>
      </c>
      <c r="H320" s="309" t="s">
        <v>1495</v>
      </c>
      <c r="I320" s="310" t="s">
        <v>1289</v>
      </c>
      <c r="J320" s="311" t="s">
        <v>1496</v>
      </c>
      <c r="K320" s="312" t="s">
        <v>1497</v>
      </c>
      <c r="L320" s="313" t="s">
        <v>1498</v>
      </c>
      <c r="M320" s="314" t="s">
        <v>16</v>
      </c>
    </row>
    <row r="321" spans="1:13" ht="13">
      <c r="A321" s="316" t="s">
        <v>544</v>
      </c>
      <c r="B321" s="316" t="s">
        <v>1973</v>
      </c>
      <c r="C321" s="316" t="s">
        <v>1973</v>
      </c>
      <c r="D321" s="316" t="s">
        <v>1973</v>
      </c>
      <c r="E321" s="317" t="s">
        <v>1973</v>
      </c>
      <c r="F321" s="372">
        <v>3</v>
      </c>
      <c r="G321" s="391" t="s">
        <v>62</v>
      </c>
      <c r="H321" s="392">
        <v>63600</v>
      </c>
      <c r="I321" s="393" t="b">
        <v>1</v>
      </c>
      <c r="J321" s="322">
        <v>2</v>
      </c>
      <c r="K321" s="323" t="s">
        <v>1973</v>
      </c>
      <c r="L321" s="371" t="e">
        <f t="shared" ref="L321:L350" si="8">J321*K321</f>
        <v>#VALUE!</v>
      </c>
      <c r="M321" s="396"/>
    </row>
    <row r="322" spans="1:13" ht="13">
      <c r="A322" s="316" t="s">
        <v>1598</v>
      </c>
      <c r="B322" s="316" t="s">
        <v>1973</v>
      </c>
      <c r="C322" s="316" t="s">
        <v>1973</v>
      </c>
      <c r="D322" s="316" t="s">
        <v>1973</v>
      </c>
      <c r="E322" s="317" t="s">
        <v>1973</v>
      </c>
      <c r="F322" s="372">
        <v>2</v>
      </c>
      <c r="G322" s="391" t="s">
        <v>97</v>
      </c>
      <c r="H322" s="392">
        <v>20800</v>
      </c>
      <c r="I322" s="393" t="b">
        <v>1</v>
      </c>
      <c r="J322" s="322">
        <v>2</v>
      </c>
      <c r="K322" s="323" t="s">
        <v>1973</v>
      </c>
      <c r="L322" s="371" t="e">
        <f t="shared" si="8"/>
        <v>#VALUE!</v>
      </c>
      <c r="M322" s="396"/>
    </row>
    <row r="323" spans="1:13" ht="13">
      <c r="A323" s="316" t="s">
        <v>782</v>
      </c>
      <c r="B323" s="316" t="s">
        <v>1973</v>
      </c>
      <c r="C323" s="316" t="s">
        <v>1973</v>
      </c>
      <c r="D323" s="316" t="s">
        <v>1973</v>
      </c>
      <c r="E323" s="317" t="s">
        <v>1973</v>
      </c>
      <c r="F323" s="372">
        <v>2</v>
      </c>
      <c r="G323" s="391" t="s">
        <v>62</v>
      </c>
      <c r="H323" s="392">
        <v>24000</v>
      </c>
      <c r="I323" s="393" t="b">
        <v>1</v>
      </c>
      <c r="J323" s="322">
        <v>1</v>
      </c>
      <c r="K323" s="323" t="s">
        <v>1973</v>
      </c>
      <c r="L323" s="371" t="e">
        <f t="shared" si="8"/>
        <v>#VALUE!</v>
      </c>
      <c r="M323" s="396"/>
    </row>
    <row r="324" spans="1:13" ht="13">
      <c r="A324" s="316" t="s">
        <v>1670</v>
      </c>
      <c r="B324" s="316" t="s">
        <v>1973</v>
      </c>
      <c r="C324" s="316" t="s">
        <v>1973</v>
      </c>
      <c r="D324" s="316" t="s">
        <v>1973</v>
      </c>
      <c r="E324" s="317" t="s">
        <v>1973</v>
      </c>
      <c r="F324" s="372">
        <v>1</v>
      </c>
      <c r="G324" s="391" t="s">
        <v>62</v>
      </c>
      <c r="H324" s="392">
        <v>10350</v>
      </c>
      <c r="I324" s="395" t="b">
        <v>1</v>
      </c>
      <c r="J324" s="322">
        <v>1</v>
      </c>
      <c r="K324" s="323">
        <v>7800</v>
      </c>
      <c r="L324" s="379">
        <f t="shared" si="8"/>
        <v>7800</v>
      </c>
      <c r="M324" s="396" t="s">
        <v>1745</v>
      </c>
    </row>
    <row r="325" spans="1:13" ht="13">
      <c r="A325" s="316" t="s">
        <v>1607</v>
      </c>
      <c r="B325" s="316" t="s">
        <v>1973</v>
      </c>
      <c r="C325" s="316" t="s">
        <v>1973</v>
      </c>
      <c r="D325" s="316" t="s">
        <v>1973</v>
      </c>
      <c r="E325" s="317" t="s">
        <v>1973</v>
      </c>
      <c r="F325" s="372">
        <v>1</v>
      </c>
      <c r="G325" s="391" t="s">
        <v>62</v>
      </c>
      <c r="H325" s="392">
        <v>10050</v>
      </c>
      <c r="I325" s="319" t="b">
        <v>0</v>
      </c>
      <c r="J325" s="372"/>
      <c r="K325" s="373" t="e">
        <f>VLOOKUP($A325,'[1]Database Bahan &amp; Alat (Terupdat'!$B$50:$N$232,6,FALSE)</f>
        <v>#N/A</v>
      </c>
      <c r="L325" s="374" t="e">
        <f t="shared" si="8"/>
        <v>#N/A</v>
      </c>
      <c r="M325" s="396"/>
    </row>
    <row r="326" spans="1:13" ht="13">
      <c r="A326" s="316" t="s">
        <v>919</v>
      </c>
      <c r="B326" s="316" t="s">
        <v>1973</v>
      </c>
      <c r="C326" s="316" t="s">
        <v>1973</v>
      </c>
      <c r="D326" s="316" t="s">
        <v>1973</v>
      </c>
      <c r="E326" s="317" t="s">
        <v>1973</v>
      </c>
      <c r="F326" s="372">
        <v>4</v>
      </c>
      <c r="G326" s="391" t="s">
        <v>62</v>
      </c>
      <c r="H326" s="392">
        <v>39600</v>
      </c>
      <c r="I326" s="395" t="b">
        <v>1</v>
      </c>
      <c r="J326" s="322">
        <v>2</v>
      </c>
      <c r="K326" s="323">
        <v>8800</v>
      </c>
      <c r="L326" s="379">
        <f t="shared" si="8"/>
        <v>17600</v>
      </c>
      <c r="M326" s="396" t="s">
        <v>1745</v>
      </c>
    </row>
    <row r="327" spans="1:13" ht="13">
      <c r="A327" s="316" t="s">
        <v>631</v>
      </c>
      <c r="B327" s="316" t="s">
        <v>1973</v>
      </c>
      <c r="C327" s="316" t="s">
        <v>1973</v>
      </c>
      <c r="D327" s="316" t="s">
        <v>1973</v>
      </c>
      <c r="E327" s="317" t="s">
        <v>1973</v>
      </c>
      <c r="F327" s="372">
        <v>1</v>
      </c>
      <c r="G327" s="391" t="s">
        <v>36</v>
      </c>
      <c r="H327" s="392">
        <v>16000</v>
      </c>
      <c r="I327" s="393" t="b">
        <v>1</v>
      </c>
      <c r="J327" s="322">
        <v>0.5</v>
      </c>
      <c r="K327" s="323" t="s">
        <v>1973</v>
      </c>
      <c r="L327" s="371" t="e">
        <f t="shared" si="8"/>
        <v>#VALUE!</v>
      </c>
      <c r="M327" s="396"/>
    </row>
    <row r="328" spans="1:13" ht="13">
      <c r="A328" s="316" t="s">
        <v>639</v>
      </c>
      <c r="B328" s="316" t="s">
        <v>1973</v>
      </c>
      <c r="C328" s="316" t="s">
        <v>1973</v>
      </c>
      <c r="D328" s="316" t="s">
        <v>1973</v>
      </c>
      <c r="E328" s="317" t="s">
        <v>1973</v>
      </c>
      <c r="F328" s="372">
        <v>1</v>
      </c>
      <c r="G328" s="391" t="s">
        <v>36</v>
      </c>
      <c r="H328" s="392">
        <v>125000</v>
      </c>
      <c r="I328" s="393" t="b">
        <v>1</v>
      </c>
      <c r="J328" s="322">
        <v>1.3</v>
      </c>
      <c r="K328" s="323" t="s">
        <v>1973</v>
      </c>
      <c r="L328" s="371" t="e">
        <f t="shared" si="8"/>
        <v>#VALUE!</v>
      </c>
      <c r="M328" s="396"/>
    </row>
    <row r="329" spans="1:13" ht="13">
      <c r="A329" s="316" t="s">
        <v>1610</v>
      </c>
      <c r="B329" s="316" t="s">
        <v>1973</v>
      </c>
      <c r="C329" s="316" t="s">
        <v>1973</v>
      </c>
      <c r="D329" s="316" t="s">
        <v>1973</v>
      </c>
      <c r="E329" s="317" t="s">
        <v>1973</v>
      </c>
      <c r="F329" s="372">
        <v>2</v>
      </c>
      <c r="G329" s="391" t="s">
        <v>36</v>
      </c>
      <c r="H329" s="392">
        <v>16000</v>
      </c>
      <c r="I329" s="393" t="b">
        <v>1</v>
      </c>
      <c r="J329" s="322">
        <v>2</v>
      </c>
      <c r="K329" s="323" t="s">
        <v>1973</v>
      </c>
      <c r="L329" s="371" t="e">
        <f t="shared" si="8"/>
        <v>#VALUE!</v>
      </c>
      <c r="M329" s="396"/>
    </row>
    <row r="330" spans="1:13" ht="13">
      <c r="A330" s="316" t="s">
        <v>1611</v>
      </c>
      <c r="B330" s="316" t="s">
        <v>1973</v>
      </c>
      <c r="C330" s="316" t="s">
        <v>1973</v>
      </c>
      <c r="D330" s="316" t="s">
        <v>1973</v>
      </c>
      <c r="E330" s="317" t="s">
        <v>1973</v>
      </c>
      <c r="F330" s="372">
        <v>2</v>
      </c>
      <c r="G330" s="391" t="s">
        <v>36</v>
      </c>
      <c r="H330" s="392">
        <v>80000</v>
      </c>
      <c r="I330" s="393" t="b">
        <v>1</v>
      </c>
      <c r="J330" s="322">
        <v>2</v>
      </c>
      <c r="K330" s="323" t="s">
        <v>1973</v>
      </c>
      <c r="L330" s="371" t="e">
        <f t="shared" si="8"/>
        <v>#VALUE!</v>
      </c>
      <c r="M330" s="396"/>
    </row>
    <row r="331" spans="1:13" ht="13">
      <c r="A331" s="316" t="s">
        <v>1698</v>
      </c>
      <c r="B331" s="316" t="s">
        <v>1973</v>
      </c>
      <c r="C331" s="316" t="s">
        <v>1973</v>
      </c>
      <c r="D331" s="316" t="s">
        <v>1973</v>
      </c>
      <c r="E331" s="317" t="s">
        <v>1973</v>
      </c>
      <c r="F331" s="372">
        <v>3</v>
      </c>
      <c r="G331" s="391" t="s">
        <v>36</v>
      </c>
      <c r="H331" s="392">
        <v>96000</v>
      </c>
      <c r="I331" s="319" t="b">
        <v>0</v>
      </c>
      <c r="J331" s="372"/>
      <c r="K331" s="373" t="s">
        <v>1973</v>
      </c>
      <c r="L331" s="374" t="e">
        <f t="shared" si="8"/>
        <v>#VALUE!</v>
      </c>
      <c r="M331" s="396"/>
    </row>
    <row r="332" spans="1:13" ht="13">
      <c r="A332" s="316" t="s">
        <v>675</v>
      </c>
      <c r="B332" s="316" t="s">
        <v>1973</v>
      </c>
      <c r="C332" s="316" t="s">
        <v>1973</v>
      </c>
      <c r="D332" s="316" t="s">
        <v>1973</v>
      </c>
      <c r="E332" s="317" t="s">
        <v>1973</v>
      </c>
      <c r="F332" s="372">
        <v>15</v>
      </c>
      <c r="G332" s="391" t="s">
        <v>62</v>
      </c>
      <c r="H332" s="392">
        <v>52500</v>
      </c>
      <c r="I332" s="393" t="b">
        <v>1</v>
      </c>
      <c r="J332" s="322">
        <v>15</v>
      </c>
      <c r="K332" s="323" t="s">
        <v>1973</v>
      </c>
      <c r="L332" s="371" t="e">
        <f t="shared" si="8"/>
        <v>#VALUE!</v>
      </c>
      <c r="M332" s="396"/>
    </row>
    <row r="333" spans="1:13" ht="13">
      <c r="A333" s="316" t="s">
        <v>712</v>
      </c>
      <c r="B333" s="316" t="s">
        <v>1973</v>
      </c>
      <c r="C333" s="316" t="s">
        <v>1973</v>
      </c>
      <c r="D333" s="316" t="s">
        <v>1973</v>
      </c>
      <c r="E333" s="317" t="s">
        <v>1973</v>
      </c>
      <c r="F333" s="372">
        <v>1</v>
      </c>
      <c r="G333" s="391" t="s">
        <v>36</v>
      </c>
      <c r="H333" s="392">
        <v>24000</v>
      </c>
      <c r="I333" s="393" t="b">
        <v>1</v>
      </c>
      <c r="J333" s="322">
        <v>1</v>
      </c>
      <c r="K333" s="323" t="s">
        <v>1973</v>
      </c>
      <c r="L333" s="371" t="e">
        <f t="shared" si="8"/>
        <v>#VALUE!</v>
      </c>
      <c r="M333" s="396"/>
    </row>
    <row r="334" spans="1:13" ht="13">
      <c r="A334" s="316" t="s">
        <v>724</v>
      </c>
      <c r="B334" s="316" t="s">
        <v>1973</v>
      </c>
      <c r="C334" s="316" t="s">
        <v>1973</v>
      </c>
      <c r="D334" s="316" t="s">
        <v>1973</v>
      </c>
      <c r="E334" s="317" t="s">
        <v>1973</v>
      </c>
      <c r="F334" s="372">
        <v>1</v>
      </c>
      <c r="G334" s="391" t="s">
        <v>36</v>
      </c>
      <c r="H334" s="392">
        <v>20000</v>
      </c>
      <c r="I334" s="393" t="b">
        <v>1</v>
      </c>
      <c r="J334" s="322">
        <v>0.25</v>
      </c>
      <c r="K334" s="323" t="s">
        <v>1973</v>
      </c>
      <c r="L334" s="371" t="e">
        <f t="shared" si="8"/>
        <v>#VALUE!</v>
      </c>
      <c r="M334" s="396"/>
    </row>
    <row r="335" spans="1:13" ht="13">
      <c r="A335" s="316" t="s">
        <v>732</v>
      </c>
      <c r="B335" s="316" t="s">
        <v>1973</v>
      </c>
      <c r="C335" s="316" t="s">
        <v>1973</v>
      </c>
      <c r="D335" s="316" t="s">
        <v>1973</v>
      </c>
      <c r="E335" s="317" t="s">
        <v>1973</v>
      </c>
      <c r="F335" s="372">
        <v>2</v>
      </c>
      <c r="G335" s="391" t="s">
        <v>36</v>
      </c>
      <c r="H335" s="392">
        <v>44000</v>
      </c>
      <c r="I335" s="393" t="b">
        <v>1</v>
      </c>
      <c r="J335" s="322">
        <v>2</v>
      </c>
      <c r="K335" s="323" t="s">
        <v>1973</v>
      </c>
      <c r="L335" s="371" t="e">
        <f t="shared" si="8"/>
        <v>#VALUE!</v>
      </c>
      <c r="M335" s="396"/>
    </row>
    <row r="336" spans="1:13" ht="13">
      <c r="A336" s="316" t="s">
        <v>795</v>
      </c>
      <c r="B336" s="316" t="s">
        <v>1973</v>
      </c>
      <c r="C336" s="316" t="s">
        <v>1973</v>
      </c>
      <c r="D336" s="316" t="s">
        <v>1973</v>
      </c>
      <c r="E336" s="317" t="s">
        <v>1973</v>
      </c>
      <c r="F336" s="372">
        <v>5</v>
      </c>
      <c r="G336" s="391" t="s">
        <v>62</v>
      </c>
      <c r="H336" s="392">
        <v>25000</v>
      </c>
      <c r="I336" s="393" t="b">
        <v>1</v>
      </c>
      <c r="J336" s="322">
        <v>5</v>
      </c>
      <c r="K336" s="323" t="s">
        <v>1973</v>
      </c>
      <c r="L336" s="371" t="e">
        <f t="shared" si="8"/>
        <v>#VALUE!</v>
      </c>
      <c r="M336" s="396"/>
    </row>
    <row r="337" spans="1:13" ht="13">
      <c r="A337" s="316" t="s">
        <v>819</v>
      </c>
      <c r="B337" s="316" t="s">
        <v>1973</v>
      </c>
      <c r="C337" s="316" t="s">
        <v>1973</v>
      </c>
      <c r="D337" s="316" t="s">
        <v>1973</v>
      </c>
      <c r="E337" s="317" t="s">
        <v>1973</v>
      </c>
      <c r="F337" s="372">
        <v>1</v>
      </c>
      <c r="G337" s="391" t="s">
        <v>36</v>
      </c>
      <c r="H337" s="392">
        <v>20000</v>
      </c>
      <c r="I337" s="395" t="b">
        <v>1</v>
      </c>
      <c r="J337" s="322">
        <v>0.1</v>
      </c>
      <c r="K337" s="323">
        <v>15000</v>
      </c>
      <c r="L337" s="379">
        <f t="shared" si="8"/>
        <v>1500</v>
      </c>
      <c r="M337" s="396" t="s">
        <v>1745</v>
      </c>
    </row>
    <row r="338" spans="1:13" ht="13">
      <c r="A338" s="316" t="s">
        <v>1608</v>
      </c>
      <c r="B338" s="316" t="s">
        <v>1973</v>
      </c>
      <c r="C338" s="316" t="s">
        <v>1973</v>
      </c>
      <c r="D338" s="316" t="s">
        <v>1973</v>
      </c>
      <c r="E338" s="317" t="s">
        <v>1973</v>
      </c>
      <c r="F338" s="372">
        <v>1</v>
      </c>
      <c r="G338" s="391" t="s">
        <v>36</v>
      </c>
      <c r="H338" s="392">
        <v>34000</v>
      </c>
      <c r="I338" s="393" t="b">
        <v>1</v>
      </c>
      <c r="J338" s="322">
        <v>1</v>
      </c>
      <c r="K338" s="323" t="e">
        <f>VLOOKUP($A338,'[1]Database Bahan &amp; Alat (Terupdat'!$B$50:$N$232,6,FALSE)</f>
        <v>#N/A</v>
      </c>
      <c r="L338" s="371" t="e">
        <f t="shared" si="8"/>
        <v>#N/A</v>
      </c>
      <c r="M338" s="396"/>
    </row>
    <row r="339" spans="1:13" ht="13">
      <c r="A339" s="316" t="s">
        <v>1671</v>
      </c>
      <c r="B339" s="316" t="s">
        <v>1973</v>
      </c>
      <c r="C339" s="316" t="s">
        <v>1973</v>
      </c>
      <c r="D339" s="316" t="s">
        <v>1973</v>
      </c>
      <c r="E339" s="317" t="s">
        <v>1973</v>
      </c>
      <c r="F339" s="372">
        <v>4</v>
      </c>
      <c r="G339" s="391" t="s">
        <v>36</v>
      </c>
      <c r="H339" s="392">
        <v>360000</v>
      </c>
      <c r="I339" s="395" t="b">
        <v>1</v>
      </c>
      <c r="J339" s="322">
        <v>4</v>
      </c>
      <c r="K339" s="323">
        <v>95000</v>
      </c>
      <c r="L339" s="379">
        <f t="shared" si="8"/>
        <v>380000</v>
      </c>
      <c r="M339" s="396" t="s">
        <v>1745</v>
      </c>
    </row>
    <row r="340" spans="1:13" ht="13">
      <c r="A340" s="316" t="s">
        <v>1676</v>
      </c>
      <c r="B340" s="316" t="s">
        <v>1973</v>
      </c>
      <c r="C340" s="316" t="s">
        <v>1973</v>
      </c>
      <c r="D340" s="316" t="s">
        <v>1973</v>
      </c>
      <c r="E340" s="317" t="s">
        <v>1973</v>
      </c>
      <c r="F340" s="372">
        <v>1</v>
      </c>
      <c r="G340" s="391" t="s">
        <v>36</v>
      </c>
      <c r="H340" s="392">
        <v>240000</v>
      </c>
      <c r="I340" s="393" t="b">
        <v>1</v>
      </c>
      <c r="J340" s="322">
        <v>0.25</v>
      </c>
      <c r="K340" s="323" t="s">
        <v>1973</v>
      </c>
      <c r="L340" s="371" t="e">
        <f t="shared" si="8"/>
        <v>#VALUE!</v>
      </c>
      <c r="M340" s="396"/>
    </row>
    <row r="341" spans="1:13" ht="13">
      <c r="A341" s="316" t="s">
        <v>1020</v>
      </c>
      <c r="B341" s="316" t="s">
        <v>1973</v>
      </c>
      <c r="C341" s="316" t="s">
        <v>1973</v>
      </c>
      <c r="D341" s="316" t="s">
        <v>1973</v>
      </c>
      <c r="E341" s="317" t="s">
        <v>1973</v>
      </c>
      <c r="F341" s="372">
        <v>1</v>
      </c>
      <c r="G341" s="391" t="s">
        <v>36</v>
      </c>
      <c r="H341" s="392">
        <v>10000</v>
      </c>
      <c r="I341" s="393" t="b">
        <v>1</v>
      </c>
      <c r="J341" s="322">
        <v>1</v>
      </c>
      <c r="K341" s="323" t="s">
        <v>1973</v>
      </c>
      <c r="L341" s="371" t="e">
        <f t="shared" si="8"/>
        <v>#VALUE!</v>
      </c>
      <c r="M341" s="396"/>
    </row>
    <row r="342" spans="1:13" ht="13">
      <c r="A342" s="316" t="s">
        <v>1600</v>
      </c>
      <c r="B342" s="316" t="s">
        <v>1973</v>
      </c>
      <c r="C342" s="316" t="s">
        <v>1973</v>
      </c>
      <c r="D342" s="316" t="s">
        <v>1973</v>
      </c>
      <c r="E342" s="317" t="s">
        <v>1973</v>
      </c>
      <c r="F342" s="372">
        <v>1</v>
      </c>
      <c r="G342" s="391" t="s">
        <v>36</v>
      </c>
      <c r="H342" s="392">
        <v>8000</v>
      </c>
      <c r="I342" s="395" t="b">
        <v>1</v>
      </c>
      <c r="J342" s="322">
        <v>1</v>
      </c>
      <c r="K342" s="323">
        <v>10000</v>
      </c>
      <c r="L342" s="379">
        <f t="shared" si="8"/>
        <v>10000</v>
      </c>
      <c r="M342" s="396" t="s">
        <v>1745</v>
      </c>
    </row>
    <row r="343" spans="1:13" ht="13">
      <c r="A343" s="316" t="s">
        <v>708</v>
      </c>
      <c r="B343" s="316" t="s">
        <v>1973</v>
      </c>
      <c r="C343" s="316" t="s">
        <v>1973</v>
      </c>
      <c r="D343" s="316" t="s">
        <v>1973</v>
      </c>
      <c r="E343" s="317" t="s">
        <v>1973</v>
      </c>
      <c r="F343" s="372">
        <v>1</v>
      </c>
      <c r="G343" s="391" t="s">
        <v>143</v>
      </c>
      <c r="H343" s="392">
        <v>259091</v>
      </c>
      <c r="I343" s="319" t="b">
        <v>0</v>
      </c>
      <c r="J343" s="372"/>
      <c r="K343" s="373" t="e">
        <f>VLOOKUP($A343,'[1]Database Bahan &amp; Alat (Terupdat'!$B$50:$N$232,6,FALSE)</f>
        <v>#N/A</v>
      </c>
      <c r="L343" s="374" t="e">
        <f t="shared" si="8"/>
        <v>#N/A</v>
      </c>
      <c r="M343" s="396"/>
    </row>
    <row r="344" spans="1:13" ht="13">
      <c r="A344" s="316" t="s">
        <v>1606</v>
      </c>
      <c r="B344" s="316" t="s">
        <v>1973</v>
      </c>
      <c r="C344" s="316" t="s">
        <v>1973</v>
      </c>
      <c r="D344" s="316" t="s">
        <v>1973</v>
      </c>
      <c r="E344" s="317" t="s">
        <v>1973</v>
      </c>
      <c r="F344" s="372">
        <v>0.8</v>
      </c>
      <c r="G344" s="391" t="s">
        <v>36</v>
      </c>
      <c r="H344" s="392">
        <v>28000</v>
      </c>
      <c r="I344" s="395" t="b">
        <v>1</v>
      </c>
      <c r="J344" s="322">
        <v>0.52400000000000002</v>
      </c>
      <c r="K344" s="323">
        <v>43200</v>
      </c>
      <c r="L344" s="408">
        <f t="shared" si="8"/>
        <v>22636.799999999999</v>
      </c>
      <c r="M344" s="396" t="s">
        <v>1745</v>
      </c>
    </row>
    <row r="345" spans="1:13" ht="13">
      <c r="A345" s="316" t="s">
        <v>540</v>
      </c>
      <c r="B345" s="316" t="s">
        <v>1973</v>
      </c>
      <c r="C345" s="316" t="s">
        <v>1973</v>
      </c>
      <c r="D345" s="316" t="s">
        <v>1973</v>
      </c>
      <c r="E345" s="317" t="s">
        <v>1973</v>
      </c>
      <c r="F345" s="372">
        <v>5</v>
      </c>
      <c r="G345" s="391" t="s">
        <v>36</v>
      </c>
      <c r="H345" s="392">
        <v>850000</v>
      </c>
      <c r="I345" s="319" t="b">
        <v>0</v>
      </c>
      <c r="J345" s="372"/>
      <c r="K345" s="373" t="s">
        <v>1973</v>
      </c>
      <c r="L345" s="374" t="e">
        <f t="shared" si="8"/>
        <v>#VALUE!</v>
      </c>
      <c r="M345" s="396"/>
    </row>
    <row r="346" spans="1:13" ht="13">
      <c r="A346" s="316" t="s">
        <v>528</v>
      </c>
      <c r="B346" s="316" t="s">
        <v>1973</v>
      </c>
      <c r="C346" s="316" t="s">
        <v>1973</v>
      </c>
      <c r="D346" s="316" t="s">
        <v>1973</v>
      </c>
      <c r="E346" s="317" t="s">
        <v>1973</v>
      </c>
      <c r="F346" s="372">
        <v>9</v>
      </c>
      <c r="G346" s="391" t="s">
        <v>50</v>
      </c>
      <c r="H346" s="392">
        <v>139500</v>
      </c>
      <c r="I346" s="319" t="b">
        <v>0</v>
      </c>
      <c r="J346" s="372"/>
      <c r="K346" s="373" t="s">
        <v>1973</v>
      </c>
      <c r="L346" s="374" t="e">
        <f t="shared" si="8"/>
        <v>#VALUE!</v>
      </c>
      <c r="M346" s="396"/>
    </row>
    <row r="347" spans="1:13" ht="13">
      <c r="A347" s="316" t="s">
        <v>635</v>
      </c>
      <c r="B347" s="316" t="s">
        <v>1973</v>
      </c>
      <c r="C347" s="316" t="s">
        <v>1973</v>
      </c>
      <c r="D347" s="316" t="s">
        <v>1973</v>
      </c>
      <c r="E347" s="317" t="s">
        <v>1973</v>
      </c>
      <c r="F347" s="372">
        <v>18</v>
      </c>
      <c r="G347" s="391" t="s">
        <v>50</v>
      </c>
      <c r="H347" s="392">
        <v>162000</v>
      </c>
      <c r="I347" s="319" t="b">
        <v>0</v>
      </c>
      <c r="J347" s="372"/>
      <c r="K347" s="373" t="s">
        <v>1973</v>
      </c>
      <c r="L347" s="374" t="e">
        <f t="shared" si="8"/>
        <v>#VALUE!</v>
      </c>
      <c r="M347" s="396"/>
    </row>
    <row r="348" spans="1:13" ht="13">
      <c r="A348" s="316" t="s">
        <v>680</v>
      </c>
      <c r="B348" s="316" t="s">
        <v>1973</v>
      </c>
      <c r="C348" s="316" t="s">
        <v>1973</v>
      </c>
      <c r="D348" s="316" t="s">
        <v>1973</v>
      </c>
      <c r="E348" s="317" t="s">
        <v>1973</v>
      </c>
      <c r="F348" s="372">
        <v>6</v>
      </c>
      <c r="G348" s="391" t="s">
        <v>97</v>
      </c>
      <c r="H348" s="392">
        <v>174000</v>
      </c>
      <c r="I348" s="395" t="b">
        <v>1</v>
      </c>
      <c r="J348" s="322">
        <v>2</v>
      </c>
      <c r="K348" s="323">
        <v>28000</v>
      </c>
      <c r="L348" s="379">
        <f t="shared" si="8"/>
        <v>56000</v>
      </c>
      <c r="M348" s="396" t="s">
        <v>1745</v>
      </c>
    </row>
    <row r="349" spans="1:13" ht="13">
      <c r="A349" s="316" t="s">
        <v>684</v>
      </c>
      <c r="B349" s="316" t="s">
        <v>1973</v>
      </c>
      <c r="C349" s="316" t="s">
        <v>1973</v>
      </c>
      <c r="D349" s="316" t="s">
        <v>1973</v>
      </c>
      <c r="E349" s="317" t="s">
        <v>1973</v>
      </c>
      <c r="F349" s="372">
        <v>2</v>
      </c>
      <c r="G349" s="391" t="s">
        <v>97</v>
      </c>
      <c r="H349" s="392">
        <v>58000</v>
      </c>
      <c r="I349" s="395" t="b">
        <v>1</v>
      </c>
      <c r="J349" s="322">
        <v>1</v>
      </c>
      <c r="K349" s="323">
        <v>28000</v>
      </c>
      <c r="L349" s="379">
        <f t="shared" si="8"/>
        <v>28000</v>
      </c>
      <c r="M349" s="396" t="s">
        <v>1745</v>
      </c>
    </row>
    <row r="350" spans="1:13" ht="13">
      <c r="A350" s="316" t="s">
        <v>892</v>
      </c>
      <c r="B350" s="316" t="s">
        <v>1973</v>
      </c>
      <c r="C350" s="316" t="s">
        <v>1973</v>
      </c>
      <c r="D350" s="316" t="s">
        <v>1973</v>
      </c>
      <c r="E350" s="317" t="s">
        <v>1973</v>
      </c>
      <c r="F350" s="372">
        <v>1</v>
      </c>
      <c r="G350" s="391" t="s">
        <v>36</v>
      </c>
      <c r="H350" s="392">
        <v>120000</v>
      </c>
      <c r="I350" s="393" t="b">
        <v>1</v>
      </c>
      <c r="J350" s="322">
        <v>1</v>
      </c>
      <c r="K350" s="323" t="e">
        <f>VLOOKUP($A350,'[1]Database Bahan &amp; Alat (Terupdat'!$B$50:$N$232,6,FALSE)</f>
        <v>#N/A</v>
      </c>
      <c r="L350" s="371" t="e">
        <f t="shared" si="8"/>
        <v>#N/A</v>
      </c>
      <c r="M350" s="396"/>
    </row>
    <row r="352" spans="1:13" ht="13">
      <c r="F352" s="429">
        <v>44544</v>
      </c>
      <c r="G352" s="428"/>
      <c r="H352" s="424"/>
      <c r="J352" s="429">
        <f>F352+1</f>
        <v>44545</v>
      </c>
      <c r="K352" s="428"/>
      <c r="L352" s="424"/>
    </row>
    <row r="353" spans="1:13" ht="13">
      <c r="F353" s="425" t="s">
        <v>1490</v>
      </c>
      <c r="G353" s="426"/>
      <c r="H353" s="304">
        <f>SUM(H355:H472)</f>
        <v>10818222</v>
      </c>
      <c r="J353" s="425" t="s">
        <v>1491</v>
      </c>
      <c r="K353" s="426"/>
      <c r="L353" s="304" t="e">
        <f>SUM(L355:L472)</f>
        <v>#VALUE!</v>
      </c>
    </row>
    <row r="354" spans="1:13" ht="13">
      <c r="A354" s="2" t="s">
        <v>4</v>
      </c>
      <c r="B354" s="305" t="s">
        <v>5</v>
      </c>
      <c r="C354" s="305" t="s">
        <v>11</v>
      </c>
      <c r="D354" s="305" t="s">
        <v>12</v>
      </c>
      <c r="E354" s="306" t="s">
        <v>6</v>
      </c>
      <c r="F354" s="307" t="s">
        <v>1494</v>
      </c>
      <c r="G354" s="308" t="s">
        <v>10</v>
      </c>
      <c r="H354" s="309" t="s">
        <v>1495</v>
      </c>
      <c r="I354" s="310" t="s">
        <v>1289</v>
      </c>
      <c r="J354" s="311" t="s">
        <v>1496</v>
      </c>
      <c r="K354" s="312" t="s">
        <v>1497</v>
      </c>
      <c r="L354" s="313" t="s">
        <v>1498</v>
      </c>
      <c r="M354" s="314" t="s">
        <v>16</v>
      </c>
    </row>
    <row r="355" spans="1:13" ht="13">
      <c r="A355" s="18" t="s">
        <v>1099</v>
      </c>
      <c r="B355" s="316" t="s">
        <v>1973</v>
      </c>
      <c r="C355" s="316" t="s">
        <v>1973</v>
      </c>
      <c r="D355" s="316" t="s">
        <v>1973</v>
      </c>
      <c r="E355" s="317" t="s">
        <v>1973</v>
      </c>
      <c r="F355" s="372">
        <v>1</v>
      </c>
      <c r="G355" s="391" t="s">
        <v>36</v>
      </c>
      <c r="H355" s="392">
        <v>130000</v>
      </c>
      <c r="I355" s="319" t="b">
        <v>0</v>
      </c>
      <c r="J355" s="372"/>
      <c r="K355" s="373" t="s">
        <v>1973</v>
      </c>
      <c r="L355" s="374" t="e">
        <f t="shared" ref="L355:L472" si="9">J355*K355</f>
        <v>#VALUE!</v>
      </c>
      <c r="M355" s="396"/>
    </row>
    <row r="356" spans="1:13" ht="13">
      <c r="A356" s="316" t="s">
        <v>739</v>
      </c>
      <c r="B356" s="316" t="s">
        <v>1973</v>
      </c>
      <c r="C356" s="316" t="s">
        <v>1973</v>
      </c>
      <c r="D356" s="316" t="s">
        <v>1973</v>
      </c>
      <c r="E356" s="317" t="s">
        <v>1973</v>
      </c>
      <c r="F356" s="372">
        <v>1</v>
      </c>
      <c r="G356" s="391" t="s">
        <v>62</v>
      </c>
      <c r="H356" s="392">
        <v>100000</v>
      </c>
      <c r="I356" s="319" t="b">
        <v>0</v>
      </c>
      <c r="J356" s="372"/>
      <c r="K356" s="373" t="s">
        <v>1973</v>
      </c>
      <c r="L356" s="374" t="e">
        <f t="shared" si="9"/>
        <v>#VALUE!</v>
      </c>
      <c r="M356" s="396"/>
    </row>
    <row r="357" spans="1:13" ht="13">
      <c r="A357" s="316" t="s">
        <v>1621</v>
      </c>
      <c r="B357" s="316" t="s">
        <v>1973</v>
      </c>
      <c r="C357" s="316" t="s">
        <v>1973</v>
      </c>
      <c r="D357" s="316" t="s">
        <v>1973</v>
      </c>
      <c r="E357" s="317" t="s">
        <v>1973</v>
      </c>
      <c r="F357" s="372">
        <v>1</v>
      </c>
      <c r="G357" s="391" t="s">
        <v>62</v>
      </c>
      <c r="H357" s="392">
        <v>85000</v>
      </c>
      <c r="I357" s="319" t="b">
        <v>0</v>
      </c>
      <c r="J357" s="372"/>
      <c r="K357" s="373" t="s">
        <v>1973</v>
      </c>
      <c r="L357" s="374" t="e">
        <f t="shared" si="9"/>
        <v>#VALUE!</v>
      </c>
      <c r="M357" s="396"/>
    </row>
    <row r="358" spans="1:13" ht="13">
      <c r="A358" s="316" t="s">
        <v>862</v>
      </c>
      <c r="B358" s="316" t="s">
        <v>1973</v>
      </c>
      <c r="C358" s="316" t="s">
        <v>1973</v>
      </c>
      <c r="D358" s="316" t="s">
        <v>1973</v>
      </c>
      <c r="E358" s="317" t="s">
        <v>1973</v>
      </c>
      <c r="F358" s="372">
        <v>1</v>
      </c>
      <c r="G358" s="391" t="s">
        <v>62</v>
      </c>
      <c r="H358" s="392">
        <v>85000</v>
      </c>
      <c r="I358" s="319" t="b">
        <v>0</v>
      </c>
      <c r="J358" s="372"/>
      <c r="K358" s="373" t="s">
        <v>1973</v>
      </c>
      <c r="L358" s="374" t="e">
        <f t="shared" si="9"/>
        <v>#VALUE!</v>
      </c>
      <c r="M358" s="396"/>
    </row>
    <row r="359" spans="1:13" ht="13">
      <c r="A359" s="316" t="s">
        <v>877</v>
      </c>
      <c r="B359" s="316" t="s">
        <v>1973</v>
      </c>
      <c r="C359" s="316" t="s">
        <v>1973</v>
      </c>
      <c r="D359" s="316" t="s">
        <v>1973</v>
      </c>
      <c r="E359" s="317" t="s">
        <v>1973</v>
      </c>
      <c r="F359" s="372">
        <v>1</v>
      </c>
      <c r="G359" s="391" t="s">
        <v>62</v>
      </c>
      <c r="H359" s="392">
        <v>35000</v>
      </c>
      <c r="I359" s="319" t="b">
        <v>0</v>
      </c>
      <c r="J359" s="372"/>
      <c r="K359" s="373" t="s">
        <v>1973</v>
      </c>
      <c r="L359" s="374" t="e">
        <f t="shared" si="9"/>
        <v>#VALUE!</v>
      </c>
      <c r="M359" s="396"/>
    </row>
    <row r="360" spans="1:13" ht="13">
      <c r="A360" s="316" t="s">
        <v>544</v>
      </c>
      <c r="B360" s="316" t="s">
        <v>1973</v>
      </c>
      <c r="C360" s="316" t="s">
        <v>1973</v>
      </c>
      <c r="D360" s="316" t="s">
        <v>1973</v>
      </c>
      <c r="E360" s="317" t="s">
        <v>1973</v>
      </c>
      <c r="F360" s="372">
        <v>5</v>
      </c>
      <c r="G360" s="391" t="s">
        <v>62</v>
      </c>
      <c r="H360" s="392">
        <v>106000</v>
      </c>
      <c r="I360" s="393" t="b">
        <v>1</v>
      </c>
      <c r="J360" s="322">
        <v>5</v>
      </c>
      <c r="K360" s="323" t="s">
        <v>1973</v>
      </c>
      <c r="L360" s="371" t="e">
        <f t="shared" si="9"/>
        <v>#VALUE!</v>
      </c>
      <c r="M360" s="396"/>
    </row>
    <row r="361" spans="1:13" ht="13">
      <c r="A361" s="316" t="s">
        <v>586</v>
      </c>
      <c r="B361" s="316" t="s">
        <v>1973</v>
      </c>
      <c r="C361" s="316" t="s">
        <v>1973</v>
      </c>
      <c r="D361" s="316" t="s">
        <v>1973</v>
      </c>
      <c r="E361" s="317" t="s">
        <v>1973</v>
      </c>
      <c r="F361" s="372">
        <v>3</v>
      </c>
      <c r="G361" s="391" t="s">
        <v>62</v>
      </c>
      <c r="H361" s="392">
        <v>21600</v>
      </c>
      <c r="I361" s="393" t="b">
        <v>1</v>
      </c>
      <c r="J361" s="322">
        <v>3</v>
      </c>
      <c r="K361" s="323" t="s">
        <v>1973</v>
      </c>
      <c r="L361" s="371" t="e">
        <f t="shared" si="9"/>
        <v>#VALUE!</v>
      </c>
      <c r="M361" s="396"/>
    </row>
    <row r="362" spans="1:13" ht="13">
      <c r="A362" s="316" t="s">
        <v>627</v>
      </c>
      <c r="B362" s="316" t="s">
        <v>1973</v>
      </c>
      <c r="C362" s="316" t="s">
        <v>1973</v>
      </c>
      <c r="D362" s="316" t="s">
        <v>1973</v>
      </c>
      <c r="E362" s="317" t="s">
        <v>1973</v>
      </c>
      <c r="F362" s="372">
        <v>2</v>
      </c>
      <c r="G362" s="391" t="s">
        <v>36</v>
      </c>
      <c r="H362" s="392">
        <v>63800</v>
      </c>
      <c r="I362" s="395" t="b">
        <v>1</v>
      </c>
      <c r="J362" s="322">
        <v>1880</v>
      </c>
      <c r="K362" s="323">
        <v>30.9</v>
      </c>
      <c r="L362" s="371">
        <f t="shared" si="9"/>
        <v>58092</v>
      </c>
      <c r="M362" s="396" t="s">
        <v>1745</v>
      </c>
    </row>
    <row r="363" spans="1:13" ht="13">
      <c r="A363" s="316" t="s">
        <v>1655</v>
      </c>
      <c r="B363" s="316" t="s">
        <v>1973</v>
      </c>
      <c r="C363" s="316" t="s">
        <v>1973</v>
      </c>
      <c r="D363" s="316" t="s">
        <v>1973</v>
      </c>
      <c r="E363" s="317" t="s">
        <v>1973</v>
      </c>
      <c r="F363" s="372">
        <v>1</v>
      </c>
      <c r="G363" s="391" t="s">
        <v>62</v>
      </c>
      <c r="H363" s="392">
        <v>11000</v>
      </c>
      <c r="I363" s="393" t="b">
        <v>1</v>
      </c>
      <c r="J363" s="322">
        <v>1</v>
      </c>
      <c r="K363" s="323" t="s">
        <v>1973</v>
      </c>
      <c r="L363" s="371" t="e">
        <f t="shared" si="9"/>
        <v>#VALUE!</v>
      </c>
      <c r="M363" s="396"/>
    </row>
    <row r="364" spans="1:13" ht="13">
      <c r="A364" s="316" t="s">
        <v>1598</v>
      </c>
      <c r="B364" s="316" t="s">
        <v>1973</v>
      </c>
      <c r="C364" s="316" t="s">
        <v>1973</v>
      </c>
      <c r="D364" s="316" t="s">
        <v>1973</v>
      </c>
      <c r="E364" s="317" t="s">
        <v>1973</v>
      </c>
      <c r="F364" s="372">
        <v>3</v>
      </c>
      <c r="G364" s="391" t="s">
        <v>97</v>
      </c>
      <c r="H364" s="392">
        <v>31200</v>
      </c>
      <c r="I364" s="393" t="b">
        <v>1</v>
      </c>
      <c r="J364" s="322">
        <v>3</v>
      </c>
      <c r="K364" s="323" t="s">
        <v>1973</v>
      </c>
      <c r="L364" s="371" t="e">
        <f t="shared" si="9"/>
        <v>#VALUE!</v>
      </c>
      <c r="M364" s="396"/>
    </row>
    <row r="365" spans="1:13" ht="13">
      <c r="A365" s="316" t="s">
        <v>770</v>
      </c>
      <c r="B365" s="316" t="s">
        <v>1973</v>
      </c>
      <c r="C365" s="316" t="s">
        <v>1973</v>
      </c>
      <c r="D365" s="316" t="s">
        <v>1973</v>
      </c>
      <c r="E365" s="317" t="s">
        <v>1973</v>
      </c>
      <c r="F365" s="372">
        <v>1</v>
      </c>
      <c r="G365" s="391" t="s">
        <v>97</v>
      </c>
      <c r="H365" s="392">
        <v>24400</v>
      </c>
      <c r="I365" s="393" t="b">
        <v>1</v>
      </c>
      <c r="J365" s="322">
        <v>1</v>
      </c>
      <c r="K365" s="323" t="s">
        <v>1973</v>
      </c>
      <c r="L365" s="371" t="e">
        <f t="shared" si="9"/>
        <v>#VALUE!</v>
      </c>
      <c r="M365" s="396"/>
    </row>
    <row r="366" spans="1:13" ht="13">
      <c r="A366" s="316" t="s">
        <v>782</v>
      </c>
      <c r="B366" s="316" t="s">
        <v>1973</v>
      </c>
      <c r="C366" s="316" t="s">
        <v>1973</v>
      </c>
      <c r="D366" s="316" t="s">
        <v>1973</v>
      </c>
      <c r="E366" s="317" t="s">
        <v>1973</v>
      </c>
      <c r="F366" s="372">
        <v>2</v>
      </c>
      <c r="G366" s="391" t="s">
        <v>62</v>
      </c>
      <c r="H366" s="392">
        <v>24000</v>
      </c>
      <c r="I366" s="393" t="b">
        <v>1</v>
      </c>
      <c r="J366" s="322">
        <v>2</v>
      </c>
      <c r="K366" s="323" t="s">
        <v>1973</v>
      </c>
      <c r="L366" s="371" t="e">
        <f t="shared" si="9"/>
        <v>#VALUE!</v>
      </c>
      <c r="M366" s="396"/>
    </row>
    <row r="367" spans="1:13" ht="13">
      <c r="A367" s="316" t="s">
        <v>1661</v>
      </c>
      <c r="B367" s="316" t="s">
        <v>1973</v>
      </c>
      <c r="C367" s="316" t="s">
        <v>1973</v>
      </c>
      <c r="D367" s="316" t="s">
        <v>1973</v>
      </c>
      <c r="E367" s="317" t="s">
        <v>1973</v>
      </c>
      <c r="F367" s="372">
        <v>2</v>
      </c>
      <c r="G367" s="391" t="s">
        <v>97</v>
      </c>
      <c r="H367" s="392">
        <v>29200</v>
      </c>
      <c r="I367" s="395" t="b">
        <v>1</v>
      </c>
      <c r="J367" s="322">
        <v>2</v>
      </c>
      <c r="K367" s="323">
        <v>10000</v>
      </c>
      <c r="L367" s="379">
        <f t="shared" si="9"/>
        <v>20000</v>
      </c>
      <c r="M367" s="396" t="s">
        <v>1745</v>
      </c>
    </row>
    <row r="368" spans="1:13" ht="13">
      <c r="A368" s="316" t="s">
        <v>1670</v>
      </c>
      <c r="B368" s="316" t="s">
        <v>1973</v>
      </c>
      <c r="C368" s="316" t="s">
        <v>1973</v>
      </c>
      <c r="D368" s="316" t="s">
        <v>1973</v>
      </c>
      <c r="E368" s="317" t="s">
        <v>1973</v>
      </c>
      <c r="F368" s="372">
        <v>1</v>
      </c>
      <c r="G368" s="391" t="s">
        <v>62</v>
      </c>
      <c r="H368" s="392">
        <v>10350</v>
      </c>
      <c r="I368" s="319" t="b">
        <v>0</v>
      </c>
      <c r="J368" s="372"/>
      <c r="K368" s="373" t="e">
        <f>VLOOKUP($A368,'[1]Database Bahan &amp; Alat (Terupdat'!$B$50:$N$232,6,FALSE)</f>
        <v>#N/A</v>
      </c>
      <c r="L368" s="374" t="e">
        <f t="shared" si="9"/>
        <v>#N/A</v>
      </c>
      <c r="M368" s="396"/>
    </row>
    <row r="369" spans="1:13" ht="13">
      <c r="A369" s="316" t="s">
        <v>1607</v>
      </c>
      <c r="B369" s="316" t="s">
        <v>1973</v>
      </c>
      <c r="C369" s="316" t="s">
        <v>1973</v>
      </c>
      <c r="D369" s="316" t="s">
        <v>1973</v>
      </c>
      <c r="E369" s="317" t="s">
        <v>1973</v>
      </c>
      <c r="F369" s="372">
        <v>1</v>
      </c>
      <c r="G369" s="391" t="s">
        <v>62</v>
      </c>
      <c r="H369" s="392">
        <v>10050</v>
      </c>
      <c r="I369" s="395" t="b">
        <v>1</v>
      </c>
      <c r="J369" s="322">
        <v>1</v>
      </c>
      <c r="K369" s="323">
        <v>7800</v>
      </c>
      <c r="L369" s="379">
        <f t="shared" si="9"/>
        <v>7800</v>
      </c>
      <c r="M369" s="396" t="s">
        <v>1745</v>
      </c>
    </row>
    <row r="370" spans="1:13" ht="13">
      <c r="A370" s="316" t="s">
        <v>919</v>
      </c>
      <c r="B370" s="316" t="s">
        <v>1973</v>
      </c>
      <c r="C370" s="316" t="s">
        <v>1973</v>
      </c>
      <c r="D370" s="316" t="s">
        <v>1973</v>
      </c>
      <c r="E370" s="317" t="s">
        <v>1973</v>
      </c>
      <c r="F370" s="372">
        <v>4</v>
      </c>
      <c r="G370" s="391" t="s">
        <v>62</v>
      </c>
      <c r="H370" s="392">
        <v>39600</v>
      </c>
      <c r="I370" s="395" t="b">
        <v>1</v>
      </c>
      <c r="J370" s="322">
        <v>4</v>
      </c>
      <c r="K370" s="323">
        <v>8800</v>
      </c>
      <c r="L370" s="379">
        <f t="shared" si="9"/>
        <v>35200</v>
      </c>
      <c r="M370" s="396" t="s">
        <v>1745</v>
      </c>
    </row>
    <row r="371" spans="1:13" ht="13">
      <c r="A371" s="316" t="s">
        <v>937</v>
      </c>
      <c r="B371" s="316" t="s">
        <v>1973</v>
      </c>
      <c r="C371" s="316" t="s">
        <v>1973</v>
      </c>
      <c r="D371" s="316" t="s">
        <v>1973</v>
      </c>
      <c r="E371" s="317" t="s">
        <v>1973</v>
      </c>
      <c r="F371" s="372">
        <v>2</v>
      </c>
      <c r="G371" s="391" t="s">
        <v>62</v>
      </c>
      <c r="H371" s="392">
        <v>14400</v>
      </c>
      <c r="I371" s="393" t="b">
        <v>1</v>
      </c>
      <c r="J371" s="322">
        <v>2</v>
      </c>
      <c r="K371" s="323" t="s">
        <v>1973</v>
      </c>
      <c r="L371" s="371" t="e">
        <f t="shared" si="9"/>
        <v>#VALUE!</v>
      </c>
      <c r="M371" s="396"/>
    </row>
    <row r="372" spans="1:13" ht="13">
      <c r="A372" s="316" t="s">
        <v>970</v>
      </c>
      <c r="B372" s="316" t="s">
        <v>1973</v>
      </c>
      <c r="C372" s="316" t="s">
        <v>1973</v>
      </c>
      <c r="D372" s="316" t="s">
        <v>1973</v>
      </c>
      <c r="E372" s="317" t="s">
        <v>1973</v>
      </c>
      <c r="F372" s="372">
        <v>1</v>
      </c>
      <c r="G372" s="391" t="s">
        <v>75</v>
      </c>
      <c r="H372" s="392">
        <v>16500</v>
      </c>
      <c r="I372" s="319" t="b">
        <v>0</v>
      </c>
      <c r="J372" s="372"/>
      <c r="K372" s="373" t="s">
        <v>1973</v>
      </c>
      <c r="L372" s="374" t="e">
        <f t="shared" si="9"/>
        <v>#VALUE!</v>
      </c>
      <c r="M372" s="396"/>
    </row>
    <row r="373" spans="1:13" ht="13">
      <c r="A373" s="316" t="s">
        <v>1041</v>
      </c>
      <c r="B373" s="316" t="s">
        <v>1973</v>
      </c>
      <c r="C373" s="316" t="s">
        <v>1973</v>
      </c>
      <c r="D373" s="316" t="s">
        <v>1973</v>
      </c>
      <c r="E373" s="317" t="s">
        <v>1973</v>
      </c>
      <c r="F373" s="372">
        <v>1</v>
      </c>
      <c r="G373" s="391" t="s">
        <v>62</v>
      </c>
      <c r="H373" s="392">
        <v>12800</v>
      </c>
      <c r="I373" s="395" t="b">
        <v>1</v>
      </c>
      <c r="J373" s="322">
        <v>1</v>
      </c>
      <c r="K373" s="323">
        <v>11300</v>
      </c>
      <c r="L373" s="379">
        <f t="shared" si="9"/>
        <v>11300</v>
      </c>
      <c r="M373" s="396" t="s">
        <v>1745</v>
      </c>
    </row>
    <row r="374" spans="1:13" ht="13">
      <c r="A374" s="18" t="s">
        <v>1094</v>
      </c>
      <c r="B374" s="316" t="s">
        <v>1973</v>
      </c>
      <c r="C374" s="316" t="s">
        <v>1973</v>
      </c>
      <c r="D374" s="316" t="s">
        <v>1973</v>
      </c>
      <c r="E374" s="317" t="s">
        <v>1973</v>
      </c>
      <c r="F374" s="372">
        <v>1</v>
      </c>
      <c r="G374" s="391" t="s">
        <v>62</v>
      </c>
      <c r="H374" s="392">
        <v>17300</v>
      </c>
      <c r="I374" s="319" t="b">
        <v>0</v>
      </c>
      <c r="J374" s="372"/>
      <c r="K374" s="373" t="s">
        <v>1973</v>
      </c>
      <c r="L374" s="374" t="e">
        <f t="shared" si="9"/>
        <v>#VALUE!</v>
      </c>
      <c r="M374" s="396"/>
    </row>
    <row r="375" spans="1:13" ht="13">
      <c r="A375" s="18" t="s">
        <v>1101</v>
      </c>
      <c r="B375" s="316" t="s">
        <v>1973</v>
      </c>
      <c r="C375" s="316" t="s">
        <v>1973</v>
      </c>
      <c r="D375" s="316" t="s">
        <v>1973</v>
      </c>
      <c r="E375" s="317" t="s">
        <v>1973</v>
      </c>
      <c r="F375" s="372">
        <v>1</v>
      </c>
      <c r="G375" s="391" t="s">
        <v>62</v>
      </c>
      <c r="H375" s="392">
        <v>16100</v>
      </c>
      <c r="I375" s="393" t="b">
        <v>1</v>
      </c>
      <c r="J375" s="322">
        <v>1</v>
      </c>
      <c r="K375" s="323" t="s">
        <v>1973</v>
      </c>
      <c r="L375" s="371" t="e">
        <f t="shared" si="9"/>
        <v>#VALUE!</v>
      </c>
      <c r="M375" s="396"/>
    </row>
    <row r="376" spans="1:13" ht="13">
      <c r="A376" s="316" t="s">
        <v>524</v>
      </c>
      <c r="B376" s="316" t="s">
        <v>1973</v>
      </c>
      <c r="C376" s="316" t="s">
        <v>1973</v>
      </c>
      <c r="D376" s="316" t="s">
        <v>1973</v>
      </c>
      <c r="E376" s="317" t="s">
        <v>1973</v>
      </c>
      <c r="F376" s="372">
        <v>9</v>
      </c>
      <c r="G376" s="391" t="s">
        <v>108</v>
      </c>
      <c r="H376" s="392">
        <v>135000</v>
      </c>
      <c r="I376" s="319" t="b">
        <v>0</v>
      </c>
      <c r="J376" s="372"/>
      <c r="K376" s="373" t="s">
        <v>1973</v>
      </c>
      <c r="L376" s="374" t="e">
        <f t="shared" si="9"/>
        <v>#VALUE!</v>
      </c>
      <c r="M376" s="396"/>
    </row>
    <row r="377" spans="1:13" ht="13">
      <c r="A377" s="316" t="s">
        <v>851</v>
      </c>
      <c r="B377" s="316" t="s">
        <v>1973</v>
      </c>
      <c r="C377" s="316" t="s">
        <v>1973</v>
      </c>
      <c r="D377" s="316" t="s">
        <v>1973</v>
      </c>
      <c r="E377" s="317" t="s">
        <v>1973</v>
      </c>
      <c r="F377" s="372">
        <v>4</v>
      </c>
      <c r="G377" s="391" t="s">
        <v>143</v>
      </c>
      <c r="H377" s="392">
        <v>120000</v>
      </c>
      <c r="I377" s="319" t="b">
        <v>0</v>
      </c>
      <c r="J377" s="372"/>
      <c r="K377" s="373" t="s">
        <v>1973</v>
      </c>
      <c r="L377" s="374" t="e">
        <f t="shared" si="9"/>
        <v>#VALUE!</v>
      </c>
      <c r="M377" s="396"/>
    </row>
    <row r="378" spans="1:13" ht="13">
      <c r="A378" s="316" t="s">
        <v>574</v>
      </c>
      <c r="B378" s="316" t="s">
        <v>1973</v>
      </c>
      <c r="C378" s="316" t="s">
        <v>1973</v>
      </c>
      <c r="D378" s="316" t="s">
        <v>1973</v>
      </c>
      <c r="E378" s="317" t="s">
        <v>1973</v>
      </c>
      <c r="F378" s="372">
        <v>2</v>
      </c>
      <c r="G378" s="391" t="s">
        <v>62</v>
      </c>
      <c r="H378" s="392">
        <v>340000</v>
      </c>
      <c r="I378" s="319" t="b">
        <v>0</v>
      </c>
      <c r="J378" s="372"/>
      <c r="K378" s="373" t="s">
        <v>1973</v>
      </c>
      <c r="L378" s="374" t="e">
        <f t="shared" si="9"/>
        <v>#VALUE!</v>
      </c>
      <c r="M378" s="396"/>
    </row>
    <row r="379" spans="1:13" ht="13">
      <c r="A379" s="316" t="s">
        <v>578</v>
      </c>
      <c r="B379" s="316" t="s">
        <v>1973</v>
      </c>
      <c r="C379" s="316" t="s">
        <v>1973</v>
      </c>
      <c r="D379" s="316" t="s">
        <v>1973</v>
      </c>
      <c r="E379" s="317" t="s">
        <v>1973</v>
      </c>
      <c r="F379" s="372">
        <v>2</v>
      </c>
      <c r="G379" s="391" t="s">
        <v>62</v>
      </c>
      <c r="H379" s="392">
        <v>440000</v>
      </c>
      <c r="I379" s="319" t="b">
        <v>0</v>
      </c>
      <c r="J379" s="372"/>
      <c r="K379" s="373" t="s">
        <v>1973</v>
      </c>
      <c r="L379" s="374" t="e">
        <f t="shared" si="9"/>
        <v>#VALUE!</v>
      </c>
      <c r="M379" s="396"/>
    </row>
    <row r="380" spans="1:13" ht="13">
      <c r="A380" s="316" t="s">
        <v>791</v>
      </c>
      <c r="B380" s="316" t="s">
        <v>1973</v>
      </c>
      <c r="C380" s="316" t="s">
        <v>1973</v>
      </c>
      <c r="D380" s="316" t="s">
        <v>1973</v>
      </c>
      <c r="E380" s="317" t="s">
        <v>1973</v>
      </c>
      <c r="F380" s="372">
        <v>1</v>
      </c>
      <c r="G380" s="391" t="s">
        <v>75</v>
      </c>
      <c r="H380" s="392">
        <v>365000</v>
      </c>
      <c r="I380" s="319" t="b">
        <v>0</v>
      </c>
      <c r="J380" s="372"/>
      <c r="K380" s="373" t="s">
        <v>1973</v>
      </c>
      <c r="L380" s="374" t="e">
        <f t="shared" si="9"/>
        <v>#VALUE!</v>
      </c>
      <c r="M380" s="396"/>
    </row>
    <row r="381" spans="1:13" ht="13">
      <c r="A381" s="316" t="s">
        <v>946</v>
      </c>
      <c r="B381" s="316" t="s">
        <v>1973</v>
      </c>
      <c r="C381" s="316" t="s">
        <v>1973</v>
      </c>
      <c r="D381" s="316" t="s">
        <v>1973</v>
      </c>
      <c r="E381" s="317" t="s">
        <v>1973</v>
      </c>
      <c r="F381" s="372">
        <v>1</v>
      </c>
      <c r="G381" s="391" t="s">
        <v>75</v>
      </c>
      <c r="H381" s="392">
        <v>460000</v>
      </c>
      <c r="I381" s="319" t="b">
        <v>0</v>
      </c>
      <c r="J381" s="372"/>
      <c r="K381" s="373" t="s">
        <v>1973</v>
      </c>
      <c r="L381" s="374" t="e">
        <f t="shared" si="9"/>
        <v>#VALUE!</v>
      </c>
      <c r="M381" s="396"/>
    </row>
    <row r="382" spans="1:13" ht="13">
      <c r="A382" s="316" t="s">
        <v>958</v>
      </c>
      <c r="B382" s="316" t="s">
        <v>1973</v>
      </c>
      <c r="C382" s="316" t="s">
        <v>1973</v>
      </c>
      <c r="D382" s="316" t="s">
        <v>1973</v>
      </c>
      <c r="E382" s="317" t="s">
        <v>1973</v>
      </c>
      <c r="F382" s="372">
        <v>1</v>
      </c>
      <c r="G382" s="391" t="s">
        <v>97</v>
      </c>
      <c r="H382" s="392">
        <v>129000</v>
      </c>
      <c r="I382" s="393" t="b">
        <v>1</v>
      </c>
      <c r="J382" s="322">
        <v>1</v>
      </c>
      <c r="K382" s="323" t="s">
        <v>1973</v>
      </c>
      <c r="L382" s="371" t="e">
        <f t="shared" si="9"/>
        <v>#VALUE!</v>
      </c>
      <c r="M382" s="396"/>
    </row>
    <row r="383" spans="1:13" ht="13">
      <c r="A383" s="316" t="s">
        <v>964</v>
      </c>
      <c r="B383" s="316" t="s">
        <v>1973</v>
      </c>
      <c r="C383" s="316" t="s">
        <v>1973</v>
      </c>
      <c r="D383" s="316" t="s">
        <v>1973</v>
      </c>
      <c r="E383" s="317" t="s">
        <v>1973</v>
      </c>
      <c r="F383" s="372">
        <v>1</v>
      </c>
      <c r="G383" s="391" t="s">
        <v>97</v>
      </c>
      <c r="H383" s="392">
        <v>129000</v>
      </c>
      <c r="I383" s="393" t="b">
        <v>1</v>
      </c>
      <c r="J383" s="322">
        <v>1</v>
      </c>
      <c r="K383" s="323" t="s">
        <v>1973</v>
      </c>
      <c r="L383" s="371" t="e">
        <f t="shared" si="9"/>
        <v>#VALUE!</v>
      </c>
      <c r="M383" s="396"/>
    </row>
    <row r="384" spans="1:13" ht="13">
      <c r="A384" s="316" t="s">
        <v>1505</v>
      </c>
      <c r="B384" s="316" t="s">
        <v>1973</v>
      </c>
      <c r="C384" s="316" t="s">
        <v>1973</v>
      </c>
      <c r="D384" s="316" t="s">
        <v>1973</v>
      </c>
      <c r="E384" s="317" t="s">
        <v>1973</v>
      </c>
      <c r="F384" s="372">
        <v>1</v>
      </c>
      <c r="G384" s="391" t="s">
        <v>97</v>
      </c>
      <c r="H384" s="392">
        <v>128700</v>
      </c>
      <c r="I384" s="319" t="b">
        <v>0</v>
      </c>
      <c r="J384" s="372"/>
      <c r="K384" s="373" t="s">
        <v>1973</v>
      </c>
      <c r="L384" s="374" t="e">
        <f t="shared" si="9"/>
        <v>#VALUE!</v>
      </c>
      <c r="M384" s="396"/>
    </row>
    <row r="385" spans="1:13" ht="13">
      <c r="A385" s="316" t="s">
        <v>979</v>
      </c>
      <c r="B385" s="316" t="s">
        <v>1973</v>
      </c>
      <c r="C385" s="316" t="s">
        <v>1973</v>
      </c>
      <c r="D385" s="316" t="s">
        <v>1973</v>
      </c>
      <c r="E385" s="317" t="s">
        <v>1973</v>
      </c>
      <c r="F385" s="372">
        <v>1</v>
      </c>
      <c r="G385" s="391" t="s">
        <v>62</v>
      </c>
      <c r="H385" s="392">
        <v>3600</v>
      </c>
      <c r="I385" s="319" t="b">
        <v>0</v>
      </c>
      <c r="J385" s="372"/>
      <c r="K385" s="373" t="s">
        <v>1973</v>
      </c>
      <c r="L385" s="374" t="e">
        <f t="shared" si="9"/>
        <v>#VALUE!</v>
      </c>
      <c r="M385" s="396"/>
    </row>
    <row r="386" spans="1:13" ht="13">
      <c r="A386" s="316" t="s">
        <v>1697</v>
      </c>
      <c r="B386" s="316" t="s">
        <v>1973</v>
      </c>
      <c r="C386" s="316" t="s">
        <v>1973</v>
      </c>
      <c r="D386" s="316" t="s">
        <v>1973</v>
      </c>
      <c r="E386" s="317" t="s">
        <v>1973</v>
      </c>
      <c r="F386" s="372">
        <v>1</v>
      </c>
      <c r="G386" s="391" t="s">
        <v>62</v>
      </c>
      <c r="H386" s="392">
        <v>12500</v>
      </c>
      <c r="I386" s="393" t="b">
        <v>1</v>
      </c>
      <c r="J386" s="322">
        <v>1</v>
      </c>
      <c r="K386" s="323" t="s">
        <v>1973</v>
      </c>
      <c r="L386" s="371" t="e">
        <f t="shared" si="9"/>
        <v>#VALUE!</v>
      </c>
      <c r="M386" s="396"/>
    </row>
    <row r="387" spans="1:13" ht="13">
      <c r="A387" s="18" t="s">
        <v>1096</v>
      </c>
      <c r="B387" s="316" t="s">
        <v>1973</v>
      </c>
      <c r="C387" s="316" t="s">
        <v>1973</v>
      </c>
      <c r="D387" s="316" t="s">
        <v>1973</v>
      </c>
      <c r="E387" s="317" t="s">
        <v>1973</v>
      </c>
      <c r="F387" s="372">
        <v>1</v>
      </c>
      <c r="G387" s="391" t="s">
        <v>62</v>
      </c>
      <c r="H387" s="392">
        <v>4700</v>
      </c>
      <c r="I387" s="395" t="b">
        <v>1</v>
      </c>
      <c r="J387" s="322">
        <v>1</v>
      </c>
      <c r="K387" s="323">
        <v>9100</v>
      </c>
      <c r="L387" s="379">
        <f t="shared" si="9"/>
        <v>9100</v>
      </c>
      <c r="M387" s="396" t="s">
        <v>1745</v>
      </c>
    </row>
    <row r="388" spans="1:13" ht="13">
      <c r="A388" s="316" t="s">
        <v>536</v>
      </c>
      <c r="B388" s="316" t="s">
        <v>1973</v>
      </c>
      <c r="C388" s="316" t="s">
        <v>1973</v>
      </c>
      <c r="D388" s="316" t="s">
        <v>1973</v>
      </c>
      <c r="E388" s="317" t="s">
        <v>1973</v>
      </c>
      <c r="F388" s="372">
        <v>50</v>
      </c>
      <c r="G388" s="391" t="s">
        <v>1711</v>
      </c>
      <c r="H388" s="392">
        <v>7000</v>
      </c>
      <c r="I388" s="319" t="b">
        <v>0</v>
      </c>
      <c r="J388" s="372"/>
      <c r="K388" s="373" t="e">
        <f>VLOOKUP($A388,'[1]Database Bahan &amp; Alat (Terupdat'!$B$50:$N$232,6,FALSE)</f>
        <v>#N/A</v>
      </c>
      <c r="L388" s="374" t="e">
        <f t="shared" si="9"/>
        <v>#N/A</v>
      </c>
      <c r="M388" s="396"/>
    </row>
    <row r="389" spans="1:13" ht="13">
      <c r="A389" s="316" t="s">
        <v>631</v>
      </c>
      <c r="B389" s="316" t="s">
        <v>1973</v>
      </c>
      <c r="C389" s="316" t="s">
        <v>1973</v>
      </c>
      <c r="D389" s="316" t="s">
        <v>1973</v>
      </c>
      <c r="E389" s="317" t="s">
        <v>1973</v>
      </c>
      <c r="F389" s="372">
        <v>2</v>
      </c>
      <c r="G389" s="391" t="s">
        <v>36</v>
      </c>
      <c r="H389" s="392">
        <v>32000</v>
      </c>
      <c r="I389" s="395" t="b">
        <v>1</v>
      </c>
      <c r="J389" s="322">
        <v>2</v>
      </c>
      <c r="K389" s="323">
        <v>14000</v>
      </c>
      <c r="L389" s="379">
        <f t="shared" si="9"/>
        <v>28000</v>
      </c>
      <c r="M389" s="396" t="s">
        <v>1745</v>
      </c>
    </row>
    <row r="390" spans="1:13" ht="13">
      <c r="A390" s="316" t="s">
        <v>1612</v>
      </c>
      <c r="B390" s="316" t="s">
        <v>1973</v>
      </c>
      <c r="C390" s="316" t="s">
        <v>1973</v>
      </c>
      <c r="D390" s="316" t="s">
        <v>1973</v>
      </c>
      <c r="E390" s="317" t="s">
        <v>1973</v>
      </c>
      <c r="F390" s="372">
        <v>9</v>
      </c>
      <c r="G390" s="391" t="s">
        <v>36</v>
      </c>
      <c r="H390" s="392">
        <v>227700</v>
      </c>
      <c r="I390" s="395" t="b">
        <v>1</v>
      </c>
      <c r="J390" s="322">
        <v>9</v>
      </c>
      <c r="K390" s="323">
        <v>25000</v>
      </c>
      <c r="L390" s="379">
        <f t="shared" si="9"/>
        <v>225000</v>
      </c>
      <c r="M390" s="396" t="s">
        <v>1745</v>
      </c>
    </row>
    <row r="391" spans="1:13" ht="13">
      <c r="A391" s="316" t="s">
        <v>1699</v>
      </c>
      <c r="B391" s="316" t="s">
        <v>1973</v>
      </c>
      <c r="C391" s="316" t="s">
        <v>1973</v>
      </c>
      <c r="D391" s="316" t="s">
        <v>1973</v>
      </c>
      <c r="E391" s="317" t="s">
        <v>1973</v>
      </c>
      <c r="F391" s="372">
        <v>1</v>
      </c>
      <c r="G391" s="391" t="s">
        <v>36</v>
      </c>
      <c r="H391" s="392">
        <v>68000</v>
      </c>
      <c r="I391" s="395" t="b">
        <v>1</v>
      </c>
      <c r="J391" s="322">
        <v>1</v>
      </c>
      <c r="K391" s="323">
        <v>60000</v>
      </c>
      <c r="L391" s="379">
        <f t="shared" si="9"/>
        <v>60000</v>
      </c>
      <c r="M391" s="396" t="s">
        <v>1745</v>
      </c>
    </row>
    <row r="392" spans="1:13" ht="13">
      <c r="A392" s="316" t="s">
        <v>1707</v>
      </c>
      <c r="B392" s="316" t="s">
        <v>1973</v>
      </c>
      <c r="C392" s="316" t="s">
        <v>1973</v>
      </c>
      <c r="D392" s="316" t="s">
        <v>1973</v>
      </c>
      <c r="E392" s="317" t="s">
        <v>1973</v>
      </c>
      <c r="F392" s="372">
        <v>1</v>
      </c>
      <c r="G392" s="391" t="s">
        <v>36</v>
      </c>
      <c r="H392" s="392">
        <v>28000</v>
      </c>
      <c r="I392" s="395" t="b">
        <v>1</v>
      </c>
      <c r="J392" s="322">
        <v>0.5</v>
      </c>
      <c r="K392" s="323">
        <v>80000</v>
      </c>
      <c r="L392" s="379">
        <f t="shared" si="9"/>
        <v>40000</v>
      </c>
      <c r="M392" s="396" t="s">
        <v>1745</v>
      </c>
    </row>
    <row r="393" spans="1:13" ht="13">
      <c r="A393" s="316" t="s">
        <v>675</v>
      </c>
      <c r="B393" s="316" t="s">
        <v>1973</v>
      </c>
      <c r="C393" s="316" t="s">
        <v>1973</v>
      </c>
      <c r="D393" s="316" t="s">
        <v>1973</v>
      </c>
      <c r="E393" s="317" t="s">
        <v>1973</v>
      </c>
      <c r="F393" s="372">
        <v>15</v>
      </c>
      <c r="G393" s="391" t="s">
        <v>62</v>
      </c>
      <c r="H393" s="392">
        <v>52500</v>
      </c>
      <c r="I393" s="393" t="b">
        <v>1</v>
      </c>
      <c r="J393" s="322">
        <v>15</v>
      </c>
      <c r="K393" s="323" t="e">
        <f>VLOOKUP($A393,'[1]Database Bahan &amp; Alat (Terupdat'!$B$50:$N$232,6,FALSE)</f>
        <v>#N/A</v>
      </c>
      <c r="L393" s="371" t="e">
        <f t="shared" si="9"/>
        <v>#N/A</v>
      </c>
      <c r="M393" s="396"/>
    </row>
    <row r="394" spans="1:13" ht="13">
      <c r="A394" s="316" t="s">
        <v>712</v>
      </c>
      <c r="B394" s="316" t="s">
        <v>1973</v>
      </c>
      <c r="C394" s="316" t="s">
        <v>1973</v>
      </c>
      <c r="D394" s="316" t="s">
        <v>1973</v>
      </c>
      <c r="E394" s="317" t="s">
        <v>1973</v>
      </c>
      <c r="F394" s="372">
        <v>2</v>
      </c>
      <c r="G394" s="391" t="s">
        <v>36</v>
      </c>
      <c r="H394" s="392">
        <v>48000</v>
      </c>
      <c r="I394" s="395" t="b">
        <v>1</v>
      </c>
      <c r="J394" s="322">
        <v>2</v>
      </c>
      <c r="K394" s="323">
        <v>22000</v>
      </c>
      <c r="L394" s="379">
        <f t="shared" si="9"/>
        <v>44000</v>
      </c>
      <c r="M394" s="396" t="s">
        <v>1745</v>
      </c>
    </row>
    <row r="395" spans="1:13" ht="13">
      <c r="A395" s="316" t="s">
        <v>724</v>
      </c>
      <c r="B395" s="316" t="s">
        <v>1973</v>
      </c>
      <c r="C395" s="316" t="s">
        <v>1973</v>
      </c>
      <c r="D395" s="316" t="s">
        <v>1973</v>
      </c>
      <c r="E395" s="317" t="s">
        <v>1973</v>
      </c>
      <c r="F395" s="372">
        <v>1</v>
      </c>
      <c r="G395" s="391" t="s">
        <v>36</v>
      </c>
      <c r="H395" s="392">
        <v>20000</v>
      </c>
      <c r="I395" s="393" t="b">
        <v>1</v>
      </c>
      <c r="J395" s="322">
        <v>1</v>
      </c>
      <c r="K395" s="323" t="e">
        <f>VLOOKUP($A395,'[1]Database Bahan &amp; Alat (Terupdat'!$B$50:$N$232,6,FALSE)</f>
        <v>#N/A</v>
      </c>
      <c r="L395" s="371" t="e">
        <f t="shared" si="9"/>
        <v>#N/A</v>
      </c>
      <c r="M395" s="396"/>
    </row>
    <row r="396" spans="1:13" ht="13">
      <c r="A396" s="316" t="s">
        <v>732</v>
      </c>
      <c r="B396" s="316" t="s">
        <v>1973</v>
      </c>
      <c r="C396" s="316" t="s">
        <v>1973</v>
      </c>
      <c r="D396" s="316" t="s">
        <v>1973</v>
      </c>
      <c r="E396" s="317" t="s">
        <v>1973</v>
      </c>
      <c r="F396" s="372">
        <v>2</v>
      </c>
      <c r="G396" s="391" t="s">
        <v>36</v>
      </c>
      <c r="H396" s="392">
        <v>44000</v>
      </c>
      <c r="I396" s="395" t="b">
        <v>1</v>
      </c>
      <c r="J396" s="322">
        <v>2</v>
      </c>
      <c r="K396" s="323">
        <v>23000</v>
      </c>
      <c r="L396" s="379">
        <f t="shared" si="9"/>
        <v>46000</v>
      </c>
      <c r="M396" s="396" t="s">
        <v>1745</v>
      </c>
    </row>
    <row r="397" spans="1:13" ht="13">
      <c r="A397" s="316" t="s">
        <v>744</v>
      </c>
      <c r="B397" s="316" t="s">
        <v>1973</v>
      </c>
      <c r="C397" s="316" t="s">
        <v>1973</v>
      </c>
      <c r="D397" s="316" t="s">
        <v>1973</v>
      </c>
      <c r="E397" s="317" t="s">
        <v>1973</v>
      </c>
      <c r="F397" s="372">
        <v>1</v>
      </c>
      <c r="G397" s="391" t="s">
        <v>36</v>
      </c>
      <c r="H397" s="392">
        <v>44000</v>
      </c>
      <c r="I397" s="395" t="b">
        <v>1</v>
      </c>
      <c r="J397" s="322">
        <v>1</v>
      </c>
      <c r="K397" s="323">
        <v>56000</v>
      </c>
      <c r="L397" s="379">
        <f t="shared" si="9"/>
        <v>56000</v>
      </c>
      <c r="M397" s="396" t="s">
        <v>1745</v>
      </c>
    </row>
    <row r="398" spans="1:13" ht="13">
      <c r="A398" s="316" t="s">
        <v>764</v>
      </c>
      <c r="B398" s="316" t="s">
        <v>1973</v>
      </c>
      <c r="C398" s="316" t="s">
        <v>1973</v>
      </c>
      <c r="D398" s="316" t="s">
        <v>1973</v>
      </c>
      <c r="E398" s="317" t="s">
        <v>1973</v>
      </c>
      <c r="F398" s="372">
        <v>1</v>
      </c>
      <c r="G398" s="391" t="s">
        <v>62</v>
      </c>
      <c r="H398" s="392">
        <v>2500</v>
      </c>
      <c r="I398" s="395" t="b">
        <v>1</v>
      </c>
      <c r="J398" s="322">
        <v>1</v>
      </c>
      <c r="K398" s="323">
        <v>2000</v>
      </c>
      <c r="L398" s="379">
        <f t="shared" si="9"/>
        <v>2000</v>
      </c>
      <c r="M398" s="396" t="s">
        <v>1745</v>
      </c>
    </row>
    <row r="399" spans="1:13" ht="13">
      <c r="A399" s="316" t="s">
        <v>767</v>
      </c>
      <c r="B399" s="316" t="s">
        <v>1973</v>
      </c>
      <c r="C399" s="316" t="s">
        <v>1973</v>
      </c>
      <c r="D399" s="316" t="s">
        <v>1973</v>
      </c>
      <c r="E399" s="317" t="s">
        <v>1973</v>
      </c>
      <c r="F399" s="372">
        <v>5</v>
      </c>
      <c r="G399" s="391" t="s">
        <v>62</v>
      </c>
      <c r="H399" s="392">
        <v>100000</v>
      </c>
      <c r="I399" s="393" t="b">
        <v>1</v>
      </c>
      <c r="J399" s="322">
        <v>5</v>
      </c>
      <c r="K399" s="323" t="s">
        <v>1973</v>
      </c>
      <c r="L399" s="371" t="e">
        <f t="shared" si="9"/>
        <v>#VALUE!</v>
      </c>
      <c r="M399" s="396"/>
    </row>
    <row r="400" spans="1:13" ht="13">
      <c r="A400" s="316" t="s">
        <v>1700</v>
      </c>
      <c r="B400" s="316" t="s">
        <v>1973</v>
      </c>
      <c r="C400" s="316" t="s">
        <v>1973</v>
      </c>
      <c r="D400" s="316" t="s">
        <v>1973</v>
      </c>
      <c r="E400" s="317" t="s">
        <v>1973</v>
      </c>
      <c r="F400" s="372">
        <v>12</v>
      </c>
      <c r="G400" s="391" t="s">
        <v>62</v>
      </c>
      <c r="H400" s="392">
        <v>180000</v>
      </c>
      <c r="I400" s="393" t="b">
        <v>1</v>
      </c>
      <c r="J400" s="322">
        <v>12</v>
      </c>
      <c r="K400" s="323" t="s">
        <v>1973</v>
      </c>
      <c r="L400" s="371" t="e">
        <f t="shared" si="9"/>
        <v>#VALUE!</v>
      </c>
      <c r="M400" s="396"/>
    </row>
    <row r="401" spans="1:13" ht="13">
      <c r="A401" s="316" t="s">
        <v>785</v>
      </c>
      <c r="B401" s="316" t="s">
        <v>1973</v>
      </c>
      <c r="C401" s="316" t="s">
        <v>1973</v>
      </c>
      <c r="D401" s="316" t="s">
        <v>1973</v>
      </c>
      <c r="E401" s="317" t="s">
        <v>1973</v>
      </c>
      <c r="F401" s="372">
        <v>1</v>
      </c>
      <c r="G401" s="391" t="s">
        <v>62</v>
      </c>
      <c r="H401" s="392">
        <v>23000</v>
      </c>
      <c r="I401" s="393" t="b">
        <v>1</v>
      </c>
      <c r="J401" s="322">
        <v>1</v>
      </c>
      <c r="K401" s="323" t="s">
        <v>1973</v>
      </c>
      <c r="L401" s="371" t="e">
        <f t="shared" si="9"/>
        <v>#VALUE!</v>
      </c>
      <c r="M401" s="396"/>
    </row>
    <row r="402" spans="1:13" ht="13">
      <c r="A402" s="316" t="s">
        <v>1601</v>
      </c>
      <c r="B402" s="316" t="s">
        <v>1973</v>
      </c>
      <c r="C402" s="316" t="s">
        <v>1973</v>
      </c>
      <c r="D402" s="316" t="s">
        <v>1973</v>
      </c>
      <c r="E402" s="317" t="s">
        <v>1973</v>
      </c>
      <c r="F402" s="372">
        <v>2</v>
      </c>
      <c r="G402" s="391" t="s">
        <v>97</v>
      </c>
      <c r="H402" s="392">
        <v>42000</v>
      </c>
      <c r="I402" s="393" t="b">
        <v>1</v>
      </c>
      <c r="J402" s="322">
        <v>2</v>
      </c>
      <c r="K402" s="323" t="s">
        <v>1973</v>
      </c>
      <c r="L402" s="371" t="e">
        <f t="shared" si="9"/>
        <v>#VALUE!</v>
      </c>
      <c r="M402" s="396"/>
    </row>
    <row r="403" spans="1:13" ht="13">
      <c r="A403" s="316" t="s">
        <v>795</v>
      </c>
      <c r="B403" s="316" t="s">
        <v>1973</v>
      </c>
      <c r="C403" s="316" t="s">
        <v>1973</v>
      </c>
      <c r="D403" s="316" t="s">
        <v>1973</v>
      </c>
      <c r="E403" s="317" t="s">
        <v>1973</v>
      </c>
      <c r="F403" s="372">
        <v>30</v>
      </c>
      <c r="G403" s="391" t="s">
        <v>62</v>
      </c>
      <c r="H403" s="392">
        <v>150000</v>
      </c>
      <c r="I403" s="393" t="b">
        <v>1</v>
      </c>
      <c r="J403" s="322">
        <v>30</v>
      </c>
      <c r="K403" s="323" t="s">
        <v>1973</v>
      </c>
      <c r="L403" s="371" t="e">
        <f t="shared" si="9"/>
        <v>#VALUE!</v>
      </c>
      <c r="M403" s="396"/>
    </row>
    <row r="404" spans="1:13" ht="13">
      <c r="A404" s="316" t="s">
        <v>1704</v>
      </c>
      <c r="B404" s="316" t="s">
        <v>1973</v>
      </c>
      <c r="C404" s="316" t="s">
        <v>1973</v>
      </c>
      <c r="D404" s="316" t="s">
        <v>1973</v>
      </c>
      <c r="E404" s="317" t="s">
        <v>1973</v>
      </c>
      <c r="F404" s="372">
        <v>1</v>
      </c>
      <c r="G404" s="391" t="s">
        <v>36</v>
      </c>
      <c r="H404" s="392">
        <v>12000</v>
      </c>
      <c r="I404" s="395" t="b">
        <v>1</v>
      </c>
      <c r="J404" s="322">
        <v>0.5</v>
      </c>
      <c r="K404" s="323">
        <v>10000</v>
      </c>
      <c r="L404" s="379">
        <f t="shared" si="9"/>
        <v>5000</v>
      </c>
      <c r="M404" s="396" t="s">
        <v>1745</v>
      </c>
    </row>
    <row r="405" spans="1:13" ht="13">
      <c r="A405" s="316" t="s">
        <v>819</v>
      </c>
      <c r="B405" s="316" t="s">
        <v>1973</v>
      </c>
      <c r="C405" s="316" t="s">
        <v>1973</v>
      </c>
      <c r="D405" s="316" t="s">
        <v>1973</v>
      </c>
      <c r="E405" s="317" t="s">
        <v>1973</v>
      </c>
      <c r="F405" s="372">
        <v>1</v>
      </c>
      <c r="G405" s="391" t="s">
        <v>36</v>
      </c>
      <c r="H405" s="392">
        <v>20000</v>
      </c>
      <c r="I405" s="395" t="b">
        <v>1</v>
      </c>
      <c r="J405" s="322">
        <v>1</v>
      </c>
      <c r="K405" s="323">
        <v>18000</v>
      </c>
      <c r="L405" s="379">
        <f t="shared" si="9"/>
        <v>18000</v>
      </c>
      <c r="M405" s="396" t="s">
        <v>1745</v>
      </c>
    </row>
    <row r="406" spans="1:13" ht="13">
      <c r="A406" s="316" t="s">
        <v>827</v>
      </c>
      <c r="B406" s="316" t="s">
        <v>1973</v>
      </c>
      <c r="C406" s="316" t="s">
        <v>1973</v>
      </c>
      <c r="D406" s="316" t="s">
        <v>1973</v>
      </c>
      <c r="E406" s="317" t="s">
        <v>1973</v>
      </c>
      <c r="F406" s="372">
        <v>1</v>
      </c>
      <c r="G406" s="391" t="s">
        <v>36</v>
      </c>
      <c r="H406" s="392">
        <v>8000</v>
      </c>
      <c r="I406" s="395" t="b">
        <v>1</v>
      </c>
      <c r="J406" s="322">
        <v>1</v>
      </c>
      <c r="K406" s="323">
        <v>7000</v>
      </c>
      <c r="L406" s="379">
        <f t="shared" si="9"/>
        <v>7000</v>
      </c>
      <c r="M406" s="396" t="s">
        <v>1745</v>
      </c>
    </row>
    <row r="407" spans="1:13" ht="13">
      <c r="A407" s="316" t="s">
        <v>1701</v>
      </c>
      <c r="B407" s="316" t="s">
        <v>1973</v>
      </c>
      <c r="C407" s="316" t="s">
        <v>1973</v>
      </c>
      <c r="D407" s="316" t="s">
        <v>1973</v>
      </c>
      <c r="E407" s="317" t="s">
        <v>1973</v>
      </c>
      <c r="F407" s="372">
        <v>1</v>
      </c>
      <c r="G407" s="391" t="s">
        <v>36</v>
      </c>
      <c r="H407" s="392">
        <v>18000</v>
      </c>
      <c r="I407" s="393" t="b">
        <v>1</v>
      </c>
      <c r="J407" s="322">
        <v>1</v>
      </c>
      <c r="K407" s="323" t="e">
        <f>VLOOKUP($A407,'[1]Database Bahan &amp; Alat (Terupdat'!$B$50:$N$232,6,FALSE)</f>
        <v>#N/A</v>
      </c>
      <c r="L407" s="371" t="e">
        <f t="shared" si="9"/>
        <v>#N/A</v>
      </c>
      <c r="M407" s="396"/>
    </row>
    <row r="408" spans="1:13" ht="13">
      <c r="A408" s="316" t="s">
        <v>879</v>
      </c>
      <c r="B408" s="316" t="s">
        <v>1973</v>
      </c>
      <c r="C408" s="316" t="s">
        <v>1973</v>
      </c>
      <c r="D408" s="316" t="s">
        <v>1973</v>
      </c>
      <c r="E408" s="317" t="s">
        <v>1973</v>
      </c>
      <c r="F408" s="372">
        <v>1</v>
      </c>
      <c r="G408" s="391" t="s">
        <v>62</v>
      </c>
      <c r="H408" s="392">
        <v>36000</v>
      </c>
      <c r="I408" s="395" t="b">
        <v>1</v>
      </c>
      <c r="J408" s="322">
        <v>2</v>
      </c>
      <c r="K408" s="323">
        <v>38000</v>
      </c>
      <c r="L408" s="379">
        <f t="shared" si="9"/>
        <v>76000</v>
      </c>
      <c r="M408" s="396" t="s">
        <v>1767</v>
      </c>
    </row>
    <row r="409" spans="1:13" ht="13">
      <c r="A409" s="316" t="s">
        <v>1613</v>
      </c>
      <c r="B409" s="316" t="s">
        <v>1973</v>
      </c>
      <c r="C409" s="316" t="s">
        <v>1973</v>
      </c>
      <c r="D409" s="316" t="s">
        <v>1973</v>
      </c>
      <c r="E409" s="317" t="s">
        <v>1973</v>
      </c>
      <c r="F409" s="372">
        <v>1</v>
      </c>
      <c r="G409" s="391" t="s">
        <v>36</v>
      </c>
      <c r="H409" s="392">
        <v>43000</v>
      </c>
      <c r="I409" s="395" t="b">
        <v>1</v>
      </c>
      <c r="J409" s="322">
        <v>1</v>
      </c>
      <c r="K409" s="323">
        <v>47000</v>
      </c>
      <c r="L409" s="379">
        <f t="shared" si="9"/>
        <v>47000</v>
      </c>
      <c r="M409" s="396" t="s">
        <v>1745</v>
      </c>
    </row>
    <row r="410" spans="1:13" ht="13">
      <c r="A410" s="316" t="s">
        <v>1614</v>
      </c>
      <c r="B410" s="316" t="s">
        <v>1973</v>
      </c>
      <c r="C410" s="316" t="s">
        <v>1973</v>
      </c>
      <c r="D410" s="316" t="s">
        <v>1973</v>
      </c>
      <c r="E410" s="317" t="s">
        <v>1973</v>
      </c>
      <c r="F410" s="372">
        <v>1</v>
      </c>
      <c r="G410" s="391" t="s">
        <v>36</v>
      </c>
      <c r="H410" s="392">
        <v>128000</v>
      </c>
      <c r="I410" s="393" t="b">
        <v>1</v>
      </c>
      <c r="J410" s="322">
        <v>1</v>
      </c>
      <c r="K410" s="323" t="e">
        <f>VLOOKUP($A410,'[1]Database Bahan &amp; Alat (Terupdat'!$B$50:$N$232,6,FALSE)</f>
        <v>#N/A</v>
      </c>
      <c r="L410" s="371" t="e">
        <f t="shared" si="9"/>
        <v>#N/A</v>
      </c>
      <c r="M410" s="396"/>
    </row>
    <row r="411" spans="1:13" ht="13">
      <c r="A411" s="316" t="s">
        <v>885</v>
      </c>
      <c r="B411" s="316" t="s">
        <v>1973</v>
      </c>
      <c r="C411" s="316" t="s">
        <v>1973</v>
      </c>
      <c r="D411" s="316" t="s">
        <v>1973</v>
      </c>
      <c r="E411" s="317" t="s">
        <v>1973</v>
      </c>
      <c r="F411" s="372">
        <v>1</v>
      </c>
      <c r="G411" s="391" t="s">
        <v>36</v>
      </c>
      <c r="H411" s="392">
        <v>12000</v>
      </c>
      <c r="I411" s="395" t="b">
        <v>1</v>
      </c>
      <c r="J411" s="322">
        <v>0.5</v>
      </c>
      <c r="K411" s="323">
        <v>30000</v>
      </c>
      <c r="L411" s="379">
        <f t="shared" si="9"/>
        <v>15000</v>
      </c>
      <c r="M411" s="396" t="s">
        <v>1745</v>
      </c>
    </row>
    <row r="412" spans="1:13" ht="13">
      <c r="A412" s="316" t="s">
        <v>1702</v>
      </c>
      <c r="B412" s="316" t="s">
        <v>1973</v>
      </c>
      <c r="C412" s="316" t="s">
        <v>1973</v>
      </c>
      <c r="D412" s="316" t="s">
        <v>1973</v>
      </c>
      <c r="E412" s="317" t="s">
        <v>1973</v>
      </c>
      <c r="F412" s="372">
        <v>0.25</v>
      </c>
      <c r="G412" s="391" t="s">
        <v>36</v>
      </c>
      <c r="H412" s="392">
        <v>30000</v>
      </c>
      <c r="I412" s="393" t="b">
        <v>1</v>
      </c>
      <c r="J412" s="322">
        <v>0.5</v>
      </c>
      <c r="K412" s="323" t="s">
        <v>1973</v>
      </c>
      <c r="L412" s="371" t="e">
        <f t="shared" si="9"/>
        <v>#VALUE!</v>
      </c>
      <c r="M412" s="396"/>
    </row>
    <row r="413" spans="1:13" ht="13">
      <c r="A413" s="316" t="s">
        <v>1764</v>
      </c>
      <c r="B413" s="316" t="s">
        <v>1973</v>
      </c>
      <c r="C413" s="316" t="s">
        <v>1973</v>
      </c>
      <c r="D413" s="316" t="s">
        <v>1973</v>
      </c>
      <c r="E413" s="317" t="s">
        <v>1973</v>
      </c>
      <c r="F413" s="372">
        <v>1</v>
      </c>
      <c r="G413" s="391" t="s">
        <v>36</v>
      </c>
      <c r="H413" s="392">
        <v>40000</v>
      </c>
      <c r="I413" s="393" t="b">
        <v>1</v>
      </c>
      <c r="J413" s="322">
        <v>1</v>
      </c>
      <c r="K413" s="323" t="s">
        <v>1973</v>
      </c>
      <c r="L413" s="371" t="e">
        <f t="shared" si="9"/>
        <v>#VALUE!</v>
      </c>
      <c r="M413" s="396"/>
    </row>
    <row r="414" spans="1:13" ht="13">
      <c r="A414" s="316" t="s">
        <v>1768</v>
      </c>
      <c r="B414" s="316" t="s">
        <v>1973</v>
      </c>
      <c r="C414" s="316" t="s">
        <v>1973</v>
      </c>
      <c r="D414" s="316" t="s">
        <v>1973</v>
      </c>
      <c r="E414" s="317" t="s">
        <v>1973</v>
      </c>
      <c r="F414" s="372">
        <v>1</v>
      </c>
      <c r="G414" s="391" t="s">
        <v>36</v>
      </c>
      <c r="H414" s="392">
        <v>12000</v>
      </c>
      <c r="I414" s="395" t="b">
        <v>1</v>
      </c>
      <c r="J414" s="322">
        <v>0.5</v>
      </c>
      <c r="K414" s="323">
        <v>20000</v>
      </c>
      <c r="L414" s="379">
        <f t="shared" si="9"/>
        <v>10000</v>
      </c>
      <c r="M414" s="396" t="s">
        <v>1745</v>
      </c>
    </row>
    <row r="415" spans="1:13" ht="13">
      <c r="A415" s="316" t="s">
        <v>1669</v>
      </c>
      <c r="B415" s="316" t="s">
        <v>1973</v>
      </c>
      <c r="C415" s="316" t="s">
        <v>1973</v>
      </c>
      <c r="D415" s="316" t="s">
        <v>1973</v>
      </c>
      <c r="E415" s="317" t="s">
        <v>1973</v>
      </c>
      <c r="F415" s="372">
        <v>5</v>
      </c>
      <c r="G415" s="391" t="s">
        <v>36</v>
      </c>
      <c r="H415" s="392">
        <v>65000</v>
      </c>
      <c r="I415" s="395" t="b">
        <v>1</v>
      </c>
      <c r="J415" s="322">
        <v>5</v>
      </c>
      <c r="K415" s="323">
        <v>11000</v>
      </c>
      <c r="L415" s="379">
        <f t="shared" si="9"/>
        <v>55000</v>
      </c>
      <c r="M415" s="396" t="s">
        <v>1745</v>
      </c>
    </row>
    <row r="416" spans="1:13" ht="13">
      <c r="A416" s="316" t="s">
        <v>1501</v>
      </c>
      <c r="B416" s="316" t="s">
        <v>1973</v>
      </c>
      <c r="C416" s="316" t="s">
        <v>1973</v>
      </c>
      <c r="D416" s="316" t="s">
        <v>1973</v>
      </c>
      <c r="E416" s="317" t="s">
        <v>1973</v>
      </c>
      <c r="F416" s="372">
        <v>1</v>
      </c>
      <c r="G416" s="391" t="s">
        <v>36</v>
      </c>
      <c r="H416" s="392">
        <v>4050</v>
      </c>
      <c r="I416" s="319" t="b">
        <v>0</v>
      </c>
      <c r="J416" s="372"/>
      <c r="K416" s="373" t="e">
        <f>VLOOKUP($A416,'[1]Database Bahan &amp; Alat (Terupdat'!$B$50:$N$232,6,FALSE)</f>
        <v>#N/A</v>
      </c>
      <c r="L416" s="374" t="e">
        <f t="shared" si="9"/>
        <v>#N/A</v>
      </c>
      <c r="M416" s="396"/>
    </row>
    <row r="417" spans="1:13" ht="13">
      <c r="A417" s="316" t="s">
        <v>1608</v>
      </c>
      <c r="B417" s="316" t="s">
        <v>1973</v>
      </c>
      <c r="C417" s="316" t="s">
        <v>1973</v>
      </c>
      <c r="D417" s="316" t="s">
        <v>1973</v>
      </c>
      <c r="E417" s="317" t="s">
        <v>1973</v>
      </c>
      <c r="F417" s="372">
        <v>1</v>
      </c>
      <c r="G417" s="391" t="s">
        <v>36</v>
      </c>
      <c r="H417" s="392">
        <v>34000</v>
      </c>
      <c r="I417" s="395" t="b">
        <v>1</v>
      </c>
      <c r="J417" s="322">
        <v>0.25</v>
      </c>
      <c r="K417" s="323">
        <v>31200</v>
      </c>
      <c r="L417" s="324">
        <f t="shared" si="9"/>
        <v>7800</v>
      </c>
      <c r="M417" s="396" t="s">
        <v>1745</v>
      </c>
    </row>
    <row r="418" spans="1:13" ht="13">
      <c r="A418" s="316" t="s">
        <v>1671</v>
      </c>
      <c r="B418" s="316" t="s">
        <v>1973</v>
      </c>
      <c r="C418" s="316" t="s">
        <v>1973</v>
      </c>
      <c r="D418" s="316" t="s">
        <v>1973</v>
      </c>
      <c r="E418" s="317" t="s">
        <v>1973</v>
      </c>
      <c r="F418" s="372">
        <v>4</v>
      </c>
      <c r="G418" s="391" t="s">
        <v>36</v>
      </c>
      <c r="H418" s="392">
        <v>360000</v>
      </c>
      <c r="I418" s="395" t="b">
        <v>1</v>
      </c>
      <c r="J418" s="322">
        <v>4</v>
      </c>
      <c r="K418" s="323">
        <v>95000</v>
      </c>
      <c r="L418" s="379">
        <f t="shared" si="9"/>
        <v>380000</v>
      </c>
      <c r="M418" s="396" t="s">
        <v>1745</v>
      </c>
    </row>
    <row r="419" spans="1:13" ht="13">
      <c r="A419" s="316" t="s">
        <v>931</v>
      </c>
      <c r="B419" s="316" t="s">
        <v>1973</v>
      </c>
      <c r="C419" s="316" t="s">
        <v>1973</v>
      </c>
      <c r="D419" s="316" t="s">
        <v>1973</v>
      </c>
      <c r="E419" s="317" t="s">
        <v>1973</v>
      </c>
      <c r="F419" s="372">
        <v>1</v>
      </c>
      <c r="G419" s="391" t="s">
        <v>36</v>
      </c>
      <c r="H419" s="392">
        <v>18000</v>
      </c>
      <c r="I419" s="393" t="b">
        <v>1</v>
      </c>
      <c r="J419" s="322">
        <v>0.5</v>
      </c>
      <c r="K419" s="323" t="s">
        <v>1973</v>
      </c>
      <c r="L419" s="371" t="e">
        <f t="shared" si="9"/>
        <v>#VALUE!</v>
      </c>
      <c r="M419" s="396"/>
    </row>
    <row r="420" spans="1:13" ht="13">
      <c r="A420" s="316" t="s">
        <v>955</v>
      </c>
      <c r="B420" s="316" t="s">
        <v>1973</v>
      </c>
      <c r="C420" s="316" t="s">
        <v>1973</v>
      </c>
      <c r="D420" s="316" t="s">
        <v>1973</v>
      </c>
      <c r="E420" s="317" t="s">
        <v>1973</v>
      </c>
      <c r="F420" s="372">
        <v>1</v>
      </c>
      <c r="G420" s="391" t="s">
        <v>97</v>
      </c>
      <c r="H420" s="392">
        <v>21000</v>
      </c>
      <c r="I420" s="393" t="b">
        <v>1</v>
      </c>
      <c r="J420" s="322">
        <v>1</v>
      </c>
      <c r="K420" s="323" t="s">
        <v>1973</v>
      </c>
      <c r="L420" s="371" t="e">
        <f t="shared" si="9"/>
        <v>#VALUE!</v>
      </c>
      <c r="M420" s="396"/>
    </row>
    <row r="421" spans="1:13" ht="13">
      <c r="A421" s="316" t="s">
        <v>987</v>
      </c>
      <c r="B421" s="316" t="s">
        <v>1973</v>
      </c>
      <c r="C421" s="316" t="s">
        <v>1973</v>
      </c>
      <c r="D421" s="316" t="s">
        <v>1973</v>
      </c>
      <c r="E421" s="317" t="s">
        <v>1973</v>
      </c>
      <c r="F421" s="372">
        <v>1</v>
      </c>
      <c r="G421" s="391" t="s">
        <v>62</v>
      </c>
      <c r="H421" s="392">
        <v>17000</v>
      </c>
      <c r="I421" s="393" t="b">
        <v>1</v>
      </c>
      <c r="J421" s="322">
        <v>1</v>
      </c>
      <c r="K421" s="323" t="s">
        <v>1973</v>
      </c>
      <c r="L421" s="371" t="e">
        <f t="shared" si="9"/>
        <v>#VALUE!</v>
      </c>
      <c r="M421" s="396"/>
    </row>
    <row r="422" spans="1:13" ht="13">
      <c r="A422" s="316" t="s">
        <v>989</v>
      </c>
      <c r="B422" s="316" t="s">
        <v>1973</v>
      </c>
      <c r="C422" s="316" t="s">
        <v>1973</v>
      </c>
      <c r="D422" s="316" t="s">
        <v>1973</v>
      </c>
      <c r="E422" s="317" t="s">
        <v>1973</v>
      </c>
      <c r="F422" s="372">
        <v>2</v>
      </c>
      <c r="G422" s="391" t="s">
        <v>62</v>
      </c>
      <c r="H422" s="392">
        <v>32000</v>
      </c>
      <c r="I422" s="393" t="b">
        <v>1</v>
      </c>
      <c r="J422" s="322">
        <v>2</v>
      </c>
      <c r="K422" s="323">
        <v>17000</v>
      </c>
      <c r="L422" s="371">
        <f t="shared" si="9"/>
        <v>34000</v>
      </c>
      <c r="M422" s="396"/>
    </row>
    <row r="423" spans="1:13" ht="13">
      <c r="A423" s="316" t="s">
        <v>1676</v>
      </c>
      <c r="B423" s="316" t="s">
        <v>1973</v>
      </c>
      <c r="C423" s="316" t="s">
        <v>1973</v>
      </c>
      <c r="D423" s="316" t="s">
        <v>1973</v>
      </c>
      <c r="E423" s="317" t="s">
        <v>1973</v>
      </c>
      <c r="F423" s="372">
        <v>1</v>
      </c>
      <c r="G423" s="391" t="s">
        <v>36</v>
      </c>
      <c r="H423" s="392">
        <v>240000</v>
      </c>
      <c r="I423" s="393" t="b">
        <v>1</v>
      </c>
      <c r="J423" s="322">
        <v>0.25</v>
      </c>
      <c r="K423" s="323" t="s">
        <v>1973</v>
      </c>
      <c r="L423" s="371" t="e">
        <f t="shared" si="9"/>
        <v>#VALUE!</v>
      </c>
      <c r="M423" s="396"/>
    </row>
    <row r="424" spans="1:13" ht="13">
      <c r="A424" s="316" t="s">
        <v>1000</v>
      </c>
      <c r="B424" s="316" t="s">
        <v>1973</v>
      </c>
      <c r="C424" s="316" t="s">
        <v>1973</v>
      </c>
      <c r="D424" s="316" t="s">
        <v>1973</v>
      </c>
      <c r="E424" s="317" t="s">
        <v>1973</v>
      </c>
      <c r="F424" s="372">
        <v>1</v>
      </c>
      <c r="G424" s="391" t="s">
        <v>62</v>
      </c>
      <c r="H424" s="392">
        <v>10000</v>
      </c>
      <c r="I424" s="393" t="b">
        <v>1</v>
      </c>
      <c r="J424" s="322">
        <v>1</v>
      </c>
      <c r="K424" s="323" t="s">
        <v>1973</v>
      </c>
      <c r="L424" s="371" t="e">
        <f t="shared" si="9"/>
        <v>#VALUE!</v>
      </c>
      <c r="M424" s="396"/>
    </row>
    <row r="425" spans="1:13" ht="13">
      <c r="A425" s="316" t="s">
        <v>1152</v>
      </c>
      <c r="B425" s="316" t="s">
        <v>1973</v>
      </c>
      <c r="C425" s="316" t="s">
        <v>1973</v>
      </c>
      <c r="D425" s="316" t="s">
        <v>1973</v>
      </c>
      <c r="E425" s="317" t="s">
        <v>1973</v>
      </c>
      <c r="F425" s="372">
        <v>1</v>
      </c>
      <c r="G425" s="391" t="s">
        <v>36</v>
      </c>
      <c r="H425" s="392">
        <v>32000</v>
      </c>
      <c r="I425" s="395" t="b">
        <v>1</v>
      </c>
      <c r="J425" s="322">
        <v>1</v>
      </c>
      <c r="K425" s="323">
        <v>18000</v>
      </c>
      <c r="L425" s="379">
        <f t="shared" si="9"/>
        <v>18000</v>
      </c>
      <c r="M425" s="396" t="s">
        <v>1745</v>
      </c>
    </row>
    <row r="426" spans="1:13" ht="13">
      <c r="A426" s="316" t="s">
        <v>1020</v>
      </c>
      <c r="B426" s="316" t="s">
        <v>1973</v>
      </c>
      <c r="C426" s="316" t="s">
        <v>1973</v>
      </c>
      <c r="D426" s="316" t="s">
        <v>1973</v>
      </c>
      <c r="E426" s="317" t="s">
        <v>1973</v>
      </c>
      <c r="F426" s="372">
        <v>2</v>
      </c>
      <c r="G426" s="391" t="s">
        <v>36</v>
      </c>
      <c r="H426" s="392">
        <v>20000</v>
      </c>
      <c r="I426" s="395" t="b">
        <v>1</v>
      </c>
      <c r="J426" s="322">
        <v>2</v>
      </c>
      <c r="K426" s="323">
        <v>12000</v>
      </c>
      <c r="L426" s="379">
        <f t="shared" si="9"/>
        <v>24000</v>
      </c>
      <c r="M426" s="396" t="s">
        <v>1745</v>
      </c>
    </row>
    <row r="427" spans="1:13" ht="13">
      <c r="A427" s="316" t="s">
        <v>1600</v>
      </c>
      <c r="B427" s="316" t="s">
        <v>1973</v>
      </c>
      <c r="C427" s="316" t="s">
        <v>1973</v>
      </c>
      <c r="D427" s="316" t="s">
        <v>1973</v>
      </c>
      <c r="E427" s="317" t="s">
        <v>1973</v>
      </c>
      <c r="F427" s="372">
        <v>2</v>
      </c>
      <c r="G427" s="391" t="s">
        <v>36</v>
      </c>
      <c r="H427" s="392">
        <v>16000</v>
      </c>
      <c r="I427" s="395" t="b">
        <v>1</v>
      </c>
      <c r="J427" s="322">
        <v>2</v>
      </c>
      <c r="K427" s="323">
        <v>10000</v>
      </c>
      <c r="L427" s="379">
        <f t="shared" si="9"/>
        <v>20000</v>
      </c>
      <c r="M427" s="396" t="s">
        <v>1745</v>
      </c>
    </row>
    <row r="428" spans="1:13" ht="13">
      <c r="A428" s="316" t="s">
        <v>1681</v>
      </c>
      <c r="B428" s="316" t="s">
        <v>1973</v>
      </c>
      <c r="C428" s="316" t="s">
        <v>1973</v>
      </c>
      <c r="D428" s="316" t="s">
        <v>1973</v>
      </c>
      <c r="E428" s="317" t="s">
        <v>1973</v>
      </c>
      <c r="F428" s="372">
        <v>1</v>
      </c>
      <c r="G428" s="391" t="s">
        <v>143</v>
      </c>
      <c r="H428" s="392">
        <v>320000</v>
      </c>
      <c r="I428" s="319" t="b">
        <v>0</v>
      </c>
      <c r="J428" s="372"/>
      <c r="K428" s="373" t="s">
        <v>1973</v>
      </c>
      <c r="L428" s="374" t="e">
        <f t="shared" si="9"/>
        <v>#VALUE!</v>
      </c>
      <c r="M428" s="396"/>
    </row>
    <row r="429" spans="1:13" ht="13">
      <c r="A429" s="316" t="s">
        <v>1703</v>
      </c>
      <c r="B429" s="316" t="s">
        <v>1973</v>
      </c>
      <c r="C429" s="316" t="s">
        <v>1973</v>
      </c>
      <c r="D429" s="316" t="s">
        <v>1973</v>
      </c>
      <c r="E429" s="317" t="s">
        <v>1973</v>
      </c>
      <c r="F429" s="372">
        <v>4</v>
      </c>
      <c r="G429" s="391" t="s">
        <v>62</v>
      </c>
      <c r="H429" s="392">
        <v>89628</v>
      </c>
      <c r="I429" s="319" t="b">
        <v>0</v>
      </c>
      <c r="J429" s="372"/>
      <c r="K429" s="373" t="s">
        <v>1973</v>
      </c>
      <c r="L429" s="374" t="e">
        <f t="shared" si="9"/>
        <v>#VALUE!</v>
      </c>
      <c r="M429" s="396"/>
    </row>
    <row r="430" spans="1:13" ht="13">
      <c r="A430" s="316" t="s">
        <v>548</v>
      </c>
      <c r="B430" s="316" t="s">
        <v>1973</v>
      </c>
      <c r="C430" s="316" t="s">
        <v>1973</v>
      </c>
      <c r="D430" s="316" t="s">
        <v>1973</v>
      </c>
      <c r="E430" s="317" t="s">
        <v>1973</v>
      </c>
      <c r="F430" s="372">
        <v>3</v>
      </c>
      <c r="G430" s="391" t="s">
        <v>87</v>
      </c>
      <c r="H430" s="392">
        <v>426360</v>
      </c>
      <c r="I430" s="319" t="b">
        <v>0</v>
      </c>
      <c r="J430" s="372"/>
      <c r="K430" s="373" t="s">
        <v>1973</v>
      </c>
      <c r="L430" s="374" t="e">
        <f t="shared" si="9"/>
        <v>#VALUE!</v>
      </c>
      <c r="M430" s="396"/>
    </row>
    <row r="431" spans="1:13" ht="13">
      <c r="A431" s="316" t="s">
        <v>688</v>
      </c>
      <c r="B431" s="316" t="s">
        <v>1973</v>
      </c>
      <c r="C431" s="316" t="s">
        <v>1973</v>
      </c>
      <c r="D431" s="316" t="s">
        <v>1973</v>
      </c>
      <c r="E431" s="317" t="s">
        <v>1973</v>
      </c>
      <c r="F431" s="372">
        <v>1</v>
      </c>
      <c r="G431" s="391" t="s">
        <v>62</v>
      </c>
      <c r="H431" s="392">
        <v>57970</v>
      </c>
      <c r="I431" s="319" t="b">
        <v>0</v>
      </c>
      <c r="J431" s="372"/>
      <c r="K431" s="373" t="s">
        <v>1973</v>
      </c>
      <c r="L431" s="374" t="e">
        <f t="shared" si="9"/>
        <v>#VALUE!</v>
      </c>
      <c r="M431" s="396"/>
    </row>
    <row r="432" spans="1:13" ht="13">
      <c r="A432" s="316" t="s">
        <v>925</v>
      </c>
      <c r="B432" s="316" t="s">
        <v>1973</v>
      </c>
      <c r="C432" s="316" t="s">
        <v>1973</v>
      </c>
      <c r="D432" s="316" t="s">
        <v>1973</v>
      </c>
      <c r="E432" s="317" t="s">
        <v>1973</v>
      </c>
      <c r="F432" s="372">
        <v>1</v>
      </c>
      <c r="G432" s="391" t="s">
        <v>143</v>
      </c>
      <c r="H432" s="392">
        <v>357214</v>
      </c>
      <c r="I432" s="395" t="b">
        <v>1</v>
      </c>
      <c r="J432" s="322">
        <v>1</v>
      </c>
      <c r="K432" s="323">
        <v>58000</v>
      </c>
      <c r="L432" s="379">
        <f t="shared" si="9"/>
        <v>58000</v>
      </c>
      <c r="M432" s="396" t="s">
        <v>1769</v>
      </c>
    </row>
    <row r="433" spans="1:13" ht="13">
      <c r="A433" s="316" t="s">
        <v>949</v>
      </c>
      <c r="B433" s="316" t="s">
        <v>1973</v>
      </c>
      <c r="C433" s="316" t="s">
        <v>1973</v>
      </c>
      <c r="D433" s="316" t="s">
        <v>1973</v>
      </c>
      <c r="E433" s="317" t="s">
        <v>1973</v>
      </c>
      <c r="F433" s="372">
        <v>1</v>
      </c>
      <c r="G433" s="391" t="s">
        <v>97</v>
      </c>
      <c r="H433" s="392">
        <v>23200</v>
      </c>
      <c r="I433" s="393" t="b">
        <v>1</v>
      </c>
      <c r="J433" s="322">
        <v>1</v>
      </c>
      <c r="K433" s="323" t="e">
        <f>VLOOKUP($A433,'[1]Database Bahan &amp; Alat (Terupdat'!$B$50:$N$232,6,FALSE)</f>
        <v>#N/A</v>
      </c>
      <c r="L433" s="371" t="e">
        <f t="shared" si="9"/>
        <v>#N/A</v>
      </c>
      <c r="M433" s="396"/>
    </row>
    <row r="434" spans="1:13" ht="13">
      <c r="A434" s="316" t="s">
        <v>952</v>
      </c>
      <c r="B434" s="316" t="s">
        <v>1973</v>
      </c>
      <c r="C434" s="316" t="s">
        <v>1973</v>
      </c>
      <c r="D434" s="316" t="s">
        <v>1973</v>
      </c>
      <c r="E434" s="317" t="s">
        <v>1973</v>
      </c>
      <c r="F434" s="372">
        <v>1</v>
      </c>
      <c r="G434" s="391" t="s">
        <v>97</v>
      </c>
      <c r="H434" s="392">
        <v>27300</v>
      </c>
      <c r="I434" s="395" t="b">
        <v>1</v>
      </c>
      <c r="J434" s="322">
        <v>1</v>
      </c>
      <c r="K434" s="323">
        <v>23200</v>
      </c>
      <c r="L434" s="379">
        <f t="shared" si="9"/>
        <v>23200</v>
      </c>
      <c r="M434" s="396" t="s">
        <v>1745</v>
      </c>
    </row>
    <row r="435" spans="1:13" ht="13">
      <c r="A435" s="316" t="s">
        <v>1751</v>
      </c>
      <c r="B435" s="316" t="s">
        <v>1973</v>
      </c>
      <c r="C435" s="316" t="s">
        <v>1973</v>
      </c>
      <c r="D435" s="316" t="s">
        <v>1973</v>
      </c>
      <c r="E435" s="317" t="s">
        <v>1973</v>
      </c>
      <c r="F435" s="372">
        <v>15</v>
      </c>
      <c r="G435" s="391" t="s">
        <v>36</v>
      </c>
      <c r="H435" s="392">
        <v>180000</v>
      </c>
      <c r="I435" s="393" t="b">
        <v>1</v>
      </c>
      <c r="J435" s="322">
        <v>15</v>
      </c>
      <c r="K435" s="323" t="s">
        <v>1973</v>
      </c>
      <c r="L435" s="371" t="e">
        <f t="shared" si="9"/>
        <v>#VALUE!</v>
      </c>
      <c r="M435" s="396"/>
    </row>
    <row r="436" spans="1:13" ht="13">
      <c r="A436" s="316" t="s">
        <v>1705</v>
      </c>
      <c r="B436" s="316" t="s">
        <v>1973</v>
      </c>
      <c r="C436" s="316" t="s">
        <v>1973</v>
      </c>
      <c r="D436" s="316" t="s">
        <v>1973</v>
      </c>
      <c r="E436" s="317" t="s">
        <v>1973</v>
      </c>
      <c r="F436" s="372">
        <v>6</v>
      </c>
      <c r="G436" s="391" t="s">
        <v>62</v>
      </c>
      <c r="H436" s="392">
        <v>250800</v>
      </c>
      <c r="I436" s="393" t="b">
        <v>1</v>
      </c>
      <c r="J436" s="322">
        <v>6</v>
      </c>
      <c r="K436" s="323" t="s">
        <v>1973</v>
      </c>
      <c r="L436" s="371" t="e">
        <f t="shared" si="9"/>
        <v>#VALUE!</v>
      </c>
      <c r="M436" s="396"/>
    </row>
    <row r="437" spans="1:13" ht="13">
      <c r="A437" s="316" t="s">
        <v>779</v>
      </c>
      <c r="B437" s="316" t="s">
        <v>1973</v>
      </c>
      <c r="C437" s="316" t="s">
        <v>1973</v>
      </c>
      <c r="D437" s="316" t="s">
        <v>1973</v>
      </c>
      <c r="E437" s="317" t="s">
        <v>1973</v>
      </c>
      <c r="F437" s="372">
        <v>3</v>
      </c>
      <c r="G437" s="391" t="s">
        <v>62</v>
      </c>
      <c r="H437" s="392">
        <v>115500</v>
      </c>
      <c r="I437" s="395" t="b">
        <v>1</v>
      </c>
      <c r="J437" s="322">
        <v>3</v>
      </c>
      <c r="K437" s="323">
        <v>48700</v>
      </c>
      <c r="L437" s="379">
        <f t="shared" si="9"/>
        <v>146100</v>
      </c>
      <c r="M437" s="396" t="s">
        <v>1745</v>
      </c>
    </row>
    <row r="438" spans="1:13" ht="13">
      <c r="A438" s="316" t="s">
        <v>874</v>
      </c>
      <c r="B438" s="316" t="s">
        <v>1973</v>
      </c>
      <c r="C438" s="316" t="s">
        <v>1973</v>
      </c>
      <c r="D438" s="316" t="s">
        <v>1973</v>
      </c>
      <c r="E438" s="317" t="s">
        <v>1973</v>
      </c>
      <c r="F438" s="372">
        <v>7</v>
      </c>
      <c r="G438" s="391" t="s">
        <v>62</v>
      </c>
      <c r="H438" s="392">
        <v>112000</v>
      </c>
      <c r="I438" s="393" t="b">
        <v>1</v>
      </c>
      <c r="J438" s="322">
        <v>7</v>
      </c>
      <c r="K438" s="323" t="e">
        <f>VLOOKUP($A438,'[1]Database Bahan &amp; Alat (Terupdat'!$B$50:$N$232,6,FALSE)</f>
        <v>#N/A</v>
      </c>
      <c r="L438" s="371" t="e">
        <f t="shared" si="9"/>
        <v>#N/A</v>
      </c>
      <c r="M438" s="396"/>
    </row>
    <row r="439" spans="1:13" ht="13">
      <c r="A439" s="316" t="s">
        <v>1606</v>
      </c>
      <c r="B439" s="316" t="s">
        <v>1973</v>
      </c>
      <c r="C439" s="316" t="s">
        <v>1973</v>
      </c>
      <c r="D439" s="316" t="s">
        <v>1973</v>
      </c>
      <c r="E439" s="317" t="s">
        <v>1973</v>
      </c>
      <c r="F439" s="372">
        <v>1</v>
      </c>
      <c r="G439" s="391" t="s">
        <v>36</v>
      </c>
      <c r="H439" s="392">
        <v>35000</v>
      </c>
      <c r="I439" s="395" t="b">
        <v>1</v>
      </c>
      <c r="J439" s="322">
        <v>5</v>
      </c>
      <c r="K439" s="323">
        <v>8800</v>
      </c>
      <c r="L439" s="379">
        <f t="shared" si="9"/>
        <v>44000</v>
      </c>
      <c r="M439" s="396" t="s">
        <v>1745</v>
      </c>
    </row>
    <row r="440" spans="1:13" ht="13">
      <c r="A440" s="316" t="s">
        <v>910</v>
      </c>
      <c r="B440" s="316" t="s">
        <v>1973</v>
      </c>
      <c r="C440" s="316" t="s">
        <v>1973</v>
      </c>
      <c r="D440" s="316" t="s">
        <v>1973</v>
      </c>
      <c r="E440" s="317" t="s">
        <v>1973</v>
      </c>
      <c r="F440" s="372">
        <v>8</v>
      </c>
      <c r="G440" s="391" t="s">
        <v>62</v>
      </c>
      <c r="H440" s="392">
        <v>104000</v>
      </c>
      <c r="I440" s="393" t="b">
        <v>1</v>
      </c>
      <c r="J440" s="322">
        <v>8</v>
      </c>
      <c r="K440" s="323" t="s">
        <v>1973</v>
      </c>
      <c r="L440" s="371" t="e">
        <f t="shared" si="9"/>
        <v>#VALUE!</v>
      </c>
      <c r="M440" s="396"/>
    </row>
    <row r="441" spans="1:13" ht="13">
      <c r="A441" s="316" t="s">
        <v>1683</v>
      </c>
      <c r="B441" s="316" t="s">
        <v>1973</v>
      </c>
      <c r="C441" s="316" t="s">
        <v>1973</v>
      </c>
      <c r="D441" s="316" t="s">
        <v>1973</v>
      </c>
      <c r="E441" s="317" t="s">
        <v>1973</v>
      </c>
      <c r="F441" s="372">
        <v>1</v>
      </c>
      <c r="G441" s="391" t="s">
        <v>36</v>
      </c>
      <c r="H441" s="392">
        <v>30000</v>
      </c>
      <c r="I441" s="319" t="b">
        <v>0</v>
      </c>
      <c r="J441" s="372"/>
      <c r="K441" s="373" t="s">
        <v>1973</v>
      </c>
      <c r="L441" s="374" t="e">
        <f t="shared" si="9"/>
        <v>#VALUE!</v>
      </c>
      <c r="M441" s="396"/>
    </row>
    <row r="442" spans="1:13" ht="13">
      <c r="A442" s="316" t="s">
        <v>1550</v>
      </c>
      <c r="B442" s="316" t="s">
        <v>1973</v>
      </c>
      <c r="C442" s="316" t="s">
        <v>1973</v>
      </c>
      <c r="D442" s="316" t="s">
        <v>1973</v>
      </c>
      <c r="E442" s="317" t="s">
        <v>1973</v>
      </c>
      <c r="F442" s="372">
        <v>1</v>
      </c>
      <c r="G442" s="391" t="s">
        <v>97</v>
      </c>
      <c r="H442" s="392">
        <v>105000</v>
      </c>
      <c r="I442" s="319" t="b">
        <v>0</v>
      </c>
      <c r="J442" s="372"/>
      <c r="K442" s="373" t="s">
        <v>1973</v>
      </c>
      <c r="L442" s="374" t="e">
        <f t="shared" si="9"/>
        <v>#VALUE!</v>
      </c>
      <c r="M442" s="396"/>
    </row>
    <row r="443" spans="1:13" ht="13">
      <c r="A443" s="316" t="s">
        <v>1651</v>
      </c>
      <c r="B443" s="316" t="s">
        <v>1973</v>
      </c>
      <c r="C443" s="316" t="s">
        <v>1973</v>
      </c>
      <c r="D443" s="316" t="s">
        <v>1973</v>
      </c>
      <c r="E443" s="317" t="s">
        <v>1973</v>
      </c>
      <c r="F443" s="372">
        <v>1</v>
      </c>
      <c r="G443" s="391" t="s">
        <v>97</v>
      </c>
      <c r="H443" s="392">
        <v>105000</v>
      </c>
      <c r="I443" s="319" t="b">
        <v>0</v>
      </c>
      <c r="J443" s="372"/>
      <c r="K443" s="373" t="s">
        <v>1973</v>
      </c>
      <c r="L443" s="374" t="e">
        <f t="shared" si="9"/>
        <v>#VALUE!</v>
      </c>
      <c r="M443" s="396"/>
    </row>
    <row r="444" spans="1:13" ht="13">
      <c r="A444" s="316" t="s">
        <v>847</v>
      </c>
      <c r="B444" s="316" t="s">
        <v>1973</v>
      </c>
      <c r="C444" s="316" t="s">
        <v>1973</v>
      </c>
      <c r="D444" s="316" t="s">
        <v>1973</v>
      </c>
      <c r="E444" s="317" t="s">
        <v>1973</v>
      </c>
      <c r="F444" s="372">
        <v>2</v>
      </c>
      <c r="G444" s="391" t="s">
        <v>75</v>
      </c>
      <c r="H444" s="392">
        <v>92000</v>
      </c>
      <c r="I444" s="319" t="b">
        <v>0</v>
      </c>
      <c r="J444" s="372"/>
      <c r="K444" s="373" t="s">
        <v>1973</v>
      </c>
      <c r="L444" s="374" t="e">
        <f t="shared" si="9"/>
        <v>#VALUE!</v>
      </c>
      <c r="M444" s="396"/>
    </row>
    <row r="445" spans="1:13" ht="13">
      <c r="A445" s="316" t="s">
        <v>540</v>
      </c>
      <c r="B445" s="316" t="s">
        <v>1973</v>
      </c>
      <c r="C445" s="316" t="s">
        <v>1973</v>
      </c>
      <c r="D445" s="316" t="s">
        <v>1973</v>
      </c>
      <c r="E445" s="317" t="s">
        <v>1973</v>
      </c>
      <c r="F445" s="372">
        <v>5</v>
      </c>
      <c r="G445" s="391" t="s">
        <v>36</v>
      </c>
      <c r="H445" s="392">
        <v>850000</v>
      </c>
      <c r="I445" s="319" t="b">
        <v>0</v>
      </c>
      <c r="J445" s="372">
        <v>0</v>
      </c>
      <c r="K445" s="373" t="s">
        <v>1973</v>
      </c>
      <c r="L445" s="374" t="e">
        <f t="shared" si="9"/>
        <v>#VALUE!</v>
      </c>
      <c r="M445" s="396"/>
    </row>
    <row r="446" spans="1:13" ht="13">
      <c r="A446" s="316" t="s">
        <v>590</v>
      </c>
      <c r="B446" s="316" t="s">
        <v>1973</v>
      </c>
      <c r="C446" s="316" t="s">
        <v>1973</v>
      </c>
      <c r="D446" s="316" t="s">
        <v>1973</v>
      </c>
      <c r="E446" s="317" t="s">
        <v>1973</v>
      </c>
      <c r="F446" s="372">
        <v>1</v>
      </c>
      <c r="G446" s="391" t="s">
        <v>62</v>
      </c>
      <c r="H446" s="392">
        <v>85000</v>
      </c>
      <c r="I446" s="319" t="b">
        <v>0</v>
      </c>
      <c r="J446" s="372">
        <v>0</v>
      </c>
      <c r="K446" s="373" t="s">
        <v>1973</v>
      </c>
      <c r="L446" s="374" t="e">
        <f t="shared" si="9"/>
        <v>#VALUE!</v>
      </c>
      <c r="M446" s="396"/>
    </row>
    <row r="447" spans="1:13" ht="13">
      <c r="A447" s="316" t="s">
        <v>602</v>
      </c>
      <c r="B447" s="316" t="s">
        <v>1973</v>
      </c>
      <c r="C447" s="316" t="s">
        <v>1973</v>
      </c>
      <c r="D447" s="316" t="s">
        <v>1973</v>
      </c>
      <c r="E447" s="317" t="s">
        <v>1973</v>
      </c>
      <c r="F447" s="372">
        <v>1</v>
      </c>
      <c r="G447" s="391" t="s">
        <v>62</v>
      </c>
      <c r="H447" s="392">
        <v>100000</v>
      </c>
      <c r="I447" s="319" t="b">
        <v>0</v>
      </c>
      <c r="J447" s="372"/>
      <c r="K447" s="373" t="s">
        <v>1973</v>
      </c>
      <c r="L447" s="374" t="e">
        <f t="shared" si="9"/>
        <v>#VALUE!</v>
      </c>
      <c r="M447" s="396"/>
    </row>
    <row r="448" spans="1:13" ht="13">
      <c r="A448" s="316" t="s">
        <v>1602</v>
      </c>
      <c r="B448" s="316" t="s">
        <v>1973</v>
      </c>
      <c r="C448" s="316" t="s">
        <v>1973</v>
      </c>
      <c r="D448" s="316" t="s">
        <v>1973</v>
      </c>
      <c r="E448" s="317" t="s">
        <v>1973</v>
      </c>
      <c r="F448" s="372">
        <v>2</v>
      </c>
      <c r="G448" s="391" t="s">
        <v>36</v>
      </c>
      <c r="H448" s="392">
        <v>26000</v>
      </c>
      <c r="I448" s="319" t="b">
        <v>0</v>
      </c>
      <c r="J448" s="372"/>
      <c r="K448" s="373" t="s">
        <v>1973</v>
      </c>
      <c r="L448" s="374" t="e">
        <f t="shared" si="9"/>
        <v>#VALUE!</v>
      </c>
      <c r="M448" s="325"/>
    </row>
    <row r="449" spans="1:13" ht="13">
      <c r="A449" s="316" t="s">
        <v>528</v>
      </c>
      <c r="B449" s="316" t="s">
        <v>1973</v>
      </c>
      <c r="C449" s="316" t="s">
        <v>1973</v>
      </c>
      <c r="D449" s="316" t="s">
        <v>1973</v>
      </c>
      <c r="E449" s="317" t="s">
        <v>1973</v>
      </c>
      <c r="F449" s="372">
        <v>11</v>
      </c>
      <c r="G449" s="391" t="s">
        <v>50</v>
      </c>
      <c r="H449" s="392">
        <v>170500</v>
      </c>
      <c r="I449" s="395" t="b">
        <v>1</v>
      </c>
      <c r="J449" s="322">
        <v>11</v>
      </c>
      <c r="K449" s="323">
        <v>16000</v>
      </c>
      <c r="L449" s="379">
        <f t="shared" si="9"/>
        <v>176000</v>
      </c>
      <c r="M449" s="396" t="s">
        <v>1745</v>
      </c>
    </row>
    <row r="450" spans="1:13" ht="13">
      <c r="A450" s="316" t="s">
        <v>1603</v>
      </c>
      <c r="B450" s="316" t="s">
        <v>1973</v>
      </c>
      <c r="C450" s="316" t="s">
        <v>1973</v>
      </c>
      <c r="D450" s="316" t="s">
        <v>1973</v>
      </c>
      <c r="E450" s="317" t="s">
        <v>1973</v>
      </c>
      <c r="F450" s="372">
        <v>2</v>
      </c>
      <c r="G450" s="391" t="s">
        <v>62</v>
      </c>
      <c r="H450" s="392">
        <v>120000</v>
      </c>
      <c r="I450" s="393" t="b">
        <v>1</v>
      </c>
      <c r="J450" s="322">
        <v>2</v>
      </c>
      <c r="K450" s="323" t="s">
        <v>1973</v>
      </c>
      <c r="L450" s="371" t="e">
        <f t="shared" si="9"/>
        <v>#VALUE!</v>
      </c>
      <c r="M450" s="396"/>
    </row>
    <row r="451" spans="1:13" ht="13">
      <c r="A451" s="316" t="s">
        <v>635</v>
      </c>
      <c r="B451" s="316" t="s">
        <v>1973</v>
      </c>
      <c r="C451" s="316" t="s">
        <v>1973</v>
      </c>
      <c r="D451" s="316" t="s">
        <v>1973</v>
      </c>
      <c r="E451" s="317" t="s">
        <v>1973</v>
      </c>
      <c r="F451" s="372">
        <v>16</v>
      </c>
      <c r="G451" s="391" t="s">
        <v>50</v>
      </c>
      <c r="H451" s="392">
        <v>144000</v>
      </c>
      <c r="I451" s="393" t="b">
        <v>1</v>
      </c>
      <c r="J451" s="322">
        <v>16</v>
      </c>
      <c r="K451" s="323" t="s">
        <v>1973</v>
      </c>
      <c r="L451" s="371" t="e">
        <f t="shared" si="9"/>
        <v>#VALUE!</v>
      </c>
      <c r="M451" s="396"/>
    </row>
    <row r="452" spans="1:13" ht="13">
      <c r="A452" s="316" t="s">
        <v>643</v>
      </c>
      <c r="B452" s="316" t="s">
        <v>1973</v>
      </c>
      <c r="C452" s="316" t="s">
        <v>1973</v>
      </c>
      <c r="D452" s="316" t="s">
        <v>1973</v>
      </c>
      <c r="E452" s="317" t="s">
        <v>1973</v>
      </c>
      <c r="F452" s="372">
        <v>2</v>
      </c>
      <c r="G452" s="391" t="s">
        <v>36</v>
      </c>
      <c r="H452" s="392">
        <v>30000</v>
      </c>
      <c r="I452" s="319" t="b">
        <v>0</v>
      </c>
      <c r="J452" s="372"/>
      <c r="K452" s="373" t="s">
        <v>1973</v>
      </c>
      <c r="L452" s="374" t="e">
        <f t="shared" si="9"/>
        <v>#VALUE!</v>
      </c>
      <c r="M452" s="396"/>
    </row>
    <row r="453" spans="1:13" ht="13">
      <c r="A453" s="316" t="s">
        <v>647</v>
      </c>
      <c r="B453" s="316" t="s">
        <v>1973</v>
      </c>
      <c r="C453" s="316" t="s">
        <v>1973</v>
      </c>
      <c r="D453" s="316" t="s">
        <v>1973</v>
      </c>
      <c r="E453" s="317" t="s">
        <v>1973</v>
      </c>
      <c r="F453" s="372">
        <v>1</v>
      </c>
      <c r="G453" s="391" t="s">
        <v>75</v>
      </c>
      <c r="H453" s="392">
        <v>48000</v>
      </c>
      <c r="I453" s="319" t="b">
        <v>0</v>
      </c>
      <c r="J453" s="372"/>
      <c r="K453" s="373" t="s">
        <v>1973</v>
      </c>
      <c r="L453" s="374" t="e">
        <f t="shared" si="9"/>
        <v>#VALUE!</v>
      </c>
      <c r="M453" s="396"/>
    </row>
    <row r="454" spans="1:13" ht="13">
      <c r="A454" s="316" t="s">
        <v>680</v>
      </c>
      <c r="B454" s="316" t="s">
        <v>1973</v>
      </c>
      <c r="C454" s="316" t="s">
        <v>1973</v>
      </c>
      <c r="D454" s="316" t="s">
        <v>1973</v>
      </c>
      <c r="E454" s="317" t="s">
        <v>1973</v>
      </c>
      <c r="F454" s="372">
        <v>7</v>
      </c>
      <c r="G454" s="391" t="s">
        <v>97</v>
      </c>
      <c r="H454" s="392">
        <v>203000</v>
      </c>
      <c r="I454" s="393" t="b">
        <v>1</v>
      </c>
      <c r="J454" s="322">
        <v>7</v>
      </c>
      <c r="K454" s="323" t="s">
        <v>1973</v>
      </c>
      <c r="L454" s="371" t="e">
        <f t="shared" si="9"/>
        <v>#VALUE!</v>
      </c>
      <c r="M454" s="396"/>
    </row>
    <row r="455" spans="1:13" ht="13">
      <c r="A455" s="316" t="s">
        <v>684</v>
      </c>
      <c r="B455" s="316" t="s">
        <v>1973</v>
      </c>
      <c r="C455" s="316" t="s">
        <v>1973</v>
      </c>
      <c r="D455" s="316" t="s">
        <v>1973</v>
      </c>
      <c r="E455" s="317" t="s">
        <v>1973</v>
      </c>
      <c r="F455" s="372">
        <v>2</v>
      </c>
      <c r="G455" s="391" t="s">
        <v>97</v>
      </c>
      <c r="H455" s="392">
        <v>58000</v>
      </c>
      <c r="I455" s="393" t="b">
        <v>1</v>
      </c>
      <c r="J455" s="322">
        <v>2</v>
      </c>
      <c r="K455" s="323" t="s">
        <v>1973</v>
      </c>
      <c r="L455" s="371" t="e">
        <f t="shared" si="9"/>
        <v>#VALUE!</v>
      </c>
      <c r="M455" s="396"/>
    </row>
    <row r="456" spans="1:13" ht="13">
      <c r="A456" s="316" t="s">
        <v>692</v>
      </c>
      <c r="B456" s="316" t="s">
        <v>1973</v>
      </c>
      <c r="C456" s="316" t="s">
        <v>1973</v>
      </c>
      <c r="D456" s="316" t="s">
        <v>1973</v>
      </c>
      <c r="E456" s="317" t="s">
        <v>1973</v>
      </c>
      <c r="F456" s="372">
        <v>1</v>
      </c>
      <c r="G456" s="391" t="s">
        <v>62</v>
      </c>
      <c r="H456" s="392">
        <v>50000</v>
      </c>
      <c r="I456" s="395" t="b">
        <v>1</v>
      </c>
      <c r="J456" s="322">
        <v>1</v>
      </c>
      <c r="K456" s="323">
        <v>52000</v>
      </c>
      <c r="L456" s="379">
        <f t="shared" si="9"/>
        <v>52000</v>
      </c>
      <c r="M456" s="396" t="s">
        <v>1745</v>
      </c>
    </row>
    <row r="457" spans="1:13" ht="13">
      <c r="A457" s="316" t="s">
        <v>696</v>
      </c>
      <c r="B457" s="316" t="s">
        <v>1973</v>
      </c>
      <c r="C457" s="316" t="s">
        <v>1973</v>
      </c>
      <c r="D457" s="316" t="s">
        <v>1973</v>
      </c>
      <c r="E457" s="317" t="s">
        <v>1973</v>
      </c>
      <c r="F457" s="372">
        <v>8</v>
      </c>
      <c r="G457" s="391" t="s">
        <v>62</v>
      </c>
      <c r="H457" s="392">
        <v>80000</v>
      </c>
      <c r="I457" s="393" t="b">
        <v>1</v>
      </c>
      <c r="J457" s="322">
        <v>8</v>
      </c>
      <c r="K457" s="323" t="s">
        <v>1973</v>
      </c>
      <c r="L457" s="371" t="e">
        <f t="shared" si="9"/>
        <v>#VALUE!</v>
      </c>
      <c r="M457" s="396"/>
    </row>
    <row r="458" spans="1:13" ht="13">
      <c r="A458" s="316" t="s">
        <v>735</v>
      </c>
      <c r="B458" s="316" t="s">
        <v>1973</v>
      </c>
      <c r="C458" s="316" t="s">
        <v>1973</v>
      </c>
      <c r="D458" s="316" t="s">
        <v>1973</v>
      </c>
      <c r="E458" s="317" t="s">
        <v>1973</v>
      </c>
      <c r="F458" s="372">
        <v>1</v>
      </c>
      <c r="G458" s="391" t="s">
        <v>97</v>
      </c>
      <c r="H458" s="392">
        <v>46000</v>
      </c>
      <c r="I458" s="393" t="b">
        <v>1</v>
      </c>
      <c r="J458" s="322">
        <v>1</v>
      </c>
      <c r="K458" s="323" t="s">
        <v>1973</v>
      </c>
      <c r="L458" s="371" t="e">
        <f t="shared" si="9"/>
        <v>#VALUE!</v>
      </c>
      <c r="M458" s="396"/>
    </row>
    <row r="459" spans="1:13" ht="13">
      <c r="A459" s="316" t="s">
        <v>748</v>
      </c>
      <c r="B459" s="316" t="s">
        <v>1973</v>
      </c>
      <c r="C459" s="316" t="s">
        <v>1973</v>
      </c>
      <c r="D459" s="316" t="s">
        <v>1973</v>
      </c>
      <c r="E459" s="317" t="s">
        <v>1973</v>
      </c>
      <c r="F459" s="372">
        <v>5</v>
      </c>
      <c r="G459" s="391" t="s">
        <v>62</v>
      </c>
      <c r="H459" s="392">
        <v>145000</v>
      </c>
      <c r="I459" s="393" t="b">
        <v>1</v>
      </c>
      <c r="J459" s="322">
        <v>5</v>
      </c>
      <c r="K459" s="323" t="s">
        <v>1973</v>
      </c>
      <c r="L459" s="371" t="e">
        <f t="shared" si="9"/>
        <v>#VALUE!</v>
      </c>
      <c r="M459" s="396"/>
    </row>
    <row r="460" spans="1:13" ht="13">
      <c r="A460" s="316" t="s">
        <v>756</v>
      </c>
      <c r="B460" s="316" t="s">
        <v>1973</v>
      </c>
      <c r="C460" s="316" t="s">
        <v>1973</v>
      </c>
      <c r="D460" s="316" t="s">
        <v>1973</v>
      </c>
      <c r="E460" s="317" t="s">
        <v>1973</v>
      </c>
      <c r="F460" s="372">
        <v>1</v>
      </c>
      <c r="G460" s="391" t="s">
        <v>62</v>
      </c>
      <c r="H460" s="392">
        <v>25000</v>
      </c>
      <c r="I460" s="393" t="b">
        <v>1</v>
      </c>
      <c r="J460" s="322">
        <v>1</v>
      </c>
      <c r="K460" s="323" t="s">
        <v>1973</v>
      </c>
      <c r="L460" s="371" t="e">
        <f t="shared" si="9"/>
        <v>#VALUE!</v>
      </c>
      <c r="M460" s="396"/>
    </row>
    <row r="461" spans="1:13" ht="13">
      <c r="A461" s="316" t="s">
        <v>807</v>
      </c>
      <c r="B461" s="316" t="s">
        <v>1973</v>
      </c>
      <c r="C461" s="316" t="s">
        <v>1973</v>
      </c>
      <c r="D461" s="316" t="s">
        <v>1973</v>
      </c>
      <c r="E461" s="317" t="s">
        <v>1973</v>
      </c>
      <c r="F461" s="372">
        <v>1</v>
      </c>
      <c r="G461" s="391" t="s">
        <v>97</v>
      </c>
      <c r="H461" s="392">
        <v>5000</v>
      </c>
      <c r="I461" s="393" t="b">
        <v>1</v>
      </c>
      <c r="J461" s="322">
        <v>1</v>
      </c>
      <c r="K461" s="323" t="s">
        <v>1973</v>
      </c>
      <c r="L461" s="371" t="e">
        <f t="shared" si="9"/>
        <v>#VALUE!</v>
      </c>
      <c r="M461" s="396"/>
    </row>
    <row r="462" spans="1:13" ht="13">
      <c r="A462" s="316" t="s">
        <v>889</v>
      </c>
      <c r="B462" s="316" t="s">
        <v>1973</v>
      </c>
      <c r="C462" s="316" t="s">
        <v>1973</v>
      </c>
      <c r="D462" s="316" t="s">
        <v>1973</v>
      </c>
      <c r="E462" s="317" t="s">
        <v>1973</v>
      </c>
      <c r="F462" s="372">
        <v>1</v>
      </c>
      <c r="G462" s="391" t="s">
        <v>62</v>
      </c>
      <c r="H462" s="392">
        <v>20000</v>
      </c>
      <c r="I462" s="393" t="b">
        <v>1</v>
      </c>
      <c r="J462" s="322">
        <v>1</v>
      </c>
      <c r="K462" s="323" t="s">
        <v>1973</v>
      </c>
      <c r="L462" s="371" t="e">
        <f t="shared" si="9"/>
        <v>#VALUE!</v>
      </c>
      <c r="M462" s="396"/>
    </row>
    <row r="463" spans="1:13" ht="13">
      <c r="A463" s="316" t="s">
        <v>892</v>
      </c>
      <c r="B463" s="316" t="s">
        <v>1973</v>
      </c>
      <c r="C463" s="316" t="s">
        <v>1973</v>
      </c>
      <c r="D463" s="316" t="s">
        <v>1973</v>
      </c>
      <c r="E463" s="317" t="s">
        <v>1973</v>
      </c>
      <c r="F463" s="372">
        <v>3</v>
      </c>
      <c r="G463" s="391" t="s">
        <v>36</v>
      </c>
      <c r="H463" s="392">
        <v>360000</v>
      </c>
      <c r="I463" s="393" t="b">
        <v>1</v>
      </c>
      <c r="J463" s="322">
        <v>3</v>
      </c>
      <c r="K463" s="323" t="s">
        <v>1973</v>
      </c>
      <c r="L463" s="371" t="e">
        <f t="shared" si="9"/>
        <v>#VALUE!</v>
      </c>
      <c r="M463" s="396"/>
    </row>
    <row r="464" spans="1:13" ht="13">
      <c r="A464" s="316" t="s">
        <v>934</v>
      </c>
      <c r="B464" s="316" t="s">
        <v>1973</v>
      </c>
      <c r="C464" s="316" t="s">
        <v>1973</v>
      </c>
      <c r="D464" s="316" t="s">
        <v>1973</v>
      </c>
      <c r="E464" s="317" t="s">
        <v>1973</v>
      </c>
      <c r="F464" s="372">
        <v>6</v>
      </c>
      <c r="G464" s="391" t="s">
        <v>62</v>
      </c>
      <c r="H464" s="392">
        <v>54000</v>
      </c>
      <c r="I464" s="393" t="b">
        <v>1</v>
      </c>
      <c r="J464" s="322">
        <v>6</v>
      </c>
      <c r="K464" s="323" t="s">
        <v>1973</v>
      </c>
      <c r="L464" s="371" t="e">
        <f t="shared" si="9"/>
        <v>#VALUE!</v>
      </c>
      <c r="M464" s="396"/>
    </row>
    <row r="465" spans="1:13" ht="13">
      <c r="A465" s="316" t="s">
        <v>940</v>
      </c>
      <c r="B465" s="316" t="s">
        <v>1973</v>
      </c>
      <c r="C465" s="316" t="s">
        <v>1973</v>
      </c>
      <c r="D465" s="316" t="s">
        <v>1973</v>
      </c>
      <c r="E465" s="317" t="s">
        <v>1973</v>
      </c>
      <c r="F465" s="372">
        <v>1</v>
      </c>
      <c r="G465" s="391" t="s">
        <v>36</v>
      </c>
      <c r="H465" s="392">
        <v>100000</v>
      </c>
      <c r="I465" s="393" t="b">
        <v>1</v>
      </c>
      <c r="J465" s="322">
        <v>0.25</v>
      </c>
      <c r="K465" s="323" t="s">
        <v>1973</v>
      </c>
      <c r="L465" s="371" t="e">
        <f t="shared" si="9"/>
        <v>#VALUE!</v>
      </c>
      <c r="M465" s="396"/>
    </row>
    <row r="466" spans="1:13" ht="13">
      <c r="A466" s="316" t="s">
        <v>943</v>
      </c>
      <c r="B466" s="316" t="s">
        <v>1973</v>
      </c>
      <c r="C466" s="316" t="s">
        <v>1973</v>
      </c>
      <c r="D466" s="316" t="s">
        <v>1973</v>
      </c>
      <c r="E466" s="317" t="s">
        <v>1973</v>
      </c>
      <c r="F466" s="372">
        <v>2</v>
      </c>
      <c r="G466" s="391" t="s">
        <v>62</v>
      </c>
      <c r="H466" s="392">
        <v>17000</v>
      </c>
      <c r="I466" s="393" t="b">
        <v>1</v>
      </c>
      <c r="J466" s="322">
        <v>2</v>
      </c>
      <c r="K466" s="323" t="s">
        <v>1973</v>
      </c>
      <c r="L466" s="371" t="e">
        <f t="shared" si="9"/>
        <v>#VALUE!</v>
      </c>
      <c r="M466" s="396"/>
    </row>
    <row r="467" spans="1:13" ht="13">
      <c r="A467" s="316" t="s">
        <v>1548</v>
      </c>
      <c r="B467" s="316" t="s">
        <v>1973</v>
      </c>
      <c r="C467" s="316" t="s">
        <v>1973</v>
      </c>
      <c r="D467" s="316" t="s">
        <v>1973</v>
      </c>
      <c r="E467" s="317" t="s">
        <v>1973</v>
      </c>
      <c r="F467" s="372">
        <v>3</v>
      </c>
      <c r="G467" s="391" t="s">
        <v>62</v>
      </c>
      <c r="H467" s="392">
        <v>36000</v>
      </c>
      <c r="I467" s="393" t="b">
        <v>1</v>
      </c>
      <c r="J467" s="322">
        <v>3</v>
      </c>
      <c r="K467" s="323" t="s">
        <v>1973</v>
      </c>
      <c r="L467" s="371" t="e">
        <f t="shared" si="9"/>
        <v>#VALUE!</v>
      </c>
      <c r="M467" s="396"/>
    </row>
    <row r="468" spans="1:13" ht="13">
      <c r="A468" s="316" t="s">
        <v>1615</v>
      </c>
      <c r="B468" s="316" t="s">
        <v>1973</v>
      </c>
      <c r="C468" s="316" t="s">
        <v>1973</v>
      </c>
      <c r="D468" s="316" t="s">
        <v>1973</v>
      </c>
      <c r="E468" s="317" t="s">
        <v>1973</v>
      </c>
      <c r="F468" s="372">
        <v>1</v>
      </c>
      <c r="G468" s="391" t="s">
        <v>62</v>
      </c>
      <c r="H468" s="392">
        <v>8000</v>
      </c>
      <c r="I468" s="393" t="b">
        <v>1</v>
      </c>
      <c r="J468" s="322">
        <v>1</v>
      </c>
      <c r="K468" s="323" t="s">
        <v>1973</v>
      </c>
      <c r="L468" s="371" t="e">
        <f t="shared" si="9"/>
        <v>#VALUE!</v>
      </c>
      <c r="M468" s="396"/>
    </row>
    <row r="469" spans="1:13" ht="13">
      <c r="A469" s="316" t="s">
        <v>1017</v>
      </c>
      <c r="B469" s="316" t="s">
        <v>1973</v>
      </c>
      <c r="C469" s="316" t="s">
        <v>1973</v>
      </c>
      <c r="D469" s="316" t="s">
        <v>1973</v>
      </c>
      <c r="E469" s="317" t="s">
        <v>1973</v>
      </c>
      <c r="F469" s="372">
        <v>2</v>
      </c>
      <c r="G469" s="391" t="s">
        <v>62</v>
      </c>
      <c r="H469" s="392">
        <v>5000</v>
      </c>
      <c r="I469" s="319" t="b">
        <v>0</v>
      </c>
      <c r="J469" s="372">
        <v>0</v>
      </c>
      <c r="K469" s="373" t="s">
        <v>1973</v>
      </c>
      <c r="L469" s="374" t="e">
        <f t="shared" si="9"/>
        <v>#VALUE!</v>
      </c>
      <c r="M469" s="396"/>
    </row>
    <row r="470" spans="1:13" ht="13">
      <c r="A470" s="316" t="s">
        <v>1037</v>
      </c>
      <c r="B470" s="316" t="s">
        <v>1973</v>
      </c>
      <c r="C470" s="316" t="s">
        <v>1973</v>
      </c>
      <c r="D470" s="316" t="s">
        <v>1973</v>
      </c>
      <c r="E470" s="317" t="s">
        <v>1973</v>
      </c>
      <c r="F470" s="372">
        <v>2</v>
      </c>
      <c r="G470" s="391" t="s">
        <v>62</v>
      </c>
      <c r="H470" s="392">
        <v>40200</v>
      </c>
      <c r="I470" s="319" t="b">
        <v>0</v>
      </c>
      <c r="J470" s="372"/>
      <c r="K470" s="373" t="s">
        <v>1973</v>
      </c>
      <c r="L470" s="374" t="e">
        <f t="shared" si="9"/>
        <v>#VALUE!</v>
      </c>
      <c r="M470" s="396"/>
    </row>
    <row r="471" spans="1:13" ht="13">
      <c r="A471" s="316" t="s">
        <v>1046</v>
      </c>
      <c r="B471" s="316" t="s">
        <v>1973</v>
      </c>
      <c r="C471" s="316" t="s">
        <v>1973</v>
      </c>
      <c r="D471" s="316" t="s">
        <v>1973</v>
      </c>
      <c r="E471" s="317" t="s">
        <v>1973</v>
      </c>
      <c r="F471" s="372">
        <v>3</v>
      </c>
      <c r="G471" s="391" t="s">
        <v>62</v>
      </c>
      <c r="H471" s="392">
        <v>54000</v>
      </c>
      <c r="I471" s="393" t="b">
        <v>1</v>
      </c>
      <c r="J471" s="322">
        <v>3</v>
      </c>
      <c r="K471" s="323" t="s">
        <v>1973</v>
      </c>
      <c r="L471" s="371" t="e">
        <f t="shared" si="9"/>
        <v>#VALUE!</v>
      </c>
      <c r="M471" s="396"/>
    </row>
    <row r="472" spans="1:13" ht="13">
      <c r="A472" s="18" t="s">
        <v>1103</v>
      </c>
      <c r="B472" s="316" t="s">
        <v>1973</v>
      </c>
      <c r="C472" s="316" t="s">
        <v>1973</v>
      </c>
      <c r="D472" s="316" t="s">
        <v>1973</v>
      </c>
      <c r="E472" s="317" t="s">
        <v>1973</v>
      </c>
      <c r="F472" s="372">
        <v>1</v>
      </c>
      <c r="G472" s="391" t="s">
        <v>62</v>
      </c>
      <c r="H472" s="392">
        <v>60000</v>
      </c>
      <c r="I472" s="319" t="b">
        <v>0</v>
      </c>
      <c r="J472" s="372"/>
      <c r="K472" s="373" t="s">
        <v>1973</v>
      </c>
      <c r="L472" s="374" t="e">
        <f t="shared" si="9"/>
        <v>#VALUE!</v>
      </c>
      <c r="M472" s="396"/>
    </row>
    <row r="474" spans="1:13" ht="13">
      <c r="F474" s="429">
        <v>44547</v>
      </c>
      <c r="G474" s="428"/>
      <c r="H474" s="424"/>
      <c r="J474" s="429">
        <f>F474+1</f>
        <v>44548</v>
      </c>
      <c r="K474" s="428"/>
      <c r="L474" s="424"/>
    </row>
    <row r="475" spans="1:13" ht="13">
      <c r="F475" s="425" t="s">
        <v>1490</v>
      </c>
      <c r="G475" s="426"/>
      <c r="H475" s="304">
        <f>SUM(H477:H483)</f>
        <v>386028</v>
      </c>
      <c r="J475" s="425" t="s">
        <v>1491</v>
      </c>
      <c r="K475" s="426"/>
      <c r="L475" s="304" t="e">
        <f>SUM(L477:L483)</f>
        <v>#N/A</v>
      </c>
    </row>
    <row r="476" spans="1:13" ht="13">
      <c r="A476" s="2" t="s">
        <v>4</v>
      </c>
      <c r="B476" s="305" t="s">
        <v>5</v>
      </c>
      <c r="C476" s="305" t="s">
        <v>11</v>
      </c>
      <c r="D476" s="305" t="s">
        <v>12</v>
      </c>
      <c r="E476" s="306" t="s">
        <v>6</v>
      </c>
      <c r="F476" s="307" t="s">
        <v>1494</v>
      </c>
      <c r="G476" s="308" t="s">
        <v>10</v>
      </c>
      <c r="H476" s="309" t="s">
        <v>1495</v>
      </c>
      <c r="I476" s="310" t="s">
        <v>1289</v>
      </c>
      <c r="J476" s="311" t="s">
        <v>1496</v>
      </c>
      <c r="K476" s="312" t="s">
        <v>1497</v>
      </c>
      <c r="L476" s="313" t="s">
        <v>1498</v>
      </c>
      <c r="M476" s="314" t="s">
        <v>16</v>
      </c>
    </row>
    <row r="477" spans="1:13" ht="13">
      <c r="A477" s="316" t="s">
        <v>639</v>
      </c>
      <c r="B477" s="316" t="s">
        <v>1973</v>
      </c>
      <c r="C477" s="316" t="s">
        <v>1973</v>
      </c>
      <c r="D477" s="316" t="s">
        <v>1973</v>
      </c>
      <c r="E477" s="317" t="s">
        <v>1973</v>
      </c>
      <c r="F477" s="372">
        <v>1</v>
      </c>
      <c r="G477" s="391" t="s">
        <v>36</v>
      </c>
      <c r="H477" s="392">
        <v>125000</v>
      </c>
      <c r="I477" s="393" t="b">
        <v>1</v>
      </c>
      <c r="J477" s="322">
        <v>1.5</v>
      </c>
      <c r="K477" s="323" t="e">
        <f>VLOOKUP($A477,'[1]Database Bahan &amp; Alat (Terupdat'!$B$50:$N$232,6,FALSE)</f>
        <v>#N/A</v>
      </c>
      <c r="L477" s="371" t="e">
        <f t="shared" ref="L477:L483" si="10">J477*K477</f>
        <v>#N/A</v>
      </c>
      <c r="M477" s="325" t="s">
        <v>1695</v>
      </c>
    </row>
    <row r="478" spans="1:13" ht="13">
      <c r="A478" s="316" t="s">
        <v>643</v>
      </c>
      <c r="B478" s="316" t="s">
        <v>1973</v>
      </c>
      <c r="C478" s="316" t="s">
        <v>1973</v>
      </c>
      <c r="D478" s="316" t="s">
        <v>1973</v>
      </c>
      <c r="E478" s="317" t="s">
        <v>1973</v>
      </c>
      <c r="F478" s="372">
        <v>1</v>
      </c>
      <c r="G478" s="391" t="s">
        <v>36</v>
      </c>
      <c r="H478" s="392">
        <v>15000</v>
      </c>
      <c r="I478" s="395" t="b">
        <v>1</v>
      </c>
      <c r="J478" s="322">
        <v>1</v>
      </c>
      <c r="K478" s="323">
        <v>13000</v>
      </c>
      <c r="L478" s="380">
        <f t="shared" si="10"/>
        <v>13000</v>
      </c>
      <c r="M478" s="325" t="s">
        <v>1745</v>
      </c>
    </row>
    <row r="479" spans="1:13" ht="13">
      <c r="A479" s="316" t="s">
        <v>1610</v>
      </c>
      <c r="B479" s="316" t="s">
        <v>1973</v>
      </c>
      <c r="C479" s="316" t="s">
        <v>1973</v>
      </c>
      <c r="D479" s="316" t="s">
        <v>1973</v>
      </c>
      <c r="E479" s="317" t="s">
        <v>1973</v>
      </c>
      <c r="F479" s="372">
        <v>2</v>
      </c>
      <c r="G479" s="391" t="s">
        <v>36</v>
      </c>
      <c r="H479" s="392">
        <v>16000</v>
      </c>
      <c r="I479" s="393" t="b">
        <v>1</v>
      </c>
      <c r="J479" s="322">
        <v>2</v>
      </c>
      <c r="K479" s="323" t="e">
        <f>VLOOKUP($A479,'[1]Database Bahan &amp; Alat (Terupdat'!$B$50:$N$232,6,FALSE)</f>
        <v>#N/A</v>
      </c>
      <c r="L479" s="371" t="e">
        <f t="shared" si="10"/>
        <v>#N/A</v>
      </c>
      <c r="M479" s="325"/>
    </row>
    <row r="480" spans="1:13" ht="13">
      <c r="A480" s="316" t="s">
        <v>1611</v>
      </c>
      <c r="B480" s="316" t="s">
        <v>1973</v>
      </c>
      <c r="C480" s="316" t="s">
        <v>1973</v>
      </c>
      <c r="D480" s="316" t="s">
        <v>1973</v>
      </c>
      <c r="E480" s="317" t="s">
        <v>1973</v>
      </c>
      <c r="F480" s="372">
        <v>3</v>
      </c>
      <c r="G480" s="391" t="s">
        <v>36</v>
      </c>
      <c r="H480" s="392">
        <v>120000</v>
      </c>
      <c r="I480" s="395" t="b">
        <v>1</v>
      </c>
      <c r="J480" s="322">
        <v>3</v>
      </c>
      <c r="K480" s="323">
        <v>44000</v>
      </c>
      <c r="L480" s="379">
        <f t="shared" si="10"/>
        <v>132000</v>
      </c>
      <c r="M480" s="325" t="s">
        <v>1745</v>
      </c>
    </row>
    <row r="481" spans="1:13" ht="13">
      <c r="A481" s="316" t="s">
        <v>1670</v>
      </c>
      <c r="B481" s="316" t="s">
        <v>1973</v>
      </c>
      <c r="C481" s="316" t="s">
        <v>1973</v>
      </c>
      <c r="D481" s="316" t="s">
        <v>1973</v>
      </c>
      <c r="E481" s="317" t="s">
        <v>1973</v>
      </c>
      <c r="F481" s="372">
        <v>1</v>
      </c>
      <c r="G481" s="391" t="s">
        <v>62</v>
      </c>
      <c r="H481" s="392">
        <v>10350</v>
      </c>
      <c r="I481" s="319" t="b">
        <v>0</v>
      </c>
      <c r="J481" s="372"/>
      <c r="K481" s="373" t="s">
        <v>1973</v>
      </c>
      <c r="L481" s="374" t="e">
        <f t="shared" si="10"/>
        <v>#VALUE!</v>
      </c>
      <c r="M481" s="325"/>
    </row>
    <row r="482" spans="1:13" ht="13">
      <c r="A482" s="316" t="s">
        <v>1607</v>
      </c>
      <c r="B482" s="316" t="s">
        <v>1973</v>
      </c>
      <c r="C482" s="316" t="s">
        <v>1973</v>
      </c>
      <c r="D482" s="316" t="s">
        <v>1973</v>
      </c>
      <c r="E482" s="317" t="s">
        <v>1973</v>
      </c>
      <c r="F482" s="372">
        <v>1</v>
      </c>
      <c r="G482" s="391" t="s">
        <v>62</v>
      </c>
      <c r="H482" s="392">
        <v>10050</v>
      </c>
      <c r="I482" s="319" t="b">
        <v>0</v>
      </c>
      <c r="J482" s="372"/>
      <c r="K482" s="373" t="s">
        <v>1973</v>
      </c>
      <c r="L482" s="374" t="e">
        <f t="shared" si="10"/>
        <v>#VALUE!</v>
      </c>
      <c r="M482" s="325"/>
    </row>
    <row r="483" spans="1:13" ht="13">
      <c r="A483" s="316" t="s">
        <v>1703</v>
      </c>
      <c r="B483" s="316" t="s">
        <v>1973</v>
      </c>
      <c r="C483" s="316" t="s">
        <v>1973</v>
      </c>
      <c r="D483" s="316" t="s">
        <v>1973</v>
      </c>
      <c r="E483" s="317" t="s">
        <v>1973</v>
      </c>
      <c r="F483" s="372">
        <v>4</v>
      </c>
      <c r="G483" s="391" t="s">
        <v>62</v>
      </c>
      <c r="H483" s="392">
        <v>89628</v>
      </c>
      <c r="I483" s="395" t="b">
        <v>1</v>
      </c>
      <c r="J483" s="322">
        <v>2</v>
      </c>
      <c r="K483" s="323">
        <v>22000</v>
      </c>
      <c r="L483" s="380">
        <f t="shared" si="10"/>
        <v>44000</v>
      </c>
      <c r="M483" s="325" t="s">
        <v>1745</v>
      </c>
    </row>
    <row r="485" spans="1:13" ht="13">
      <c r="F485" s="429">
        <v>44550</v>
      </c>
      <c r="G485" s="428"/>
      <c r="H485" s="424"/>
      <c r="J485" s="429">
        <f>F485+1</f>
        <v>44551</v>
      </c>
      <c r="K485" s="428"/>
      <c r="L485" s="424"/>
    </row>
    <row r="486" spans="1:13" ht="13">
      <c r="F486" s="425" t="s">
        <v>1490</v>
      </c>
      <c r="G486" s="426"/>
      <c r="H486" s="304">
        <f>SUM(H488:H504)</f>
        <v>672957</v>
      </c>
      <c r="J486" s="425" t="s">
        <v>1491</v>
      </c>
      <c r="K486" s="426"/>
      <c r="L486" s="304" t="e">
        <f>SUM(L488:L504)</f>
        <v>#VALUE!</v>
      </c>
    </row>
    <row r="487" spans="1:13" ht="13">
      <c r="A487" s="2" t="s">
        <v>4</v>
      </c>
      <c r="B487" s="305" t="s">
        <v>5</v>
      </c>
      <c r="C487" s="305" t="s">
        <v>11</v>
      </c>
      <c r="D487" s="305" t="s">
        <v>12</v>
      </c>
      <c r="E487" s="306" t="s">
        <v>6</v>
      </c>
      <c r="F487" s="307" t="s">
        <v>1494</v>
      </c>
      <c r="G487" s="308" t="s">
        <v>10</v>
      </c>
      <c r="H487" s="309" t="s">
        <v>1495</v>
      </c>
      <c r="I487" s="310" t="s">
        <v>1289</v>
      </c>
      <c r="J487" s="311" t="s">
        <v>1496</v>
      </c>
      <c r="K487" s="312" t="s">
        <v>1497</v>
      </c>
      <c r="L487" s="313" t="s">
        <v>1498</v>
      </c>
      <c r="M487" s="314" t="s">
        <v>16</v>
      </c>
    </row>
    <row r="488" spans="1:13" ht="13">
      <c r="A488" s="316" t="s">
        <v>782</v>
      </c>
      <c r="B488" s="316" t="s">
        <v>1973</v>
      </c>
      <c r="C488" s="316" t="s">
        <v>1973</v>
      </c>
      <c r="D488" s="316" t="s">
        <v>1973</v>
      </c>
      <c r="E488" s="317" t="s">
        <v>1973</v>
      </c>
      <c r="F488" s="318">
        <v>1</v>
      </c>
      <c r="G488" s="354" t="s">
        <v>62</v>
      </c>
      <c r="H488" s="320">
        <v>12000</v>
      </c>
      <c r="I488" s="319" t="b">
        <v>0</v>
      </c>
      <c r="J488" s="372"/>
      <c r="K488" s="373" t="s">
        <v>1973</v>
      </c>
      <c r="L488" s="374" t="e">
        <f t="shared" ref="L488:L504" si="11">J488*K488</f>
        <v>#VALUE!</v>
      </c>
      <c r="M488" s="325"/>
    </row>
    <row r="489" spans="1:13" ht="13">
      <c r="A489" s="316" t="s">
        <v>1670</v>
      </c>
      <c r="B489" s="316" t="s">
        <v>1973</v>
      </c>
      <c r="C489" s="316" t="s">
        <v>1973</v>
      </c>
      <c r="D489" s="316" t="s">
        <v>1973</v>
      </c>
      <c r="E489" s="317" t="s">
        <v>1973</v>
      </c>
      <c r="F489" s="318">
        <v>1</v>
      </c>
      <c r="G489" s="354" t="s">
        <v>62</v>
      </c>
      <c r="H489" s="320">
        <v>10350</v>
      </c>
      <c r="I489" s="319" t="b">
        <v>0</v>
      </c>
      <c r="J489" s="372"/>
      <c r="K489" s="373" t="s">
        <v>1973</v>
      </c>
      <c r="L489" s="374" t="e">
        <f t="shared" si="11"/>
        <v>#VALUE!</v>
      </c>
      <c r="M489" s="325"/>
    </row>
    <row r="490" spans="1:13" ht="13">
      <c r="A490" s="316" t="s">
        <v>1607</v>
      </c>
      <c r="B490" s="316" t="s">
        <v>1973</v>
      </c>
      <c r="C490" s="316" t="s">
        <v>1973</v>
      </c>
      <c r="D490" s="316" t="s">
        <v>1973</v>
      </c>
      <c r="E490" s="317" t="s">
        <v>1973</v>
      </c>
      <c r="F490" s="318">
        <v>1</v>
      </c>
      <c r="G490" s="354" t="s">
        <v>62</v>
      </c>
      <c r="H490" s="320">
        <v>10050</v>
      </c>
      <c r="I490" s="319" t="b">
        <v>0</v>
      </c>
      <c r="J490" s="372"/>
      <c r="K490" s="373" t="s">
        <v>1973</v>
      </c>
      <c r="L490" s="374" t="e">
        <f t="shared" si="11"/>
        <v>#VALUE!</v>
      </c>
      <c r="M490" s="325"/>
    </row>
    <row r="491" spans="1:13" ht="13">
      <c r="A491" s="316" t="s">
        <v>919</v>
      </c>
      <c r="B491" s="316" t="s">
        <v>1973</v>
      </c>
      <c r="C491" s="316" t="s">
        <v>1973</v>
      </c>
      <c r="D491" s="316" t="s">
        <v>1973</v>
      </c>
      <c r="E491" s="317" t="s">
        <v>1973</v>
      </c>
      <c r="F491" s="318">
        <v>4</v>
      </c>
      <c r="G491" s="354" t="s">
        <v>62</v>
      </c>
      <c r="H491" s="320">
        <v>39600</v>
      </c>
      <c r="I491" s="319" t="b">
        <v>0</v>
      </c>
      <c r="J491" s="372"/>
      <c r="K491" s="373" t="s">
        <v>1973</v>
      </c>
      <c r="L491" s="374" t="e">
        <f t="shared" si="11"/>
        <v>#VALUE!</v>
      </c>
      <c r="M491" s="325"/>
    </row>
    <row r="492" spans="1:13" ht="13">
      <c r="A492" s="316" t="s">
        <v>639</v>
      </c>
      <c r="B492" s="316" t="s">
        <v>1973</v>
      </c>
      <c r="C492" s="316" t="s">
        <v>1973</v>
      </c>
      <c r="D492" s="316" t="s">
        <v>1973</v>
      </c>
      <c r="E492" s="317" t="s">
        <v>1973</v>
      </c>
      <c r="F492" s="318">
        <v>1</v>
      </c>
      <c r="G492" s="354" t="s">
        <v>36</v>
      </c>
      <c r="H492" s="320">
        <v>125000</v>
      </c>
      <c r="I492" s="393" t="b">
        <v>1</v>
      </c>
      <c r="J492" s="322">
        <v>1.5</v>
      </c>
      <c r="K492" s="323" t="s">
        <v>1973</v>
      </c>
      <c r="L492" s="371" t="e">
        <f t="shared" si="11"/>
        <v>#VALUE!</v>
      </c>
      <c r="M492" s="325"/>
    </row>
    <row r="493" spans="1:13" ht="13">
      <c r="A493" s="316" t="s">
        <v>1610</v>
      </c>
      <c r="B493" s="316" t="s">
        <v>1973</v>
      </c>
      <c r="C493" s="316" t="s">
        <v>1973</v>
      </c>
      <c r="D493" s="316" t="s">
        <v>1973</v>
      </c>
      <c r="E493" s="317" t="s">
        <v>1973</v>
      </c>
      <c r="F493" s="318">
        <v>1</v>
      </c>
      <c r="G493" s="354" t="s">
        <v>36</v>
      </c>
      <c r="H493" s="320">
        <v>8000</v>
      </c>
      <c r="I493" s="395" t="b">
        <v>1</v>
      </c>
      <c r="J493" s="322">
        <v>1</v>
      </c>
      <c r="K493" s="323">
        <v>9000</v>
      </c>
      <c r="L493" s="379">
        <f t="shared" si="11"/>
        <v>9000</v>
      </c>
      <c r="M493" s="325" t="s">
        <v>1745</v>
      </c>
    </row>
    <row r="494" spans="1:13" ht="13">
      <c r="A494" s="316" t="s">
        <v>1611</v>
      </c>
      <c r="B494" s="316" t="s">
        <v>1973</v>
      </c>
      <c r="C494" s="316" t="s">
        <v>1973</v>
      </c>
      <c r="D494" s="316" t="s">
        <v>1973</v>
      </c>
      <c r="E494" s="317" t="s">
        <v>1973</v>
      </c>
      <c r="F494" s="318">
        <v>3</v>
      </c>
      <c r="G494" s="354" t="s">
        <v>36</v>
      </c>
      <c r="H494" s="320">
        <v>120000</v>
      </c>
      <c r="I494" s="395" t="b">
        <v>1</v>
      </c>
      <c r="J494" s="322">
        <v>3</v>
      </c>
      <c r="K494" s="323">
        <v>44000</v>
      </c>
      <c r="L494" s="379">
        <f t="shared" si="11"/>
        <v>132000</v>
      </c>
      <c r="M494" s="325" t="s">
        <v>1745</v>
      </c>
    </row>
    <row r="495" spans="1:13" ht="13">
      <c r="A495" s="316" t="s">
        <v>1698</v>
      </c>
      <c r="B495" s="316" t="s">
        <v>1973</v>
      </c>
      <c r="C495" s="316" t="s">
        <v>1973</v>
      </c>
      <c r="D495" s="316" t="s">
        <v>1973</v>
      </c>
      <c r="E495" s="317" t="s">
        <v>1973</v>
      </c>
      <c r="F495" s="318">
        <v>3</v>
      </c>
      <c r="G495" s="354" t="s">
        <v>36</v>
      </c>
      <c r="H495" s="320">
        <v>96000</v>
      </c>
      <c r="I495" s="395" t="b">
        <v>1</v>
      </c>
      <c r="J495" s="322">
        <v>3</v>
      </c>
      <c r="K495" s="323">
        <v>34000</v>
      </c>
      <c r="L495" s="379">
        <f t="shared" si="11"/>
        <v>102000</v>
      </c>
      <c r="M495" s="325" t="s">
        <v>1745</v>
      </c>
    </row>
    <row r="496" spans="1:13" ht="13">
      <c r="A496" s="316" t="s">
        <v>675</v>
      </c>
      <c r="B496" s="316" t="s">
        <v>1973</v>
      </c>
      <c r="C496" s="316" t="s">
        <v>1973</v>
      </c>
      <c r="D496" s="316" t="s">
        <v>1973</v>
      </c>
      <c r="E496" s="317" t="s">
        <v>1973</v>
      </c>
      <c r="F496" s="318">
        <v>10</v>
      </c>
      <c r="G496" s="354" t="s">
        <v>62</v>
      </c>
      <c r="H496" s="320">
        <v>35000</v>
      </c>
      <c r="I496" s="393" t="b">
        <v>1</v>
      </c>
      <c r="J496" s="322">
        <v>10</v>
      </c>
      <c r="K496" s="323" t="e">
        <f>VLOOKUP($A496,'[1]Database Bahan &amp; Alat (Terupdat'!$B$50:$N$232,6,FALSE)</f>
        <v>#N/A</v>
      </c>
      <c r="L496" s="371" t="e">
        <f t="shared" si="11"/>
        <v>#N/A</v>
      </c>
      <c r="M496" s="325"/>
    </row>
    <row r="497" spans="1:13" ht="13">
      <c r="A497" s="316" t="s">
        <v>732</v>
      </c>
      <c r="B497" s="316" t="s">
        <v>1973</v>
      </c>
      <c r="C497" s="316" t="s">
        <v>1973</v>
      </c>
      <c r="D497" s="316" t="s">
        <v>1973</v>
      </c>
      <c r="E497" s="317" t="s">
        <v>1973</v>
      </c>
      <c r="F497" s="318">
        <v>2</v>
      </c>
      <c r="G497" s="354" t="s">
        <v>36</v>
      </c>
      <c r="H497" s="320">
        <v>44000</v>
      </c>
      <c r="I497" s="395" t="b">
        <v>1</v>
      </c>
      <c r="J497" s="322">
        <v>2</v>
      </c>
      <c r="K497" s="323">
        <v>20000</v>
      </c>
      <c r="L497" s="380">
        <f t="shared" si="11"/>
        <v>40000</v>
      </c>
      <c r="M497" s="325" t="s">
        <v>1745</v>
      </c>
    </row>
    <row r="498" spans="1:13" ht="13">
      <c r="A498" s="316" t="s">
        <v>744</v>
      </c>
      <c r="B498" s="316" t="s">
        <v>1973</v>
      </c>
      <c r="C498" s="316" t="s">
        <v>1973</v>
      </c>
      <c r="D498" s="316" t="s">
        <v>1973</v>
      </c>
      <c r="E498" s="317" t="s">
        <v>1973</v>
      </c>
      <c r="F498" s="318">
        <v>1</v>
      </c>
      <c r="G498" s="354" t="s">
        <v>36</v>
      </c>
      <c r="H498" s="320">
        <v>44000</v>
      </c>
      <c r="I498" s="395" t="b">
        <v>1</v>
      </c>
      <c r="J498" s="322">
        <v>1</v>
      </c>
      <c r="K498" s="323">
        <v>80000</v>
      </c>
      <c r="L498" s="379">
        <f t="shared" si="11"/>
        <v>80000</v>
      </c>
      <c r="M498" s="325" t="s">
        <v>1745</v>
      </c>
    </row>
    <row r="499" spans="1:13" ht="13">
      <c r="A499" s="316" t="s">
        <v>1501</v>
      </c>
      <c r="B499" s="316" t="s">
        <v>1973</v>
      </c>
      <c r="C499" s="316" t="s">
        <v>1973</v>
      </c>
      <c r="D499" s="316" t="s">
        <v>1973</v>
      </c>
      <c r="E499" s="317" t="s">
        <v>1973</v>
      </c>
      <c r="F499" s="318">
        <v>1</v>
      </c>
      <c r="G499" s="354" t="s">
        <v>36</v>
      </c>
      <c r="H499" s="320">
        <v>4050</v>
      </c>
      <c r="I499" s="319" t="b">
        <v>0</v>
      </c>
      <c r="J499" s="372"/>
      <c r="K499" s="373" t="s">
        <v>1973</v>
      </c>
      <c r="L499" s="374" t="e">
        <f t="shared" si="11"/>
        <v>#VALUE!</v>
      </c>
      <c r="M499" s="325"/>
    </row>
    <row r="500" spans="1:13" ht="13">
      <c r="A500" s="316" t="s">
        <v>1020</v>
      </c>
      <c r="B500" s="316" t="s">
        <v>1973</v>
      </c>
      <c r="C500" s="316" t="s">
        <v>1973</v>
      </c>
      <c r="D500" s="316" t="s">
        <v>1973</v>
      </c>
      <c r="E500" s="317" t="s">
        <v>1973</v>
      </c>
      <c r="F500" s="318">
        <v>1</v>
      </c>
      <c r="G500" s="354" t="s">
        <v>36</v>
      </c>
      <c r="H500" s="320">
        <v>10000</v>
      </c>
      <c r="I500" s="393" t="b">
        <v>1</v>
      </c>
      <c r="J500" s="322">
        <v>1</v>
      </c>
      <c r="K500" s="323" t="s">
        <v>1973</v>
      </c>
      <c r="L500" s="371" t="e">
        <f t="shared" si="11"/>
        <v>#VALUE!</v>
      </c>
      <c r="M500" s="325"/>
    </row>
    <row r="501" spans="1:13" ht="13">
      <c r="A501" s="316" t="s">
        <v>1703</v>
      </c>
      <c r="B501" s="316" t="s">
        <v>1973</v>
      </c>
      <c r="C501" s="316" t="s">
        <v>1973</v>
      </c>
      <c r="D501" s="316" t="s">
        <v>1973</v>
      </c>
      <c r="E501" s="317" t="s">
        <v>1973</v>
      </c>
      <c r="F501" s="318">
        <v>1</v>
      </c>
      <c r="G501" s="354" t="s">
        <v>62</v>
      </c>
      <c r="H501" s="320">
        <v>22407</v>
      </c>
      <c r="I501" s="319" t="b">
        <v>0</v>
      </c>
      <c r="J501" s="372"/>
      <c r="K501" s="373" t="s">
        <v>1973</v>
      </c>
      <c r="L501" s="374" t="e">
        <f t="shared" si="11"/>
        <v>#VALUE!</v>
      </c>
      <c r="M501" s="325"/>
    </row>
    <row r="502" spans="1:13" ht="13">
      <c r="A502" s="316" t="s">
        <v>1751</v>
      </c>
      <c r="B502" s="316" t="s">
        <v>1973</v>
      </c>
      <c r="C502" s="316" t="s">
        <v>1973</v>
      </c>
      <c r="D502" s="316" t="s">
        <v>1973</v>
      </c>
      <c r="E502" s="317" t="s">
        <v>1973</v>
      </c>
      <c r="F502" s="318">
        <v>5</v>
      </c>
      <c r="G502" s="354" t="s">
        <v>36</v>
      </c>
      <c r="H502" s="320">
        <v>60000</v>
      </c>
      <c r="I502" s="393" t="b">
        <v>1</v>
      </c>
      <c r="J502" s="322">
        <v>5</v>
      </c>
      <c r="K502" s="323" t="s">
        <v>1973</v>
      </c>
      <c r="L502" s="371" t="e">
        <f t="shared" si="11"/>
        <v>#VALUE!</v>
      </c>
      <c r="M502" s="325"/>
    </row>
    <row r="503" spans="1:13" ht="13">
      <c r="A503" s="316" t="s">
        <v>1606</v>
      </c>
      <c r="B503" s="316" t="s">
        <v>1973</v>
      </c>
      <c r="C503" s="316" t="s">
        <v>1973</v>
      </c>
      <c r="D503" s="316" t="s">
        <v>1973</v>
      </c>
      <c r="E503" s="317" t="s">
        <v>1973</v>
      </c>
      <c r="F503" s="318">
        <v>0.5</v>
      </c>
      <c r="G503" s="354" t="s">
        <v>36</v>
      </c>
      <c r="H503" s="320">
        <v>17500</v>
      </c>
      <c r="I503" s="319" t="b">
        <v>0</v>
      </c>
      <c r="J503" s="372"/>
      <c r="K503" s="373" t="s">
        <v>1973</v>
      </c>
      <c r="L503" s="374" t="e">
        <f t="shared" si="11"/>
        <v>#VALUE!</v>
      </c>
      <c r="M503" s="325"/>
    </row>
    <row r="504" spans="1:13" ht="13">
      <c r="A504" s="316" t="s">
        <v>643</v>
      </c>
      <c r="B504" s="316" t="s">
        <v>1973</v>
      </c>
      <c r="C504" s="316" t="s">
        <v>1973</v>
      </c>
      <c r="D504" s="316" t="s">
        <v>1973</v>
      </c>
      <c r="E504" s="317" t="s">
        <v>1973</v>
      </c>
      <c r="F504" s="318">
        <v>1</v>
      </c>
      <c r="G504" s="354" t="s">
        <v>36</v>
      </c>
      <c r="H504" s="320">
        <v>15000</v>
      </c>
      <c r="I504" s="395" t="b">
        <v>1</v>
      </c>
      <c r="J504" s="322">
        <v>1</v>
      </c>
      <c r="K504" s="323">
        <v>14000</v>
      </c>
      <c r="L504" s="380">
        <f t="shared" si="11"/>
        <v>14000</v>
      </c>
      <c r="M504" s="325" t="s">
        <v>1745</v>
      </c>
    </row>
    <row r="506" spans="1:13" ht="13">
      <c r="F506" s="429">
        <v>44551</v>
      </c>
      <c r="G506" s="428"/>
      <c r="H506" s="424"/>
      <c r="J506" s="429">
        <f>F506+1</f>
        <v>44552</v>
      </c>
      <c r="K506" s="428"/>
      <c r="L506" s="424"/>
    </row>
    <row r="507" spans="1:13" ht="13">
      <c r="F507" s="425" t="s">
        <v>1490</v>
      </c>
      <c r="G507" s="426"/>
      <c r="H507" s="304">
        <f>SUM(H509:H550)</f>
        <v>4088600</v>
      </c>
      <c r="J507" s="425" t="s">
        <v>1491</v>
      </c>
      <c r="K507" s="426"/>
      <c r="L507" s="304" t="e">
        <f>SUM(L509:L550)</f>
        <v>#N/A</v>
      </c>
    </row>
    <row r="508" spans="1:13" ht="13">
      <c r="A508" s="2" t="s">
        <v>4</v>
      </c>
      <c r="B508" s="305" t="s">
        <v>5</v>
      </c>
      <c r="C508" s="305" t="s">
        <v>11</v>
      </c>
      <c r="D508" s="305" t="s">
        <v>12</v>
      </c>
      <c r="E508" s="306" t="s">
        <v>6</v>
      </c>
      <c r="F508" s="307" t="s">
        <v>1494</v>
      </c>
      <c r="G508" s="308" t="s">
        <v>10</v>
      </c>
      <c r="H508" s="309" t="s">
        <v>1495</v>
      </c>
      <c r="I508" s="310" t="s">
        <v>1289</v>
      </c>
      <c r="J508" s="311" t="s">
        <v>1496</v>
      </c>
      <c r="K508" s="312" t="s">
        <v>1497</v>
      </c>
      <c r="L508" s="313" t="s">
        <v>1498</v>
      </c>
      <c r="M508" s="314" t="s">
        <v>16</v>
      </c>
    </row>
    <row r="509" spans="1:13" ht="13">
      <c r="A509" s="316" t="s">
        <v>544</v>
      </c>
      <c r="B509" s="316" t="s">
        <v>1973</v>
      </c>
      <c r="C509" s="316" t="s">
        <v>1973</v>
      </c>
      <c r="D509" s="316" t="s">
        <v>1973</v>
      </c>
      <c r="E509" s="317" t="s">
        <v>1973</v>
      </c>
      <c r="F509" s="318">
        <v>4</v>
      </c>
      <c r="G509" s="354" t="s">
        <v>62</v>
      </c>
      <c r="H509" s="320">
        <v>84800</v>
      </c>
      <c r="I509" s="393" t="b">
        <v>1</v>
      </c>
      <c r="J509" s="322">
        <v>4</v>
      </c>
      <c r="K509" s="323" t="e">
        <f>VLOOKUP($A509,'[1]Database Bahan &amp; Alat (Terupdat'!$B$50:$N$232,6,FALSE)</f>
        <v>#N/A</v>
      </c>
      <c r="L509" s="371" t="e">
        <f t="shared" ref="L509:L532" si="12">J509*K509</f>
        <v>#N/A</v>
      </c>
      <c r="M509" s="325"/>
    </row>
    <row r="510" spans="1:13" ht="13">
      <c r="A510" s="316" t="s">
        <v>586</v>
      </c>
      <c r="B510" s="316" t="s">
        <v>1973</v>
      </c>
      <c r="C510" s="316" t="s">
        <v>1973</v>
      </c>
      <c r="D510" s="316" t="s">
        <v>1973</v>
      </c>
      <c r="E510" s="317" t="s">
        <v>1973</v>
      </c>
      <c r="F510" s="318">
        <v>2</v>
      </c>
      <c r="G510" s="354" t="s">
        <v>62</v>
      </c>
      <c r="H510" s="320">
        <v>14400</v>
      </c>
      <c r="I510" s="395" t="b">
        <v>1</v>
      </c>
      <c r="J510" s="322">
        <v>2</v>
      </c>
      <c r="K510" s="323">
        <v>6500</v>
      </c>
      <c r="L510" s="380">
        <f t="shared" si="12"/>
        <v>13000</v>
      </c>
      <c r="M510" s="325" t="s">
        <v>1745</v>
      </c>
    </row>
    <row r="511" spans="1:13" ht="13">
      <c r="A511" s="316" t="s">
        <v>1598</v>
      </c>
      <c r="B511" s="316" t="s">
        <v>1973</v>
      </c>
      <c r="C511" s="316" t="s">
        <v>1973</v>
      </c>
      <c r="D511" s="316" t="s">
        <v>1973</v>
      </c>
      <c r="E511" s="317" t="s">
        <v>1973</v>
      </c>
      <c r="F511" s="318">
        <v>2</v>
      </c>
      <c r="G511" s="354" t="s">
        <v>97</v>
      </c>
      <c r="H511" s="320">
        <v>20800</v>
      </c>
      <c r="I511" s="393" t="b">
        <v>1</v>
      </c>
      <c r="J511" s="322">
        <v>2</v>
      </c>
      <c r="K511" s="323" t="s">
        <v>1973</v>
      </c>
      <c r="L511" s="371" t="e">
        <f t="shared" si="12"/>
        <v>#VALUE!</v>
      </c>
      <c r="M511" s="325"/>
    </row>
    <row r="512" spans="1:13" ht="13">
      <c r="A512" s="316" t="s">
        <v>770</v>
      </c>
      <c r="B512" s="316" t="s">
        <v>1973</v>
      </c>
      <c r="C512" s="316" t="s">
        <v>1973</v>
      </c>
      <c r="D512" s="316" t="s">
        <v>1973</v>
      </c>
      <c r="E512" s="317" t="s">
        <v>1973</v>
      </c>
      <c r="F512" s="318">
        <v>1</v>
      </c>
      <c r="G512" s="354" t="s">
        <v>97</v>
      </c>
      <c r="H512" s="320">
        <v>24400</v>
      </c>
      <c r="I512" s="319" t="b">
        <v>0</v>
      </c>
      <c r="J512" s="372"/>
      <c r="K512" s="373" t="s">
        <v>1973</v>
      </c>
      <c r="L512" s="374" t="e">
        <f t="shared" si="12"/>
        <v>#VALUE!</v>
      </c>
      <c r="M512" s="325"/>
    </row>
    <row r="513" spans="1:13" ht="13">
      <c r="A513" s="316" t="s">
        <v>1661</v>
      </c>
      <c r="B513" s="316" t="s">
        <v>1973</v>
      </c>
      <c r="C513" s="316" t="s">
        <v>1973</v>
      </c>
      <c r="D513" s="316" t="s">
        <v>1973</v>
      </c>
      <c r="E513" s="317" t="s">
        <v>1973</v>
      </c>
      <c r="F513" s="318">
        <v>1</v>
      </c>
      <c r="G513" s="354" t="s">
        <v>97</v>
      </c>
      <c r="H513" s="320">
        <v>14600</v>
      </c>
      <c r="I513" s="395" t="b">
        <v>1</v>
      </c>
      <c r="J513" s="322">
        <v>1</v>
      </c>
      <c r="K513" s="323">
        <v>10000</v>
      </c>
      <c r="L513" s="380">
        <f t="shared" si="12"/>
        <v>10000</v>
      </c>
      <c r="M513" s="325" t="s">
        <v>1745</v>
      </c>
    </row>
    <row r="514" spans="1:13" ht="13">
      <c r="A514" s="316" t="s">
        <v>937</v>
      </c>
      <c r="B514" s="316" t="s">
        <v>1973</v>
      </c>
      <c r="C514" s="316" t="s">
        <v>1973</v>
      </c>
      <c r="D514" s="316" t="s">
        <v>1973</v>
      </c>
      <c r="E514" s="317" t="s">
        <v>1973</v>
      </c>
      <c r="F514" s="318">
        <v>1</v>
      </c>
      <c r="G514" s="354" t="s">
        <v>62</v>
      </c>
      <c r="H514" s="320">
        <v>7200</v>
      </c>
      <c r="I514" s="395" t="b">
        <v>1</v>
      </c>
      <c r="J514" s="322">
        <v>1</v>
      </c>
      <c r="K514" s="323">
        <v>6500</v>
      </c>
      <c r="L514" s="380">
        <f t="shared" si="12"/>
        <v>6500</v>
      </c>
      <c r="M514" s="325" t="s">
        <v>1745</v>
      </c>
    </row>
    <row r="515" spans="1:13" ht="13">
      <c r="A515" s="316" t="s">
        <v>578</v>
      </c>
      <c r="B515" s="316" t="s">
        <v>1973</v>
      </c>
      <c r="C515" s="316" t="s">
        <v>1973</v>
      </c>
      <c r="D515" s="316" t="s">
        <v>1973</v>
      </c>
      <c r="E515" s="317" t="s">
        <v>1973</v>
      </c>
      <c r="F515" s="318">
        <v>1</v>
      </c>
      <c r="G515" s="354" t="s">
        <v>62</v>
      </c>
      <c r="H515" s="320">
        <v>220000</v>
      </c>
      <c r="I515" s="319" t="b">
        <v>0</v>
      </c>
      <c r="J515" s="372"/>
      <c r="K515" s="373" t="s">
        <v>1973</v>
      </c>
      <c r="L515" s="374" t="e">
        <f t="shared" si="12"/>
        <v>#VALUE!</v>
      </c>
      <c r="M515" s="325"/>
    </row>
    <row r="516" spans="1:13" ht="13">
      <c r="A516" s="316" t="s">
        <v>1505</v>
      </c>
      <c r="B516" s="316" t="s">
        <v>1973</v>
      </c>
      <c r="C516" s="316" t="s">
        <v>1973</v>
      </c>
      <c r="D516" s="316" t="s">
        <v>1973</v>
      </c>
      <c r="E516" s="317" t="s">
        <v>1973</v>
      </c>
      <c r="F516" s="318">
        <v>2</v>
      </c>
      <c r="G516" s="354" t="s">
        <v>97</v>
      </c>
      <c r="H516" s="320">
        <v>257400</v>
      </c>
      <c r="I516" s="319" t="b">
        <v>0</v>
      </c>
      <c r="J516" s="372"/>
      <c r="K516" s="373" t="s">
        <v>1973</v>
      </c>
      <c r="L516" s="374" t="e">
        <f t="shared" si="12"/>
        <v>#VALUE!</v>
      </c>
      <c r="M516" s="325"/>
    </row>
    <row r="517" spans="1:13" ht="13">
      <c r="A517" s="316" t="s">
        <v>1696</v>
      </c>
      <c r="B517" s="316" t="s">
        <v>1973</v>
      </c>
      <c r="C517" s="316" t="s">
        <v>1973</v>
      </c>
      <c r="D517" s="316" t="s">
        <v>1973</v>
      </c>
      <c r="E517" s="317" t="s">
        <v>1973</v>
      </c>
      <c r="F517" s="318">
        <v>1</v>
      </c>
      <c r="G517" s="354" t="s">
        <v>62</v>
      </c>
      <c r="H517" s="320">
        <v>15000</v>
      </c>
      <c r="I517" s="393" t="b">
        <v>1</v>
      </c>
      <c r="J517" s="322">
        <v>1</v>
      </c>
      <c r="K517" s="323" t="s">
        <v>1973</v>
      </c>
      <c r="L517" s="371" t="e">
        <f t="shared" si="12"/>
        <v>#VALUE!</v>
      </c>
      <c r="M517" s="325"/>
    </row>
    <row r="518" spans="1:13" ht="13">
      <c r="A518" s="316" t="s">
        <v>1030</v>
      </c>
      <c r="B518" s="316" t="s">
        <v>1973</v>
      </c>
      <c r="C518" s="316" t="s">
        <v>1973</v>
      </c>
      <c r="D518" s="316" t="s">
        <v>1973</v>
      </c>
      <c r="E518" s="317" t="s">
        <v>1973</v>
      </c>
      <c r="F518" s="318">
        <v>1</v>
      </c>
      <c r="G518" s="354" t="s">
        <v>62</v>
      </c>
      <c r="H518" s="320">
        <v>19000</v>
      </c>
      <c r="I518" s="395" t="b">
        <v>1</v>
      </c>
      <c r="J518" s="322">
        <v>1</v>
      </c>
      <c r="K518" s="323">
        <v>20000</v>
      </c>
      <c r="L518" s="379">
        <f t="shared" si="12"/>
        <v>20000</v>
      </c>
      <c r="M518" s="325" t="s">
        <v>1745</v>
      </c>
    </row>
    <row r="519" spans="1:13" ht="13">
      <c r="A519" s="316" t="s">
        <v>1033</v>
      </c>
      <c r="B519" s="316" t="s">
        <v>1973</v>
      </c>
      <c r="C519" s="316" t="s">
        <v>1973</v>
      </c>
      <c r="D519" s="316" t="s">
        <v>1973</v>
      </c>
      <c r="E519" s="317" t="s">
        <v>1973</v>
      </c>
      <c r="F519" s="318">
        <v>1</v>
      </c>
      <c r="G519" s="354" t="s">
        <v>62</v>
      </c>
      <c r="H519" s="320">
        <v>19000</v>
      </c>
      <c r="I519" s="395" t="b">
        <v>1</v>
      </c>
      <c r="J519" s="322">
        <v>1</v>
      </c>
      <c r="K519" s="323">
        <v>20000</v>
      </c>
      <c r="L519" s="379">
        <f t="shared" si="12"/>
        <v>20000</v>
      </c>
      <c r="M519" s="325" t="s">
        <v>1745</v>
      </c>
    </row>
    <row r="520" spans="1:13" ht="13">
      <c r="A520" s="18" t="s">
        <v>1096</v>
      </c>
      <c r="B520" s="316" t="s">
        <v>1973</v>
      </c>
      <c r="C520" s="316" t="s">
        <v>1973</v>
      </c>
      <c r="D520" s="316" t="s">
        <v>1973</v>
      </c>
      <c r="E520" s="317" t="s">
        <v>1973</v>
      </c>
      <c r="F520" s="318">
        <v>1</v>
      </c>
      <c r="G520" s="354" t="s">
        <v>62</v>
      </c>
      <c r="H520" s="320">
        <v>4700</v>
      </c>
      <c r="I520" s="395" t="b">
        <v>1</v>
      </c>
      <c r="J520" s="322">
        <v>1</v>
      </c>
      <c r="K520" s="323">
        <v>9100</v>
      </c>
      <c r="L520" s="379">
        <f t="shared" si="12"/>
        <v>9100</v>
      </c>
      <c r="M520" s="325" t="s">
        <v>1745</v>
      </c>
    </row>
    <row r="521" spans="1:13" ht="13">
      <c r="A521" s="316" t="s">
        <v>1612</v>
      </c>
      <c r="B521" s="316" t="s">
        <v>1973</v>
      </c>
      <c r="C521" s="316" t="s">
        <v>1973</v>
      </c>
      <c r="D521" s="316" t="s">
        <v>1973</v>
      </c>
      <c r="E521" s="317" t="s">
        <v>1973</v>
      </c>
      <c r="F521" s="318">
        <v>8</v>
      </c>
      <c r="G521" s="354" t="s">
        <v>36</v>
      </c>
      <c r="H521" s="320">
        <v>202400</v>
      </c>
      <c r="I521" s="395" t="b">
        <v>1</v>
      </c>
      <c r="J521" s="322">
        <v>8</v>
      </c>
      <c r="K521" s="323">
        <v>26000</v>
      </c>
      <c r="L521" s="379">
        <f t="shared" si="12"/>
        <v>208000</v>
      </c>
      <c r="M521" s="403" t="s">
        <v>1745</v>
      </c>
    </row>
    <row r="522" spans="1:13" ht="13">
      <c r="A522" s="316" t="s">
        <v>767</v>
      </c>
      <c r="B522" s="316" t="s">
        <v>1973</v>
      </c>
      <c r="C522" s="316" t="s">
        <v>1973</v>
      </c>
      <c r="D522" s="316" t="s">
        <v>1973</v>
      </c>
      <c r="E522" s="317" t="s">
        <v>1973</v>
      </c>
      <c r="F522" s="318">
        <v>2</v>
      </c>
      <c r="G522" s="354" t="s">
        <v>62</v>
      </c>
      <c r="H522" s="320">
        <v>40000</v>
      </c>
      <c r="I522" s="395" t="b">
        <v>1</v>
      </c>
      <c r="J522" s="322">
        <v>2</v>
      </c>
      <c r="K522" s="323">
        <v>19000</v>
      </c>
      <c r="L522" s="380">
        <f t="shared" si="12"/>
        <v>38000</v>
      </c>
      <c r="M522" s="325" t="s">
        <v>1745</v>
      </c>
    </row>
    <row r="523" spans="1:13" ht="13">
      <c r="A523" s="316" t="s">
        <v>1700</v>
      </c>
      <c r="B523" s="316" t="s">
        <v>1973</v>
      </c>
      <c r="C523" s="316" t="s">
        <v>1973</v>
      </c>
      <c r="D523" s="316" t="s">
        <v>1973</v>
      </c>
      <c r="E523" s="317" t="s">
        <v>1973</v>
      </c>
      <c r="F523" s="318">
        <v>4</v>
      </c>
      <c r="G523" s="354" t="s">
        <v>62</v>
      </c>
      <c r="H523" s="320">
        <v>60000</v>
      </c>
      <c r="I523" s="395" t="b">
        <v>1</v>
      </c>
      <c r="J523" s="322">
        <v>4</v>
      </c>
      <c r="K523" s="323">
        <v>14000</v>
      </c>
      <c r="L523" s="380">
        <f t="shared" si="12"/>
        <v>56000</v>
      </c>
      <c r="M523" s="325" t="s">
        <v>1745</v>
      </c>
    </row>
    <row r="524" spans="1:13" ht="13">
      <c r="A524" s="316" t="s">
        <v>1601</v>
      </c>
      <c r="B524" s="316" t="s">
        <v>1973</v>
      </c>
      <c r="C524" s="316" t="s">
        <v>1973</v>
      </c>
      <c r="D524" s="316" t="s">
        <v>1973</v>
      </c>
      <c r="E524" s="317" t="s">
        <v>1973</v>
      </c>
      <c r="F524" s="318">
        <v>1</v>
      </c>
      <c r="G524" s="354" t="s">
        <v>97</v>
      </c>
      <c r="H524" s="320">
        <v>21000</v>
      </c>
      <c r="I524" s="393" t="b">
        <v>1</v>
      </c>
      <c r="J524" s="322">
        <v>1</v>
      </c>
      <c r="K524" s="323" t="s">
        <v>1973</v>
      </c>
      <c r="L524" s="371" t="e">
        <f t="shared" si="12"/>
        <v>#VALUE!</v>
      </c>
      <c r="M524" s="403"/>
    </row>
    <row r="525" spans="1:13" ht="13">
      <c r="A525" s="316" t="s">
        <v>823</v>
      </c>
      <c r="B525" s="316" t="s">
        <v>1973</v>
      </c>
      <c r="C525" s="316" t="s">
        <v>1973</v>
      </c>
      <c r="D525" s="316" t="s">
        <v>1973</v>
      </c>
      <c r="E525" s="317" t="s">
        <v>1973</v>
      </c>
      <c r="F525" s="318">
        <v>1</v>
      </c>
      <c r="G525" s="354" t="s">
        <v>97</v>
      </c>
      <c r="H525" s="320">
        <v>15000</v>
      </c>
      <c r="I525" s="393" t="b">
        <v>1</v>
      </c>
      <c r="J525" s="322">
        <v>1</v>
      </c>
      <c r="K525" s="323" t="s">
        <v>1973</v>
      </c>
      <c r="L525" s="371" t="e">
        <f t="shared" si="12"/>
        <v>#VALUE!</v>
      </c>
      <c r="M525" s="403"/>
    </row>
    <row r="526" spans="1:13" ht="13">
      <c r="A526" s="316" t="s">
        <v>1701</v>
      </c>
      <c r="B526" s="316" t="s">
        <v>1973</v>
      </c>
      <c r="C526" s="316" t="s">
        <v>1973</v>
      </c>
      <c r="D526" s="316" t="s">
        <v>1973</v>
      </c>
      <c r="E526" s="317" t="s">
        <v>1973</v>
      </c>
      <c r="F526" s="318">
        <v>0.5</v>
      </c>
      <c r="G526" s="354" t="s">
        <v>36</v>
      </c>
      <c r="H526" s="320">
        <v>9000</v>
      </c>
      <c r="I526" s="395" t="b">
        <v>1</v>
      </c>
      <c r="J526" s="322">
        <v>0.5</v>
      </c>
      <c r="K526" s="323">
        <v>20000</v>
      </c>
      <c r="L526" s="379">
        <f t="shared" si="12"/>
        <v>10000</v>
      </c>
      <c r="M526" s="403" t="s">
        <v>1745</v>
      </c>
    </row>
    <row r="527" spans="1:13" ht="13">
      <c r="A527" s="316" t="s">
        <v>1709</v>
      </c>
      <c r="B527" s="316" t="s">
        <v>1973</v>
      </c>
      <c r="C527" s="316" t="s">
        <v>1973</v>
      </c>
      <c r="D527" s="316" t="s">
        <v>1973</v>
      </c>
      <c r="E527" s="317" t="s">
        <v>1973</v>
      </c>
      <c r="F527" s="318">
        <v>2</v>
      </c>
      <c r="G527" s="354" t="s">
        <v>62</v>
      </c>
      <c r="H527" s="320">
        <v>5000</v>
      </c>
      <c r="I527" s="393" t="b">
        <v>1</v>
      </c>
      <c r="J527" s="322">
        <v>2</v>
      </c>
      <c r="K527" s="323" t="s">
        <v>1973</v>
      </c>
      <c r="L527" s="371" t="e">
        <f t="shared" si="12"/>
        <v>#VALUE!</v>
      </c>
      <c r="M527" s="403"/>
    </row>
    <row r="528" spans="1:13" ht="13">
      <c r="A528" s="316" t="s">
        <v>987</v>
      </c>
      <c r="B528" s="316" t="s">
        <v>1973</v>
      </c>
      <c r="C528" s="316" t="s">
        <v>1973</v>
      </c>
      <c r="D528" s="316" t="s">
        <v>1973</v>
      </c>
      <c r="E528" s="317" t="s">
        <v>1973</v>
      </c>
      <c r="F528" s="318">
        <v>2</v>
      </c>
      <c r="G528" s="354" t="s">
        <v>62</v>
      </c>
      <c r="H528" s="320">
        <v>34000</v>
      </c>
      <c r="I528" s="393" t="b">
        <v>1</v>
      </c>
      <c r="J528" s="322">
        <v>2</v>
      </c>
      <c r="K528" s="323" t="s">
        <v>1973</v>
      </c>
      <c r="L528" s="371" t="e">
        <f t="shared" si="12"/>
        <v>#VALUE!</v>
      </c>
      <c r="M528" s="403"/>
    </row>
    <row r="529" spans="1:13" ht="13">
      <c r="A529" s="316" t="s">
        <v>989</v>
      </c>
      <c r="B529" s="316" t="s">
        <v>1973</v>
      </c>
      <c r="C529" s="316" t="s">
        <v>1973</v>
      </c>
      <c r="D529" s="316" t="s">
        <v>1973</v>
      </c>
      <c r="E529" s="317" t="s">
        <v>1973</v>
      </c>
      <c r="F529" s="318">
        <v>5</v>
      </c>
      <c r="G529" s="354" t="s">
        <v>62</v>
      </c>
      <c r="H529" s="320">
        <v>80000</v>
      </c>
      <c r="I529" s="393" t="b">
        <v>1</v>
      </c>
      <c r="J529" s="322">
        <v>5</v>
      </c>
      <c r="K529" s="323" t="s">
        <v>1973</v>
      </c>
      <c r="L529" s="371" t="e">
        <f t="shared" si="12"/>
        <v>#VALUE!</v>
      </c>
      <c r="M529" s="403"/>
    </row>
    <row r="530" spans="1:13" ht="13">
      <c r="A530" s="316" t="s">
        <v>548</v>
      </c>
      <c r="B530" s="316" t="s">
        <v>1973</v>
      </c>
      <c r="C530" s="316" t="s">
        <v>1973</v>
      </c>
      <c r="D530" s="316" t="s">
        <v>1973</v>
      </c>
      <c r="E530" s="317" t="s">
        <v>1973</v>
      </c>
      <c r="F530" s="318">
        <v>3</v>
      </c>
      <c r="G530" s="354" t="s">
        <v>87</v>
      </c>
      <c r="H530" s="320">
        <v>426360</v>
      </c>
      <c r="I530" s="319" t="b">
        <v>0</v>
      </c>
      <c r="J530" s="372"/>
      <c r="K530" s="373" t="s">
        <v>1973</v>
      </c>
      <c r="L530" s="374" t="e">
        <f t="shared" si="12"/>
        <v>#VALUE!</v>
      </c>
      <c r="M530" s="325"/>
    </row>
    <row r="531" spans="1:13" ht="13">
      <c r="A531" s="316" t="s">
        <v>623</v>
      </c>
      <c r="B531" s="316" t="s">
        <v>1973</v>
      </c>
      <c r="C531" s="316" t="s">
        <v>1973</v>
      </c>
      <c r="D531" s="316" t="s">
        <v>1973</v>
      </c>
      <c r="E531" s="317" t="s">
        <v>1973</v>
      </c>
      <c r="F531" s="318">
        <v>1</v>
      </c>
      <c r="G531" s="354" t="s">
        <v>143</v>
      </c>
      <c r="H531" s="320">
        <v>179850</v>
      </c>
      <c r="I531" s="319" t="b">
        <v>0</v>
      </c>
      <c r="J531" s="372"/>
      <c r="K531" s="373" t="s">
        <v>1973</v>
      </c>
      <c r="L531" s="374" t="e">
        <f t="shared" si="12"/>
        <v>#VALUE!</v>
      </c>
      <c r="M531" s="325"/>
    </row>
    <row r="532" spans="1:13" ht="13">
      <c r="A532" s="316" t="s">
        <v>688</v>
      </c>
      <c r="B532" s="316" t="s">
        <v>1973</v>
      </c>
      <c r="C532" s="316" t="s">
        <v>1973</v>
      </c>
      <c r="D532" s="316" t="s">
        <v>1973</v>
      </c>
      <c r="E532" s="317" t="s">
        <v>1973</v>
      </c>
      <c r="F532" s="318">
        <v>2</v>
      </c>
      <c r="G532" s="354" t="s">
        <v>62</v>
      </c>
      <c r="H532" s="320">
        <v>115940</v>
      </c>
      <c r="I532" s="319" t="b">
        <v>0</v>
      </c>
      <c r="J532" s="372"/>
      <c r="K532" s="373" t="s">
        <v>1973</v>
      </c>
      <c r="L532" s="374" t="e">
        <f t="shared" si="12"/>
        <v>#VALUE!</v>
      </c>
      <c r="M532" s="325"/>
    </row>
    <row r="533" spans="1:13" ht="13">
      <c r="A533" s="316" t="s">
        <v>704</v>
      </c>
      <c r="B533" s="316" t="s">
        <v>1973</v>
      </c>
      <c r="C533" s="316" t="s">
        <v>1973</v>
      </c>
      <c r="D533" s="316" t="s">
        <v>1973</v>
      </c>
      <c r="E533" s="317" t="s">
        <v>1973</v>
      </c>
      <c r="F533" s="318">
        <v>3</v>
      </c>
      <c r="G533" s="354" t="s">
        <v>143</v>
      </c>
      <c r="H533" s="320">
        <v>546750</v>
      </c>
      <c r="I533" s="319" t="b">
        <v>0</v>
      </c>
      <c r="J533" s="372" t="s">
        <v>1770</v>
      </c>
      <c r="K533" s="373" t="s">
        <v>1973</v>
      </c>
      <c r="L533" s="374"/>
      <c r="M533" s="325"/>
    </row>
    <row r="534" spans="1:13" ht="13">
      <c r="A534" s="316" t="s">
        <v>952</v>
      </c>
      <c r="B534" s="316" t="s">
        <v>1973</v>
      </c>
      <c r="C534" s="316" t="s">
        <v>1973</v>
      </c>
      <c r="D534" s="316" t="s">
        <v>1973</v>
      </c>
      <c r="E534" s="317" t="s">
        <v>1973</v>
      </c>
      <c r="F534" s="318">
        <v>1</v>
      </c>
      <c r="G534" s="354" t="s">
        <v>97</v>
      </c>
      <c r="H534" s="320">
        <v>27300</v>
      </c>
      <c r="I534" s="395" t="b">
        <v>1</v>
      </c>
      <c r="J534" s="322">
        <v>1</v>
      </c>
      <c r="K534" s="323">
        <v>23200</v>
      </c>
      <c r="L534" s="380">
        <f t="shared" ref="L534:L550" si="13">J534*K534</f>
        <v>23200</v>
      </c>
      <c r="M534" s="325" t="s">
        <v>1745</v>
      </c>
    </row>
    <row r="535" spans="1:13" ht="13">
      <c r="A535" s="316" t="s">
        <v>910</v>
      </c>
      <c r="B535" s="316" t="s">
        <v>1973</v>
      </c>
      <c r="C535" s="316" t="s">
        <v>1973</v>
      </c>
      <c r="D535" s="316" t="s">
        <v>1973</v>
      </c>
      <c r="E535" s="317" t="s">
        <v>1973</v>
      </c>
      <c r="F535" s="318">
        <v>4</v>
      </c>
      <c r="G535" s="354" t="s">
        <v>62</v>
      </c>
      <c r="H535" s="320">
        <v>52000</v>
      </c>
      <c r="I535" s="319" t="b">
        <v>0</v>
      </c>
      <c r="J535" s="372"/>
      <c r="K535" s="373" t="s">
        <v>1973</v>
      </c>
      <c r="L535" s="374" t="e">
        <f t="shared" si="13"/>
        <v>#VALUE!</v>
      </c>
      <c r="M535" s="325"/>
    </row>
    <row r="536" spans="1:13" ht="13">
      <c r="A536" s="316" t="s">
        <v>540</v>
      </c>
      <c r="B536" s="316" t="s">
        <v>1973</v>
      </c>
      <c r="C536" s="316" t="s">
        <v>1973</v>
      </c>
      <c r="D536" s="316" t="s">
        <v>1973</v>
      </c>
      <c r="E536" s="317" t="s">
        <v>1973</v>
      </c>
      <c r="F536" s="318">
        <v>4</v>
      </c>
      <c r="G536" s="354" t="s">
        <v>36</v>
      </c>
      <c r="H536" s="320">
        <v>680000</v>
      </c>
      <c r="I536" s="319" t="b">
        <v>1</v>
      </c>
      <c r="J536" s="372"/>
      <c r="K536" s="373" t="s">
        <v>1973</v>
      </c>
      <c r="L536" s="374" t="e">
        <f t="shared" si="13"/>
        <v>#VALUE!</v>
      </c>
      <c r="M536" s="325"/>
    </row>
    <row r="537" spans="1:13" ht="13">
      <c r="A537" s="316" t="s">
        <v>590</v>
      </c>
      <c r="B537" s="316" t="s">
        <v>1973</v>
      </c>
      <c r="C537" s="316" t="s">
        <v>1973</v>
      </c>
      <c r="D537" s="316" t="s">
        <v>1973</v>
      </c>
      <c r="E537" s="317" t="s">
        <v>1973</v>
      </c>
      <c r="F537" s="318">
        <v>2</v>
      </c>
      <c r="G537" s="354" t="s">
        <v>62</v>
      </c>
      <c r="H537" s="320">
        <v>170000</v>
      </c>
      <c r="I537" s="319" t="b">
        <v>1</v>
      </c>
      <c r="J537" s="372"/>
      <c r="K537" s="373" t="s">
        <v>1973</v>
      </c>
      <c r="L537" s="374" t="e">
        <f t="shared" si="13"/>
        <v>#VALUE!</v>
      </c>
      <c r="M537" s="325"/>
    </row>
    <row r="538" spans="1:13" ht="13">
      <c r="A538" s="316" t="s">
        <v>1602</v>
      </c>
      <c r="B538" s="316" t="s">
        <v>1973</v>
      </c>
      <c r="C538" s="316" t="s">
        <v>1973</v>
      </c>
      <c r="D538" s="316" t="s">
        <v>1973</v>
      </c>
      <c r="E538" s="317" t="s">
        <v>1973</v>
      </c>
      <c r="F538" s="318">
        <v>4</v>
      </c>
      <c r="G538" s="354" t="s">
        <v>36</v>
      </c>
      <c r="H538" s="320">
        <v>52000</v>
      </c>
      <c r="I538" s="393" t="b">
        <v>1</v>
      </c>
      <c r="J538" s="322">
        <v>4</v>
      </c>
      <c r="K538" s="323" t="s">
        <v>1973</v>
      </c>
      <c r="L538" s="371" t="e">
        <f t="shared" si="13"/>
        <v>#VALUE!</v>
      </c>
      <c r="M538" s="403"/>
    </row>
    <row r="539" spans="1:13" ht="13">
      <c r="A539" s="316" t="s">
        <v>528</v>
      </c>
      <c r="B539" s="316" t="s">
        <v>1973</v>
      </c>
      <c r="C539" s="316" t="s">
        <v>1973</v>
      </c>
      <c r="D539" s="316" t="s">
        <v>1973</v>
      </c>
      <c r="E539" s="317" t="s">
        <v>1973</v>
      </c>
      <c r="F539" s="318">
        <v>3</v>
      </c>
      <c r="G539" s="354" t="s">
        <v>50</v>
      </c>
      <c r="H539" s="320">
        <v>46500</v>
      </c>
      <c r="I539" s="393" t="b">
        <v>1</v>
      </c>
      <c r="J539" s="322">
        <v>3</v>
      </c>
      <c r="K539" s="323" t="s">
        <v>1973</v>
      </c>
      <c r="L539" s="371" t="e">
        <f t="shared" si="13"/>
        <v>#VALUE!</v>
      </c>
      <c r="M539" s="403"/>
    </row>
    <row r="540" spans="1:13" ht="13">
      <c r="A540" s="316" t="s">
        <v>635</v>
      </c>
      <c r="B540" s="316" t="s">
        <v>1973</v>
      </c>
      <c r="C540" s="316" t="s">
        <v>1973</v>
      </c>
      <c r="D540" s="316" t="s">
        <v>1973</v>
      </c>
      <c r="E540" s="317" t="s">
        <v>1973</v>
      </c>
      <c r="F540" s="318">
        <v>12</v>
      </c>
      <c r="G540" s="354" t="s">
        <v>50</v>
      </c>
      <c r="H540" s="320">
        <v>108000</v>
      </c>
      <c r="I540" s="393" t="b">
        <v>1</v>
      </c>
      <c r="J540" s="322">
        <v>12</v>
      </c>
      <c r="K540" s="323">
        <v>9500</v>
      </c>
      <c r="L540" s="379">
        <f t="shared" si="13"/>
        <v>114000</v>
      </c>
      <c r="M540" s="403" t="s">
        <v>1745</v>
      </c>
    </row>
    <row r="541" spans="1:13" ht="13">
      <c r="A541" s="316" t="s">
        <v>680</v>
      </c>
      <c r="B541" s="316" t="s">
        <v>1973</v>
      </c>
      <c r="C541" s="316" t="s">
        <v>1973</v>
      </c>
      <c r="D541" s="316" t="s">
        <v>1973</v>
      </c>
      <c r="E541" s="317" t="s">
        <v>1973</v>
      </c>
      <c r="F541" s="318">
        <v>6</v>
      </c>
      <c r="G541" s="354" t="s">
        <v>97</v>
      </c>
      <c r="H541" s="320">
        <v>174000</v>
      </c>
      <c r="I541" s="393" t="b">
        <v>1</v>
      </c>
      <c r="J541" s="322">
        <v>6</v>
      </c>
      <c r="K541" s="323" t="s">
        <v>1973</v>
      </c>
      <c r="L541" s="371" t="e">
        <f t="shared" si="13"/>
        <v>#VALUE!</v>
      </c>
      <c r="M541" s="325"/>
    </row>
    <row r="542" spans="1:13" ht="13">
      <c r="A542" s="316" t="s">
        <v>684</v>
      </c>
      <c r="B542" s="316" t="s">
        <v>1973</v>
      </c>
      <c r="C542" s="316" t="s">
        <v>1973</v>
      </c>
      <c r="D542" s="316" t="s">
        <v>1973</v>
      </c>
      <c r="E542" s="317" t="s">
        <v>1973</v>
      </c>
      <c r="F542" s="318">
        <v>2</v>
      </c>
      <c r="G542" s="354" t="s">
        <v>97</v>
      </c>
      <c r="H542" s="320">
        <v>58000</v>
      </c>
      <c r="I542" s="393" t="b">
        <v>1</v>
      </c>
      <c r="J542" s="322">
        <v>2</v>
      </c>
      <c r="K542" s="323" t="s">
        <v>1973</v>
      </c>
      <c r="L542" s="371" t="e">
        <f t="shared" si="13"/>
        <v>#VALUE!</v>
      </c>
      <c r="M542" s="325"/>
    </row>
    <row r="543" spans="1:13" ht="13">
      <c r="A543" s="316" t="s">
        <v>696</v>
      </c>
      <c r="B543" s="316" t="s">
        <v>1973</v>
      </c>
      <c r="C543" s="316" t="s">
        <v>1973</v>
      </c>
      <c r="D543" s="316" t="s">
        <v>1973</v>
      </c>
      <c r="E543" s="317" t="s">
        <v>1973</v>
      </c>
      <c r="F543" s="318">
        <v>6</v>
      </c>
      <c r="G543" s="354" t="s">
        <v>62</v>
      </c>
      <c r="H543" s="320">
        <v>60000</v>
      </c>
      <c r="I543" s="393" t="b">
        <v>1</v>
      </c>
      <c r="J543" s="322">
        <v>6</v>
      </c>
      <c r="K543" s="323" t="s">
        <v>1973</v>
      </c>
      <c r="L543" s="371" t="e">
        <f t="shared" si="13"/>
        <v>#VALUE!</v>
      </c>
      <c r="M543" s="325"/>
    </row>
    <row r="544" spans="1:13" ht="13">
      <c r="A544" s="316" t="s">
        <v>735</v>
      </c>
      <c r="B544" s="316" t="s">
        <v>1973</v>
      </c>
      <c r="C544" s="316" t="s">
        <v>1973</v>
      </c>
      <c r="D544" s="316" t="s">
        <v>1973</v>
      </c>
      <c r="E544" s="317" t="s">
        <v>1973</v>
      </c>
      <c r="F544" s="318">
        <v>1</v>
      </c>
      <c r="G544" s="354" t="s">
        <v>97</v>
      </c>
      <c r="H544" s="320">
        <v>46000</v>
      </c>
      <c r="I544" s="395" t="b">
        <v>1</v>
      </c>
      <c r="J544" s="322">
        <v>1</v>
      </c>
      <c r="K544" s="323">
        <v>48000</v>
      </c>
      <c r="L544" s="379">
        <f t="shared" si="13"/>
        <v>48000</v>
      </c>
      <c r="M544" s="403" t="s">
        <v>1745</v>
      </c>
    </row>
    <row r="545" spans="1:13" ht="13">
      <c r="A545" s="316" t="s">
        <v>748</v>
      </c>
      <c r="B545" s="316" t="s">
        <v>1973</v>
      </c>
      <c r="C545" s="316" t="s">
        <v>1973</v>
      </c>
      <c r="D545" s="316" t="s">
        <v>1973</v>
      </c>
      <c r="E545" s="317" t="s">
        <v>1973</v>
      </c>
      <c r="F545" s="318">
        <v>1</v>
      </c>
      <c r="G545" s="354" t="s">
        <v>62</v>
      </c>
      <c r="H545" s="320">
        <v>29000</v>
      </c>
      <c r="I545" s="393" t="b">
        <v>1</v>
      </c>
      <c r="J545" s="322">
        <v>1</v>
      </c>
      <c r="K545" s="323" t="s">
        <v>1973</v>
      </c>
      <c r="L545" s="371" t="e">
        <f t="shared" si="13"/>
        <v>#VALUE!</v>
      </c>
      <c r="M545" s="325"/>
    </row>
    <row r="546" spans="1:13" ht="13">
      <c r="A546" s="316" t="s">
        <v>866</v>
      </c>
      <c r="B546" s="316" t="s">
        <v>1973</v>
      </c>
      <c r="C546" s="316" t="s">
        <v>1973</v>
      </c>
      <c r="D546" s="316" t="s">
        <v>1973</v>
      </c>
      <c r="E546" s="317" t="s">
        <v>1973</v>
      </c>
      <c r="F546" s="318">
        <v>1</v>
      </c>
      <c r="G546" s="354" t="s">
        <v>62</v>
      </c>
      <c r="H546" s="320">
        <v>35000</v>
      </c>
      <c r="I546" s="393" t="b">
        <v>1</v>
      </c>
      <c r="J546" s="322">
        <v>1</v>
      </c>
      <c r="K546" s="323" t="s">
        <v>1973</v>
      </c>
      <c r="L546" s="371" t="e">
        <f t="shared" si="13"/>
        <v>#VALUE!</v>
      </c>
      <c r="M546" s="325"/>
    </row>
    <row r="547" spans="1:13" ht="13">
      <c r="A547" s="316" t="s">
        <v>1548</v>
      </c>
      <c r="B547" s="316" t="s">
        <v>1973</v>
      </c>
      <c r="C547" s="316" t="s">
        <v>1973</v>
      </c>
      <c r="D547" s="316" t="s">
        <v>1973</v>
      </c>
      <c r="E547" s="317" t="s">
        <v>1973</v>
      </c>
      <c r="F547" s="318">
        <v>4</v>
      </c>
      <c r="G547" s="354" t="s">
        <v>62</v>
      </c>
      <c r="H547" s="320">
        <v>48000</v>
      </c>
      <c r="I547" s="393" t="b">
        <v>1</v>
      </c>
      <c r="J547" s="322">
        <v>4</v>
      </c>
      <c r="K547" s="323" t="s">
        <v>1973</v>
      </c>
      <c r="L547" s="371" t="e">
        <f t="shared" si="13"/>
        <v>#VALUE!</v>
      </c>
      <c r="M547" s="325"/>
    </row>
    <row r="548" spans="1:13" ht="13">
      <c r="A548" s="316" t="s">
        <v>1615</v>
      </c>
      <c r="B548" s="316" t="s">
        <v>1973</v>
      </c>
      <c r="C548" s="316" t="s">
        <v>1973</v>
      </c>
      <c r="D548" s="316" t="s">
        <v>1973</v>
      </c>
      <c r="E548" s="317" t="s">
        <v>1973</v>
      </c>
      <c r="F548" s="318">
        <v>1</v>
      </c>
      <c r="G548" s="354" t="s">
        <v>62</v>
      </c>
      <c r="H548" s="320">
        <v>8000</v>
      </c>
      <c r="I548" s="393" t="b">
        <v>1</v>
      </c>
      <c r="J548" s="322">
        <v>1</v>
      </c>
      <c r="K548" s="323" t="s">
        <v>1973</v>
      </c>
      <c r="L548" s="371" t="e">
        <f t="shared" si="13"/>
        <v>#VALUE!</v>
      </c>
      <c r="M548" s="325"/>
    </row>
    <row r="549" spans="1:13" ht="13">
      <c r="A549" s="316" t="s">
        <v>1037</v>
      </c>
      <c r="B549" s="316" t="s">
        <v>1973</v>
      </c>
      <c r="C549" s="316" t="s">
        <v>1973</v>
      </c>
      <c r="D549" s="316" t="s">
        <v>1973</v>
      </c>
      <c r="E549" s="317" t="s">
        <v>1973</v>
      </c>
      <c r="F549" s="318">
        <v>2</v>
      </c>
      <c r="G549" s="354" t="s">
        <v>62</v>
      </c>
      <c r="H549" s="320">
        <v>40200</v>
      </c>
      <c r="I549" s="319" t="b">
        <v>0</v>
      </c>
      <c r="J549" s="372"/>
      <c r="K549" s="373" t="s">
        <v>1973</v>
      </c>
      <c r="L549" s="374" t="e">
        <f t="shared" si="13"/>
        <v>#VALUE!</v>
      </c>
      <c r="M549" s="325"/>
    </row>
    <row r="550" spans="1:13" ht="13">
      <c r="A550" s="316" t="s">
        <v>1046</v>
      </c>
      <c r="B550" s="316" t="s">
        <v>1973</v>
      </c>
      <c r="C550" s="316" t="s">
        <v>1973</v>
      </c>
      <c r="D550" s="316" t="s">
        <v>1973</v>
      </c>
      <c r="E550" s="317" t="s">
        <v>1973</v>
      </c>
      <c r="F550" s="318">
        <v>1</v>
      </c>
      <c r="G550" s="354" t="s">
        <v>62</v>
      </c>
      <c r="H550" s="320">
        <v>18000</v>
      </c>
      <c r="I550" s="393" t="b">
        <v>1</v>
      </c>
      <c r="J550" s="322">
        <v>1</v>
      </c>
      <c r="K550" s="323" t="s">
        <v>1973</v>
      </c>
      <c r="L550" s="371" t="e">
        <f t="shared" si="13"/>
        <v>#VALUE!</v>
      </c>
      <c r="M550" s="325"/>
    </row>
    <row r="552" spans="1:13" ht="13">
      <c r="F552" s="429">
        <v>44553</v>
      </c>
      <c r="G552" s="428"/>
      <c r="H552" s="424"/>
      <c r="J552" s="429">
        <f>F552</f>
        <v>44553</v>
      </c>
      <c r="K552" s="428"/>
      <c r="L552" s="424"/>
    </row>
    <row r="553" spans="1:13" ht="13">
      <c r="F553" s="425" t="s">
        <v>1490</v>
      </c>
      <c r="G553" s="426"/>
      <c r="H553" s="304">
        <f>SUM(H555:H736)</f>
        <v>20598304</v>
      </c>
      <c r="J553" s="425" t="s">
        <v>1491</v>
      </c>
      <c r="K553" s="426"/>
      <c r="L553" s="304" t="e">
        <f>SUM(L555:L564)</f>
        <v>#VALUE!</v>
      </c>
    </row>
    <row r="554" spans="1:13" ht="13">
      <c r="A554" s="2" t="s">
        <v>4</v>
      </c>
      <c r="B554" s="305" t="s">
        <v>5</v>
      </c>
      <c r="C554" s="305" t="s">
        <v>11</v>
      </c>
      <c r="D554" s="305" t="s">
        <v>12</v>
      </c>
      <c r="E554" s="306" t="s">
        <v>6</v>
      </c>
      <c r="F554" s="307" t="s">
        <v>1494</v>
      </c>
      <c r="G554" s="308" t="s">
        <v>10</v>
      </c>
      <c r="H554" s="309" t="s">
        <v>1495</v>
      </c>
      <c r="I554" s="310" t="s">
        <v>1289</v>
      </c>
      <c r="J554" s="311" t="s">
        <v>1496</v>
      </c>
      <c r="K554" s="312" t="s">
        <v>1497</v>
      </c>
      <c r="L554" s="313" t="s">
        <v>1498</v>
      </c>
      <c r="M554" s="314" t="s">
        <v>16</v>
      </c>
    </row>
    <row r="555" spans="1:13" ht="13">
      <c r="A555" s="316" t="s">
        <v>1610</v>
      </c>
      <c r="B555" s="316" t="s">
        <v>1973</v>
      </c>
      <c r="C555" s="316" t="s">
        <v>1973</v>
      </c>
      <c r="D555" s="316" t="s">
        <v>1973</v>
      </c>
      <c r="E555" s="317" t="s">
        <v>1973</v>
      </c>
      <c r="F555" s="318">
        <v>1</v>
      </c>
      <c r="G555" s="354" t="s">
        <v>36</v>
      </c>
      <c r="H555" s="320">
        <v>8000</v>
      </c>
      <c r="I555" s="395" t="b">
        <v>1</v>
      </c>
      <c r="J555" s="322">
        <v>1</v>
      </c>
      <c r="K555" s="323">
        <v>9000</v>
      </c>
      <c r="L555" s="379">
        <f t="shared" ref="L555:L564" si="14">J555*K555</f>
        <v>9000</v>
      </c>
      <c r="M555" s="325" t="s">
        <v>1745</v>
      </c>
    </row>
    <row r="556" spans="1:13" ht="13">
      <c r="A556" s="316" t="s">
        <v>1611</v>
      </c>
      <c r="B556" s="316" t="s">
        <v>1973</v>
      </c>
      <c r="C556" s="316" t="s">
        <v>1973</v>
      </c>
      <c r="D556" s="316" t="s">
        <v>1973</v>
      </c>
      <c r="E556" s="317" t="s">
        <v>1973</v>
      </c>
      <c r="F556" s="318">
        <v>2</v>
      </c>
      <c r="G556" s="354" t="s">
        <v>36</v>
      </c>
      <c r="H556" s="320">
        <v>80000</v>
      </c>
      <c r="I556" s="393" t="b">
        <v>1</v>
      </c>
      <c r="J556" s="322">
        <v>2</v>
      </c>
      <c r="K556" s="323" t="s">
        <v>1973</v>
      </c>
      <c r="L556" s="371" t="e">
        <f t="shared" si="14"/>
        <v>#VALUE!</v>
      </c>
      <c r="M556" s="325"/>
    </row>
    <row r="557" spans="1:13" ht="13">
      <c r="A557" s="316" t="s">
        <v>1598</v>
      </c>
      <c r="B557" s="316" t="s">
        <v>1973</v>
      </c>
      <c r="C557" s="316" t="s">
        <v>1973</v>
      </c>
      <c r="D557" s="316" t="s">
        <v>1973</v>
      </c>
      <c r="E557" s="317" t="s">
        <v>1973</v>
      </c>
      <c r="F557" s="318">
        <v>2</v>
      </c>
      <c r="G557" s="354" t="s">
        <v>97</v>
      </c>
      <c r="H557" s="320">
        <v>20800</v>
      </c>
      <c r="I557" s="319" t="b">
        <v>0</v>
      </c>
      <c r="J557" s="372"/>
      <c r="K557" s="373" t="s">
        <v>1973</v>
      </c>
      <c r="L557" s="374" t="e">
        <f t="shared" si="14"/>
        <v>#VALUE!</v>
      </c>
      <c r="M557" s="325"/>
    </row>
    <row r="558" spans="1:13" ht="13">
      <c r="A558" s="316" t="s">
        <v>732</v>
      </c>
      <c r="B558" s="316" t="s">
        <v>1973</v>
      </c>
      <c r="C558" s="316" t="s">
        <v>1973</v>
      </c>
      <c r="D558" s="316" t="s">
        <v>1973</v>
      </c>
      <c r="E558" s="317" t="s">
        <v>1973</v>
      </c>
      <c r="F558" s="318">
        <v>1</v>
      </c>
      <c r="G558" s="354" t="s">
        <v>36</v>
      </c>
      <c r="H558" s="320">
        <v>22000</v>
      </c>
      <c r="I558" s="393" t="b">
        <v>1</v>
      </c>
      <c r="J558" s="322">
        <v>1</v>
      </c>
      <c r="K558" s="323" t="s">
        <v>1973</v>
      </c>
      <c r="L558" s="371" t="e">
        <f t="shared" si="14"/>
        <v>#VALUE!</v>
      </c>
      <c r="M558" s="325"/>
    </row>
    <row r="559" spans="1:13" ht="13">
      <c r="A559" s="316" t="s">
        <v>1751</v>
      </c>
      <c r="B559" s="316" t="s">
        <v>1973</v>
      </c>
      <c r="C559" s="316" t="s">
        <v>1973</v>
      </c>
      <c r="D559" s="316" t="s">
        <v>1973</v>
      </c>
      <c r="E559" s="317" t="s">
        <v>1973</v>
      </c>
      <c r="F559" s="318">
        <v>5</v>
      </c>
      <c r="G559" s="354" t="s">
        <v>36</v>
      </c>
      <c r="H559" s="320">
        <v>60000</v>
      </c>
      <c r="I559" s="319" t="b">
        <v>0</v>
      </c>
      <c r="J559" s="372"/>
      <c r="K559" s="373" t="s">
        <v>1973</v>
      </c>
      <c r="L559" s="374" t="e">
        <f t="shared" si="14"/>
        <v>#VALUE!</v>
      </c>
      <c r="M559" s="325"/>
    </row>
    <row r="560" spans="1:13" ht="13">
      <c r="A560" s="316" t="s">
        <v>782</v>
      </c>
      <c r="B560" s="316" t="s">
        <v>1973</v>
      </c>
      <c r="C560" s="316" t="s">
        <v>1973</v>
      </c>
      <c r="D560" s="316" t="s">
        <v>1973</v>
      </c>
      <c r="E560" s="317" t="s">
        <v>1973</v>
      </c>
      <c r="F560" s="318">
        <v>1</v>
      </c>
      <c r="G560" s="354" t="s">
        <v>62</v>
      </c>
      <c r="H560" s="320">
        <v>12000</v>
      </c>
      <c r="I560" s="319" t="b">
        <v>0</v>
      </c>
      <c r="J560" s="372"/>
      <c r="K560" s="373" t="s">
        <v>1973</v>
      </c>
      <c r="L560" s="374" t="e">
        <f t="shared" si="14"/>
        <v>#VALUE!</v>
      </c>
      <c r="M560" s="325"/>
    </row>
    <row r="561" spans="1:13" ht="13">
      <c r="A561" s="316" t="s">
        <v>919</v>
      </c>
      <c r="B561" s="316" t="s">
        <v>1973</v>
      </c>
      <c r="C561" s="316" t="s">
        <v>1973</v>
      </c>
      <c r="D561" s="316" t="s">
        <v>1973</v>
      </c>
      <c r="E561" s="317" t="s">
        <v>1973</v>
      </c>
      <c r="F561" s="318">
        <v>4</v>
      </c>
      <c r="G561" s="354" t="s">
        <v>62</v>
      </c>
      <c r="H561" s="320">
        <v>39600</v>
      </c>
      <c r="I561" s="319" t="b">
        <v>0</v>
      </c>
      <c r="J561" s="372"/>
      <c r="K561" s="373" t="s">
        <v>1973</v>
      </c>
      <c r="L561" s="374" t="e">
        <f t="shared" si="14"/>
        <v>#VALUE!</v>
      </c>
      <c r="M561" s="325"/>
    </row>
    <row r="562" spans="1:13" ht="13">
      <c r="A562" s="316" t="s">
        <v>1608</v>
      </c>
      <c r="B562" s="316" t="s">
        <v>1973</v>
      </c>
      <c r="C562" s="316" t="s">
        <v>1973</v>
      </c>
      <c r="D562" s="316" t="s">
        <v>1973</v>
      </c>
      <c r="E562" s="317" t="s">
        <v>1973</v>
      </c>
      <c r="F562" s="318">
        <v>1</v>
      </c>
      <c r="G562" s="354" t="s">
        <v>36</v>
      </c>
      <c r="H562" s="320">
        <v>34000</v>
      </c>
      <c r="I562" s="319" t="b">
        <v>0</v>
      </c>
      <c r="J562" s="372"/>
      <c r="K562" s="373" t="s">
        <v>1973</v>
      </c>
      <c r="L562" s="374" t="e">
        <f t="shared" si="14"/>
        <v>#VALUE!</v>
      </c>
      <c r="M562" s="325"/>
    </row>
    <row r="563" spans="1:13" ht="13">
      <c r="A563" s="316" t="s">
        <v>1600</v>
      </c>
      <c r="B563" s="316" t="s">
        <v>1973</v>
      </c>
      <c r="C563" s="316" t="s">
        <v>1973</v>
      </c>
      <c r="D563" s="316" t="s">
        <v>1973</v>
      </c>
      <c r="E563" s="317" t="s">
        <v>1973</v>
      </c>
      <c r="F563" s="318">
        <v>1</v>
      </c>
      <c r="G563" s="354" t="s">
        <v>36</v>
      </c>
      <c r="H563" s="320">
        <v>8000</v>
      </c>
      <c r="I563" s="393" t="b">
        <v>1</v>
      </c>
      <c r="J563" s="322">
        <v>1</v>
      </c>
      <c r="K563" s="323" t="s">
        <v>1973</v>
      </c>
      <c r="L563" s="371" t="e">
        <f t="shared" si="14"/>
        <v>#VALUE!</v>
      </c>
      <c r="M563" s="325"/>
    </row>
    <row r="564" spans="1:13" ht="13">
      <c r="A564" s="18" t="s">
        <v>1103</v>
      </c>
      <c r="B564" s="316" t="s">
        <v>1973</v>
      </c>
      <c r="C564" s="316" t="s">
        <v>1973</v>
      </c>
      <c r="D564" s="316" t="s">
        <v>1973</v>
      </c>
      <c r="E564" s="317" t="s">
        <v>1973</v>
      </c>
      <c r="F564" s="318">
        <v>1</v>
      </c>
      <c r="G564" s="354" t="s">
        <v>62</v>
      </c>
      <c r="H564" s="320">
        <v>60000</v>
      </c>
      <c r="I564" s="319" t="b">
        <v>0</v>
      </c>
      <c r="J564" s="372"/>
      <c r="K564" s="373" t="s">
        <v>1973</v>
      </c>
      <c r="L564" s="374" t="e">
        <f t="shared" si="14"/>
        <v>#VALUE!</v>
      </c>
      <c r="M564" s="325"/>
    </row>
    <row r="566" spans="1:13" ht="13">
      <c r="F566" s="429">
        <v>44555</v>
      </c>
      <c r="G566" s="428"/>
      <c r="H566" s="424"/>
      <c r="J566" s="429">
        <f>F566</f>
        <v>44555</v>
      </c>
      <c r="K566" s="428"/>
      <c r="L566" s="424"/>
    </row>
    <row r="567" spans="1:13" ht="13">
      <c r="F567" s="425" t="s">
        <v>1490</v>
      </c>
      <c r="G567" s="426"/>
      <c r="H567" s="304">
        <f>SUM(H569:H585)</f>
        <v>662000</v>
      </c>
      <c r="J567" s="425" t="s">
        <v>1491</v>
      </c>
      <c r="K567" s="426"/>
      <c r="L567" s="304" t="e">
        <f>SUM(L569:L585)</f>
        <v>#N/A</v>
      </c>
    </row>
    <row r="568" spans="1:13" ht="13">
      <c r="A568" s="2" t="s">
        <v>4</v>
      </c>
      <c r="B568" s="305" t="s">
        <v>5</v>
      </c>
      <c r="C568" s="305" t="s">
        <v>11</v>
      </c>
      <c r="D568" s="305" t="s">
        <v>12</v>
      </c>
      <c r="E568" s="306" t="s">
        <v>6</v>
      </c>
      <c r="F568" s="307" t="s">
        <v>1494</v>
      </c>
      <c r="G568" s="308" t="s">
        <v>10</v>
      </c>
      <c r="H568" s="309" t="s">
        <v>1495</v>
      </c>
      <c r="I568" s="310" t="s">
        <v>1289</v>
      </c>
      <c r="J568" s="311" t="s">
        <v>1496</v>
      </c>
      <c r="K568" s="312" t="s">
        <v>1497</v>
      </c>
      <c r="L568" s="313" t="s">
        <v>1498</v>
      </c>
      <c r="M568" s="314" t="s">
        <v>16</v>
      </c>
    </row>
    <row r="569" spans="1:13" ht="13">
      <c r="A569" s="316" t="s">
        <v>782</v>
      </c>
      <c r="B569" s="316" t="s">
        <v>1973</v>
      </c>
      <c r="C569" s="316" t="s">
        <v>1973</v>
      </c>
      <c r="D569" s="316" t="s">
        <v>1973</v>
      </c>
      <c r="E569" s="317" t="s">
        <v>1973</v>
      </c>
      <c r="F569" s="318">
        <v>1</v>
      </c>
      <c r="G569" s="354" t="s">
        <v>62</v>
      </c>
      <c r="H569" s="320">
        <v>12000</v>
      </c>
      <c r="I569" s="393" t="b">
        <v>1</v>
      </c>
      <c r="J569" s="322">
        <v>1</v>
      </c>
      <c r="K569" s="323" t="e">
        <f>VLOOKUP($A569,'[1]Database Bahan &amp; Alat (Terupdat'!$B$50:$N$232,6,FALSE)</f>
        <v>#N/A</v>
      </c>
      <c r="L569" s="371" t="e">
        <f t="shared" ref="L569:L585" si="15">J569*K569</f>
        <v>#N/A</v>
      </c>
      <c r="M569" s="325"/>
    </row>
    <row r="570" spans="1:13" ht="13">
      <c r="A570" s="316" t="s">
        <v>1670</v>
      </c>
      <c r="B570" s="316" t="s">
        <v>1973</v>
      </c>
      <c r="C570" s="316" t="s">
        <v>1973</v>
      </c>
      <c r="D570" s="316" t="s">
        <v>1973</v>
      </c>
      <c r="E570" s="317" t="s">
        <v>1973</v>
      </c>
      <c r="F570" s="318">
        <v>1</v>
      </c>
      <c r="G570" s="354" t="s">
        <v>62</v>
      </c>
      <c r="H570" s="320">
        <v>10350</v>
      </c>
      <c r="I570" s="395" t="b">
        <v>1</v>
      </c>
      <c r="J570" s="322">
        <v>1</v>
      </c>
      <c r="K570" s="323">
        <v>18600</v>
      </c>
      <c r="L570" s="379">
        <f t="shared" si="15"/>
        <v>18600</v>
      </c>
      <c r="M570" s="325" t="s">
        <v>1745</v>
      </c>
    </row>
    <row r="571" spans="1:13" ht="13">
      <c r="A571" s="316" t="s">
        <v>1607</v>
      </c>
      <c r="B571" s="316" t="s">
        <v>1973</v>
      </c>
      <c r="C571" s="316" t="s">
        <v>1973</v>
      </c>
      <c r="D571" s="316" t="s">
        <v>1973</v>
      </c>
      <c r="E571" s="317" t="s">
        <v>1973</v>
      </c>
      <c r="F571" s="318">
        <v>1</v>
      </c>
      <c r="G571" s="354" t="s">
        <v>62</v>
      </c>
      <c r="H571" s="320">
        <v>10050</v>
      </c>
      <c r="I571" s="395" t="b">
        <v>1</v>
      </c>
      <c r="J571" s="322">
        <v>1</v>
      </c>
      <c r="K571" s="323">
        <v>11500</v>
      </c>
      <c r="L571" s="379">
        <f t="shared" si="15"/>
        <v>11500</v>
      </c>
      <c r="M571" s="325" t="s">
        <v>1745</v>
      </c>
    </row>
    <row r="572" spans="1:13" ht="13">
      <c r="A572" s="316" t="s">
        <v>919</v>
      </c>
      <c r="B572" s="316" t="s">
        <v>1973</v>
      </c>
      <c r="C572" s="316" t="s">
        <v>1973</v>
      </c>
      <c r="D572" s="316" t="s">
        <v>1973</v>
      </c>
      <c r="E572" s="317" t="s">
        <v>1973</v>
      </c>
      <c r="F572" s="318">
        <v>4</v>
      </c>
      <c r="G572" s="354" t="s">
        <v>62</v>
      </c>
      <c r="H572" s="320">
        <v>39600</v>
      </c>
      <c r="I572" s="393" t="b">
        <v>1</v>
      </c>
      <c r="J572" s="322">
        <v>2</v>
      </c>
      <c r="K572" s="323" t="e">
        <f>VLOOKUP($A572,'[1]Database Bahan &amp; Alat (Terupdat'!$B$50:$N$232,6,FALSE)</f>
        <v>#N/A</v>
      </c>
      <c r="L572" s="371" t="e">
        <f t="shared" si="15"/>
        <v>#N/A</v>
      </c>
      <c r="M572" s="325"/>
    </row>
    <row r="573" spans="1:13" ht="13">
      <c r="A573" s="18" t="s">
        <v>1609</v>
      </c>
      <c r="B573" s="316" t="s">
        <v>1973</v>
      </c>
      <c r="C573" s="316" t="s">
        <v>1973</v>
      </c>
      <c r="D573" s="316" t="s">
        <v>1973</v>
      </c>
      <c r="E573" s="317" t="s">
        <v>1973</v>
      </c>
      <c r="F573" s="318">
        <v>2</v>
      </c>
      <c r="G573" s="354" t="s">
        <v>36</v>
      </c>
      <c r="H573" s="320">
        <v>80000</v>
      </c>
      <c r="I573" s="395" t="b">
        <v>1</v>
      </c>
      <c r="J573" s="322">
        <v>2</v>
      </c>
      <c r="K573" s="323">
        <v>39000</v>
      </c>
      <c r="L573" s="380">
        <f t="shared" si="15"/>
        <v>78000</v>
      </c>
      <c r="M573" s="325" t="s">
        <v>1745</v>
      </c>
    </row>
    <row r="574" spans="1:13" ht="13">
      <c r="A574" s="316" t="s">
        <v>1610</v>
      </c>
      <c r="B574" s="316" t="s">
        <v>1973</v>
      </c>
      <c r="C574" s="316" t="s">
        <v>1973</v>
      </c>
      <c r="D574" s="316" t="s">
        <v>1973</v>
      </c>
      <c r="E574" s="317" t="s">
        <v>1973</v>
      </c>
      <c r="F574" s="318">
        <v>1</v>
      </c>
      <c r="G574" s="354" t="s">
        <v>36</v>
      </c>
      <c r="H574" s="320">
        <v>8000</v>
      </c>
      <c r="I574" s="395" t="b">
        <v>1</v>
      </c>
      <c r="J574" s="322">
        <v>1</v>
      </c>
      <c r="K574" s="323">
        <v>9000</v>
      </c>
      <c r="L574" s="379">
        <f t="shared" si="15"/>
        <v>9000</v>
      </c>
      <c r="M574" s="325" t="s">
        <v>1745</v>
      </c>
    </row>
    <row r="575" spans="1:13" ht="13">
      <c r="A575" s="316" t="s">
        <v>1611</v>
      </c>
      <c r="B575" s="316" t="s">
        <v>1973</v>
      </c>
      <c r="C575" s="316" t="s">
        <v>1973</v>
      </c>
      <c r="D575" s="316" t="s">
        <v>1973</v>
      </c>
      <c r="E575" s="317" t="s">
        <v>1973</v>
      </c>
      <c r="F575" s="318">
        <v>2</v>
      </c>
      <c r="G575" s="354" t="s">
        <v>36</v>
      </c>
      <c r="H575" s="320">
        <v>80000</v>
      </c>
      <c r="I575" s="395" t="b">
        <v>1</v>
      </c>
      <c r="J575" s="322"/>
      <c r="K575" s="323">
        <v>45000</v>
      </c>
      <c r="L575" s="379">
        <f t="shared" si="15"/>
        <v>0</v>
      </c>
      <c r="M575" s="325" t="s">
        <v>1771</v>
      </c>
    </row>
    <row r="576" spans="1:13" ht="13">
      <c r="A576" s="316" t="s">
        <v>1698</v>
      </c>
      <c r="B576" s="316" t="s">
        <v>1973</v>
      </c>
      <c r="C576" s="316" t="s">
        <v>1973</v>
      </c>
      <c r="D576" s="316" t="s">
        <v>1973</v>
      </c>
      <c r="E576" s="317" t="s">
        <v>1973</v>
      </c>
      <c r="F576" s="318">
        <v>3</v>
      </c>
      <c r="G576" s="354" t="s">
        <v>36</v>
      </c>
      <c r="H576" s="320">
        <v>96000</v>
      </c>
      <c r="I576" s="395" t="b">
        <v>1</v>
      </c>
      <c r="J576" s="322"/>
      <c r="K576" s="323">
        <v>34000</v>
      </c>
      <c r="L576" s="379">
        <f t="shared" si="15"/>
        <v>0</v>
      </c>
      <c r="M576" s="325" t="s">
        <v>1771</v>
      </c>
    </row>
    <row r="577" spans="1:13" ht="13">
      <c r="A577" s="316" t="s">
        <v>675</v>
      </c>
      <c r="B577" s="316" t="s">
        <v>1973</v>
      </c>
      <c r="C577" s="316" t="s">
        <v>1973</v>
      </c>
      <c r="D577" s="316" t="s">
        <v>1973</v>
      </c>
      <c r="E577" s="317" t="s">
        <v>1973</v>
      </c>
      <c r="F577" s="318">
        <v>10</v>
      </c>
      <c r="G577" s="354" t="s">
        <v>62</v>
      </c>
      <c r="H577" s="320">
        <v>35000</v>
      </c>
      <c r="I577" s="395" t="b">
        <v>1</v>
      </c>
      <c r="J577" s="322"/>
      <c r="K577" s="323" t="s">
        <v>1973</v>
      </c>
      <c r="L577" s="324" t="e">
        <f t="shared" si="15"/>
        <v>#VALUE!</v>
      </c>
      <c r="M577" s="325" t="s">
        <v>1772</v>
      </c>
    </row>
    <row r="578" spans="1:13" ht="13">
      <c r="A578" s="316" t="s">
        <v>712</v>
      </c>
      <c r="B578" s="316" t="s">
        <v>1973</v>
      </c>
      <c r="C578" s="316" t="s">
        <v>1973</v>
      </c>
      <c r="D578" s="316" t="s">
        <v>1973</v>
      </c>
      <c r="E578" s="317" t="s">
        <v>1973</v>
      </c>
      <c r="F578" s="318">
        <v>1</v>
      </c>
      <c r="G578" s="354" t="s">
        <v>36</v>
      </c>
      <c r="H578" s="320">
        <v>24000</v>
      </c>
      <c r="I578" s="393" t="b">
        <v>1</v>
      </c>
      <c r="J578" s="322">
        <v>1</v>
      </c>
      <c r="K578" s="323" t="s">
        <v>1973</v>
      </c>
      <c r="L578" s="371" t="e">
        <f t="shared" si="15"/>
        <v>#VALUE!</v>
      </c>
      <c r="M578" s="325"/>
    </row>
    <row r="579" spans="1:13" ht="13">
      <c r="A579" s="316" t="s">
        <v>732</v>
      </c>
      <c r="B579" s="316" t="s">
        <v>1973</v>
      </c>
      <c r="C579" s="316" t="s">
        <v>1973</v>
      </c>
      <c r="D579" s="316" t="s">
        <v>1973</v>
      </c>
      <c r="E579" s="317" t="s">
        <v>1973</v>
      </c>
      <c r="F579" s="318">
        <v>1</v>
      </c>
      <c r="G579" s="354" t="s">
        <v>36</v>
      </c>
      <c r="H579" s="320">
        <v>22000</v>
      </c>
      <c r="I579" s="395" t="b">
        <v>1</v>
      </c>
      <c r="J579" s="322">
        <v>0.5</v>
      </c>
      <c r="K579" s="323">
        <v>24000</v>
      </c>
      <c r="L579" s="379">
        <f t="shared" si="15"/>
        <v>12000</v>
      </c>
      <c r="M579" s="325" t="s">
        <v>1745</v>
      </c>
    </row>
    <row r="580" spans="1:13" ht="13">
      <c r="A580" s="316" t="s">
        <v>744</v>
      </c>
      <c r="B580" s="316" t="s">
        <v>1973</v>
      </c>
      <c r="C580" s="316" t="s">
        <v>1973</v>
      </c>
      <c r="D580" s="316" t="s">
        <v>1973</v>
      </c>
      <c r="E580" s="317" t="s">
        <v>1973</v>
      </c>
      <c r="F580" s="318">
        <v>1</v>
      </c>
      <c r="G580" s="354" t="s">
        <v>36</v>
      </c>
      <c r="H580" s="320">
        <v>44000</v>
      </c>
      <c r="I580" s="395" t="b">
        <v>1</v>
      </c>
      <c r="J580" s="322">
        <v>1</v>
      </c>
      <c r="K580" s="323">
        <v>60000</v>
      </c>
      <c r="L580" s="379">
        <f t="shared" si="15"/>
        <v>60000</v>
      </c>
      <c r="M580" s="325" t="s">
        <v>1745</v>
      </c>
    </row>
    <row r="581" spans="1:13" ht="13">
      <c r="A581" s="316" t="s">
        <v>1608</v>
      </c>
      <c r="B581" s="316" t="s">
        <v>1973</v>
      </c>
      <c r="C581" s="316" t="s">
        <v>1973</v>
      </c>
      <c r="D581" s="316" t="s">
        <v>1973</v>
      </c>
      <c r="E581" s="317" t="s">
        <v>1973</v>
      </c>
      <c r="F581" s="318">
        <v>1</v>
      </c>
      <c r="G581" s="354" t="s">
        <v>36</v>
      </c>
      <c r="H581" s="320">
        <v>34000</v>
      </c>
      <c r="I581" s="395" t="b">
        <v>1</v>
      </c>
      <c r="J581" s="322">
        <v>1</v>
      </c>
      <c r="K581" s="323">
        <v>10200</v>
      </c>
      <c r="L581" s="380">
        <f t="shared" si="15"/>
        <v>10200</v>
      </c>
      <c r="M581" s="325" t="s">
        <v>1745</v>
      </c>
    </row>
    <row r="582" spans="1:13" ht="13">
      <c r="A582" s="316" t="s">
        <v>931</v>
      </c>
      <c r="B582" s="316" t="s">
        <v>1973</v>
      </c>
      <c r="C582" s="316" t="s">
        <v>1973</v>
      </c>
      <c r="D582" s="316" t="s">
        <v>1973</v>
      </c>
      <c r="E582" s="317" t="s">
        <v>1973</v>
      </c>
      <c r="F582" s="318">
        <v>1</v>
      </c>
      <c r="G582" s="354" t="s">
        <v>36</v>
      </c>
      <c r="H582" s="320">
        <v>18000</v>
      </c>
      <c r="I582" s="395" t="b">
        <v>1</v>
      </c>
      <c r="J582" s="322">
        <v>1</v>
      </c>
      <c r="K582" s="323">
        <v>19000</v>
      </c>
      <c r="L582" s="379">
        <f t="shared" si="15"/>
        <v>19000</v>
      </c>
      <c r="M582" s="325" t="s">
        <v>1745</v>
      </c>
    </row>
    <row r="583" spans="1:13" ht="13">
      <c r="A583" s="316" t="s">
        <v>1751</v>
      </c>
      <c r="B583" s="316" t="s">
        <v>1973</v>
      </c>
      <c r="C583" s="316" t="s">
        <v>1973</v>
      </c>
      <c r="D583" s="316" t="s">
        <v>1973</v>
      </c>
      <c r="E583" s="317" t="s">
        <v>1973</v>
      </c>
      <c r="F583" s="318">
        <v>5</v>
      </c>
      <c r="G583" s="354" t="s">
        <v>36</v>
      </c>
      <c r="H583" s="320">
        <v>60000</v>
      </c>
      <c r="I583" s="393" t="b">
        <v>1</v>
      </c>
      <c r="J583" s="322">
        <v>5</v>
      </c>
      <c r="K583" s="323" t="e">
        <f>VLOOKUP($A583,'[1]Database Bahan &amp; Alat (Terupdat'!$B$50:$N$232,6,FALSE)</f>
        <v>#N/A</v>
      </c>
      <c r="L583" s="371" t="e">
        <f t="shared" si="15"/>
        <v>#N/A</v>
      </c>
      <c r="M583" s="325"/>
    </row>
    <row r="584" spans="1:13" ht="13">
      <c r="A584" s="316" t="s">
        <v>1606</v>
      </c>
      <c r="B584" s="316" t="s">
        <v>1973</v>
      </c>
      <c r="C584" s="316" t="s">
        <v>1973</v>
      </c>
      <c r="D584" s="316" t="s">
        <v>1973</v>
      </c>
      <c r="E584" s="317" t="s">
        <v>1973</v>
      </c>
      <c r="F584" s="318">
        <v>1</v>
      </c>
      <c r="G584" s="354" t="s">
        <v>36</v>
      </c>
      <c r="H584" s="320">
        <v>35000</v>
      </c>
      <c r="I584" s="395" t="b">
        <v>1</v>
      </c>
      <c r="J584" s="322">
        <v>0.54600000000000004</v>
      </c>
      <c r="K584" s="323">
        <v>43200</v>
      </c>
      <c r="L584" s="408">
        <f t="shared" si="15"/>
        <v>23587.200000000001</v>
      </c>
      <c r="M584" s="325" t="s">
        <v>1745</v>
      </c>
    </row>
    <row r="585" spans="1:13" ht="13">
      <c r="A585" s="316" t="s">
        <v>934</v>
      </c>
      <c r="B585" s="316" t="s">
        <v>1973</v>
      </c>
      <c r="C585" s="316" t="s">
        <v>1973</v>
      </c>
      <c r="D585" s="316" t="s">
        <v>1973</v>
      </c>
      <c r="E585" s="317" t="s">
        <v>1973</v>
      </c>
      <c r="F585" s="318">
        <v>6</v>
      </c>
      <c r="G585" s="354" t="s">
        <v>62</v>
      </c>
      <c r="H585" s="320">
        <v>54000</v>
      </c>
      <c r="I585" s="395" t="b">
        <v>1</v>
      </c>
      <c r="J585" s="322">
        <v>2</v>
      </c>
      <c r="K585" s="323">
        <v>8600</v>
      </c>
      <c r="L585" s="380">
        <f t="shared" si="15"/>
        <v>17200</v>
      </c>
      <c r="M585" s="325" t="s">
        <v>1745</v>
      </c>
    </row>
    <row r="587" spans="1:13" ht="13">
      <c r="F587" s="429">
        <v>44558</v>
      </c>
      <c r="G587" s="428"/>
      <c r="H587" s="424"/>
      <c r="J587" s="429">
        <f>F587</f>
        <v>44558</v>
      </c>
      <c r="K587" s="428"/>
      <c r="L587" s="424"/>
    </row>
    <row r="588" spans="1:13" ht="13">
      <c r="F588" s="425" t="s">
        <v>1490</v>
      </c>
      <c r="G588" s="426"/>
      <c r="H588" s="304">
        <f>SUM(H590:H611)</f>
        <v>1098050</v>
      </c>
      <c r="J588" s="425" t="s">
        <v>1491</v>
      </c>
      <c r="K588" s="426"/>
      <c r="L588" s="304" t="e">
        <f>SUM(L590:L611)</f>
        <v>#VALUE!</v>
      </c>
    </row>
    <row r="589" spans="1:13" ht="13">
      <c r="A589" s="2" t="s">
        <v>4</v>
      </c>
      <c r="B589" s="305" t="s">
        <v>5</v>
      </c>
      <c r="C589" s="305" t="s">
        <v>11</v>
      </c>
      <c r="D589" s="305" t="s">
        <v>12</v>
      </c>
      <c r="E589" s="306" t="s">
        <v>6</v>
      </c>
      <c r="F589" s="307" t="s">
        <v>1494</v>
      </c>
      <c r="G589" s="308" t="s">
        <v>10</v>
      </c>
      <c r="H589" s="309" t="s">
        <v>1495</v>
      </c>
      <c r="I589" s="310" t="s">
        <v>1289</v>
      </c>
      <c r="J589" s="311" t="s">
        <v>1496</v>
      </c>
      <c r="K589" s="312" t="s">
        <v>1497</v>
      </c>
      <c r="L589" s="313" t="s">
        <v>1498</v>
      </c>
      <c r="M589" s="314" t="s">
        <v>16</v>
      </c>
    </row>
    <row r="590" spans="1:13" ht="13">
      <c r="A590" s="316" t="s">
        <v>782</v>
      </c>
      <c r="B590" s="316" t="s">
        <v>1973</v>
      </c>
      <c r="C590" s="316" t="s">
        <v>1973</v>
      </c>
      <c r="D590" s="316" t="s">
        <v>1973</v>
      </c>
      <c r="E590" s="317" t="s">
        <v>1973</v>
      </c>
      <c r="F590" s="318">
        <v>1</v>
      </c>
      <c r="G590" s="354" t="s">
        <v>62</v>
      </c>
      <c r="H590" s="320">
        <v>12000</v>
      </c>
      <c r="I590" s="393" t="b">
        <v>1</v>
      </c>
      <c r="J590" s="322">
        <v>1</v>
      </c>
      <c r="K590" s="323" t="s">
        <v>1973</v>
      </c>
      <c r="L590" s="371" t="e">
        <f t="shared" ref="L590:L611" si="16">J590*K590</f>
        <v>#VALUE!</v>
      </c>
      <c r="M590" s="325"/>
    </row>
    <row r="591" spans="1:13" ht="13">
      <c r="A591" s="316" t="s">
        <v>1670</v>
      </c>
      <c r="B591" s="316" t="s">
        <v>1973</v>
      </c>
      <c r="C591" s="316" t="s">
        <v>1973</v>
      </c>
      <c r="D591" s="316" t="s">
        <v>1973</v>
      </c>
      <c r="E591" s="317" t="s">
        <v>1973</v>
      </c>
      <c r="F591" s="318">
        <v>1</v>
      </c>
      <c r="G591" s="354" t="s">
        <v>62</v>
      </c>
      <c r="H591" s="320">
        <v>10350</v>
      </c>
      <c r="I591" s="319" t="b">
        <v>0</v>
      </c>
      <c r="J591" s="372"/>
      <c r="K591" s="373" t="s">
        <v>1973</v>
      </c>
      <c r="L591" s="374" t="e">
        <f t="shared" si="16"/>
        <v>#VALUE!</v>
      </c>
      <c r="M591" s="325"/>
    </row>
    <row r="592" spans="1:13" ht="13">
      <c r="A592" s="316" t="s">
        <v>1607</v>
      </c>
      <c r="B592" s="316" t="s">
        <v>1973</v>
      </c>
      <c r="C592" s="316" t="s">
        <v>1973</v>
      </c>
      <c r="D592" s="316" t="s">
        <v>1973</v>
      </c>
      <c r="E592" s="317" t="s">
        <v>1973</v>
      </c>
      <c r="F592" s="318">
        <v>1</v>
      </c>
      <c r="G592" s="354" t="s">
        <v>62</v>
      </c>
      <c r="H592" s="320">
        <v>10050</v>
      </c>
      <c r="I592" s="319" t="b">
        <v>0</v>
      </c>
      <c r="J592" s="372"/>
      <c r="K592" s="373" t="s">
        <v>1973</v>
      </c>
      <c r="L592" s="374" t="e">
        <f t="shared" si="16"/>
        <v>#VALUE!</v>
      </c>
      <c r="M592" s="325"/>
    </row>
    <row r="593" spans="1:13" ht="13">
      <c r="A593" s="316" t="s">
        <v>919</v>
      </c>
      <c r="B593" s="316" t="s">
        <v>1973</v>
      </c>
      <c r="C593" s="316" t="s">
        <v>1973</v>
      </c>
      <c r="D593" s="316" t="s">
        <v>1973</v>
      </c>
      <c r="E593" s="317" t="s">
        <v>1973</v>
      </c>
      <c r="F593" s="318">
        <v>4</v>
      </c>
      <c r="G593" s="354" t="s">
        <v>62</v>
      </c>
      <c r="H593" s="320">
        <v>39600</v>
      </c>
      <c r="I593" s="395" t="b">
        <v>1</v>
      </c>
      <c r="J593" s="322">
        <v>2</v>
      </c>
      <c r="K593" s="323">
        <v>8800</v>
      </c>
      <c r="L593" s="380">
        <f t="shared" si="16"/>
        <v>17600</v>
      </c>
      <c r="M593" s="325" t="s">
        <v>1745</v>
      </c>
    </row>
    <row r="594" spans="1:13" ht="13">
      <c r="A594" s="18" t="s">
        <v>1609</v>
      </c>
      <c r="B594" s="316" t="s">
        <v>1973</v>
      </c>
      <c r="C594" s="316" t="s">
        <v>1973</v>
      </c>
      <c r="D594" s="316" t="s">
        <v>1973</v>
      </c>
      <c r="E594" s="317" t="s">
        <v>1973</v>
      </c>
      <c r="F594" s="318">
        <v>4</v>
      </c>
      <c r="G594" s="354" t="s">
        <v>36</v>
      </c>
      <c r="H594" s="320">
        <v>160000</v>
      </c>
      <c r="I594" s="395" t="b">
        <v>1</v>
      </c>
      <c r="J594" s="322">
        <v>4</v>
      </c>
      <c r="K594" s="323">
        <v>39000</v>
      </c>
      <c r="L594" s="380">
        <f t="shared" si="16"/>
        <v>156000</v>
      </c>
      <c r="M594" s="325" t="s">
        <v>1745</v>
      </c>
    </row>
    <row r="595" spans="1:13" ht="13">
      <c r="A595" s="316" t="s">
        <v>1610</v>
      </c>
      <c r="B595" s="316" t="s">
        <v>1973</v>
      </c>
      <c r="C595" s="316" t="s">
        <v>1973</v>
      </c>
      <c r="D595" s="316" t="s">
        <v>1973</v>
      </c>
      <c r="E595" s="317" t="s">
        <v>1973</v>
      </c>
      <c r="F595" s="318">
        <v>2</v>
      </c>
      <c r="G595" s="354" t="s">
        <v>36</v>
      </c>
      <c r="H595" s="320">
        <v>16000</v>
      </c>
      <c r="I595" s="395" t="b">
        <v>1</v>
      </c>
      <c r="J595" s="322">
        <v>2</v>
      </c>
      <c r="K595" s="323">
        <v>9000</v>
      </c>
      <c r="L595" s="379">
        <f t="shared" si="16"/>
        <v>18000</v>
      </c>
      <c r="M595" s="325" t="s">
        <v>1745</v>
      </c>
    </row>
    <row r="596" spans="1:13" ht="13">
      <c r="A596" s="316" t="s">
        <v>1611</v>
      </c>
      <c r="B596" s="316" t="s">
        <v>1973</v>
      </c>
      <c r="C596" s="316" t="s">
        <v>1973</v>
      </c>
      <c r="D596" s="316" t="s">
        <v>1973</v>
      </c>
      <c r="E596" s="317" t="s">
        <v>1973</v>
      </c>
      <c r="F596" s="318">
        <v>2</v>
      </c>
      <c r="G596" s="354" t="s">
        <v>36</v>
      </c>
      <c r="H596" s="320">
        <v>80000</v>
      </c>
      <c r="I596" s="395" t="b">
        <v>1</v>
      </c>
      <c r="J596" s="322">
        <v>2</v>
      </c>
      <c r="K596" s="323">
        <v>45000</v>
      </c>
      <c r="L596" s="379">
        <f t="shared" si="16"/>
        <v>90000</v>
      </c>
      <c r="M596" s="325" t="s">
        <v>1745</v>
      </c>
    </row>
    <row r="597" spans="1:13" ht="13">
      <c r="A597" s="316" t="s">
        <v>1707</v>
      </c>
      <c r="B597" s="316" t="s">
        <v>1973</v>
      </c>
      <c r="C597" s="316" t="s">
        <v>1973</v>
      </c>
      <c r="D597" s="316" t="s">
        <v>1973</v>
      </c>
      <c r="E597" s="317" t="s">
        <v>1973</v>
      </c>
      <c r="F597" s="318">
        <v>0.25</v>
      </c>
      <c r="G597" s="354" t="s">
        <v>36</v>
      </c>
      <c r="H597" s="320">
        <v>7000</v>
      </c>
      <c r="I597" s="395" t="b">
        <v>1</v>
      </c>
      <c r="J597" s="322">
        <v>0.5</v>
      </c>
      <c r="K597" s="323">
        <v>90000</v>
      </c>
      <c r="L597" s="379">
        <f t="shared" si="16"/>
        <v>45000</v>
      </c>
      <c r="M597" s="325" t="s">
        <v>1745</v>
      </c>
    </row>
    <row r="598" spans="1:13" ht="13">
      <c r="A598" s="316" t="s">
        <v>675</v>
      </c>
      <c r="B598" s="316" t="s">
        <v>1973</v>
      </c>
      <c r="C598" s="316" t="s">
        <v>1973</v>
      </c>
      <c r="D598" s="316" t="s">
        <v>1973</v>
      </c>
      <c r="E598" s="317" t="s">
        <v>1973</v>
      </c>
      <c r="F598" s="318">
        <v>10</v>
      </c>
      <c r="G598" s="354" t="s">
        <v>62</v>
      </c>
      <c r="H598" s="320">
        <v>35000</v>
      </c>
      <c r="I598" s="393" t="b">
        <v>1</v>
      </c>
      <c r="J598" s="322">
        <v>10</v>
      </c>
      <c r="K598" s="323" t="s">
        <v>1973</v>
      </c>
      <c r="L598" s="371" t="e">
        <f t="shared" si="16"/>
        <v>#VALUE!</v>
      </c>
      <c r="M598" s="325"/>
    </row>
    <row r="599" spans="1:13" ht="13">
      <c r="A599" s="316" t="s">
        <v>712</v>
      </c>
      <c r="B599" s="316" t="s">
        <v>1973</v>
      </c>
      <c r="C599" s="316" t="s">
        <v>1973</v>
      </c>
      <c r="D599" s="316" t="s">
        <v>1973</v>
      </c>
      <c r="E599" s="317" t="s">
        <v>1973</v>
      </c>
      <c r="F599" s="318">
        <v>1</v>
      </c>
      <c r="G599" s="354" t="s">
        <v>36</v>
      </c>
      <c r="H599" s="320">
        <v>24000</v>
      </c>
      <c r="I599" s="393" t="b">
        <v>1</v>
      </c>
      <c r="J599" s="322">
        <v>1</v>
      </c>
      <c r="K599" s="323" t="s">
        <v>1973</v>
      </c>
      <c r="L599" s="371" t="e">
        <f t="shared" si="16"/>
        <v>#VALUE!</v>
      </c>
      <c r="M599" s="325"/>
    </row>
    <row r="600" spans="1:13" ht="13">
      <c r="A600" s="316" t="s">
        <v>732</v>
      </c>
      <c r="B600" s="316" t="s">
        <v>1973</v>
      </c>
      <c r="C600" s="316" t="s">
        <v>1973</v>
      </c>
      <c r="D600" s="316" t="s">
        <v>1973</v>
      </c>
      <c r="E600" s="317" t="s">
        <v>1973</v>
      </c>
      <c r="F600" s="318">
        <v>2</v>
      </c>
      <c r="G600" s="354" t="s">
        <v>36</v>
      </c>
      <c r="H600" s="320">
        <v>44000</v>
      </c>
      <c r="I600" s="393" t="b">
        <v>1</v>
      </c>
      <c r="J600" s="322">
        <v>2</v>
      </c>
      <c r="K600" s="323" t="s">
        <v>1973</v>
      </c>
      <c r="L600" s="371" t="e">
        <f t="shared" si="16"/>
        <v>#VALUE!</v>
      </c>
      <c r="M600" s="325"/>
    </row>
    <row r="601" spans="1:13" ht="13">
      <c r="A601" s="316" t="s">
        <v>744</v>
      </c>
      <c r="B601" s="316" t="s">
        <v>1973</v>
      </c>
      <c r="C601" s="316" t="s">
        <v>1973</v>
      </c>
      <c r="D601" s="316" t="s">
        <v>1973</v>
      </c>
      <c r="E601" s="317" t="s">
        <v>1973</v>
      </c>
      <c r="F601" s="318">
        <v>1</v>
      </c>
      <c r="G601" s="354" t="s">
        <v>36</v>
      </c>
      <c r="H601" s="320">
        <v>44000</v>
      </c>
      <c r="I601" s="395" t="b">
        <v>1</v>
      </c>
      <c r="J601" s="322">
        <v>1</v>
      </c>
      <c r="K601" s="323">
        <v>60000</v>
      </c>
      <c r="L601" s="379">
        <f t="shared" si="16"/>
        <v>60000</v>
      </c>
      <c r="M601" s="325" t="s">
        <v>1745</v>
      </c>
    </row>
    <row r="602" spans="1:13" ht="13">
      <c r="A602" s="316" t="s">
        <v>819</v>
      </c>
      <c r="B602" s="316" t="s">
        <v>1973</v>
      </c>
      <c r="C602" s="316" t="s">
        <v>1973</v>
      </c>
      <c r="D602" s="316" t="s">
        <v>1973</v>
      </c>
      <c r="E602" s="317" t="s">
        <v>1973</v>
      </c>
      <c r="F602" s="318">
        <v>0.5</v>
      </c>
      <c r="G602" s="354" t="s">
        <v>36</v>
      </c>
      <c r="H602" s="320">
        <v>10000</v>
      </c>
      <c r="I602" s="395" t="b">
        <v>1</v>
      </c>
      <c r="J602" s="322">
        <v>0.25</v>
      </c>
      <c r="K602" s="323">
        <v>16000</v>
      </c>
      <c r="L602" s="380">
        <f t="shared" si="16"/>
        <v>4000</v>
      </c>
      <c r="M602" s="325" t="s">
        <v>1745</v>
      </c>
    </row>
    <row r="603" spans="1:13" ht="13">
      <c r="A603" s="316" t="s">
        <v>1501</v>
      </c>
      <c r="B603" s="316" t="s">
        <v>1973</v>
      </c>
      <c r="C603" s="316" t="s">
        <v>1973</v>
      </c>
      <c r="D603" s="316" t="s">
        <v>1973</v>
      </c>
      <c r="E603" s="317" t="s">
        <v>1973</v>
      </c>
      <c r="F603" s="318">
        <v>1</v>
      </c>
      <c r="G603" s="354" t="s">
        <v>36</v>
      </c>
      <c r="H603" s="320">
        <v>4050</v>
      </c>
      <c r="I603" s="319" t="b">
        <v>0</v>
      </c>
      <c r="J603" s="372"/>
      <c r="K603" s="373" t="e">
        <f>VLOOKUP($A603,'[1]Database Bahan &amp; Alat (Terupdat'!$B$50:$N$232,6,FALSE)</f>
        <v>#N/A</v>
      </c>
      <c r="L603" s="374" t="e">
        <f t="shared" si="16"/>
        <v>#N/A</v>
      </c>
      <c r="M603" s="325"/>
    </row>
    <row r="604" spans="1:13" ht="13">
      <c r="A604" s="316" t="s">
        <v>1608</v>
      </c>
      <c r="B604" s="316" t="s">
        <v>1973</v>
      </c>
      <c r="C604" s="316" t="s">
        <v>1973</v>
      </c>
      <c r="D604" s="316" t="s">
        <v>1973</v>
      </c>
      <c r="E604" s="317" t="s">
        <v>1973</v>
      </c>
      <c r="F604" s="318">
        <v>1</v>
      </c>
      <c r="G604" s="354" t="s">
        <v>36</v>
      </c>
      <c r="H604" s="320">
        <v>34000</v>
      </c>
      <c r="I604" s="395" t="b">
        <v>1</v>
      </c>
      <c r="J604" s="322">
        <v>1</v>
      </c>
      <c r="K604" s="323">
        <v>40000</v>
      </c>
      <c r="L604" s="379">
        <f t="shared" si="16"/>
        <v>40000</v>
      </c>
      <c r="M604" s="325" t="s">
        <v>1745</v>
      </c>
    </row>
    <row r="605" spans="1:13" ht="13">
      <c r="A605" s="316" t="s">
        <v>1671</v>
      </c>
      <c r="B605" s="316" t="s">
        <v>1973</v>
      </c>
      <c r="C605" s="316" t="s">
        <v>1973</v>
      </c>
      <c r="D605" s="316" t="s">
        <v>1973</v>
      </c>
      <c r="E605" s="317" t="s">
        <v>1973</v>
      </c>
      <c r="F605" s="318">
        <v>4</v>
      </c>
      <c r="G605" s="354" t="s">
        <v>36</v>
      </c>
      <c r="H605" s="320">
        <v>360000</v>
      </c>
      <c r="I605" s="395" t="b">
        <v>1</v>
      </c>
      <c r="J605" s="322">
        <v>4</v>
      </c>
      <c r="K605" s="323">
        <v>95000</v>
      </c>
      <c r="L605" s="379">
        <f t="shared" si="16"/>
        <v>380000</v>
      </c>
      <c r="M605" s="325" t="s">
        <v>1745</v>
      </c>
    </row>
    <row r="606" spans="1:13" ht="13">
      <c r="A606" s="316" t="s">
        <v>1020</v>
      </c>
      <c r="B606" s="316" t="s">
        <v>1973</v>
      </c>
      <c r="C606" s="316" t="s">
        <v>1973</v>
      </c>
      <c r="D606" s="316" t="s">
        <v>1973</v>
      </c>
      <c r="E606" s="317" t="s">
        <v>1973</v>
      </c>
      <c r="F606" s="318">
        <v>1</v>
      </c>
      <c r="G606" s="354" t="s">
        <v>36</v>
      </c>
      <c r="H606" s="320">
        <v>10000</v>
      </c>
      <c r="I606" s="395" t="b">
        <v>1</v>
      </c>
      <c r="J606" s="322">
        <v>1</v>
      </c>
      <c r="K606" s="323">
        <v>8000</v>
      </c>
      <c r="L606" s="380">
        <f t="shared" si="16"/>
        <v>8000</v>
      </c>
      <c r="M606" s="325" t="s">
        <v>1745</v>
      </c>
    </row>
    <row r="607" spans="1:13" ht="13">
      <c r="A607" s="316" t="s">
        <v>1751</v>
      </c>
      <c r="B607" s="316" t="s">
        <v>1973</v>
      </c>
      <c r="C607" s="316" t="s">
        <v>1973</v>
      </c>
      <c r="D607" s="316" t="s">
        <v>1973</v>
      </c>
      <c r="E607" s="317" t="s">
        <v>1973</v>
      </c>
      <c r="F607" s="318">
        <v>5</v>
      </c>
      <c r="G607" s="354" t="s">
        <v>36</v>
      </c>
      <c r="H607" s="320">
        <v>60000</v>
      </c>
      <c r="I607" s="393" t="b">
        <v>1</v>
      </c>
      <c r="J607" s="322">
        <v>5</v>
      </c>
      <c r="K607" s="323" t="e">
        <f>VLOOKUP($A607,'[1]Database Bahan &amp; Alat (Terupdat'!$B$50:$N$232,6,FALSE)</f>
        <v>#N/A</v>
      </c>
      <c r="L607" s="371" t="e">
        <f t="shared" si="16"/>
        <v>#N/A</v>
      </c>
      <c r="M607" s="325"/>
    </row>
    <row r="608" spans="1:13" ht="13">
      <c r="A608" s="316" t="s">
        <v>779</v>
      </c>
      <c r="B608" s="316" t="s">
        <v>1973</v>
      </c>
      <c r="C608" s="316" t="s">
        <v>1973</v>
      </c>
      <c r="D608" s="316" t="s">
        <v>1973</v>
      </c>
      <c r="E608" s="317" t="s">
        <v>1973</v>
      </c>
      <c r="F608" s="318">
        <v>2</v>
      </c>
      <c r="G608" s="354" t="s">
        <v>62</v>
      </c>
      <c r="H608" s="320">
        <v>77000</v>
      </c>
      <c r="I608" s="395" t="b">
        <v>1</v>
      </c>
      <c r="J608" s="322">
        <v>1</v>
      </c>
      <c r="K608" s="323">
        <v>48700</v>
      </c>
      <c r="L608" s="379">
        <f t="shared" si="16"/>
        <v>48700</v>
      </c>
      <c r="M608" s="325" t="s">
        <v>1745</v>
      </c>
    </row>
    <row r="609" spans="1:13" ht="13">
      <c r="A609" s="316" t="s">
        <v>1606</v>
      </c>
      <c r="B609" s="316" t="s">
        <v>1973</v>
      </c>
      <c r="C609" s="316" t="s">
        <v>1973</v>
      </c>
      <c r="D609" s="316" t="s">
        <v>1973</v>
      </c>
      <c r="E609" s="317" t="s">
        <v>1973</v>
      </c>
      <c r="F609" s="318">
        <v>0.5</v>
      </c>
      <c r="G609" s="354" t="s">
        <v>36</v>
      </c>
      <c r="H609" s="320">
        <v>17500</v>
      </c>
      <c r="I609" s="319" t="b">
        <v>0</v>
      </c>
      <c r="J609" s="372"/>
      <c r="K609" s="373" t="e">
        <f>VLOOKUP($A609,'[1]Database Bahan &amp; Alat (Terupdat'!$B$50:$N$232,6,FALSE)</f>
        <v>#N/A</v>
      </c>
      <c r="L609" s="374" t="e">
        <f t="shared" si="16"/>
        <v>#N/A</v>
      </c>
      <c r="M609" s="325"/>
    </row>
    <row r="610" spans="1:13" ht="13">
      <c r="A610" s="316" t="s">
        <v>643</v>
      </c>
      <c r="B610" s="316" t="s">
        <v>1973</v>
      </c>
      <c r="C610" s="316" t="s">
        <v>1973</v>
      </c>
      <c r="D610" s="316" t="s">
        <v>1973</v>
      </c>
      <c r="E610" s="317" t="s">
        <v>1973</v>
      </c>
      <c r="F610" s="318">
        <v>0.5</v>
      </c>
      <c r="G610" s="354" t="s">
        <v>36</v>
      </c>
      <c r="H610" s="320">
        <v>7500</v>
      </c>
      <c r="I610" s="395" t="b">
        <v>1</v>
      </c>
      <c r="J610" s="322">
        <v>1</v>
      </c>
      <c r="K610" s="323">
        <v>14000</v>
      </c>
      <c r="L610" s="380">
        <f t="shared" si="16"/>
        <v>14000</v>
      </c>
      <c r="M610" s="325" t="s">
        <v>1745</v>
      </c>
    </row>
    <row r="611" spans="1:13" ht="13">
      <c r="A611" s="316" t="s">
        <v>934</v>
      </c>
      <c r="B611" s="316" t="s">
        <v>1973</v>
      </c>
      <c r="C611" s="316" t="s">
        <v>1973</v>
      </c>
      <c r="D611" s="316" t="s">
        <v>1973</v>
      </c>
      <c r="E611" s="317" t="s">
        <v>1973</v>
      </c>
      <c r="F611" s="318">
        <v>4</v>
      </c>
      <c r="G611" s="354" t="s">
        <v>62</v>
      </c>
      <c r="H611" s="320">
        <v>36000</v>
      </c>
      <c r="I611" s="395" t="b">
        <v>1</v>
      </c>
      <c r="J611" s="322">
        <v>3</v>
      </c>
      <c r="K611" s="323">
        <v>8600</v>
      </c>
      <c r="L611" s="380">
        <f t="shared" si="16"/>
        <v>25800</v>
      </c>
      <c r="M611" s="325" t="s">
        <v>1745</v>
      </c>
    </row>
    <row r="613" spans="1:13" ht="13">
      <c r="F613" s="429">
        <v>44558</v>
      </c>
      <c r="G613" s="428"/>
      <c r="H613" s="424"/>
      <c r="J613" s="429">
        <f>F613+1</f>
        <v>44559</v>
      </c>
      <c r="K613" s="428"/>
      <c r="L613" s="424"/>
    </row>
    <row r="614" spans="1:13" ht="13">
      <c r="F614" s="425" t="s">
        <v>1490</v>
      </c>
      <c r="G614" s="426"/>
      <c r="H614" s="304">
        <f>SUM(H616:H686)</f>
        <v>8366902</v>
      </c>
      <c r="J614" s="425" t="s">
        <v>1491</v>
      </c>
      <c r="K614" s="426"/>
      <c r="L614" s="304" t="e">
        <f>SUM(L616:L686)</f>
        <v>#VALUE!</v>
      </c>
    </row>
    <row r="615" spans="1:13" ht="13">
      <c r="A615" s="2" t="s">
        <v>4</v>
      </c>
      <c r="B615" s="305" t="s">
        <v>5</v>
      </c>
      <c r="C615" s="305" t="s">
        <v>11</v>
      </c>
      <c r="D615" s="305" t="s">
        <v>12</v>
      </c>
      <c r="E615" s="306" t="s">
        <v>6</v>
      </c>
      <c r="F615" s="307" t="s">
        <v>1494</v>
      </c>
      <c r="G615" s="308" t="s">
        <v>10</v>
      </c>
      <c r="H615" s="309" t="s">
        <v>1495</v>
      </c>
      <c r="I615" s="310" t="s">
        <v>1289</v>
      </c>
      <c r="J615" s="311" t="s">
        <v>1496</v>
      </c>
      <c r="K615" s="312" t="s">
        <v>1497</v>
      </c>
      <c r="L615" s="313" t="s">
        <v>1498</v>
      </c>
      <c r="M615" s="314" t="s">
        <v>16</v>
      </c>
    </row>
    <row r="616" spans="1:13" ht="13">
      <c r="A616" s="18" t="s">
        <v>1099</v>
      </c>
      <c r="B616" s="316" t="s">
        <v>1973</v>
      </c>
      <c r="C616" s="316" t="s">
        <v>1973</v>
      </c>
      <c r="D616" s="316" t="s">
        <v>1973</v>
      </c>
      <c r="E616" s="317" t="s">
        <v>1973</v>
      </c>
      <c r="F616" s="318">
        <v>2</v>
      </c>
      <c r="G616" s="354" t="s">
        <v>36</v>
      </c>
      <c r="H616" s="320">
        <v>260000</v>
      </c>
      <c r="I616" s="319" t="b">
        <v>0</v>
      </c>
      <c r="J616" s="372"/>
      <c r="K616" s="373" t="s">
        <v>1973</v>
      </c>
      <c r="L616" s="374" t="e">
        <f t="shared" ref="L616:L686" si="17">J616*K616</f>
        <v>#VALUE!</v>
      </c>
      <c r="M616" s="325"/>
    </row>
    <row r="617" spans="1:13" ht="13">
      <c r="A617" s="316" t="s">
        <v>544</v>
      </c>
      <c r="B617" s="316" t="s">
        <v>1973</v>
      </c>
      <c r="C617" s="316" t="s">
        <v>1973</v>
      </c>
      <c r="D617" s="316" t="s">
        <v>1973</v>
      </c>
      <c r="E617" s="317" t="s">
        <v>1973</v>
      </c>
      <c r="F617" s="318">
        <v>4</v>
      </c>
      <c r="G617" s="354" t="s">
        <v>62</v>
      </c>
      <c r="H617" s="320">
        <v>84800</v>
      </c>
      <c r="I617" s="393" t="b">
        <v>1</v>
      </c>
      <c r="J617" s="322">
        <v>4</v>
      </c>
      <c r="K617" s="323" t="s">
        <v>1973</v>
      </c>
      <c r="L617" s="371" t="e">
        <f t="shared" si="17"/>
        <v>#VALUE!</v>
      </c>
      <c r="M617" s="325"/>
    </row>
    <row r="618" spans="1:13" ht="13">
      <c r="A618" s="316" t="s">
        <v>586</v>
      </c>
      <c r="B618" s="316" t="s">
        <v>1973</v>
      </c>
      <c r="C618" s="316" t="s">
        <v>1973</v>
      </c>
      <c r="D618" s="316" t="s">
        <v>1973</v>
      </c>
      <c r="E618" s="317" t="s">
        <v>1973</v>
      </c>
      <c r="F618" s="318">
        <v>2</v>
      </c>
      <c r="G618" s="354" t="s">
        <v>62</v>
      </c>
      <c r="H618" s="320">
        <v>14400</v>
      </c>
      <c r="I618" s="395" t="b">
        <v>1</v>
      </c>
      <c r="J618" s="322">
        <v>2</v>
      </c>
      <c r="K618" s="323">
        <v>6500</v>
      </c>
      <c r="L618" s="380">
        <f t="shared" si="17"/>
        <v>13000</v>
      </c>
      <c r="M618" s="325" t="s">
        <v>1745</v>
      </c>
    </row>
    <row r="619" spans="1:13" ht="13">
      <c r="A619" s="316" t="s">
        <v>627</v>
      </c>
      <c r="B619" s="316" t="s">
        <v>1973</v>
      </c>
      <c r="C619" s="316" t="s">
        <v>1973</v>
      </c>
      <c r="D619" s="316" t="s">
        <v>1973</v>
      </c>
      <c r="E619" s="317" t="s">
        <v>1973</v>
      </c>
      <c r="F619" s="318">
        <v>2</v>
      </c>
      <c r="G619" s="354" t="s">
        <v>36</v>
      </c>
      <c r="H619" s="320">
        <v>63800</v>
      </c>
      <c r="I619" s="395" t="b">
        <v>1</v>
      </c>
      <c r="J619" s="322">
        <v>1.5649999999999999</v>
      </c>
      <c r="K619" s="323">
        <v>48.9</v>
      </c>
      <c r="L619" s="379">
        <f t="shared" si="17"/>
        <v>76.528499999999994</v>
      </c>
      <c r="M619" s="325" t="s">
        <v>1745</v>
      </c>
    </row>
    <row r="620" spans="1:13" ht="13">
      <c r="A620" s="316" t="s">
        <v>1655</v>
      </c>
      <c r="B620" s="316" t="s">
        <v>1973</v>
      </c>
      <c r="C620" s="316" t="s">
        <v>1973</v>
      </c>
      <c r="D620" s="316" t="s">
        <v>1973</v>
      </c>
      <c r="E620" s="317" t="s">
        <v>1973</v>
      </c>
      <c r="F620" s="318">
        <v>1</v>
      </c>
      <c r="G620" s="354" t="s">
        <v>62</v>
      </c>
      <c r="H620" s="320">
        <v>13000</v>
      </c>
      <c r="I620" s="393" t="b">
        <v>1</v>
      </c>
      <c r="J620" s="322">
        <v>1</v>
      </c>
      <c r="K620" s="323" t="s">
        <v>1973</v>
      </c>
      <c r="L620" s="371" t="e">
        <f t="shared" si="17"/>
        <v>#VALUE!</v>
      </c>
      <c r="M620" s="325"/>
    </row>
    <row r="621" spans="1:13" ht="13">
      <c r="A621" s="316" t="s">
        <v>1598</v>
      </c>
      <c r="B621" s="316" t="s">
        <v>1973</v>
      </c>
      <c r="C621" s="316" t="s">
        <v>1973</v>
      </c>
      <c r="D621" s="316" t="s">
        <v>1973</v>
      </c>
      <c r="E621" s="317" t="s">
        <v>1973</v>
      </c>
      <c r="F621" s="318">
        <v>3</v>
      </c>
      <c r="G621" s="354" t="s">
        <v>97</v>
      </c>
      <c r="H621" s="320">
        <v>31200</v>
      </c>
      <c r="I621" s="393" t="b">
        <v>1</v>
      </c>
      <c r="J621" s="322">
        <v>3</v>
      </c>
      <c r="K621" s="323" t="s">
        <v>1973</v>
      </c>
      <c r="L621" s="371" t="e">
        <f t="shared" si="17"/>
        <v>#VALUE!</v>
      </c>
      <c r="M621" s="325"/>
    </row>
    <row r="622" spans="1:13" ht="13">
      <c r="A622" s="316" t="s">
        <v>770</v>
      </c>
      <c r="B622" s="316" t="s">
        <v>1973</v>
      </c>
      <c r="C622" s="316" t="s">
        <v>1973</v>
      </c>
      <c r="D622" s="316" t="s">
        <v>1973</v>
      </c>
      <c r="E622" s="317" t="s">
        <v>1973</v>
      </c>
      <c r="F622" s="318">
        <v>2</v>
      </c>
      <c r="G622" s="354" t="s">
        <v>97</v>
      </c>
      <c r="H622" s="320">
        <v>48800</v>
      </c>
      <c r="I622" s="319" t="b">
        <v>0</v>
      </c>
      <c r="J622" s="372"/>
      <c r="K622" s="373" t="s">
        <v>1973</v>
      </c>
      <c r="L622" s="374" t="e">
        <f t="shared" si="17"/>
        <v>#VALUE!</v>
      </c>
      <c r="M622" s="325"/>
    </row>
    <row r="623" spans="1:13" ht="13">
      <c r="A623" s="316" t="s">
        <v>1670</v>
      </c>
      <c r="B623" s="316" t="s">
        <v>1973</v>
      </c>
      <c r="C623" s="316" t="s">
        <v>1973</v>
      </c>
      <c r="D623" s="316" t="s">
        <v>1973</v>
      </c>
      <c r="E623" s="317" t="s">
        <v>1973</v>
      </c>
      <c r="F623" s="318">
        <v>1</v>
      </c>
      <c r="G623" s="354" t="s">
        <v>62</v>
      </c>
      <c r="H623" s="320">
        <v>10350</v>
      </c>
      <c r="I623" s="395" t="b">
        <v>1</v>
      </c>
      <c r="J623" s="322">
        <v>1</v>
      </c>
      <c r="K623" s="323">
        <v>11500</v>
      </c>
      <c r="L623" s="379">
        <f t="shared" si="17"/>
        <v>11500</v>
      </c>
      <c r="M623" s="325" t="s">
        <v>1745</v>
      </c>
    </row>
    <row r="624" spans="1:13" ht="13">
      <c r="A624" s="316" t="s">
        <v>937</v>
      </c>
      <c r="B624" s="316" t="s">
        <v>1973</v>
      </c>
      <c r="C624" s="316" t="s">
        <v>1973</v>
      </c>
      <c r="D624" s="316" t="s">
        <v>1973</v>
      </c>
      <c r="E624" s="317" t="s">
        <v>1973</v>
      </c>
      <c r="F624" s="318">
        <v>1</v>
      </c>
      <c r="G624" s="354" t="s">
        <v>62</v>
      </c>
      <c r="H624" s="320">
        <v>7200</v>
      </c>
      <c r="I624" s="319" t="b">
        <v>0</v>
      </c>
      <c r="J624" s="372"/>
      <c r="K624" s="373" t="e">
        <f>VLOOKUP($A624,'[1]Database Bahan &amp; Alat (Terupdat'!$B$50:$N$232,6,FALSE)</f>
        <v>#N/A</v>
      </c>
      <c r="L624" s="374" t="e">
        <f t="shared" si="17"/>
        <v>#N/A</v>
      </c>
      <c r="M624" s="325"/>
    </row>
    <row r="625" spans="1:13" ht="13">
      <c r="A625" s="316" t="s">
        <v>1041</v>
      </c>
      <c r="B625" s="316" t="s">
        <v>1973</v>
      </c>
      <c r="C625" s="316" t="s">
        <v>1973</v>
      </c>
      <c r="D625" s="316" t="s">
        <v>1973</v>
      </c>
      <c r="E625" s="317" t="s">
        <v>1973</v>
      </c>
      <c r="F625" s="318">
        <v>1</v>
      </c>
      <c r="G625" s="354" t="s">
        <v>62</v>
      </c>
      <c r="H625" s="320">
        <v>12800</v>
      </c>
      <c r="I625" s="395" t="b">
        <v>1</v>
      </c>
      <c r="J625" s="322">
        <v>1</v>
      </c>
      <c r="K625" s="323">
        <v>11300</v>
      </c>
      <c r="L625" s="380">
        <f t="shared" si="17"/>
        <v>11300</v>
      </c>
      <c r="M625" s="325" t="s">
        <v>1745</v>
      </c>
    </row>
    <row r="626" spans="1:13" ht="13">
      <c r="A626" s="316" t="s">
        <v>1043</v>
      </c>
      <c r="B626" s="316" t="s">
        <v>1973</v>
      </c>
      <c r="C626" s="316" t="s">
        <v>1973</v>
      </c>
      <c r="D626" s="316" t="s">
        <v>1973</v>
      </c>
      <c r="E626" s="317" t="s">
        <v>1973</v>
      </c>
      <c r="F626" s="318">
        <v>2</v>
      </c>
      <c r="G626" s="354" t="s">
        <v>50</v>
      </c>
      <c r="H626" s="320">
        <v>64400</v>
      </c>
      <c r="I626" s="395" t="b">
        <v>1</v>
      </c>
      <c r="J626" s="322">
        <v>1</v>
      </c>
      <c r="K626" s="323">
        <f>30800+32200</f>
        <v>63000</v>
      </c>
      <c r="L626" s="380">
        <f t="shared" si="17"/>
        <v>63000</v>
      </c>
      <c r="M626" s="325" t="s">
        <v>1745</v>
      </c>
    </row>
    <row r="627" spans="1:13" ht="13">
      <c r="A627" s="316" t="s">
        <v>524</v>
      </c>
      <c r="B627" s="316" t="s">
        <v>1973</v>
      </c>
      <c r="C627" s="316" t="s">
        <v>1973</v>
      </c>
      <c r="D627" s="316" t="s">
        <v>1973</v>
      </c>
      <c r="E627" s="317" t="s">
        <v>1973</v>
      </c>
      <c r="F627" s="318">
        <v>8</v>
      </c>
      <c r="G627" s="354" t="s">
        <v>108</v>
      </c>
      <c r="H627" s="320">
        <v>120000</v>
      </c>
      <c r="I627" s="319" t="b">
        <v>0</v>
      </c>
      <c r="J627" s="372"/>
      <c r="K627" s="373" t="s">
        <v>1973</v>
      </c>
      <c r="L627" s="374" t="e">
        <f t="shared" si="17"/>
        <v>#VALUE!</v>
      </c>
      <c r="M627" s="325"/>
    </row>
    <row r="628" spans="1:13" ht="13">
      <c r="A628" s="316" t="s">
        <v>851</v>
      </c>
      <c r="B628" s="316" t="s">
        <v>1973</v>
      </c>
      <c r="C628" s="316" t="s">
        <v>1973</v>
      </c>
      <c r="D628" s="316" t="s">
        <v>1973</v>
      </c>
      <c r="E628" s="317" t="s">
        <v>1973</v>
      </c>
      <c r="F628" s="318">
        <v>3</v>
      </c>
      <c r="G628" s="354" t="s">
        <v>143</v>
      </c>
      <c r="H628" s="320">
        <v>90000</v>
      </c>
      <c r="I628" s="319" t="b">
        <v>0</v>
      </c>
      <c r="J628" s="372"/>
      <c r="K628" s="373" t="s">
        <v>1973</v>
      </c>
      <c r="L628" s="374" t="e">
        <f t="shared" si="17"/>
        <v>#VALUE!</v>
      </c>
      <c r="M628" s="325"/>
    </row>
    <row r="629" spans="1:13" ht="13">
      <c r="A629" s="316" t="s">
        <v>574</v>
      </c>
      <c r="B629" s="316" t="s">
        <v>1973</v>
      </c>
      <c r="C629" s="316" t="s">
        <v>1973</v>
      </c>
      <c r="D629" s="316" t="s">
        <v>1973</v>
      </c>
      <c r="E629" s="317" t="s">
        <v>1973</v>
      </c>
      <c r="F629" s="318">
        <v>1</v>
      </c>
      <c r="G629" s="354" t="s">
        <v>62</v>
      </c>
      <c r="H629" s="320">
        <v>170000</v>
      </c>
      <c r="I629" s="319" t="b">
        <v>0</v>
      </c>
      <c r="J629" s="372"/>
      <c r="K629" s="373" t="s">
        <v>1973</v>
      </c>
      <c r="L629" s="374" t="e">
        <f t="shared" si="17"/>
        <v>#VALUE!</v>
      </c>
      <c r="M629" s="325"/>
    </row>
    <row r="630" spans="1:13" ht="13">
      <c r="A630" s="316" t="s">
        <v>578</v>
      </c>
      <c r="B630" s="316" t="s">
        <v>1973</v>
      </c>
      <c r="C630" s="316" t="s">
        <v>1973</v>
      </c>
      <c r="D630" s="316" t="s">
        <v>1973</v>
      </c>
      <c r="E630" s="317" t="s">
        <v>1973</v>
      </c>
      <c r="F630" s="318">
        <v>3</v>
      </c>
      <c r="G630" s="354" t="s">
        <v>62</v>
      </c>
      <c r="H630" s="320">
        <v>660000</v>
      </c>
      <c r="I630" s="319" t="b">
        <v>0</v>
      </c>
      <c r="J630" s="372"/>
      <c r="K630" s="373" t="s">
        <v>1973</v>
      </c>
      <c r="L630" s="374" t="e">
        <f t="shared" si="17"/>
        <v>#VALUE!</v>
      </c>
      <c r="M630" s="325"/>
    </row>
    <row r="631" spans="1:13" ht="13">
      <c r="A631" s="316" t="s">
        <v>958</v>
      </c>
      <c r="B631" s="316" t="s">
        <v>1973</v>
      </c>
      <c r="C631" s="316" t="s">
        <v>1973</v>
      </c>
      <c r="D631" s="316" t="s">
        <v>1973</v>
      </c>
      <c r="E631" s="317" t="s">
        <v>1973</v>
      </c>
      <c r="F631" s="318">
        <v>1</v>
      </c>
      <c r="G631" s="354" t="s">
        <v>97</v>
      </c>
      <c r="H631" s="320">
        <v>129000</v>
      </c>
      <c r="I631" s="319" t="b">
        <v>0</v>
      </c>
      <c r="J631" s="372"/>
      <c r="K631" s="373" t="s">
        <v>1973</v>
      </c>
      <c r="L631" s="374" t="e">
        <f t="shared" si="17"/>
        <v>#VALUE!</v>
      </c>
      <c r="M631" s="325"/>
    </row>
    <row r="632" spans="1:13" ht="13">
      <c r="A632" s="316" t="s">
        <v>967</v>
      </c>
      <c r="B632" s="316" t="s">
        <v>1973</v>
      </c>
      <c r="C632" s="316" t="s">
        <v>1973</v>
      </c>
      <c r="D632" s="316" t="s">
        <v>1973</v>
      </c>
      <c r="E632" s="317" t="s">
        <v>1973</v>
      </c>
      <c r="F632" s="318">
        <v>1</v>
      </c>
      <c r="G632" s="354" t="s">
        <v>97</v>
      </c>
      <c r="H632" s="320">
        <v>129000</v>
      </c>
      <c r="I632" s="319" t="b">
        <v>0</v>
      </c>
      <c r="J632" s="372"/>
      <c r="K632" s="373" t="s">
        <v>1973</v>
      </c>
      <c r="L632" s="374" t="e">
        <f t="shared" si="17"/>
        <v>#VALUE!</v>
      </c>
      <c r="M632" s="325"/>
    </row>
    <row r="633" spans="1:13" ht="13">
      <c r="A633" s="316" t="s">
        <v>1504</v>
      </c>
      <c r="B633" s="316" t="s">
        <v>1973</v>
      </c>
      <c r="C633" s="316" t="s">
        <v>1973</v>
      </c>
      <c r="D633" s="316" t="s">
        <v>1973</v>
      </c>
      <c r="E633" s="317" t="s">
        <v>1973</v>
      </c>
      <c r="F633" s="318">
        <v>1</v>
      </c>
      <c r="G633" s="354" t="s">
        <v>97</v>
      </c>
      <c r="H633" s="320">
        <v>128700</v>
      </c>
      <c r="I633" s="319" t="b">
        <v>0</v>
      </c>
      <c r="J633" s="372"/>
      <c r="K633" s="373" t="s">
        <v>1973</v>
      </c>
      <c r="L633" s="374" t="e">
        <f t="shared" si="17"/>
        <v>#VALUE!</v>
      </c>
      <c r="M633" s="325"/>
    </row>
    <row r="634" spans="1:13" ht="13">
      <c r="A634" s="316" t="s">
        <v>1505</v>
      </c>
      <c r="B634" s="316" t="s">
        <v>1973</v>
      </c>
      <c r="C634" s="316" t="s">
        <v>1973</v>
      </c>
      <c r="D634" s="316" t="s">
        <v>1973</v>
      </c>
      <c r="E634" s="317" t="s">
        <v>1973</v>
      </c>
      <c r="F634" s="318">
        <v>2</v>
      </c>
      <c r="G634" s="354" t="s">
        <v>97</v>
      </c>
      <c r="H634" s="320">
        <v>257400</v>
      </c>
      <c r="I634" s="319" t="b">
        <v>0</v>
      </c>
      <c r="J634" s="372"/>
      <c r="K634" s="373" t="s">
        <v>1973</v>
      </c>
      <c r="L634" s="374" t="e">
        <f t="shared" si="17"/>
        <v>#VALUE!</v>
      </c>
      <c r="M634" s="325"/>
    </row>
    <row r="635" spans="1:13" ht="13">
      <c r="A635" s="316" t="s">
        <v>1506</v>
      </c>
      <c r="B635" s="316" t="s">
        <v>1973</v>
      </c>
      <c r="C635" s="316" t="s">
        <v>1973</v>
      </c>
      <c r="D635" s="316" t="s">
        <v>1973</v>
      </c>
      <c r="E635" s="317" t="s">
        <v>1973</v>
      </c>
      <c r="F635" s="318">
        <v>1</v>
      </c>
      <c r="G635" s="354" t="s">
        <v>97</v>
      </c>
      <c r="H635" s="320">
        <v>128700</v>
      </c>
      <c r="I635" s="319" t="b">
        <v>0</v>
      </c>
      <c r="J635" s="372"/>
      <c r="K635" s="373" t="s">
        <v>1973</v>
      </c>
      <c r="L635" s="374" t="e">
        <f t="shared" si="17"/>
        <v>#VALUE!</v>
      </c>
      <c r="M635" s="325"/>
    </row>
    <row r="636" spans="1:13" ht="13">
      <c r="A636" s="18" t="s">
        <v>1096</v>
      </c>
      <c r="B636" s="316" t="s">
        <v>1973</v>
      </c>
      <c r="C636" s="316" t="s">
        <v>1973</v>
      </c>
      <c r="D636" s="316" t="s">
        <v>1973</v>
      </c>
      <c r="E636" s="317" t="s">
        <v>1973</v>
      </c>
      <c r="F636" s="318">
        <v>1</v>
      </c>
      <c r="G636" s="354" t="s">
        <v>62</v>
      </c>
      <c r="H636" s="320">
        <v>4700</v>
      </c>
      <c r="I636" s="395" t="b">
        <v>1</v>
      </c>
      <c r="J636" s="322">
        <v>1</v>
      </c>
      <c r="K636" s="323">
        <v>9100</v>
      </c>
      <c r="L636" s="379">
        <f t="shared" si="17"/>
        <v>9100</v>
      </c>
      <c r="M636" s="325" t="s">
        <v>1745</v>
      </c>
    </row>
    <row r="637" spans="1:13" ht="13">
      <c r="A637" s="316" t="s">
        <v>631</v>
      </c>
      <c r="B637" s="316" t="s">
        <v>1973</v>
      </c>
      <c r="C637" s="316" t="s">
        <v>1973</v>
      </c>
      <c r="D637" s="316" t="s">
        <v>1973</v>
      </c>
      <c r="E637" s="317" t="s">
        <v>1973</v>
      </c>
      <c r="F637" s="318">
        <v>1</v>
      </c>
      <c r="G637" s="354" t="s">
        <v>36</v>
      </c>
      <c r="H637" s="320">
        <v>16000</v>
      </c>
      <c r="I637" s="395" t="b">
        <v>1</v>
      </c>
      <c r="J637" s="322">
        <v>1</v>
      </c>
      <c r="K637" s="323">
        <v>15000</v>
      </c>
      <c r="L637" s="380">
        <f t="shared" si="17"/>
        <v>15000</v>
      </c>
      <c r="M637" s="325" t="s">
        <v>1745</v>
      </c>
    </row>
    <row r="638" spans="1:13" ht="13">
      <c r="A638" s="316" t="s">
        <v>639</v>
      </c>
      <c r="B638" s="316" t="s">
        <v>1973</v>
      </c>
      <c r="C638" s="316" t="s">
        <v>1973</v>
      </c>
      <c r="D638" s="316" t="s">
        <v>1973</v>
      </c>
      <c r="E638" s="317" t="s">
        <v>1973</v>
      </c>
      <c r="F638" s="318">
        <v>1</v>
      </c>
      <c r="G638" s="354" t="s">
        <v>36</v>
      </c>
      <c r="H638" s="320">
        <v>125000</v>
      </c>
      <c r="I638" s="393" t="b">
        <v>1</v>
      </c>
      <c r="J638" s="322">
        <v>1.3</v>
      </c>
      <c r="K638" s="323" t="e">
        <f>VLOOKUP($A638,'[1]Database Bahan &amp; Alat (Terupdat'!$B$50:$N$232,6,FALSE)</f>
        <v>#N/A</v>
      </c>
      <c r="L638" s="371" t="e">
        <f t="shared" si="17"/>
        <v>#N/A</v>
      </c>
      <c r="M638" s="325"/>
    </row>
    <row r="639" spans="1:13" ht="13">
      <c r="A639" s="316" t="s">
        <v>1612</v>
      </c>
      <c r="B639" s="316" t="s">
        <v>1973</v>
      </c>
      <c r="C639" s="316" t="s">
        <v>1973</v>
      </c>
      <c r="D639" s="316" t="s">
        <v>1973</v>
      </c>
      <c r="E639" s="317" t="s">
        <v>1973</v>
      </c>
      <c r="F639" s="318">
        <v>3</v>
      </c>
      <c r="G639" s="354" t="s">
        <v>36</v>
      </c>
      <c r="H639" s="320">
        <v>75900</v>
      </c>
      <c r="I639" s="395" t="b">
        <v>1</v>
      </c>
      <c r="J639" s="322">
        <v>3</v>
      </c>
      <c r="K639" s="323">
        <v>29000</v>
      </c>
      <c r="L639" s="379">
        <f t="shared" si="17"/>
        <v>87000</v>
      </c>
      <c r="M639" s="325" t="s">
        <v>1745</v>
      </c>
    </row>
    <row r="640" spans="1:13" ht="13">
      <c r="A640" s="316" t="s">
        <v>1698</v>
      </c>
      <c r="B640" s="316" t="s">
        <v>1973</v>
      </c>
      <c r="C640" s="316" t="s">
        <v>1973</v>
      </c>
      <c r="D640" s="316" t="s">
        <v>1973</v>
      </c>
      <c r="E640" s="317" t="s">
        <v>1973</v>
      </c>
      <c r="F640" s="318">
        <v>1</v>
      </c>
      <c r="G640" s="354" t="s">
        <v>36</v>
      </c>
      <c r="H640" s="320">
        <v>32000</v>
      </c>
      <c r="I640" s="395" t="b">
        <v>1</v>
      </c>
      <c r="J640" s="322">
        <v>1</v>
      </c>
      <c r="K640" s="323">
        <v>36000</v>
      </c>
      <c r="L640" s="379">
        <f t="shared" si="17"/>
        <v>36000</v>
      </c>
      <c r="M640" s="325" t="s">
        <v>1745</v>
      </c>
    </row>
    <row r="641" spans="1:13" ht="13">
      <c r="A641" s="316" t="s">
        <v>1699</v>
      </c>
      <c r="B641" s="316" t="s">
        <v>1973</v>
      </c>
      <c r="C641" s="316" t="s">
        <v>1973</v>
      </c>
      <c r="D641" s="316" t="s">
        <v>1973</v>
      </c>
      <c r="E641" s="317" t="s">
        <v>1973</v>
      </c>
      <c r="F641" s="318">
        <v>1</v>
      </c>
      <c r="G641" s="354" t="s">
        <v>36</v>
      </c>
      <c r="H641" s="320">
        <v>68000</v>
      </c>
      <c r="I641" s="395" t="b">
        <v>1</v>
      </c>
      <c r="J641" s="322">
        <v>1</v>
      </c>
      <c r="K641" s="323">
        <v>80000</v>
      </c>
      <c r="L641" s="379">
        <f t="shared" si="17"/>
        <v>80000</v>
      </c>
      <c r="M641" s="325" t="s">
        <v>1745</v>
      </c>
    </row>
    <row r="642" spans="1:13" ht="13">
      <c r="A642" s="316" t="s">
        <v>712</v>
      </c>
      <c r="B642" s="316" t="s">
        <v>1973</v>
      </c>
      <c r="C642" s="316" t="s">
        <v>1973</v>
      </c>
      <c r="D642" s="316" t="s">
        <v>1973</v>
      </c>
      <c r="E642" s="317" t="s">
        <v>1973</v>
      </c>
      <c r="F642" s="318">
        <v>2</v>
      </c>
      <c r="G642" s="354" t="s">
        <v>36</v>
      </c>
      <c r="H642" s="320">
        <v>48000</v>
      </c>
      <c r="I642" s="393" t="b">
        <v>1</v>
      </c>
      <c r="J642" s="322">
        <v>1.5</v>
      </c>
      <c r="K642" s="323" t="e">
        <f>VLOOKUP($A642,'[1]Database Bahan &amp; Alat (Terupdat'!$B$50:$N$232,6,FALSE)</f>
        <v>#N/A</v>
      </c>
      <c r="L642" s="371" t="e">
        <f t="shared" si="17"/>
        <v>#N/A</v>
      </c>
      <c r="M642" s="325"/>
    </row>
    <row r="643" spans="1:13" ht="13">
      <c r="A643" s="316" t="s">
        <v>724</v>
      </c>
      <c r="B643" s="316" t="s">
        <v>1973</v>
      </c>
      <c r="C643" s="316" t="s">
        <v>1973</v>
      </c>
      <c r="D643" s="316" t="s">
        <v>1973</v>
      </c>
      <c r="E643" s="317" t="s">
        <v>1973</v>
      </c>
      <c r="F643" s="318">
        <v>1</v>
      </c>
      <c r="G643" s="354" t="s">
        <v>36</v>
      </c>
      <c r="H643" s="320">
        <v>20000</v>
      </c>
      <c r="I643" s="395" t="b">
        <v>1</v>
      </c>
      <c r="J643" s="322">
        <v>1</v>
      </c>
      <c r="K643" s="323">
        <v>34000</v>
      </c>
      <c r="L643" s="379">
        <f t="shared" si="17"/>
        <v>34000</v>
      </c>
      <c r="M643" s="325" t="s">
        <v>1745</v>
      </c>
    </row>
    <row r="644" spans="1:13" ht="13">
      <c r="A644" s="316" t="s">
        <v>752</v>
      </c>
      <c r="B644" s="316" t="s">
        <v>1973</v>
      </c>
      <c r="C644" s="316" t="s">
        <v>1973</v>
      </c>
      <c r="D644" s="316" t="s">
        <v>1973</v>
      </c>
      <c r="E644" s="317" t="s">
        <v>1973</v>
      </c>
      <c r="F644" s="318">
        <v>1</v>
      </c>
      <c r="G644" s="354" t="s">
        <v>62</v>
      </c>
      <c r="H644" s="320">
        <v>36000</v>
      </c>
      <c r="I644" s="393" t="b">
        <v>1</v>
      </c>
      <c r="J644" s="322">
        <v>1</v>
      </c>
      <c r="K644" s="323" t="s">
        <v>1973</v>
      </c>
      <c r="L644" s="371" t="e">
        <f t="shared" si="17"/>
        <v>#VALUE!</v>
      </c>
      <c r="M644" s="325"/>
    </row>
    <row r="645" spans="1:13" ht="13">
      <c r="A645" s="316" t="s">
        <v>767</v>
      </c>
      <c r="B645" s="316" t="s">
        <v>1973</v>
      </c>
      <c r="C645" s="316" t="s">
        <v>1973</v>
      </c>
      <c r="D645" s="316" t="s">
        <v>1973</v>
      </c>
      <c r="E645" s="317" t="s">
        <v>1973</v>
      </c>
      <c r="F645" s="318">
        <v>3</v>
      </c>
      <c r="G645" s="354" t="s">
        <v>62</v>
      </c>
      <c r="H645" s="320">
        <v>60000</v>
      </c>
      <c r="I645" s="393" t="b">
        <v>1</v>
      </c>
      <c r="J645" s="322">
        <v>3</v>
      </c>
      <c r="K645" s="323" t="s">
        <v>1973</v>
      </c>
      <c r="L645" s="371" t="e">
        <f t="shared" si="17"/>
        <v>#VALUE!</v>
      </c>
      <c r="M645" s="325"/>
    </row>
    <row r="646" spans="1:13" ht="13">
      <c r="A646" s="316" t="s">
        <v>1700</v>
      </c>
      <c r="B646" s="316" t="s">
        <v>1973</v>
      </c>
      <c r="C646" s="316" t="s">
        <v>1973</v>
      </c>
      <c r="D646" s="316" t="s">
        <v>1973</v>
      </c>
      <c r="E646" s="317" t="s">
        <v>1973</v>
      </c>
      <c r="F646" s="318">
        <v>7</v>
      </c>
      <c r="G646" s="354" t="s">
        <v>62</v>
      </c>
      <c r="H646" s="320">
        <v>105000</v>
      </c>
      <c r="I646" s="395" t="b">
        <v>1</v>
      </c>
      <c r="J646" s="322">
        <v>7</v>
      </c>
      <c r="K646" s="323">
        <v>14000</v>
      </c>
      <c r="L646" s="380">
        <f t="shared" si="17"/>
        <v>98000</v>
      </c>
      <c r="M646" s="325" t="s">
        <v>1745</v>
      </c>
    </row>
    <row r="647" spans="1:13" ht="13">
      <c r="A647" s="316" t="s">
        <v>1601</v>
      </c>
      <c r="B647" s="316" t="s">
        <v>1973</v>
      </c>
      <c r="C647" s="316" t="s">
        <v>1973</v>
      </c>
      <c r="D647" s="316" t="s">
        <v>1973</v>
      </c>
      <c r="E647" s="317" t="s">
        <v>1973</v>
      </c>
      <c r="F647" s="318">
        <v>2</v>
      </c>
      <c r="G647" s="354" t="s">
        <v>97</v>
      </c>
      <c r="H647" s="320">
        <v>42000</v>
      </c>
      <c r="I647" s="393" t="b">
        <v>1</v>
      </c>
      <c r="J647" s="322">
        <v>2</v>
      </c>
      <c r="K647" s="323" t="s">
        <v>1973</v>
      </c>
      <c r="L647" s="371" t="e">
        <f t="shared" si="17"/>
        <v>#VALUE!</v>
      </c>
      <c r="M647" s="325"/>
    </row>
    <row r="648" spans="1:13" ht="13">
      <c r="A648" s="316" t="s">
        <v>795</v>
      </c>
      <c r="B648" s="316" t="s">
        <v>1973</v>
      </c>
      <c r="C648" s="316" t="s">
        <v>1973</v>
      </c>
      <c r="D648" s="316" t="s">
        <v>1973</v>
      </c>
      <c r="E648" s="317" t="s">
        <v>1973</v>
      </c>
      <c r="F648" s="318">
        <v>15</v>
      </c>
      <c r="G648" s="354" t="s">
        <v>62</v>
      </c>
      <c r="H648" s="320">
        <v>75000</v>
      </c>
      <c r="I648" s="393" t="b">
        <v>1</v>
      </c>
      <c r="J648" s="322">
        <v>15</v>
      </c>
      <c r="K648" s="323" t="s">
        <v>1973</v>
      </c>
      <c r="L648" s="371" t="e">
        <f t="shared" si="17"/>
        <v>#VALUE!</v>
      </c>
      <c r="M648" s="325"/>
    </row>
    <row r="649" spans="1:13" ht="13">
      <c r="A649" s="316" t="s">
        <v>799</v>
      </c>
      <c r="B649" s="316" t="s">
        <v>1973</v>
      </c>
      <c r="C649" s="316" t="s">
        <v>1973</v>
      </c>
      <c r="D649" s="316" t="s">
        <v>1973</v>
      </c>
      <c r="E649" s="317" t="s">
        <v>1973</v>
      </c>
      <c r="F649" s="318">
        <v>1</v>
      </c>
      <c r="G649" s="354" t="s">
        <v>36</v>
      </c>
      <c r="H649" s="320">
        <v>150000</v>
      </c>
      <c r="I649" s="395" t="b">
        <v>1</v>
      </c>
      <c r="J649" s="322">
        <v>1</v>
      </c>
      <c r="K649" s="323">
        <v>160000</v>
      </c>
      <c r="L649" s="379">
        <f t="shared" si="17"/>
        <v>160000</v>
      </c>
      <c r="M649" s="325" t="s">
        <v>1745</v>
      </c>
    </row>
    <row r="650" spans="1:13" ht="13">
      <c r="A650" s="316" t="s">
        <v>1701</v>
      </c>
      <c r="B650" s="316" t="s">
        <v>1973</v>
      </c>
      <c r="C650" s="316" t="s">
        <v>1973</v>
      </c>
      <c r="D650" s="316" t="s">
        <v>1973</v>
      </c>
      <c r="E650" s="317" t="s">
        <v>1973</v>
      </c>
      <c r="F650" s="318">
        <v>1</v>
      </c>
      <c r="G650" s="354" t="s">
        <v>36</v>
      </c>
      <c r="H650" s="320">
        <v>18000</v>
      </c>
      <c r="I650" s="393" t="b">
        <v>1</v>
      </c>
      <c r="J650" s="322">
        <v>1</v>
      </c>
      <c r="K650" s="323" t="e">
        <f>VLOOKUP($A650,'[1]Database Bahan &amp; Alat (Terupdat'!$B$50:$N$232,6,FALSE)</f>
        <v>#N/A</v>
      </c>
      <c r="L650" s="371" t="e">
        <f t="shared" si="17"/>
        <v>#N/A</v>
      </c>
      <c r="M650" s="325"/>
    </row>
    <row r="651" spans="1:13" ht="13">
      <c r="A651" s="316" t="s">
        <v>1613</v>
      </c>
      <c r="B651" s="316" t="s">
        <v>1973</v>
      </c>
      <c r="C651" s="316" t="s">
        <v>1973</v>
      </c>
      <c r="D651" s="316" t="s">
        <v>1973</v>
      </c>
      <c r="E651" s="317" t="s">
        <v>1973</v>
      </c>
      <c r="F651" s="318">
        <v>1</v>
      </c>
      <c r="G651" s="354" t="s">
        <v>36</v>
      </c>
      <c r="H651" s="320">
        <v>43000</v>
      </c>
      <c r="I651" s="395" t="b">
        <v>1</v>
      </c>
      <c r="J651" s="322">
        <v>1</v>
      </c>
      <c r="K651" s="323">
        <v>47000</v>
      </c>
      <c r="L651" s="379">
        <f t="shared" si="17"/>
        <v>47000</v>
      </c>
      <c r="M651" s="325" t="s">
        <v>1745</v>
      </c>
    </row>
    <row r="652" spans="1:13" ht="13">
      <c r="A652" s="316" t="s">
        <v>1614</v>
      </c>
      <c r="B652" s="316" t="s">
        <v>1973</v>
      </c>
      <c r="C652" s="316" t="s">
        <v>1973</v>
      </c>
      <c r="D652" s="316" t="s">
        <v>1973</v>
      </c>
      <c r="E652" s="317" t="s">
        <v>1973</v>
      </c>
      <c r="F652" s="318">
        <v>1</v>
      </c>
      <c r="G652" s="354" t="s">
        <v>36</v>
      </c>
      <c r="H652" s="320">
        <v>128000</v>
      </c>
      <c r="I652" s="393" t="b">
        <v>1</v>
      </c>
      <c r="J652" s="322">
        <v>1</v>
      </c>
      <c r="K652" s="323" t="e">
        <f>VLOOKUP($A652,'[1]Database Bahan &amp; Alat (Terupdat'!$B$50:$N$232,6,FALSE)</f>
        <v>#N/A</v>
      </c>
      <c r="L652" s="371" t="e">
        <f t="shared" si="17"/>
        <v>#N/A</v>
      </c>
      <c r="M652" s="325"/>
    </row>
    <row r="653" spans="1:13" ht="13">
      <c r="A653" s="316" t="s">
        <v>885</v>
      </c>
      <c r="B653" s="316" t="s">
        <v>1973</v>
      </c>
      <c r="C653" s="316" t="s">
        <v>1973</v>
      </c>
      <c r="D653" s="316" t="s">
        <v>1973</v>
      </c>
      <c r="E653" s="317" t="s">
        <v>1973</v>
      </c>
      <c r="F653" s="318">
        <v>1</v>
      </c>
      <c r="G653" s="354" t="s">
        <v>36</v>
      </c>
      <c r="H653" s="320">
        <v>12000</v>
      </c>
      <c r="I653" s="395" t="b">
        <v>1</v>
      </c>
      <c r="J653" s="322">
        <v>1</v>
      </c>
      <c r="K653" s="323">
        <v>28000</v>
      </c>
      <c r="L653" s="379">
        <f t="shared" si="17"/>
        <v>28000</v>
      </c>
      <c r="M653" s="325" t="s">
        <v>1745</v>
      </c>
    </row>
    <row r="654" spans="1:13" ht="13">
      <c r="A654" s="316" t="s">
        <v>1709</v>
      </c>
      <c r="B654" s="316" t="s">
        <v>1973</v>
      </c>
      <c r="C654" s="316" t="s">
        <v>1973</v>
      </c>
      <c r="D654" s="316" t="s">
        <v>1973</v>
      </c>
      <c r="E654" s="317" t="s">
        <v>1973</v>
      </c>
      <c r="F654" s="318">
        <v>5</v>
      </c>
      <c r="G654" s="354" t="s">
        <v>62</v>
      </c>
      <c r="H654" s="320">
        <v>12500</v>
      </c>
      <c r="I654" s="393" t="b">
        <v>1</v>
      </c>
      <c r="J654" s="322">
        <v>5</v>
      </c>
      <c r="K654" s="323" t="s">
        <v>1973</v>
      </c>
      <c r="L654" s="371" t="e">
        <f t="shared" si="17"/>
        <v>#VALUE!</v>
      </c>
      <c r="M654" s="325"/>
    </row>
    <row r="655" spans="1:13" ht="13">
      <c r="A655" s="316" t="s">
        <v>1764</v>
      </c>
      <c r="B655" s="316" t="s">
        <v>1973</v>
      </c>
      <c r="C655" s="316" t="s">
        <v>1973</v>
      </c>
      <c r="D655" s="316" t="s">
        <v>1973</v>
      </c>
      <c r="E655" s="317" t="s">
        <v>1973</v>
      </c>
      <c r="F655" s="318">
        <v>1</v>
      </c>
      <c r="G655" s="354" t="s">
        <v>36</v>
      </c>
      <c r="H655" s="320">
        <v>40000</v>
      </c>
      <c r="I655" s="393" t="b">
        <v>1</v>
      </c>
      <c r="J655" s="322">
        <v>1</v>
      </c>
      <c r="K655" s="323" t="s">
        <v>1973</v>
      </c>
      <c r="L655" s="371" t="e">
        <f t="shared" si="17"/>
        <v>#VALUE!</v>
      </c>
      <c r="M655" s="325"/>
    </row>
    <row r="656" spans="1:13" ht="13">
      <c r="A656" s="316" t="s">
        <v>1768</v>
      </c>
      <c r="B656" s="316" t="s">
        <v>1973</v>
      </c>
      <c r="C656" s="316" t="s">
        <v>1973</v>
      </c>
      <c r="D656" s="316" t="s">
        <v>1973</v>
      </c>
      <c r="E656" s="317" t="s">
        <v>1973</v>
      </c>
      <c r="F656" s="318">
        <v>1</v>
      </c>
      <c r="G656" s="354" t="s">
        <v>36</v>
      </c>
      <c r="H656" s="320">
        <v>12000</v>
      </c>
      <c r="I656" s="395" t="b">
        <v>1</v>
      </c>
      <c r="J656" s="322">
        <v>1</v>
      </c>
      <c r="K656" s="323">
        <v>10000</v>
      </c>
      <c r="L656" s="380">
        <f t="shared" si="17"/>
        <v>10000</v>
      </c>
      <c r="M656" s="325" t="s">
        <v>1745</v>
      </c>
    </row>
    <row r="657" spans="1:13" ht="13">
      <c r="A657" s="316" t="s">
        <v>1669</v>
      </c>
      <c r="B657" s="316" t="s">
        <v>1973</v>
      </c>
      <c r="C657" s="316" t="s">
        <v>1973</v>
      </c>
      <c r="D657" s="316" t="s">
        <v>1973</v>
      </c>
      <c r="E657" s="317" t="s">
        <v>1973</v>
      </c>
      <c r="F657" s="318">
        <v>5</v>
      </c>
      <c r="G657" s="354" t="s">
        <v>36</v>
      </c>
      <c r="H657" s="320">
        <v>65000</v>
      </c>
      <c r="I657" s="393" t="b">
        <v>1</v>
      </c>
      <c r="J657" s="322">
        <v>5</v>
      </c>
      <c r="K657" s="323" t="s">
        <v>1973</v>
      </c>
      <c r="L657" s="371" t="e">
        <f t="shared" si="17"/>
        <v>#VALUE!</v>
      </c>
      <c r="M657" s="325"/>
    </row>
    <row r="658" spans="1:13" ht="13">
      <c r="A658" s="316" t="s">
        <v>1501</v>
      </c>
      <c r="B658" s="316" t="s">
        <v>1973</v>
      </c>
      <c r="C658" s="316" t="s">
        <v>1973</v>
      </c>
      <c r="D658" s="316" t="s">
        <v>1973</v>
      </c>
      <c r="E658" s="317" t="s">
        <v>1973</v>
      </c>
      <c r="F658" s="318">
        <v>1</v>
      </c>
      <c r="G658" s="354" t="s">
        <v>36</v>
      </c>
      <c r="H658" s="320">
        <v>4050</v>
      </c>
      <c r="I658" s="319" t="b">
        <v>0</v>
      </c>
      <c r="J658" s="372"/>
      <c r="K658" s="373" t="s">
        <v>1973</v>
      </c>
      <c r="L658" s="374" t="e">
        <f t="shared" si="17"/>
        <v>#VALUE!</v>
      </c>
      <c r="M658" s="325"/>
    </row>
    <row r="659" spans="1:13" ht="13">
      <c r="A659" s="316" t="s">
        <v>1608</v>
      </c>
      <c r="B659" s="316" t="s">
        <v>1973</v>
      </c>
      <c r="C659" s="316" t="s">
        <v>1973</v>
      </c>
      <c r="D659" s="316" t="s">
        <v>1973</v>
      </c>
      <c r="E659" s="317" t="s">
        <v>1973</v>
      </c>
      <c r="F659" s="318">
        <v>1</v>
      </c>
      <c r="G659" s="354" t="s">
        <v>36</v>
      </c>
      <c r="H659" s="320">
        <v>34000</v>
      </c>
      <c r="I659" s="319" t="b">
        <v>0</v>
      </c>
      <c r="J659" s="372"/>
      <c r="K659" s="373" t="s">
        <v>1973</v>
      </c>
      <c r="L659" s="374" t="e">
        <f t="shared" si="17"/>
        <v>#VALUE!</v>
      </c>
      <c r="M659" s="325"/>
    </row>
    <row r="660" spans="1:13" ht="13">
      <c r="A660" s="316" t="s">
        <v>931</v>
      </c>
      <c r="B660" s="316" t="s">
        <v>1973</v>
      </c>
      <c r="C660" s="316" t="s">
        <v>1973</v>
      </c>
      <c r="D660" s="316" t="s">
        <v>1973</v>
      </c>
      <c r="E660" s="317" t="s">
        <v>1973</v>
      </c>
      <c r="F660" s="318">
        <v>1</v>
      </c>
      <c r="G660" s="354" t="s">
        <v>36</v>
      </c>
      <c r="H660" s="320">
        <v>18000</v>
      </c>
      <c r="I660" s="393" t="b">
        <v>1</v>
      </c>
      <c r="J660" s="322">
        <v>1</v>
      </c>
      <c r="K660" s="323">
        <v>19000</v>
      </c>
      <c r="L660" s="379">
        <f t="shared" si="17"/>
        <v>19000</v>
      </c>
      <c r="M660" s="325" t="s">
        <v>1745</v>
      </c>
    </row>
    <row r="661" spans="1:13" ht="13">
      <c r="A661" s="316" t="s">
        <v>955</v>
      </c>
      <c r="B661" s="316" t="s">
        <v>1973</v>
      </c>
      <c r="C661" s="316" t="s">
        <v>1973</v>
      </c>
      <c r="D661" s="316" t="s">
        <v>1973</v>
      </c>
      <c r="E661" s="317" t="s">
        <v>1973</v>
      </c>
      <c r="F661" s="318">
        <v>1</v>
      </c>
      <c r="G661" s="354" t="s">
        <v>97</v>
      </c>
      <c r="H661" s="320">
        <v>21000</v>
      </c>
      <c r="I661" s="393" t="b">
        <v>1</v>
      </c>
      <c r="J661" s="322">
        <v>1</v>
      </c>
      <c r="K661" s="323" t="e">
        <f>VLOOKUP($A661,'[1]Database Bahan &amp; Alat (Terupdat'!$B$50:$N$232,6,FALSE)</f>
        <v>#N/A</v>
      </c>
      <c r="L661" s="371" t="e">
        <f t="shared" si="17"/>
        <v>#N/A</v>
      </c>
      <c r="M661" s="325"/>
    </row>
    <row r="662" spans="1:13" ht="13">
      <c r="A662" s="316" t="s">
        <v>1677</v>
      </c>
      <c r="B662" s="316" t="s">
        <v>1973</v>
      </c>
      <c r="C662" s="316" t="s">
        <v>1973</v>
      </c>
      <c r="D662" s="316" t="s">
        <v>1973</v>
      </c>
      <c r="E662" s="317" t="s">
        <v>1973</v>
      </c>
      <c r="F662" s="318">
        <v>1</v>
      </c>
      <c r="G662" s="354" t="s">
        <v>36</v>
      </c>
      <c r="H662" s="320">
        <v>60000</v>
      </c>
      <c r="I662" s="393" t="b">
        <v>1</v>
      </c>
      <c r="J662" s="322">
        <v>1</v>
      </c>
      <c r="K662" s="323">
        <v>65000</v>
      </c>
      <c r="L662" s="371">
        <f t="shared" si="17"/>
        <v>65000</v>
      </c>
      <c r="M662" s="325"/>
    </row>
    <row r="663" spans="1:13" ht="13">
      <c r="A663" s="316" t="s">
        <v>1152</v>
      </c>
      <c r="B663" s="316" t="s">
        <v>1973</v>
      </c>
      <c r="C663" s="316" t="s">
        <v>1973</v>
      </c>
      <c r="D663" s="316" t="s">
        <v>1973</v>
      </c>
      <c r="E663" s="317" t="s">
        <v>1973</v>
      </c>
      <c r="F663" s="318">
        <v>1</v>
      </c>
      <c r="G663" s="354" t="s">
        <v>36</v>
      </c>
      <c r="H663" s="320">
        <v>32000</v>
      </c>
      <c r="I663" s="395" t="b">
        <v>1</v>
      </c>
      <c r="J663" s="322">
        <v>1</v>
      </c>
      <c r="K663" s="323">
        <v>28000</v>
      </c>
      <c r="L663" s="379">
        <f t="shared" si="17"/>
        <v>28000</v>
      </c>
      <c r="M663" s="325" t="s">
        <v>1745</v>
      </c>
    </row>
    <row r="664" spans="1:13" ht="13">
      <c r="A664" s="316" t="s">
        <v>1020</v>
      </c>
      <c r="B664" s="316" t="s">
        <v>1973</v>
      </c>
      <c r="C664" s="316" t="s">
        <v>1973</v>
      </c>
      <c r="D664" s="316" t="s">
        <v>1973</v>
      </c>
      <c r="E664" s="317" t="s">
        <v>1973</v>
      </c>
      <c r="F664" s="318">
        <v>2</v>
      </c>
      <c r="G664" s="354" t="s">
        <v>36</v>
      </c>
      <c r="H664" s="320">
        <v>20000</v>
      </c>
      <c r="I664" s="393" t="b">
        <v>1</v>
      </c>
      <c r="J664" s="322">
        <v>2</v>
      </c>
      <c r="K664" s="323" t="s">
        <v>1973</v>
      </c>
      <c r="L664" s="371" t="e">
        <f t="shared" si="17"/>
        <v>#VALUE!</v>
      </c>
      <c r="M664" s="325"/>
    </row>
    <row r="665" spans="1:13" ht="13">
      <c r="A665" s="316" t="s">
        <v>1600</v>
      </c>
      <c r="B665" s="316" t="s">
        <v>1973</v>
      </c>
      <c r="C665" s="316" t="s">
        <v>1973</v>
      </c>
      <c r="D665" s="316" t="s">
        <v>1973</v>
      </c>
      <c r="E665" s="317" t="s">
        <v>1973</v>
      </c>
      <c r="F665" s="318">
        <v>2</v>
      </c>
      <c r="G665" s="354" t="s">
        <v>36</v>
      </c>
      <c r="H665" s="320">
        <v>16000</v>
      </c>
      <c r="I665" s="319" t="b">
        <v>0</v>
      </c>
      <c r="J665" s="372"/>
      <c r="K665" s="373" t="s">
        <v>1973</v>
      </c>
      <c r="L665" s="374" t="e">
        <f t="shared" si="17"/>
        <v>#VALUE!</v>
      </c>
      <c r="M665" s="325"/>
    </row>
    <row r="666" spans="1:13" ht="13">
      <c r="A666" s="316" t="s">
        <v>1703</v>
      </c>
      <c r="B666" s="316" t="s">
        <v>1973</v>
      </c>
      <c r="C666" s="316" t="s">
        <v>1973</v>
      </c>
      <c r="D666" s="316" t="s">
        <v>1973</v>
      </c>
      <c r="E666" s="317" t="s">
        <v>1973</v>
      </c>
      <c r="F666" s="318">
        <v>4</v>
      </c>
      <c r="G666" s="354" t="s">
        <v>62</v>
      </c>
      <c r="H666" s="320">
        <v>89628</v>
      </c>
      <c r="I666" s="395" t="b">
        <v>1</v>
      </c>
      <c r="J666" s="322">
        <v>4</v>
      </c>
      <c r="K666" s="323">
        <v>22000</v>
      </c>
      <c r="L666" s="380">
        <f t="shared" si="17"/>
        <v>88000</v>
      </c>
      <c r="M666" s="325" t="s">
        <v>1745</v>
      </c>
    </row>
    <row r="667" spans="1:13" ht="13">
      <c r="A667" s="316" t="s">
        <v>623</v>
      </c>
      <c r="B667" s="316" t="s">
        <v>1973</v>
      </c>
      <c r="C667" s="316" t="s">
        <v>1973</v>
      </c>
      <c r="D667" s="316" t="s">
        <v>1973</v>
      </c>
      <c r="E667" s="317" t="s">
        <v>1973</v>
      </c>
      <c r="F667" s="318">
        <v>4</v>
      </c>
      <c r="G667" s="354" t="s">
        <v>143</v>
      </c>
      <c r="H667" s="320">
        <v>719400</v>
      </c>
      <c r="I667" s="395" t="b">
        <v>1</v>
      </c>
      <c r="J667" s="322">
        <v>3</v>
      </c>
      <c r="K667" s="323">
        <v>17000</v>
      </c>
      <c r="L667" s="379">
        <f t="shared" si="17"/>
        <v>51000</v>
      </c>
      <c r="M667" s="325" t="s">
        <v>1745</v>
      </c>
    </row>
    <row r="668" spans="1:13" ht="13">
      <c r="A668" s="316" t="s">
        <v>688</v>
      </c>
      <c r="B668" s="316" t="s">
        <v>1973</v>
      </c>
      <c r="C668" s="316" t="s">
        <v>1973</v>
      </c>
      <c r="D668" s="316" t="s">
        <v>1973</v>
      </c>
      <c r="E668" s="317" t="s">
        <v>1973</v>
      </c>
      <c r="F668" s="318">
        <v>3</v>
      </c>
      <c r="G668" s="354" t="s">
        <v>62</v>
      </c>
      <c r="H668" s="320">
        <v>173910</v>
      </c>
      <c r="I668" s="395" t="b">
        <v>1</v>
      </c>
      <c r="J668" s="322">
        <v>1</v>
      </c>
      <c r="K668" s="323">
        <v>63200</v>
      </c>
      <c r="L668" s="379">
        <f t="shared" si="17"/>
        <v>63200</v>
      </c>
      <c r="M668" s="325" t="s">
        <v>1745</v>
      </c>
    </row>
    <row r="669" spans="1:13" ht="13">
      <c r="A669" s="316" t="s">
        <v>704</v>
      </c>
      <c r="B669" s="316" t="s">
        <v>1973</v>
      </c>
      <c r="C669" s="316" t="s">
        <v>1973</v>
      </c>
      <c r="D669" s="316" t="s">
        <v>1973</v>
      </c>
      <c r="E669" s="317" t="s">
        <v>1973</v>
      </c>
      <c r="F669" s="318">
        <v>3</v>
      </c>
      <c r="G669" s="354" t="s">
        <v>143</v>
      </c>
      <c r="H669" s="320">
        <v>546750</v>
      </c>
      <c r="I669" s="319" t="b">
        <v>0</v>
      </c>
      <c r="J669" s="372"/>
      <c r="K669" s="373" t="e">
        <f>VLOOKUP($A669,'[1]Database Bahan &amp; Alat (Terupdat'!$B$50:$N$232,6,FALSE)</f>
        <v>#N/A</v>
      </c>
      <c r="L669" s="374" t="e">
        <f t="shared" si="17"/>
        <v>#N/A</v>
      </c>
      <c r="M669" s="325"/>
    </row>
    <row r="670" spans="1:13" ht="13">
      <c r="A670" s="316" t="s">
        <v>925</v>
      </c>
      <c r="B670" s="316" t="s">
        <v>1973</v>
      </c>
      <c r="C670" s="316" t="s">
        <v>1973</v>
      </c>
      <c r="D670" s="316" t="s">
        <v>1973</v>
      </c>
      <c r="E670" s="317" t="s">
        <v>1973</v>
      </c>
      <c r="F670" s="318">
        <v>1</v>
      </c>
      <c r="G670" s="354" t="s">
        <v>143</v>
      </c>
      <c r="H670" s="320">
        <v>357214</v>
      </c>
      <c r="I670" s="395" t="b">
        <v>1</v>
      </c>
      <c r="J670" s="322">
        <v>1</v>
      </c>
      <c r="K670" s="323">
        <v>30000</v>
      </c>
      <c r="L670" s="379">
        <f t="shared" si="17"/>
        <v>30000</v>
      </c>
      <c r="M670" s="325" t="s">
        <v>1745</v>
      </c>
    </row>
    <row r="671" spans="1:13" ht="13">
      <c r="A671" s="316" t="s">
        <v>1705</v>
      </c>
      <c r="B671" s="316" t="s">
        <v>1973</v>
      </c>
      <c r="C671" s="316" t="s">
        <v>1973</v>
      </c>
      <c r="D671" s="316" t="s">
        <v>1973</v>
      </c>
      <c r="E671" s="317" t="s">
        <v>1973</v>
      </c>
      <c r="F671" s="318">
        <v>6</v>
      </c>
      <c r="G671" s="354" t="s">
        <v>62</v>
      </c>
      <c r="H671" s="320">
        <v>250800</v>
      </c>
      <c r="I671" s="395" t="b">
        <v>1</v>
      </c>
      <c r="J671" s="322">
        <v>6</v>
      </c>
      <c r="K671" s="323">
        <v>23000</v>
      </c>
      <c r="L671" s="380">
        <f t="shared" si="17"/>
        <v>138000</v>
      </c>
      <c r="M671" s="325" t="s">
        <v>1745</v>
      </c>
    </row>
    <row r="672" spans="1:13" ht="13">
      <c r="A672" s="316" t="s">
        <v>779</v>
      </c>
      <c r="B672" s="316" t="s">
        <v>1973</v>
      </c>
      <c r="C672" s="316" t="s">
        <v>1973</v>
      </c>
      <c r="D672" s="316" t="s">
        <v>1973</v>
      </c>
      <c r="E672" s="317" t="s">
        <v>1973</v>
      </c>
      <c r="F672" s="318">
        <v>3</v>
      </c>
      <c r="G672" s="354" t="s">
        <v>62</v>
      </c>
      <c r="H672" s="320">
        <v>115500</v>
      </c>
      <c r="I672" s="395" t="b">
        <v>1</v>
      </c>
      <c r="J672" s="322">
        <v>3</v>
      </c>
      <c r="K672" s="323">
        <v>36000</v>
      </c>
      <c r="L672" s="380">
        <f t="shared" si="17"/>
        <v>108000</v>
      </c>
      <c r="M672" s="325" t="s">
        <v>1745</v>
      </c>
    </row>
    <row r="673" spans="1:13" ht="13">
      <c r="A673" s="316" t="s">
        <v>874</v>
      </c>
      <c r="B673" s="316" t="s">
        <v>1973</v>
      </c>
      <c r="C673" s="316" t="s">
        <v>1973</v>
      </c>
      <c r="D673" s="316" t="s">
        <v>1973</v>
      </c>
      <c r="E673" s="317" t="s">
        <v>1973</v>
      </c>
      <c r="F673" s="318">
        <v>7</v>
      </c>
      <c r="G673" s="354" t="s">
        <v>62</v>
      </c>
      <c r="H673" s="320">
        <v>112000</v>
      </c>
      <c r="I673" s="393" t="b">
        <v>1</v>
      </c>
      <c r="J673" s="322">
        <v>7</v>
      </c>
      <c r="K673" s="323" t="e">
        <f>VLOOKUP($A673,'[1]Database Bahan &amp; Alat (Terupdat'!$B$50:$N$232,6,FALSE)</f>
        <v>#N/A</v>
      </c>
      <c r="L673" s="371" t="e">
        <f t="shared" si="17"/>
        <v>#N/A</v>
      </c>
      <c r="M673" s="325"/>
    </row>
    <row r="674" spans="1:13" ht="13">
      <c r="A674" s="316" t="s">
        <v>1606</v>
      </c>
      <c r="B674" s="316" t="s">
        <v>1973</v>
      </c>
      <c r="C674" s="316" t="s">
        <v>1973</v>
      </c>
      <c r="D674" s="316" t="s">
        <v>1973</v>
      </c>
      <c r="E674" s="317" t="s">
        <v>1973</v>
      </c>
      <c r="F674" s="318">
        <v>1</v>
      </c>
      <c r="G674" s="354" t="s">
        <v>36</v>
      </c>
      <c r="H674" s="320">
        <v>35000</v>
      </c>
      <c r="I674" s="395" t="b">
        <v>1</v>
      </c>
      <c r="J674" s="322">
        <v>0.61199999999999999</v>
      </c>
      <c r="K674" s="323">
        <v>43200</v>
      </c>
      <c r="L674" s="379">
        <f t="shared" si="17"/>
        <v>26438.399999999998</v>
      </c>
      <c r="M674" s="325" t="s">
        <v>1745</v>
      </c>
    </row>
    <row r="675" spans="1:13" ht="13">
      <c r="A675" s="316" t="s">
        <v>910</v>
      </c>
      <c r="B675" s="316" t="s">
        <v>1973</v>
      </c>
      <c r="C675" s="316" t="s">
        <v>1973</v>
      </c>
      <c r="D675" s="316" t="s">
        <v>1973</v>
      </c>
      <c r="E675" s="317" t="s">
        <v>1973</v>
      </c>
      <c r="F675" s="318">
        <v>8</v>
      </c>
      <c r="G675" s="354" t="s">
        <v>62</v>
      </c>
      <c r="H675" s="320">
        <v>104000</v>
      </c>
      <c r="I675" s="393" t="b">
        <v>1</v>
      </c>
      <c r="J675" s="322">
        <v>4</v>
      </c>
      <c r="K675" s="323" t="s">
        <v>1973</v>
      </c>
      <c r="L675" s="371" t="e">
        <f t="shared" si="17"/>
        <v>#VALUE!</v>
      </c>
      <c r="M675" s="325"/>
    </row>
    <row r="676" spans="1:13" ht="13">
      <c r="A676" s="316" t="s">
        <v>1550</v>
      </c>
      <c r="B676" s="316" t="s">
        <v>1973</v>
      </c>
      <c r="C676" s="316" t="s">
        <v>1973</v>
      </c>
      <c r="D676" s="316" t="s">
        <v>1973</v>
      </c>
      <c r="E676" s="317" t="s">
        <v>1973</v>
      </c>
      <c r="F676" s="318">
        <v>1</v>
      </c>
      <c r="G676" s="354" t="s">
        <v>97</v>
      </c>
      <c r="H676" s="320">
        <v>105000</v>
      </c>
      <c r="I676" s="319" t="b">
        <v>0</v>
      </c>
      <c r="J676" s="372"/>
      <c r="K676" s="373" t="s">
        <v>1973</v>
      </c>
      <c r="L676" s="374" t="e">
        <f t="shared" si="17"/>
        <v>#VALUE!</v>
      </c>
      <c r="M676" s="325"/>
    </row>
    <row r="677" spans="1:13" ht="13">
      <c r="A677" s="316" t="s">
        <v>1651</v>
      </c>
      <c r="B677" s="316" t="s">
        <v>1973</v>
      </c>
      <c r="C677" s="316" t="s">
        <v>1973</v>
      </c>
      <c r="D677" s="316" t="s">
        <v>1973</v>
      </c>
      <c r="E677" s="317" t="s">
        <v>1973</v>
      </c>
      <c r="F677" s="318">
        <v>1</v>
      </c>
      <c r="G677" s="354" t="s">
        <v>97</v>
      </c>
      <c r="H677" s="320">
        <v>105000</v>
      </c>
      <c r="I677" s="319" t="b">
        <v>0</v>
      </c>
      <c r="J677" s="372"/>
      <c r="K677" s="373" t="s">
        <v>1973</v>
      </c>
      <c r="L677" s="374" t="e">
        <f t="shared" si="17"/>
        <v>#VALUE!</v>
      </c>
      <c r="M677" s="325"/>
    </row>
    <row r="678" spans="1:13" ht="13">
      <c r="A678" s="316" t="s">
        <v>847</v>
      </c>
      <c r="B678" s="316" t="s">
        <v>1973</v>
      </c>
      <c r="C678" s="316" t="s">
        <v>1973</v>
      </c>
      <c r="D678" s="316" t="s">
        <v>1973</v>
      </c>
      <c r="E678" s="317" t="s">
        <v>1973</v>
      </c>
      <c r="F678" s="318">
        <v>2</v>
      </c>
      <c r="G678" s="354" t="s">
        <v>75</v>
      </c>
      <c r="H678" s="320">
        <v>92000</v>
      </c>
      <c r="I678" s="319" t="b">
        <v>0</v>
      </c>
      <c r="J678" s="372"/>
      <c r="K678" s="373" t="s">
        <v>1973</v>
      </c>
      <c r="L678" s="374" t="e">
        <f t="shared" si="17"/>
        <v>#VALUE!</v>
      </c>
      <c r="M678" s="325"/>
    </row>
    <row r="679" spans="1:13" ht="13">
      <c r="A679" s="316" t="s">
        <v>540</v>
      </c>
      <c r="B679" s="316" t="s">
        <v>1973</v>
      </c>
      <c r="C679" s="316" t="s">
        <v>1973</v>
      </c>
      <c r="D679" s="316" t="s">
        <v>1973</v>
      </c>
      <c r="E679" s="317" t="s">
        <v>1973</v>
      </c>
      <c r="F679" s="318">
        <v>6</v>
      </c>
      <c r="G679" s="354" t="s">
        <v>36</v>
      </c>
      <c r="H679" s="320">
        <v>1020000</v>
      </c>
      <c r="I679" s="319" t="b">
        <v>0</v>
      </c>
      <c r="J679" s="372"/>
      <c r="K679" s="373" t="s">
        <v>1973</v>
      </c>
      <c r="L679" s="374" t="e">
        <f t="shared" si="17"/>
        <v>#VALUE!</v>
      </c>
      <c r="M679" s="325"/>
    </row>
    <row r="680" spans="1:13" ht="13">
      <c r="A680" s="316" t="s">
        <v>590</v>
      </c>
      <c r="B680" s="316" t="s">
        <v>1973</v>
      </c>
      <c r="C680" s="316" t="s">
        <v>1973</v>
      </c>
      <c r="D680" s="316" t="s">
        <v>1973</v>
      </c>
      <c r="E680" s="317" t="s">
        <v>1973</v>
      </c>
      <c r="F680" s="318">
        <v>1</v>
      </c>
      <c r="G680" s="354" t="s">
        <v>62</v>
      </c>
      <c r="H680" s="320">
        <v>85000</v>
      </c>
      <c r="I680" s="319" t="b">
        <v>0</v>
      </c>
      <c r="J680" s="372"/>
      <c r="K680" s="373" t="s">
        <v>1973</v>
      </c>
      <c r="L680" s="374" t="e">
        <f t="shared" si="17"/>
        <v>#VALUE!</v>
      </c>
      <c r="M680" s="325"/>
    </row>
    <row r="681" spans="1:13" ht="13">
      <c r="A681" s="316" t="s">
        <v>1602</v>
      </c>
      <c r="B681" s="316" t="s">
        <v>1973</v>
      </c>
      <c r="C681" s="316" t="s">
        <v>1973</v>
      </c>
      <c r="D681" s="316" t="s">
        <v>1973</v>
      </c>
      <c r="E681" s="317" t="s">
        <v>1973</v>
      </c>
      <c r="F681" s="318">
        <v>4</v>
      </c>
      <c r="G681" s="354" t="s">
        <v>36</v>
      </c>
      <c r="H681" s="320">
        <v>52000</v>
      </c>
      <c r="I681" s="395" t="b">
        <v>1</v>
      </c>
      <c r="J681" s="322">
        <v>4</v>
      </c>
      <c r="K681" s="323">
        <v>14000</v>
      </c>
      <c r="L681" s="379">
        <f t="shared" si="17"/>
        <v>56000</v>
      </c>
      <c r="M681" s="325" t="s">
        <v>1745</v>
      </c>
    </row>
    <row r="682" spans="1:13" ht="13">
      <c r="A682" s="316" t="s">
        <v>528</v>
      </c>
      <c r="B682" s="316" t="s">
        <v>1973</v>
      </c>
      <c r="C682" s="316" t="s">
        <v>1973</v>
      </c>
      <c r="D682" s="316" t="s">
        <v>1973</v>
      </c>
      <c r="E682" s="317" t="s">
        <v>1973</v>
      </c>
      <c r="F682" s="318">
        <v>8</v>
      </c>
      <c r="G682" s="354" t="s">
        <v>50</v>
      </c>
      <c r="H682" s="320">
        <v>124000</v>
      </c>
      <c r="I682" s="395" t="b">
        <v>1</v>
      </c>
      <c r="J682" s="322">
        <v>8</v>
      </c>
      <c r="K682" s="323">
        <v>16000</v>
      </c>
      <c r="L682" s="379">
        <f t="shared" si="17"/>
        <v>128000</v>
      </c>
      <c r="M682" s="325" t="s">
        <v>1745</v>
      </c>
    </row>
    <row r="683" spans="1:13" ht="13">
      <c r="A683" s="316" t="s">
        <v>1603</v>
      </c>
      <c r="B683" s="316" t="s">
        <v>1973</v>
      </c>
      <c r="C683" s="316" t="s">
        <v>1973</v>
      </c>
      <c r="D683" s="316" t="s">
        <v>1973</v>
      </c>
      <c r="E683" s="317" t="s">
        <v>1973</v>
      </c>
      <c r="F683" s="318">
        <v>1</v>
      </c>
      <c r="G683" s="354" t="s">
        <v>62</v>
      </c>
      <c r="H683" s="320">
        <v>60000</v>
      </c>
      <c r="I683" s="393" t="b">
        <v>1</v>
      </c>
      <c r="J683" s="322">
        <v>1</v>
      </c>
      <c r="K683" s="323" t="e">
        <f>VLOOKUP($A683,'[1]Database Bahan &amp; Alat (Terupdat'!$B$50:$N$232,6,FALSE)</f>
        <v>#N/A</v>
      </c>
      <c r="L683" s="371" t="e">
        <f t="shared" si="17"/>
        <v>#N/A</v>
      </c>
      <c r="M683" s="325"/>
    </row>
    <row r="684" spans="1:13" ht="13">
      <c r="A684" s="316" t="s">
        <v>635</v>
      </c>
      <c r="B684" s="316" t="s">
        <v>1973</v>
      </c>
      <c r="C684" s="316" t="s">
        <v>1973</v>
      </c>
      <c r="D684" s="316" t="s">
        <v>1973</v>
      </c>
      <c r="E684" s="317" t="s">
        <v>1973</v>
      </c>
      <c r="F684" s="318">
        <v>22</v>
      </c>
      <c r="G684" s="354" t="s">
        <v>50</v>
      </c>
      <c r="H684" s="320">
        <v>198000</v>
      </c>
      <c r="I684" s="395" t="b">
        <v>1</v>
      </c>
      <c r="J684" s="322">
        <v>22</v>
      </c>
      <c r="K684" s="323">
        <v>9500</v>
      </c>
      <c r="L684" s="379">
        <f t="shared" si="17"/>
        <v>209000</v>
      </c>
      <c r="M684" s="325" t="s">
        <v>1745</v>
      </c>
    </row>
    <row r="685" spans="1:13" ht="13">
      <c r="A685" s="316" t="s">
        <v>680</v>
      </c>
      <c r="B685" s="316" t="s">
        <v>1973</v>
      </c>
      <c r="C685" s="316" t="s">
        <v>1973</v>
      </c>
      <c r="D685" s="316" t="s">
        <v>1973</v>
      </c>
      <c r="E685" s="317" t="s">
        <v>1973</v>
      </c>
      <c r="F685" s="318">
        <v>5</v>
      </c>
      <c r="G685" s="354" t="s">
        <v>97</v>
      </c>
      <c r="H685" s="320">
        <v>145000</v>
      </c>
      <c r="I685" s="393" t="b">
        <v>1</v>
      </c>
      <c r="J685" s="322">
        <v>5</v>
      </c>
      <c r="K685" s="323" t="s">
        <v>1973</v>
      </c>
      <c r="L685" s="371" t="e">
        <f t="shared" si="17"/>
        <v>#VALUE!</v>
      </c>
      <c r="M685" s="325"/>
    </row>
    <row r="686" spans="1:13" ht="13">
      <c r="A686" s="316" t="s">
        <v>696</v>
      </c>
      <c r="B686" s="316" t="s">
        <v>1973</v>
      </c>
      <c r="C686" s="316" t="s">
        <v>1973</v>
      </c>
      <c r="D686" s="316" t="s">
        <v>1973</v>
      </c>
      <c r="E686" s="317" t="s">
        <v>1973</v>
      </c>
      <c r="F686" s="318">
        <v>6</v>
      </c>
      <c r="G686" s="354" t="s">
        <v>62</v>
      </c>
      <c r="H686" s="320">
        <v>60000</v>
      </c>
      <c r="I686" s="393" t="b">
        <v>1</v>
      </c>
      <c r="J686" s="322">
        <v>6</v>
      </c>
      <c r="K686" s="323" t="s">
        <v>1973</v>
      </c>
      <c r="L686" s="371" t="e">
        <f t="shared" si="17"/>
        <v>#VALUE!</v>
      </c>
      <c r="M686" s="325"/>
    </row>
  </sheetData>
  <mergeCells count="64">
    <mergeCell ref="F352:H352"/>
    <mergeCell ref="J352:L352"/>
    <mergeCell ref="F353:G353"/>
    <mergeCell ref="J353:K353"/>
    <mergeCell ref="F474:H474"/>
    <mergeCell ref="J474:L474"/>
    <mergeCell ref="J475:K475"/>
    <mergeCell ref="F475:G475"/>
    <mergeCell ref="F485:H485"/>
    <mergeCell ref="J485:L485"/>
    <mergeCell ref="F486:G486"/>
    <mergeCell ref="J486:K486"/>
    <mergeCell ref="F567:G567"/>
    <mergeCell ref="J567:K567"/>
    <mergeCell ref="F506:H506"/>
    <mergeCell ref="F507:G507"/>
    <mergeCell ref="J506:L506"/>
    <mergeCell ref="J507:K507"/>
    <mergeCell ref="F552:H552"/>
    <mergeCell ref="J552:L552"/>
    <mergeCell ref="J134:K134"/>
    <mergeCell ref="J198:L198"/>
    <mergeCell ref="J199:K199"/>
    <mergeCell ref="F134:G134"/>
    <mergeCell ref="F166:H166"/>
    <mergeCell ref="J166:L166"/>
    <mergeCell ref="F167:G167"/>
    <mergeCell ref="J167:K167"/>
    <mergeCell ref="F198:H198"/>
    <mergeCell ref="F199:G199"/>
    <mergeCell ref="F4:H4"/>
    <mergeCell ref="J4:L4"/>
    <mergeCell ref="F5:G5"/>
    <mergeCell ref="J5:K5"/>
    <mergeCell ref="F133:H133"/>
    <mergeCell ref="J133:L133"/>
    <mergeCell ref="F257:H257"/>
    <mergeCell ref="J257:L257"/>
    <mergeCell ref="F258:G258"/>
    <mergeCell ref="J258:K258"/>
    <mergeCell ref="F276:H276"/>
    <mergeCell ref="J276:L276"/>
    <mergeCell ref="J277:K277"/>
    <mergeCell ref="F277:G277"/>
    <mergeCell ref="F305:H305"/>
    <mergeCell ref="J305:L305"/>
    <mergeCell ref="F306:G306"/>
    <mergeCell ref="J306:K306"/>
    <mergeCell ref="F613:H613"/>
    <mergeCell ref="J613:L613"/>
    <mergeCell ref="F614:G614"/>
    <mergeCell ref="J614:K614"/>
    <mergeCell ref="J318:L318"/>
    <mergeCell ref="J319:K319"/>
    <mergeCell ref="F318:H318"/>
    <mergeCell ref="F319:G319"/>
    <mergeCell ref="F587:H587"/>
    <mergeCell ref="J587:L587"/>
    <mergeCell ref="F588:G588"/>
    <mergeCell ref="J588:K588"/>
    <mergeCell ref="F553:G553"/>
    <mergeCell ref="J553:K553"/>
    <mergeCell ref="J566:L566"/>
    <mergeCell ref="F566:H56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E00-000000000000}">
          <x14:formula1>
            <xm:f>'Database Bahan &amp; Alat (Terupdate)'!#REF!</xm:f>
          </x14:formula1>
          <xm:sqref>A8:A130 A137:A163 A170:A195 A202:A254 A260:A273 A279:A303 A308:A316 A321:A350 A355:A472 A477:A483 A488:A504 A509:A550 A555:A564 A569:A585 A590:A611 A616:A686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M619"/>
  <sheetViews>
    <sheetView workbookViewId="0">
      <pane xSplit="1" topLeftCell="B1" activePane="topRight" state="frozen"/>
      <selection pane="topRight" activeCell="C2" sqref="C2"/>
    </sheetView>
  </sheetViews>
  <sheetFormatPr baseColWidth="10" defaultColWidth="12.6640625" defaultRowHeight="15.75" customHeight="1"/>
  <cols>
    <col min="1" max="1" width="26.33203125" customWidth="1"/>
    <col min="2" max="2" width="4.83203125" hidden="1" customWidth="1"/>
    <col min="3" max="3" width="5.6640625" hidden="1" customWidth="1"/>
    <col min="4" max="4" width="5.83203125" hidden="1" customWidth="1"/>
    <col min="5" max="5" width="13.1640625" customWidth="1"/>
    <col min="6" max="6" width="8.33203125" customWidth="1"/>
    <col min="7" max="7" width="8.6640625" customWidth="1"/>
    <col min="8" max="8" width="11.5" customWidth="1"/>
    <col min="9" max="9" width="7.83203125" customWidth="1"/>
    <col min="10" max="11" width="9.33203125" customWidth="1"/>
    <col min="12" max="12" width="11.5" customWidth="1"/>
    <col min="13" max="13" width="52.33203125" customWidth="1"/>
  </cols>
  <sheetData>
    <row r="1" spans="1:13" ht="15.75" customHeight="1">
      <c r="A1" s="303" t="s">
        <v>1773</v>
      </c>
    </row>
    <row r="2" spans="1:13" ht="15.75" customHeight="1">
      <c r="A2" s="303" t="s">
        <v>2</v>
      </c>
    </row>
    <row r="4" spans="1:13" ht="15.75" customHeight="1">
      <c r="F4" s="429">
        <v>44561</v>
      </c>
      <c r="G4" s="428"/>
      <c r="H4" s="424"/>
      <c r="J4" s="429">
        <f>F4+1</f>
        <v>44562</v>
      </c>
      <c r="K4" s="428"/>
      <c r="L4" s="424"/>
    </row>
    <row r="5" spans="1:13" ht="15.75" customHeight="1">
      <c r="F5" s="425" t="s">
        <v>1490</v>
      </c>
      <c r="G5" s="426"/>
      <c r="H5" s="304">
        <f>SUM(H7:H31)</f>
        <v>1002364</v>
      </c>
      <c r="J5" s="425" t="s">
        <v>1491</v>
      </c>
      <c r="K5" s="426"/>
      <c r="L5" s="304" t="e">
        <f>SUM(L7:L31)</f>
        <v>#N/A</v>
      </c>
    </row>
    <row r="6" spans="1:13" ht="15.75" customHeight="1">
      <c r="A6" s="2" t="s">
        <v>4</v>
      </c>
      <c r="B6" s="305" t="s">
        <v>5</v>
      </c>
      <c r="C6" s="305" t="s">
        <v>11</v>
      </c>
      <c r="D6" s="305" t="s">
        <v>12</v>
      </c>
      <c r="E6" s="306" t="s">
        <v>6</v>
      </c>
      <c r="F6" s="307" t="s">
        <v>1494</v>
      </c>
      <c r="G6" s="308" t="s">
        <v>10</v>
      </c>
      <c r="H6" s="309" t="s">
        <v>1495</v>
      </c>
      <c r="I6" s="310" t="s">
        <v>1289</v>
      </c>
      <c r="J6" s="311" t="s">
        <v>1496</v>
      </c>
      <c r="K6" s="312" t="s">
        <v>1497</v>
      </c>
      <c r="L6" s="313" t="s">
        <v>1498</v>
      </c>
      <c r="M6" s="314" t="s">
        <v>16</v>
      </c>
    </row>
    <row r="7" spans="1:13" ht="15.75" customHeight="1">
      <c r="A7" s="316" t="s">
        <v>1598</v>
      </c>
      <c r="B7" s="316" t="s">
        <v>1973</v>
      </c>
      <c r="C7" s="316" t="s">
        <v>1973</v>
      </c>
      <c r="D7" s="316" t="s">
        <v>1973</v>
      </c>
      <c r="E7" s="317" t="s">
        <v>1973</v>
      </c>
      <c r="F7" s="318">
        <v>2</v>
      </c>
      <c r="G7" s="354" t="s">
        <v>97</v>
      </c>
      <c r="H7" s="320">
        <v>20800</v>
      </c>
      <c r="I7" s="395" t="b">
        <v>1</v>
      </c>
      <c r="J7" s="322">
        <v>1</v>
      </c>
      <c r="K7" s="323">
        <v>17600</v>
      </c>
      <c r="L7" s="379">
        <f t="shared" ref="L7:L31" si="0">J7*K7</f>
        <v>17600</v>
      </c>
      <c r="M7" s="325" t="s">
        <v>1774</v>
      </c>
    </row>
    <row r="8" spans="1:13" ht="15.75" customHeight="1">
      <c r="A8" s="316" t="s">
        <v>782</v>
      </c>
      <c r="B8" s="316" t="s">
        <v>1973</v>
      </c>
      <c r="C8" s="316" t="s">
        <v>1973</v>
      </c>
      <c r="D8" s="316" t="s">
        <v>1973</v>
      </c>
      <c r="E8" s="317" t="s">
        <v>1973</v>
      </c>
      <c r="F8" s="318">
        <v>2</v>
      </c>
      <c r="G8" s="354" t="s">
        <v>62</v>
      </c>
      <c r="H8" s="320">
        <v>24000</v>
      </c>
      <c r="I8" s="319" t="b">
        <v>0</v>
      </c>
      <c r="J8" s="372"/>
      <c r="K8" s="373" t="e">
        <f>VLOOKUP($A8,'[1]Database Bahan &amp; Alat (Terupdat'!$B$50:$N$232,6,FALSE)</f>
        <v>#N/A</v>
      </c>
      <c r="L8" s="374" t="e">
        <f t="shared" si="0"/>
        <v>#N/A</v>
      </c>
      <c r="M8" s="325"/>
    </row>
    <row r="9" spans="1:13" ht="15.75" customHeight="1">
      <c r="A9" s="316" t="s">
        <v>1670</v>
      </c>
      <c r="B9" s="316" t="s">
        <v>1973</v>
      </c>
      <c r="C9" s="316" t="s">
        <v>1973</v>
      </c>
      <c r="D9" s="316" t="s">
        <v>1973</v>
      </c>
      <c r="E9" s="317" t="s">
        <v>1973</v>
      </c>
      <c r="F9" s="318">
        <v>1</v>
      </c>
      <c r="G9" s="354" t="s">
        <v>62</v>
      </c>
      <c r="H9" s="320">
        <v>10350</v>
      </c>
      <c r="I9" s="395" t="b">
        <v>1</v>
      </c>
      <c r="J9" s="322">
        <v>1</v>
      </c>
      <c r="K9" s="323">
        <v>9800</v>
      </c>
      <c r="L9" s="380">
        <f t="shared" si="0"/>
        <v>9800</v>
      </c>
      <c r="M9" s="325" t="s">
        <v>1775</v>
      </c>
    </row>
    <row r="10" spans="1:13" ht="15.75" customHeight="1">
      <c r="A10" s="316" t="s">
        <v>1607</v>
      </c>
      <c r="B10" s="316" t="s">
        <v>1973</v>
      </c>
      <c r="C10" s="316" t="s">
        <v>1973</v>
      </c>
      <c r="D10" s="316" t="s">
        <v>1973</v>
      </c>
      <c r="E10" s="317" t="s">
        <v>1973</v>
      </c>
      <c r="F10" s="318">
        <v>1</v>
      </c>
      <c r="G10" s="354" t="s">
        <v>62</v>
      </c>
      <c r="H10" s="320">
        <v>10050</v>
      </c>
      <c r="I10" s="319" t="b">
        <v>0</v>
      </c>
      <c r="J10" s="372"/>
      <c r="K10" s="373" t="e">
        <f>VLOOKUP($A10,'[1]Database Bahan &amp; Alat (Terupdat'!$B$50:$N$232,6,FALSE)</f>
        <v>#N/A</v>
      </c>
      <c r="L10" s="374" t="e">
        <f t="shared" si="0"/>
        <v>#N/A</v>
      </c>
      <c r="M10" s="325"/>
    </row>
    <row r="11" spans="1:13" ht="15.75" customHeight="1">
      <c r="A11" s="316" t="s">
        <v>919</v>
      </c>
      <c r="B11" s="316" t="s">
        <v>1973</v>
      </c>
      <c r="C11" s="316" t="s">
        <v>1973</v>
      </c>
      <c r="D11" s="316" t="s">
        <v>1973</v>
      </c>
      <c r="E11" s="317" t="s">
        <v>1973</v>
      </c>
      <c r="F11" s="318">
        <v>2</v>
      </c>
      <c r="G11" s="354" t="s">
        <v>62</v>
      </c>
      <c r="H11" s="320">
        <v>19800</v>
      </c>
      <c r="I11" s="395" t="b">
        <v>1</v>
      </c>
      <c r="J11" s="322">
        <v>2</v>
      </c>
      <c r="K11" s="323">
        <v>8800</v>
      </c>
      <c r="L11" s="380">
        <f t="shared" si="0"/>
        <v>17600</v>
      </c>
      <c r="M11" s="325" t="s">
        <v>1776</v>
      </c>
    </row>
    <row r="12" spans="1:13" ht="15.75" customHeight="1">
      <c r="A12" s="18" t="s">
        <v>1609</v>
      </c>
      <c r="B12" s="316" t="s">
        <v>1973</v>
      </c>
      <c r="C12" s="316" t="s">
        <v>1973</v>
      </c>
      <c r="D12" s="316" t="s">
        <v>1973</v>
      </c>
      <c r="E12" s="317" t="s">
        <v>1973</v>
      </c>
      <c r="F12" s="318">
        <v>6</v>
      </c>
      <c r="G12" s="354" t="s">
        <v>36</v>
      </c>
      <c r="H12" s="320">
        <v>240000</v>
      </c>
      <c r="I12" s="393" t="b">
        <v>1</v>
      </c>
      <c r="J12" s="409">
        <v>6</v>
      </c>
      <c r="K12" s="366" t="e">
        <f>VLOOKUP($A12,'[1]Database Bahan &amp; Alat (Terupdat'!$B$50:$N$232,6,FALSE)</f>
        <v>#N/A</v>
      </c>
      <c r="L12" s="371" t="e">
        <f t="shared" si="0"/>
        <v>#N/A</v>
      </c>
      <c r="M12" s="325"/>
    </row>
    <row r="13" spans="1:13" ht="15.75" customHeight="1">
      <c r="A13" s="316" t="s">
        <v>631</v>
      </c>
      <c r="B13" s="316" t="s">
        <v>1973</v>
      </c>
      <c r="C13" s="316" t="s">
        <v>1973</v>
      </c>
      <c r="D13" s="316" t="s">
        <v>1973</v>
      </c>
      <c r="E13" s="317" t="s">
        <v>1973</v>
      </c>
      <c r="F13" s="318">
        <v>0.5</v>
      </c>
      <c r="G13" s="354" t="s">
        <v>36</v>
      </c>
      <c r="H13" s="320">
        <v>8000</v>
      </c>
      <c r="I13" s="395" t="b">
        <v>1</v>
      </c>
      <c r="J13" s="322">
        <v>1</v>
      </c>
      <c r="K13" s="323">
        <v>22000</v>
      </c>
      <c r="L13" s="379">
        <f t="shared" si="0"/>
        <v>22000</v>
      </c>
      <c r="M13" s="325" t="s">
        <v>1777</v>
      </c>
    </row>
    <row r="14" spans="1:13" ht="15.75" customHeight="1">
      <c r="A14" s="316" t="s">
        <v>1610</v>
      </c>
      <c r="B14" s="316" t="s">
        <v>1973</v>
      </c>
      <c r="C14" s="316" t="s">
        <v>1973</v>
      </c>
      <c r="D14" s="316" t="s">
        <v>1973</v>
      </c>
      <c r="E14" s="317" t="s">
        <v>1973</v>
      </c>
      <c r="F14" s="318">
        <v>1</v>
      </c>
      <c r="G14" s="354" t="s">
        <v>36</v>
      </c>
      <c r="H14" s="320">
        <v>8000</v>
      </c>
      <c r="I14" s="395" t="b">
        <v>1</v>
      </c>
      <c r="J14" s="322">
        <v>1</v>
      </c>
      <c r="K14" s="323">
        <v>10000</v>
      </c>
      <c r="L14" s="379">
        <f t="shared" si="0"/>
        <v>10000</v>
      </c>
      <c r="M14" s="325" t="s">
        <v>1715</v>
      </c>
    </row>
    <row r="15" spans="1:13" ht="15.75" customHeight="1">
      <c r="A15" s="316" t="s">
        <v>1611</v>
      </c>
      <c r="B15" s="316" t="s">
        <v>1973</v>
      </c>
      <c r="C15" s="316" t="s">
        <v>1973</v>
      </c>
      <c r="D15" s="316" t="s">
        <v>1973</v>
      </c>
      <c r="E15" s="317" t="s">
        <v>1973</v>
      </c>
      <c r="F15" s="318">
        <v>2</v>
      </c>
      <c r="G15" s="354" t="s">
        <v>36</v>
      </c>
      <c r="H15" s="320">
        <v>80000</v>
      </c>
      <c r="I15" s="395" t="b">
        <v>1</v>
      </c>
      <c r="J15" s="322">
        <v>2</v>
      </c>
      <c r="K15" s="323">
        <v>60000</v>
      </c>
      <c r="L15" s="379">
        <f t="shared" si="0"/>
        <v>120000</v>
      </c>
      <c r="M15" s="325" t="s">
        <v>1778</v>
      </c>
    </row>
    <row r="16" spans="1:13" ht="15.75" customHeight="1">
      <c r="A16" s="316" t="s">
        <v>1698</v>
      </c>
      <c r="B16" s="316" t="s">
        <v>1973</v>
      </c>
      <c r="C16" s="316" t="s">
        <v>1973</v>
      </c>
      <c r="D16" s="316" t="s">
        <v>1973</v>
      </c>
      <c r="E16" s="317" t="s">
        <v>1973</v>
      </c>
      <c r="F16" s="318">
        <v>3</v>
      </c>
      <c r="G16" s="354" t="s">
        <v>36</v>
      </c>
      <c r="H16" s="320">
        <v>96000</v>
      </c>
      <c r="I16" s="395" t="b">
        <v>1</v>
      </c>
      <c r="J16" s="322">
        <v>0.5</v>
      </c>
      <c r="K16" s="323">
        <v>40000</v>
      </c>
      <c r="L16" s="379">
        <f t="shared" si="0"/>
        <v>20000</v>
      </c>
      <c r="M16" s="325" t="s">
        <v>1779</v>
      </c>
    </row>
    <row r="17" spans="1:13" ht="15.75" customHeight="1">
      <c r="A17" s="316" t="s">
        <v>675</v>
      </c>
      <c r="B17" s="316" t="s">
        <v>1973</v>
      </c>
      <c r="C17" s="316" t="s">
        <v>1973</v>
      </c>
      <c r="D17" s="316" t="s">
        <v>1973</v>
      </c>
      <c r="E17" s="317" t="s">
        <v>1973</v>
      </c>
      <c r="F17" s="318">
        <v>15</v>
      </c>
      <c r="G17" s="354" t="s">
        <v>62</v>
      </c>
      <c r="H17" s="320">
        <v>52500</v>
      </c>
      <c r="I17" s="393" t="b">
        <v>1</v>
      </c>
      <c r="J17" s="322">
        <v>7</v>
      </c>
      <c r="K17" s="323" t="e">
        <f>VLOOKUP($A17,'[1]Database Bahan &amp; Alat (Terupdat'!$B$50:$N$232,6,FALSE)</f>
        <v>#N/A</v>
      </c>
      <c r="L17" s="371" t="e">
        <f t="shared" si="0"/>
        <v>#N/A</v>
      </c>
      <c r="M17" s="325"/>
    </row>
    <row r="18" spans="1:13" ht="15.75" customHeight="1">
      <c r="A18" s="316" t="s">
        <v>732</v>
      </c>
      <c r="B18" s="316" t="s">
        <v>1973</v>
      </c>
      <c r="C18" s="316" t="s">
        <v>1973</v>
      </c>
      <c r="D18" s="316" t="s">
        <v>1973</v>
      </c>
      <c r="E18" s="317" t="s">
        <v>1973</v>
      </c>
      <c r="F18" s="318">
        <v>2</v>
      </c>
      <c r="G18" s="354" t="s">
        <v>36</v>
      </c>
      <c r="H18" s="320">
        <v>44000</v>
      </c>
      <c r="I18" s="395" t="b">
        <v>1</v>
      </c>
      <c r="J18" s="322">
        <v>1</v>
      </c>
      <c r="K18" s="323">
        <v>26000</v>
      </c>
      <c r="L18" s="379">
        <f t="shared" si="0"/>
        <v>26000</v>
      </c>
      <c r="M18" s="325" t="s">
        <v>1716</v>
      </c>
    </row>
    <row r="19" spans="1:13" ht="15.75" customHeight="1">
      <c r="A19" s="316" t="s">
        <v>744</v>
      </c>
      <c r="B19" s="316" t="s">
        <v>1973</v>
      </c>
      <c r="C19" s="316" t="s">
        <v>1973</v>
      </c>
      <c r="D19" s="316" t="s">
        <v>1973</v>
      </c>
      <c r="E19" s="317" t="s">
        <v>1973</v>
      </c>
      <c r="F19" s="318">
        <v>1</v>
      </c>
      <c r="G19" s="354" t="s">
        <v>36</v>
      </c>
      <c r="H19" s="320">
        <v>44000</v>
      </c>
      <c r="I19" s="395" t="b">
        <v>1</v>
      </c>
      <c r="J19" s="322">
        <v>1</v>
      </c>
      <c r="K19" s="323">
        <v>80000</v>
      </c>
      <c r="L19" s="379">
        <f t="shared" si="0"/>
        <v>80000</v>
      </c>
      <c r="M19" s="325" t="s">
        <v>1780</v>
      </c>
    </row>
    <row r="20" spans="1:13" ht="15.75" customHeight="1">
      <c r="A20" s="316" t="s">
        <v>1704</v>
      </c>
      <c r="B20" s="316" t="s">
        <v>1973</v>
      </c>
      <c r="C20" s="316" t="s">
        <v>1973</v>
      </c>
      <c r="D20" s="316" t="s">
        <v>1973</v>
      </c>
      <c r="E20" s="317" t="s">
        <v>1973</v>
      </c>
      <c r="F20" s="318">
        <v>1</v>
      </c>
      <c r="G20" s="354" t="s">
        <v>36</v>
      </c>
      <c r="H20" s="320">
        <v>12000</v>
      </c>
      <c r="I20" s="395" t="b">
        <v>1</v>
      </c>
      <c r="J20" s="322">
        <v>1</v>
      </c>
      <c r="K20" s="323">
        <v>5000</v>
      </c>
      <c r="L20" s="380">
        <f t="shared" si="0"/>
        <v>5000</v>
      </c>
      <c r="M20" s="325" t="s">
        <v>1781</v>
      </c>
    </row>
    <row r="21" spans="1:13" ht="15.75" customHeight="1">
      <c r="A21" s="316" t="s">
        <v>1501</v>
      </c>
      <c r="B21" s="316" t="s">
        <v>1973</v>
      </c>
      <c r="C21" s="316" t="s">
        <v>1973</v>
      </c>
      <c r="D21" s="316" t="s">
        <v>1973</v>
      </c>
      <c r="E21" s="317" t="s">
        <v>1973</v>
      </c>
      <c r="F21" s="318">
        <v>1</v>
      </c>
      <c r="G21" s="354" t="s">
        <v>36</v>
      </c>
      <c r="H21" s="320">
        <v>4050</v>
      </c>
      <c r="I21" s="319" t="b">
        <v>0</v>
      </c>
      <c r="J21" s="372"/>
      <c r="K21" s="373" t="e">
        <f>VLOOKUP($A21,'[1]Database Bahan &amp; Alat (Terupdat'!$B$50:$N$232,6,FALSE)</f>
        <v>#N/A</v>
      </c>
      <c r="L21" s="374" t="e">
        <f t="shared" si="0"/>
        <v>#N/A</v>
      </c>
      <c r="M21" s="325"/>
    </row>
    <row r="22" spans="1:13" ht="15.75" customHeight="1">
      <c r="A22" s="316" t="s">
        <v>1608</v>
      </c>
      <c r="B22" s="316" t="s">
        <v>1973</v>
      </c>
      <c r="C22" s="316" t="s">
        <v>1973</v>
      </c>
      <c r="D22" s="316" t="s">
        <v>1973</v>
      </c>
      <c r="E22" s="317" t="s">
        <v>1973</v>
      </c>
      <c r="F22" s="318">
        <v>1</v>
      </c>
      <c r="G22" s="354" t="s">
        <v>36</v>
      </c>
      <c r="H22" s="320">
        <v>34000</v>
      </c>
      <c r="I22" s="395" t="b">
        <v>1</v>
      </c>
      <c r="J22" s="322">
        <v>1</v>
      </c>
      <c r="K22" s="323">
        <v>38000</v>
      </c>
      <c r="L22" s="379">
        <f t="shared" si="0"/>
        <v>38000</v>
      </c>
      <c r="M22" s="325" t="s">
        <v>1716</v>
      </c>
    </row>
    <row r="23" spans="1:13" ht="15.75" customHeight="1">
      <c r="A23" s="316" t="s">
        <v>1703</v>
      </c>
      <c r="B23" s="316" t="s">
        <v>1973</v>
      </c>
      <c r="C23" s="316" t="s">
        <v>1973</v>
      </c>
      <c r="D23" s="316" t="s">
        <v>1973</v>
      </c>
      <c r="E23" s="317" t="s">
        <v>1973</v>
      </c>
      <c r="F23" s="318">
        <v>2</v>
      </c>
      <c r="G23" s="354" t="s">
        <v>62</v>
      </c>
      <c r="H23" s="320">
        <v>44814</v>
      </c>
      <c r="I23" s="319" t="b">
        <v>0</v>
      </c>
      <c r="J23" s="372"/>
      <c r="K23" s="373" t="s">
        <v>1973</v>
      </c>
      <c r="L23" s="374" t="e">
        <f t="shared" si="0"/>
        <v>#VALUE!</v>
      </c>
      <c r="M23" s="325"/>
    </row>
    <row r="24" spans="1:13" ht="15.75" customHeight="1">
      <c r="A24" s="316" t="s">
        <v>1751</v>
      </c>
      <c r="B24" s="316" t="s">
        <v>1973</v>
      </c>
      <c r="C24" s="316" t="s">
        <v>1973</v>
      </c>
      <c r="D24" s="316" t="s">
        <v>1973</v>
      </c>
      <c r="E24" s="317" t="s">
        <v>1973</v>
      </c>
      <c r="F24" s="318">
        <v>5</v>
      </c>
      <c r="G24" s="354" t="s">
        <v>36</v>
      </c>
      <c r="H24" s="320">
        <v>60000</v>
      </c>
      <c r="I24" s="319" t="b">
        <v>0</v>
      </c>
      <c r="J24" s="372"/>
      <c r="K24" s="373" t="s">
        <v>1973</v>
      </c>
      <c r="L24" s="374" t="e">
        <f t="shared" si="0"/>
        <v>#VALUE!</v>
      </c>
      <c r="M24" s="325"/>
    </row>
    <row r="25" spans="1:13" ht="15.75" customHeight="1">
      <c r="A25" s="316" t="s">
        <v>1606</v>
      </c>
      <c r="B25" s="316" t="s">
        <v>1973</v>
      </c>
      <c r="C25" s="316" t="s">
        <v>1973</v>
      </c>
      <c r="D25" s="316" t="s">
        <v>1973</v>
      </c>
      <c r="E25" s="317" t="s">
        <v>1973</v>
      </c>
      <c r="F25" s="318">
        <v>1</v>
      </c>
      <c r="G25" s="354" t="s">
        <v>36</v>
      </c>
      <c r="H25" s="320">
        <v>35000</v>
      </c>
      <c r="I25" s="395" t="b">
        <v>1</v>
      </c>
      <c r="J25" s="322">
        <v>0.60399999999999998</v>
      </c>
      <c r="K25" s="323">
        <v>43200</v>
      </c>
      <c r="L25" s="408">
        <f t="shared" si="0"/>
        <v>26092.799999999999</v>
      </c>
      <c r="M25" s="325" t="s">
        <v>1782</v>
      </c>
    </row>
    <row r="26" spans="1:13" ht="15.75" customHeight="1">
      <c r="A26" s="316" t="s">
        <v>1602</v>
      </c>
      <c r="B26" s="316" t="s">
        <v>1973</v>
      </c>
      <c r="C26" s="316" t="s">
        <v>1973</v>
      </c>
      <c r="D26" s="316" t="s">
        <v>1973</v>
      </c>
      <c r="E26" s="317" t="s">
        <v>1973</v>
      </c>
      <c r="F26" s="318">
        <v>2</v>
      </c>
      <c r="G26" s="354" t="s">
        <v>36</v>
      </c>
      <c r="H26" s="320">
        <v>26000</v>
      </c>
      <c r="I26" s="319" t="b">
        <v>0</v>
      </c>
      <c r="J26" s="372"/>
      <c r="K26" s="373" t="s">
        <v>1973</v>
      </c>
      <c r="L26" s="374" t="e">
        <f t="shared" si="0"/>
        <v>#VALUE!</v>
      </c>
      <c r="M26" s="325"/>
    </row>
    <row r="27" spans="1:13" ht="15.75" customHeight="1">
      <c r="A27" s="316" t="s">
        <v>528</v>
      </c>
      <c r="B27" s="316" t="s">
        <v>1973</v>
      </c>
      <c r="C27" s="316" t="s">
        <v>1973</v>
      </c>
      <c r="D27" s="316" t="s">
        <v>1973</v>
      </c>
      <c r="E27" s="317" t="s">
        <v>1973</v>
      </c>
      <c r="F27" s="318">
        <v>2</v>
      </c>
      <c r="G27" s="354" t="s">
        <v>50</v>
      </c>
      <c r="H27" s="320">
        <v>31000</v>
      </c>
      <c r="I27" s="393" t="b">
        <v>1</v>
      </c>
      <c r="J27" s="322">
        <v>2</v>
      </c>
      <c r="K27" s="323" t="s">
        <v>1973</v>
      </c>
      <c r="L27" s="371" t="e">
        <f t="shared" si="0"/>
        <v>#VALUE!</v>
      </c>
      <c r="M27" s="325"/>
    </row>
    <row r="28" spans="1:13" ht="15.75" customHeight="1">
      <c r="A28" s="316" t="s">
        <v>635</v>
      </c>
      <c r="B28" s="316" t="s">
        <v>1973</v>
      </c>
      <c r="C28" s="316" t="s">
        <v>1973</v>
      </c>
      <c r="D28" s="316" t="s">
        <v>1973</v>
      </c>
      <c r="E28" s="317" t="s">
        <v>1973</v>
      </c>
      <c r="F28" s="318">
        <v>4</v>
      </c>
      <c r="G28" s="354" t="s">
        <v>50</v>
      </c>
      <c r="H28" s="320">
        <v>36000</v>
      </c>
      <c r="I28" s="395" t="b">
        <v>1</v>
      </c>
      <c r="J28" s="322">
        <v>4</v>
      </c>
      <c r="K28" s="323">
        <v>9500</v>
      </c>
      <c r="L28" s="379">
        <f t="shared" si="0"/>
        <v>38000</v>
      </c>
      <c r="M28" s="325" t="s">
        <v>1715</v>
      </c>
    </row>
    <row r="29" spans="1:13" ht="15.75" customHeight="1">
      <c r="A29" s="316" t="s">
        <v>643</v>
      </c>
      <c r="B29" s="316" t="s">
        <v>1973</v>
      </c>
      <c r="C29" s="316" t="s">
        <v>1973</v>
      </c>
      <c r="D29" s="316" t="s">
        <v>1973</v>
      </c>
      <c r="E29" s="317" t="s">
        <v>1973</v>
      </c>
      <c r="F29" s="318">
        <v>1</v>
      </c>
      <c r="G29" s="354" t="s">
        <v>36</v>
      </c>
      <c r="H29" s="320">
        <v>15000</v>
      </c>
      <c r="I29" s="395" t="b">
        <v>1</v>
      </c>
      <c r="J29" s="322">
        <v>1</v>
      </c>
      <c r="K29" s="323">
        <v>16000</v>
      </c>
      <c r="L29" s="379">
        <f t="shared" si="0"/>
        <v>16000</v>
      </c>
      <c r="M29" s="325" t="s">
        <v>1714</v>
      </c>
    </row>
    <row r="30" spans="1:13" ht="15.75" customHeight="1">
      <c r="A30" s="316" t="s">
        <v>684</v>
      </c>
      <c r="B30" s="316" t="s">
        <v>1973</v>
      </c>
      <c r="C30" s="316" t="s">
        <v>1973</v>
      </c>
      <c r="D30" s="316" t="s">
        <v>1973</v>
      </c>
      <c r="E30" s="317" t="s">
        <v>1973</v>
      </c>
      <c r="F30" s="318">
        <v>1</v>
      </c>
      <c r="G30" s="354" t="s">
        <v>97</v>
      </c>
      <c r="H30" s="320">
        <v>29000</v>
      </c>
      <c r="I30" s="393" t="b">
        <v>1</v>
      </c>
      <c r="J30" s="322">
        <v>1</v>
      </c>
      <c r="K30" s="323" t="e">
        <f>VLOOKUP($A30,'[1]Database Bahan &amp; Alat (Terupdat'!$B$50:$N$232,6,FALSE)</f>
        <v>#N/A</v>
      </c>
      <c r="L30" s="371" t="e">
        <f t="shared" si="0"/>
        <v>#N/A</v>
      </c>
      <c r="M30" s="325"/>
    </row>
    <row r="31" spans="1:13" ht="15.75" customHeight="1">
      <c r="A31" s="316" t="s">
        <v>934</v>
      </c>
      <c r="B31" s="316" t="s">
        <v>1973</v>
      </c>
      <c r="C31" s="316" t="s">
        <v>1973</v>
      </c>
      <c r="D31" s="316" t="s">
        <v>1973</v>
      </c>
      <c r="E31" s="317" t="s">
        <v>1973</v>
      </c>
      <c r="F31" s="318">
        <v>2</v>
      </c>
      <c r="G31" s="354" t="s">
        <v>62</v>
      </c>
      <c r="H31" s="320">
        <v>18000</v>
      </c>
      <c r="I31" s="395" t="b">
        <v>1</v>
      </c>
      <c r="J31" s="322">
        <v>2</v>
      </c>
      <c r="K31" s="323">
        <v>8600</v>
      </c>
      <c r="L31" s="380">
        <f t="shared" si="0"/>
        <v>17200</v>
      </c>
      <c r="M31" s="325" t="s">
        <v>1783</v>
      </c>
    </row>
    <row r="33" spans="1:13" ht="15.75" customHeight="1">
      <c r="F33" s="429">
        <v>44563</v>
      </c>
      <c r="G33" s="428"/>
      <c r="H33" s="424"/>
      <c r="J33" s="429">
        <f>F33+1</f>
        <v>44564</v>
      </c>
      <c r="K33" s="428"/>
      <c r="L33" s="424"/>
    </row>
    <row r="34" spans="1:13" ht="15.75" customHeight="1">
      <c r="F34" s="425" t="s">
        <v>1490</v>
      </c>
      <c r="G34" s="426"/>
      <c r="H34" s="304">
        <f>SUM(H36:H41)</f>
        <v>281500</v>
      </c>
      <c r="J34" s="425" t="s">
        <v>1491</v>
      </c>
      <c r="K34" s="426"/>
      <c r="L34" s="304" t="e">
        <f>SUM(L36:L41)</f>
        <v>#N/A</v>
      </c>
    </row>
    <row r="35" spans="1:13" ht="15.75" customHeight="1">
      <c r="A35" s="2" t="s">
        <v>4</v>
      </c>
      <c r="B35" s="305" t="s">
        <v>5</v>
      </c>
      <c r="C35" s="305" t="s">
        <v>11</v>
      </c>
      <c r="D35" s="305" t="s">
        <v>12</v>
      </c>
      <c r="E35" s="306" t="s">
        <v>6</v>
      </c>
      <c r="F35" s="307" t="s">
        <v>1494</v>
      </c>
      <c r="G35" s="308" t="s">
        <v>10</v>
      </c>
      <c r="H35" s="309" t="s">
        <v>1495</v>
      </c>
      <c r="I35" s="310" t="s">
        <v>1289</v>
      </c>
      <c r="J35" s="311" t="s">
        <v>1496</v>
      </c>
      <c r="K35" s="312" t="s">
        <v>1497</v>
      </c>
      <c r="L35" s="313" t="s">
        <v>1498</v>
      </c>
      <c r="M35" s="314" t="s">
        <v>16</v>
      </c>
    </row>
    <row r="36" spans="1:13" ht="15.75" customHeight="1">
      <c r="A36" s="316" t="s">
        <v>1612</v>
      </c>
      <c r="B36" s="316" t="s">
        <v>1973</v>
      </c>
      <c r="C36" s="316" t="s">
        <v>1973</v>
      </c>
      <c r="D36" s="316" t="s">
        <v>1973</v>
      </c>
      <c r="E36" s="317" t="s">
        <v>1973</v>
      </c>
      <c r="F36" s="318">
        <v>2</v>
      </c>
      <c r="G36" s="354" t="s">
        <v>36</v>
      </c>
      <c r="H36" s="320">
        <v>56000</v>
      </c>
      <c r="I36" s="395" t="b">
        <v>1</v>
      </c>
      <c r="J36" s="322">
        <v>2</v>
      </c>
      <c r="K36" s="323">
        <v>30000</v>
      </c>
      <c r="L36" s="379">
        <f t="shared" ref="L36:L41" si="1">J36*K36</f>
        <v>60000</v>
      </c>
      <c r="M36" s="325" t="s">
        <v>1784</v>
      </c>
    </row>
    <row r="37" spans="1:13" ht="15.75" customHeight="1">
      <c r="A37" s="316" t="s">
        <v>732</v>
      </c>
      <c r="B37" s="316" t="s">
        <v>1973</v>
      </c>
      <c r="C37" s="316" t="s">
        <v>1973</v>
      </c>
      <c r="D37" s="316" t="s">
        <v>1973</v>
      </c>
      <c r="E37" s="317" t="s">
        <v>1973</v>
      </c>
      <c r="F37" s="318">
        <v>0.5</v>
      </c>
      <c r="G37" s="354" t="s">
        <v>36</v>
      </c>
      <c r="H37" s="320">
        <v>11000</v>
      </c>
      <c r="I37" s="395" t="b">
        <v>1</v>
      </c>
      <c r="J37" s="322">
        <v>0.5</v>
      </c>
      <c r="K37" s="323">
        <v>26000</v>
      </c>
      <c r="L37" s="379">
        <f t="shared" si="1"/>
        <v>13000</v>
      </c>
      <c r="M37" s="325" t="s">
        <v>1785</v>
      </c>
    </row>
    <row r="38" spans="1:13" ht="15.75" customHeight="1">
      <c r="A38" s="316" t="s">
        <v>1751</v>
      </c>
      <c r="B38" s="316" t="s">
        <v>1973</v>
      </c>
      <c r="C38" s="316" t="s">
        <v>1973</v>
      </c>
      <c r="D38" s="316" t="s">
        <v>1973</v>
      </c>
      <c r="E38" s="317" t="s">
        <v>1973</v>
      </c>
      <c r="F38" s="318">
        <v>3</v>
      </c>
      <c r="G38" s="354" t="s">
        <v>36</v>
      </c>
      <c r="H38" s="320">
        <v>36000</v>
      </c>
      <c r="I38" s="393" t="b">
        <v>1</v>
      </c>
      <c r="J38" s="322">
        <v>3</v>
      </c>
      <c r="K38" s="323" t="e">
        <f>VLOOKUP($A38,'[1]Database Bahan &amp; Alat (Terupdat'!$B$50:$N$232,6,FALSE)</f>
        <v>#N/A</v>
      </c>
      <c r="L38" s="371" t="e">
        <f t="shared" si="1"/>
        <v>#N/A</v>
      </c>
      <c r="M38" s="325" t="s">
        <v>1786</v>
      </c>
    </row>
    <row r="39" spans="1:13" ht="15.75" customHeight="1">
      <c r="A39" s="316" t="s">
        <v>779</v>
      </c>
      <c r="B39" s="316" t="s">
        <v>1973</v>
      </c>
      <c r="C39" s="316" t="s">
        <v>1973</v>
      </c>
      <c r="D39" s="316" t="s">
        <v>1973</v>
      </c>
      <c r="E39" s="317" t="s">
        <v>1973</v>
      </c>
      <c r="F39" s="318">
        <v>1</v>
      </c>
      <c r="G39" s="354" t="s">
        <v>62</v>
      </c>
      <c r="H39" s="320">
        <v>38500</v>
      </c>
      <c r="I39" s="395" t="b">
        <v>1</v>
      </c>
      <c r="J39" s="322">
        <v>1</v>
      </c>
      <c r="K39" s="323">
        <v>20000</v>
      </c>
      <c r="L39" s="379">
        <f t="shared" si="1"/>
        <v>20000</v>
      </c>
      <c r="M39" s="325" t="s">
        <v>1787</v>
      </c>
    </row>
    <row r="40" spans="1:13" ht="15.75" customHeight="1">
      <c r="A40" s="316" t="s">
        <v>892</v>
      </c>
      <c r="B40" s="316" t="s">
        <v>1973</v>
      </c>
      <c r="C40" s="316" t="s">
        <v>1973</v>
      </c>
      <c r="D40" s="316" t="s">
        <v>1973</v>
      </c>
      <c r="E40" s="317" t="s">
        <v>1973</v>
      </c>
      <c r="F40" s="318">
        <v>0.5</v>
      </c>
      <c r="G40" s="354" t="s">
        <v>36</v>
      </c>
      <c r="H40" s="320">
        <v>60000</v>
      </c>
      <c r="I40" s="395" t="b">
        <v>1</v>
      </c>
      <c r="J40" s="322">
        <v>0.5</v>
      </c>
      <c r="K40" s="323">
        <v>130000</v>
      </c>
      <c r="L40" s="379">
        <f t="shared" si="1"/>
        <v>65000</v>
      </c>
      <c r="M40" s="325" t="s">
        <v>1788</v>
      </c>
    </row>
    <row r="41" spans="1:13" ht="15.75" customHeight="1">
      <c r="A41" s="18" t="s">
        <v>1609</v>
      </c>
      <c r="B41" s="316" t="s">
        <v>1973</v>
      </c>
      <c r="C41" s="316" t="s">
        <v>1973</v>
      </c>
      <c r="D41" s="316" t="s">
        <v>1973</v>
      </c>
      <c r="E41" s="317" t="s">
        <v>1973</v>
      </c>
      <c r="F41" s="318">
        <v>2</v>
      </c>
      <c r="G41" s="354" t="s">
        <v>36</v>
      </c>
      <c r="H41" s="320">
        <v>80000</v>
      </c>
      <c r="I41" s="395" t="b">
        <v>1</v>
      </c>
      <c r="J41" s="322">
        <v>2</v>
      </c>
      <c r="K41" s="323">
        <v>42000</v>
      </c>
      <c r="L41" s="379">
        <f t="shared" si="1"/>
        <v>84000</v>
      </c>
      <c r="M41" s="325" t="s">
        <v>1784</v>
      </c>
    </row>
    <row r="42" spans="1:13" ht="15.75" customHeight="1">
      <c r="F42" s="410"/>
      <c r="G42" s="410"/>
      <c r="H42" s="410"/>
      <c r="J42" s="410"/>
      <c r="K42" s="410"/>
      <c r="L42" s="410"/>
    </row>
    <row r="43" spans="1:13" ht="15.75" customHeight="1">
      <c r="F43" s="432">
        <v>44565</v>
      </c>
      <c r="G43" s="428"/>
      <c r="H43" s="424"/>
      <c r="J43" s="432">
        <f>F43</f>
        <v>44565</v>
      </c>
      <c r="K43" s="428"/>
      <c r="L43" s="424"/>
    </row>
    <row r="44" spans="1:13" ht="15.75" customHeight="1">
      <c r="F44" s="425" t="s">
        <v>1490</v>
      </c>
      <c r="G44" s="426"/>
      <c r="H44" s="304">
        <f>SUM(H46:H74)</f>
        <v>1806441</v>
      </c>
      <c r="J44" s="425" t="s">
        <v>1491</v>
      </c>
      <c r="K44" s="426"/>
      <c r="L44" s="304" t="e">
        <f>SUM(L46:L74)</f>
        <v>#N/A</v>
      </c>
    </row>
    <row r="45" spans="1:13" ht="15.75" customHeight="1">
      <c r="A45" s="2" t="s">
        <v>4</v>
      </c>
      <c r="B45" s="305" t="s">
        <v>5</v>
      </c>
      <c r="C45" s="305" t="s">
        <v>11</v>
      </c>
      <c r="D45" s="305" t="s">
        <v>12</v>
      </c>
      <c r="E45" s="306" t="s">
        <v>6</v>
      </c>
      <c r="F45" s="307" t="s">
        <v>1494</v>
      </c>
      <c r="G45" s="308" t="s">
        <v>10</v>
      </c>
      <c r="H45" s="309" t="s">
        <v>1495</v>
      </c>
      <c r="I45" s="310" t="s">
        <v>1289</v>
      </c>
      <c r="J45" s="311" t="s">
        <v>1496</v>
      </c>
      <c r="K45" s="312" t="s">
        <v>1497</v>
      </c>
      <c r="L45" s="313" t="s">
        <v>1498</v>
      </c>
      <c r="M45" s="314" t="s">
        <v>16</v>
      </c>
    </row>
    <row r="46" spans="1:13" ht="15.75" customHeight="1">
      <c r="A46" s="316" t="s">
        <v>1598</v>
      </c>
      <c r="B46" s="316" t="s">
        <v>1973</v>
      </c>
      <c r="C46" s="316" t="s">
        <v>1973</v>
      </c>
      <c r="D46" s="316" t="s">
        <v>1973</v>
      </c>
      <c r="E46" s="317" t="s">
        <v>1973</v>
      </c>
      <c r="F46" s="318">
        <v>2</v>
      </c>
      <c r="G46" s="354" t="s">
        <v>97</v>
      </c>
      <c r="H46" s="320">
        <v>20800</v>
      </c>
      <c r="I46" s="395" t="b">
        <v>1</v>
      </c>
      <c r="J46" s="322">
        <v>2</v>
      </c>
      <c r="K46" s="323">
        <v>27400</v>
      </c>
      <c r="L46" s="379">
        <f t="shared" ref="L46:L74" si="2">J46*K46</f>
        <v>54800</v>
      </c>
      <c r="M46" s="325" t="s">
        <v>1789</v>
      </c>
    </row>
    <row r="47" spans="1:13" ht="15.75" customHeight="1">
      <c r="A47" s="316" t="s">
        <v>782</v>
      </c>
      <c r="B47" s="316" t="s">
        <v>1973</v>
      </c>
      <c r="C47" s="316" t="s">
        <v>1973</v>
      </c>
      <c r="D47" s="316" t="s">
        <v>1973</v>
      </c>
      <c r="E47" s="317" t="s">
        <v>1973</v>
      </c>
      <c r="F47" s="318">
        <v>1</v>
      </c>
      <c r="G47" s="354" t="s">
        <v>62</v>
      </c>
      <c r="H47" s="320">
        <v>12000</v>
      </c>
      <c r="I47" s="393" t="b">
        <v>1</v>
      </c>
      <c r="J47" s="322">
        <v>1</v>
      </c>
      <c r="K47" s="323" t="e">
        <f>VLOOKUP($A47,'[1]Database Bahan &amp; Alat (Terupdat'!$B$50:$N$232,6,FALSE)</f>
        <v>#N/A</v>
      </c>
      <c r="L47" s="371" t="e">
        <f t="shared" si="2"/>
        <v>#N/A</v>
      </c>
      <c r="M47" s="325"/>
    </row>
    <row r="48" spans="1:13" ht="15.75" customHeight="1">
      <c r="A48" s="316" t="s">
        <v>1670</v>
      </c>
      <c r="B48" s="316" t="s">
        <v>1973</v>
      </c>
      <c r="C48" s="316" t="s">
        <v>1973</v>
      </c>
      <c r="D48" s="316" t="s">
        <v>1973</v>
      </c>
      <c r="E48" s="317" t="s">
        <v>1973</v>
      </c>
      <c r="F48" s="318">
        <v>1</v>
      </c>
      <c r="G48" s="354" t="s">
        <v>62</v>
      </c>
      <c r="H48" s="320">
        <v>10350</v>
      </c>
      <c r="I48" s="395" t="b">
        <v>1</v>
      </c>
      <c r="J48" s="322">
        <v>1</v>
      </c>
      <c r="K48" s="323">
        <v>9800</v>
      </c>
      <c r="L48" s="380">
        <f t="shared" si="2"/>
        <v>9800</v>
      </c>
      <c r="M48" s="325" t="s">
        <v>1790</v>
      </c>
    </row>
    <row r="49" spans="1:13" ht="15.75" customHeight="1">
      <c r="A49" s="316" t="s">
        <v>1607</v>
      </c>
      <c r="B49" s="316" t="s">
        <v>1973</v>
      </c>
      <c r="C49" s="316" t="s">
        <v>1973</v>
      </c>
      <c r="D49" s="316" t="s">
        <v>1973</v>
      </c>
      <c r="E49" s="317" t="s">
        <v>1973</v>
      </c>
      <c r="F49" s="318">
        <v>1</v>
      </c>
      <c r="G49" s="354" t="s">
        <v>62</v>
      </c>
      <c r="H49" s="320">
        <v>10050</v>
      </c>
      <c r="I49" s="395" t="b">
        <v>1</v>
      </c>
      <c r="J49" s="322">
        <v>1</v>
      </c>
      <c r="K49" s="323">
        <v>18600</v>
      </c>
      <c r="L49" s="379">
        <f t="shared" si="2"/>
        <v>18600</v>
      </c>
      <c r="M49" s="325" t="s">
        <v>1791</v>
      </c>
    </row>
    <row r="50" spans="1:13" ht="15.75" customHeight="1">
      <c r="A50" s="316" t="s">
        <v>919</v>
      </c>
      <c r="B50" s="316" t="s">
        <v>1973</v>
      </c>
      <c r="C50" s="316" t="s">
        <v>1973</v>
      </c>
      <c r="D50" s="316" t="s">
        <v>1973</v>
      </c>
      <c r="E50" s="317" t="s">
        <v>1973</v>
      </c>
      <c r="F50" s="318">
        <v>3</v>
      </c>
      <c r="G50" s="354" t="s">
        <v>62</v>
      </c>
      <c r="H50" s="320">
        <v>29700</v>
      </c>
      <c r="I50" s="395" t="b">
        <v>1</v>
      </c>
      <c r="J50" s="322">
        <v>2</v>
      </c>
      <c r="K50" s="323">
        <v>8800</v>
      </c>
      <c r="L50" s="380">
        <f t="shared" si="2"/>
        <v>17600</v>
      </c>
      <c r="M50" s="325" t="s">
        <v>1776</v>
      </c>
    </row>
    <row r="51" spans="1:13" ht="13">
      <c r="A51" s="316" t="s">
        <v>639</v>
      </c>
      <c r="B51" s="316" t="s">
        <v>1973</v>
      </c>
      <c r="C51" s="316" t="s">
        <v>1973</v>
      </c>
      <c r="D51" s="316" t="s">
        <v>1973</v>
      </c>
      <c r="E51" s="317" t="s">
        <v>1973</v>
      </c>
      <c r="F51" s="318">
        <v>1</v>
      </c>
      <c r="G51" s="354" t="s">
        <v>36</v>
      </c>
      <c r="H51" s="320">
        <v>125000</v>
      </c>
      <c r="I51" s="393" t="b">
        <v>1</v>
      </c>
      <c r="J51" s="322">
        <v>1.3</v>
      </c>
      <c r="K51" s="323" t="e">
        <f>VLOOKUP($A51,'[1]Database Bahan &amp; Alat (Terupdat'!$B$50:$N$232,6,FALSE)</f>
        <v>#N/A</v>
      </c>
      <c r="L51" s="371" t="e">
        <f t="shared" si="2"/>
        <v>#N/A</v>
      </c>
      <c r="M51" s="325"/>
    </row>
    <row r="52" spans="1:13" ht="13">
      <c r="A52" s="316" t="s">
        <v>1610</v>
      </c>
      <c r="B52" s="316" t="s">
        <v>1973</v>
      </c>
      <c r="C52" s="316" t="s">
        <v>1973</v>
      </c>
      <c r="D52" s="316" t="s">
        <v>1973</v>
      </c>
      <c r="E52" s="317" t="s">
        <v>1973</v>
      </c>
      <c r="F52" s="318">
        <v>1.5</v>
      </c>
      <c r="G52" s="354" t="s">
        <v>36</v>
      </c>
      <c r="H52" s="320">
        <v>12000</v>
      </c>
      <c r="I52" s="395" t="b">
        <v>1</v>
      </c>
      <c r="J52" s="322">
        <v>1.5</v>
      </c>
      <c r="K52" s="323">
        <v>10000</v>
      </c>
      <c r="L52" s="379">
        <f t="shared" si="2"/>
        <v>15000</v>
      </c>
      <c r="M52" s="325" t="s">
        <v>1792</v>
      </c>
    </row>
    <row r="53" spans="1:13" ht="13">
      <c r="A53" s="316" t="s">
        <v>1611</v>
      </c>
      <c r="B53" s="316" t="s">
        <v>1973</v>
      </c>
      <c r="C53" s="316" t="s">
        <v>1973</v>
      </c>
      <c r="D53" s="316" t="s">
        <v>1973</v>
      </c>
      <c r="E53" s="317" t="s">
        <v>1973</v>
      </c>
      <c r="F53" s="318">
        <v>4</v>
      </c>
      <c r="G53" s="354" t="s">
        <v>36</v>
      </c>
      <c r="H53" s="320">
        <v>160000</v>
      </c>
      <c r="I53" s="395" t="b">
        <v>1</v>
      </c>
      <c r="J53" s="322">
        <v>4</v>
      </c>
      <c r="K53" s="323">
        <v>48000</v>
      </c>
      <c r="L53" s="379">
        <f t="shared" si="2"/>
        <v>192000</v>
      </c>
      <c r="M53" s="325" t="s">
        <v>1793</v>
      </c>
    </row>
    <row r="54" spans="1:13" ht="13">
      <c r="A54" s="316" t="s">
        <v>1612</v>
      </c>
      <c r="B54" s="316" t="s">
        <v>1973</v>
      </c>
      <c r="C54" s="316" t="s">
        <v>1973</v>
      </c>
      <c r="D54" s="316" t="s">
        <v>1973</v>
      </c>
      <c r="E54" s="317" t="s">
        <v>1973</v>
      </c>
      <c r="F54" s="318">
        <v>6</v>
      </c>
      <c r="G54" s="354" t="s">
        <v>36</v>
      </c>
      <c r="H54" s="320">
        <v>168000</v>
      </c>
      <c r="I54" s="395" t="b">
        <v>1</v>
      </c>
      <c r="J54" s="322">
        <v>6</v>
      </c>
      <c r="K54" s="323">
        <v>31000</v>
      </c>
      <c r="L54" s="379">
        <f t="shared" si="2"/>
        <v>186000</v>
      </c>
      <c r="M54" s="325" t="s">
        <v>1794</v>
      </c>
    </row>
    <row r="55" spans="1:13" ht="13">
      <c r="A55" s="316" t="s">
        <v>1698</v>
      </c>
      <c r="B55" s="316" t="s">
        <v>1973</v>
      </c>
      <c r="C55" s="316" t="s">
        <v>1973</v>
      </c>
      <c r="D55" s="316" t="s">
        <v>1973</v>
      </c>
      <c r="E55" s="317" t="s">
        <v>1973</v>
      </c>
      <c r="F55" s="318">
        <v>3</v>
      </c>
      <c r="G55" s="354" t="s">
        <v>36</v>
      </c>
      <c r="H55" s="320">
        <v>96000</v>
      </c>
      <c r="I55" s="395" t="b">
        <v>1</v>
      </c>
      <c r="J55" s="322">
        <v>3</v>
      </c>
      <c r="K55" s="323">
        <v>35000</v>
      </c>
      <c r="L55" s="379">
        <f t="shared" si="2"/>
        <v>105000</v>
      </c>
      <c r="M55" s="325" t="s">
        <v>1795</v>
      </c>
    </row>
    <row r="56" spans="1:13" ht="13">
      <c r="A56" s="316" t="s">
        <v>1699</v>
      </c>
      <c r="B56" s="316" t="s">
        <v>1973</v>
      </c>
      <c r="C56" s="316" t="s">
        <v>1973</v>
      </c>
      <c r="D56" s="316" t="s">
        <v>1973</v>
      </c>
      <c r="E56" s="317" t="s">
        <v>1973</v>
      </c>
      <c r="F56" s="318">
        <v>0.5</v>
      </c>
      <c r="G56" s="354" t="s">
        <v>36</v>
      </c>
      <c r="H56" s="320">
        <v>34000</v>
      </c>
      <c r="I56" s="395" t="b">
        <v>1</v>
      </c>
      <c r="J56" s="322">
        <v>0.25</v>
      </c>
      <c r="K56" s="323">
        <v>60000</v>
      </c>
      <c r="L56" s="380">
        <f t="shared" si="2"/>
        <v>15000</v>
      </c>
      <c r="M56" s="325" t="s">
        <v>1779</v>
      </c>
    </row>
    <row r="57" spans="1:13" ht="13">
      <c r="A57" s="316" t="s">
        <v>1707</v>
      </c>
      <c r="B57" s="316" t="s">
        <v>1973</v>
      </c>
      <c r="C57" s="316" t="s">
        <v>1973</v>
      </c>
      <c r="D57" s="316" t="s">
        <v>1973</v>
      </c>
      <c r="E57" s="317" t="s">
        <v>1973</v>
      </c>
      <c r="F57" s="318">
        <v>0.5</v>
      </c>
      <c r="G57" s="354" t="s">
        <v>36</v>
      </c>
      <c r="H57" s="320">
        <v>14000</v>
      </c>
      <c r="I57" s="395" t="b">
        <v>1</v>
      </c>
      <c r="J57" s="322">
        <v>0.5</v>
      </c>
      <c r="K57" s="323">
        <v>90000</v>
      </c>
      <c r="L57" s="379">
        <f t="shared" si="2"/>
        <v>45000</v>
      </c>
      <c r="M57" s="325" t="s">
        <v>1796</v>
      </c>
    </row>
    <row r="58" spans="1:13" ht="13">
      <c r="A58" s="316" t="s">
        <v>675</v>
      </c>
      <c r="B58" s="316" t="s">
        <v>1973</v>
      </c>
      <c r="C58" s="316" t="s">
        <v>1973</v>
      </c>
      <c r="D58" s="316" t="s">
        <v>1973</v>
      </c>
      <c r="E58" s="317" t="s">
        <v>1973</v>
      </c>
      <c r="F58" s="318">
        <v>15</v>
      </c>
      <c r="G58" s="354" t="s">
        <v>62</v>
      </c>
      <c r="H58" s="320">
        <v>52500</v>
      </c>
      <c r="I58" s="393" t="b">
        <v>1</v>
      </c>
      <c r="J58" s="322">
        <v>15</v>
      </c>
      <c r="K58" s="323" t="e">
        <f>VLOOKUP($A58,'[1]Database Bahan &amp; Alat (Terupdat'!$B$50:$N$232,6,FALSE)</f>
        <v>#N/A</v>
      </c>
      <c r="L58" s="371" t="e">
        <f t="shared" si="2"/>
        <v>#N/A</v>
      </c>
      <c r="M58" s="325"/>
    </row>
    <row r="59" spans="1:13" ht="13">
      <c r="A59" s="316" t="s">
        <v>712</v>
      </c>
      <c r="B59" s="316" t="s">
        <v>1973</v>
      </c>
      <c r="C59" s="316" t="s">
        <v>1973</v>
      </c>
      <c r="D59" s="316" t="s">
        <v>1973</v>
      </c>
      <c r="E59" s="317" t="s">
        <v>1973</v>
      </c>
      <c r="F59" s="318">
        <v>1</v>
      </c>
      <c r="G59" s="354" t="s">
        <v>36</v>
      </c>
      <c r="H59" s="320">
        <v>24000</v>
      </c>
      <c r="I59" s="395" t="b">
        <v>1</v>
      </c>
      <c r="J59" s="322">
        <v>1</v>
      </c>
      <c r="K59" s="323">
        <v>26000</v>
      </c>
      <c r="L59" s="379">
        <f t="shared" si="2"/>
        <v>26000</v>
      </c>
      <c r="M59" s="325" t="s">
        <v>1792</v>
      </c>
    </row>
    <row r="60" spans="1:13" ht="13">
      <c r="A60" s="316" t="s">
        <v>732</v>
      </c>
      <c r="B60" s="316" t="s">
        <v>1973</v>
      </c>
      <c r="C60" s="316" t="s">
        <v>1973</v>
      </c>
      <c r="D60" s="316" t="s">
        <v>1973</v>
      </c>
      <c r="E60" s="317" t="s">
        <v>1973</v>
      </c>
      <c r="F60" s="318">
        <v>2</v>
      </c>
      <c r="G60" s="354" t="s">
        <v>36</v>
      </c>
      <c r="H60" s="320">
        <v>44000</v>
      </c>
      <c r="I60" s="395" t="b">
        <v>1</v>
      </c>
      <c r="J60" s="322">
        <v>2</v>
      </c>
      <c r="K60" s="323">
        <v>25000</v>
      </c>
      <c r="L60" s="379">
        <f t="shared" si="2"/>
        <v>50000</v>
      </c>
      <c r="M60" s="325" t="s">
        <v>1797</v>
      </c>
    </row>
    <row r="61" spans="1:13" ht="13">
      <c r="A61" s="316" t="s">
        <v>744</v>
      </c>
      <c r="B61" s="316" t="s">
        <v>1973</v>
      </c>
      <c r="C61" s="316" t="s">
        <v>1973</v>
      </c>
      <c r="D61" s="316" t="s">
        <v>1973</v>
      </c>
      <c r="E61" s="317" t="s">
        <v>1973</v>
      </c>
      <c r="F61" s="318">
        <v>1</v>
      </c>
      <c r="G61" s="354" t="s">
        <v>36</v>
      </c>
      <c r="H61" s="320">
        <v>44000</v>
      </c>
      <c r="I61" s="395" t="b">
        <v>1</v>
      </c>
      <c r="J61" s="322">
        <v>1</v>
      </c>
      <c r="K61" s="323">
        <v>60000</v>
      </c>
      <c r="L61" s="379">
        <f t="shared" si="2"/>
        <v>60000</v>
      </c>
      <c r="M61" s="325" t="s">
        <v>1798</v>
      </c>
    </row>
    <row r="62" spans="1:13" ht="13">
      <c r="A62" s="316" t="s">
        <v>1704</v>
      </c>
      <c r="B62" s="316" t="s">
        <v>1973</v>
      </c>
      <c r="C62" s="316" t="s">
        <v>1973</v>
      </c>
      <c r="D62" s="316" t="s">
        <v>1973</v>
      </c>
      <c r="E62" s="317" t="s">
        <v>1973</v>
      </c>
      <c r="F62" s="318">
        <v>0.25</v>
      </c>
      <c r="G62" s="354" t="s">
        <v>36</v>
      </c>
      <c r="H62" s="320">
        <v>3000</v>
      </c>
      <c r="I62" s="395" t="b">
        <v>1</v>
      </c>
      <c r="J62" s="322">
        <v>0.25</v>
      </c>
      <c r="K62" s="323">
        <v>8000</v>
      </c>
      <c r="L62" s="380">
        <f t="shared" si="2"/>
        <v>2000</v>
      </c>
      <c r="M62" s="325" t="s">
        <v>1799</v>
      </c>
    </row>
    <row r="63" spans="1:13" ht="13">
      <c r="A63" s="316" t="s">
        <v>819</v>
      </c>
      <c r="B63" s="316" t="s">
        <v>1973</v>
      </c>
      <c r="C63" s="316" t="s">
        <v>1973</v>
      </c>
      <c r="D63" s="316" t="s">
        <v>1973</v>
      </c>
      <c r="E63" s="317" t="s">
        <v>1973</v>
      </c>
      <c r="F63" s="318">
        <v>0.25</v>
      </c>
      <c r="G63" s="354" t="s">
        <v>36</v>
      </c>
      <c r="H63" s="320">
        <v>5000</v>
      </c>
      <c r="I63" s="393" t="b">
        <v>1</v>
      </c>
      <c r="J63" s="322">
        <v>0.25</v>
      </c>
      <c r="K63" s="323" t="e">
        <f>VLOOKUP($A63,'[1]Database Bahan &amp; Alat (Terupdat'!$B$50:$N$232,6,FALSE)</f>
        <v>#N/A</v>
      </c>
      <c r="L63" s="371" t="e">
        <f t="shared" si="2"/>
        <v>#N/A</v>
      </c>
      <c r="M63" s="325"/>
    </row>
    <row r="64" spans="1:13" ht="13">
      <c r="A64" s="316" t="s">
        <v>1614</v>
      </c>
      <c r="B64" s="316" t="s">
        <v>1973</v>
      </c>
      <c r="C64" s="316" t="s">
        <v>1973</v>
      </c>
      <c r="D64" s="316" t="s">
        <v>1973</v>
      </c>
      <c r="E64" s="317" t="s">
        <v>1973</v>
      </c>
      <c r="F64" s="318">
        <v>0.3</v>
      </c>
      <c r="G64" s="354" t="s">
        <v>36</v>
      </c>
      <c r="H64" s="320">
        <v>38400</v>
      </c>
      <c r="I64" s="395" t="b">
        <v>1</v>
      </c>
      <c r="J64" s="322">
        <v>0.3</v>
      </c>
      <c r="K64" s="323">
        <v>130000</v>
      </c>
      <c r="L64" s="379">
        <f t="shared" si="2"/>
        <v>39000</v>
      </c>
      <c r="M64" s="325" t="s">
        <v>1792</v>
      </c>
    </row>
    <row r="65" spans="1:13" ht="13">
      <c r="A65" s="316" t="s">
        <v>1501</v>
      </c>
      <c r="B65" s="316" t="s">
        <v>1973</v>
      </c>
      <c r="C65" s="316" t="s">
        <v>1973</v>
      </c>
      <c r="D65" s="316" t="s">
        <v>1973</v>
      </c>
      <c r="E65" s="317" t="s">
        <v>1973</v>
      </c>
      <c r="F65" s="318">
        <v>1</v>
      </c>
      <c r="G65" s="354" t="s">
        <v>36</v>
      </c>
      <c r="H65" s="320">
        <v>4050</v>
      </c>
      <c r="I65" s="319" t="b">
        <v>0</v>
      </c>
      <c r="J65" s="372"/>
      <c r="K65" s="373" t="e">
        <f>VLOOKUP($A65,'[1]Database Bahan &amp; Alat (Terupdat'!$B$50:$N$232,6,FALSE)</f>
        <v>#N/A</v>
      </c>
      <c r="L65" s="374" t="e">
        <f t="shared" si="2"/>
        <v>#N/A</v>
      </c>
      <c r="M65" s="325"/>
    </row>
    <row r="66" spans="1:13" ht="13">
      <c r="A66" s="316" t="s">
        <v>1608</v>
      </c>
      <c r="B66" s="316" t="s">
        <v>1973</v>
      </c>
      <c r="C66" s="316" t="s">
        <v>1973</v>
      </c>
      <c r="D66" s="316" t="s">
        <v>1973</v>
      </c>
      <c r="E66" s="317" t="s">
        <v>1973</v>
      </c>
      <c r="F66" s="318">
        <v>1</v>
      </c>
      <c r="G66" s="354" t="s">
        <v>36</v>
      </c>
      <c r="H66" s="320">
        <v>34000</v>
      </c>
      <c r="I66" s="395" t="b">
        <v>1</v>
      </c>
      <c r="J66" s="322">
        <v>0.36</v>
      </c>
      <c r="K66" s="323">
        <v>49.9</v>
      </c>
      <c r="L66" s="379">
        <f t="shared" si="2"/>
        <v>17.963999999999999</v>
      </c>
      <c r="M66" s="325" t="s">
        <v>1800</v>
      </c>
    </row>
    <row r="67" spans="1:13" ht="13">
      <c r="A67" s="316" t="s">
        <v>1600</v>
      </c>
      <c r="B67" s="316" t="s">
        <v>1973</v>
      </c>
      <c r="C67" s="316" t="s">
        <v>1973</v>
      </c>
      <c r="D67" s="316" t="s">
        <v>1973</v>
      </c>
      <c r="E67" s="317" t="s">
        <v>1973</v>
      </c>
      <c r="F67" s="318">
        <v>1</v>
      </c>
      <c r="G67" s="354" t="s">
        <v>36</v>
      </c>
      <c r="H67" s="320">
        <v>8000</v>
      </c>
      <c r="I67" s="393" t="b">
        <v>1</v>
      </c>
      <c r="J67" s="322">
        <v>1</v>
      </c>
      <c r="K67" s="323" t="e">
        <f>VLOOKUP($A67,'[1]Database Bahan &amp; Alat (Terupdat'!$B$50:$N$232,6,FALSE)</f>
        <v>#N/A</v>
      </c>
      <c r="L67" s="371" t="e">
        <f t="shared" si="2"/>
        <v>#N/A</v>
      </c>
      <c r="M67" s="325"/>
    </row>
    <row r="68" spans="1:13" ht="13">
      <c r="A68" s="316" t="s">
        <v>708</v>
      </c>
      <c r="B68" s="316" t="s">
        <v>1973</v>
      </c>
      <c r="C68" s="316" t="s">
        <v>1973</v>
      </c>
      <c r="D68" s="316" t="s">
        <v>1973</v>
      </c>
      <c r="E68" s="317" t="s">
        <v>1973</v>
      </c>
      <c r="F68" s="318">
        <v>1</v>
      </c>
      <c r="G68" s="354" t="s">
        <v>143</v>
      </c>
      <c r="H68" s="320">
        <v>259091</v>
      </c>
      <c r="I68" s="395" t="b">
        <v>1</v>
      </c>
      <c r="J68" s="322">
        <v>1</v>
      </c>
      <c r="K68" s="323">
        <v>138000</v>
      </c>
      <c r="L68" s="379">
        <f t="shared" si="2"/>
        <v>138000</v>
      </c>
      <c r="M68" s="325" t="s">
        <v>1801</v>
      </c>
    </row>
    <row r="69" spans="1:13" ht="13">
      <c r="A69" s="316" t="s">
        <v>1751</v>
      </c>
      <c r="B69" s="316" t="s">
        <v>1973</v>
      </c>
      <c r="C69" s="316" t="s">
        <v>1973</v>
      </c>
      <c r="D69" s="316" t="s">
        <v>1973</v>
      </c>
      <c r="E69" s="317" t="s">
        <v>1973</v>
      </c>
      <c r="F69" s="318">
        <v>10</v>
      </c>
      <c r="G69" s="354" t="s">
        <v>36</v>
      </c>
      <c r="H69" s="320">
        <v>120000</v>
      </c>
      <c r="I69" s="393" t="b">
        <v>1</v>
      </c>
      <c r="J69" s="322">
        <v>10</v>
      </c>
      <c r="K69" s="323" t="e">
        <f>VLOOKUP($A69,'[1]Database Bahan &amp; Alat (Terupdat'!$B$50:$N$232,6,FALSE)</f>
        <v>#N/A</v>
      </c>
      <c r="L69" s="371" t="e">
        <f t="shared" si="2"/>
        <v>#N/A</v>
      </c>
      <c r="M69" s="325"/>
    </row>
    <row r="70" spans="1:13" ht="13">
      <c r="A70" s="316" t="s">
        <v>779</v>
      </c>
      <c r="B70" s="316" t="s">
        <v>1973</v>
      </c>
      <c r="C70" s="316" t="s">
        <v>1973</v>
      </c>
      <c r="D70" s="316" t="s">
        <v>1973</v>
      </c>
      <c r="E70" s="317" t="s">
        <v>1973</v>
      </c>
      <c r="F70" s="318">
        <v>3</v>
      </c>
      <c r="G70" s="354" t="s">
        <v>62</v>
      </c>
      <c r="H70" s="320">
        <v>115500</v>
      </c>
      <c r="I70" s="395" t="b">
        <v>1</v>
      </c>
      <c r="J70" s="322">
        <v>3</v>
      </c>
      <c r="K70" s="323">
        <v>16000</v>
      </c>
      <c r="L70" s="379">
        <f t="shared" si="2"/>
        <v>48000</v>
      </c>
      <c r="M70" s="325" t="s">
        <v>1802</v>
      </c>
    </row>
    <row r="71" spans="1:13" ht="13">
      <c r="A71" s="316" t="s">
        <v>1606</v>
      </c>
      <c r="B71" s="316" t="s">
        <v>1973</v>
      </c>
      <c r="C71" s="316" t="s">
        <v>1973</v>
      </c>
      <c r="D71" s="316" t="s">
        <v>1973</v>
      </c>
      <c r="E71" s="317" t="s">
        <v>1973</v>
      </c>
      <c r="F71" s="318">
        <v>1</v>
      </c>
      <c r="G71" s="354" t="s">
        <v>36</v>
      </c>
      <c r="H71" s="320">
        <v>35000</v>
      </c>
      <c r="I71" s="395" t="b">
        <v>1</v>
      </c>
      <c r="J71" s="322">
        <v>0.61799999999999999</v>
      </c>
      <c r="K71" s="323">
        <v>43200</v>
      </c>
      <c r="L71" s="379">
        <f t="shared" si="2"/>
        <v>26697.599999999999</v>
      </c>
      <c r="M71" s="325" t="s">
        <v>1782</v>
      </c>
    </row>
    <row r="72" spans="1:13" ht="13">
      <c r="A72" s="316" t="s">
        <v>910</v>
      </c>
      <c r="B72" s="316" t="s">
        <v>1973</v>
      </c>
      <c r="C72" s="316" t="s">
        <v>1973</v>
      </c>
      <c r="D72" s="316" t="s">
        <v>1973</v>
      </c>
      <c r="E72" s="317" t="s">
        <v>1973</v>
      </c>
      <c r="F72" s="318">
        <v>4</v>
      </c>
      <c r="G72" s="354" t="s">
        <v>62</v>
      </c>
      <c r="H72" s="320">
        <v>52000</v>
      </c>
      <c r="I72" s="393" t="b">
        <v>1</v>
      </c>
      <c r="J72" s="322">
        <v>4</v>
      </c>
      <c r="K72" s="323" t="s">
        <v>1973</v>
      </c>
      <c r="L72" s="371" t="e">
        <f t="shared" si="2"/>
        <v>#VALUE!</v>
      </c>
      <c r="M72" s="325"/>
    </row>
    <row r="73" spans="1:13" ht="13">
      <c r="A73" s="316" t="s">
        <v>892</v>
      </c>
      <c r="B73" s="316" t="s">
        <v>1973</v>
      </c>
      <c r="C73" s="316" t="s">
        <v>1973</v>
      </c>
      <c r="D73" s="316" t="s">
        <v>1973</v>
      </c>
      <c r="E73" s="317" t="s">
        <v>1973</v>
      </c>
      <c r="F73" s="318">
        <v>2</v>
      </c>
      <c r="G73" s="354" t="s">
        <v>36</v>
      </c>
      <c r="H73" s="320">
        <v>240000</v>
      </c>
      <c r="I73" s="393" t="b">
        <v>1</v>
      </c>
      <c r="J73" s="322">
        <v>2</v>
      </c>
      <c r="K73" s="323" t="s">
        <v>1973</v>
      </c>
      <c r="L73" s="371" t="e">
        <f t="shared" si="2"/>
        <v>#VALUE!</v>
      </c>
      <c r="M73" s="325"/>
    </row>
    <row r="74" spans="1:13" ht="13">
      <c r="A74" s="316" t="s">
        <v>934</v>
      </c>
      <c r="B74" s="316" t="s">
        <v>1973</v>
      </c>
      <c r="C74" s="316" t="s">
        <v>1973</v>
      </c>
      <c r="D74" s="316" t="s">
        <v>1973</v>
      </c>
      <c r="E74" s="317" t="s">
        <v>1973</v>
      </c>
      <c r="F74" s="318">
        <v>4</v>
      </c>
      <c r="G74" s="354" t="s">
        <v>62</v>
      </c>
      <c r="H74" s="320">
        <v>36000</v>
      </c>
      <c r="I74" s="395" t="b">
        <v>1</v>
      </c>
      <c r="J74" s="322">
        <v>4</v>
      </c>
      <c r="K74" s="323">
        <v>8500</v>
      </c>
      <c r="L74" s="380">
        <f t="shared" si="2"/>
        <v>34000</v>
      </c>
      <c r="M74" s="325" t="s">
        <v>1803</v>
      </c>
    </row>
    <row r="76" spans="1:13" ht="13">
      <c r="F76" s="429">
        <v>44565</v>
      </c>
      <c r="G76" s="428"/>
      <c r="H76" s="424"/>
      <c r="J76" s="429">
        <f>F76</f>
        <v>44565</v>
      </c>
      <c r="K76" s="428"/>
      <c r="L76" s="424"/>
    </row>
    <row r="77" spans="1:13" ht="13">
      <c r="F77" s="425" t="s">
        <v>1490</v>
      </c>
      <c r="G77" s="426"/>
      <c r="H77" s="304">
        <f>SUM(H79:H106)</f>
        <v>4287461</v>
      </c>
      <c r="J77" s="425" t="s">
        <v>1491</v>
      </c>
      <c r="K77" s="426"/>
      <c r="L77" s="304" t="e">
        <f>SUM(L79:L106)</f>
        <v>#VALUE!</v>
      </c>
    </row>
    <row r="78" spans="1:13" ht="13">
      <c r="A78" s="2" t="s">
        <v>4</v>
      </c>
      <c r="B78" s="305" t="s">
        <v>5</v>
      </c>
      <c r="C78" s="305" t="s">
        <v>11</v>
      </c>
      <c r="D78" s="305" t="s">
        <v>12</v>
      </c>
      <c r="E78" s="306" t="s">
        <v>6</v>
      </c>
      <c r="F78" s="307" t="s">
        <v>1494</v>
      </c>
      <c r="G78" s="308" t="s">
        <v>10</v>
      </c>
      <c r="H78" s="309" t="s">
        <v>1495</v>
      </c>
      <c r="I78" s="310" t="s">
        <v>1289</v>
      </c>
      <c r="J78" s="311" t="s">
        <v>1496</v>
      </c>
      <c r="K78" s="312" t="s">
        <v>1497</v>
      </c>
      <c r="L78" s="313" t="s">
        <v>1498</v>
      </c>
      <c r="M78" s="314" t="s">
        <v>16</v>
      </c>
    </row>
    <row r="79" spans="1:13" ht="13">
      <c r="A79" s="316" t="s">
        <v>544</v>
      </c>
      <c r="B79" s="316" t="s">
        <v>1973</v>
      </c>
      <c r="C79" s="316" t="s">
        <v>1973</v>
      </c>
      <c r="D79" s="316" t="s">
        <v>1973</v>
      </c>
      <c r="E79" s="317" t="s">
        <v>1973</v>
      </c>
      <c r="F79" s="318">
        <v>2</v>
      </c>
      <c r="G79" s="354" t="s">
        <v>62</v>
      </c>
      <c r="H79" s="320">
        <v>42400</v>
      </c>
      <c r="I79" s="393" t="b">
        <v>1</v>
      </c>
      <c r="J79" s="322">
        <v>1</v>
      </c>
      <c r="K79" s="323" t="s">
        <v>1973</v>
      </c>
      <c r="L79" s="371" t="e">
        <f t="shared" ref="L79:L106" si="3">J79*K79</f>
        <v>#VALUE!</v>
      </c>
      <c r="M79" s="325" t="s">
        <v>1695</v>
      </c>
    </row>
    <row r="80" spans="1:13" ht="13">
      <c r="A80" s="316" t="s">
        <v>970</v>
      </c>
      <c r="B80" s="316" t="s">
        <v>1973</v>
      </c>
      <c r="C80" s="316" t="s">
        <v>1973</v>
      </c>
      <c r="D80" s="316" t="s">
        <v>1973</v>
      </c>
      <c r="E80" s="317" t="s">
        <v>1973</v>
      </c>
      <c r="F80" s="318">
        <v>1</v>
      </c>
      <c r="G80" s="354" t="s">
        <v>75</v>
      </c>
      <c r="H80" s="320">
        <v>16500</v>
      </c>
      <c r="I80" s="393" t="b">
        <v>1</v>
      </c>
      <c r="J80" s="322">
        <v>1</v>
      </c>
      <c r="K80" s="323" t="s">
        <v>1973</v>
      </c>
      <c r="L80" s="371" t="e">
        <f t="shared" si="3"/>
        <v>#VALUE!</v>
      </c>
      <c r="M80" s="325"/>
    </row>
    <row r="81" spans="1:13" ht="13">
      <c r="A81" s="18" t="s">
        <v>1094</v>
      </c>
      <c r="B81" s="316" t="s">
        <v>1973</v>
      </c>
      <c r="C81" s="316" t="s">
        <v>1973</v>
      </c>
      <c r="D81" s="316" t="s">
        <v>1973</v>
      </c>
      <c r="E81" s="317" t="s">
        <v>1973</v>
      </c>
      <c r="F81" s="318">
        <v>2</v>
      </c>
      <c r="G81" s="354" t="s">
        <v>62</v>
      </c>
      <c r="H81" s="320">
        <v>34600</v>
      </c>
      <c r="I81" s="395" t="b">
        <v>1</v>
      </c>
      <c r="J81" s="322">
        <v>2</v>
      </c>
      <c r="K81" s="323">
        <v>17600</v>
      </c>
      <c r="L81" s="379">
        <f t="shared" si="3"/>
        <v>35200</v>
      </c>
      <c r="M81" s="325" t="s">
        <v>1804</v>
      </c>
    </row>
    <row r="82" spans="1:13" ht="13">
      <c r="A82" s="18" t="s">
        <v>1101</v>
      </c>
      <c r="B82" s="316" t="s">
        <v>1973</v>
      </c>
      <c r="C82" s="316" t="s">
        <v>1973</v>
      </c>
      <c r="D82" s="316" t="s">
        <v>1973</v>
      </c>
      <c r="E82" s="317" t="s">
        <v>1973</v>
      </c>
      <c r="F82" s="318">
        <v>1</v>
      </c>
      <c r="G82" s="354" t="s">
        <v>62</v>
      </c>
      <c r="H82" s="320">
        <v>16100</v>
      </c>
      <c r="I82" s="319" t="b">
        <v>0</v>
      </c>
      <c r="J82" s="372"/>
      <c r="K82" s="373" t="s">
        <v>1973</v>
      </c>
      <c r="L82" s="374" t="e">
        <f t="shared" si="3"/>
        <v>#VALUE!</v>
      </c>
      <c r="M82" s="325"/>
    </row>
    <row r="83" spans="1:13" ht="13">
      <c r="A83" s="316" t="s">
        <v>574</v>
      </c>
      <c r="B83" s="316" t="s">
        <v>1973</v>
      </c>
      <c r="C83" s="316" t="s">
        <v>1973</v>
      </c>
      <c r="D83" s="316" t="s">
        <v>1973</v>
      </c>
      <c r="E83" s="317" t="s">
        <v>1973</v>
      </c>
      <c r="F83" s="318">
        <v>1</v>
      </c>
      <c r="G83" s="354" t="s">
        <v>62</v>
      </c>
      <c r="H83" s="320">
        <v>170000</v>
      </c>
      <c r="I83" s="319" t="b">
        <v>0</v>
      </c>
      <c r="J83" s="372"/>
      <c r="K83" s="373" t="s">
        <v>1973</v>
      </c>
      <c r="L83" s="374" t="e">
        <f t="shared" si="3"/>
        <v>#VALUE!</v>
      </c>
      <c r="M83" s="325"/>
    </row>
    <row r="84" spans="1:13" ht="13">
      <c r="A84" s="316" t="s">
        <v>578</v>
      </c>
      <c r="B84" s="316" t="s">
        <v>1973</v>
      </c>
      <c r="C84" s="316" t="s">
        <v>1973</v>
      </c>
      <c r="D84" s="316" t="s">
        <v>1973</v>
      </c>
      <c r="E84" s="317" t="s">
        <v>1973</v>
      </c>
      <c r="F84" s="318">
        <v>1</v>
      </c>
      <c r="G84" s="354" t="s">
        <v>62</v>
      </c>
      <c r="H84" s="320">
        <v>220000</v>
      </c>
      <c r="I84" s="319" t="b">
        <v>0</v>
      </c>
      <c r="J84" s="372"/>
      <c r="K84" s="373" t="s">
        <v>1973</v>
      </c>
      <c r="L84" s="374" t="e">
        <f t="shared" si="3"/>
        <v>#VALUE!</v>
      </c>
      <c r="M84" s="325"/>
    </row>
    <row r="85" spans="1:13" ht="13">
      <c r="A85" s="316" t="s">
        <v>958</v>
      </c>
      <c r="B85" s="316" t="s">
        <v>1973</v>
      </c>
      <c r="C85" s="316" t="s">
        <v>1973</v>
      </c>
      <c r="D85" s="316" t="s">
        <v>1973</v>
      </c>
      <c r="E85" s="317" t="s">
        <v>1973</v>
      </c>
      <c r="F85" s="318">
        <v>2</v>
      </c>
      <c r="G85" s="354" t="s">
        <v>97</v>
      </c>
      <c r="H85" s="320">
        <v>258000</v>
      </c>
      <c r="I85" s="319" t="b">
        <v>0</v>
      </c>
      <c r="J85" s="372"/>
      <c r="K85" s="373" t="s">
        <v>1973</v>
      </c>
      <c r="L85" s="374" t="e">
        <f t="shared" si="3"/>
        <v>#VALUE!</v>
      </c>
      <c r="M85" s="325"/>
    </row>
    <row r="86" spans="1:13" ht="13">
      <c r="A86" s="316" t="s">
        <v>1504</v>
      </c>
      <c r="B86" s="316" t="s">
        <v>1973</v>
      </c>
      <c r="C86" s="316" t="s">
        <v>1973</v>
      </c>
      <c r="D86" s="316" t="s">
        <v>1973</v>
      </c>
      <c r="E86" s="317" t="s">
        <v>1973</v>
      </c>
      <c r="F86" s="318">
        <v>1</v>
      </c>
      <c r="G86" s="354" t="s">
        <v>97</v>
      </c>
      <c r="H86" s="320">
        <v>128700</v>
      </c>
      <c r="I86" s="319" t="b">
        <v>0</v>
      </c>
      <c r="J86" s="372"/>
      <c r="K86" s="373" t="s">
        <v>1973</v>
      </c>
      <c r="L86" s="374" t="e">
        <f t="shared" si="3"/>
        <v>#VALUE!</v>
      </c>
      <c r="M86" s="325"/>
    </row>
    <row r="87" spans="1:13" ht="13">
      <c r="A87" s="316" t="s">
        <v>1505</v>
      </c>
      <c r="B87" s="316" t="s">
        <v>1973</v>
      </c>
      <c r="C87" s="316" t="s">
        <v>1973</v>
      </c>
      <c r="D87" s="316" t="s">
        <v>1973</v>
      </c>
      <c r="E87" s="317" t="s">
        <v>1973</v>
      </c>
      <c r="F87" s="318">
        <v>2</v>
      </c>
      <c r="G87" s="354" t="s">
        <v>97</v>
      </c>
      <c r="H87" s="320">
        <v>257400</v>
      </c>
      <c r="I87" s="319" t="b">
        <v>0</v>
      </c>
      <c r="J87" s="372"/>
      <c r="K87" s="373" t="s">
        <v>1973</v>
      </c>
      <c r="L87" s="374" t="e">
        <f t="shared" si="3"/>
        <v>#VALUE!</v>
      </c>
      <c r="M87" s="325"/>
    </row>
    <row r="88" spans="1:13" ht="13">
      <c r="A88" s="316" t="s">
        <v>1506</v>
      </c>
      <c r="B88" s="316" t="s">
        <v>1973</v>
      </c>
      <c r="C88" s="316" t="s">
        <v>1973</v>
      </c>
      <c r="D88" s="316" t="s">
        <v>1973</v>
      </c>
      <c r="E88" s="317" t="s">
        <v>1973</v>
      </c>
      <c r="F88" s="318">
        <v>2</v>
      </c>
      <c r="G88" s="354" t="s">
        <v>97</v>
      </c>
      <c r="H88" s="320">
        <v>257400</v>
      </c>
      <c r="I88" s="319" t="b">
        <v>0</v>
      </c>
      <c r="J88" s="372"/>
      <c r="K88" s="373" t="s">
        <v>1973</v>
      </c>
      <c r="L88" s="374" t="e">
        <f t="shared" si="3"/>
        <v>#VALUE!</v>
      </c>
      <c r="M88" s="325"/>
    </row>
    <row r="89" spans="1:13" ht="13">
      <c r="A89" s="316" t="s">
        <v>976</v>
      </c>
      <c r="B89" s="316" t="s">
        <v>1973</v>
      </c>
      <c r="C89" s="316" t="s">
        <v>1973</v>
      </c>
      <c r="D89" s="316" t="s">
        <v>1973</v>
      </c>
      <c r="E89" s="317" t="s">
        <v>1973</v>
      </c>
      <c r="F89" s="318">
        <v>2</v>
      </c>
      <c r="G89" s="354" t="s">
        <v>62</v>
      </c>
      <c r="H89" s="320">
        <v>50000</v>
      </c>
      <c r="I89" s="319" t="b">
        <v>0</v>
      </c>
      <c r="J89" s="372"/>
      <c r="K89" s="373" t="s">
        <v>1973</v>
      </c>
      <c r="L89" s="374" t="e">
        <f t="shared" si="3"/>
        <v>#VALUE!</v>
      </c>
      <c r="M89" s="325"/>
    </row>
    <row r="90" spans="1:13" ht="13">
      <c r="A90" s="18" t="s">
        <v>1096</v>
      </c>
      <c r="B90" s="316" t="s">
        <v>1973</v>
      </c>
      <c r="C90" s="316" t="s">
        <v>1973</v>
      </c>
      <c r="D90" s="316" t="s">
        <v>1973</v>
      </c>
      <c r="E90" s="317" t="s">
        <v>1973</v>
      </c>
      <c r="F90" s="318">
        <v>1</v>
      </c>
      <c r="G90" s="354" t="s">
        <v>62</v>
      </c>
      <c r="H90" s="320">
        <v>4700</v>
      </c>
      <c r="I90" s="395" t="b">
        <v>1</v>
      </c>
      <c r="J90" s="322">
        <v>1</v>
      </c>
      <c r="K90" s="323">
        <v>9100</v>
      </c>
      <c r="L90" s="379">
        <f t="shared" si="3"/>
        <v>9100</v>
      </c>
      <c r="M90" s="325" t="s">
        <v>1805</v>
      </c>
    </row>
    <row r="91" spans="1:13" ht="13">
      <c r="A91" s="316" t="s">
        <v>631</v>
      </c>
      <c r="B91" s="316" t="s">
        <v>1973</v>
      </c>
      <c r="C91" s="316" t="s">
        <v>1973</v>
      </c>
      <c r="D91" s="316" t="s">
        <v>1973</v>
      </c>
      <c r="E91" s="317" t="s">
        <v>1973</v>
      </c>
      <c r="F91" s="318">
        <v>0.5</v>
      </c>
      <c r="G91" s="354" t="s">
        <v>36</v>
      </c>
      <c r="H91" s="320">
        <v>8000</v>
      </c>
      <c r="I91" s="395" t="b">
        <v>1</v>
      </c>
      <c r="J91" s="322">
        <v>0.5</v>
      </c>
      <c r="K91" s="323">
        <v>14000</v>
      </c>
      <c r="L91" s="380">
        <f t="shared" si="3"/>
        <v>7000</v>
      </c>
      <c r="M91" s="325" t="s">
        <v>1806</v>
      </c>
    </row>
    <row r="92" spans="1:13" ht="13">
      <c r="A92" s="316" t="s">
        <v>989</v>
      </c>
      <c r="B92" s="316" t="s">
        <v>1973</v>
      </c>
      <c r="C92" s="316" t="s">
        <v>1973</v>
      </c>
      <c r="D92" s="316" t="s">
        <v>1973</v>
      </c>
      <c r="E92" s="317" t="s">
        <v>1973</v>
      </c>
      <c r="F92" s="318">
        <v>1</v>
      </c>
      <c r="G92" s="354" t="s">
        <v>62</v>
      </c>
      <c r="H92" s="320">
        <v>16000</v>
      </c>
      <c r="I92" s="319" t="b">
        <v>0</v>
      </c>
      <c r="J92" s="372"/>
      <c r="K92" s="373" t="s">
        <v>1973</v>
      </c>
      <c r="L92" s="374" t="e">
        <f t="shared" si="3"/>
        <v>#VALUE!</v>
      </c>
      <c r="M92" s="325"/>
    </row>
    <row r="93" spans="1:13" ht="13">
      <c r="A93" s="316" t="s">
        <v>562</v>
      </c>
      <c r="B93" s="316" t="s">
        <v>1973</v>
      </c>
      <c r="C93" s="316" t="s">
        <v>1973</v>
      </c>
      <c r="D93" s="316" t="s">
        <v>1973</v>
      </c>
      <c r="E93" s="317" t="s">
        <v>1973</v>
      </c>
      <c r="F93" s="318">
        <v>1</v>
      </c>
      <c r="G93" s="354" t="s">
        <v>97</v>
      </c>
      <c r="H93" s="320">
        <v>195000</v>
      </c>
      <c r="I93" s="319" t="b">
        <v>0</v>
      </c>
      <c r="J93" s="372"/>
      <c r="K93" s="373" t="s">
        <v>1973</v>
      </c>
      <c r="L93" s="374" t="e">
        <f t="shared" si="3"/>
        <v>#VALUE!</v>
      </c>
      <c r="M93" s="325"/>
    </row>
    <row r="94" spans="1:13" ht="13">
      <c r="A94" s="316" t="s">
        <v>566</v>
      </c>
      <c r="B94" s="316" t="s">
        <v>1973</v>
      </c>
      <c r="C94" s="316" t="s">
        <v>1973</v>
      </c>
      <c r="D94" s="316" t="s">
        <v>1973</v>
      </c>
      <c r="E94" s="317" t="s">
        <v>1973</v>
      </c>
      <c r="F94" s="318">
        <v>1</v>
      </c>
      <c r="G94" s="354" t="s">
        <v>62</v>
      </c>
      <c r="H94" s="320">
        <v>200000</v>
      </c>
      <c r="I94" s="319" t="b">
        <v>0</v>
      </c>
      <c r="J94" s="372"/>
      <c r="K94" s="373" t="s">
        <v>1973</v>
      </c>
      <c r="L94" s="374" t="e">
        <f t="shared" si="3"/>
        <v>#VALUE!</v>
      </c>
      <c r="M94" s="325"/>
    </row>
    <row r="95" spans="1:13" ht="13">
      <c r="A95" s="316" t="s">
        <v>570</v>
      </c>
      <c r="B95" s="316" t="s">
        <v>1973</v>
      </c>
      <c r="C95" s="316" t="s">
        <v>1973</v>
      </c>
      <c r="D95" s="316" t="s">
        <v>1973</v>
      </c>
      <c r="E95" s="317" t="s">
        <v>1973</v>
      </c>
      <c r="F95" s="318">
        <v>1</v>
      </c>
      <c r="G95" s="354" t="s">
        <v>62</v>
      </c>
      <c r="H95" s="320">
        <v>200000</v>
      </c>
      <c r="I95" s="319" t="b">
        <v>0</v>
      </c>
      <c r="J95" s="372"/>
      <c r="K95" s="373" t="s">
        <v>1973</v>
      </c>
      <c r="L95" s="374" t="e">
        <f t="shared" si="3"/>
        <v>#VALUE!</v>
      </c>
      <c r="M95" s="325"/>
    </row>
    <row r="96" spans="1:13" ht="13">
      <c r="A96" s="316" t="s">
        <v>961</v>
      </c>
      <c r="B96" s="316" t="s">
        <v>1973</v>
      </c>
      <c r="C96" s="316" t="s">
        <v>1973</v>
      </c>
      <c r="D96" s="316" t="s">
        <v>1973</v>
      </c>
      <c r="E96" s="317" t="s">
        <v>1973</v>
      </c>
      <c r="F96" s="318">
        <v>2</v>
      </c>
      <c r="G96" s="354" t="s">
        <v>97</v>
      </c>
      <c r="H96" s="320">
        <v>154546</v>
      </c>
      <c r="I96" s="319" t="b">
        <v>0</v>
      </c>
      <c r="J96" s="372"/>
      <c r="K96" s="373" t="s">
        <v>1973</v>
      </c>
      <c r="L96" s="374" t="e">
        <f t="shared" si="3"/>
        <v>#VALUE!</v>
      </c>
      <c r="M96" s="325"/>
    </row>
    <row r="97" spans="1:13" ht="13">
      <c r="A97" s="316" t="s">
        <v>992</v>
      </c>
      <c r="B97" s="316" t="s">
        <v>1973</v>
      </c>
      <c r="C97" s="316" t="s">
        <v>1973</v>
      </c>
      <c r="D97" s="316" t="s">
        <v>1973</v>
      </c>
      <c r="E97" s="317" t="s">
        <v>1973</v>
      </c>
      <c r="F97" s="318">
        <v>1</v>
      </c>
      <c r="G97" s="354" t="s">
        <v>143</v>
      </c>
      <c r="H97" s="320">
        <v>149952</v>
      </c>
      <c r="I97" s="319" t="b">
        <v>0</v>
      </c>
      <c r="J97" s="372"/>
      <c r="K97" s="373" t="s">
        <v>1973</v>
      </c>
      <c r="L97" s="374" t="e">
        <f t="shared" si="3"/>
        <v>#VALUE!</v>
      </c>
      <c r="M97" s="325"/>
    </row>
    <row r="98" spans="1:13" ht="13">
      <c r="A98" s="316" t="s">
        <v>995</v>
      </c>
      <c r="B98" s="316" t="s">
        <v>1973</v>
      </c>
      <c r="C98" s="316" t="s">
        <v>1973</v>
      </c>
      <c r="D98" s="316" t="s">
        <v>1973</v>
      </c>
      <c r="E98" s="317" t="s">
        <v>1973</v>
      </c>
      <c r="F98" s="318">
        <v>1</v>
      </c>
      <c r="G98" s="354" t="s">
        <v>143</v>
      </c>
      <c r="H98" s="320">
        <v>199663</v>
      </c>
      <c r="I98" s="319" t="b">
        <v>0</v>
      </c>
      <c r="J98" s="372"/>
      <c r="K98" s="373" t="s">
        <v>1973</v>
      </c>
      <c r="L98" s="374" t="e">
        <f t="shared" si="3"/>
        <v>#VALUE!</v>
      </c>
      <c r="M98" s="325"/>
    </row>
    <row r="99" spans="1:13" ht="13">
      <c r="A99" s="316" t="s">
        <v>949</v>
      </c>
      <c r="B99" s="316" t="s">
        <v>1973</v>
      </c>
      <c r="C99" s="316" t="s">
        <v>1973</v>
      </c>
      <c r="D99" s="316" t="s">
        <v>1973</v>
      </c>
      <c r="E99" s="317" t="s">
        <v>1973</v>
      </c>
      <c r="F99" s="318">
        <v>1</v>
      </c>
      <c r="G99" s="354" t="s">
        <v>97</v>
      </c>
      <c r="H99" s="320">
        <v>23200</v>
      </c>
      <c r="I99" s="319" t="b">
        <v>0</v>
      </c>
      <c r="J99" s="372"/>
      <c r="K99" s="373" t="s">
        <v>1973</v>
      </c>
      <c r="L99" s="374" t="e">
        <f t="shared" si="3"/>
        <v>#VALUE!</v>
      </c>
      <c r="M99" s="325"/>
    </row>
    <row r="100" spans="1:13" ht="13">
      <c r="A100" s="316" t="s">
        <v>1550</v>
      </c>
      <c r="B100" s="316" t="s">
        <v>1973</v>
      </c>
      <c r="C100" s="316" t="s">
        <v>1973</v>
      </c>
      <c r="D100" s="316" t="s">
        <v>1973</v>
      </c>
      <c r="E100" s="317" t="s">
        <v>1973</v>
      </c>
      <c r="F100" s="318">
        <v>1</v>
      </c>
      <c r="G100" s="354" t="s">
        <v>97</v>
      </c>
      <c r="H100" s="320">
        <v>105000</v>
      </c>
      <c r="I100" s="319" t="b">
        <v>0</v>
      </c>
      <c r="J100" s="372"/>
      <c r="K100" s="373" t="s">
        <v>1973</v>
      </c>
      <c r="L100" s="374" t="e">
        <f t="shared" si="3"/>
        <v>#VALUE!</v>
      </c>
      <c r="M100" s="325"/>
    </row>
    <row r="101" spans="1:13" ht="13">
      <c r="A101" s="316" t="s">
        <v>1651</v>
      </c>
      <c r="B101" s="316" t="s">
        <v>1973</v>
      </c>
      <c r="C101" s="316" t="s">
        <v>1973</v>
      </c>
      <c r="D101" s="316" t="s">
        <v>1973</v>
      </c>
      <c r="E101" s="317" t="s">
        <v>1973</v>
      </c>
      <c r="F101" s="318">
        <v>1</v>
      </c>
      <c r="G101" s="354" t="s">
        <v>97</v>
      </c>
      <c r="H101" s="320">
        <v>105000</v>
      </c>
      <c r="I101" s="319" t="b">
        <v>0</v>
      </c>
      <c r="J101" s="372"/>
      <c r="K101" s="373" t="s">
        <v>1973</v>
      </c>
      <c r="L101" s="374" t="e">
        <f t="shared" si="3"/>
        <v>#VALUE!</v>
      </c>
      <c r="M101" s="325"/>
    </row>
    <row r="102" spans="1:13" ht="13">
      <c r="A102" s="316" t="s">
        <v>847</v>
      </c>
      <c r="B102" s="316" t="s">
        <v>1973</v>
      </c>
      <c r="C102" s="316" t="s">
        <v>1973</v>
      </c>
      <c r="D102" s="316" t="s">
        <v>1973</v>
      </c>
      <c r="E102" s="317" t="s">
        <v>1973</v>
      </c>
      <c r="F102" s="318">
        <v>3</v>
      </c>
      <c r="G102" s="354" t="s">
        <v>75</v>
      </c>
      <c r="H102" s="320">
        <v>138000</v>
      </c>
      <c r="I102" s="319" t="b">
        <v>0</v>
      </c>
      <c r="J102" s="372"/>
      <c r="K102" s="373" t="s">
        <v>1973</v>
      </c>
      <c r="L102" s="374" t="e">
        <f t="shared" si="3"/>
        <v>#VALUE!</v>
      </c>
      <c r="M102" s="325"/>
    </row>
    <row r="103" spans="1:13" ht="13">
      <c r="A103" s="316" t="s">
        <v>540</v>
      </c>
      <c r="B103" s="316" t="s">
        <v>1973</v>
      </c>
      <c r="C103" s="316" t="s">
        <v>1973</v>
      </c>
      <c r="D103" s="316" t="s">
        <v>1973</v>
      </c>
      <c r="E103" s="317" t="s">
        <v>1973</v>
      </c>
      <c r="F103" s="318">
        <v>5</v>
      </c>
      <c r="G103" s="354" t="s">
        <v>36</v>
      </c>
      <c r="H103" s="320">
        <v>850000</v>
      </c>
      <c r="I103" s="319" t="b">
        <v>0</v>
      </c>
      <c r="J103" s="372"/>
      <c r="K103" s="373" t="s">
        <v>1973</v>
      </c>
      <c r="L103" s="374" t="e">
        <f t="shared" si="3"/>
        <v>#VALUE!</v>
      </c>
      <c r="M103" s="325"/>
    </row>
    <row r="104" spans="1:13" ht="13">
      <c r="A104" s="316" t="s">
        <v>590</v>
      </c>
      <c r="B104" s="316" t="s">
        <v>1973</v>
      </c>
      <c r="C104" s="316" t="s">
        <v>1973</v>
      </c>
      <c r="D104" s="316" t="s">
        <v>1973</v>
      </c>
      <c r="E104" s="317" t="s">
        <v>1973</v>
      </c>
      <c r="F104" s="318">
        <v>4</v>
      </c>
      <c r="G104" s="354" t="s">
        <v>62</v>
      </c>
      <c r="H104" s="320">
        <v>340000</v>
      </c>
      <c r="I104" s="319" t="b">
        <v>0</v>
      </c>
      <c r="J104" s="372"/>
      <c r="K104" s="373" t="s">
        <v>1973</v>
      </c>
      <c r="L104" s="374" t="e">
        <f t="shared" si="3"/>
        <v>#VALUE!</v>
      </c>
      <c r="M104" s="325"/>
    </row>
    <row r="105" spans="1:13" ht="13">
      <c r="A105" s="316" t="s">
        <v>680</v>
      </c>
      <c r="B105" s="316" t="s">
        <v>1973</v>
      </c>
      <c r="C105" s="316" t="s">
        <v>1973</v>
      </c>
      <c r="D105" s="316" t="s">
        <v>1973</v>
      </c>
      <c r="E105" s="317" t="s">
        <v>1973</v>
      </c>
      <c r="F105" s="318">
        <v>3</v>
      </c>
      <c r="G105" s="354" t="s">
        <v>97</v>
      </c>
      <c r="H105" s="320">
        <v>87000</v>
      </c>
      <c r="I105" s="319" t="b">
        <v>0</v>
      </c>
      <c r="J105" s="372"/>
      <c r="K105" s="373" t="s">
        <v>1973</v>
      </c>
      <c r="L105" s="374" t="e">
        <f t="shared" si="3"/>
        <v>#VALUE!</v>
      </c>
      <c r="M105" s="325"/>
    </row>
    <row r="106" spans="1:13" ht="13">
      <c r="A106" s="316" t="s">
        <v>1037</v>
      </c>
      <c r="B106" s="316" t="s">
        <v>1973</v>
      </c>
      <c r="C106" s="316" t="s">
        <v>1973</v>
      </c>
      <c r="D106" s="316" t="s">
        <v>1973</v>
      </c>
      <c r="E106" s="317" t="s">
        <v>1973</v>
      </c>
      <c r="F106" s="318">
        <v>3</v>
      </c>
      <c r="G106" s="354" t="s">
        <v>62</v>
      </c>
      <c r="H106" s="320">
        <v>60300</v>
      </c>
      <c r="I106" s="395" t="b">
        <v>1</v>
      </c>
      <c r="J106" s="322">
        <v>3</v>
      </c>
      <c r="K106" s="323">
        <v>17100</v>
      </c>
      <c r="L106" s="380">
        <f t="shared" si="3"/>
        <v>51300</v>
      </c>
      <c r="M106" s="325" t="s">
        <v>1807</v>
      </c>
    </row>
    <row r="108" spans="1:13" ht="13">
      <c r="F108" s="429">
        <v>44567</v>
      </c>
      <c r="G108" s="428"/>
      <c r="H108" s="424"/>
      <c r="J108" s="429">
        <f>F108</f>
        <v>44567</v>
      </c>
      <c r="K108" s="428"/>
      <c r="L108" s="424"/>
    </row>
    <row r="109" spans="1:13" ht="13">
      <c r="F109" s="425" t="s">
        <v>1490</v>
      </c>
      <c r="G109" s="426"/>
      <c r="H109" s="304">
        <f>SUM(H111:H115)</f>
        <v>299000</v>
      </c>
      <c r="J109" s="425" t="s">
        <v>1491</v>
      </c>
      <c r="K109" s="426"/>
      <c r="L109" s="304" t="e">
        <f>SUM(L111:L115)</f>
        <v>#VALUE!</v>
      </c>
    </row>
    <row r="110" spans="1:13" ht="13">
      <c r="A110" s="2" t="s">
        <v>4</v>
      </c>
      <c r="B110" s="305" t="s">
        <v>5</v>
      </c>
      <c r="C110" s="305" t="s">
        <v>11</v>
      </c>
      <c r="D110" s="305" t="s">
        <v>12</v>
      </c>
      <c r="E110" s="306" t="s">
        <v>6</v>
      </c>
      <c r="F110" s="307" t="s">
        <v>1494</v>
      </c>
      <c r="G110" s="308" t="s">
        <v>10</v>
      </c>
      <c r="H110" s="309" t="s">
        <v>1495</v>
      </c>
      <c r="I110" s="310" t="s">
        <v>1289</v>
      </c>
      <c r="J110" s="311" t="s">
        <v>1496</v>
      </c>
      <c r="K110" s="312" t="s">
        <v>1497</v>
      </c>
      <c r="L110" s="313" t="s">
        <v>1498</v>
      </c>
      <c r="M110" s="314" t="s">
        <v>16</v>
      </c>
    </row>
    <row r="111" spans="1:13" ht="13">
      <c r="A111" s="316" t="s">
        <v>528</v>
      </c>
      <c r="B111" s="316" t="s">
        <v>1973</v>
      </c>
      <c r="C111" s="316" t="s">
        <v>1973</v>
      </c>
      <c r="D111" s="316" t="s">
        <v>1973</v>
      </c>
      <c r="E111" s="317" t="s">
        <v>1973</v>
      </c>
      <c r="F111" s="318">
        <v>4</v>
      </c>
      <c r="G111" s="354" t="s">
        <v>50</v>
      </c>
      <c r="H111" s="320">
        <v>62000</v>
      </c>
      <c r="I111" s="395" t="b">
        <v>1</v>
      </c>
      <c r="J111" s="322">
        <v>4</v>
      </c>
      <c r="K111" s="323" t="s">
        <v>1973</v>
      </c>
      <c r="L111" s="379" t="e">
        <f t="shared" ref="L111:L115" si="4">J111*K111</f>
        <v>#VALUE!</v>
      </c>
      <c r="M111" s="325" t="s">
        <v>1808</v>
      </c>
    </row>
    <row r="112" spans="1:13" ht="13">
      <c r="A112" s="316" t="s">
        <v>635</v>
      </c>
      <c r="B112" s="316" t="s">
        <v>1973</v>
      </c>
      <c r="C112" s="316" t="s">
        <v>1973</v>
      </c>
      <c r="D112" s="316" t="s">
        <v>1973</v>
      </c>
      <c r="E112" s="317" t="s">
        <v>1973</v>
      </c>
      <c r="F112" s="318">
        <v>8</v>
      </c>
      <c r="G112" s="354" t="s">
        <v>50</v>
      </c>
      <c r="H112" s="320">
        <v>72000</v>
      </c>
      <c r="I112" s="393" t="b">
        <v>1</v>
      </c>
      <c r="J112" s="322">
        <v>8</v>
      </c>
      <c r="K112" s="323" t="s">
        <v>1973</v>
      </c>
      <c r="L112" s="371" t="e">
        <f t="shared" si="4"/>
        <v>#VALUE!</v>
      </c>
      <c r="M112" s="325"/>
    </row>
    <row r="113" spans="1:13" ht="13">
      <c r="A113" s="316" t="s">
        <v>696</v>
      </c>
      <c r="B113" s="316" t="s">
        <v>1973</v>
      </c>
      <c r="C113" s="316" t="s">
        <v>1973</v>
      </c>
      <c r="D113" s="316" t="s">
        <v>1973</v>
      </c>
      <c r="E113" s="317" t="s">
        <v>1973</v>
      </c>
      <c r="F113" s="318">
        <v>3</v>
      </c>
      <c r="G113" s="354" t="s">
        <v>62</v>
      </c>
      <c r="H113" s="320">
        <v>30000</v>
      </c>
      <c r="I113" s="393" t="b">
        <v>1</v>
      </c>
      <c r="J113" s="322">
        <v>3</v>
      </c>
      <c r="K113" s="323" t="s">
        <v>1973</v>
      </c>
      <c r="L113" s="371" t="e">
        <f t="shared" si="4"/>
        <v>#VALUE!</v>
      </c>
      <c r="M113" s="325"/>
    </row>
    <row r="114" spans="1:13" ht="13">
      <c r="A114" s="316" t="s">
        <v>748</v>
      </c>
      <c r="B114" s="316" t="s">
        <v>1973</v>
      </c>
      <c r="C114" s="316" t="s">
        <v>1973</v>
      </c>
      <c r="D114" s="316" t="s">
        <v>1973</v>
      </c>
      <c r="E114" s="317" t="s">
        <v>1973</v>
      </c>
      <c r="F114" s="318">
        <v>2</v>
      </c>
      <c r="G114" s="354" t="s">
        <v>62</v>
      </c>
      <c r="H114" s="320">
        <v>58000</v>
      </c>
      <c r="I114" s="395" t="b">
        <v>1</v>
      </c>
      <c r="J114" s="322">
        <v>2</v>
      </c>
      <c r="K114" s="323">
        <v>30000</v>
      </c>
      <c r="L114" s="379">
        <f t="shared" si="4"/>
        <v>60000</v>
      </c>
      <c r="M114" s="325" t="s">
        <v>1809</v>
      </c>
    </row>
    <row r="115" spans="1:13" ht="13">
      <c r="A115" s="316" t="s">
        <v>779</v>
      </c>
      <c r="B115" s="316" t="s">
        <v>1973</v>
      </c>
      <c r="C115" s="316" t="s">
        <v>1973</v>
      </c>
      <c r="D115" s="316" t="s">
        <v>1973</v>
      </c>
      <c r="E115" s="317" t="s">
        <v>1973</v>
      </c>
      <c r="F115" s="318">
        <v>2</v>
      </c>
      <c r="G115" s="354" t="s">
        <v>62</v>
      </c>
      <c r="H115" s="320">
        <v>77000</v>
      </c>
      <c r="I115" s="395" t="b">
        <v>1</v>
      </c>
      <c r="J115" s="322">
        <v>2</v>
      </c>
      <c r="K115" s="323" t="e">
        <f>VLOOKUP($A115,'[1]Database Bahan &amp; Alat (Terupdat'!$B$50:$N$232,6,FALSE)-2500</f>
        <v>#N/A</v>
      </c>
      <c r="L115" s="380" t="e">
        <f t="shared" si="4"/>
        <v>#N/A</v>
      </c>
      <c r="M115" s="325" t="s">
        <v>1810</v>
      </c>
    </row>
    <row r="117" spans="1:13" ht="13">
      <c r="F117" s="429">
        <v>44569</v>
      </c>
      <c r="G117" s="428"/>
      <c r="H117" s="424"/>
      <c r="J117" s="429">
        <f>F117</f>
        <v>44569</v>
      </c>
      <c r="K117" s="428"/>
      <c r="L117" s="424"/>
    </row>
    <row r="118" spans="1:13" ht="13">
      <c r="F118" s="425" t="s">
        <v>1490</v>
      </c>
      <c r="G118" s="426"/>
      <c r="H118" s="304">
        <f>SUM(H120:H206)</f>
        <v>8656158</v>
      </c>
      <c r="J118" s="425" t="s">
        <v>1491</v>
      </c>
      <c r="K118" s="426"/>
      <c r="L118" s="304" t="e">
        <f>SUM(L120:L206)</f>
        <v>#N/A</v>
      </c>
    </row>
    <row r="119" spans="1:13" ht="13">
      <c r="A119" s="2" t="s">
        <v>4</v>
      </c>
      <c r="B119" s="305" t="s">
        <v>5</v>
      </c>
      <c r="C119" s="305" t="s">
        <v>11</v>
      </c>
      <c r="D119" s="305" t="s">
        <v>12</v>
      </c>
      <c r="E119" s="306" t="s">
        <v>6</v>
      </c>
      <c r="F119" s="307" t="s">
        <v>1494</v>
      </c>
      <c r="G119" s="308" t="s">
        <v>10</v>
      </c>
      <c r="H119" s="309" t="s">
        <v>1495</v>
      </c>
      <c r="I119" s="310" t="s">
        <v>1289</v>
      </c>
      <c r="J119" s="311" t="s">
        <v>1496</v>
      </c>
      <c r="K119" s="312" t="s">
        <v>1497</v>
      </c>
      <c r="L119" s="313" t="s">
        <v>1498</v>
      </c>
      <c r="M119" s="314" t="s">
        <v>16</v>
      </c>
    </row>
    <row r="120" spans="1:13" ht="13">
      <c r="A120" s="316" t="s">
        <v>544</v>
      </c>
      <c r="B120" s="316" t="s">
        <v>1973</v>
      </c>
      <c r="C120" s="316" t="s">
        <v>1973</v>
      </c>
      <c r="D120" s="316" t="s">
        <v>1973</v>
      </c>
      <c r="E120" s="317" t="s">
        <v>1973</v>
      </c>
      <c r="F120" s="318">
        <v>4</v>
      </c>
      <c r="G120" s="354" t="s">
        <v>62</v>
      </c>
      <c r="H120" s="320">
        <v>84800</v>
      </c>
      <c r="I120" s="395" t="b">
        <v>1</v>
      </c>
      <c r="J120" s="322">
        <v>4</v>
      </c>
      <c r="K120" s="323">
        <v>22600</v>
      </c>
      <c r="L120" s="379">
        <f t="shared" ref="L120:L206" si="5">J120*K120</f>
        <v>90400</v>
      </c>
      <c r="M120" s="325" t="s">
        <v>1811</v>
      </c>
    </row>
    <row r="121" spans="1:13" ht="13">
      <c r="A121" s="316" t="s">
        <v>586</v>
      </c>
      <c r="B121" s="316" t="s">
        <v>1973</v>
      </c>
      <c r="C121" s="316" t="s">
        <v>1973</v>
      </c>
      <c r="D121" s="316" t="s">
        <v>1973</v>
      </c>
      <c r="E121" s="317" t="s">
        <v>1973</v>
      </c>
      <c r="F121" s="318">
        <v>5</v>
      </c>
      <c r="G121" s="354" t="s">
        <v>62</v>
      </c>
      <c r="H121" s="320">
        <v>36000</v>
      </c>
      <c r="I121" s="393" t="b">
        <v>1</v>
      </c>
      <c r="J121" s="322">
        <v>2</v>
      </c>
      <c r="K121" s="323" t="e">
        <f>VLOOKUP($A121,'[1]Database Bahan &amp; Alat (Terupdat'!$B$50:$N$232,6,FALSE)</f>
        <v>#N/A</v>
      </c>
      <c r="L121" s="371" t="e">
        <f t="shared" si="5"/>
        <v>#N/A</v>
      </c>
      <c r="M121" s="325"/>
    </row>
    <row r="122" spans="1:13" ht="13">
      <c r="A122" s="316" t="s">
        <v>627</v>
      </c>
      <c r="B122" s="316" t="s">
        <v>1973</v>
      </c>
      <c r="C122" s="316" t="s">
        <v>1973</v>
      </c>
      <c r="D122" s="316" t="s">
        <v>1973</v>
      </c>
      <c r="E122" s="317" t="s">
        <v>1973</v>
      </c>
      <c r="F122" s="318">
        <v>0.5</v>
      </c>
      <c r="G122" s="354" t="s">
        <v>36</v>
      </c>
      <c r="H122" s="320">
        <v>15950</v>
      </c>
      <c r="I122" s="393" t="b">
        <v>1</v>
      </c>
      <c r="J122" s="322">
        <v>710</v>
      </c>
      <c r="K122" s="323">
        <v>37.9</v>
      </c>
      <c r="L122" s="371">
        <f t="shared" si="5"/>
        <v>26909</v>
      </c>
      <c r="M122" s="325"/>
    </row>
    <row r="123" spans="1:13" ht="13">
      <c r="A123" s="316" t="s">
        <v>782</v>
      </c>
      <c r="B123" s="316" t="s">
        <v>1973</v>
      </c>
      <c r="C123" s="316" t="s">
        <v>1973</v>
      </c>
      <c r="D123" s="316" t="s">
        <v>1973</v>
      </c>
      <c r="E123" s="317" t="s">
        <v>1973</v>
      </c>
      <c r="F123" s="318">
        <v>1</v>
      </c>
      <c r="G123" s="354" t="s">
        <v>62</v>
      </c>
      <c r="H123" s="320">
        <v>12000</v>
      </c>
      <c r="I123" s="393" t="b">
        <v>1</v>
      </c>
      <c r="J123" s="322">
        <v>1</v>
      </c>
      <c r="K123" s="323" t="s">
        <v>1973</v>
      </c>
      <c r="L123" s="371" t="e">
        <f t="shared" si="5"/>
        <v>#VALUE!</v>
      </c>
      <c r="M123" s="325"/>
    </row>
    <row r="124" spans="1:13" ht="13">
      <c r="A124" s="316" t="s">
        <v>1661</v>
      </c>
      <c r="B124" s="316" t="s">
        <v>1973</v>
      </c>
      <c r="C124" s="316" t="s">
        <v>1973</v>
      </c>
      <c r="D124" s="316" t="s">
        <v>1973</v>
      </c>
      <c r="E124" s="317" t="s">
        <v>1973</v>
      </c>
      <c r="F124" s="318">
        <v>2</v>
      </c>
      <c r="G124" s="354" t="s">
        <v>97</v>
      </c>
      <c r="H124" s="320">
        <v>29200</v>
      </c>
      <c r="I124" s="319" t="b">
        <v>0</v>
      </c>
      <c r="J124" s="372"/>
      <c r="K124" s="373" t="s">
        <v>1973</v>
      </c>
      <c r="L124" s="374" t="e">
        <f t="shared" si="5"/>
        <v>#VALUE!</v>
      </c>
      <c r="M124" s="325"/>
    </row>
    <row r="125" spans="1:13" ht="13">
      <c r="A125" s="316" t="s">
        <v>919</v>
      </c>
      <c r="B125" s="316" t="s">
        <v>1973</v>
      </c>
      <c r="C125" s="316" t="s">
        <v>1973</v>
      </c>
      <c r="D125" s="316" t="s">
        <v>1973</v>
      </c>
      <c r="E125" s="317" t="s">
        <v>1973</v>
      </c>
      <c r="F125" s="318">
        <v>2</v>
      </c>
      <c r="G125" s="354" t="s">
        <v>62</v>
      </c>
      <c r="H125" s="320">
        <v>19800</v>
      </c>
      <c r="I125" s="393" t="b">
        <v>1</v>
      </c>
      <c r="J125" s="322">
        <v>2</v>
      </c>
      <c r="K125" s="323">
        <v>8800</v>
      </c>
      <c r="L125" s="380">
        <f t="shared" si="5"/>
        <v>17600</v>
      </c>
      <c r="M125" s="325" t="s">
        <v>1812</v>
      </c>
    </row>
    <row r="126" spans="1:13" ht="13">
      <c r="A126" s="316" t="s">
        <v>937</v>
      </c>
      <c r="B126" s="316" t="s">
        <v>1973</v>
      </c>
      <c r="C126" s="316" t="s">
        <v>1973</v>
      </c>
      <c r="D126" s="316" t="s">
        <v>1973</v>
      </c>
      <c r="E126" s="317" t="s">
        <v>1973</v>
      </c>
      <c r="F126" s="318">
        <v>2</v>
      </c>
      <c r="G126" s="354" t="s">
        <v>62</v>
      </c>
      <c r="H126" s="320">
        <v>14400</v>
      </c>
      <c r="I126" s="393" t="b">
        <v>1</v>
      </c>
      <c r="J126" s="322">
        <v>1</v>
      </c>
      <c r="K126" s="323" t="s">
        <v>1973</v>
      </c>
      <c r="L126" s="371" t="e">
        <f t="shared" si="5"/>
        <v>#VALUE!</v>
      </c>
      <c r="M126" s="325"/>
    </row>
    <row r="127" spans="1:13" ht="13">
      <c r="A127" s="316" t="s">
        <v>1041</v>
      </c>
      <c r="B127" s="316" t="s">
        <v>1973</v>
      </c>
      <c r="C127" s="316" t="s">
        <v>1973</v>
      </c>
      <c r="D127" s="316" t="s">
        <v>1973</v>
      </c>
      <c r="E127" s="317" t="s">
        <v>1973</v>
      </c>
      <c r="F127" s="318">
        <v>1</v>
      </c>
      <c r="G127" s="354" t="s">
        <v>62</v>
      </c>
      <c r="H127" s="320">
        <v>12800</v>
      </c>
      <c r="I127" s="319" t="b">
        <v>0</v>
      </c>
      <c r="J127" s="372"/>
      <c r="K127" s="373" t="s">
        <v>1973</v>
      </c>
      <c r="L127" s="374" t="e">
        <f t="shared" si="5"/>
        <v>#VALUE!</v>
      </c>
      <c r="M127" s="325"/>
    </row>
    <row r="128" spans="1:13" ht="13">
      <c r="A128" s="316" t="s">
        <v>574</v>
      </c>
      <c r="B128" s="316" t="s">
        <v>1973</v>
      </c>
      <c r="C128" s="316" t="s">
        <v>1973</v>
      </c>
      <c r="D128" s="316" t="s">
        <v>1973</v>
      </c>
      <c r="E128" s="317" t="s">
        <v>1973</v>
      </c>
      <c r="F128" s="318">
        <v>2</v>
      </c>
      <c r="G128" s="354" t="s">
        <v>62</v>
      </c>
      <c r="H128" s="320">
        <v>340000</v>
      </c>
      <c r="I128" s="319" t="b">
        <v>0</v>
      </c>
      <c r="J128" s="372"/>
      <c r="K128" s="373" t="s">
        <v>1973</v>
      </c>
      <c r="L128" s="374" t="e">
        <f t="shared" si="5"/>
        <v>#VALUE!</v>
      </c>
      <c r="M128" s="325"/>
    </row>
    <row r="129" spans="1:13" ht="13">
      <c r="A129" s="316" t="s">
        <v>578</v>
      </c>
      <c r="B129" s="316" t="s">
        <v>1973</v>
      </c>
      <c r="C129" s="316" t="s">
        <v>1973</v>
      </c>
      <c r="D129" s="316" t="s">
        <v>1973</v>
      </c>
      <c r="E129" s="317" t="s">
        <v>1973</v>
      </c>
      <c r="F129" s="318">
        <v>2</v>
      </c>
      <c r="G129" s="354" t="s">
        <v>62</v>
      </c>
      <c r="H129" s="320">
        <v>440000</v>
      </c>
      <c r="I129" s="319" t="b">
        <v>0</v>
      </c>
      <c r="J129" s="372"/>
      <c r="K129" s="373" t="s">
        <v>1973</v>
      </c>
      <c r="L129" s="374" t="e">
        <f t="shared" si="5"/>
        <v>#VALUE!</v>
      </c>
      <c r="M129" s="325"/>
    </row>
    <row r="130" spans="1:13" ht="13">
      <c r="A130" s="316" t="s">
        <v>958</v>
      </c>
      <c r="B130" s="316" t="s">
        <v>1973</v>
      </c>
      <c r="C130" s="316" t="s">
        <v>1973</v>
      </c>
      <c r="D130" s="316" t="s">
        <v>1973</v>
      </c>
      <c r="E130" s="317" t="s">
        <v>1973</v>
      </c>
      <c r="F130" s="318">
        <v>1</v>
      </c>
      <c r="G130" s="354" t="s">
        <v>97</v>
      </c>
      <c r="H130" s="320">
        <v>129000</v>
      </c>
      <c r="I130" s="319" t="b">
        <v>0</v>
      </c>
      <c r="J130" s="372"/>
      <c r="K130" s="373" t="s">
        <v>1973</v>
      </c>
      <c r="L130" s="374" t="e">
        <f t="shared" si="5"/>
        <v>#VALUE!</v>
      </c>
      <c r="M130" s="325"/>
    </row>
    <row r="131" spans="1:13" ht="13">
      <c r="A131" s="316" t="s">
        <v>964</v>
      </c>
      <c r="B131" s="316" t="s">
        <v>1973</v>
      </c>
      <c r="C131" s="316" t="s">
        <v>1973</v>
      </c>
      <c r="D131" s="316" t="s">
        <v>1973</v>
      </c>
      <c r="E131" s="317" t="s">
        <v>1973</v>
      </c>
      <c r="F131" s="318">
        <v>1</v>
      </c>
      <c r="G131" s="354" t="s">
        <v>97</v>
      </c>
      <c r="H131" s="320">
        <v>129000</v>
      </c>
      <c r="I131" s="319" t="b">
        <v>0</v>
      </c>
      <c r="J131" s="372"/>
      <c r="K131" s="373" t="s">
        <v>1973</v>
      </c>
      <c r="L131" s="374" t="e">
        <f t="shared" si="5"/>
        <v>#VALUE!</v>
      </c>
      <c r="M131" s="325"/>
    </row>
    <row r="132" spans="1:13" ht="13">
      <c r="A132" s="316" t="s">
        <v>967</v>
      </c>
      <c r="B132" s="316" t="s">
        <v>1973</v>
      </c>
      <c r="C132" s="316" t="s">
        <v>1973</v>
      </c>
      <c r="D132" s="316" t="s">
        <v>1973</v>
      </c>
      <c r="E132" s="317" t="s">
        <v>1973</v>
      </c>
      <c r="F132" s="318">
        <v>1</v>
      </c>
      <c r="G132" s="354" t="s">
        <v>97</v>
      </c>
      <c r="H132" s="320">
        <v>129000</v>
      </c>
      <c r="I132" s="319" t="b">
        <v>0</v>
      </c>
      <c r="J132" s="372"/>
      <c r="K132" s="373" t="s">
        <v>1973</v>
      </c>
      <c r="L132" s="374" t="e">
        <f t="shared" si="5"/>
        <v>#VALUE!</v>
      </c>
      <c r="M132" s="325"/>
    </row>
    <row r="133" spans="1:13" ht="13">
      <c r="A133" s="316" t="s">
        <v>1503</v>
      </c>
      <c r="B133" s="316" t="s">
        <v>1973</v>
      </c>
      <c r="C133" s="316" t="s">
        <v>1973</v>
      </c>
      <c r="D133" s="316" t="s">
        <v>1973</v>
      </c>
      <c r="E133" s="317" t="s">
        <v>1973</v>
      </c>
      <c r="F133" s="318">
        <v>1</v>
      </c>
      <c r="G133" s="354" t="s">
        <v>97</v>
      </c>
      <c r="H133" s="320">
        <v>128700</v>
      </c>
      <c r="I133" s="319" t="b">
        <v>0</v>
      </c>
      <c r="J133" s="372"/>
      <c r="K133" s="373" t="s">
        <v>1973</v>
      </c>
      <c r="L133" s="374" t="e">
        <f t="shared" si="5"/>
        <v>#VALUE!</v>
      </c>
      <c r="M133" s="325"/>
    </row>
    <row r="134" spans="1:13" ht="13">
      <c r="A134" s="316" t="s">
        <v>1504</v>
      </c>
      <c r="B134" s="316" t="s">
        <v>1973</v>
      </c>
      <c r="C134" s="316" t="s">
        <v>1973</v>
      </c>
      <c r="D134" s="316" t="s">
        <v>1973</v>
      </c>
      <c r="E134" s="317" t="s">
        <v>1973</v>
      </c>
      <c r="F134" s="318">
        <v>1</v>
      </c>
      <c r="G134" s="354" t="s">
        <v>97</v>
      </c>
      <c r="H134" s="320">
        <v>128700</v>
      </c>
      <c r="I134" s="319" t="b">
        <v>0</v>
      </c>
      <c r="J134" s="372"/>
      <c r="K134" s="373" t="s">
        <v>1973</v>
      </c>
      <c r="L134" s="374" t="e">
        <f t="shared" si="5"/>
        <v>#VALUE!</v>
      </c>
      <c r="M134" s="325"/>
    </row>
    <row r="135" spans="1:13" ht="13">
      <c r="A135" s="316" t="s">
        <v>1505</v>
      </c>
      <c r="B135" s="316" t="s">
        <v>1973</v>
      </c>
      <c r="C135" s="316" t="s">
        <v>1973</v>
      </c>
      <c r="D135" s="316" t="s">
        <v>1973</v>
      </c>
      <c r="E135" s="317" t="s">
        <v>1973</v>
      </c>
      <c r="F135" s="318">
        <v>1</v>
      </c>
      <c r="G135" s="354" t="s">
        <v>97</v>
      </c>
      <c r="H135" s="320">
        <v>128700</v>
      </c>
      <c r="I135" s="319" t="b">
        <v>0</v>
      </c>
      <c r="J135" s="372"/>
      <c r="K135" s="373" t="s">
        <v>1973</v>
      </c>
      <c r="L135" s="374" t="e">
        <f t="shared" si="5"/>
        <v>#VALUE!</v>
      </c>
      <c r="M135" s="325"/>
    </row>
    <row r="136" spans="1:13" ht="13">
      <c r="A136" s="316" t="s">
        <v>1506</v>
      </c>
      <c r="B136" s="316" t="s">
        <v>1973</v>
      </c>
      <c r="C136" s="316" t="s">
        <v>1973</v>
      </c>
      <c r="D136" s="316" t="s">
        <v>1973</v>
      </c>
      <c r="E136" s="317" t="s">
        <v>1973</v>
      </c>
      <c r="F136" s="318">
        <v>2</v>
      </c>
      <c r="G136" s="354" t="s">
        <v>97</v>
      </c>
      <c r="H136" s="320">
        <v>257400</v>
      </c>
      <c r="I136" s="319" t="b">
        <v>0</v>
      </c>
      <c r="J136" s="372"/>
      <c r="K136" s="373" t="s">
        <v>1973</v>
      </c>
      <c r="L136" s="374" t="e">
        <f t="shared" si="5"/>
        <v>#VALUE!</v>
      </c>
      <c r="M136" s="325"/>
    </row>
    <row r="137" spans="1:13" ht="13">
      <c r="A137" s="316" t="s">
        <v>976</v>
      </c>
      <c r="B137" s="316" t="s">
        <v>1973</v>
      </c>
      <c r="C137" s="316" t="s">
        <v>1973</v>
      </c>
      <c r="D137" s="316" t="s">
        <v>1973</v>
      </c>
      <c r="E137" s="317" t="s">
        <v>1973</v>
      </c>
      <c r="F137" s="318">
        <v>1</v>
      </c>
      <c r="G137" s="354" t="s">
        <v>62</v>
      </c>
      <c r="H137" s="320">
        <v>25000</v>
      </c>
      <c r="I137" s="393" t="b">
        <v>1</v>
      </c>
      <c r="J137" s="322">
        <v>1</v>
      </c>
      <c r="K137" s="323" t="s">
        <v>1973</v>
      </c>
      <c r="L137" s="371" t="e">
        <f t="shared" si="5"/>
        <v>#VALUE!</v>
      </c>
      <c r="M137" s="325"/>
    </row>
    <row r="138" spans="1:13" ht="13">
      <c r="A138" s="316" t="s">
        <v>1696</v>
      </c>
      <c r="B138" s="316" t="s">
        <v>1973</v>
      </c>
      <c r="C138" s="316" t="s">
        <v>1973</v>
      </c>
      <c r="D138" s="316" t="s">
        <v>1973</v>
      </c>
      <c r="E138" s="317" t="s">
        <v>1973</v>
      </c>
      <c r="F138" s="318">
        <v>1</v>
      </c>
      <c r="G138" s="354" t="s">
        <v>62</v>
      </c>
      <c r="H138" s="320">
        <v>15000</v>
      </c>
      <c r="I138" s="393" t="b">
        <v>1</v>
      </c>
      <c r="J138" s="322">
        <v>1</v>
      </c>
      <c r="K138" s="323" t="s">
        <v>1973</v>
      </c>
      <c r="L138" s="371" t="e">
        <f t="shared" si="5"/>
        <v>#VALUE!</v>
      </c>
      <c r="M138" s="325"/>
    </row>
    <row r="139" spans="1:13" ht="13">
      <c r="A139" s="316" t="s">
        <v>1030</v>
      </c>
      <c r="B139" s="316" t="s">
        <v>1973</v>
      </c>
      <c r="C139" s="316" t="s">
        <v>1973</v>
      </c>
      <c r="D139" s="316" t="s">
        <v>1973</v>
      </c>
      <c r="E139" s="317" t="s">
        <v>1973</v>
      </c>
      <c r="F139" s="318">
        <v>1</v>
      </c>
      <c r="G139" s="354" t="s">
        <v>62</v>
      </c>
      <c r="H139" s="320">
        <v>19000</v>
      </c>
      <c r="I139" s="319" t="b">
        <v>0</v>
      </c>
      <c r="J139" s="372"/>
      <c r="K139" s="373" t="s">
        <v>1973</v>
      </c>
      <c r="L139" s="374" t="e">
        <f t="shared" si="5"/>
        <v>#VALUE!</v>
      </c>
      <c r="M139" s="325"/>
    </row>
    <row r="140" spans="1:13" ht="13">
      <c r="A140" s="316" t="s">
        <v>1033</v>
      </c>
      <c r="B140" s="316" t="s">
        <v>1973</v>
      </c>
      <c r="C140" s="316" t="s">
        <v>1973</v>
      </c>
      <c r="D140" s="316" t="s">
        <v>1973</v>
      </c>
      <c r="E140" s="317" t="s">
        <v>1973</v>
      </c>
      <c r="F140" s="318">
        <v>1</v>
      </c>
      <c r="G140" s="354" t="s">
        <v>62</v>
      </c>
      <c r="H140" s="320">
        <v>19000</v>
      </c>
      <c r="I140" s="319" t="b">
        <v>0</v>
      </c>
      <c r="J140" s="372"/>
      <c r="K140" s="373" t="s">
        <v>1973</v>
      </c>
      <c r="L140" s="374" t="e">
        <f t="shared" si="5"/>
        <v>#VALUE!</v>
      </c>
      <c r="M140" s="325"/>
    </row>
    <row r="141" spans="1:13" ht="13">
      <c r="A141" s="18" t="s">
        <v>1096</v>
      </c>
      <c r="B141" s="316" t="s">
        <v>1973</v>
      </c>
      <c r="C141" s="316" t="s">
        <v>1973</v>
      </c>
      <c r="D141" s="316" t="s">
        <v>1973</v>
      </c>
      <c r="E141" s="317" t="s">
        <v>1973</v>
      </c>
      <c r="F141" s="318">
        <v>1</v>
      </c>
      <c r="G141" s="354" t="s">
        <v>62</v>
      </c>
      <c r="H141" s="320">
        <v>4700</v>
      </c>
      <c r="I141" s="395" t="b">
        <v>1</v>
      </c>
      <c r="J141" s="322">
        <v>1</v>
      </c>
      <c r="K141" s="323">
        <v>9100</v>
      </c>
      <c r="L141" s="379">
        <f t="shared" si="5"/>
        <v>9100</v>
      </c>
      <c r="M141" s="325" t="s">
        <v>1805</v>
      </c>
    </row>
    <row r="142" spans="1:13" ht="13">
      <c r="A142" s="316" t="s">
        <v>631</v>
      </c>
      <c r="B142" s="316" t="s">
        <v>1973</v>
      </c>
      <c r="C142" s="316" t="s">
        <v>1973</v>
      </c>
      <c r="D142" s="316" t="s">
        <v>1973</v>
      </c>
      <c r="E142" s="317" t="s">
        <v>1973</v>
      </c>
      <c r="F142" s="318">
        <v>0.5</v>
      </c>
      <c r="G142" s="354" t="s">
        <v>36</v>
      </c>
      <c r="H142" s="320">
        <v>8000</v>
      </c>
      <c r="I142" s="393" t="b">
        <v>1</v>
      </c>
      <c r="J142" s="322">
        <v>0.5</v>
      </c>
      <c r="K142" s="323" t="e">
        <f>VLOOKUP($A142,'[1]Database Bahan &amp; Alat (Terupdat'!$B$50:$N$232,6,FALSE)</f>
        <v>#N/A</v>
      </c>
      <c r="L142" s="371" t="e">
        <f t="shared" si="5"/>
        <v>#N/A</v>
      </c>
      <c r="M142" s="325"/>
    </row>
    <row r="143" spans="1:13" ht="13">
      <c r="A143" s="316" t="s">
        <v>1610</v>
      </c>
      <c r="B143" s="316" t="s">
        <v>1973</v>
      </c>
      <c r="C143" s="316" t="s">
        <v>1973</v>
      </c>
      <c r="D143" s="316" t="s">
        <v>1973</v>
      </c>
      <c r="E143" s="317" t="s">
        <v>1973</v>
      </c>
      <c r="F143" s="318">
        <v>4</v>
      </c>
      <c r="G143" s="354" t="s">
        <v>36</v>
      </c>
      <c r="H143" s="320">
        <v>32000</v>
      </c>
      <c r="I143" s="395" t="b">
        <v>1</v>
      </c>
      <c r="J143" s="322">
        <v>4</v>
      </c>
      <c r="K143" s="323">
        <v>10000</v>
      </c>
      <c r="L143" s="379">
        <f t="shared" si="5"/>
        <v>40000</v>
      </c>
      <c r="M143" s="325" t="s">
        <v>1806</v>
      </c>
    </row>
    <row r="144" spans="1:13" ht="13">
      <c r="A144" s="316" t="s">
        <v>1611</v>
      </c>
      <c r="B144" s="316" t="s">
        <v>1973</v>
      </c>
      <c r="C144" s="316" t="s">
        <v>1973</v>
      </c>
      <c r="D144" s="316" t="s">
        <v>1973</v>
      </c>
      <c r="E144" s="317" t="s">
        <v>1973</v>
      </c>
      <c r="F144" s="318">
        <v>5</v>
      </c>
      <c r="G144" s="354" t="s">
        <v>36</v>
      </c>
      <c r="H144" s="320">
        <v>200000</v>
      </c>
      <c r="I144" s="395" t="b">
        <v>1</v>
      </c>
      <c r="J144" s="322">
        <v>4</v>
      </c>
      <c r="K144" s="323">
        <v>60000</v>
      </c>
      <c r="L144" s="379">
        <f t="shared" si="5"/>
        <v>240000</v>
      </c>
      <c r="M144" s="325" t="s">
        <v>1813</v>
      </c>
    </row>
    <row r="145" spans="1:13" ht="13">
      <c r="A145" s="316" t="s">
        <v>1612</v>
      </c>
      <c r="B145" s="316" t="s">
        <v>1973</v>
      </c>
      <c r="C145" s="316" t="s">
        <v>1973</v>
      </c>
      <c r="D145" s="316" t="s">
        <v>1973</v>
      </c>
      <c r="E145" s="317" t="s">
        <v>1973</v>
      </c>
      <c r="F145" s="318">
        <v>4</v>
      </c>
      <c r="G145" s="354" t="s">
        <v>36</v>
      </c>
      <c r="H145" s="320">
        <v>112000</v>
      </c>
      <c r="I145" s="393" t="b">
        <v>1</v>
      </c>
      <c r="J145" s="322">
        <v>4</v>
      </c>
      <c r="K145" s="323" t="s">
        <v>1973</v>
      </c>
      <c r="L145" s="371" t="e">
        <f t="shared" si="5"/>
        <v>#VALUE!</v>
      </c>
      <c r="M145" s="325"/>
    </row>
    <row r="146" spans="1:13" ht="13">
      <c r="A146" s="316" t="s">
        <v>1698</v>
      </c>
      <c r="B146" s="316" t="s">
        <v>1973</v>
      </c>
      <c r="C146" s="316" t="s">
        <v>1973</v>
      </c>
      <c r="D146" s="316" t="s">
        <v>1973</v>
      </c>
      <c r="E146" s="317" t="s">
        <v>1973</v>
      </c>
      <c r="F146" s="318">
        <v>3</v>
      </c>
      <c r="G146" s="354" t="s">
        <v>36</v>
      </c>
      <c r="H146" s="320">
        <v>96000</v>
      </c>
      <c r="I146" s="393" t="b">
        <v>1</v>
      </c>
      <c r="J146" s="322">
        <v>3</v>
      </c>
      <c r="K146" s="323" t="s">
        <v>1973</v>
      </c>
      <c r="L146" s="371" t="e">
        <f t="shared" si="5"/>
        <v>#VALUE!</v>
      </c>
      <c r="M146" s="325"/>
    </row>
    <row r="147" spans="1:13" ht="13">
      <c r="A147" s="316" t="s">
        <v>1699</v>
      </c>
      <c r="B147" s="316" t="s">
        <v>1973</v>
      </c>
      <c r="C147" s="316" t="s">
        <v>1973</v>
      </c>
      <c r="D147" s="316" t="s">
        <v>1973</v>
      </c>
      <c r="E147" s="317" t="s">
        <v>1973</v>
      </c>
      <c r="F147" s="318">
        <v>0.3</v>
      </c>
      <c r="G147" s="354" t="s">
        <v>36</v>
      </c>
      <c r="H147" s="320">
        <v>20400</v>
      </c>
      <c r="I147" s="395" t="b">
        <v>1</v>
      </c>
      <c r="J147" s="322">
        <v>0.3</v>
      </c>
      <c r="K147" s="323">
        <v>66667</v>
      </c>
      <c r="L147" s="370">
        <f t="shared" si="5"/>
        <v>20000.099999999999</v>
      </c>
      <c r="M147" s="325" t="s">
        <v>1814</v>
      </c>
    </row>
    <row r="148" spans="1:13" ht="13">
      <c r="A148" s="316" t="s">
        <v>1707</v>
      </c>
      <c r="B148" s="316" t="s">
        <v>1973</v>
      </c>
      <c r="C148" s="316" t="s">
        <v>1973</v>
      </c>
      <c r="D148" s="316" t="s">
        <v>1973</v>
      </c>
      <c r="E148" s="317" t="s">
        <v>1973</v>
      </c>
      <c r="F148" s="318">
        <v>0.5</v>
      </c>
      <c r="G148" s="354" t="s">
        <v>36</v>
      </c>
      <c r="H148" s="320">
        <v>14000</v>
      </c>
      <c r="I148" s="395" t="b">
        <v>1</v>
      </c>
      <c r="J148" s="322">
        <v>0.5</v>
      </c>
      <c r="K148" s="323">
        <v>80000</v>
      </c>
      <c r="L148" s="370">
        <f t="shared" si="5"/>
        <v>40000</v>
      </c>
      <c r="M148" s="325" t="s">
        <v>1815</v>
      </c>
    </row>
    <row r="149" spans="1:13" ht="13">
      <c r="A149" s="316" t="s">
        <v>675</v>
      </c>
      <c r="B149" s="316" t="s">
        <v>1973</v>
      </c>
      <c r="C149" s="316" t="s">
        <v>1973</v>
      </c>
      <c r="D149" s="316" t="s">
        <v>1973</v>
      </c>
      <c r="E149" s="317" t="s">
        <v>1973</v>
      </c>
      <c r="F149" s="318">
        <v>15</v>
      </c>
      <c r="G149" s="354" t="s">
        <v>62</v>
      </c>
      <c r="H149" s="320">
        <v>52500</v>
      </c>
      <c r="I149" s="393" t="b">
        <v>1</v>
      </c>
      <c r="J149" s="322">
        <v>15</v>
      </c>
      <c r="K149" s="323" t="e">
        <f>VLOOKUP($A149,'[1]Database Bahan &amp; Alat (Terupdat'!$B$50:$N$232,6,FALSE)</f>
        <v>#N/A</v>
      </c>
      <c r="L149" s="371" t="e">
        <f t="shared" si="5"/>
        <v>#N/A</v>
      </c>
      <c r="M149" s="325"/>
    </row>
    <row r="150" spans="1:13" ht="13">
      <c r="A150" s="316" t="s">
        <v>712</v>
      </c>
      <c r="B150" s="316" t="s">
        <v>1973</v>
      </c>
      <c r="C150" s="316" t="s">
        <v>1973</v>
      </c>
      <c r="D150" s="316" t="s">
        <v>1973</v>
      </c>
      <c r="E150" s="317" t="s">
        <v>1973</v>
      </c>
      <c r="F150" s="318">
        <v>2</v>
      </c>
      <c r="G150" s="354" t="s">
        <v>36</v>
      </c>
      <c r="H150" s="320">
        <v>48000</v>
      </c>
      <c r="I150" s="395" t="b">
        <v>1</v>
      </c>
      <c r="J150" s="322">
        <v>2</v>
      </c>
      <c r="K150" s="323">
        <v>25000</v>
      </c>
      <c r="L150" s="379">
        <f t="shared" si="5"/>
        <v>50000</v>
      </c>
      <c r="M150" s="325" t="s">
        <v>1816</v>
      </c>
    </row>
    <row r="151" spans="1:13" ht="13">
      <c r="A151" s="316" t="s">
        <v>724</v>
      </c>
      <c r="B151" s="316" t="s">
        <v>1973</v>
      </c>
      <c r="C151" s="316" t="s">
        <v>1973</v>
      </c>
      <c r="D151" s="316" t="s">
        <v>1973</v>
      </c>
      <c r="E151" s="317" t="s">
        <v>1973</v>
      </c>
      <c r="F151" s="318">
        <v>1</v>
      </c>
      <c r="G151" s="354" t="s">
        <v>36</v>
      </c>
      <c r="H151" s="320">
        <v>20000</v>
      </c>
      <c r="I151" s="393" t="b">
        <v>1</v>
      </c>
      <c r="J151" s="322">
        <v>1</v>
      </c>
      <c r="K151" s="323" t="e">
        <f>VLOOKUP($A151,'[1]Database Bahan &amp; Alat (Terupdat'!$B$50:$N$232,6,FALSE)</f>
        <v>#N/A</v>
      </c>
      <c r="L151" s="371" t="e">
        <f t="shared" si="5"/>
        <v>#N/A</v>
      </c>
      <c r="M151" s="325"/>
    </row>
    <row r="152" spans="1:13" ht="13">
      <c r="A152" s="316" t="s">
        <v>732</v>
      </c>
      <c r="B152" s="316" t="s">
        <v>1973</v>
      </c>
      <c r="C152" s="316" t="s">
        <v>1973</v>
      </c>
      <c r="D152" s="316" t="s">
        <v>1973</v>
      </c>
      <c r="E152" s="317" t="s">
        <v>1973</v>
      </c>
      <c r="F152" s="318">
        <v>2</v>
      </c>
      <c r="G152" s="354" t="s">
        <v>36</v>
      </c>
      <c r="H152" s="320">
        <v>44000</v>
      </c>
      <c r="I152" s="395" t="b">
        <v>1</v>
      </c>
      <c r="J152" s="322">
        <v>2</v>
      </c>
      <c r="K152" s="323">
        <v>26000</v>
      </c>
      <c r="L152" s="379">
        <f t="shared" si="5"/>
        <v>52000</v>
      </c>
      <c r="M152" s="325" t="s">
        <v>1817</v>
      </c>
    </row>
    <row r="153" spans="1:13" ht="13">
      <c r="A153" s="316" t="s">
        <v>744</v>
      </c>
      <c r="B153" s="316" t="s">
        <v>1973</v>
      </c>
      <c r="C153" s="316" t="s">
        <v>1973</v>
      </c>
      <c r="D153" s="316" t="s">
        <v>1973</v>
      </c>
      <c r="E153" s="317" t="s">
        <v>1973</v>
      </c>
      <c r="F153" s="318">
        <v>1</v>
      </c>
      <c r="G153" s="354" t="s">
        <v>36</v>
      </c>
      <c r="H153" s="320">
        <v>44000</v>
      </c>
      <c r="I153" s="393" t="b">
        <v>1</v>
      </c>
      <c r="J153" s="322">
        <v>1</v>
      </c>
      <c r="K153" s="323" t="s">
        <v>1973</v>
      </c>
      <c r="L153" s="371" t="e">
        <f t="shared" si="5"/>
        <v>#VALUE!</v>
      </c>
      <c r="M153" s="325"/>
    </row>
    <row r="154" spans="1:13" ht="13">
      <c r="A154" s="316" t="s">
        <v>767</v>
      </c>
      <c r="B154" s="316" t="s">
        <v>1973</v>
      </c>
      <c r="C154" s="316" t="s">
        <v>1973</v>
      </c>
      <c r="D154" s="316" t="s">
        <v>1973</v>
      </c>
      <c r="E154" s="317" t="s">
        <v>1973</v>
      </c>
      <c r="F154" s="318">
        <v>7</v>
      </c>
      <c r="G154" s="354" t="s">
        <v>62</v>
      </c>
      <c r="H154" s="320">
        <v>140000</v>
      </c>
      <c r="I154" s="393" t="b">
        <v>1</v>
      </c>
      <c r="J154" s="322">
        <v>7</v>
      </c>
      <c r="K154" s="323" t="s">
        <v>1973</v>
      </c>
      <c r="L154" s="371" t="e">
        <f t="shared" si="5"/>
        <v>#VALUE!</v>
      </c>
      <c r="M154" s="325"/>
    </row>
    <row r="155" spans="1:13" ht="13">
      <c r="A155" s="316" t="s">
        <v>1700</v>
      </c>
      <c r="B155" s="316" t="s">
        <v>1973</v>
      </c>
      <c r="C155" s="316" t="s">
        <v>1973</v>
      </c>
      <c r="D155" s="316" t="s">
        <v>1973</v>
      </c>
      <c r="E155" s="317" t="s">
        <v>1973</v>
      </c>
      <c r="F155" s="318">
        <v>7</v>
      </c>
      <c r="G155" s="354" t="s">
        <v>62</v>
      </c>
      <c r="H155" s="320">
        <v>105000</v>
      </c>
      <c r="I155" s="393" t="b">
        <v>1</v>
      </c>
      <c r="J155" s="322">
        <v>7</v>
      </c>
      <c r="K155" s="323" t="s">
        <v>1973</v>
      </c>
      <c r="L155" s="371" t="e">
        <f t="shared" si="5"/>
        <v>#VALUE!</v>
      </c>
      <c r="M155" s="325"/>
    </row>
    <row r="156" spans="1:13" ht="13">
      <c r="A156" s="316" t="s">
        <v>785</v>
      </c>
      <c r="B156" s="316" t="s">
        <v>1973</v>
      </c>
      <c r="C156" s="316" t="s">
        <v>1973</v>
      </c>
      <c r="D156" s="316" t="s">
        <v>1973</v>
      </c>
      <c r="E156" s="317" t="s">
        <v>1973</v>
      </c>
      <c r="F156" s="318">
        <v>1</v>
      </c>
      <c r="G156" s="354" t="s">
        <v>62</v>
      </c>
      <c r="H156" s="320">
        <v>23000</v>
      </c>
      <c r="I156" s="393" t="b">
        <v>1</v>
      </c>
      <c r="J156" s="322">
        <v>1</v>
      </c>
      <c r="K156" s="323" t="s">
        <v>1973</v>
      </c>
      <c r="L156" s="371" t="e">
        <f t="shared" si="5"/>
        <v>#VALUE!</v>
      </c>
      <c r="M156" s="325"/>
    </row>
    <row r="157" spans="1:13" ht="13">
      <c r="A157" s="316" t="s">
        <v>1601</v>
      </c>
      <c r="B157" s="316" t="s">
        <v>1973</v>
      </c>
      <c r="C157" s="316" t="s">
        <v>1973</v>
      </c>
      <c r="D157" s="316" t="s">
        <v>1973</v>
      </c>
      <c r="E157" s="317" t="s">
        <v>1973</v>
      </c>
      <c r="F157" s="318">
        <v>1</v>
      </c>
      <c r="G157" s="354" t="s">
        <v>97</v>
      </c>
      <c r="H157" s="320">
        <v>21000</v>
      </c>
      <c r="I157" s="393" t="b">
        <v>1</v>
      </c>
      <c r="J157" s="322">
        <v>1</v>
      </c>
      <c r="K157" s="323" t="s">
        <v>1973</v>
      </c>
      <c r="L157" s="371" t="e">
        <f t="shared" si="5"/>
        <v>#VALUE!</v>
      </c>
      <c r="M157" s="325"/>
    </row>
    <row r="158" spans="1:13" ht="13">
      <c r="A158" s="316" t="s">
        <v>795</v>
      </c>
      <c r="B158" s="316" t="s">
        <v>1973</v>
      </c>
      <c r="C158" s="316" t="s">
        <v>1973</v>
      </c>
      <c r="D158" s="316" t="s">
        <v>1973</v>
      </c>
      <c r="E158" s="317" t="s">
        <v>1973</v>
      </c>
      <c r="F158" s="318">
        <v>15</v>
      </c>
      <c r="G158" s="354" t="s">
        <v>62</v>
      </c>
      <c r="H158" s="320">
        <v>75000</v>
      </c>
      <c r="I158" s="393" t="b">
        <v>1</v>
      </c>
      <c r="J158" s="322">
        <v>15</v>
      </c>
      <c r="K158" s="323" t="s">
        <v>1973</v>
      </c>
      <c r="L158" s="371" t="e">
        <f t="shared" si="5"/>
        <v>#VALUE!</v>
      </c>
      <c r="M158" s="325"/>
    </row>
    <row r="159" spans="1:13" ht="13">
      <c r="A159" s="316" t="s">
        <v>1704</v>
      </c>
      <c r="B159" s="316" t="s">
        <v>1973</v>
      </c>
      <c r="C159" s="316" t="s">
        <v>1973</v>
      </c>
      <c r="D159" s="316" t="s">
        <v>1973</v>
      </c>
      <c r="E159" s="317" t="s">
        <v>1973</v>
      </c>
      <c r="F159" s="318">
        <v>1</v>
      </c>
      <c r="G159" s="354" t="s">
        <v>36</v>
      </c>
      <c r="H159" s="320">
        <v>12000</v>
      </c>
      <c r="I159" s="393" t="b">
        <v>1</v>
      </c>
      <c r="J159" s="322">
        <v>1</v>
      </c>
      <c r="K159" s="323" t="s">
        <v>1973</v>
      </c>
      <c r="L159" s="370" t="e">
        <f t="shared" si="5"/>
        <v>#VALUE!</v>
      </c>
      <c r="M159" s="325" t="s">
        <v>1818</v>
      </c>
    </row>
    <row r="160" spans="1:13" ht="13">
      <c r="A160" s="316" t="s">
        <v>819</v>
      </c>
      <c r="B160" s="316" t="s">
        <v>1973</v>
      </c>
      <c r="C160" s="316" t="s">
        <v>1973</v>
      </c>
      <c r="D160" s="316" t="s">
        <v>1973</v>
      </c>
      <c r="E160" s="317" t="s">
        <v>1973</v>
      </c>
      <c r="F160" s="318">
        <v>1</v>
      </c>
      <c r="G160" s="354" t="s">
        <v>36</v>
      </c>
      <c r="H160" s="320">
        <v>20000</v>
      </c>
      <c r="I160" s="393" t="b">
        <v>1</v>
      </c>
      <c r="J160" s="322">
        <v>1</v>
      </c>
      <c r="K160" s="323">
        <v>18000</v>
      </c>
      <c r="L160" s="370">
        <f t="shared" si="5"/>
        <v>18000</v>
      </c>
      <c r="M160" s="325" t="s">
        <v>1819</v>
      </c>
    </row>
    <row r="161" spans="1:13" ht="13">
      <c r="A161" s="316" t="s">
        <v>1701</v>
      </c>
      <c r="B161" s="316" t="s">
        <v>1973</v>
      </c>
      <c r="C161" s="316" t="s">
        <v>1973</v>
      </c>
      <c r="D161" s="316" t="s">
        <v>1973</v>
      </c>
      <c r="E161" s="317" t="s">
        <v>1973</v>
      </c>
      <c r="F161" s="318">
        <v>0.75</v>
      </c>
      <c r="G161" s="354" t="s">
        <v>36</v>
      </c>
      <c r="H161" s="320">
        <v>13500</v>
      </c>
      <c r="I161" s="395" t="b">
        <v>1</v>
      </c>
      <c r="J161" s="322">
        <v>0.5</v>
      </c>
      <c r="K161" s="323">
        <v>15000</v>
      </c>
      <c r="L161" s="380">
        <f t="shared" si="5"/>
        <v>7500</v>
      </c>
      <c r="M161" s="325" t="s">
        <v>1820</v>
      </c>
    </row>
    <row r="162" spans="1:13" ht="13">
      <c r="A162" s="316" t="s">
        <v>1669</v>
      </c>
      <c r="B162" s="316" t="s">
        <v>1973</v>
      </c>
      <c r="C162" s="316" t="s">
        <v>1973</v>
      </c>
      <c r="D162" s="316" t="s">
        <v>1973</v>
      </c>
      <c r="E162" s="317" t="s">
        <v>1973</v>
      </c>
      <c r="F162" s="318">
        <v>2.5</v>
      </c>
      <c r="G162" s="354" t="s">
        <v>36</v>
      </c>
      <c r="H162" s="320">
        <v>32500</v>
      </c>
      <c r="I162" s="393" t="b">
        <v>1</v>
      </c>
      <c r="J162" s="322">
        <v>2.5</v>
      </c>
      <c r="K162" s="323" t="s">
        <v>1973</v>
      </c>
      <c r="L162" s="371" t="e">
        <f t="shared" si="5"/>
        <v>#VALUE!</v>
      </c>
      <c r="M162" s="325"/>
    </row>
    <row r="163" spans="1:13" ht="13">
      <c r="A163" s="316" t="s">
        <v>1501</v>
      </c>
      <c r="B163" s="316" t="s">
        <v>1973</v>
      </c>
      <c r="C163" s="316" t="s">
        <v>1973</v>
      </c>
      <c r="D163" s="316" t="s">
        <v>1973</v>
      </c>
      <c r="E163" s="317" t="s">
        <v>1973</v>
      </c>
      <c r="F163" s="318">
        <v>1</v>
      </c>
      <c r="G163" s="354" t="s">
        <v>36</v>
      </c>
      <c r="H163" s="320">
        <v>4050</v>
      </c>
      <c r="I163" s="319" t="b">
        <v>0</v>
      </c>
      <c r="J163" s="372"/>
      <c r="K163" s="373" t="s">
        <v>1973</v>
      </c>
      <c r="L163" s="374" t="e">
        <f t="shared" si="5"/>
        <v>#VALUE!</v>
      </c>
      <c r="M163" s="325"/>
    </row>
    <row r="164" spans="1:13" ht="13">
      <c r="A164" s="316" t="s">
        <v>1608</v>
      </c>
      <c r="B164" s="316" t="s">
        <v>1973</v>
      </c>
      <c r="C164" s="316" t="s">
        <v>1973</v>
      </c>
      <c r="D164" s="316" t="s">
        <v>1973</v>
      </c>
      <c r="E164" s="317" t="s">
        <v>1973</v>
      </c>
      <c r="F164" s="318">
        <v>1</v>
      </c>
      <c r="G164" s="354" t="s">
        <v>36</v>
      </c>
      <c r="H164" s="320">
        <v>34000</v>
      </c>
      <c r="I164" s="395" t="b">
        <v>1</v>
      </c>
      <c r="J164" s="322">
        <v>1</v>
      </c>
      <c r="K164" s="323">
        <v>36000</v>
      </c>
      <c r="L164" s="379">
        <f t="shared" si="5"/>
        <v>36000</v>
      </c>
      <c r="M164" s="325" t="s">
        <v>1792</v>
      </c>
    </row>
    <row r="165" spans="1:13" ht="13">
      <c r="A165" s="316" t="s">
        <v>1671</v>
      </c>
      <c r="B165" s="316" t="s">
        <v>1973</v>
      </c>
      <c r="C165" s="316" t="s">
        <v>1973</v>
      </c>
      <c r="D165" s="316" t="s">
        <v>1973</v>
      </c>
      <c r="E165" s="317" t="s">
        <v>1973</v>
      </c>
      <c r="F165" s="318">
        <v>2</v>
      </c>
      <c r="G165" s="354" t="s">
        <v>36</v>
      </c>
      <c r="H165" s="320">
        <v>180000</v>
      </c>
      <c r="I165" s="395" t="b">
        <v>1</v>
      </c>
      <c r="J165" s="322">
        <v>2</v>
      </c>
      <c r="K165" s="323">
        <v>95000</v>
      </c>
      <c r="L165" s="379">
        <f t="shared" si="5"/>
        <v>190000</v>
      </c>
      <c r="M165" s="325" t="s">
        <v>1821</v>
      </c>
    </row>
    <row r="166" spans="1:13" ht="13">
      <c r="A166" s="316" t="s">
        <v>955</v>
      </c>
      <c r="B166" s="316" t="s">
        <v>1973</v>
      </c>
      <c r="C166" s="316" t="s">
        <v>1973</v>
      </c>
      <c r="D166" s="316" t="s">
        <v>1973</v>
      </c>
      <c r="E166" s="317" t="s">
        <v>1973</v>
      </c>
      <c r="F166" s="318">
        <v>2</v>
      </c>
      <c r="G166" s="354" t="s">
        <v>97</v>
      </c>
      <c r="H166" s="320">
        <v>42000</v>
      </c>
      <c r="I166" s="393" t="b">
        <v>1</v>
      </c>
      <c r="J166" s="322">
        <v>2</v>
      </c>
      <c r="K166" s="323" t="e">
        <f>VLOOKUP($A166,'[1]Database Bahan &amp; Alat (Terupdat'!$B$50:$N$232,6,FALSE)</f>
        <v>#N/A</v>
      </c>
      <c r="L166" s="371" t="e">
        <f t="shared" si="5"/>
        <v>#N/A</v>
      </c>
      <c r="M166" s="325"/>
    </row>
    <row r="167" spans="1:13" ht="13">
      <c r="A167" s="316" t="s">
        <v>989</v>
      </c>
      <c r="B167" s="316" t="s">
        <v>1973</v>
      </c>
      <c r="C167" s="316" t="s">
        <v>1973</v>
      </c>
      <c r="D167" s="316" t="s">
        <v>1973</v>
      </c>
      <c r="E167" s="317" t="s">
        <v>1973</v>
      </c>
      <c r="F167" s="318">
        <v>4</v>
      </c>
      <c r="G167" s="354" t="s">
        <v>62</v>
      </c>
      <c r="H167" s="320">
        <v>64000</v>
      </c>
      <c r="I167" s="395" t="b">
        <v>1</v>
      </c>
      <c r="J167" s="322">
        <v>4</v>
      </c>
      <c r="K167" s="323">
        <v>18000</v>
      </c>
      <c r="L167" s="379">
        <f t="shared" si="5"/>
        <v>72000</v>
      </c>
      <c r="M167" s="325" t="s">
        <v>1792</v>
      </c>
    </row>
    <row r="168" spans="1:13" ht="13">
      <c r="A168" s="316" t="s">
        <v>1000</v>
      </c>
      <c r="B168" s="316" t="s">
        <v>1973</v>
      </c>
      <c r="C168" s="316" t="s">
        <v>1973</v>
      </c>
      <c r="D168" s="316" t="s">
        <v>1973</v>
      </c>
      <c r="E168" s="317" t="s">
        <v>1973</v>
      </c>
      <c r="F168" s="318">
        <v>1</v>
      </c>
      <c r="G168" s="354" t="s">
        <v>62</v>
      </c>
      <c r="H168" s="320">
        <v>10000</v>
      </c>
      <c r="I168" s="393" t="b">
        <v>1</v>
      </c>
      <c r="J168" s="322">
        <v>1</v>
      </c>
      <c r="K168" s="323" t="s">
        <v>1973</v>
      </c>
      <c r="L168" s="371" t="e">
        <f t="shared" si="5"/>
        <v>#VALUE!</v>
      </c>
      <c r="M168" s="325"/>
    </row>
    <row r="169" spans="1:13" ht="13">
      <c r="A169" s="316" t="s">
        <v>562</v>
      </c>
      <c r="B169" s="316" t="s">
        <v>1973</v>
      </c>
      <c r="C169" s="316" t="s">
        <v>1973</v>
      </c>
      <c r="D169" s="316" t="s">
        <v>1973</v>
      </c>
      <c r="E169" s="317" t="s">
        <v>1973</v>
      </c>
      <c r="F169" s="318">
        <v>1</v>
      </c>
      <c r="G169" s="354" t="s">
        <v>97</v>
      </c>
      <c r="H169" s="320">
        <v>195000</v>
      </c>
      <c r="I169" s="319" t="b">
        <v>0</v>
      </c>
      <c r="J169" s="372"/>
      <c r="K169" s="373" t="s">
        <v>1973</v>
      </c>
      <c r="L169" s="374" t="e">
        <f t="shared" si="5"/>
        <v>#VALUE!</v>
      </c>
      <c r="M169" s="325"/>
    </row>
    <row r="170" spans="1:13" ht="13">
      <c r="A170" s="316" t="s">
        <v>566</v>
      </c>
      <c r="B170" s="316" t="s">
        <v>1973</v>
      </c>
      <c r="C170" s="316" t="s">
        <v>1973</v>
      </c>
      <c r="D170" s="316" t="s">
        <v>1973</v>
      </c>
      <c r="E170" s="317" t="s">
        <v>1973</v>
      </c>
      <c r="F170" s="318">
        <v>1</v>
      </c>
      <c r="G170" s="354" t="s">
        <v>62</v>
      </c>
      <c r="H170" s="320">
        <v>200000</v>
      </c>
      <c r="I170" s="319" t="b">
        <v>0</v>
      </c>
      <c r="J170" s="372"/>
      <c r="K170" s="373" t="s">
        <v>1973</v>
      </c>
      <c r="L170" s="374" t="e">
        <f t="shared" si="5"/>
        <v>#VALUE!</v>
      </c>
      <c r="M170" s="325"/>
    </row>
    <row r="171" spans="1:13" ht="13">
      <c r="A171" s="316" t="s">
        <v>570</v>
      </c>
      <c r="B171" s="316" t="s">
        <v>1973</v>
      </c>
      <c r="C171" s="316" t="s">
        <v>1973</v>
      </c>
      <c r="D171" s="316" t="s">
        <v>1973</v>
      </c>
      <c r="E171" s="317" t="s">
        <v>1973</v>
      </c>
      <c r="F171" s="318">
        <v>1</v>
      </c>
      <c r="G171" s="354" t="s">
        <v>62</v>
      </c>
      <c r="H171" s="320">
        <v>200000</v>
      </c>
      <c r="I171" s="319" t="b">
        <v>0</v>
      </c>
      <c r="J171" s="372"/>
      <c r="K171" s="373" t="s">
        <v>1973</v>
      </c>
      <c r="L171" s="374" t="e">
        <f t="shared" si="5"/>
        <v>#VALUE!</v>
      </c>
      <c r="M171" s="325"/>
    </row>
    <row r="172" spans="1:13" ht="13">
      <c r="A172" s="316" t="s">
        <v>708</v>
      </c>
      <c r="B172" s="316" t="s">
        <v>1973</v>
      </c>
      <c r="C172" s="316" t="s">
        <v>1973</v>
      </c>
      <c r="D172" s="316" t="s">
        <v>1973</v>
      </c>
      <c r="E172" s="317" t="s">
        <v>1973</v>
      </c>
      <c r="F172" s="318">
        <v>1</v>
      </c>
      <c r="G172" s="354" t="s">
        <v>143</v>
      </c>
      <c r="H172" s="320">
        <v>259091</v>
      </c>
      <c r="I172" s="319" t="b">
        <v>0</v>
      </c>
      <c r="J172" s="372"/>
      <c r="K172" s="373" t="s">
        <v>1973</v>
      </c>
      <c r="L172" s="374" t="e">
        <f t="shared" si="5"/>
        <v>#VALUE!</v>
      </c>
      <c r="M172" s="325"/>
    </row>
    <row r="173" spans="1:13" ht="13">
      <c r="A173" s="316" t="s">
        <v>961</v>
      </c>
      <c r="B173" s="316" t="s">
        <v>1973</v>
      </c>
      <c r="C173" s="316" t="s">
        <v>1973</v>
      </c>
      <c r="D173" s="316" t="s">
        <v>1973</v>
      </c>
      <c r="E173" s="317" t="s">
        <v>1973</v>
      </c>
      <c r="F173" s="318">
        <v>2</v>
      </c>
      <c r="G173" s="354" t="s">
        <v>97</v>
      </c>
      <c r="H173" s="320">
        <v>154546</v>
      </c>
      <c r="I173" s="319" t="b">
        <v>0</v>
      </c>
      <c r="J173" s="372"/>
      <c r="K173" s="373" t="s">
        <v>1973</v>
      </c>
      <c r="L173" s="374" t="e">
        <f t="shared" si="5"/>
        <v>#VALUE!</v>
      </c>
      <c r="M173" s="325"/>
    </row>
    <row r="174" spans="1:13" ht="13">
      <c r="A174" s="316" t="s">
        <v>1703</v>
      </c>
      <c r="B174" s="316" t="s">
        <v>1973</v>
      </c>
      <c r="C174" s="316" t="s">
        <v>1973</v>
      </c>
      <c r="D174" s="316" t="s">
        <v>1973</v>
      </c>
      <c r="E174" s="317" t="s">
        <v>1973</v>
      </c>
      <c r="F174" s="318">
        <v>3</v>
      </c>
      <c r="G174" s="354" t="s">
        <v>62</v>
      </c>
      <c r="H174" s="320">
        <v>67221</v>
      </c>
      <c r="I174" s="395" t="b">
        <v>1</v>
      </c>
      <c r="J174" s="322">
        <v>3</v>
      </c>
      <c r="K174" s="323">
        <v>22000</v>
      </c>
      <c r="L174" s="380">
        <f t="shared" si="5"/>
        <v>66000</v>
      </c>
      <c r="M174" s="325"/>
    </row>
    <row r="175" spans="1:13" ht="13">
      <c r="A175" s="316" t="s">
        <v>623</v>
      </c>
      <c r="B175" s="316" t="s">
        <v>1973</v>
      </c>
      <c r="C175" s="316" t="s">
        <v>1973</v>
      </c>
      <c r="D175" s="316" t="s">
        <v>1973</v>
      </c>
      <c r="E175" s="317" t="s">
        <v>1973</v>
      </c>
      <c r="F175" s="318">
        <v>2</v>
      </c>
      <c r="G175" s="354" t="s">
        <v>143</v>
      </c>
      <c r="H175" s="320">
        <v>359700</v>
      </c>
      <c r="I175" s="319" t="b">
        <v>0</v>
      </c>
      <c r="J175" s="372"/>
      <c r="K175" s="373" t="s">
        <v>1973</v>
      </c>
      <c r="L175" s="374" t="e">
        <f t="shared" si="5"/>
        <v>#VALUE!</v>
      </c>
      <c r="M175" s="325"/>
    </row>
    <row r="176" spans="1:13" ht="13">
      <c r="A176" s="316" t="s">
        <v>704</v>
      </c>
      <c r="B176" s="316" t="s">
        <v>1973</v>
      </c>
      <c r="C176" s="316" t="s">
        <v>1973</v>
      </c>
      <c r="D176" s="316" t="s">
        <v>1973</v>
      </c>
      <c r="E176" s="317" t="s">
        <v>1973</v>
      </c>
      <c r="F176" s="318">
        <v>2</v>
      </c>
      <c r="G176" s="354" t="s">
        <v>143</v>
      </c>
      <c r="H176" s="320">
        <v>364500</v>
      </c>
      <c r="I176" s="319" t="b">
        <v>0</v>
      </c>
      <c r="J176" s="372"/>
      <c r="K176" s="373" t="s">
        <v>1973</v>
      </c>
      <c r="L176" s="374" t="e">
        <f t="shared" si="5"/>
        <v>#VALUE!</v>
      </c>
      <c r="M176" s="325"/>
    </row>
    <row r="177" spans="1:13" ht="13">
      <c r="A177" s="316" t="s">
        <v>952</v>
      </c>
      <c r="B177" s="316" t="s">
        <v>1973</v>
      </c>
      <c r="C177" s="316" t="s">
        <v>1973</v>
      </c>
      <c r="D177" s="316" t="s">
        <v>1973</v>
      </c>
      <c r="E177" s="317" t="s">
        <v>1973</v>
      </c>
      <c r="F177" s="318">
        <v>1</v>
      </c>
      <c r="G177" s="354" t="s">
        <v>97</v>
      </c>
      <c r="H177" s="320">
        <v>27300</v>
      </c>
      <c r="I177" s="319" t="b">
        <v>0</v>
      </c>
      <c r="J177" s="372"/>
      <c r="K177" s="373" t="s">
        <v>1973</v>
      </c>
      <c r="L177" s="374" t="e">
        <f t="shared" si="5"/>
        <v>#VALUE!</v>
      </c>
      <c r="M177" s="325"/>
    </row>
    <row r="178" spans="1:13" ht="13">
      <c r="A178" s="316" t="s">
        <v>1751</v>
      </c>
      <c r="B178" s="316" t="s">
        <v>1973</v>
      </c>
      <c r="C178" s="316" t="s">
        <v>1973</v>
      </c>
      <c r="D178" s="316" t="s">
        <v>1973</v>
      </c>
      <c r="E178" s="317" t="s">
        <v>1973</v>
      </c>
      <c r="F178" s="318">
        <v>15</v>
      </c>
      <c r="G178" s="354" t="s">
        <v>36</v>
      </c>
      <c r="H178" s="320">
        <v>180000</v>
      </c>
      <c r="I178" s="393" t="b">
        <v>1</v>
      </c>
      <c r="J178" s="322">
        <v>15</v>
      </c>
      <c r="K178" s="323" t="s">
        <v>1973</v>
      </c>
      <c r="L178" s="371" t="e">
        <f t="shared" si="5"/>
        <v>#VALUE!</v>
      </c>
      <c r="M178" s="325"/>
    </row>
    <row r="179" spans="1:13" ht="13">
      <c r="A179" s="316" t="s">
        <v>1705</v>
      </c>
      <c r="B179" s="316" t="s">
        <v>1973</v>
      </c>
      <c r="C179" s="316" t="s">
        <v>1973</v>
      </c>
      <c r="D179" s="316" t="s">
        <v>1973</v>
      </c>
      <c r="E179" s="317" t="s">
        <v>1973</v>
      </c>
      <c r="F179" s="318">
        <v>2</v>
      </c>
      <c r="G179" s="354" t="s">
        <v>62</v>
      </c>
      <c r="H179" s="320">
        <v>83600</v>
      </c>
      <c r="I179" s="319" t="b">
        <v>0</v>
      </c>
      <c r="J179" s="372"/>
      <c r="K179" s="373" t="s">
        <v>1973</v>
      </c>
      <c r="L179" s="374" t="e">
        <f t="shared" si="5"/>
        <v>#VALUE!</v>
      </c>
      <c r="M179" s="325"/>
    </row>
    <row r="180" spans="1:13" ht="13">
      <c r="A180" s="316" t="s">
        <v>779</v>
      </c>
      <c r="B180" s="316" t="s">
        <v>1973</v>
      </c>
      <c r="C180" s="316" t="s">
        <v>1973</v>
      </c>
      <c r="D180" s="316" t="s">
        <v>1973</v>
      </c>
      <c r="E180" s="317" t="s">
        <v>1973</v>
      </c>
      <c r="F180" s="318">
        <v>2</v>
      </c>
      <c r="G180" s="354" t="s">
        <v>62</v>
      </c>
      <c r="H180" s="320">
        <v>77000</v>
      </c>
      <c r="I180" s="395" t="b">
        <v>1</v>
      </c>
      <c r="J180" s="322">
        <v>1</v>
      </c>
      <c r="K180" s="323">
        <v>48700</v>
      </c>
      <c r="L180" s="379">
        <f t="shared" si="5"/>
        <v>48700</v>
      </c>
      <c r="M180" s="325" t="s">
        <v>1822</v>
      </c>
    </row>
    <row r="181" spans="1:13" ht="13">
      <c r="A181" s="316" t="s">
        <v>874</v>
      </c>
      <c r="B181" s="316" t="s">
        <v>1973</v>
      </c>
      <c r="C181" s="316" t="s">
        <v>1973</v>
      </c>
      <c r="D181" s="316" t="s">
        <v>1973</v>
      </c>
      <c r="E181" s="317" t="s">
        <v>1973</v>
      </c>
      <c r="F181" s="318">
        <v>2</v>
      </c>
      <c r="G181" s="354" t="s">
        <v>62</v>
      </c>
      <c r="H181" s="320">
        <v>32000</v>
      </c>
      <c r="I181" s="319" t="b">
        <v>0</v>
      </c>
      <c r="J181" s="372"/>
      <c r="K181" s="373" t="s">
        <v>1973</v>
      </c>
      <c r="L181" s="374" t="e">
        <f t="shared" si="5"/>
        <v>#VALUE!</v>
      </c>
      <c r="M181" s="325"/>
    </row>
    <row r="182" spans="1:13" ht="13">
      <c r="A182" s="316" t="s">
        <v>1606</v>
      </c>
      <c r="B182" s="316" t="s">
        <v>1973</v>
      </c>
      <c r="C182" s="316" t="s">
        <v>1973</v>
      </c>
      <c r="D182" s="316" t="s">
        <v>1973</v>
      </c>
      <c r="E182" s="317" t="s">
        <v>1973</v>
      </c>
      <c r="F182" s="318">
        <v>1</v>
      </c>
      <c r="G182" s="354" t="s">
        <v>36</v>
      </c>
      <c r="H182" s="320">
        <v>35000</v>
      </c>
      <c r="I182" s="319" t="b">
        <v>0</v>
      </c>
      <c r="J182" s="372"/>
      <c r="K182" s="373" t="s">
        <v>1973</v>
      </c>
      <c r="L182" s="374" t="e">
        <f t="shared" si="5"/>
        <v>#VALUE!</v>
      </c>
      <c r="M182" s="325"/>
    </row>
    <row r="183" spans="1:13" ht="13">
      <c r="A183" s="316" t="s">
        <v>910</v>
      </c>
      <c r="B183" s="316" t="s">
        <v>1973</v>
      </c>
      <c r="C183" s="316" t="s">
        <v>1973</v>
      </c>
      <c r="D183" s="316" t="s">
        <v>1973</v>
      </c>
      <c r="E183" s="317" t="s">
        <v>1973</v>
      </c>
      <c r="F183" s="318">
        <v>3</v>
      </c>
      <c r="G183" s="354" t="s">
        <v>62</v>
      </c>
      <c r="H183" s="320">
        <v>39000</v>
      </c>
      <c r="I183" s="393" t="b">
        <v>1</v>
      </c>
      <c r="J183" s="322">
        <v>3</v>
      </c>
      <c r="K183" s="323" t="s">
        <v>1973</v>
      </c>
      <c r="L183" s="371" t="e">
        <f t="shared" si="5"/>
        <v>#VALUE!</v>
      </c>
      <c r="M183" s="325"/>
    </row>
    <row r="184" spans="1:13" ht="13">
      <c r="A184" s="316" t="s">
        <v>1550</v>
      </c>
      <c r="B184" s="316" t="s">
        <v>1973</v>
      </c>
      <c r="C184" s="316" t="s">
        <v>1973</v>
      </c>
      <c r="D184" s="316" t="s">
        <v>1973</v>
      </c>
      <c r="E184" s="317" t="s">
        <v>1973</v>
      </c>
      <c r="F184" s="318">
        <v>1</v>
      </c>
      <c r="G184" s="354" t="s">
        <v>97</v>
      </c>
      <c r="H184" s="320">
        <v>105000</v>
      </c>
      <c r="I184" s="319" t="b">
        <v>0</v>
      </c>
      <c r="J184" s="372"/>
      <c r="K184" s="373" t="s">
        <v>1973</v>
      </c>
      <c r="L184" s="374" t="e">
        <f t="shared" si="5"/>
        <v>#VALUE!</v>
      </c>
      <c r="M184" s="325"/>
    </row>
    <row r="185" spans="1:13" ht="13">
      <c r="A185" s="316" t="s">
        <v>1651</v>
      </c>
      <c r="B185" s="316" t="s">
        <v>1973</v>
      </c>
      <c r="C185" s="316" t="s">
        <v>1973</v>
      </c>
      <c r="D185" s="316" t="s">
        <v>1973</v>
      </c>
      <c r="E185" s="317" t="s">
        <v>1973</v>
      </c>
      <c r="F185" s="318">
        <v>1</v>
      </c>
      <c r="G185" s="354" t="s">
        <v>97</v>
      </c>
      <c r="H185" s="320">
        <v>105000</v>
      </c>
      <c r="I185" s="319" t="b">
        <v>0</v>
      </c>
      <c r="J185" s="372"/>
      <c r="K185" s="373" t="s">
        <v>1973</v>
      </c>
      <c r="L185" s="374" t="e">
        <f t="shared" si="5"/>
        <v>#VALUE!</v>
      </c>
      <c r="M185" s="325"/>
    </row>
    <row r="186" spans="1:13" ht="13">
      <c r="A186" s="316" t="s">
        <v>540</v>
      </c>
      <c r="B186" s="316" t="s">
        <v>1973</v>
      </c>
      <c r="C186" s="316" t="s">
        <v>1973</v>
      </c>
      <c r="D186" s="316" t="s">
        <v>1973</v>
      </c>
      <c r="E186" s="317" t="s">
        <v>1973</v>
      </c>
      <c r="F186" s="318">
        <v>5</v>
      </c>
      <c r="G186" s="354" t="s">
        <v>36</v>
      </c>
      <c r="H186" s="320">
        <v>850000</v>
      </c>
      <c r="I186" s="319" t="b">
        <v>0</v>
      </c>
      <c r="J186" s="372"/>
      <c r="K186" s="373" t="s">
        <v>1973</v>
      </c>
      <c r="L186" s="374" t="e">
        <f t="shared" si="5"/>
        <v>#VALUE!</v>
      </c>
      <c r="M186" s="325"/>
    </row>
    <row r="187" spans="1:13" ht="13">
      <c r="A187" s="316" t="s">
        <v>590</v>
      </c>
      <c r="B187" s="316" t="s">
        <v>1973</v>
      </c>
      <c r="C187" s="316" t="s">
        <v>1973</v>
      </c>
      <c r="D187" s="316" t="s">
        <v>1973</v>
      </c>
      <c r="E187" s="317" t="s">
        <v>1973</v>
      </c>
      <c r="F187" s="318">
        <v>3</v>
      </c>
      <c r="G187" s="354" t="s">
        <v>62</v>
      </c>
      <c r="H187" s="320">
        <v>255000</v>
      </c>
      <c r="I187" s="319" t="b">
        <v>0</v>
      </c>
      <c r="J187" s="372"/>
      <c r="K187" s="373" t="s">
        <v>1973</v>
      </c>
      <c r="L187" s="374" t="e">
        <f t="shared" si="5"/>
        <v>#VALUE!</v>
      </c>
      <c r="M187" s="325"/>
    </row>
    <row r="188" spans="1:13" ht="13">
      <c r="A188" s="316" t="s">
        <v>1602</v>
      </c>
      <c r="B188" s="316" t="s">
        <v>1973</v>
      </c>
      <c r="C188" s="316" t="s">
        <v>1973</v>
      </c>
      <c r="D188" s="316" t="s">
        <v>1973</v>
      </c>
      <c r="E188" s="317" t="s">
        <v>1973</v>
      </c>
      <c r="F188" s="318">
        <v>3</v>
      </c>
      <c r="G188" s="354" t="s">
        <v>36</v>
      </c>
      <c r="H188" s="320">
        <v>39000</v>
      </c>
      <c r="I188" s="393" t="b">
        <v>1</v>
      </c>
      <c r="J188" s="322">
        <v>3</v>
      </c>
      <c r="K188" s="323" t="s">
        <v>1973</v>
      </c>
      <c r="L188" s="371" t="e">
        <f t="shared" si="5"/>
        <v>#VALUE!</v>
      </c>
      <c r="M188" s="325"/>
    </row>
    <row r="189" spans="1:13" ht="13">
      <c r="A189" s="316" t="s">
        <v>528</v>
      </c>
      <c r="B189" s="316" t="s">
        <v>1973</v>
      </c>
      <c r="C189" s="316" t="s">
        <v>1973</v>
      </c>
      <c r="D189" s="316" t="s">
        <v>1973</v>
      </c>
      <c r="E189" s="317" t="s">
        <v>1973</v>
      </c>
      <c r="F189" s="318">
        <v>10</v>
      </c>
      <c r="G189" s="354" t="s">
        <v>50</v>
      </c>
      <c r="H189" s="320">
        <v>155000</v>
      </c>
      <c r="I189" s="393" t="b">
        <v>1</v>
      </c>
      <c r="J189" s="322">
        <v>10</v>
      </c>
      <c r="K189" s="323" t="s">
        <v>1973</v>
      </c>
      <c r="L189" s="371" t="e">
        <f t="shared" si="5"/>
        <v>#VALUE!</v>
      </c>
      <c r="M189" s="325"/>
    </row>
    <row r="190" spans="1:13" ht="13">
      <c r="A190" s="316" t="s">
        <v>635</v>
      </c>
      <c r="B190" s="316" t="s">
        <v>1973</v>
      </c>
      <c r="C190" s="316" t="s">
        <v>1973</v>
      </c>
      <c r="D190" s="316" t="s">
        <v>1973</v>
      </c>
      <c r="E190" s="317" t="s">
        <v>1973</v>
      </c>
      <c r="F190" s="318">
        <v>20</v>
      </c>
      <c r="G190" s="354" t="s">
        <v>50</v>
      </c>
      <c r="H190" s="320">
        <v>180000</v>
      </c>
      <c r="I190" s="393" t="b">
        <v>1</v>
      </c>
      <c r="J190" s="322">
        <v>20</v>
      </c>
      <c r="K190" s="323" t="s">
        <v>1973</v>
      </c>
      <c r="L190" s="371" t="e">
        <f t="shared" si="5"/>
        <v>#VALUE!</v>
      </c>
      <c r="M190" s="325"/>
    </row>
    <row r="191" spans="1:13" ht="13">
      <c r="A191" s="316" t="s">
        <v>643</v>
      </c>
      <c r="B191" s="316" t="s">
        <v>1973</v>
      </c>
      <c r="C191" s="316" t="s">
        <v>1973</v>
      </c>
      <c r="D191" s="316" t="s">
        <v>1973</v>
      </c>
      <c r="E191" s="317" t="s">
        <v>1973</v>
      </c>
      <c r="F191" s="318">
        <v>1.5</v>
      </c>
      <c r="G191" s="354" t="s">
        <v>36</v>
      </c>
      <c r="H191" s="320">
        <v>22500</v>
      </c>
      <c r="I191" s="395" t="b">
        <v>1</v>
      </c>
      <c r="J191" s="322">
        <v>1</v>
      </c>
      <c r="K191" s="323">
        <v>14000</v>
      </c>
      <c r="L191" s="380">
        <f t="shared" si="5"/>
        <v>14000</v>
      </c>
      <c r="M191" s="325" t="s">
        <v>1816</v>
      </c>
    </row>
    <row r="192" spans="1:13" ht="13">
      <c r="A192" s="316" t="s">
        <v>680</v>
      </c>
      <c r="B192" s="316" t="s">
        <v>1973</v>
      </c>
      <c r="C192" s="316" t="s">
        <v>1973</v>
      </c>
      <c r="D192" s="316" t="s">
        <v>1973</v>
      </c>
      <c r="E192" s="317" t="s">
        <v>1973</v>
      </c>
      <c r="F192" s="318">
        <v>8</v>
      </c>
      <c r="G192" s="354" t="s">
        <v>97</v>
      </c>
      <c r="H192" s="320">
        <v>232000</v>
      </c>
      <c r="I192" s="393" t="b">
        <v>1</v>
      </c>
      <c r="J192" s="322">
        <v>8</v>
      </c>
      <c r="K192" s="323" t="s">
        <v>1973</v>
      </c>
      <c r="L192" s="371" t="e">
        <f t="shared" si="5"/>
        <v>#VALUE!</v>
      </c>
      <c r="M192" s="325"/>
    </row>
    <row r="193" spans="1:13" ht="13">
      <c r="A193" s="316" t="s">
        <v>684</v>
      </c>
      <c r="B193" s="316" t="s">
        <v>1973</v>
      </c>
      <c r="C193" s="316" t="s">
        <v>1973</v>
      </c>
      <c r="D193" s="316" t="s">
        <v>1973</v>
      </c>
      <c r="E193" s="317" t="s">
        <v>1973</v>
      </c>
      <c r="F193" s="318">
        <v>3</v>
      </c>
      <c r="G193" s="354" t="s">
        <v>97</v>
      </c>
      <c r="H193" s="320">
        <v>87000</v>
      </c>
      <c r="I193" s="393" t="b">
        <v>1</v>
      </c>
      <c r="J193" s="322">
        <v>3</v>
      </c>
      <c r="K193" s="323" t="s">
        <v>1973</v>
      </c>
      <c r="L193" s="371" t="e">
        <f t="shared" si="5"/>
        <v>#VALUE!</v>
      </c>
      <c r="M193" s="325"/>
    </row>
    <row r="194" spans="1:13" ht="13">
      <c r="A194" s="316" t="s">
        <v>692</v>
      </c>
      <c r="B194" s="316" t="s">
        <v>1973</v>
      </c>
      <c r="C194" s="316" t="s">
        <v>1973</v>
      </c>
      <c r="D194" s="316" t="s">
        <v>1973</v>
      </c>
      <c r="E194" s="317" t="s">
        <v>1973</v>
      </c>
      <c r="F194" s="318">
        <v>1</v>
      </c>
      <c r="G194" s="354" t="s">
        <v>62</v>
      </c>
      <c r="H194" s="320">
        <v>50000</v>
      </c>
      <c r="I194" s="395" t="b">
        <v>1</v>
      </c>
      <c r="J194" s="322">
        <v>1</v>
      </c>
      <c r="K194" s="323">
        <v>52000</v>
      </c>
      <c r="L194" s="379">
        <f t="shared" si="5"/>
        <v>52000</v>
      </c>
      <c r="M194" s="325" t="s">
        <v>1792</v>
      </c>
    </row>
    <row r="195" spans="1:13" ht="13">
      <c r="A195" s="316" t="s">
        <v>696</v>
      </c>
      <c r="B195" s="316" t="s">
        <v>1973</v>
      </c>
      <c r="C195" s="316" t="s">
        <v>1973</v>
      </c>
      <c r="D195" s="316" t="s">
        <v>1973</v>
      </c>
      <c r="E195" s="317" t="s">
        <v>1973</v>
      </c>
      <c r="F195" s="318">
        <v>9</v>
      </c>
      <c r="G195" s="354" t="s">
        <v>62</v>
      </c>
      <c r="H195" s="320">
        <v>90000</v>
      </c>
      <c r="I195" s="395" t="b">
        <v>1</v>
      </c>
      <c r="J195" s="322">
        <v>9</v>
      </c>
      <c r="K195" s="323">
        <v>10500</v>
      </c>
      <c r="L195" s="379">
        <f t="shared" si="5"/>
        <v>94500</v>
      </c>
      <c r="M195" s="325" t="s">
        <v>1823</v>
      </c>
    </row>
    <row r="196" spans="1:13" ht="13">
      <c r="A196" s="316" t="s">
        <v>735</v>
      </c>
      <c r="B196" s="316" t="s">
        <v>1973</v>
      </c>
      <c r="C196" s="316" t="s">
        <v>1973</v>
      </c>
      <c r="D196" s="316" t="s">
        <v>1973</v>
      </c>
      <c r="E196" s="317" t="s">
        <v>1973</v>
      </c>
      <c r="F196" s="318">
        <v>1</v>
      </c>
      <c r="G196" s="354" t="s">
        <v>97</v>
      </c>
      <c r="H196" s="320">
        <v>46000</v>
      </c>
      <c r="I196" s="319" t="b">
        <v>0</v>
      </c>
      <c r="J196" s="372"/>
      <c r="K196" s="373" t="e">
        <f>VLOOKUP($A196,'[1]Database Bahan &amp; Alat (Terupdat'!$B$50:$N$232,6,FALSE)</f>
        <v>#N/A</v>
      </c>
      <c r="L196" s="374" t="e">
        <f t="shared" si="5"/>
        <v>#N/A</v>
      </c>
      <c r="M196" s="325"/>
    </row>
    <row r="197" spans="1:13" ht="13">
      <c r="A197" s="316" t="s">
        <v>748</v>
      </c>
      <c r="B197" s="316" t="s">
        <v>1973</v>
      </c>
      <c r="C197" s="316" t="s">
        <v>1973</v>
      </c>
      <c r="D197" s="316" t="s">
        <v>1973</v>
      </c>
      <c r="E197" s="317" t="s">
        <v>1973</v>
      </c>
      <c r="F197" s="318">
        <v>6</v>
      </c>
      <c r="G197" s="354" t="s">
        <v>62</v>
      </c>
      <c r="H197" s="320">
        <v>174000</v>
      </c>
      <c r="I197" s="395" t="b">
        <v>1</v>
      </c>
      <c r="J197" s="322">
        <v>6</v>
      </c>
      <c r="K197" s="323">
        <v>28000</v>
      </c>
      <c r="L197" s="380">
        <f t="shared" si="5"/>
        <v>168000</v>
      </c>
      <c r="M197" s="325" t="s">
        <v>1824</v>
      </c>
    </row>
    <row r="198" spans="1:13" ht="13">
      <c r="A198" s="316" t="s">
        <v>803</v>
      </c>
      <c r="B198" s="316" t="s">
        <v>1973</v>
      </c>
      <c r="C198" s="316" t="s">
        <v>1973</v>
      </c>
      <c r="D198" s="316" t="s">
        <v>1973</v>
      </c>
      <c r="E198" s="317" t="s">
        <v>1973</v>
      </c>
      <c r="F198" s="318">
        <v>1</v>
      </c>
      <c r="G198" s="354" t="s">
        <v>97</v>
      </c>
      <c r="H198" s="320">
        <v>6000</v>
      </c>
      <c r="I198" s="393" t="b">
        <v>1</v>
      </c>
      <c r="J198" s="322">
        <v>1</v>
      </c>
      <c r="K198" s="323" t="s">
        <v>1973</v>
      </c>
      <c r="L198" s="371" t="e">
        <f t="shared" si="5"/>
        <v>#VALUE!</v>
      </c>
      <c r="M198" s="325"/>
    </row>
    <row r="199" spans="1:13" ht="13">
      <c r="A199" s="316" t="s">
        <v>807</v>
      </c>
      <c r="B199" s="316" t="s">
        <v>1973</v>
      </c>
      <c r="C199" s="316" t="s">
        <v>1973</v>
      </c>
      <c r="D199" s="316" t="s">
        <v>1973</v>
      </c>
      <c r="E199" s="317" t="s">
        <v>1973</v>
      </c>
      <c r="F199" s="318">
        <v>1</v>
      </c>
      <c r="G199" s="354" t="s">
        <v>97</v>
      </c>
      <c r="H199" s="320">
        <v>5000</v>
      </c>
      <c r="I199" s="393" t="b">
        <v>1</v>
      </c>
      <c r="J199" s="322">
        <v>1</v>
      </c>
      <c r="K199" s="323" t="s">
        <v>1973</v>
      </c>
      <c r="L199" s="371" t="e">
        <f t="shared" si="5"/>
        <v>#VALUE!</v>
      </c>
      <c r="M199" s="325"/>
    </row>
    <row r="200" spans="1:13" ht="13">
      <c r="A200" s="316" t="s">
        <v>892</v>
      </c>
      <c r="B200" s="316" t="s">
        <v>1973</v>
      </c>
      <c r="C200" s="316" t="s">
        <v>1973</v>
      </c>
      <c r="D200" s="316" t="s">
        <v>1973</v>
      </c>
      <c r="E200" s="317" t="s">
        <v>1973</v>
      </c>
      <c r="F200" s="318">
        <v>2</v>
      </c>
      <c r="G200" s="354" t="s">
        <v>36</v>
      </c>
      <c r="H200" s="320">
        <v>240000</v>
      </c>
      <c r="I200" s="393" t="b">
        <v>1</v>
      </c>
      <c r="J200" s="322">
        <v>2</v>
      </c>
      <c r="K200" s="323" t="s">
        <v>1973</v>
      </c>
      <c r="L200" s="371" t="e">
        <f t="shared" si="5"/>
        <v>#VALUE!</v>
      </c>
      <c r="M200" s="325"/>
    </row>
    <row r="201" spans="1:13" ht="13">
      <c r="A201" s="316" t="s">
        <v>934</v>
      </c>
      <c r="B201" s="316" t="s">
        <v>1973</v>
      </c>
      <c r="C201" s="316" t="s">
        <v>1973</v>
      </c>
      <c r="D201" s="316" t="s">
        <v>1973</v>
      </c>
      <c r="E201" s="317" t="s">
        <v>1973</v>
      </c>
      <c r="F201" s="318">
        <v>5</v>
      </c>
      <c r="G201" s="354" t="s">
        <v>62</v>
      </c>
      <c r="H201" s="320">
        <v>45000</v>
      </c>
      <c r="I201" s="393" t="b">
        <v>1</v>
      </c>
      <c r="J201" s="322">
        <v>5</v>
      </c>
      <c r="K201" s="323" t="s">
        <v>1973</v>
      </c>
      <c r="L201" s="371" t="e">
        <f t="shared" si="5"/>
        <v>#VALUE!</v>
      </c>
      <c r="M201" s="325"/>
    </row>
    <row r="202" spans="1:13" ht="13">
      <c r="A202" s="316" t="s">
        <v>943</v>
      </c>
      <c r="B202" s="316" t="s">
        <v>1973</v>
      </c>
      <c r="C202" s="316" t="s">
        <v>1973</v>
      </c>
      <c r="D202" s="316" t="s">
        <v>1973</v>
      </c>
      <c r="E202" s="317" t="s">
        <v>1973</v>
      </c>
      <c r="F202" s="318">
        <v>1</v>
      </c>
      <c r="G202" s="354" t="s">
        <v>62</v>
      </c>
      <c r="H202" s="320">
        <v>8500</v>
      </c>
      <c r="I202" s="395" t="b">
        <v>1</v>
      </c>
      <c r="J202" s="322">
        <v>1</v>
      </c>
      <c r="K202" s="323">
        <v>8000</v>
      </c>
      <c r="L202" s="380">
        <f t="shared" si="5"/>
        <v>8000</v>
      </c>
      <c r="M202" s="325" t="s">
        <v>1803</v>
      </c>
    </row>
    <row r="203" spans="1:13" ht="13">
      <c r="A203" s="316" t="s">
        <v>1615</v>
      </c>
      <c r="B203" s="316" t="s">
        <v>1973</v>
      </c>
      <c r="C203" s="316" t="s">
        <v>1973</v>
      </c>
      <c r="D203" s="316" t="s">
        <v>1973</v>
      </c>
      <c r="E203" s="317" t="s">
        <v>1973</v>
      </c>
      <c r="F203" s="318">
        <v>3</v>
      </c>
      <c r="G203" s="354" t="s">
        <v>62</v>
      </c>
      <c r="H203" s="320">
        <v>24000</v>
      </c>
      <c r="I203" s="393" t="b">
        <v>1</v>
      </c>
      <c r="J203" s="322">
        <v>3</v>
      </c>
      <c r="K203" s="323" t="s">
        <v>1973</v>
      </c>
      <c r="L203" s="371" t="e">
        <f t="shared" si="5"/>
        <v>#VALUE!</v>
      </c>
      <c r="M203" s="325"/>
    </row>
    <row r="204" spans="1:13" ht="13">
      <c r="A204" s="316" t="s">
        <v>1017</v>
      </c>
      <c r="B204" s="316" t="s">
        <v>1973</v>
      </c>
      <c r="C204" s="316" t="s">
        <v>1973</v>
      </c>
      <c r="D204" s="316" t="s">
        <v>1973</v>
      </c>
      <c r="E204" s="317" t="s">
        <v>1973</v>
      </c>
      <c r="F204" s="318">
        <v>4</v>
      </c>
      <c r="G204" s="354" t="s">
        <v>62</v>
      </c>
      <c r="H204" s="320">
        <v>10000</v>
      </c>
      <c r="I204" s="319" t="b">
        <v>0</v>
      </c>
      <c r="J204" s="372"/>
      <c r="K204" s="373" t="s">
        <v>1973</v>
      </c>
      <c r="L204" s="374" t="e">
        <f t="shared" si="5"/>
        <v>#VALUE!</v>
      </c>
      <c r="M204" s="325"/>
    </row>
    <row r="205" spans="1:13" ht="13">
      <c r="A205" s="316" t="s">
        <v>1604</v>
      </c>
      <c r="B205" s="316" t="s">
        <v>1973</v>
      </c>
      <c r="C205" s="316" t="s">
        <v>1973</v>
      </c>
      <c r="D205" s="316" t="s">
        <v>1973</v>
      </c>
      <c r="E205" s="317" t="s">
        <v>1973</v>
      </c>
      <c r="F205" s="318">
        <v>1</v>
      </c>
      <c r="G205" s="354" t="s">
        <v>62</v>
      </c>
      <c r="H205" s="320">
        <v>48000</v>
      </c>
      <c r="I205" s="393" t="b">
        <v>1</v>
      </c>
      <c r="J205" s="322">
        <v>1</v>
      </c>
      <c r="K205" s="323" t="s">
        <v>1973</v>
      </c>
      <c r="L205" s="371" t="e">
        <f t="shared" si="5"/>
        <v>#VALUE!</v>
      </c>
      <c r="M205" s="325"/>
    </row>
    <row r="206" spans="1:13" ht="13">
      <c r="A206" s="316" t="s">
        <v>1037</v>
      </c>
      <c r="B206" s="316" t="s">
        <v>1973</v>
      </c>
      <c r="C206" s="316" t="s">
        <v>1973</v>
      </c>
      <c r="D206" s="316" t="s">
        <v>1973</v>
      </c>
      <c r="E206" s="317" t="s">
        <v>1973</v>
      </c>
      <c r="F206" s="318">
        <v>1</v>
      </c>
      <c r="G206" s="354" t="s">
        <v>62</v>
      </c>
      <c r="H206" s="320">
        <v>20100</v>
      </c>
      <c r="I206" s="319" t="b">
        <v>0</v>
      </c>
      <c r="J206" s="372"/>
      <c r="K206" s="373" t="s">
        <v>1973</v>
      </c>
      <c r="L206" s="374" t="e">
        <f t="shared" si="5"/>
        <v>#VALUE!</v>
      </c>
      <c r="M206" s="325"/>
    </row>
    <row r="208" spans="1:13" ht="13">
      <c r="F208" s="429">
        <v>44570</v>
      </c>
      <c r="G208" s="428"/>
      <c r="H208" s="424"/>
      <c r="J208" s="429">
        <f>F208+1</f>
        <v>44571</v>
      </c>
      <c r="K208" s="428"/>
      <c r="L208" s="424"/>
    </row>
    <row r="209" spans="1:13" ht="13">
      <c r="F209" s="425" t="s">
        <v>1490</v>
      </c>
      <c r="G209" s="426"/>
      <c r="H209" s="304">
        <f>SUM(H211:H1305)</f>
        <v>56234457.5</v>
      </c>
      <c r="J209" s="425" t="s">
        <v>1491</v>
      </c>
      <c r="K209" s="426"/>
      <c r="L209" s="304" t="e">
        <f>SUM(L211:L1305)</f>
        <v>#N/A</v>
      </c>
    </row>
    <row r="210" spans="1:13" ht="13">
      <c r="A210" s="2" t="s">
        <v>4</v>
      </c>
      <c r="B210" s="305" t="s">
        <v>5</v>
      </c>
      <c r="C210" s="305" t="s">
        <v>11</v>
      </c>
      <c r="D210" s="305" t="s">
        <v>12</v>
      </c>
      <c r="E210" s="306" t="s">
        <v>6</v>
      </c>
      <c r="F210" s="307" t="s">
        <v>1494</v>
      </c>
      <c r="G210" s="308" t="s">
        <v>10</v>
      </c>
      <c r="H210" s="309" t="s">
        <v>1495</v>
      </c>
      <c r="I210" s="310" t="s">
        <v>1289</v>
      </c>
      <c r="J210" s="311" t="s">
        <v>1496</v>
      </c>
      <c r="K210" s="312" t="s">
        <v>1497</v>
      </c>
      <c r="L210" s="313" t="s">
        <v>1498</v>
      </c>
      <c r="M210" s="314" t="s">
        <v>16</v>
      </c>
    </row>
    <row r="211" spans="1:13" ht="13">
      <c r="A211" s="316" t="s">
        <v>1598</v>
      </c>
      <c r="B211" s="316" t="s">
        <v>1973</v>
      </c>
      <c r="C211" s="316" t="s">
        <v>1973</v>
      </c>
      <c r="D211" s="316" t="s">
        <v>1973</v>
      </c>
      <c r="E211" s="317" t="s">
        <v>1973</v>
      </c>
      <c r="F211" s="318">
        <v>3</v>
      </c>
      <c r="G211" s="354" t="s">
        <v>97</v>
      </c>
      <c r="H211" s="320">
        <v>31200</v>
      </c>
      <c r="I211" s="393" t="b">
        <v>1</v>
      </c>
      <c r="J211" s="322">
        <v>3</v>
      </c>
      <c r="K211" s="323" t="e">
        <f>VLOOKUP($A211,'[1]Database Bahan &amp; Alat (Terupdat'!$B$50:$N$232,6,FALSE)</f>
        <v>#N/A</v>
      </c>
      <c r="L211" s="371" t="e">
        <f t="shared" ref="L211:L245" si="6">J211*K211</f>
        <v>#N/A</v>
      </c>
      <c r="M211" s="325"/>
    </row>
    <row r="212" spans="1:13" ht="13">
      <c r="A212" s="316" t="s">
        <v>770</v>
      </c>
      <c r="B212" s="316" t="s">
        <v>1973</v>
      </c>
      <c r="C212" s="316" t="s">
        <v>1973</v>
      </c>
      <c r="D212" s="316" t="s">
        <v>1973</v>
      </c>
      <c r="E212" s="317" t="s">
        <v>1973</v>
      </c>
      <c r="F212" s="318">
        <v>1</v>
      </c>
      <c r="G212" s="354" t="s">
        <v>97</v>
      </c>
      <c r="H212" s="320">
        <v>24400</v>
      </c>
      <c r="I212" s="395" t="b">
        <v>1</v>
      </c>
      <c r="J212" s="322">
        <v>1</v>
      </c>
      <c r="K212" s="323">
        <v>25000</v>
      </c>
      <c r="L212" s="379">
        <f t="shared" si="6"/>
        <v>25000</v>
      </c>
      <c r="M212" s="325" t="s">
        <v>1825</v>
      </c>
    </row>
    <row r="213" spans="1:13" ht="13">
      <c r="A213" s="316" t="s">
        <v>782</v>
      </c>
      <c r="B213" s="316" t="s">
        <v>1973</v>
      </c>
      <c r="C213" s="316" t="s">
        <v>1973</v>
      </c>
      <c r="D213" s="316" t="s">
        <v>1973</v>
      </c>
      <c r="E213" s="317" t="s">
        <v>1973</v>
      </c>
      <c r="F213" s="318">
        <v>2</v>
      </c>
      <c r="G213" s="354" t="s">
        <v>62</v>
      </c>
      <c r="H213" s="320">
        <v>24000</v>
      </c>
      <c r="I213" s="393" t="b">
        <v>1</v>
      </c>
      <c r="J213" s="322">
        <v>2</v>
      </c>
      <c r="K213" s="323" t="s">
        <v>1973</v>
      </c>
      <c r="L213" s="371" t="e">
        <f t="shared" si="6"/>
        <v>#VALUE!</v>
      </c>
      <c r="M213" s="325"/>
    </row>
    <row r="214" spans="1:13" ht="13">
      <c r="A214" s="316" t="s">
        <v>1670</v>
      </c>
      <c r="B214" s="316" t="s">
        <v>1973</v>
      </c>
      <c r="C214" s="316" t="s">
        <v>1973</v>
      </c>
      <c r="D214" s="316" t="s">
        <v>1973</v>
      </c>
      <c r="E214" s="317" t="s">
        <v>1973</v>
      </c>
      <c r="F214" s="318">
        <v>1</v>
      </c>
      <c r="G214" s="354" t="s">
        <v>62</v>
      </c>
      <c r="H214" s="320">
        <v>10350</v>
      </c>
      <c r="I214" s="319" t="b">
        <v>0</v>
      </c>
      <c r="J214" s="372"/>
      <c r="K214" s="373" t="s">
        <v>1973</v>
      </c>
      <c r="L214" s="374" t="e">
        <f t="shared" si="6"/>
        <v>#VALUE!</v>
      </c>
      <c r="M214" s="325"/>
    </row>
    <row r="215" spans="1:13" ht="13">
      <c r="A215" s="316" t="s">
        <v>1607</v>
      </c>
      <c r="B215" s="316" t="s">
        <v>1973</v>
      </c>
      <c r="C215" s="316" t="s">
        <v>1973</v>
      </c>
      <c r="D215" s="316" t="s">
        <v>1973</v>
      </c>
      <c r="E215" s="317" t="s">
        <v>1973</v>
      </c>
      <c r="F215" s="318">
        <v>1</v>
      </c>
      <c r="G215" s="354" t="s">
        <v>62</v>
      </c>
      <c r="H215" s="320">
        <v>10050</v>
      </c>
      <c r="I215" s="395" t="b">
        <v>1</v>
      </c>
      <c r="J215" s="322">
        <v>1</v>
      </c>
      <c r="K215" s="323">
        <v>17500</v>
      </c>
      <c r="L215" s="379">
        <f t="shared" si="6"/>
        <v>17500</v>
      </c>
      <c r="M215" s="325" t="s">
        <v>1826</v>
      </c>
    </row>
    <row r="216" spans="1:13" ht="13">
      <c r="A216" s="316" t="s">
        <v>919</v>
      </c>
      <c r="B216" s="316" t="s">
        <v>1973</v>
      </c>
      <c r="C216" s="316" t="s">
        <v>1973</v>
      </c>
      <c r="D216" s="316" t="s">
        <v>1973</v>
      </c>
      <c r="E216" s="317" t="s">
        <v>1973</v>
      </c>
      <c r="F216" s="318">
        <v>3</v>
      </c>
      <c r="G216" s="354" t="s">
        <v>62</v>
      </c>
      <c r="H216" s="320">
        <v>29700</v>
      </c>
      <c r="I216" s="395" t="b">
        <v>1</v>
      </c>
      <c r="J216" s="322">
        <v>3</v>
      </c>
      <c r="K216" s="323">
        <v>8800</v>
      </c>
      <c r="L216" s="379">
        <f t="shared" si="6"/>
        <v>26400</v>
      </c>
      <c r="M216" s="325" t="s">
        <v>1776</v>
      </c>
    </row>
    <row r="217" spans="1:13" ht="13">
      <c r="A217" s="316" t="s">
        <v>937</v>
      </c>
      <c r="B217" s="316" t="s">
        <v>1973</v>
      </c>
      <c r="C217" s="316" t="s">
        <v>1973</v>
      </c>
      <c r="D217" s="316" t="s">
        <v>1973</v>
      </c>
      <c r="E217" s="317" t="s">
        <v>1973</v>
      </c>
      <c r="F217" s="318">
        <v>2</v>
      </c>
      <c r="G217" s="354" t="s">
        <v>62</v>
      </c>
      <c r="H217" s="320">
        <v>14400</v>
      </c>
      <c r="I217" s="393" t="b">
        <v>1</v>
      </c>
      <c r="J217" s="322">
        <v>2</v>
      </c>
      <c r="K217" s="323" t="e">
        <f>VLOOKUP($A217,'[1]Database Bahan &amp; Alat (Terupdat'!$B$50:$N$232,6,FALSE)</f>
        <v>#N/A</v>
      </c>
      <c r="L217" s="371" t="e">
        <f t="shared" si="6"/>
        <v>#N/A</v>
      </c>
      <c r="M217" s="325"/>
    </row>
    <row r="218" spans="1:13" ht="13">
      <c r="A218" s="316" t="s">
        <v>1697</v>
      </c>
      <c r="B218" s="316" t="s">
        <v>1973</v>
      </c>
      <c r="C218" s="316" t="s">
        <v>1973</v>
      </c>
      <c r="D218" s="316" t="s">
        <v>1973</v>
      </c>
      <c r="E218" s="317" t="s">
        <v>1973</v>
      </c>
      <c r="F218" s="318">
        <v>4</v>
      </c>
      <c r="G218" s="354" t="s">
        <v>62</v>
      </c>
      <c r="H218" s="320">
        <v>50000</v>
      </c>
      <c r="I218" s="395" t="b">
        <v>1</v>
      </c>
      <c r="J218" s="322">
        <v>4</v>
      </c>
      <c r="K218" s="323">
        <v>10000</v>
      </c>
      <c r="L218" s="380">
        <f t="shared" si="6"/>
        <v>40000</v>
      </c>
      <c r="M218" s="325" t="s">
        <v>1827</v>
      </c>
    </row>
    <row r="219" spans="1:13" ht="13">
      <c r="A219" s="316" t="s">
        <v>639</v>
      </c>
      <c r="B219" s="316" t="s">
        <v>1973</v>
      </c>
      <c r="C219" s="316" t="s">
        <v>1973</v>
      </c>
      <c r="D219" s="316" t="s">
        <v>1973</v>
      </c>
      <c r="E219" s="317" t="s">
        <v>1973</v>
      </c>
      <c r="F219" s="318">
        <v>1</v>
      </c>
      <c r="G219" s="354" t="s">
        <v>36</v>
      </c>
      <c r="H219" s="320">
        <v>125000</v>
      </c>
      <c r="I219" s="395" t="b">
        <v>1</v>
      </c>
      <c r="J219" s="322">
        <v>1.3</v>
      </c>
      <c r="K219" s="323">
        <v>128000</v>
      </c>
      <c r="L219" s="379">
        <f t="shared" si="6"/>
        <v>166400</v>
      </c>
      <c r="M219" s="325" t="s">
        <v>1795</v>
      </c>
    </row>
    <row r="220" spans="1:13" ht="13">
      <c r="A220" s="316" t="s">
        <v>1610</v>
      </c>
      <c r="B220" s="316" t="s">
        <v>1973</v>
      </c>
      <c r="C220" s="316" t="s">
        <v>1973</v>
      </c>
      <c r="D220" s="316" t="s">
        <v>1973</v>
      </c>
      <c r="E220" s="317" t="s">
        <v>1973</v>
      </c>
      <c r="F220" s="318">
        <v>2</v>
      </c>
      <c r="G220" s="354" t="s">
        <v>36</v>
      </c>
      <c r="H220" s="320">
        <v>16000</v>
      </c>
      <c r="I220" s="395" t="b">
        <v>1</v>
      </c>
      <c r="J220" s="322">
        <v>2</v>
      </c>
      <c r="K220" s="323">
        <v>10000</v>
      </c>
      <c r="L220" s="379">
        <f t="shared" si="6"/>
        <v>20000</v>
      </c>
      <c r="M220" s="325" t="s">
        <v>1792</v>
      </c>
    </row>
    <row r="221" spans="1:13" ht="13">
      <c r="A221" s="316" t="s">
        <v>1611</v>
      </c>
      <c r="B221" s="316" t="s">
        <v>1973</v>
      </c>
      <c r="C221" s="316" t="s">
        <v>1973</v>
      </c>
      <c r="D221" s="316" t="s">
        <v>1973</v>
      </c>
      <c r="E221" s="317" t="s">
        <v>1973</v>
      </c>
      <c r="F221" s="318">
        <v>5</v>
      </c>
      <c r="G221" s="354" t="s">
        <v>36</v>
      </c>
      <c r="H221" s="320">
        <v>240000</v>
      </c>
      <c r="I221" s="393" t="b">
        <v>1</v>
      </c>
      <c r="J221" s="322">
        <v>5</v>
      </c>
      <c r="K221" s="323" t="s">
        <v>1973</v>
      </c>
      <c r="L221" s="371" t="e">
        <f t="shared" si="6"/>
        <v>#VALUE!</v>
      </c>
      <c r="M221" s="325"/>
    </row>
    <row r="222" spans="1:13" ht="13">
      <c r="A222" s="316" t="s">
        <v>1612</v>
      </c>
      <c r="B222" s="316" t="s">
        <v>1973</v>
      </c>
      <c r="C222" s="316" t="s">
        <v>1973</v>
      </c>
      <c r="D222" s="316" t="s">
        <v>1973</v>
      </c>
      <c r="E222" s="317" t="s">
        <v>1973</v>
      </c>
      <c r="F222" s="318">
        <v>6</v>
      </c>
      <c r="G222" s="354" t="s">
        <v>36</v>
      </c>
      <c r="H222" s="320">
        <v>180000</v>
      </c>
      <c r="I222" s="393" t="b">
        <v>1</v>
      </c>
      <c r="J222" s="322">
        <v>6</v>
      </c>
      <c r="K222" s="323" t="s">
        <v>1973</v>
      </c>
      <c r="L222" s="371" t="e">
        <f t="shared" si="6"/>
        <v>#VALUE!</v>
      </c>
      <c r="M222" s="325"/>
    </row>
    <row r="223" spans="1:13" ht="13">
      <c r="A223" s="316" t="s">
        <v>1698</v>
      </c>
      <c r="B223" s="316" t="s">
        <v>1973</v>
      </c>
      <c r="C223" s="316" t="s">
        <v>1973</v>
      </c>
      <c r="D223" s="316" t="s">
        <v>1973</v>
      </c>
      <c r="E223" s="317" t="s">
        <v>1973</v>
      </c>
      <c r="F223" s="318">
        <v>3</v>
      </c>
      <c r="G223" s="354" t="s">
        <v>36</v>
      </c>
      <c r="H223" s="320">
        <v>105000</v>
      </c>
      <c r="I223" s="395" t="b">
        <v>1</v>
      </c>
      <c r="J223" s="322">
        <v>3</v>
      </c>
      <c r="K223" s="323">
        <v>37000</v>
      </c>
      <c r="L223" s="379">
        <f t="shared" si="6"/>
        <v>111000</v>
      </c>
      <c r="M223" s="325" t="s">
        <v>1792</v>
      </c>
    </row>
    <row r="224" spans="1:13" ht="13">
      <c r="A224" s="316" t="s">
        <v>1707</v>
      </c>
      <c r="B224" s="316" t="s">
        <v>1973</v>
      </c>
      <c r="C224" s="316" t="s">
        <v>1973</v>
      </c>
      <c r="D224" s="316" t="s">
        <v>1973</v>
      </c>
      <c r="E224" s="317" t="s">
        <v>1973</v>
      </c>
      <c r="F224" s="318">
        <v>0.5</v>
      </c>
      <c r="G224" s="354" t="s">
        <v>36</v>
      </c>
      <c r="H224" s="320">
        <v>14000</v>
      </c>
      <c r="I224" s="395" t="b">
        <v>1</v>
      </c>
      <c r="J224" s="322">
        <v>0.5</v>
      </c>
      <c r="K224" s="323">
        <v>70000</v>
      </c>
      <c r="L224" s="379">
        <f t="shared" si="6"/>
        <v>35000</v>
      </c>
      <c r="M224" s="325" t="s">
        <v>1828</v>
      </c>
    </row>
    <row r="225" spans="1:13" ht="13">
      <c r="A225" s="316" t="s">
        <v>675</v>
      </c>
      <c r="B225" s="316" t="s">
        <v>1973</v>
      </c>
      <c r="C225" s="316" t="s">
        <v>1973</v>
      </c>
      <c r="D225" s="316" t="s">
        <v>1973</v>
      </c>
      <c r="E225" s="317" t="s">
        <v>1973</v>
      </c>
      <c r="F225" s="318">
        <v>20</v>
      </c>
      <c r="G225" s="354" t="s">
        <v>62</v>
      </c>
      <c r="H225" s="320">
        <v>70000</v>
      </c>
      <c r="I225" s="393" t="b">
        <v>1</v>
      </c>
      <c r="J225" s="322">
        <v>20</v>
      </c>
      <c r="K225" s="323" t="e">
        <f>VLOOKUP($A225,'[1]Database Bahan &amp; Alat (Terupdat'!$B$50:$N$232,6,FALSE)</f>
        <v>#N/A</v>
      </c>
      <c r="L225" s="371" t="e">
        <f t="shared" si="6"/>
        <v>#N/A</v>
      </c>
      <c r="M225" s="325"/>
    </row>
    <row r="226" spans="1:13" ht="13">
      <c r="A226" s="316" t="s">
        <v>712</v>
      </c>
      <c r="B226" s="316" t="s">
        <v>1973</v>
      </c>
      <c r="C226" s="316" t="s">
        <v>1973</v>
      </c>
      <c r="D226" s="316" t="s">
        <v>1973</v>
      </c>
      <c r="E226" s="317" t="s">
        <v>1973</v>
      </c>
      <c r="F226" s="318">
        <v>1</v>
      </c>
      <c r="G226" s="354" t="s">
        <v>36</v>
      </c>
      <c r="H226" s="320">
        <v>24000</v>
      </c>
      <c r="I226" s="395" t="b">
        <v>1</v>
      </c>
      <c r="J226" s="322">
        <v>1</v>
      </c>
      <c r="K226" s="323">
        <v>26000</v>
      </c>
      <c r="L226" s="379">
        <f t="shared" si="6"/>
        <v>26000</v>
      </c>
      <c r="M226" s="325" t="s">
        <v>1792</v>
      </c>
    </row>
    <row r="227" spans="1:13" ht="13">
      <c r="A227" s="316" t="s">
        <v>732</v>
      </c>
      <c r="B227" s="316" t="s">
        <v>1973</v>
      </c>
      <c r="C227" s="316" t="s">
        <v>1973</v>
      </c>
      <c r="D227" s="316" t="s">
        <v>1973</v>
      </c>
      <c r="E227" s="317" t="s">
        <v>1973</v>
      </c>
      <c r="F227" s="318">
        <v>1</v>
      </c>
      <c r="G227" s="354" t="s">
        <v>36</v>
      </c>
      <c r="H227" s="320">
        <v>22000</v>
      </c>
      <c r="I227" s="395" t="b">
        <v>1</v>
      </c>
      <c r="J227" s="322">
        <v>1</v>
      </c>
      <c r="K227" s="323">
        <v>26000</v>
      </c>
      <c r="L227" s="379">
        <f t="shared" si="6"/>
        <v>26000</v>
      </c>
      <c r="M227" s="325" t="s">
        <v>1817</v>
      </c>
    </row>
    <row r="228" spans="1:13" ht="13">
      <c r="A228" s="316" t="s">
        <v>744</v>
      </c>
      <c r="B228" s="316" t="s">
        <v>1973</v>
      </c>
      <c r="C228" s="316" t="s">
        <v>1973</v>
      </c>
      <c r="D228" s="316" t="s">
        <v>1973</v>
      </c>
      <c r="E228" s="317" t="s">
        <v>1973</v>
      </c>
      <c r="F228" s="318">
        <v>1</v>
      </c>
      <c r="G228" s="354" t="s">
        <v>36</v>
      </c>
      <c r="H228" s="320">
        <v>54000</v>
      </c>
      <c r="I228" s="395" t="b">
        <v>1</v>
      </c>
      <c r="J228" s="322">
        <v>1</v>
      </c>
      <c r="K228" s="323">
        <v>70000</v>
      </c>
      <c r="L228" s="379">
        <f t="shared" si="6"/>
        <v>70000</v>
      </c>
      <c r="M228" s="325" t="s">
        <v>1829</v>
      </c>
    </row>
    <row r="229" spans="1:13" ht="13">
      <c r="A229" s="316" t="s">
        <v>1704</v>
      </c>
      <c r="B229" s="316" t="s">
        <v>1973</v>
      </c>
      <c r="C229" s="316" t="s">
        <v>1973</v>
      </c>
      <c r="D229" s="316" t="s">
        <v>1973</v>
      </c>
      <c r="E229" s="317" t="s">
        <v>1973</v>
      </c>
      <c r="F229" s="318">
        <v>0.3</v>
      </c>
      <c r="G229" s="354" t="s">
        <v>36</v>
      </c>
      <c r="H229" s="320">
        <v>3600</v>
      </c>
      <c r="I229" s="393" t="b">
        <v>1</v>
      </c>
      <c r="J229" s="322">
        <v>0.25</v>
      </c>
      <c r="K229" s="323" t="s">
        <v>1973</v>
      </c>
      <c r="L229" s="371" t="e">
        <f t="shared" si="6"/>
        <v>#VALUE!</v>
      </c>
      <c r="M229" s="325"/>
    </row>
    <row r="230" spans="1:13" ht="13">
      <c r="A230" s="316" t="s">
        <v>1501</v>
      </c>
      <c r="B230" s="316" t="s">
        <v>1973</v>
      </c>
      <c r="C230" s="316" t="s">
        <v>1973</v>
      </c>
      <c r="D230" s="316" t="s">
        <v>1973</v>
      </c>
      <c r="E230" s="317" t="s">
        <v>1973</v>
      </c>
      <c r="F230" s="318">
        <v>0.75</v>
      </c>
      <c r="G230" s="354" t="s">
        <v>36</v>
      </c>
      <c r="H230" s="320">
        <v>3037.5</v>
      </c>
      <c r="I230" s="319" t="b">
        <v>0</v>
      </c>
      <c r="J230" s="372"/>
      <c r="K230" s="373" t="s">
        <v>1973</v>
      </c>
      <c r="L230" s="374" t="e">
        <f t="shared" si="6"/>
        <v>#VALUE!</v>
      </c>
      <c r="M230" s="325"/>
    </row>
    <row r="231" spans="1:13" ht="13">
      <c r="A231" s="316" t="s">
        <v>1608</v>
      </c>
      <c r="B231" s="316" t="s">
        <v>1973</v>
      </c>
      <c r="C231" s="316" t="s">
        <v>1973</v>
      </c>
      <c r="D231" s="316" t="s">
        <v>1973</v>
      </c>
      <c r="E231" s="317" t="s">
        <v>1973</v>
      </c>
      <c r="F231" s="318">
        <v>1</v>
      </c>
      <c r="G231" s="354" t="s">
        <v>36</v>
      </c>
      <c r="H231" s="320">
        <v>34000</v>
      </c>
      <c r="I231" s="319" t="b">
        <v>0</v>
      </c>
      <c r="J231" s="372"/>
      <c r="K231" s="373" t="s">
        <v>1973</v>
      </c>
      <c r="L231" s="374" t="e">
        <f t="shared" si="6"/>
        <v>#VALUE!</v>
      </c>
      <c r="M231" s="325"/>
    </row>
    <row r="232" spans="1:13" ht="13">
      <c r="A232" s="316" t="s">
        <v>931</v>
      </c>
      <c r="B232" s="316" t="s">
        <v>1973</v>
      </c>
      <c r="C232" s="316" t="s">
        <v>1973</v>
      </c>
      <c r="D232" s="316" t="s">
        <v>1973</v>
      </c>
      <c r="E232" s="317" t="s">
        <v>1973</v>
      </c>
      <c r="F232" s="318">
        <v>1.5</v>
      </c>
      <c r="G232" s="354" t="s">
        <v>36</v>
      </c>
      <c r="H232" s="320">
        <v>27000</v>
      </c>
      <c r="I232" s="395" t="b">
        <v>1</v>
      </c>
      <c r="J232" s="322">
        <v>1.5</v>
      </c>
      <c r="K232" s="323">
        <v>20000</v>
      </c>
      <c r="L232" s="379">
        <f t="shared" si="6"/>
        <v>30000</v>
      </c>
      <c r="M232" s="325" t="s">
        <v>1792</v>
      </c>
    </row>
    <row r="233" spans="1:13" ht="13">
      <c r="A233" s="316" t="s">
        <v>1020</v>
      </c>
      <c r="B233" s="316" t="s">
        <v>1973</v>
      </c>
      <c r="C233" s="316" t="s">
        <v>1973</v>
      </c>
      <c r="D233" s="316" t="s">
        <v>1973</v>
      </c>
      <c r="E233" s="317" t="s">
        <v>1973</v>
      </c>
      <c r="F233" s="318">
        <v>2</v>
      </c>
      <c r="G233" s="354" t="s">
        <v>36</v>
      </c>
      <c r="H233" s="320">
        <v>20000</v>
      </c>
      <c r="I233" s="395" t="b">
        <v>1</v>
      </c>
      <c r="J233" s="322">
        <v>2</v>
      </c>
      <c r="K233" s="323">
        <v>12000</v>
      </c>
      <c r="L233" s="379">
        <f t="shared" si="6"/>
        <v>24000</v>
      </c>
      <c r="M233" s="325" t="s">
        <v>1792</v>
      </c>
    </row>
    <row r="234" spans="1:13" ht="13">
      <c r="A234" s="316" t="s">
        <v>1600</v>
      </c>
      <c r="B234" s="316" t="s">
        <v>1973</v>
      </c>
      <c r="C234" s="316" t="s">
        <v>1973</v>
      </c>
      <c r="D234" s="316" t="s">
        <v>1973</v>
      </c>
      <c r="E234" s="317" t="s">
        <v>1973</v>
      </c>
      <c r="F234" s="318">
        <v>1.5</v>
      </c>
      <c r="G234" s="354" t="s">
        <v>36</v>
      </c>
      <c r="H234" s="320">
        <v>12000</v>
      </c>
      <c r="I234" s="395" t="b">
        <v>1</v>
      </c>
      <c r="J234" s="322">
        <v>1.5</v>
      </c>
      <c r="K234" s="323">
        <v>9333</v>
      </c>
      <c r="L234" s="408">
        <f t="shared" si="6"/>
        <v>13999.5</v>
      </c>
      <c r="M234" s="325" t="s">
        <v>1830</v>
      </c>
    </row>
    <row r="235" spans="1:13" ht="13">
      <c r="A235" s="316" t="s">
        <v>623</v>
      </c>
      <c r="B235" s="316" t="s">
        <v>1973</v>
      </c>
      <c r="C235" s="316" t="s">
        <v>1973</v>
      </c>
      <c r="D235" s="316" t="s">
        <v>1973</v>
      </c>
      <c r="E235" s="317" t="s">
        <v>1973</v>
      </c>
      <c r="F235" s="318">
        <v>2</v>
      </c>
      <c r="G235" s="354" t="s">
        <v>143</v>
      </c>
      <c r="H235" s="320">
        <v>359700</v>
      </c>
      <c r="I235" s="319" t="b">
        <v>0</v>
      </c>
      <c r="J235" s="372"/>
      <c r="K235" s="373" t="s">
        <v>1973</v>
      </c>
      <c r="L235" s="374" t="e">
        <f t="shared" si="6"/>
        <v>#VALUE!</v>
      </c>
      <c r="M235" s="325"/>
    </row>
    <row r="236" spans="1:13" ht="13">
      <c r="A236" s="316" t="s">
        <v>704</v>
      </c>
      <c r="B236" s="316" t="s">
        <v>1973</v>
      </c>
      <c r="C236" s="316" t="s">
        <v>1973</v>
      </c>
      <c r="D236" s="316" t="s">
        <v>1973</v>
      </c>
      <c r="E236" s="317" t="s">
        <v>1973</v>
      </c>
      <c r="F236" s="318">
        <v>1</v>
      </c>
      <c r="G236" s="354" t="s">
        <v>143</v>
      </c>
      <c r="H236" s="320">
        <v>182250</v>
      </c>
      <c r="I236" s="319" t="b">
        <v>0</v>
      </c>
      <c r="J236" s="372"/>
      <c r="K236" s="373" t="s">
        <v>1973</v>
      </c>
      <c r="L236" s="374" t="e">
        <f t="shared" si="6"/>
        <v>#VALUE!</v>
      </c>
      <c r="M236" s="325"/>
    </row>
    <row r="237" spans="1:13" ht="13">
      <c r="A237" s="316" t="s">
        <v>925</v>
      </c>
      <c r="B237" s="316" t="s">
        <v>1973</v>
      </c>
      <c r="C237" s="316" t="s">
        <v>1973</v>
      </c>
      <c r="D237" s="316" t="s">
        <v>1973</v>
      </c>
      <c r="E237" s="317" t="s">
        <v>1973</v>
      </c>
      <c r="F237" s="318">
        <v>1</v>
      </c>
      <c r="G237" s="354" t="s">
        <v>143</v>
      </c>
      <c r="H237" s="320">
        <v>357214</v>
      </c>
      <c r="I237" s="319" t="b">
        <v>0</v>
      </c>
      <c r="J237" s="372"/>
      <c r="K237" s="373" t="s">
        <v>1973</v>
      </c>
      <c r="L237" s="374" t="e">
        <f t="shared" si="6"/>
        <v>#VALUE!</v>
      </c>
      <c r="M237" s="325"/>
    </row>
    <row r="238" spans="1:13" ht="13">
      <c r="A238" s="316" t="s">
        <v>1751</v>
      </c>
      <c r="B238" s="316" t="s">
        <v>1973</v>
      </c>
      <c r="C238" s="316" t="s">
        <v>1973</v>
      </c>
      <c r="D238" s="316" t="s">
        <v>1973</v>
      </c>
      <c r="E238" s="317" t="s">
        <v>1973</v>
      </c>
      <c r="F238" s="318">
        <v>5</v>
      </c>
      <c r="G238" s="354" t="s">
        <v>36</v>
      </c>
      <c r="H238" s="320">
        <v>60000</v>
      </c>
      <c r="I238" s="393" t="b">
        <v>1</v>
      </c>
      <c r="J238" s="322">
        <v>5</v>
      </c>
      <c r="K238" s="323" t="s">
        <v>1973</v>
      </c>
      <c r="L238" s="371" t="e">
        <f t="shared" si="6"/>
        <v>#VALUE!</v>
      </c>
      <c r="M238" s="325"/>
    </row>
    <row r="239" spans="1:13" ht="13">
      <c r="A239" s="316" t="s">
        <v>779</v>
      </c>
      <c r="B239" s="316" t="s">
        <v>1973</v>
      </c>
      <c r="C239" s="316" t="s">
        <v>1973</v>
      </c>
      <c r="D239" s="316" t="s">
        <v>1973</v>
      </c>
      <c r="E239" s="317" t="s">
        <v>1973</v>
      </c>
      <c r="F239" s="318">
        <v>4</v>
      </c>
      <c r="G239" s="354" t="s">
        <v>62</v>
      </c>
      <c r="H239" s="320">
        <v>154000</v>
      </c>
      <c r="I239" s="395" t="b">
        <v>1</v>
      </c>
      <c r="J239" s="322">
        <v>1</v>
      </c>
      <c r="K239" s="323">
        <f>68000+48700</f>
        <v>116700</v>
      </c>
      <c r="L239" s="379">
        <f t="shared" si="6"/>
        <v>116700</v>
      </c>
      <c r="M239" s="325" t="s">
        <v>1831</v>
      </c>
    </row>
    <row r="240" spans="1:13" ht="13">
      <c r="A240" s="316" t="s">
        <v>1606</v>
      </c>
      <c r="B240" s="316" t="s">
        <v>1973</v>
      </c>
      <c r="C240" s="316" t="s">
        <v>1973</v>
      </c>
      <c r="D240" s="316" t="s">
        <v>1973</v>
      </c>
      <c r="E240" s="317" t="s">
        <v>1973</v>
      </c>
      <c r="F240" s="318">
        <v>1</v>
      </c>
      <c r="G240" s="354" t="s">
        <v>36</v>
      </c>
      <c r="H240" s="320">
        <v>35000</v>
      </c>
      <c r="I240" s="319" t="b">
        <v>0</v>
      </c>
      <c r="J240" s="372"/>
      <c r="K240" s="373" t="s">
        <v>1973</v>
      </c>
      <c r="L240" s="374" t="e">
        <f t="shared" si="6"/>
        <v>#VALUE!</v>
      </c>
      <c r="M240" s="325"/>
    </row>
    <row r="241" spans="1:13" ht="13">
      <c r="A241" s="316" t="s">
        <v>910</v>
      </c>
      <c r="B241" s="316" t="s">
        <v>1973</v>
      </c>
      <c r="C241" s="316" t="s">
        <v>1973</v>
      </c>
      <c r="D241" s="316" t="s">
        <v>1973</v>
      </c>
      <c r="E241" s="317" t="s">
        <v>1973</v>
      </c>
      <c r="F241" s="318">
        <v>4</v>
      </c>
      <c r="G241" s="354" t="s">
        <v>62</v>
      </c>
      <c r="H241" s="320">
        <v>52000</v>
      </c>
      <c r="I241" s="319" t="b">
        <v>0</v>
      </c>
      <c r="J241" s="372"/>
      <c r="K241" s="373" t="s">
        <v>1973</v>
      </c>
      <c r="L241" s="374" t="e">
        <f t="shared" si="6"/>
        <v>#VALUE!</v>
      </c>
      <c r="M241" s="325"/>
    </row>
    <row r="242" spans="1:13" ht="13">
      <c r="A242" s="316" t="s">
        <v>643</v>
      </c>
      <c r="B242" s="316" t="s">
        <v>1973</v>
      </c>
      <c r="C242" s="316" t="s">
        <v>1973</v>
      </c>
      <c r="D242" s="316" t="s">
        <v>1973</v>
      </c>
      <c r="E242" s="317" t="s">
        <v>1973</v>
      </c>
      <c r="F242" s="318">
        <v>0.5</v>
      </c>
      <c r="G242" s="354" t="s">
        <v>36</v>
      </c>
      <c r="H242" s="320">
        <v>7500</v>
      </c>
      <c r="I242" s="393" t="b">
        <v>1</v>
      </c>
      <c r="J242" s="322">
        <v>0.5</v>
      </c>
      <c r="K242" s="323" t="s">
        <v>1973</v>
      </c>
      <c r="L242" s="371" t="e">
        <f t="shared" si="6"/>
        <v>#VALUE!</v>
      </c>
      <c r="M242" s="325"/>
    </row>
    <row r="243" spans="1:13" ht="13">
      <c r="A243" s="316" t="s">
        <v>889</v>
      </c>
      <c r="B243" s="316" t="s">
        <v>1973</v>
      </c>
      <c r="C243" s="316" t="s">
        <v>1973</v>
      </c>
      <c r="D243" s="316" t="s">
        <v>1973</v>
      </c>
      <c r="E243" s="317" t="s">
        <v>1973</v>
      </c>
      <c r="F243" s="318">
        <v>1</v>
      </c>
      <c r="G243" s="354" t="s">
        <v>62</v>
      </c>
      <c r="H243" s="320">
        <v>20000</v>
      </c>
      <c r="I243" s="393" t="b">
        <v>1</v>
      </c>
      <c r="J243" s="322">
        <v>1</v>
      </c>
      <c r="K243" s="323" t="s">
        <v>1973</v>
      </c>
      <c r="L243" s="371" t="e">
        <f t="shared" si="6"/>
        <v>#VALUE!</v>
      </c>
      <c r="M243" s="325"/>
    </row>
    <row r="244" spans="1:13" ht="13">
      <c r="A244" s="316" t="s">
        <v>892</v>
      </c>
      <c r="B244" s="316" t="s">
        <v>1973</v>
      </c>
      <c r="C244" s="316" t="s">
        <v>1973</v>
      </c>
      <c r="D244" s="316" t="s">
        <v>1973</v>
      </c>
      <c r="E244" s="317" t="s">
        <v>1973</v>
      </c>
      <c r="F244" s="318">
        <v>1</v>
      </c>
      <c r="G244" s="354" t="s">
        <v>36</v>
      </c>
      <c r="H244" s="320">
        <v>120000</v>
      </c>
      <c r="I244" s="393" t="b">
        <v>1</v>
      </c>
      <c r="J244" s="322">
        <v>1</v>
      </c>
      <c r="K244" s="323" t="s">
        <v>1973</v>
      </c>
      <c r="L244" s="371" t="e">
        <f t="shared" si="6"/>
        <v>#VALUE!</v>
      </c>
      <c r="M244" s="325"/>
    </row>
    <row r="245" spans="1:13" ht="13">
      <c r="A245" s="316" t="s">
        <v>1046</v>
      </c>
      <c r="B245" s="316" t="s">
        <v>1973</v>
      </c>
      <c r="C245" s="316" t="s">
        <v>1973</v>
      </c>
      <c r="D245" s="316" t="s">
        <v>1973</v>
      </c>
      <c r="E245" s="317" t="s">
        <v>1973</v>
      </c>
      <c r="F245" s="318">
        <v>1</v>
      </c>
      <c r="G245" s="354" t="s">
        <v>62</v>
      </c>
      <c r="H245" s="320">
        <v>18000</v>
      </c>
      <c r="I245" s="395" t="b">
        <v>1</v>
      </c>
      <c r="J245" s="322">
        <v>1</v>
      </c>
      <c r="K245" s="323">
        <v>20000</v>
      </c>
      <c r="L245" s="379">
        <f t="shared" si="6"/>
        <v>20000</v>
      </c>
      <c r="M245" s="325" t="s">
        <v>1792</v>
      </c>
    </row>
    <row r="247" spans="1:13" ht="13">
      <c r="F247" s="429">
        <v>44571</v>
      </c>
      <c r="G247" s="428"/>
      <c r="H247" s="424"/>
      <c r="J247" s="429">
        <f>F247+1</f>
        <v>44572</v>
      </c>
      <c r="K247" s="428"/>
      <c r="L247" s="424"/>
    </row>
    <row r="248" spans="1:13" ht="13">
      <c r="F248" s="425" t="s">
        <v>1490</v>
      </c>
      <c r="G248" s="426"/>
      <c r="H248" s="304">
        <f>SUM(H250:H265)</f>
        <v>1497646</v>
      </c>
      <c r="J248" s="425" t="s">
        <v>1491</v>
      </c>
      <c r="K248" s="426"/>
      <c r="L248" s="304" t="e">
        <f>SUM(L250:L1344)</f>
        <v>#N/A</v>
      </c>
    </row>
    <row r="249" spans="1:13" ht="13">
      <c r="A249" s="2" t="s">
        <v>4</v>
      </c>
      <c r="B249" s="305" t="s">
        <v>5</v>
      </c>
      <c r="C249" s="305" t="s">
        <v>11</v>
      </c>
      <c r="D249" s="305" t="s">
        <v>12</v>
      </c>
      <c r="E249" s="306" t="s">
        <v>6</v>
      </c>
      <c r="F249" s="307" t="s">
        <v>1494</v>
      </c>
      <c r="G249" s="308" t="s">
        <v>10</v>
      </c>
      <c r="H249" s="309" t="s">
        <v>1495</v>
      </c>
      <c r="I249" s="310" t="s">
        <v>1289</v>
      </c>
      <c r="J249" s="311" t="s">
        <v>1496</v>
      </c>
      <c r="K249" s="312" t="s">
        <v>1497</v>
      </c>
      <c r="L249" s="313" t="s">
        <v>1498</v>
      </c>
      <c r="M249" s="314" t="s">
        <v>16</v>
      </c>
    </row>
    <row r="250" spans="1:13" ht="13">
      <c r="A250" s="316" t="s">
        <v>544</v>
      </c>
      <c r="B250" s="316" t="s">
        <v>1973</v>
      </c>
      <c r="C250" s="316" t="s">
        <v>1973</v>
      </c>
      <c r="D250" s="316" t="s">
        <v>1973</v>
      </c>
      <c r="E250" s="317" t="s">
        <v>1973</v>
      </c>
      <c r="F250" s="318">
        <v>2</v>
      </c>
      <c r="G250" s="354" t="s">
        <v>62</v>
      </c>
      <c r="H250" s="320">
        <v>42400</v>
      </c>
      <c r="I250" s="395" t="b">
        <v>1</v>
      </c>
      <c r="J250" s="322">
        <v>2</v>
      </c>
      <c r="K250" s="323">
        <v>22600</v>
      </c>
      <c r="L250" s="379">
        <f t="shared" ref="L250:L265" si="7">J250*K250</f>
        <v>45200</v>
      </c>
      <c r="M250" s="325" t="s">
        <v>1832</v>
      </c>
    </row>
    <row r="251" spans="1:13" ht="13">
      <c r="A251" s="316" t="s">
        <v>586</v>
      </c>
      <c r="B251" s="316" t="s">
        <v>1973</v>
      </c>
      <c r="C251" s="316" t="s">
        <v>1973</v>
      </c>
      <c r="D251" s="316" t="s">
        <v>1973</v>
      </c>
      <c r="E251" s="317" t="s">
        <v>1973</v>
      </c>
      <c r="F251" s="318">
        <v>2</v>
      </c>
      <c r="G251" s="354" t="s">
        <v>62</v>
      </c>
      <c r="H251" s="320">
        <v>14400</v>
      </c>
      <c r="I251" s="393" t="b">
        <v>1</v>
      </c>
      <c r="J251" s="322">
        <v>2</v>
      </c>
      <c r="K251" s="323" t="e">
        <f>VLOOKUP($A251,'[1]Database Bahan &amp; Alat (Terupdat'!$B$50:$N$232,6,FALSE)</f>
        <v>#N/A</v>
      </c>
      <c r="L251" s="371" t="e">
        <f t="shared" si="7"/>
        <v>#N/A</v>
      </c>
      <c r="M251" s="325"/>
    </row>
    <row r="252" spans="1:13" ht="13">
      <c r="A252" s="316" t="s">
        <v>627</v>
      </c>
      <c r="B252" s="316" t="s">
        <v>1973</v>
      </c>
      <c r="C252" s="316" t="s">
        <v>1973</v>
      </c>
      <c r="D252" s="316" t="s">
        <v>1973</v>
      </c>
      <c r="E252" s="317" t="s">
        <v>1973</v>
      </c>
      <c r="F252" s="318">
        <v>2</v>
      </c>
      <c r="G252" s="354" t="s">
        <v>36</v>
      </c>
      <c r="H252" s="320">
        <v>63800</v>
      </c>
      <c r="I252" s="395" t="b">
        <v>1</v>
      </c>
      <c r="J252" s="322">
        <v>1440</v>
      </c>
      <c r="K252" s="323">
        <v>37.9</v>
      </c>
      <c r="L252" s="379">
        <f t="shared" si="7"/>
        <v>54576</v>
      </c>
      <c r="M252" s="325"/>
    </row>
    <row r="253" spans="1:13" ht="13">
      <c r="A253" s="316" t="s">
        <v>1504</v>
      </c>
      <c r="B253" s="316" t="s">
        <v>1973</v>
      </c>
      <c r="C253" s="316" t="s">
        <v>1973</v>
      </c>
      <c r="D253" s="316" t="s">
        <v>1973</v>
      </c>
      <c r="E253" s="317" t="s">
        <v>1973</v>
      </c>
      <c r="F253" s="318">
        <v>1</v>
      </c>
      <c r="G253" s="354" t="s">
        <v>97</v>
      </c>
      <c r="H253" s="320">
        <v>128700</v>
      </c>
      <c r="I253" s="319" t="b">
        <v>0</v>
      </c>
      <c r="J253" s="372"/>
      <c r="K253" s="373" t="s">
        <v>1973</v>
      </c>
      <c r="L253" s="374" t="e">
        <f t="shared" si="7"/>
        <v>#VALUE!</v>
      </c>
      <c r="M253" s="325"/>
    </row>
    <row r="254" spans="1:13" ht="13">
      <c r="A254" s="316" t="s">
        <v>1505</v>
      </c>
      <c r="B254" s="316" t="s">
        <v>1973</v>
      </c>
      <c r="C254" s="316" t="s">
        <v>1973</v>
      </c>
      <c r="D254" s="316" t="s">
        <v>1973</v>
      </c>
      <c r="E254" s="317" t="s">
        <v>1973</v>
      </c>
      <c r="F254" s="318">
        <v>2</v>
      </c>
      <c r="G254" s="354" t="s">
        <v>97</v>
      </c>
      <c r="H254" s="320">
        <v>257400</v>
      </c>
      <c r="I254" s="319" t="b">
        <v>0</v>
      </c>
      <c r="J254" s="372"/>
      <c r="K254" s="373" t="s">
        <v>1973</v>
      </c>
      <c r="L254" s="374" t="e">
        <f t="shared" si="7"/>
        <v>#VALUE!</v>
      </c>
      <c r="M254" s="325"/>
    </row>
    <row r="255" spans="1:13" ht="13">
      <c r="A255" s="316" t="s">
        <v>1506</v>
      </c>
      <c r="B255" s="316" t="s">
        <v>1973</v>
      </c>
      <c r="C255" s="316" t="s">
        <v>1973</v>
      </c>
      <c r="D255" s="316" t="s">
        <v>1973</v>
      </c>
      <c r="E255" s="317" t="s">
        <v>1973</v>
      </c>
      <c r="F255" s="318">
        <v>2</v>
      </c>
      <c r="G255" s="354" t="s">
        <v>97</v>
      </c>
      <c r="H255" s="320">
        <v>257400</v>
      </c>
      <c r="I255" s="319" t="b">
        <v>0</v>
      </c>
      <c r="J255" s="372"/>
      <c r="K255" s="373" t="s">
        <v>1973</v>
      </c>
      <c r="L255" s="374" t="e">
        <f t="shared" si="7"/>
        <v>#VALUE!</v>
      </c>
      <c r="M255" s="325"/>
    </row>
    <row r="256" spans="1:13" ht="13">
      <c r="A256" s="316" t="s">
        <v>976</v>
      </c>
      <c r="B256" s="316" t="s">
        <v>1973</v>
      </c>
      <c r="C256" s="316" t="s">
        <v>1973</v>
      </c>
      <c r="D256" s="316" t="s">
        <v>1973</v>
      </c>
      <c r="E256" s="317" t="s">
        <v>1973</v>
      </c>
      <c r="F256" s="318">
        <v>1</v>
      </c>
      <c r="G256" s="354" t="s">
        <v>62</v>
      </c>
      <c r="H256" s="320">
        <v>25000</v>
      </c>
      <c r="I256" s="393" t="b">
        <v>1</v>
      </c>
      <c r="J256" s="322">
        <v>1</v>
      </c>
      <c r="K256" s="323" t="s">
        <v>1973</v>
      </c>
      <c r="L256" s="371" t="e">
        <f t="shared" si="7"/>
        <v>#VALUE!</v>
      </c>
      <c r="M256" s="325"/>
    </row>
    <row r="257" spans="1:13" ht="13">
      <c r="A257" s="316" t="s">
        <v>536</v>
      </c>
      <c r="B257" s="316" t="s">
        <v>1973</v>
      </c>
      <c r="C257" s="316" t="s">
        <v>1973</v>
      </c>
      <c r="D257" s="316" t="s">
        <v>1973</v>
      </c>
      <c r="E257" s="317" t="s">
        <v>1973</v>
      </c>
      <c r="F257" s="318">
        <v>50</v>
      </c>
      <c r="G257" s="354" t="s">
        <v>1711</v>
      </c>
      <c r="H257" s="320">
        <v>7000</v>
      </c>
      <c r="I257" s="393" t="b">
        <v>1</v>
      </c>
      <c r="J257" s="322">
        <v>1</v>
      </c>
      <c r="K257" s="323">
        <v>9000</v>
      </c>
      <c r="L257" s="371">
        <f t="shared" si="7"/>
        <v>9000</v>
      </c>
      <c r="M257" s="325"/>
    </row>
    <row r="258" spans="1:13" ht="13">
      <c r="A258" s="316" t="s">
        <v>631</v>
      </c>
      <c r="B258" s="316" t="s">
        <v>1973</v>
      </c>
      <c r="C258" s="316" t="s">
        <v>1973</v>
      </c>
      <c r="D258" s="316" t="s">
        <v>1973</v>
      </c>
      <c r="E258" s="317" t="s">
        <v>1973</v>
      </c>
      <c r="F258" s="318">
        <v>1</v>
      </c>
      <c r="G258" s="354" t="s">
        <v>36</v>
      </c>
      <c r="H258" s="320">
        <v>16000</v>
      </c>
      <c r="I258" s="393" t="b">
        <v>1</v>
      </c>
      <c r="J258" s="322">
        <v>1</v>
      </c>
      <c r="K258" s="323">
        <v>18000</v>
      </c>
      <c r="L258" s="379">
        <f t="shared" si="7"/>
        <v>18000</v>
      </c>
      <c r="M258" s="325" t="s">
        <v>1806</v>
      </c>
    </row>
    <row r="259" spans="1:13" ht="13">
      <c r="A259" s="316" t="s">
        <v>989</v>
      </c>
      <c r="B259" s="316" t="s">
        <v>1973</v>
      </c>
      <c r="C259" s="316" t="s">
        <v>1973</v>
      </c>
      <c r="D259" s="316" t="s">
        <v>1973</v>
      </c>
      <c r="E259" s="317" t="s">
        <v>1973</v>
      </c>
      <c r="F259" s="318">
        <v>2</v>
      </c>
      <c r="G259" s="354" t="s">
        <v>62</v>
      </c>
      <c r="H259" s="320">
        <v>32000</v>
      </c>
      <c r="I259" s="393" t="b">
        <v>1</v>
      </c>
      <c r="J259" s="322">
        <v>2</v>
      </c>
      <c r="K259" s="323">
        <v>17000</v>
      </c>
      <c r="L259" s="379">
        <f t="shared" si="7"/>
        <v>34000</v>
      </c>
      <c r="M259" s="325" t="s">
        <v>1833</v>
      </c>
    </row>
    <row r="260" spans="1:13" ht="13">
      <c r="A260" s="316" t="s">
        <v>562</v>
      </c>
      <c r="B260" s="316" t="s">
        <v>1973</v>
      </c>
      <c r="C260" s="316" t="s">
        <v>1973</v>
      </c>
      <c r="D260" s="316" t="s">
        <v>1973</v>
      </c>
      <c r="E260" s="317" t="s">
        <v>1973</v>
      </c>
      <c r="F260" s="318">
        <v>1</v>
      </c>
      <c r="G260" s="354" t="s">
        <v>97</v>
      </c>
      <c r="H260" s="320">
        <v>195000</v>
      </c>
      <c r="I260" s="319" t="b">
        <v>0</v>
      </c>
      <c r="J260" s="372"/>
      <c r="K260" s="373" t="s">
        <v>1973</v>
      </c>
      <c r="L260" s="374" t="e">
        <f t="shared" si="7"/>
        <v>#VALUE!</v>
      </c>
      <c r="M260" s="325"/>
    </row>
    <row r="261" spans="1:13" ht="13">
      <c r="A261" s="316" t="s">
        <v>961</v>
      </c>
      <c r="B261" s="316" t="s">
        <v>1973</v>
      </c>
      <c r="C261" s="316" t="s">
        <v>1973</v>
      </c>
      <c r="D261" s="316" t="s">
        <v>1973</v>
      </c>
      <c r="E261" s="317" t="s">
        <v>1973</v>
      </c>
      <c r="F261" s="318">
        <v>2</v>
      </c>
      <c r="G261" s="354" t="s">
        <v>97</v>
      </c>
      <c r="H261" s="320">
        <v>154546</v>
      </c>
      <c r="I261" s="319" t="b">
        <v>0</v>
      </c>
      <c r="J261" s="372"/>
      <c r="K261" s="373" t="s">
        <v>1973</v>
      </c>
      <c r="L261" s="374" t="e">
        <f t="shared" si="7"/>
        <v>#VALUE!</v>
      </c>
      <c r="M261" s="325"/>
    </row>
    <row r="262" spans="1:13" ht="13">
      <c r="A262" s="316" t="s">
        <v>1541</v>
      </c>
      <c r="B262" s="316" t="s">
        <v>1973</v>
      </c>
      <c r="C262" s="316" t="s">
        <v>1973</v>
      </c>
      <c r="D262" s="316" t="s">
        <v>1973</v>
      </c>
      <c r="E262" s="317" t="s">
        <v>1973</v>
      </c>
      <c r="F262" s="318">
        <v>1</v>
      </c>
      <c r="G262" s="354" t="s">
        <v>97</v>
      </c>
      <c r="H262" s="320">
        <v>195000</v>
      </c>
      <c r="I262" s="319" t="b">
        <v>0</v>
      </c>
      <c r="J262" s="372"/>
      <c r="K262" s="373" t="s">
        <v>1973</v>
      </c>
      <c r="L262" s="374" t="e">
        <f t="shared" si="7"/>
        <v>#VALUE!</v>
      </c>
      <c r="M262" s="325"/>
    </row>
    <row r="263" spans="1:13" ht="13">
      <c r="A263" s="316" t="s">
        <v>1606</v>
      </c>
      <c r="B263" s="316" t="s">
        <v>1973</v>
      </c>
      <c r="C263" s="316" t="s">
        <v>1973</v>
      </c>
      <c r="D263" s="316" t="s">
        <v>1973</v>
      </c>
      <c r="E263" s="317" t="s">
        <v>1973</v>
      </c>
      <c r="F263" s="318">
        <v>1</v>
      </c>
      <c r="G263" s="354" t="s">
        <v>36</v>
      </c>
      <c r="H263" s="320">
        <v>35000</v>
      </c>
      <c r="I263" s="319" t="b">
        <v>0</v>
      </c>
      <c r="J263" s="372"/>
      <c r="K263" s="373" t="s">
        <v>1973</v>
      </c>
      <c r="L263" s="374" t="e">
        <f t="shared" si="7"/>
        <v>#VALUE!</v>
      </c>
      <c r="M263" s="325" t="s">
        <v>1834</v>
      </c>
    </row>
    <row r="264" spans="1:13" ht="13">
      <c r="A264" s="316" t="s">
        <v>910</v>
      </c>
      <c r="B264" s="316" t="s">
        <v>1973</v>
      </c>
      <c r="C264" s="316" t="s">
        <v>1973</v>
      </c>
      <c r="D264" s="316" t="s">
        <v>1973</v>
      </c>
      <c r="E264" s="317" t="s">
        <v>1973</v>
      </c>
      <c r="F264" s="318">
        <v>2</v>
      </c>
      <c r="G264" s="354" t="s">
        <v>62</v>
      </c>
      <c r="H264" s="320">
        <v>26000</v>
      </c>
      <c r="I264" s="319" t="b">
        <v>0</v>
      </c>
      <c r="J264" s="372"/>
      <c r="K264" s="373" t="s">
        <v>1973</v>
      </c>
      <c r="L264" s="374" t="e">
        <f t="shared" si="7"/>
        <v>#VALUE!</v>
      </c>
      <c r="M264" s="325" t="s">
        <v>1835</v>
      </c>
    </row>
    <row r="265" spans="1:13" ht="13">
      <c r="A265" s="316" t="s">
        <v>1548</v>
      </c>
      <c r="B265" s="316" t="s">
        <v>1973</v>
      </c>
      <c r="C265" s="316" t="s">
        <v>1973</v>
      </c>
      <c r="D265" s="316" t="s">
        <v>1973</v>
      </c>
      <c r="E265" s="317" t="s">
        <v>1973</v>
      </c>
      <c r="F265" s="318">
        <v>4</v>
      </c>
      <c r="G265" s="354" t="s">
        <v>62</v>
      </c>
      <c r="H265" s="320">
        <v>48000</v>
      </c>
      <c r="I265" s="395" t="b">
        <v>1</v>
      </c>
      <c r="J265" s="322">
        <v>4</v>
      </c>
      <c r="K265" s="323">
        <v>12500</v>
      </c>
      <c r="L265" s="379">
        <f t="shared" si="7"/>
        <v>50000</v>
      </c>
      <c r="M265" s="325" t="s">
        <v>1836</v>
      </c>
    </row>
    <row r="267" spans="1:13" ht="13">
      <c r="F267" s="429">
        <v>44575</v>
      </c>
      <c r="G267" s="428"/>
      <c r="H267" s="424"/>
      <c r="J267" s="429">
        <f>F267+1</f>
        <v>44576</v>
      </c>
      <c r="K267" s="428"/>
      <c r="L267" s="424"/>
    </row>
    <row r="268" spans="1:13" ht="13">
      <c r="F268" s="425" t="s">
        <v>1490</v>
      </c>
      <c r="G268" s="426"/>
      <c r="H268" s="304">
        <f>SUM(H270:H344)</f>
        <v>5820894</v>
      </c>
      <c r="J268" s="425" t="s">
        <v>1491</v>
      </c>
      <c r="K268" s="426"/>
      <c r="L268" s="304" t="e">
        <f>SUM(L270:L344)</f>
        <v>#VALUE!</v>
      </c>
    </row>
    <row r="269" spans="1:13" ht="13">
      <c r="A269" s="2" t="s">
        <v>4</v>
      </c>
      <c r="B269" s="305" t="s">
        <v>5</v>
      </c>
      <c r="C269" s="305" t="s">
        <v>11</v>
      </c>
      <c r="D269" s="305" t="s">
        <v>12</v>
      </c>
      <c r="E269" s="306" t="s">
        <v>6</v>
      </c>
      <c r="F269" s="307" t="s">
        <v>1494</v>
      </c>
      <c r="G269" s="308" t="s">
        <v>10</v>
      </c>
      <c r="H269" s="309" t="s">
        <v>1495</v>
      </c>
      <c r="I269" s="310" t="s">
        <v>1289</v>
      </c>
      <c r="J269" s="311" t="s">
        <v>1496</v>
      </c>
      <c r="K269" s="312" t="s">
        <v>1497</v>
      </c>
      <c r="L269" s="313" t="s">
        <v>1498</v>
      </c>
      <c r="M269" s="314" t="s">
        <v>16</v>
      </c>
    </row>
    <row r="270" spans="1:13" ht="13">
      <c r="A270" s="316" t="s">
        <v>544</v>
      </c>
      <c r="B270" s="316" t="s">
        <v>1973</v>
      </c>
      <c r="C270" s="316" t="s">
        <v>1973</v>
      </c>
      <c r="D270" s="316" t="s">
        <v>1973</v>
      </c>
      <c r="E270" s="317" t="s">
        <v>1973</v>
      </c>
      <c r="F270" s="318">
        <v>4</v>
      </c>
      <c r="G270" s="354" t="s">
        <v>62</v>
      </c>
      <c r="H270" s="320">
        <v>84800</v>
      </c>
      <c r="I270" s="395" t="b">
        <v>1</v>
      </c>
      <c r="J270" s="322">
        <v>4</v>
      </c>
      <c r="K270" s="323">
        <v>22600</v>
      </c>
      <c r="L270" s="379">
        <f t="shared" ref="L270:L344" si="8">J270*K270</f>
        <v>90400</v>
      </c>
      <c r="M270" s="381" t="s">
        <v>1837</v>
      </c>
    </row>
    <row r="271" spans="1:13" ht="13">
      <c r="A271" s="316" t="s">
        <v>586</v>
      </c>
      <c r="B271" s="316" t="s">
        <v>1973</v>
      </c>
      <c r="C271" s="316" t="s">
        <v>1973</v>
      </c>
      <c r="D271" s="316" t="s">
        <v>1973</v>
      </c>
      <c r="E271" s="317" t="s">
        <v>1973</v>
      </c>
      <c r="F271" s="318">
        <v>3</v>
      </c>
      <c r="G271" s="354" t="s">
        <v>62</v>
      </c>
      <c r="H271" s="320">
        <v>21600</v>
      </c>
      <c r="I271" s="393" t="b">
        <v>1</v>
      </c>
      <c r="J271" s="322">
        <v>3</v>
      </c>
      <c r="K271" s="323" t="s">
        <v>1973</v>
      </c>
      <c r="L271" s="371" t="e">
        <f t="shared" si="8"/>
        <v>#VALUE!</v>
      </c>
      <c r="M271" s="381"/>
    </row>
    <row r="272" spans="1:13" ht="13">
      <c r="A272" s="316" t="s">
        <v>1598</v>
      </c>
      <c r="B272" s="316" t="s">
        <v>1973</v>
      </c>
      <c r="C272" s="316" t="s">
        <v>1973</v>
      </c>
      <c r="D272" s="316" t="s">
        <v>1973</v>
      </c>
      <c r="E272" s="317" t="s">
        <v>1973</v>
      </c>
      <c r="F272" s="318">
        <v>2</v>
      </c>
      <c r="G272" s="354" t="s">
        <v>97</v>
      </c>
      <c r="H272" s="320">
        <v>20800</v>
      </c>
      <c r="I272" s="393" t="b">
        <v>1</v>
      </c>
      <c r="J272" s="322">
        <v>2</v>
      </c>
      <c r="K272" s="323" t="s">
        <v>1973</v>
      </c>
      <c r="L272" s="371" t="e">
        <f t="shared" si="8"/>
        <v>#VALUE!</v>
      </c>
      <c r="M272" s="381"/>
    </row>
    <row r="273" spans="1:13" ht="13">
      <c r="A273" s="316" t="s">
        <v>770</v>
      </c>
      <c r="B273" s="316" t="s">
        <v>1973</v>
      </c>
      <c r="C273" s="316" t="s">
        <v>1973</v>
      </c>
      <c r="D273" s="316" t="s">
        <v>1973</v>
      </c>
      <c r="E273" s="317" t="s">
        <v>1973</v>
      </c>
      <c r="F273" s="318">
        <v>1</v>
      </c>
      <c r="G273" s="354" t="s">
        <v>97</v>
      </c>
      <c r="H273" s="320">
        <v>24400</v>
      </c>
      <c r="I273" s="393" t="b">
        <v>1</v>
      </c>
      <c r="J273" s="322">
        <v>1</v>
      </c>
      <c r="K273" s="323" t="s">
        <v>1973</v>
      </c>
      <c r="L273" s="371" t="e">
        <f t="shared" si="8"/>
        <v>#VALUE!</v>
      </c>
      <c r="M273" s="381"/>
    </row>
    <row r="274" spans="1:13" ht="13">
      <c r="A274" s="316" t="s">
        <v>782</v>
      </c>
      <c r="B274" s="316" t="s">
        <v>1973</v>
      </c>
      <c r="C274" s="316" t="s">
        <v>1973</v>
      </c>
      <c r="D274" s="316" t="s">
        <v>1973</v>
      </c>
      <c r="E274" s="317" t="s">
        <v>1973</v>
      </c>
      <c r="F274" s="318">
        <v>1</v>
      </c>
      <c r="G274" s="354" t="s">
        <v>62</v>
      </c>
      <c r="H274" s="320">
        <v>12000</v>
      </c>
      <c r="I274" s="393" t="b">
        <v>1</v>
      </c>
      <c r="J274" s="322">
        <v>1</v>
      </c>
      <c r="K274" s="323" t="s">
        <v>1973</v>
      </c>
      <c r="L274" s="371" t="e">
        <f t="shared" si="8"/>
        <v>#VALUE!</v>
      </c>
      <c r="M274" s="381"/>
    </row>
    <row r="275" spans="1:13" ht="13">
      <c r="A275" s="316" t="s">
        <v>1661</v>
      </c>
      <c r="B275" s="316" t="s">
        <v>1973</v>
      </c>
      <c r="C275" s="316" t="s">
        <v>1973</v>
      </c>
      <c r="D275" s="316" t="s">
        <v>1973</v>
      </c>
      <c r="E275" s="317" t="s">
        <v>1973</v>
      </c>
      <c r="F275" s="318">
        <v>1</v>
      </c>
      <c r="G275" s="354" t="s">
        <v>97</v>
      </c>
      <c r="H275" s="320">
        <v>14600</v>
      </c>
      <c r="I275" s="319" t="b">
        <v>0</v>
      </c>
      <c r="J275" s="372"/>
      <c r="K275" s="373" t="s">
        <v>1973</v>
      </c>
      <c r="L275" s="374" t="e">
        <f t="shared" si="8"/>
        <v>#VALUE!</v>
      </c>
      <c r="M275" s="325"/>
    </row>
    <row r="276" spans="1:13" ht="13">
      <c r="A276" s="316" t="s">
        <v>1670</v>
      </c>
      <c r="B276" s="316" t="s">
        <v>1973</v>
      </c>
      <c r="C276" s="316" t="s">
        <v>1973</v>
      </c>
      <c r="D276" s="316" t="s">
        <v>1973</v>
      </c>
      <c r="E276" s="317" t="s">
        <v>1973</v>
      </c>
      <c r="F276" s="318">
        <v>1</v>
      </c>
      <c r="G276" s="354" t="s">
        <v>62</v>
      </c>
      <c r="H276" s="320">
        <v>10350</v>
      </c>
      <c r="I276" s="395" t="b">
        <v>1</v>
      </c>
      <c r="J276" s="322">
        <v>1</v>
      </c>
      <c r="K276" s="323">
        <v>11500</v>
      </c>
      <c r="L276" s="379">
        <f t="shared" si="8"/>
        <v>11500</v>
      </c>
      <c r="M276" s="381" t="s">
        <v>1838</v>
      </c>
    </row>
    <row r="277" spans="1:13" ht="13">
      <c r="A277" s="316" t="s">
        <v>1607</v>
      </c>
      <c r="B277" s="316" t="s">
        <v>1973</v>
      </c>
      <c r="C277" s="316" t="s">
        <v>1973</v>
      </c>
      <c r="D277" s="316" t="s">
        <v>1973</v>
      </c>
      <c r="E277" s="317" t="s">
        <v>1973</v>
      </c>
      <c r="F277" s="318">
        <v>1</v>
      </c>
      <c r="G277" s="354" t="s">
        <v>62</v>
      </c>
      <c r="H277" s="320">
        <v>10050</v>
      </c>
      <c r="I277" s="395" t="b">
        <v>1</v>
      </c>
      <c r="J277" s="322">
        <v>1</v>
      </c>
      <c r="K277" s="323">
        <v>11500</v>
      </c>
      <c r="L277" s="379">
        <f t="shared" si="8"/>
        <v>11500</v>
      </c>
      <c r="M277" s="381" t="s">
        <v>1838</v>
      </c>
    </row>
    <row r="278" spans="1:13" ht="13">
      <c r="A278" s="316" t="s">
        <v>919</v>
      </c>
      <c r="B278" s="316" t="s">
        <v>1973</v>
      </c>
      <c r="C278" s="316" t="s">
        <v>1973</v>
      </c>
      <c r="D278" s="316" t="s">
        <v>1973</v>
      </c>
      <c r="E278" s="317" t="s">
        <v>1973</v>
      </c>
      <c r="F278" s="318">
        <v>1</v>
      </c>
      <c r="G278" s="354" t="s">
        <v>62</v>
      </c>
      <c r="H278" s="320">
        <v>9900</v>
      </c>
      <c r="I278" s="395" t="b">
        <v>1</v>
      </c>
      <c r="J278" s="322">
        <v>385</v>
      </c>
      <c r="K278" s="323">
        <v>28.5</v>
      </c>
      <c r="L278" s="379">
        <f t="shared" si="8"/>
        <v>10972.5</v>
      </c>
      <c r="M278" s="381"/>
    </row>
    <row r="279" spans="1:13" ht="13">
      <c r="A279" s="316" t="s">
        <v>937</v>
      </c>
      <c r="B279" s="316" t="s">
        <v>1973</v>
      </c>
      <c r="C279" s="316" t="s">
        <v>1973</v>
      </c>
      <c r="D279" s="316" t="s">
        <v>1973</v>
      </c>
      <c r="E279" s="317" t="s">
        <v>1973</v>
      </c>
      <c r="F279" s="318">
        <v>2</v>
      </c>
      <c r="G279" s="354" t="s">
        <v>62</v>
      </c>
      <c r="H279" s="320">
        <v>14400</v>
      </c>
      <c r="I279" s="393" t="b">
        <v>1</v>
      </c>
      <c r="J279" s="322">
        <v>2</v>
      </c>
      <c r="K279" s="323" t="s">
        <v>1973</v>
      </c>
      <c r="L279" s="371" t="e">
        <f t="shared" si="8"/>
        <v>#VALUE!</v>
      </c>
      <c r="M279" s="381"/>
    </row>
    <row r="280" spans="1:13" ht="13">
      <c r="A280" s="316" t="s">
        <v>851</v>
      </c>
      <c r="B280" s="316" t="s">
        <v>1973</v>
      </c>
      <c r="C280" s="316" t="s">
        <v>1973</v>
      </c>
      <c r="D280" s="316" t="s">
        <v>1973</v>
      </c>
      <c r="E280" s="317" t="s">
        <v>1973</v>
      </c>
      <c r="F280" s="318">
        <v>8</v>
      </c>
      <c r="G280" s="354" t="s">
        <v>143</v>
      </c>
      <c r="H280" s="320">
        <v>240000</v>
      </c>
      <c r="I280" s="319" t="b">
        <v>0</v>
      </c>
      <c r="J280" s="372"/>
      <c r="K280" s="373" t="s">
        <v>1973</v>
      </c>
      <c r="L280" s="374" t="e">
        <f t="shared" si="8"/>
        <v>#VALUE!</v>
      </c>
      <c r="M280" s="325"/>
    </row>
    <row r="281" spans="1:13" ht="13">
      <c r="A281" s="316" t="s">
        <v>574</v>
      </c>
      <c r="B281" s="316" t="s">
        <v>1973</v>
      </c>
      <c r="C281" s="316" t="s">
        <v>1973</v>
      </c>
      <c r="D281" s="316" t="s">
        <v>1973</v>
      </c>
      <c r="E281" s="317" t="s">
        <v>1973</v>
      </c>
      <c r="F281" s="318">
        <v>1</v>
      </c>
      <c r="G281" s="354" t="s">
        <v>62</v>
      </c>
      <c r="H281" s="320">
        <v>170000</v>
      </c>
      <c r="I281" s="319" t="b">
        <v>0</v>
      </c>
      <c r="J281" s="372"/>
      <c r="K281" s="373" t="s">
        <v>1973</v>
      </c>
      <c r="L281" s="374" t="e">
        <f t="shared" si="8"/>
        <v>#VALUE!</v>
      </c>
      <c r="M281" s="325"/>
    </row>
    <row r="282" spans="1:13" ht="13">
      <c r="A282" s="316" t="s">
        <v>578</v>
      </c>
      <c r="B282" s="316" t="s">
        <v>1973</v>
      </c>
      <c r="C282" s="316" t="s">
        <v>1973</v>
      </c>
      <c r="D282" s="316" t="s">
        <v>1973</v>
      </c>
      <c r="E282" s="317" t="s">
        <v>1973</v>
      </c>
      <c r="F282" s="318">
        <v>1</v>
      </c>
      <c r="G282" s="354" t="s">
        <v>62</v>
      </c>
      <c r="H282" s="320">
        <v>220000</v>
      </c>
      <c r="I282" s="319" t="b">
        <v>0</v>
      </c>
      <c r="J282" s="372"/>
      <c r="K282" s="373" t="s">
        <v>1973</v>
      </c>
      <c r="L282" s="374" t="e">
        <f t="shared" si="8"/>
        <v>#VALUE!</v>
      </c>
      <c r="M282" s="325"/>
    </row>
    <row r="283" spans="1:13" ht="13">
      <c r="A283" s="316" t="s">
        <v>958</v>
      </c>
      <c r="B283" s="316" t="s">
        <v>1973</v>
      </c>
      <c r="C283" s="316" t="s">
        <v>1973</v>
      </c>
      <c r="D283" s="316" t="s">
        <v>1973</v>
      </c>
      <c r="E283" s="317" t="s">
        <v>1973</v>
      </c>
      <c r="F283" s="318">
        <v>1</v>
      </c>
      <c r="G283" s="354" t="s">
        <v>97</v>
      </c>
      <c r="H283" s="320">
        <v>129000</v>
      </c>
      <c r="I283" s="319" t="b">
        <v>0</v>
      </c>
      <c r="J283" s="372"/>
      <c r="K283" s="373" t="s">
        <v>1973</v>
      </c>
      <c r="L283" s="374" t="e">
        <f t="shared" si="8"/>
        <v>#VALUE!</v>
      </c>
      <c r="M283" s="325"/>
    </row>
    <row r="284" spans="1:13" ht="13">
      <c r="A284" s="316" t="s">
        <v>967</v>
      </c>
      <c r="B284" s="316" t="s">
        <v>1973</v>
      </c>
      <c r="C284" s="316" t="s">
        <v>1973</v>
      </c>
      <c r="D284" s="316" t="s">
        <v>1973</v>
      </c>
      <c r="E284" s="317" t="s">
        <v>1973</v>
      </c>
      <c r="F284" s="318">
        <v>1</v>
      </c>
      <c r="G284" s="354" t="s">
        <v>97</v>
      </c>
      <c r="H284" s="320">
        <v>129000</v>
      </c>
      <c r="I284" s="319" t="b">
        <v>0</v>
      </c>
      <c r="J284" s="372"/>
      <c r="K284" s="373" t="s">
        <v>1973</v>
      </c>
      <c r="L284" s="374" t="e">
        <f t="shared" si="8"/>
        <v>#VALUE!</v>
      </c>
      <c r="M284" s="325"/>
    </row>
    <row r="285" spans="1:13" ht="13">
      <c r="A285" s="316" t="s">
        <v>1503</v>
      </c>
      <c r="B285" s="316" t="s">
        <v>1973</v>
      </c>
      <c r="C285" s="316" t="s">
        <v>1973</v>
      </c>
      <c r="D285" s="316" t="s">
        <v>1973</v>
      </c>
      <c r="E285" s="317" t="s">
        <v>1973</v>
      </c>
      <c r="F285" s="318">
        <v>1</v>
      </c>
      <c r="G285" s="354" t="s">
        <v>97</v>
      </c>
      <c r="H285" s="320">
        <v>128700</v>
      </c>
      <c r="I285" s="319" t="b">
        <v>0</v>
      </c>
      <c r="J285" s="372"/>
      <c r="K285" s="373" t="s">
        <v>1973</v>
      </c>
      <c r="L285" s="374" t="e">
        <f t="shared" si="8"/>
        <v>#VALUE!</v>
      </c>
      <c r="M285" s="325"/>
    </row>
    <row r="286" spans="1:13" ht="13">
      <c r="A286" s="316" t="s">
        <v>1504</v>
      </c>
      <c r="B286" s="316" t="s">
        <v>1973</v>
      </c>
      <c r="C286" s="316" t="s">
        <v>1973</v>
      </c>
      <c r="D286" s="316" t="s">
        <v>1973</v>
      </c>
      <c r="E286" s="317" t="s">
        <v>1973</v>
      </c>
      <c r="F286" s="318">
        <v>1</v>
      </c>
      <c r="G286" s="354" t="s">
        <v>97</v>
      </c>
      <c r="H286" s="320">
        <v>128700</v>
      </c>
      <c r="I286" s="319" t="b">
        <v>0</v>
      </c>
      <c r="J286" s="372"/>
      <c r="K286" s="373" t="s">
        <v>1973</v>
      </c>
      <c r="L286" s="374" t="e">
        <f t="shared" si="8"/>
        <v>#VALUE!</v>
      </c>
      <c r="M286" s="325"/>
    </row>
    <row r="287" spans="1:13" ht="13">
      <c r="A287" s="316" t="s">
        <v>1505</v>
      </c>
      <c r="B287" s="316" t="s">
        <v>1973</v>
      </c>
      <c r="C287" s="316" t="s">
        <v>1973</v>
      </c>
      <c r="D287" s="316" t="s">
        <v>1973</v>
      </c>
      <c r="E287" s="317" t="s">
        <v>1973</v>
      </c>
      <c r="F287" s="318">
        <v>2</v>
      </c>
      <c r="G287" s="354" t="s">
        <v>97</v>
      </c>
      <c r="H287" s="320">
        <v>257400</v>
      </c>
      <c r="I287" s="319" t="b">
        <v>0</v>
      </c>
      <c r="J287" s="372"/>
      <c r="K287" s="373" t="s">
        <v>1973</v>
      </c>
      <c r="L287" s="374" t="e">
        <f t="shared" si="8"/>
        <v>#VALUE!</v>
      </c>
      <c r="M287" s="325"/>
    </row>
    <row r="288" spans="1:13" ht="13">
      <c r="A288" s="316" t="s">
        <v>1506</v>
      </c>
      <c r="B288" s="316" t="s">
        <v>1973</v>
      </c>
      <c r="C288" s="316" t="s">
        <v>1973</v>
      </c>
      <c r="D288" s="316" t="s">
        <v>1973</v>
      </c>
      <c r="E288" s="317" t="s">
        <v>1973</v>
      </c>
      <c r="F288" s="318">
        <v>2</v>
      </c>
      <c r="G288" s="354" t="s">
        <v>97</v>
      </c>
      <c r="H288" s="320">
        <v>257400</v>
      </c>
      <c r="I288" s="319" t="b">
        <v>0</v>
      </c>
      <c r="J288" s="372"/>
      <c r="K288" s="373" t="s">
        <v>1973</v>
      </c>
      <c r="L288" s="374" t="e">
        <f t="shared" si="8"/>
        <v>#VALUE!</v>
      </c>
      <c r="M288" s="325"/>
    </row>
    <row r="289" spans="1:13" ht="13">
      <c r="A289" s="316" t="s">
        <v>976</v>
      </c>
      <c r="B289" s="316" t="s">
        <v>1973</v>
      </c>
      <c r="C289" s="316" t="s">
        <v>1973</v>
      </c>
      <c r="D289" s="316" t="s">
        <v>1973</v>
      </c>
      <c r="E289" s="317" t="s">
        <v>1973</v>
      </c>
      <c r="F289" s="318">
        <v>1</v>
      </c>
      <c r="G289" s="354" t="s">
        <v>62</v>
      </c>
      <c r="H289" s="320">
        <v>25000</v>
      </c>
      <c r="I289" s="319" t="b">
        <v>0</v>
      </c>
      <c r="J289" s="372"/>
      <c r="K289" s="373" t="s">
        <v>1973</v>
      </c>
      <c r="L289" s="374" t="e">
        <f t="shared" si="8"/>
        <v>#VALUE!</v>
      </c>
      <c r="M289" s="325"/>
    </row>
    <row r="290" spans="1:13" ht="13">
      <c r="A290" s="316" t="s">
        <v>1696</v>
      </c>
      <c r="B290" s="316" t="s">
        <v>1973</v>
      </c>
      <c r="C290" s="316" t="s">
        <v>1973</v>
      </c>
      <c r="D290" s="316" t="s">
        <v>1973</v>
      </c>
      <c r="E290" s="317" t="s">
        <v>1973</v>
      </c>
      <c r="F290" s="318">
        <v>1</v>
      </c>
      <c r="G290" s="354" t="s">
        <v>62</v>
      </c>
      <c r="H290" s="320">
        <v>15000</v>
      </c>
      <c r="I290" s="319" t="b">
        <v>0</v>
      </c>
      <c r="J290" s="372"/>
      <c r="K290" s="373" t="s">
        <v>1973</v>
      </c>
      <c r="L290" s="374" t="e">
        <f t="shared" si="8"/>
        <v>#VALUE!</v>
      </c>
      <c r="M290" s="325"/>
    </row>
    <row r="291" spans="1:13" ht="13">
      <c r="A291" s="316" t="s">
        <v>1030</v>
      </c>
      <c r="B291" s="316" t="s">
        <v>1973</v>
      </c>
      <c r="C291" s="316" t="s">
        <v>1973</v>
      </c>
      <c r="D291" s="316" t="s">
        <v>1973</v>
      </c>
      <c r="E291" s="317" t="s">
        <v>1973</v>
      </c>
      <c r="F291" s="318">
        <v>1</v>
      </c>
      <c r="G291" s="354" t="s">
        <v>62</v>
      </c>
      <c r="H291" s="320">
        <v>19000</v>
      </c>
      <c r="I291" s="319" t="b">
        <v>0</v>
      </c>
      <c r="J291" s="372"/>
      <c r="K291" s="373" t="s">
        <v>1973</v>
      </c>
      <c r="L291" s="374" t="e">
        <f t="shared" si="8"/>
        <v>#VALUE!</v>
      </c>
      <c r="M291" s="325"/>
    </row>
    <row r="292" spans="1:13" ht="13">
      <c r="A292" s="316" t="s">
        <v>1033</v>
      </c>
      <c r="B292" s="316" t="s">
        <v>1973</v>
      </c>
      <c r="C292" s="316" t="s">
        <v>1973</v>
      </c>
      <c r="D292" s="316" t="s">
        <v>1973</v>
      </c>
      <c r="E292" s="317" t="s">
        <v>1973</v>
      </c>
      <c r="F292" s="318">
        <v>1</v>
      </c>
      <c r="G292" s="354" t="s">
        <v>62</v>
      </c>
      <c r="H292" s="320">
        <v>19000</v>
      </c>
      <c r="I292" s="319" t="b">
        <v>0</v>
      </c>
      <c r="J292" s="372"/>
      <c r="K292" s="373" t="s">
        <v>1973</v>
      </c>
      <c r="L292" s="374" t="e">
        <f t="shared" si="8"/>
        <v>#VALUE!</v>
      </c>
      <c r="M292" s="325"/>
    </row>
    <row r="293" spans="1:13" ht="13">
      <c r="A293" s="316" t="s">
        <v>631</v>
      </c>
      <c r="B293" s="316" t="s">
        <v>1973</v>
      </c>
      <c r="C293" s="316" t="s">
        <v>1973</v>
      </c>
      <c r="D293" s="316" t="s">
        <v>1973</v>
      </c>
      <c r="E293" s="317" t="s">
        <v>1973</v>
      </c>
      <c r="F293" s="318">
        <v>0.5</v>
      </c>
      <c r="G293" s="354" t="s">
        <v>36</v>
      </c>
      <c r="H293" s="320">
        <v>8000</v>
      </c>
      <c r="I293" s="393" t="b">
        <v>1</v>
      </c>
      <c r="J293" s="322">
        <v>0.5</v>
      </c>
      <c r="K293" s="323" t="s">
        <v>1973</v>
      </c>
      <c r="L293" s="371" t="e">
        <f t="shared" si="8"/>
        <v>#VALUE!</v>
      </c>
      <c r="M293" s="381"/>
    </row>
    <row r="294" spans="1:13" ht="13">
      <c r="A294" s="316" t="s">
        <v>639</v>
      </c>
      <c r="B294" s="316" t="s">
        <v>1973</v>
      </c>
      <c r="C294" s="316" t="s">
        <v>1973</v>
      </c>
      <c r="D294" s="316" t="s">
        <v>1973</v>
      </c>
      <c r="E294" s="317" t="s">
        <v>1973</v>
      </c>
      <c r="F294" s="318">
        <v>0.5</v>
      </c>
      <c r="G294" s="354" t="s">
        <v>36</v>
      </c>
      <c r="H294" s="320">
        <v>62500</v>
      </c>
      <c r="I294" s="395" t="b">
        <v>1</v>
      </c>
      <c r="J294" s="322">
        <v>0.5</v>
      </c>
      <c r="K294" s="323">
        <v>130000</v>
      </c>
      <c r="L294" s="379">
        <f t="shared" si="8"/>
        <v>65000</v>
      </c>
      <c r="M294" s="381" t="s">
        <v>1839</v>
      </c>
    </row>
    <row r="295" spans="1:13" ht="13">
      <c r="A295" s="316" t="s">
        <v>1610</v>
      </c>
      <c r="B295" s="316" t="s">
        <v>1973</v>
      </c>
      <c r="C295" s="316" t="s">
        <v>1973</v>
      </c>
      <c r="D295" s="316" t="s">
        <v>1973</v>
      </c>
      <c r="E295" s="317" t="s">
        <v>1973</v>
      </c>
      <c r="F295" s="318">
        <v>1</v>
      </c>
      <c r="G295" s="354" t="s">
        <v>36</v>
      </c>
      <c r="H295" s="320">
        <v>8000</v>
      </c>
      <c r="I295" s="395" t="b">
        <v>1</v>
      </c>
      <c r="J295" s="322">
        <v>2</v>
      </c>
      <c r="K295" s="323">
        <v>9500</v>
      </c>
      <c r="L295" s="379">
        <f t="shared" si="8"/>
        <v>19000</v>
      </c>
      <c r="M295" s="381" t="s">
        <v>1840</v>
      </c>
    </row>
    <row r="296" spans="1:13" ht="13">
      <c r="A296" s="316" t="s">
        <v>1611</v>
      </c>
      <c r="B296" s="316" t="s">
        <v>1973</v>
      </c>
      <c r="C296" s="316" t="s">
        <v>1973</v>
      </c>
      <c r="D296" s="316" t="s">
        <v>1973</v>
      </c>
      <c r="E296" s="317" t="s">
        <v>1973</v>
      </c>
      <c r="F296" s="318">
        <v>2</v>
      </c>
      <c r="G296" s="354" t="s">
        <v>36</v>
      </c>
      <c r="H296" s="320">
        <v>96000</v>
      </c>
      <c r="I296" s="393" t="b">
        <v>1</v>
      </c>
      <c r="J296" s="322">
        <v>2</v>
      </c>
      <c r="K296" s="323" t="e">
        <f>VLOOKUP($A296,'[1]Database Bahan &amp; Alat (Terupdat'!$B$50:$N$232,6,FALSE)</f>
        <v>#N/A</v>
      </c>
      <c r="L296" s="371" t="e">
        <f t="shared" si="8"/>
        <v>#N/A</v>
      </c>
      <c r="M296" s="381"/>
    </row>
    <row r="297" spans="1:13" ht="13">
      <c r="A297" s="316" t="s">
        <v>1612</v>
      </c>
      <c r="B297" s="316" t="s">
        <v>1973</v>
      </c>
      <c r="C297" s="316" t="s">
        <v>1973</v>
      </c>
      <c r="D297" s="316" t="s">
        <v>1973</v>
      </c>
      <c r="E297" s="317" t="s">
        <v>1973</v>
      </c>
      <c r="F297" s="318">
        <v>5</v>
      </c>
      <c r="G297" s="354" t="s">
        <v>36</v>
      </c>
      <c r="H297" s="320">
        <v>150000</v>
      </c>
      <c r="I297" s="395" t="b">
        <v>1</v>
      </c>
      <c r="J297" s="322">
        <v>6</v>
      </c>
      <c r="K297" s="323">
        <v>26000</v>
      </c>
      <c r="L297" s="370">
        <f t="shared" si="8"/>
        <v>156000</v>
      </c>
      <c r="M297" s="381"/>
    </row>
    <row r="298" spans="1:13" ht="13">
      <c r="A298" s="316" t="s">
        <v>1699</v>
      </c>
      <c r="B298" s="316" t="s">
        <v>1973</v>
      </c>
      <c r="C298" s="316" t="s">
        <v>1973</v>
      </c>
      <c r="D298" s="316" t="s">
        <v>1973</v>
      </c>
      <c r="E298" s="317" t="s">
        <v>1973</v>
      </c>
      <c r="F298" s="318">
        <v>0.5</v>
      </c>
      <c r="G298" s="354" t="s">
        <v>36</v>
      </c>
      <c r="H298" s="320">
        <v>34000</v>
      </c>
      <c r="I298" s="395" t="b">
        <v>1</v>
      </c>
      <c r="J298" s="322">
        <v>0.5</v>
      </c>
      <c r="K298" s="323">
        <v>70000</v>
      </c>
      <c r="L298" s="370">
        <f t="shared" si="8"/>
        <v>35000</v>
      </c>
      <c r="M298" s="381" t="s">
        <v>1841</v>
      </c>
    </row>
    <row r="299" spans="1:13" ht="13">
      <c r="A299" s="316" t="s">
        <v>675</v>
      </c>
      <c r="B299" s="316" t="s">
        <v>1973</v>
      </c>
      <c r="C299" s="316" t="s">
        <v>1973</v>
      </c>
      <c r="D299" s="316" t="s">
        <v>1973</v>
      </c>
      <c r="E299" s="317" t="s">
        <v>1973</v>
      </c>
      <c r="F299" s="318">
        <v>20</v>
      </c>
      <c r="G299" s="354" t="s">
        <v>62</v>
      </c>
      <c r="H299" s="320">
        <v>70000</v>
      </c>
      <c r="I299" s="395" t="b">
        <v>1</v>
      </c>
      <c r="J299" s="322">
        <v>20</v>
      </c>
      <c r="K299" s="323">
        <v>4000</v>
      </c>
      <c r="L299" s="379">
        <f t="shared" si="8"/>
        <v>80000</v>
      </c>
      <c r="M299" s="381" t="s">
        <v>1842</v>
      </c>
    </row>
    <row r="300" spans="1:13" ht="13">
      <c r="A300" s="316" t="s">
        <v>732</v>
      </c>
      <c r="B300" s="316" t="s">
        <v>1973</v>
      </c>
      <c r="C300" s="316" t="s">
        <v>1973</v>
      </c>
      <c r="D300" s="316" t="s">
        <v>1973</v>
      </c>
      <c r="E300" s="317" t="s">
        <v>1973</v>
      </c>
      <c r="F300" s="318">
        <v>1.5</v>
      </c>
      <c r="G300" s="354" t="s">
        <v>36</v>
      </c>
      <c r="H300" s="320">
        <v>33000</v>
      </c>
      <c r="I300" s="395" t="b">
        <v>1</v>
      </c>
      <c r="J300" s="322">
        <v>1.5</v>
      </c>
      <c r="K300" s="323">
        <v>26000</v>
      </c>
      <c r="L300" s="379">
        <f t="shared" si="8"/>
        <v>39000</v>
      </c>
      <c r="M300" s="381" t="s">
        <v>1843</v>
      </c>
    </row>
    <row r="301" spans="1:13" ht="13">
      <c r="A301" s="316" t="s">
        <v>744</v>
      </c>
      <c r="B301" s="316" t="s">
        <v>1973</v>
      </c>
      <c r="C301" s="316" t="s">
        <v>1973</v>
      </c>
      <c r="D301" s="316" t="s">
        <v>1973</v>
      </c>
      <c r="E301" s="317" t="s">
        <v>1973</v>
      </c>
      <c r="F301" s="318">
        <v>1</v>
      </c>
      <c r="G301" s="354" t="s">
        <v>36</v>
      </c>
      <c r="H301" s="320">
        <v>54000</v>
      </c>
      <c r="I301" s="395" t="b">
        <v>1</v>
      </c>
      <c r="J301" s="322">
        <v>1</v>
      </c>
      <c r="K301" s="323">
        <v>60000</v>
      </c>
      <c r="L301" s="379">
        <f t="shared" si="8"/>
        <v>60000</v>
      </c>
      <c r="M301" s="381" t="s">
        <v>1843</v>
      </c>
    </row>
    <row r="302" spans="1:13" ht="13">
      <c r="A302" s="316" t="s">
        <v>752</v>
      </c>
      <c r="B302" s="316" t="s">
        <v>1973</v>
      </c>
      <c r="C302" s="316" t="s">
        <v>1973</v>
      </c>
      <c r="D302" s="316" t="s">
        <v>1973</v>
      </c>
      <c r="E302" s="317" t="s">
        <v>1973</v>
      </c>
      <c r="F302" s="318">
        <v>1</v>
      </c>
      <c r="G302" s="354" t="s">
        <v>62</v>
      </c>
      <c r="H302" s="320">
        <v>36000</v>
      </c>
      <c r="I302" s="319" t="b">
        <v>0</v>
      </c>
      <c r="J302" s="372"/>
      <c r="K302" s="373" t="e">
        <f>VLOOKUP($A302,'[1]Database Bahan &amp; Alat (Terupdat'!$B$50:$N$232,6,FALSE)</f>
        <v>#N/A</v>
      </c>
      <c r="L302" s="374" t="e">
        <f t="shared" si="8"/>
        <v>#N/A</v>
      </c>
      <c r="M302" s="325"/>
    </row>
    <row r="303" spans="1:13" ht="13">
      <c r="A303" s="316" t="s">
        <v>764</v>
      </c>
      <c r="B303" s="316" t="s">
        <v>1973</v>
      </c>
      <c r="C303" s="316" t="s">
        <v>1973</v>
      </c>
      <c r="D303" s="316" t="s">
        <v>1973</v>
      </c>
      <c r="E303" s="317" t="s">
        <v>1973</v>
      </c>
      <c r="F303" s="318">
        <v>1</v>
      </c>
      <c r="G303" s="354" t="s">
        <v>62</v>
      </c>
      <c r="H303" s="320">
        <v>2500</v>
      </c>
      <c r="I303" s="395" t="b">
        <v>1</v>
      </c>
      <c r="J303" s="322">
        <v>1</v>
      </c>
      <c r="K303" s="323">
        <v>2000</v>
      </c>
      <c r="L303" s="380">
        <f t="shared" si="8"/>
        <v>2000</v>
      </c>
      <c r="M303" s="381" t="s">
        <v>1844</v>
      </c>
    </row>
    <row r="304" spans="1:13" ht="13">
      <c r="A304" s="316" t="s">
        <v>767</v>
      </c>
      <c r="B304" s="316" t="s">
        <v>1973</v>
      </c>
      <c r="C304" s="316" t="s">
        <v>1973</v>
      </c>
      <c r="D304" s="316" t="s">
        <v>1973</v>
      </c>
      <c r="E304" s="317" t="s">
        <v>1973</v>
      </c>
      <c r="F304" s="318">
        <v>3</v>
      </c>
      <c r="G304" s="354" t="s">
        <v>62</v>
      </c>
      <c r="H304" s="320">
        <v>60000</v>
      </c>
      <c r="I304" s="393" t="b">
        <v>1</v>
      </c>
      <c r="J304" s="322">
        <v>3</v>
      </c>
      <c r="K304" s="323" t="s">
        <v>1973</v>
      </c>
      <c r="L304" s="371" t="e">
        <f t="shared" si="8"/>
        <v>#VALUE!</v>
      </c>
      <c r="M304" s="381"/>
    </row>
    <row r="305" spans="1:13" ht="13">
      <c r="A305" s="316" t="s">
        <v>1700</v>
      </c>
      <c r="B305" s="316" t="s">
        <v>1973</v>
      </c>
      <c r="C305" s="316" t="s">
        <v>1973</v>
      </c>
      <c r="D305" s="316" t="s">
        <v>1973</v>
      </c>
      <c r="E305" s="317" t="s">
        <v>1973</v>
      </c>
      <c r="F305" s="318">
        <v>8</v>
      </c>
      <c r="G305" s="354" t="s">
        <v>62</v>
      </c>
      <c r="H305" s="320">
        <v>120000</v>
      </c>
      <c r="I305" s="393" t="b">
        <v>1</v>
      </c>
      <c r="J305" s="322">
        <v>8</v>
      </c>
      <c r="K305" s="323" t="s">
        <v>1973</v>
      </c>
      <c r="L305" s="371" t="e">
        <f t="shared" si="8"/>
        <v>#VALUE!</v>
      </c>
      <c r="M305" s="381"/>
    </row>
    <row r="306" spans="1:13" ht="13">
      <c r="A306" s="316" t="s">
        <v>819</v>
      </c>
      <c r="B306" s="316" t="s">
        <v>1973</v>
      </c>
      <c r="C306" s="316" t="s">
        <v>1973</v>
      </c>
      <c r="D306" s="316" t="s">
        <v>1973</v>
      </c>
      <c r="E306" s="317" t="s">
        <v>1973</v>
      </c>
      <c r="F306" s="318">
        <v>0.1</v>
      </c>
      <c r="G306" s="354" t="s">
        <v>36</v>
      </c>
      <c r="H306" s="320">
        <v>2000</v>
      </c>
      <c r="I306" s="395" t="b">
        <v>1</v>
      </c>
      <c r="J306" s="322">
        <v>0.25</v>
      </c>
      <c r="K306" s="323">
        <v>16000</v>
      </c>
      <c r="L306" s="379">
        <f t="shared" si="8"/>
        <v>4000</v>
      </c>
      <c r="M306" s="381" t="s">
        <v>1845</v>
      </c>
    </row>
    <row r="307" spans="1:13" ht="13">
      <c r="A307" s="316" t="s">
        <v>823</v>
      </c>
      <c r="B307" s="316" t="s">
        <v>1973</v>
      </c>
      <c r="C307" s="316" t="s">
        <v>1973</v>
      </c>
      <c r="D307" s="316" t="s">
        <v>1973</v>
      </c>
      <c r="E307" s="317" t="s">
        <v>1973</v>
      </c>
      <c r="F307" s="318">
        <v>1</v>
      </c>
      <c r="G307" s="354" t="s">
        <v>97</v>
      </c>
      <c r="H307" s="320">
        <v>15000</v>
      </c>
      <c r="I307" s="319" t="b">
        <v>0</v>
      </c>
      <c r="J307" s="372"/>
      <c r="K307" s="373" t="e">
        <f>VLOOKUP($A307,'[1]Database Bahan &amp; Alat (Terupdat'!$B$50:$N$232,6,FALSE)</f>
        <v>#N/A</v>
      </c>
      <c r="L307" s="374" t="e">
        <f t="shared" si="8"/>
        <v>#N/A</v>
      </c>
      <c r="M307" s="325"/>
    </row>
    <row r="308" spans="1:13" ht="13">
      <c r="A308" s="316" t="s">
        <v>827</v>
      </c>
      <c r="B308" s="316" t="s">
        <v>1973</v>
      </c>
      <c r="C308" s="316" t="s">
        <v>1973</v>
      </c>
      <c r="D308" s="316" t="s">
        <v>1973</v>
      </c>
      <c r="E308" s="317" t="s">
        <v>1973</v>
      </c>
      <c r="F308" s="318">
        <v>0.5</v>
      </c>
      <c r="G308" s="354" t="s">
        <v>36</v>
      </c>
      <c r="H308" s="320">
        <v>4000</v>
      </c>
      <c r="I308" s="395" t="b">
        <v>1</v>
      </c>
      <c r="J308" s="322">
        <v>0.5</v>
      </c>
      <c r="K308" s="323">
        <v>7000</v>
      </c>
      <c r="L308" s="380">
        <f t="shared" si="8"/>
        <v>3500</v>
      </c>
      <c r="M308" s="381" t="s">
        <v>1844</v>
      </c>
    </row>
    <row r="309" spans="1:13" ht="13">
      <c r="A309" s="316" t="s">
        <v>1701</v>
      </c>
      <c r="B309" s="316" t="s">
        <v>1973</v>
      </c>
      <c r="C309" s="316" t="s">
        <v>1973</v>
      </c>
      <c r="D309" s="316" t="s">
        <v>1973</v>
      </c>
      <c r="E309" s="317" t="s">
        <v>1973</v>
      </c>
      <c r="F309" s="318">
        <v>1</v>
      </c>
      <c r="G309" s="354" t="s">
        <v>36</v>
      </c>
      <c r="H309" s="320">
        <v>18000</v>
      </c>
      <c r="I309" s="393" t="b">
        <v>1</v>
      </c>
      <c r="J309" s="322">
        <v>1</v>
      </c>
      <c r="K309" s="323" t="e">
        <f>VLOOKUP($A309,'[1]Database Bahan &amp; Alat (Terupdat'!$B$50:$N$232,6,FALSE)</f>
        <v>#N/A</v>
      </c>
      <c r="L309" s="371" t="e">
        <f t="shared" si="8"/>
        <v>#N/A</v>
      </c>
      <c r="M309" s="381"/>
    </row>
    <row r="310" spans="1:13" ht="13">
      <c r="A310" s="316" t="s">
        <v>1614</v>
      </c>
      <c r="B310" s="316" t="s">
        <v>1973</v>
      </c>
      <c r="C310" s="316" t="s">
        <v>1973</v>
      </c>
      <c r="D310" s="316" t="s">
        <v>1973</v>
      </c>
      <c r="E310" s="317" t="s">
        <v>1973</v>
      </c>
      <c r="F310" s="318">
        <v>0.3</v>
      </c>
      <c r="G310" s="354" t="s">
        <v>36</v>
      </c>
      <c r="H310" s="320">
        <v>38400</v>
      </c>
      <c r="I310" s="395" t="b">
        <v>1</v>
      </c>
      <c r="J310" s="322">
        <v>0.3</v>
      </c>
      <c r="K310" s="323">
        <v>135000</v>
      </c>
      <c r="L310" s="379">
        <f t="shared" si="8"/>
        <v>40500</v>
      </c>
      <c r="M310" s="381" t="s">
        <v>1846</v>
      </c>
    </row>
    <row r="311" spans="1:13" ht="13">
      <c r="A311" s="316" t="s">
        <v>1709</v>
      </c>
      <c r="B311" s="316" t="s">
        <v>1973</v>
      </c>
      <c r="C311" s="316" t="s">
        <v>1973</v>
      </c>
      <c r="D311" s="316" t="s">
        <v>1973</v>
      </c>
      <c r="E311" s="317" t="s">
        <v>1973</v>
      </c>
      <c r="F311" s="318">
        <v>1</v>
      </c>
      <c r="G311" s="354" t="s">
        <v>62</v>
      </c>
      <c r="H311" s="320">
        <v>2500</v>
      </c>
      <c r="I311" s="319" t="b">
        <v>0</v>
      </c>
      <c r="J311" s="372"/>
      <c r="K311" s="373" t="e">
        <f>VLOOKUP($A311,'[1]Database Bahan &amp; Alat (Terupdat'!$B$50:$N$232,6,FALSE)</f>
        <v>#N/A</v>
      </c>
      <c r="L311" s="374" t="e">
        <f t="shared" si="8"/>
        <v>#N/A</v>
      </c>
      <c r="M311" s="325"/>
    </row>
    <row r="312" spans="1:13" ht="13">
      <c r="A312" s="316" t="s">
        <v>1608</v>
      </c>
      <c r="B312" s="316" t="s">
        <v>1973</v>
      </c>
      <c r="C312" s="316" t="s">
        <v>1973</v>
      </c>
      <c r="D312" s="316" t="s">
        <v>1973</v>
      </c>
      <c r="E312" s="317" t="s">
        <v>1973</v>
      </c>
      <c r="F312" s="318">
        <v>1</v>
      </c>
      <c r="G312" s="354" t="s">
        <v>36</v>
      </c>
      <c r="H312" s="320">
        <v>34000</v>
      </c>
      <c r="I312" s="395" t="b">
        <v>1</v>
      </c>
      <c r="J312" s="322">
        <v>510</v>
      </c>
      <c r="K312" s="323">
        <v>19.899999999999999</v>
      </c>
      <c r="L312" s="379">
        <f t="shared" si="8"/>
        <v>10149</v>
      </c>
      <c r="M312" s="381" t="s">
        <v>1847</v>
      </c>
    </row>
    <row r="313" spans="1:13" ht="13">
      <c r="A313" s="316" t="s">
        <v>987</v>
      </c>
      <c r="B313" s="316" t="s">
        <v>1973</v>
      </c>
      <c r="C313" s="316" t="s">
        <v>1973</v>
      </c>
      <c r="D313" s="316" t="s">
        <v>1973</v>
      </c>
      <c r="E313" s="317" t="s">
        <v>1973</v>
      </c>
      <c r="F313" s="318">
        <v>1</v>
      </c>
      <c r="G313" s="354" t="s">
        <v>62</v>
      </c>
      <c r="H313" s="320">
        <v>17000</v>
      </c>
      <c r="I313" s="393" t="b">
        <v>1</v>
      </c>
      <c r="J313" s="322">
        <v>1</v>
      </c>
      <c r="K313" s="323" t="s">
        <v>1973</v>
      </c>
      <c r="L313" s="371" t="e">
        <f t="shared" si="8"/>
        <v>#VALUE!</v>
      </c>
      <c r="M313" s="381"/>
    </row>
    <row r="314" spans="1:13" ht="13">
      <c r="A314" s="316" t="s">
        <v>989</v>
      </c>
      <c r="B314" s="316" t="s">
        <v>1973</v>
      </c>
      <c r="C314" s="316" t="s">
        <v>1973</v>
      </c>
      <c r="D314" s="316" t="s">
        <v>1973</v>
      </c>
      <c r="E314" s="317" t="s">
        <v>1973</v>
      </c>
      <c r="F314" s="318">
        <v>3</v>
      </c>
      <c r="G314" s="354" t="s">
        <v>62</v>
      </c>
      <c r="H314" s="320">
        <v>48000</v>
      </c>
      <c r="I314" s="393" t="b">
        <v>1</v>
      </c>
      <c r="J314" s="322">
        <v>3</v>
      </c>
      <c r="K314" s="323" t="s">
        <v>1973</v>
      </c>
      <c r="L314" s="371" t="e">
        <f t="shared" si="8"/>
        <v>#VALUE!</v>
      </c>
      <c r="M314" s="381"/>
    </row>
    <row r="315" spans="1:13" ht="13">
      <c r="A315" s="316" t="s">
        <v>1600</v>
      </c>
      <c r="B315" s="316" t="s">
        <v>1973</v>
      </c>
      <c r="C315" s="316" t="s">
        <v>1973</v>
      </c>
      <c r="D315" s="316" t="s">
        <v>1973</v>
      </c>
      <c r="E315" s="317" t="s">
        <v>1973</v>
      </c>
      <c r="F315" s="318">
        <v>1</v>
      </c>
      <c r="G315" s="354" t="s">
        <v>36</v>
      </c>
      <c r="H315" s="320">
        <v>8000</v>
      </c>
      <c r="I315" s="393" t="b">
        <v>1</v>
      </c>
      <c r="J315" s="322">
        <v>1</v>
      </c>
      <c r="K315" s="323" t="s">
        <v>1973</v>
      </c>
      <c r="L315" s="371" t="e">
        <f t="shared" si="8"/>
        <v>#VALUE!</v>
      </c>
      <c r="M315" s="381"/>
    </row>
    <row r="316" spans="1:13" ht="13">
      <c r="A316" s="316" t="s">
        <v>562</v>
      </c>
      <c r="B316" s="316" t="s">
        <v>1973</v>
      </c>
      <c r="C316" s="316" t="s">
        <v>1973</v>
      </c>
      <c r="D316" s="316" t="s">
        <v>1973</v>
      </c>
      <c r="E316" s="317" t="s">
        <v>1973</v>
      </c>
      <c r="F316" s="318">
        <v>1</v>
      </c>
      <c r="G316" s="354" t="s">
        <v>97</v>
      </c>
      <c r="H316" s="320">
        <v>195000</v>
      </c>
      <c r="I316" s="319" t="b">
        <v>0</v>
      </c>
      <c r="J316" s="372"/>
      <c r="K316" s="373" t="s">
        <v>1973</v>
      </c>
      <c r="L316" s="374" t="e">
        <f t="shared" si="8"/>
        <v>#VALUE!</v>
      </c>
      <c r="M316" s="325"/>
    </row>
    <row r="317" spans="1:13" ht="13">
      <c r="A317" s="316" t="s">
        <v>961</v>
      </c>
      <c r="B317" s="316" t="s">
        <v>1973</v>
      </c>
      <c r="C317" s="316" t="s">
        <v>1973</v>
      </c>
      <c r="D317" s="316" t="s">
        <v>1973</v>
      </c>
      <c r="E317" s="317" t="s">
        <v>1973</v>
      </c>
      <c r="F317" s="318">
        <v>1</v>
      </c>
      <c r="G317" s="354" t="s">
        <v>97</v>
      </c>
      <c r="H317" s="320">
        <v>77273</v>
      </c>
      <c r="I317" s="319" t="b">
        <v>0</v>
      </c>
      <c r="J317" s="372"/>
      <c r="K317" s="373" t="s">
        <v>1973</v>
      </c>
      <c r="L317" s="374" t="e">
        <f t="shared" si="8"/>
        <v>#VALUE!</v>
      </c>
      <c r="M317" s="325"/>
    </row>
    <row r="318" spans="1:13" ht="13">
      <c r="A318" s="316" t="s">
        <v>1703</v>
      </c>
      <c r="B318" s="316" t="s">
        <v>1973</v>
      </c>
      <c r="C318" s="316" t="s">
        <v>1973</v>
      </c>
      <c r="D318" s="316" t="s">
        <v>1973</v>
      </c>
      <c r="E318" s="317" t="s">
        <v>1973</v>
      </c>
      <c r="F318" s="318">
        <v>3</v>
      </c>
      <c r="G318" s="354" t="s">
        <v>62</v>
      </c>
      <c r="H318" s="320">
        <v>67221</v>
      </c>
      <c r="I318" s="395" t="b">
        <v>1</v>
      </c>
      <c r="J318" s="322">
        <v>3</v>
      </c>
      <c r="K318" s="323">
        <v>22000</v>
      </c>
      <c r="L318" s="380">
        <f t="shared" si="8"/>
        <v>66000</v>
      </c>
      <c r="M318" s="381" t="s">
        <v>1848</v>
      </c>
    </row>
    <row r="319" spans="1:13" ht="13">
      <c r="A319" s="316" t="s">
        <v>952</v>
      </c>
      <c r="B319" s="316" t="s">
        <v>1973</v>
      </c>
      <c r="C319" s="316" t="s">
        <v>1973</v>
      </c>
      <c r="D319" s="316" t="s">
        <v>1973</v>
      </c>
      <c r="E319" s="317" t="s">
        <v>1973</v>
      </c>
      <c r="F319" s="318">
        <v>1</v>
      </c>
      <c r="G319" s="354" t="s">
        <v>97</v>
      </c>
      <c r="H319" s="320">
        <v>27300</v>
      </c>
      <c r="I319" s="395" t="b">
        <v>1</v>
      </c>
      <c r="J319" s="322">
        <v>1</v>
      </c>
      <c r="K319" s="323">
        <v>23200</v>
      </c>
      <c r="L319" s="379">
        <f t="shared" si="8"/>
        <v>23200</v>
      </c>
      <c r="M319" s="381" t="s">
        <v>1849</v>
      </c>
    </row>
    <row r="320" spans="1:13" ht="13">
      <c r="A320" s="316" t="s">
        <v>1751</v>
      </c>
      <c r="B320" s="316" t="s">
        <v>1973</v>
      </c>
      <c r="C320" s="316" t="s">
        <v>1973</v>
      </c>
      <c r="D320" s="316" t="s">
        <v>1973</v>
      </c>
      <c r="E320" s="317" t="s">
        <v>1973</v>
      </c>
      <c r="F320" s="318">
        <v>5</v>
      </c>
      <c r="G320" s="354" t="s">
        <v>36</v>
      </c>
      <c r="H320" s="320">
        <v>60000</v>
      </c>
      <c r="I320" s="393" t="b">
        <v>1</v>
      </c>
      <c r="J320" s="322">
        <v>5</v>
      </c>
      <c r="K320" s="323" t="e">
        <f>VLOOKUP($A320,'[1]Database Bahan &amp; Alat (Terupdat'!$B$50:$N$232,6,FALSE)</f>
        <v>#N/A</v>
      </c>
      <c r="L320" s="371" t="e">
        <f t="shared" si="8"/>
        <v>#N/A</v>
      </c>
      <c r="M320" s="381"/>
    </row>
    <row r="321" spans="1:13" ht="13">
      <c r="A321" s="316" t="s">
        <v>779</v>
      </c>
      <c r="B321" s="316" t="s">
        <v>1973</v>
      </c>
      <c r="C321" s="316" t="s">
        <v>1973</v>
      </c>
      <c r="D321" s="316" t="s">
        <v>1973</v>
      </c>
      <c r="E321" s="317" t="s">
        <v>1973</v>
      </c>
      <c r="F321" s="318">
        <v>3</v>
      </c>
      <c r="G321" s="354" t="s">
        <v>62</v>
      </c>
      <c r="H321" s="320">
        <v>115500</v>
      </c>
      <c r="I321" s="395" t="b">
        <v>1</v>
      </c>
      <c r="J321" s="322">
        <v>2</v>
      </c>
      <c r="K321" s="323">
        <v>48700</v>
      </c>
      <c r="L321" s="379">
        <f t="shared" si="8"/>
        <v>97400</v>
      </c>
      <c r="M321" s="381" t="s">
        <v>1850</v>
      </c>
    </row>
    <row r="322" spans="1:13" ht="13">
      <c r="A322" s="316" t="s">
        <v>1606</v>
      </c>
      <c r="B322" s="316" t="s">
        <v>1973</v>
      </c>
      <c r="C322" s="316" t="s">
        <v>1973</v>
      </c>
      <c r="D322" s="316" t="s">
        <v>1973</v>
      </c>
      <c r="E322" s="317" t="s">
        <v>1973</v>
      </c>
      <c r="F322" s="318">
        <v>0.5</v>
      </c>
      <c r="G322" s="354" t="s">
        <v>36</v>
      </c>
      <c r="H322" s="320">
        <v>17500</v>
      </c>
      <c r="I322" s="395" t="b">
        <v>1</v>
      </c>
      <c r="J322" s="322">
        <v>0.47399999999999998</v>
      </c>
      <c r="K322" s="323">
        <v>43200</v>
      </c>
      <c r="L322" s="379">
        <f t="shared" si="8"/>
        <v>20476.8</v>
      </c>
      <c r="M322" s="381" t="s">
        <v>1851</v>
      </c>
    </row>
    <row r="323" spans="1:13" ht="13">
      <c r="A323" s="316" t="s">
        <v>910</v>
      </c>
      <c r="B323" s="316" t="s">
        <v>1973</v>
      </c>
      <c r="C323" s="316" t="s">
        <v>1973</v>
      </c>
      <c r="D323" s="316" t="s">
        <v>1973</v>
      </c>
      <c r="E323" s="317" t="s">
        <v>1973</v>
      </c>
      <c r="F323" s="318">
        <v>2</v>
      </c>
      <c r="G323" s="354" t="s">
        <v>62</v>
      </c>
      <c r="H323" s="320">
        <v>26000</v>
      </c>
      <c r="I323" s="393" t="b">
        <v>1</v>
      </c>
      <c r="J323" s="322">
        <v>2</v>
      </c>
      <c r="K323" s="323" t="s">
        <v>1973</v>
      </c>
      <c r="L323" s="371" t="e">
        <f t="shared" si="8"/>
        <v>#VALUE!</v>
      </c>
      <c r="M323" s="381"/>
    </row>
    <row r="324" spans="1:13" ht="13">
      <c r="A324" s="316" t="s">
        <v>540</v>
      </c>
      <c r="B324" s="316" t="s">
        <v>1973</v>
      </c>
      <c r="C324" s="316" t="s">
        <v>1973</v>
      </c>
      <c r="D324" s="316" t="s">
        <v>1973</v>
      </c>
      <c r="E324" s="317" t="s">
        <v>1973</v>
      </c>
      <c r="F324" s="318">
        <v>5</v>
      </c>
      <c r="G324" s="354" t="s">
        <v>36</v>
      </c>
      <c r="H324" s="320">
        <v>850000</v>
      </c>
      <c r="I324" s="319" t="b">
        <v>0</v>
      </c>
      <c r="J324" s="372"/>
      <c r="K324" s="373" t="s">
        <v>1973</v>
      </c>
      <c r="L324" s="374" t="e">
        <f t="shared" si="8"/>
        <v>#VALUE!</v>
      </c>
      <c r="M324" s="325"/>
    </row>
    <row r="325" spans="1:13" ht="13">
      <c r="A325" s="316" t="s">
        <v>590</v>
      </c>
      <c r="B325" s="316" t="s">
        <v>1973</v>
      </c>
      <c r="C325" s="316" t="s">
        <v>1973</v>
      </c>
      <c r="D325" s="316" t="s">
        <v>1973</v>
      </c>
      <c r="E325" s="317" t="s">
        <v>1973</v>
      </c>
      <c r="F325" s="318">
        <v>3</v>
      </c>
      <c r="G325" s="354" t="s">
        <v>62</v>
      </c>
      <c r="H325" s="320">
        <v>255000</v>
      </c>
      <c r="I325" s="319" t="b">
        <v>0</v>
      </c>
      <c r="J325" s="372"/>
      <c r="K325" s="373" t="s">
        <v>1973</v>
      </c>
      <c r="L325" s="374" t="e">
        <f t="shared" si="8"/>
        <v>#VALUE!</v>
      </c>
      <c r="M325" s="325"/>
    </row>
    <row r="326" spans="1:13" ht="13">
      <c r="A326" s="316" t="s">
        <v>602</v>
      </c>
      <c r="B326" s="316" t="s">
        <v>1973</v>
      </c>
      <c r="C326" s="316" t="s">
        <v>1973</v>
      </c>
      <c r="D326" s="316" t="s">
        <v>1973</v>
      </c>
      <c r="E326" s="317" t="s">
        <v>1973</v>
      </c>
      <c r="F326" s="318">
        <v>1</v>
      </c>
      <c r="G326" s="354" t="s">
        <v>62</v>
      </c>
      <c r="H326" s="320">
        <v>100000</v>
      </c>
      <c r="I326" s="319" t="b">
        <v>0</v>
      </c>
      <c r="J326" s="372"/>
      <c r="K326" s="373" t="s">
        <v>1973</v>
      </c>
      <c r="L326" s="374" t="e">
        <f t="shared" si="8"/>
        <v>#VALUE!</v>
      </c>
      <c r="M326" s="325"/>
    </row>
    <row r="327" spans="1:13" ht="13">
      <c r="A327" s="316" t="s">
        <v>1602</v>
      </c>
      <c r="B327" s="316" t="s">
        <v>1973</v>
      </c>
      <c r="C327" s="316" t="s">
        <v>1973</v>
      </c>
      <c r="D327" s="316" t="s">
        <v>1973</v>
      </c>
      <c r="E327" s="317" t="s">
        <v>1973</v>
      </c>
      <c r="F327" s="318">
        <v>4</v>
      </c>
      <c r="G327" s="354" t="s">
        <v>36</v>
      </c>
      <c r="H327" s="320">
        <v>52000</v>
      </c>
      <c r="I327" s="393" t="b">
        <v>1</v>
      </c>
      <c r="J327" s="322">
        <v>4</v>
      </c>
      <c r="K327" s="323" t="s">
        <v>1973</v>
      </c>
      <c r="L327" s="371" t="e">
        <f t="shared" si="8"/>
        <v>#VALUE!</v>
      </c>
      <c r="M327" s="381"/>
    </row>
    <row r="328" spans="1:13" ht="13">
      <c r="A328" s="316" t="s">
        <v>635</v>
      </c>
      <c r="B328" s="316" t="s">
        <v>1973</v>
      </c>
      <c r="C328" s="316" t="s">
        <v>1973</v>
      </c>
      <c r="D328" s="316" t="s">
        <v>1973</v>
      </c>
      <c r="E328" s="317" t="s">
        <v>1973</v>
      </c>
      <c r="F328" s="318">
        <v>10</v>
      </c>
      <c r="G328" s="354" t="s">
        <v>50</v>
      </c>
      <c r="H328" s="320">
        <v>95000</v>
      </c>
      <c r="I328" s="393" t="b">
        <v>1</v>
      </c>
      <c r="J328" s="322">
        <v>10</v>
      </c>
      <c r="K328" s="323" t="s">
        <v>1973</v>
      </c>
      <c r="L328" s="371" t="e">
        <f t="shared" si="8"/>
        <v>#VALUE!</v>
      </c>
      <c r="M328" s="381"/>
    </row>
    <row r="329" spans="1:13" ht="13">
      <c r="A329" s="316" t="s">
        <v>643</v>
      </c>
      <c r="B329" s="316" t="s">
        <v>1973</v>
      </c>
      <c r="C329" s="316" t="s">
        <v>1973</v>
      </c>
      <c r="D329" s="316" t="s">
        <v>1973</v>
      </c>
      <c r="E329" s="317" t="s">
        <v>1973</v>
      </c>
      <c r="F329" s="318">
        <v>0.5</v>
      </c>
      <c r="G329" s="354" t="s">
        <v>36</v>
      </c>
      <c r="H329" s="320">
        <v>7500</v>
      </c>
      <c r="I329" s="395" t="b">
        <v>1</v>
      </c>
      <c r="J329" s="322">
        <v>0.5</v>
      </c>
      <c r="K329" s="323">
        <v>14000</v>
      </c>
      <c r="L329" s="380">
        <f t="shared" si="8"/>
        <v>7000</v>
      </c>
      <c r="M329" s="381" t="s">
        <v>1844</v>
      </c>
    </row>
    <row r="330" spans="1:13" ht="13">
      <c r="A330" s="316" t="s">
        <v>680</v>
      </c>
      <c r="B330" s="316" t="s">
        <v>1973</v>
      </c>
      <c r="C330" s="316" t="s">
        <v>1973</v>
      </c>
      <c r="D330" s="316" t="s">
        <v>1973</v>
      </c>
      <c r="E330" s="317" t="s">
        <v>1973</v>
      </c>
      <c r="F330" s="318">
        <v>6</v>
      </c>
      <c r="G330" s="354" t="s">
        <v>97</v>
      </c>
      <c r="H330" s="320">
        <v>174000</v>
      </c>
      <c r="I330" s="395" t="b">
        <v>1</v>
      </c>
      <c r="J330" s="322">
        <v>6</v>
      </c>
      <c r="K330" s="323">
        <v>30000</v>
      </c>
      <c r="L330" s="379">
        <f t="shared" si="8"/>
        <v>180000</v>
      </c>
      <c r="M330" s="381" t="s">
        <v>1843</v>
      </c>
    </row>
    <row r="331" spans="1:13" ht="13">
      <c r="A331" s="316" t="s">
        <v>684</v>
      </c>
      <c r="B331" s="316" t="s">
        <v>1973</v>
      </c>
      <c r="C331" s="316" t="s">
        <v>1973</v>
      </c>
      <c r="D331" s="316" t="s">
        <v>1973</v>
      </c>
      <c r="E331" s="317" t="s">
        <v>1973</v>
      </c>
      <c r="F331" s="318">
        <v>3</v>
      </c>
      <c r="G331" s="354" t="s">
        <v>97</v>
      </c>
      <c r="H331" s="320">
        <v>87000</v>
      </c>
      <c r="I331" s="395" t="b">
        <v>1</v>
      </c>
      <c r="J331" s="322">
        <v>3</v>
      </c>
      <c r="K331" s="323">
        <v>30000</v>
      </c>
      <c r="L331" s="379">
        <f t="shared" si="8"/>
        <v>90000</v>
      </c>
      <c r="M331" s="381" t="s">
        <v>1852</v>
      </c>
    </row>
    <row r="332" spans="1:13" ht="13">
      <c r="A332" s="316" t="s">
        <v>696</v>
      </c>
      <c r="B332" s="316" t="s">
        <v>1973</v>
      </c>
      <c r="C332" s="316" t="s">
        <v>1973</v>
      </c>
      <c r="D332" s="316" t="s">
        <v>1973</v>
      </c>
      <c r="E332" s="317" t="s">
        <v>1973</v>
      </c>
      <c r="F332" s="318">
        <v>8</v>
      </c>
      <c r="G332" s="354" t="s">
        <v>62</v>
      </c>
      <c r="H332" s="320">
        <v>80000</v>
      </c>
      <c r="I332" s="395" t="b">
        <v>1</v>
      </c>
      <c r="J332" s="322">
        <v>8</v>
      </c>
      <c r="K332" s="323">
        <v>11000</v>
      </c>
      <c r="L332" s="379">
        <f t="shared" si="8"/>
        <v>88000</v>
      </c>
      <c r="M332" s="381" t="s">
        <v>1853</v>
      </c>
    </row>
    <row r="333" spans="1:13" ht="13">
      <c r="A333" s="316" t="s">
        <v>1754</v>
      </c>
      <c r="B333" s="316" t="s">
        <v>1973</v>
      </c>
      <c r="C333" s="316" t="s">
        <v>1973</v>
      </c>
      <c r="D333" s="316" t="s">
        <v>1973</v>
      </c>
      <c r="E333" s="317" t="s">
        <v>1973</v>
      </c>
      <c r="F333" s="318">
        <v>1</v>
      </c>
      <c r="G333" s="354" t="s">
        <v>62</v>
      </c>
      <c r="H333" s="320">
        <v>30000</v>
      </c>
      <c r="I333" s="393" t="b">
        <v>1</v>
      </c>
      <c r="J333" s="322">
        <v>1</v>
      </c>
      <c r="K333" s="323" t="e">
        <f>VLOOKUP($A333,'[1]Database Bahan &amp; Alat (Terupdat'!$B$50:$N$232,6,FALSE)</f>
        <v>#N/A</v>
      </c>
      <c r="L333" s="371" t="e">
        <f t="shared" si="8"/>
        <v>#N/A</v>
      </c>
      <c r="M333" s="381"/>
    </row>
    <row r="334" spans="1:13" ht="13">
      <c r="A334" s="316" t="s">
        <v>735</v>
      </c>
      <c r="B334" s="316" t="s">
        <v>1973</v>
      </c>
      <c r="C334" s="316" t="s">
        <v>1973</v>
      </c>
      <c r="D334" s="316" t="s">
        <v>1973</v>
      </c>
      <c r="E334" s="317" t="s">
        <v>1973</v>
      </c>
      <c r="F334" s="318">
        <v>1</v>
      </c>
      <c r="G334" s="354" t="s">
        <v>97</v>
      </c>
      <c r="H334" s="320">
        <v>46000</v>
      </c>
      <c r="I334" s="395" t="b">
        <v>1</v>
      </c>
      <c r="J334" s="322">
        <v>1</v>
      </c>
      <c r="K334" s="323">
        <v>48000</v>
      </c>
      <c r="L334" s="379">
        <f t="shared" si="8"/>
        <v>48000</v>
      </c>
      <c r="M334" s="381" t="s">
        <v>1845</v>
      </c>
    </row>
    <row r="335" spans="1:13" ht="13">
      <c r="A335" s="316" t="s">
        <v>748</v>
      </c>
      <c r="B335" s="316" t="s">
        <v>1973</v>
      </c>
      <c r="C335" s="316" t="s">
        <v>1973</v>
      </c>
      <c r="D335" s="316" t="s">
        <v>1973</v>
      </c>
      <c r="E335" s="317" t="s">
        <v>1973</v>
      </c>
      <c r="F335" s="318">
        <v>3</v>
      </c>
      <c r="G335" s="354" t="s">
        <v>62</v>
      </c>
      <c r="H335" s="320">
        <v>87000</v>
      </c>
      <c r="I335" s="393" t="b">
        <v>1</v>
      </c>
      <c r="J335" s="322">
        <v>3</v>
      </c>
      <c r="K335" s="323" t="s">
        <v>1973</v>
      </c>
      <c r="L335" s="371" t="e">
        <f t="shared" si="8"/>
        <v>#VALUE!</v>
      </c>
      <c r="M335" s="381"/>
    </row>
    <row r="336" spans="1:13" ht="13">
      <c r="A336" s="316" t="s">
        <v>866</v>
      </c>
      <c r="B336" s="316" t="s">
        <v>1973</v>
      </c>
      <c r="C336" s="316" t="s">
        <v>1973</v>
      </c>
      <c r="D336" s="316" t="s">
        <v>1973</v>
      </c>
      <c r="E336" s="317" t="s">
        <v>1973</v>
      </c>
      <c r="F336" s="318">
        <v>2</v>
      </c>
      <c r="G336" s="354" t="s">
        <v>62</v>
      </c>
      <c r="H336" s="320">
        <v>70000</v>
      </c>
      <c r="I336" s="393" t="b">
        <v>1</v>
      </c>
      <c r="J336" s="322">
        <v>2</v>
      </c>
      <c r="K336" s="323" t="s">
        <v>1973</v>
      </c>
      <c r="L336" s="371" t="e">
        <f t="shared" si="8"/>
        <v>#VALUE!</v>
      </c>
      <c r="M336" s="381"/>
    </row>
    <row r="337" spans="1:13" ht="13">
      <c r="A337" s="316" t="s">
        <v>892</v>
      </c>
      <c r="B337" s="316" t="s">
        <v>1973</v>
      </c>
      <c r="C337" s="316" t="s">
        <v>1973</v>
      </c>
      <c r="D337" s="316" t="s">
        <v>1973</v>
      </c>
      <c r="E337" s="317" t="s">
        <v>1973</v>
      </c>
      <c r="F337" s="318">
        <v>2</v>
      </c>
      <c r="G337" s="354" t="s">
        <v>36</v>
      </c>
      <c r="H337" s="320">
        <v>240000</v>
      </c>
      <c r="I337" s="395" t="b">
        <v>1</v>
      </c>
      <c r="J337" s="322">
        <v>2</v>
      </c>
      <c r="K337" s="323">
        <v>125000</v>
      </c>
      <c r="L337" s="379">
        <f t="shared" si="8"/>
        <v>250000</v>
      </c>
      <c r="M337" s="381" t="s">
        <v>1854</v>
      </c>
    </row>
    <row r="338" spans="1:13" ht="13">
      <c r="A338" s="316" t="s">
        <v>934</v>
      </c>
      <c r="B338" s="316" t="s">
        <v>1973</v>
      </c>
      <c r="C338" s="316" t="s">
        <v>1973</v>
      </c>
      <c r="D338" s="316" t="s">
        <v>1973</v>
      </c>
      <c r="E338" s="317" t="s">
        <v>1973</v>
      </c>
      <c r="F338" s="318">
        <v>3</v>
      </c>
      <c r="G338" s="354" t="s">
        <v>62</v>
      </c>
      <c r="H338" s="320">
        <v>27000</v>
      </c>
      <c r="I338" s="393" t="b">
        <v>1</v>
      </c>
      <c r="J338" s="322">
        <v>3</v>
      </c>
      <c r="K338" s="323" t="s">
        <v>1973</v>
      </c>
      <c r="L338" s="371" t="e">
        <f t="shared" si="8"/>
        <v>#VALUE!</v>
      </c>
      <c r="M338" s="381"/>
    </row>
    <row r="339" spans="1:13" ht="13">
      <c r="A339" s="316" t="s">
        <v>940</v>
      </c>
      <c r="B339" s="316" t="s">
        <v>1973</v>
      </c>
      <c r="C339" s="316" t="s">
        <v>1973</v>
      </c>
      <c r="D339" s="316" t="s">
        <v>1973</v>
      </c>
      <c r="E339" s="317" t="s">
        <v>1973</v>
      </c>
      <c r="F339" s="318">
        <v>0.5</v>
      </c>
      <c r="G339" s="354" t="s">
        <v>36</v>
      </c>
      <c r="H339" s="320">
        <v>50000</v>
      </c>
      <c r="I339" s="393" t="b">
        <v>1</v>
      </c>
      <c r="J339" s="322">
        <v>0.5</v>
      </c>
      <c r="K339" s="323" t="s">
        <v>1973</v>
      </c>
      <c r="L339" s="371" t="e">
        <f t="shared" si="8"/>
        <v>#VALUE!</v>
      </c>
      <c r="M339" s="381"/>
    </row>
    <row r="340" spans="1:13" ht="13">
      <c r="A340" s="316" t="s">
        <v>1548</v>
      </c>
      <c r="B340" s="316" t="s">
        <v>1973</v>
      </c>
      <c r="C340" s="316" t="s">
        <v>1973</v>
      </c>
      <c r="D340" s="316" t="s">
        <v>1973</v>
      </c>
      <c r="E340" s="317" t="s">
        <v>1973</v>
      </c>
      <c r="F340" s="318">
        <v>3</v>
      </c>
      <c r="G340" s="354" t="s">
        <v>62</v>
      </c>
      <c r="H340" s="320">
        <v>36000</v>
      </c>
      <c r="I340" s="393" t="b">
        <v>1</v>
      </c>
      <c r="J340" s="322">
        <v>3</v>
      </c>
      <c r="K340" s="323" t="s">
        <v>1973</v>
      </c>
      <c r="L340" s="371" t="e">
        <f t="shared" si="8"/>
        <v>#VALUE!</v>
      </c>
      <c r="M340" s="381"/>
    </row>
    <row r="341" spans="1:13" ht="13">
      <c r="A341" s="316" t="s">
        <v>1615</v>
      </c>
      <c r="B341" s="316" t="s">
        <v>1973</v>
      </c>
      <c r="C341" s="316" t="s">
        <v>1973</v>
      </c>
      <c r="D341" s="316" t="s">
        <v>1973</v>
      </c>
      <c r="E341" s="317" t="s">
        <v>1973</v>
      </c>
      <c r="F341" s="318">
        <v>2</v>
      </c>
      <c r="G341" s="354" t="s">
        <v>62</v>
      </c>
      <c r="H341" s="320">
        <v>16000</v>
      </c>
      <c r="I341" s="393" t="b">
        <v>1</v>
      </c>
      <c r="J341" s="322">
        <v>2</v>
      </c>
      <c r="K341" s="323" t="s">
        <v>1973</v>
      </c>
      <c r="L341" s="371" t="e">
        <f t="shared" si="8"/>
        <v>#VALUE!</v>
      </c>
      <c r="M341" s="381"/>
    </row>
    <row r="342" spans="1:13" ht="13">
      <c r="A342" s="316" t="s">
        <v>1017</v>
      </c>
      <c r="B342" s="316" t="s">
        <v>1973</v>
      </c>
      <c r="C342" s="316" t="s">
        <v>1973</v>
      </c>
      <c r="D342" s="316" t="s">
        <v>1973</v>
      </c>
      <c r="E342" s="317" t="s">
        <v>1973</v>
      </c>
      <c r="F342" s="318">
        <v>5</v>
      </c>
      <c r="G342" s="354" t="s">
        <v>62</v>
      </c>
      <c r="H342" s="320">
        <v>12500</v>
      </c>
      <c r="I342" s="319" t="b">
        <v>0</v>
      </c>
      <c r="J342" s="372"/>
      <c r="K342" s="373" t="s">
        <v>1973</v>
      </c>
      <c r="L342" s="374" t="e">
        <f t="shared" si="8"/>
        <v>#VALUE!</v>
      </c>
      <c r="M342" s="325"/>
    </row>
    <row r="343" spans="1:13" ht="13">
      <c r="A343" s="316" t="s">
        <v>1037</v>
      </c>
      <c r="B343" s="316" t="s">
        <v>1973</v>
      </c>
      <c r="C343" s="316" t="s">
        <v>1973</v>
      </c>
      <c r="D343" s="316" t="s">
        <v>1973</v>
      </c>
      <c r="E343" s="317" t="s">
        <v>1973</v>
      </c>
      <c r="F343" s="318">
        <v>1</v>
      </c>
      <c r="G343" s="354" t="s">
        <v>62</v>
      </c>
      <c r="H343" s="320">
        <v>20100</v>
      </c>
      <c r="I343" s="319" t="b">
        <v>0</v>
      </c>
      <c r="J343" s="372"/>
      <c r="K343" s="373" t="s">
        <v>1973</v>
      </c>
      <c r="L343" s="374" t="e">
        <f t="shared" si="8"/>
        <v>#VALUE!</v>
      </c>
      <c r="M343" s="325"/>
    </row>
    <row r="344" spans="1:13" ht="13">
      <c r="A344" s="316" t="s">
        <v>1046</v>
      </c>
      <c r="B344" s="316" t="s">
        <v>1973</v>
      </c>
      <c r="C344" s="316" t="s">
        <v>1973</v>
      </c>
      <c r="D344" s="316" t="s">
        <v>1973</v>
      </c>
      <c r="E344" s="317" t="s">
        <v>1973</v>
      </c>
      <c r="F344" s="318">
        <v>1</v>
      </c>
      <c r="G344" s="354" t="s">
        <v>62</v>
      </c>
      <c r="H344" s="320">
        <v>18000</v>
      </c>
      <c r="I344" s="393" t="b">
        <v>1</v>
      </c>
      <c r="J344" s="322">
        <v>1</v>
      </c>
      <c r="K344" s="323" t="s">
        <v>1973</v>
      </c>
      <c r="L344" s="371" t="e">
        <f t="shared" si="8"/>
        <v>#VALUE!</v>
      </c>
      <c r="M344" s="381"/>
    </row>
    <row r="346" spans="1:13" ht="13">
      <c r="F346" s="429">
        <v>44578</v>
      </c>
      <c r="G346" s="428"/>
      <c r="H346" s="424"/>
      <c r="J346" s="429">
        <f>F346+1</f>
        <v>44579</v>
      </c>
      <c r="K346" s="428"/>
      <c r="L346" s="424"/>
    </row>
    <row r="347" spans="1:13" ht="13">
      <c r="F347" s="425" t="s">
        <v>1490</v>
      </c>
      <c r="G347" s="426"/>
      <c r="H347" s="304">
        <f>SUM(H349:H394)</f>
        <v>3332300</v>
      </c>
      <c r="J347" s="425" t="s">
        <v>1491</v>
      </c>
      <c r="K347" s="426"/>
      <c r="L347" s="304" t="e">
        <f>SUM(L349:L394)</f>
        <v>#VALUE!</v>
      </c>
    </row>
    <row r="348" spans="1:13" ht="13">
      <c r="A348" s="2" t="s">
        <v>4</v>
      </c>
      <c r="B348" s="305" t="s">
        <v>5</v>
      </c>
      <c r="C348" s="305" t="s">
        <v>11</v>
      </c>
      <c r="D348" s="305" t="s">
        <v>12</v>
      </c>
      <c r="E348" s="306" t="s">
        <v>6</v>
      </c>
      <c r="F348" s="307" t="s">
        <v>1494</v>
      </c>
      <c r="G348" s="308" t="s">
        <v>10</v>
      </c>
      <c r="H348" s="309" t="s">
        <v>1495</v>
      </c>
      <c r="I348" s="310" t="s">
        <v>1289</v>
      </c>
      <c r="J348" s="311" t="s">
        <v>1496</v>
      </c>
      <c r="K348" s="312" t="s">
        <v>1497</v>
      </c>
      <c r="L348" s="313" t="s">
        <v>1498</v>
      </c>
      <c r="M348" s="314" t="s">
        <v>16</v>
      </c>
    </row>
    <row r="349" spans="1:13" ht="13">
      <c r="A349" s="316" t="s">
        <v>544</v>
      </c>
      <c r="B349" s="316" t="s">
        <v>1973</v>
      </c>
      <c r="C349" s="316" t="s">
        <v>1973</v>
      </c>
      <c r="D349" s="316" t="s">
        <v>1973</v>
      </c>
      <c r="E349" s="317" t="s">
        <v>1973</v>
      </c>
      <c r="F349" s="318">
        <v>2</v>
      </c>
      <c r="G349" s="354" t="s">
        <v>62</v>
      </c>
      <c r="H349" s="320">
        <v>42400</v>
      </c>
      <c r="I349" s="393" t="b">
        <v>1</v>
      </c>
      <c r="J349" s="322">
        <v>2</v>
      </c>
      <c r="K349" s="323">
        <v>22600</v>
      </c>
      <c r="L349" s="371">
        <f t="shared" ref="L349:L394" si="9">J349*K349</f>
        <v>45200</v>
      </c>
      <c r="M349" s="325"/>
    </row>
    <row r="350" spans="1:13" ht="13">
      <c r="A350" s="316" t="s">
        <v>586</v>
      </c>
      <c r="B350" s="316" t="s">
        <v>1973</v>
      </c>
      <c r="C350" s="316" t="s">
        <v>1973</v>
      </c>
      <c r="D350" s="316" t="s">
        <v>1973</v>
      </c>
      <c r="E350" s="317" t="s">
        <v>1973</v>
      </c>
      <c r="F350" s="318">
        <v>3</v>
      </c>
      <c r="G350" s="354" t="s">
        <v>62</v>
      </c>
      <c r="H350" s="320">
        <v>21600</v>
      </c>
      <c r="I350" s="393" t="b">
        <v>1</v>
      </c>
      <c r="J350" s="322">
        <v>3</v>
      </c>
      <c r="K350" s="323" t="s">
        <v>1973</v>
      </c>
      <c r="L350" s="371" t="e">
        <f t="shared" si="9"/>
        <v>#VALUE!</v>
      </c>
      <c r="M350" s="325"/>
    </row>
    <row r="351" spans="1:13" ht="13">
      <c r="A351" s="316" t="s">
        <v>782</v>
      </c>
      <c r="B351" s="316" t="s">
        <v>1973</v>
      </c>
      <c r="C351" s="316" t="s">
        <v>1973</v>
      </c>
      <c r="D351" s="316" t="s">
        <v>1973</v>
      </c>
      <c r="E351" s="317" t="s">
        <v>1973</v>
      </c>
      <c r="F351" s="318">
        <v>2</v>
      </c>
      <c r="G351" s="354" t="s">
        <v>62</v>
      </c>
      <c r="H351" s="320">
        <v>24000</v>
      </c>
      <c r="I351" s="393" t="b">
        <v>1</v>
      </c>
      <c r="J351" s="322">
        <v>1</v>
      </c>
      <c r="K351" s="323" t="s">
        <v>1973</v>
      </c>
      <c r="L351" s="371" t="e">
        <f t="shared" si="9"/>
        <v>#VALUE!</v>
      </c>
      <c r="M351" s="325" t="s">
        <v>1695</v>
      </c>
    </row>
    <row r="352" spans="1:13" ht="13">
      <c r="A352" s="316" t="s">
        <v>1670</v>
      </c>
      <c r="B352" s="316" t="s">
        <v>1973</v>
      </c>
      <c r="C352" s="316" t="s">
        <v>1973</v>
      </c>
      <c r="D352" s="316" t="s">
        <v>1973</v>
      </c>
      <c r="E352" s="317" t="s">
        <v>1973</v>
      </c>
      <c r="F352" s="318">
        <v>1</v>
      </c>
      <c r="G352" s="354" t="s">
        <v>62</v>
      </c>
      <c r="H352" s="320">
        <v>11500</v>
      </c>
      <c r="I352" s="319" t="b">
        <v>0</v>
      </c>
      <c r="J352" s="372"/>
      <c r="K352" s="373" t="s">
        <v>1973</v>
      </c>
      <c r="L352" s="374" t="e">
        <f t="shared" si="9"/>
        <v>#VALUE!</v>
      </c>
      <c r="M352" s="325"/>
    </row>
    <row r="353" spans="1:13" ht="13">
      <c r="A353" s="316" t="s">
        <v>1607</v>
      </c>
      <c r="B353" s="316" t="s">
        <v>1973</v>
      </c>
      <c r="C353" s="316" t="s">
        <v>1973</v>
      </c>
      <c r="D353" s="316" t="s">
        <v>1973</v>
      </c>
      <c r="E353" s="317" t="s">
        <v>1973</v>
      </c>
      <c r="F353" s="318">
        <v>1</v>
      </c>
      <c r="G353" s="354" t="s">
        <v>62</v>
      </c>
      <c r="H353" s="320">
        <v>11500</v>
      </c>
      <c r="I353" s="319" t="b">
        <v>0</v>
      </c>
      <c r="J353" s="372"/>
      <c r="K353" s="373" t="s">
        <v>1973</v>
      </c>
      <c r="L353" s="374" t="e">
        <f t="shared" si="9"/>
        <v>#VALUE!</v>
      </c>
      <c r="M353" s="325"/>
    </row>
    <row r="354" spans="1:13" ht="13">
      <c r="A354" s="316" t="s">
        <v>919</v>
      </c>
      <c r="B354" s="316" t="s">
        <v>1973</v>
      </c>
      <c r="C354" s="316" t="s">
        <v>1973</v>
      </c>
      <c r="D354" s="316" t="s">
        <v>1973</v>
      </c>
      <c r="E354" s="317" t="s">
        <v>1973</v>
      </c>
      <c r="F354" s="318">
        <v>4</v>
      </c>
      <c r="G354" s="354" t="s">
        <v>62</v>
      </c>
      <c r="H354" s="320">
        <v>39600</v>
      </c>
      <c r="I354" s="395" t="b">
        <v>1</v>
      </c>
      <c r="J354" s="322">
        <v>790</v>
      </c>
      <c r="K354" s="323">
        <v>28.5</v>
      </c>
      <c r="L354" s="379">
        <f t="shared" si="9"/>
        <v>22515</v>
      </c>
      <c r="M354" s="325"/>
    </row>
    <row r="355" spans="1:13" ht="13">
      <c r="A355" s="316" t="s">
        <v>851</v>
      </c>
      <c r="B355" s="316" t="s">
        <v>1973</v>
      </c>
      <c r="C355" s="316" t="s">
        <v>1973</v>
      </c>
      <c r="D355" s="316" t="s">
        <v>1973</v>
      </c>
      <c r="E355" s="317" t="s">
        <v>1973</v>
      </c>
      <c r="F355" s="318">
        <v>2</v>
      </c>
      <c r="G355" s="354" t="s">
        <v>143</v>
      </c>
      <c r="H355" s="320">
        <v>60000</v>
      </c>
      <c r="I355" s="319" t="b">
        <v>0</v>
      </c>
      <c r="J355" s="372"/>
      <c r="K355" s="373" t="s">
        <v>1973</v>
      </c>
      <c r="L355" s="374" t="e">
        <f t="shared" si="9"/>
        <v>#VALUE!</v>
      </c>
      <c r="M355" s="325"/>
    </row>
    <row r="356" spans="1:13" ht="13">
      <c r="A356" s="316" t="s">
        <v>578</v>
      </c>
      <c r="B356" s="316" t="s">
        <v>1973</v>
      </c>
      <c r="C356" s="316" t="s">
        <v>1973</v>
      </c>
      <c r="D356" s="316" t="s">
        <v>1973</v>
      </c>
      <c r="E356" s="317" t="s">
        <v>1973</v>
      </c>
      <c r="F356" s="318">
        <v>1</v>
      </c>
      <c r="G356" s="354" t="s">
        <v>62</v>
      </c>
      <c r="H356" s="320">
        <v>220000</v>
      </c>
      <c r="I356" s="319" t="b">
        <v>0</v>
      </c>
      <c r="J356" s="372"/>
      <c r="K356" s="373" t="s">
        <v>1973</v>
      </c>
      <c r="L356" s="374" t="e">
        <f t="shared" si="9"/>
        <v>#VALUE!</v>
      </c>
      <c r="M356" s="325"/>
    </row>
    <row r="357" spans="1:13" ht="13">
      <c r="A357" s="316" t="s">
        <v>958</v>
      </c>
      <c r="B357" s="316" t="s">
        <v>1973</v>
      </c>
      <c r="C357" s="316" t="s">
        <v>1973</v>
      </c>
      <c r="D357" s="316" t="s">
        <v>1973</v>
      </c>
      <c r="E357" s="317" t="s">
        <v>1973</v>
      </c>
      <c r="F357" s="318">
        <v>1</v>
      </c>
      <c r="G357" s="354" t="s">
        <v>97</v>
      </c>
      <c r="H357" s="320">
        <v>129000</v>
      </c>
      <c r="I357" s="319" t="b">
        <v>0</v>
      </c>
      <c r="J357" s="372"/>
      <c r="K357" s="373" t="s">
        <v>1973</v>
      </c>
      <c r="L357" s="374" t="e">
        <f t="shared" si="9"/>
        <v>#VALUE!</v>
      </c>
      <c r="M357" s="325"/>
    </row>
    <row r="358" spans="1:13" ht="13">
      <c r="A358" s="316" t="s">
        <v>639</v>
      </c>
      <c r="B358" s="316" t="s">
        <v>1973</v>
      </c>
      <c r="C358" s="316" t="s">
        <v>1973</v>
      </c>
      <c r="D358" s="316" t="s">
        <v>1973</v>
      </c>
      <c r="E358" s="317" t="s">
        <v>1973</v>
      </c>
      <c r="F358" s="318">
        <v>1</v>
      </c>
      <c r="G358" s="354" t="s">
        <v>36</v>
      </c>
      <c r="H358" s="320">
        <v>125000</v>
      </c>
      <c r="I358" s="395" t="b">
        <v>1</v>
      </c>
      <c r="J358" s="322">
        <v>1.3</v>
      </c>
      <c r="K358" s="323">
        <v>130000</v>
      </c>
      <c r="L358" s="379">
        <f t="shared" si="9"/>
        <v>169000</v>
      </c>
      <c r="M358" s="325" t="s">
        <v>1855</v>
      </c>
    </row>
    <row r="359" spans="1:13" ht="13">
      <c r="A359" s="316" t="s">
        <v>1610</v>
      </c>
      <c r="B359" s="316" t="s">
        <v>1973</v>
      </c>
      <c r="C359" s="316" t="s">
        <v>1973</v>
      </c>
      <c r="D359" s="316" t="s">
        <v>1973</v>
      </c>
      <c r="E359" s="317" t="s">
        <v>1973</v>
      </c>
      <c r="F359" s="318">
        <v>2</v>
      </c>
      <c r="G359" s="354" t="s">
        <v>36</v>
      </c>
      <c r="H359" s="320">
        <v>16000</v>
      </c>
      <c r="I359" s="395" t="b">
        <v>1</v>
      </c>
      <c r="J359" s="322">
        <v>2</v>
      </c>
      <c r="K359" s="323">
        <v>9500</v>
      </c>
      <c r="L359" s="379">
        <f t="shared" si="9"/>
        <v>19000</v>
      </c>
      <c r="M359" s="325"/>
    </row>
    <row r="360" spans="1:13" ht="13">
      <c r="A360" s="316" t="s">
        <v>1611</v>
      </c>
      <c r="B360" s="316" t="s">
        <v>1973</v>
      </c>
      <c r="C360" s="316" t="s">
        <v>1973</v>
      </c>
      <c r="D360" s="316" t="s">
        <v>1973</v>
      </c>
      <c r="E360" s="317" t="s">
        <v>1973</v>
      </c>
      <c r="F360" s="318">
        <v>5</v>
      </c>
      <c r="G360" s="354" t="s">
        <v>36</v>
      </c>
      <c r="H360" s="320">
        <v>240000</v>
      </c>
      <c r="I360" s="395" t="b">
        <v>1</v>
      </c>
      <c r="J360" s="322">
        <v>5</v>
      </c>
      <c r="K360" s="323">
        <v>52000</v>
      </c>
      <c r="L360" s="379">
        <f t="shared" si="9"/>
        <v>260000</v>
      </c>
      <c r="M360" s="325" t="s">
        <v>1856</v>
      </c>
    </row>
    <row r="361" spans="1:13" ht="13">
      <c r="A361" s="316" t="s">
        <v>1612</v>
      </c>
      <c r="B361" s="316" t="s">
        <v>1973</v>
      </c>
      <c r="C361" s="316" t="s">
        <v>1973</v>
      </c>
      <c r="D361" s="316" t="s">
        <v>1973</v>
      </c>
      <c r="E361" s="317" t="s">
        <v>1973</v>
      </c>
      <c r="F361" s="318">
        <v>5</v>
      </c>
      <c r="G361" s="354" t="s">
        <v>36</v>
      </c>
      <c r="H361" s="320">
        <v>150000</v>
      </c>
      <c r="I361" s="395" t="b">
        <v>1</v>
      </c>
      <c r="J361" s="322">
        <v>6</v>
      </c>
      <c r="K361" s="323">
        <v>27000</v>
      </c>
      <c r="L361" s="380">
        <f t="shared" si="9"/>
        <v>162000</v>
      </c>
      <c r="M361" s="325" t="s">
        <v>1857</v>
      </c>
    </row>
    <row r="362" spans="1:13" ht="13">
      <c r="A362" s="316" t="s">
        <v>1698</v>
      </c>
      <c r="B362" s="316" t="s">
        <v>1973</v>
      </c>
      <c r="C362" s="316" t="s">
        <v>1973</v>
      </c>
      <c r="D362" s="316" t="s">
        <v>1973</v>
      </c>
      <c r="E362" s="317" t="s">
        <v>1973</v>
      </c>
      <c r="F362" s="318">
        <v>3</v>
      </c>
      <c r="G362" s="354" t="s">
        <v>36</v>
      </c>
      <c r="H362" s="320">
        <v>111000</v>
      </c>
      <c r="I362" s="395" t="b">
        <v>1</v>
      </c>
      <c r="J362" s="322">
        <v>3</v>
      </c>
      <c r="K362" s="323">
        <v>36000</v>
      </c>
      <c r="L362" s="380">
        <f t="shared" si="9"/>
        <v>108000</v>
      </c>
      <c r="M362" s="325" t="s">
        <v>1858</v>
      </c>
    </row>
    <row r="363" spans="1:13" ht="13">
      <c r="A363" s="316" t="s">
        <v>1699</v>
      </c>
      <c r="B363" s="316" t="s">
        <v>1973</v>
      </c>
      <c r="C363" s="316" t="s">
        <v>1973</v>
      </c>
      <c r="D363" s="316" t="s">
        <v>1973</v>
      </c>
      <c r="E363" s="317" t="s">
        <v>1973</v>
      </c>
      <c r="F363" s="318">
        <v>0.5</v>
      </c>
      <c r="G363" s="354" t="s">
        <v>36</v>
      </c>
      <c r="H363" s="320">
        <v>34000</v>
      </c>
      <c r="I363" s="395" t="b">
        <v>1</v>
      </c>
      <c r="J363" s="322">
        <v>0.5</v>
      </c>
      <c r="K363" s="323">
        <v>70000</v>
      </c>
      <c r="L363" s="379">
        <f t="shared" si="9"/>
        <v>35000</v>
      </c>
      <c r="M363" s="325" t="s">
        <v>1859</v>
      </c>
    </row>
    <row r="364" spans="1:13" ht="13">
      <c r="A364" s="316" t="s">
        <v>675</v>
      </c>
      <c r="B364" s="316" t="s">
        <v>1973</v>
      </c>
      <c r="C364" s="316" t="s">
        <v>1973</v>
      </c>
      <c r="D364" s="316" t="s">
        <v>1973</v>
      </c>
      <c r="E364" s="317" t="s">
        <v>1973</v>
      </c>
      <c r="F364" s="318">
        <v>20</v>
      </c>
      <c r="G364" s="354" t="s">
        <v>62</v>
      </c>
      <c r="H364" s="320">
        <v>70000</v>
      </c>
      <c r="I364" s="395" t="b">
        <v>1</v>
      </c>
      <c r="J364" s="322">
        <v>20</v>
      </c>
      <c r="K364" s="323">
        <v>4500</v>
      </c>
      <c r="L364" s="379">
        <f t="shared" si="9"/>
        <v>90000</v>
      </c>
      <c r="M364" s="325" t="s">
        <v>1860</v>
      </c>
    </row>
    <row r="365" spans="1:13" ht="13">
      <c r="A365" s="316" t="s">
        <v>712</v>
      </c>
      <c r="B365" s="316" t="s">
        <v>1973</v>
      </c>
      <c r="C365" s="316" t="s">
        <v>1973</v>
      </c>
      <c r="D365" s="316" t="s">
        <v>1973</v>
      </c>
      <c r="E365" s="317" t="s">
        <v>1973</v>
      </c>
      <c r="F365" s="318">
        <v>2</v>
      </c>
      <c r="G365" s="354" t="s">
        <v>36</v>
      </c>
      <c r="H365" s="320">
        <v>48000</v>
      </c>
      <c r="I365" s="395" t="b">
        <v>1</v>
      </c>
      <c r="J365" s="322">
        <v>2</v>
      </c>
      <c r="K365" s="323">
        <v>27000</v>
      </c>
      <c r="L365" s="379">
        <f t="shared" si="9"/>
        <v>54000</v>
      </c>
      <c r="M365" s="325" t="s">
        <v>1861</v>
      </c>
    </row>
    <row r="366" spans="1:13" ht="13">
      <c r="A366" s="316" t="s">
        <v>732</v>
      </c>
      <c r="B366" s="316" t="s">
        <v>1973</v>
      </c>
      <c r="C366" s="316" t="s">
        <v>1973</v>
      </c>
      <c r="D366" s="316" t="s">
        <v>1973</v>
      </c>
      <c r="E366" s="317" t="s">
        <v>1973</v>
      </c>
      <c r="F366" s="318">
        <v>2</v>
      </c>
      <c r="G366" s="354" t="s">
        <v>36</v>
      </c>
      <c r="H366" s="320">
        <v>44000</v>
      </c>
      <c r="I366" s="395" t="b">
        <v>1</v>
      </c>
      <c r="J366" s="322">
        <v>2</v>
      </c>
      <c r="K366" s="323">
        <v>28000</v>
      </c>
      <c r="L366" s="379">
        <f t="shared" si="9"/>
        <v>56000</v>
      </c>
      <c r="M366" s="325" t="s">
        <v>1862</v>
      </c>
    </row>
    <row r="367" spans="1:13" ht="13">
      <c r="A367" s="316" t="s">
        <v>744</v>
      </c>
      <c r="B367" s="316" t="s">
        <v>1973</v>
      </c>
      <c r="C367" s="316" t="s">
        <v>1973</v>
      </c>
      <c r="D367" s="316" t="s">
        <v>1973</v>
      </c>
      <c r="E367" s="317" t="s">
        <v>1973</v>
      </c>
      <c r="F367" s="318">
        <v>1</v>
      </c>
      <c r="G367" s="354" t="s">
        <v>36</v>
      </c>
      <c r="H367" s="320">
        <v>54000</v>
      </c>
      <c r="I367" s="395" t="b">
        <v>1</v>
      </c>
      <c r="J367" s="322">
        <v>1</v>
      </c>
      <c r="K367" s="323">
        <v>70000</v>
      </c>
      <c r="L367" s="379">
        <f t="shared" si="9"/>
        <v>70000</v>
      </c>
      <c r="M367" s="325" t="s">
        <v>1863</v>
      </c>
    </row>
    <row r="368" spans="1:13" ht="13">
      <c r="A368" s="316" t="s">
        <v>1601</v>
      </c>
      <c r="B368" s="316" t="s">
        <v>1973</v>
      </c>
      <c r="C368" s="316" t="s">
        <v>1973</v>
      </c>
      <c r="D368" s="316" t="s">
        <v>1973</v>
      </c>
      <c r="E368" s="317" t="s">
        <v>1973</v>
      </c>
      <c r="F368" s="318">
        <v>2</v>
      </c>
      <c r="G368" s="354" t="s">
        <v>97</v>
      </c>
      <c r="H368" s="320">
        <v>42000</v>
      </c>
      <c r="I368" s="393" t="b">
        <v>1</v>
      </c>
      <c r="J368" s="322">
        <v>2</v>
      </c>
      <c r="K368" s="323" t="s">
        <v>1973</v>
      </c>
      <c r="L368" s="371" t="e">
        <f t="shared" si="9"/>
        <v>#VALUE!</v>
      </c>
      <c r="M368" s="325"/>
    </row>
    <row r="369" spans="1:13" ht="13">
      <c r="A369" s="316" t="s">
        <v>795</v>
      </c>
      <c r="B369" s="316" t="s">
        <v>1973</v>
      </c>
      <c r="C369" s="316" t="s">
        <v>1973</v>
      </c>
      <c r="D369" s="316" t="s">
        <v>1973</v>
      </c>
      <c r="E369" s="317" t="s">
        <v>1973</v>
      </c>
      <c r="F369" s="318">
        <v>10</v>
      </c>
      <c r="G369" s="354" t="s">
        <v>62</v>
      </c>
      <c r="H369" s="320">
        <v>50000</v>
      </c>
      <c r="I369" s="393" t="b">
        <v>1</v>
      </c>
      <c r="J369" s="322">
        <v>10</v>
      </c>
      <c r="K369" s="323" t="s">
        <v>1973</v>
      </c>
      <c r="L369" s="371" t="e">
        <f t="shared" si="9"/>
        <v>#VALUE!</v>
      </c>
      <c r="M369" s="325"/>
    </row>
    <row r="370" spans="1:13" ht="13">
      <c r="A370" s="316" t="s">
        <v>1704</v>
      </c>
      <c r="B370" s="316" t="s">
        <v>1973</v>
      </c>
      <c r="C370" s="316" t="s">
        <v>1973</v>
      </c>
      <c r="D370" s="316" t="s">
        <v>1973</v>
      </c>
      <c r="E370" s="317" t="s">
        <v>1973</v>
      </c>
      <c r="F370" s="318">
        <v>0.25</v>
      </c>
      <c r="G370" s="354" t="s">
        <v>36</v>
      </c>
      <c r="H370" s="320">
        <v>3000</v>
      </c>
      <c r="I370" s="393" t="b">
        <v>1</v>
      </c>
      <c r="J370" s="322">
        <v>0.25</v>
      </c>
      <c r="K370" s="323" t="s">
        <v>1973</v>
      </c>
      <c r="L370" s="371" t="e">
        <f t="shared" si="9"/>
        <v>#VALUE!</v>
      </c>
      <c r="M370" s="325"/>
    </row>
    <row r="371" spans="1:13" ht="13">
      <c r="A371" s="316" t="s">
        <v>819</v>
      </c>
      <c r="B371" s="316" t="s">
        <v>1973</v>
      </c>
      <c r="C371" s="316" t="s">
        <v>1973</v>
      </c>
      <c r="D371" s="316" t="s">
        <v>1973</v>
      </c>
      <c r="E371" s="317" t="s">
        <v>1973</v>
      </c>
      <c r="F371" s="318">
        <v>0.25</v>
      </c>
      <c r="G371" s="354" t="s">
        <v>36</v>
      </c>
      <c r="H371" s="320">
        <v>5000</v>
      </c>
      <c r="I371" s="395" t="b">
        <v>1</v>
      </c>
      <c r="J371" s="322">
        <v>0.25</v>
      </c>
      <c r="K371" s="323">
        <v>16000</v>
      </c>
      <c r="L371" s="380">
        <f t="shared" si="9"/>
        <v>4000</v>
      </c>
      <c r="M371" s="325" t="s">
        <v>1864</v>
      </c>
    </row>
    <row r="372" spans="1:13" ht="13">
      <c r="A372" s="316" t="s">
        <v>827</v>
      </c>
      <c r="B372" s="316" t="s">
        <v>1973</v>
      </c>
      <c r="C372" s="316" t="s">
        <v>1973</v>
      </c>
      <c r="D372" s="316" t="s">
        <v>1973</v>
      </c>
      <c r="E372" s="317" t="s">
        <v>1973</v>
      </c>
      <c r="F372" s="318">
        <v>0.5</v>
      </c>
      <c r="G372" s="354" t="s">
        <v>36</v>
      </c>
      <c r="H372" s="320">
        <v>4000</v>
      </c>
      <c r="I372" s="395" t="b">
        <v>1</v>
      </c>
      <c r="J372" s="322">
        <v>0.5</v>
      </c>
      <c r="K372" s="323">
        <v>10000</v>
      </c>
      <c r="L372" s="379">
        <f t="shared" si="9"/>
        <v>5000</v>
      </c>
      <c r="M372" s="325" t="s">
        <v>1859</v>
      </c>
    </row>
    <row r="373" spans="1:13" ht="13">
      <c r="A373" s="316" t="s">
        <v>1613</v>
      </c>
      <c r="B373" s="316" t="s">
        <v>1973</v>
      </c>
      <c r="C373" s="316" t="s">
        <v>1973</v>
      </c>
      <c r="D373" s="316" t="s">
        <v>1973</v>
      </c>
      <c r="E373" s="317" t="s">
        <v>1973</v>
      </c>
      <c r="F373" s="318">
        <v>0.25</v>
      </c>
      <c r="G373" s="354" t="s">
        <v>36</v>
      </c>
      <c r="H373" s="320">
        <v>10750</v>
      </c>
      <c r="I373" s="319" t="b">
        <v>0</v>
      </c>
      <c r="J373" s="372"/>
      <c r="K373" s="373" t="e">
        <f>VLOOKUP($A373,'[1]Database Bahan &amp; Alat (Terupdat'!$B$50:$N$232,6,FALSE)</f>
        <v>#N/A</v>
      </c>
      <c r="L373" s="374" t="e">
        <f t="shared" si="9"/>
        <v>#N/A</v>
      </c>
      <c r="M373" s="325"/>
    </row>
    <row r="374" spans="1:13" ht="13">
      <c r="A374" s="316" t="s">
        <v>1614</v>
      </c>
      <c r="B374" s="316" t="s">
        <v>1973</v>
      </c>
      <c r="C374" s="316" t="s">
        <v>1973</v>
      </c>
      <c r="D374" s="316" t="s">
        <v>1973</v>
      </c>
      <c r="E374" s="317" t="s">
        <v>1973</v>
      </c>
      <c r="F374" s="318">
        <v>0.25</v>
      </c>
      <c r="G374" s="354" t="s">
        <v>36</v>
      </c>
      <c r="H374" s="320">
        <v>32500</v>
      </c>
      <c r="I374" s="395" t="b">
        <v>1</v>
      </c>
      <c r="J374" s="322">
        <v>0.25</v>
      </c>
      <c r="K374" s="323">
        <v>134000</v>
      </c>
      <c r="L374" s="379">
        <f t="shared" si="9"/>
        <v>33500</v>
      </c>
      <c r="M374" s="325" t="s">
        <v>1859</v>
      </c>
    </row>
    <row r="375" spans="1:13" ht="13">
      <c r="A375" s="316" t="s">
        <v>1669</v>
      </c>
      <c r="B375" s="316" t="s">
        <v>1973</v>
      </c>
      <c r="C375" s="316" t="s">
        <v>1973</v>
      </c>
      <c r="D375" s="316" t="s">
        <v>1973</v>
      </c>
      <c r="E375" s="317" t="s">
        <v>1973</v>
      </c>
      <c r="F375" s="318">
        <v>3</v>
      </c>
      <c r="G375" s="354" t="s">
        <v>36</v>
      </c>
      <c r="H375" s="320">
        <v>39000</v>
      </c>
      <c r="I375" s="395" t="b">
        <v>1</v>
      </c>
      <c r="J375" s="322">
        <v>3</v>
      </c>
      <c r="K375" s="323">
        <v>14000</v>
      </c>
      <c r="L375" s="379">
        <f t="shared" si="9"/>
        <v>42000</v>
      </c>
      <c r="M375" s="325" t="s">
        <v>1865</v>
      </c>
    </row>
    <row r="376" spans="1:13" ht="13">
      <c r="A376" s="316" t="s">
        <v>1501</v>
      </c>
      <c r="B376" s="316" t="s">
        <v>1973</v>
      </c>
      <c r="C376" s="316" t="s">
        <v>1973</v>
      </c>
      <c r="D376" s="316" t="s">
        <v>1973</v>
      </c>
      <c r="E376" s="317" t="s">
        <v>1973</v>
      </c>
      <c r="F376" s="318">
        <v>1</v>
      </c>
      <c r="G376" s="354" t="s">
        <v>36</v>
      </c>
      <c r="H376" s="320">
        <v>4050</v>
      </c>
      <c r="I376" s="319" t="b">
        <v>0</v>
      </c>
      <c r="J376" s="372"/>
      <c r="K376" s="373" t="s">
        <v>1973</v>
      </c>
      <c r="L376" s="374" t="e">
        <f t="shared" si="9"/>
        <v>#VALUE!</v>
      </c>
      <c r="M376" s="325"/>
    </row>
    <row r="377" spans="1:13" ht="13">
      <c r="A377" s="316" t="s">
        <v>1608</v>
      </c>
      <c r="B377" s="316" t="s">
        <v>1973</v>
      </c>
      <c r="C377" s="316" t="s">
        <v>1973</v>
      </c>
      <c r="D377" s="316" t="s">
        <v>1973</v>
      </c>
      <c r="E377" s="317" t="s">
        <v>1973</v>
      </c>
      <c r="F377" s="318">
        <v>1</v>
      </c>
      <c r="G377" s="354" t="s">
        <v>36</v>
      </c>
      <c r="H377" s="320">
        <v>40000</v>
      </c>
      <c r="I377" s="319" t="b">
        <v>0</v>
      </c>
      <c r="J377" s="372"/>
      <c r="K377" s="373" t="s">
        <v>1973</v>
      </c>
      <c r="L377" s="374" t="e">
        <f t="shared" si="9"/>
        <v>#VALUE!</v>
      </c>
      <c r="M377" s="325"/>
    </row>
    <row r="378" spans="1:13" ht="13">
      <c r="A378" s="316" t="s">
        <v>1671</v>
      </c>
      <c r="B378" s="316" t="s">
        <v>1973</v>
      </c>
      <c r="C378" s="316" t="s">
        <v>1973</v>
      </c>
      <c r="D378" s="316" t="s">
        <v>1973</v>
      </c>
      <c r="E378" s="317" t="s">
        <v>1973</v>
      </c>
      <c r="F378" s="318">
        <v>3</v>
      </c>
      <c r="G378" s="354" t="s">
        <v>36</v>
      </c>
      <c r="H378" s="320">
        <v>270000</v>
      </c>
      <c r="I378" s="319" t="b">
        <v>0</v>
      </c>
      <c r="J378" s="372"/>
      <c r="K378" s="373" t="s">
        <v>1973</v>
      </c>
      <c r="L378" s="374" t="e">
        <f t="shared" si="9"/>
        <v>#VALUE!</v>
      </c>
      <c r="M378" s="325"/>
    </row>
    <row r="379" spans="1:13" ht="13">
      <c r="A379" s="316" t="s">
        <v>989</v>
      </c>
      <c r="B379" s="316" t="s">
        <v>1973</v>
      </c>
      <c r="C379" s="316" t="s">
        <v>1973</v>
      </c>
      <c r="D379" s="316" t="s">
        <v>1973</v>
      </c>
      <c r="E379" s="317" t="s">
        <v>1973</v>
      </c>
      <c r="F379" s="318">
        <v>1</v>
      </c>
      <c r="G379" s="354" t="s">
        <v>62</v>
      </c>
      <c r="H379" s="320">
        <v>16000</v>
      </c>
      <c r="I379" s="319" t="b">
        <v>0</v>
      </c>
      <c r="J379" s="372"/>
      <c r="K379" s="373" t="s">
        <v>1973</v>
      </c>
      <c r="L379" s="374" t="e">
        <f t="shared" si="9"/>
        <v>#VALUE!</v>
      </c>
      <c r="M379" s="325"/>
    </row>
    <row r="380" spans="1:13" ht="13">
      <c r="A380" s="316" t="s">
        <v>1020</v>
      </c>
      <c r="B380" s="316" t="s">
        <v>1973</v>
      </c>
      <c r="C380" s="316" t="s">
        <v>1973</v>
      </c>
      <c r="D380" s="316" t="s">
        <v>1973</v>
      </c>
      <c r="E380" s="317" t="s">
        <v>1973</v>
      </c>
      <c r="F380" s="318">
        <v>1</v>
      </c>
      <c r="G380" s="354" t="s">
        <v>36</v>
      </c>
      <c r="H380" s="320">
        <v>10000</v>
      </c>
      <c r="I380" s="395" t="b">
        <v>1</v>
      </c>
      <c r="J380" s="322">
        <v>1</v>
      </c>
      <c r="K380" s="323">
        <v>12000</v>
      </c>
      <c r="L380" s="379">
        <f t="shared" si="9"/>
        <v>12000</v>
      </c>
      <c r="M380" s="325" t="s">
        <v>1866</v>
      </c>
    </row>
    <row r="381" spans="1:13" ht="13">
      <c r="A381" s="316" t="s">
        <v>1600</v>
      </c>
      <c r="B381" s="316" t="s">
        <v>1973</v>
      </c>
      <c r="C381" s="316" t="s">
        <v>1973</v>
      </c>
      <c r="D381" s="316" t="s">
        <v>1973</v>
      </c>
      <c r="E381" s="317" t="s">
        <v>1973</v>
      </c>
      <c r="F381" s="318">
        <v>1</v>
      </c>
      <c r="G381" s="354" t="s">
        <v>36</v>
      </c>
      <c r="H381" s="320">
        <v>8000</v>
      </c>
      <c r="I381" s="395" t="b">
        <v>1</v>
      </c>
      <c r="J381" s="322">
        <v>1</v>
      </c>
      <c r="K381" s="323">
        <v>10000</v>
      </c>
      <c r="L381" s="379">
        <f t="shared" si="9"/>
        <v>10000</v>
      </c>
      <c r="M381" s="325" t="s">
        <v>1866</v>
      </c>
    </row>
    <row r="382" spans="1:13" ht="13">
      <c r="A382" s="316" t="s">
        <v>949</v>
      </c>
      <c r="B382" s="316" t="s">
        <v>1973</v>
      </c>
      <c r="C382" s="316" t="s">
        <v>1973</v>
      </c>
      <c r="D382" s="316" t="s">
        <v>1973</v>
      </c>
      <c r="E382" s="317" t="s">
        <v>1973</v>
      </c>
      <c r="F382" s="318">
        <v>1</v>
      </c>
      <c r="G382" s="354" t="s">
        <v>97</v>
      </c>
      <c r="H382" s="320">
        <v>23200</v>
      </c>
      <c r="I382" s="319" t="b">
        <v>0</v>
      </c>
      <c r="J382" s="372"/>
      <c r="K382" s="373" t="s">
        <v>1973</v>
      </c>
      <c r="L382" s="374" t="e">
        <f t="shared" si="9"/>
        <v>#VALUE!</v>
      </c>
      <c r="M382" s="325"/>
    </row>
    <row r="383" spans="1:13" ht="13">
      <c r="A383" s="316" t="s">
        <v>1751</v>
      </c>
      <c r="B383" s="316" t="s">
        <v>1973</v>
      </c>
      <c r="C383" s="316" t="s">
        <v>1973</v>
      </c>
      <c r="D383" s="316" t="s">
        <v>1973</v>
      </c>
      <c r="E383" s="317" t="s">
        <v>1973</v>
      </c>
      <c r="F383" s="318">
        <v>10</v>
      </c>
      <c r="G383" s="354" t="s">
        <v>36</v>
      </c>
      <c r="H383" s="320">
        <v>120000</v>
      </c>
      <c r="I383" s="393" t="b">
        <v>1</v>
      </c>
      <c r="J383" s="322">
        <v>10</v>
      </c>
      <c r="K383" s="323" t="s">
        <v>1973</v>
      </c>
      <c r="L383" s="371" t="e">
        <f t="shared" si="9"/>
        <v>#VALUE!</v>
      </c>
      <c r="M383" s="325"/>
    </row>
    <row r="384" spans="1:13" ht="13">
      <c r="A384" s="316" t="s">
        <v>779</v>
      </c>
      <c r="B384" s="316" t="s">
        <v>1973</v>
      </c>
      <c r="C384" s="316" t="s">
        <v>1973</v>
      </c>
      <c r="D384" s="316" t="s">
        <v>1973</v>
      </c>
      <c r="E384" s="317" t="s">
        <v>1973</v>
      </c>
      <c r="F384" s="318">
        <v>3</v>
      </c>
      <c r="G384" s="354" t="s">
        <v>62</v>
      </c>
      <c r="H384" s="320">
        <v>115500</v>
      </c>
      <c r="I384" s="395" t="b">
        <v>1</v>
      </c>
      <c r="J384" s="322">
        <v>4</v>
      </c>
      <c r="K384" s="323">
        <v>16000</v>
      </c>
      <c r="L384" s="379">
        <f t="shared" si="9"/>
        <v>64000</v>
      </c>
      <c r="M384" s="325" t="s">
        <v>1867</v>
      </c>
    </row>
    <row r="385" spans="1:13" ht="13">
      <c r="A385" s="316" t="s">
        <v>1606</v>
      </c>
      <c r="B385" s="316" t="s">
        <v>1973</v>
      </c>
      <c r="C385" s="316" t="s">
        <v>1973</v>
      </c>
      <c r="D385" s="316" t="s">
        <v>1973</v>
      </c>
      <c r="E385" s="317" t="s">
        <v>1973</v>
      </c>
      <c r="F385" s="318">
        <v>1</v>
      </c>
      <c r="G385" s="354" t="s">
        <v>36</v>
      </c>
      <c r="H385" s="320">
        <v>43200</v>
      </c>
      <c r="I385" s="319" t="b">
        <v>0</v>
      </c>
      <c r="J385" s="372"/>
      <c r="K385" s="373" t="s">
        <v>1973</v>
      </c>
      <c r="L385" s="374" t="e">
        <f t="shared" si="9"/>
        <v>#VALUE!</v>
      </c>
      <c r="M385" s="325"/>
    </row>
    <row r="386" spans="1:13" ht="13">
      <c r="A386" s="316" t="s">
        <v>910</v>
      </c>
      <c r="B386" s="316" t="s">
        <v>1973</v>
      </c>
      <c r="C386" s="316" t="s">
        <v>1973</v>
      </c>
      <c r="D386" s="316" t="s">
        <v>1973</v>
      </c>
      <c r="E386" s="317" t="s">
        <v>1973</v>
      </c>
      <c r="F386" s="318">
        <v>4</v>
      </c>
      <c r="G386" s="354" t="s">
        <v>62</v>
      </c>
      <c r="H386" s="320">
        <v>52000</v>
      </c>
      <c r="I386" s="319" t="b">
        <v>0</v>
      </c>
      <c r="J386" s="372"/>
      <c r="K386" s="373" t="s">
        <v>1973</v>
      </c>
      <c r="L386" s="374" t="e">
        <f t="shared" si="9"/>
        <v>#VALUE!</v>
      </c>
      <c r="M386" s="325"/>
    </row>
    <row r="387" spans="1:13" ht="13">
      <c r="A387" s="316" t="s">
        <v>540</v>
      </c>
      <c r="B387" s="316" t="s">
        <v>1973</v>
      </c>
      <c r="C387" s="316" t="s">
        <v>1973</v>
      </c>
      <c r="D387" s="316" t="s">
        <v>1973</v>
      </c>
      <c r="E387" s="317" t="s">
        <v>1973</v>
      </c>
      <c r="F387" s="318">
        <v>3</v>
      </c>
      <c r="G387" s="354" t="s">
        <v>36</v>
      </c>
      <c r="H387" s="320">
        <v>510000</v>
      </c>
      <c r="I387" s="319" t="b">
        <v>0</v>
      </c>
      <c r="J387" s="372"/>
      <c r="K387" s="373" t="s">
        <v>1973</v>
      </c>
      <c r="L387" s="374" t="e">
        <f t="shared" si="9"/>
        <v>#VALUE!</v>
      </c>
      <c r="M387" s="325"/>
    </row>
    <row r="388" spans="1:13" ht="13">
      <c r="A388" s="316" t="s">
        <v>1602</v>
      </c>
      <c r="B388" s="316" t="s">
        <v>1973</v>
      </c>
      <c r="C388" s="316" t="s">
        <v>1973</v>
      </c>
      <c r="D388" s="316" t="s">
        <v>1973</v>
      </c>
      <c r="E388" s="317" t="s">
        <v>1973</v>
      </c>
      <c r="F388" s="318">
        <v>2</v>
      </c>
      <c r="G388" s="354" t="s">
        <v>36</v>
      </c>
      <c r="H388" s="320">
        <v>26000</v>
      </c>
      <c r="I388" s="395" t="b">
        <v>1</v>
      </c>
      <c r="J388" s="322">
        <v>2</v>
      </c>
      <c r="K388" s="323">
        <v>14000</v>
      </c>
      <c r="L388" s="379">
        <f t="shared" si="9"/>
        <v>28000</v>
      </c>
      <c r="M388" s="325" t="s">
        <v>1866</v>
      </c>
    </row>
    <row r="389" spans="1:13" ht="13">
      <c r="A389" s="316" t="s">
        <v>528</v>
      </c>
      <c r="B389" s="316" t="s">
        <v>1973</v>
      </c>
      <c r="C389" s="316" t="s">
        <v>1973</v>
      </c>
      <c r="D389" s="316" t="s">
        <v>1973</v>
      </c>
      <c r="E389" s="317" t="s">
        <v>1973</v>
      </c>
      <c r="F389" s="318">
        <v>4</v>
      </c>
      <c r="G389" s="354" t="s">
        <v>50</v>
      </c>
      <c r="H389" s="320">
        <v>64000</v>
      </c>
      <c r="I389" s="393" t="b">
        <v>1</v>
      </c>
      <c r="J389" s="322">
        <v>4</v>
      </c>
      <c r="K389" s="323" t="s">
        <v>1973</v>
      </c>
      <c r="L389" s="371" t="e">
        <f t="shared" si="9"/>
        <v>#VALUE!</v>
      </c>
      <c r="M389" s="325"/>
    </row>
    <row r="390" spans="1:13" ht="13">
      <c r="A390" s="316" t="s">
        <v>635</v>
      </c>
      <c r="B390" s="316" t="s">
        <v>1973</v>
      </c>
      <c r="C390" s="316" t="s">
        <v>1973</v>
      </c>
      <c r="D390" s="316" t="s">
        <v>1973</v>
      </c>
      <c r="E390" s="317" t="s">
        <v>1973</v>
      </c>
      <c r="F390" s="318">
        <v>8</v>
      </c>
      <c r="G390" s="354" t="s">
        <v>50</v>
      </c>
      <c r="H390" s="320">
        <v>76000</v>
      </c>
      <c r="I390" s="393" t="b">
        <v>1</v>
      </c>
      <c r="J390" s="322">
        <v>8</v>
      </c>
      <c r="K390" s="323" t="s">
        <v>1973</v>
      </c>
      <c r="L390" s="371" t="e">
        <f t="shared" si="9"/>
        <v>#VALUE!</v>
      </c>
      <c r="M390" s="325"/>
    </row>
    <row r="391" spans="1:13" ht="13">
      <c r="A391" s="316" t="s">
        <v>643</v>
      </c>
      <c r="B391" s="316" t="s">
        <v>1973</v>
      </c>
      <c r="C391" s="316" t="s">
        <v>1973</v>
      </c>
      <c r="D391" s="316" t="s">
        <v>1973</v>
      </c>
      <c r="E391" s="317" t="s">
        <v>1973</v>
      </c>
      <c r="F391" s="318">
        <v>1.5</v>
      </c>
      <c r="G391" s="354" t="s">
        <v>36</v>
      </c>
      <c r="H391" s="320">
        <v>22500</v>
      </c>
      <c r="I391" s="395" t="b">
        <v>1</v>
      </c>
      <c r="J391" s="322">
        <v>1.5</v>
      </c>
      <c r="K391" s="323">
        <v>14000</v>
      </c>
      <c r="L391" s="380">
        <f t="shared" si="9"/>
        <v>21000</v>
      </c>
      <c r="M391" s="325" t="s">
        <v>1868</v>
      </c>
    </row>
    <row r="392" spans="1:13" ht="13">
      <c r="A392" s="316" t="s">
        <v>680</v>
      </c>
      <c r="B392" s="316" t="s">
        <v>1973</v>
      </c>
      <c r="C392" s="316" t="s">
        <v>1973</v>
      </c>
      <c r="D392" s="316" t="s">
        <v>1973</v>
      </c>
      <c r="E392" s="317" t="s">
        <v>1973</v>
      </c>
      <c r="F392" s="318">
        <v>4</v>
      </c>
      <c r="G392" s="354" t="s">
        <v>97</v>
      </c>
      <c r="H392" s="320">
        <v>116000</v>
      </c>
      <c r="I392" s="395" t="b">
        <v>1</v>
      </c>
      <c r="J392" s="322">
        <v>4</v>
      </c>
      <c r="K392" s="323">
        <v>30000</v>
      </c>
      <c r="L392" s="379">
        <f t="shared" si="9"/>
        <v>120000</v>
      </c>
      <c r="M392" s="325" t="s">
        <v>1869</v>
      </c>
    </row>
    <row r="393" spans="1:13" ht="13">
      <c r="A393" s="316" t="s">
        <v>684</v>
      </c>
      <c r="B393" s="316" t="s">
        <v>1973</v>
      </c>
      <c r="C393" s="316" t="s">
        <v>1973</v>
      </c>
      <c r="D393" s="316" t="s">
        <v>1973</v>
      </c>
      <c r="E393" s="317" t="s">
        <v>1973</v>
      </c>
      <c r="F393" s="318">
        <v>2</v>
      </c>
      <c r="G393" s="354" t="s">
        <v>97</v>
      </c>
      <c r="H393" s="320">
        <v>58000</v>
      </c>
      <c r="I393" s="395" t="b">
        <v>1</v>
      </c>
      <c r="J393" s="322">
        <v>2</v>
      </c>
      <c r="K393" s="323">
        <v>30000</v>
      </c>
      <c r="L393" s="379">
        <f t="shared" si="9"/>
        <v>60000</v>
      </c>
      <c r="M393" s="325" t="s">
        <v>1869</v>
      </c>
    </row>
    <row r="394" spans="1:13" ht="13">
      <c r="A394" s="316" t="s">
        <v>892</v>
      </c>
      <c r="B394" s="316" t="s">
        <v>1973</v>
      </c>
      <c r="C394" s="316" t="s">
        <v>1973</v>
      </c>
      <c r="D394" s="316" t="s">
        <v>1973</v>
      </c>
      <c r="E394" s="317" t="s">
        <v>1973</v>
      </c>
      <c r="F394" s="318">
        <v>1</v>
      </c>
      <c r="G394" s="354" t="s">
        <v>36</v>
      </c>
      <c r="H394" s="320">
        <v>120000</v>
      </c>
      <c r="I394" s="395" t="b">
        <v>1</v>
      </c>
      <c r="J394" s="322">
        <v>1</v>
      </c>
      <c r="K394" s="323">
        <v>125000</v>
      </c>
      <c r="L394" s="379">
        <f t="shared" si="9"/>
        <v>125000</v>
      </c>
      <c r="M394" s="325" t="s">
        <v>1870</v>
      </c>
    </row>
    <row r="396" spans="1:13" ht="13">
      <c r="F396" s="429">
        <v>44582</v>
      </c>
      <c r="G396" s="428"/>
      <c r="H396" s="424"/>
      <c r="J396" s="429">
        <f>F396+1</f>
        <v>44583</v>
      </c>
      <c r="K396" s="428"/>
      <c r="L396" s="424"/>
    </row>
    <row r="397" spans="1:13" ht="13">
      <c r="F397" s="425" t="s">
        <v>1490</v>
      </c>
      <c r="G397" s="426"/>
      <c r="H397" s="304">
        <f>SUM(H399:H486)</f>
        <v>6764448</v>
      </c>
      <c r="J397" s="425" t="s">
        <v>1491</v>
      </c>
      <c r="K397" s="426"/>
      <c r="L397" s="304" t="e">
        <f>SUM(L399:L486)</f>
        <v>#VALUE!</v>
      </c>
    </row>
    <row r="398" spans="1:13" ht="13">
      <c r="A398" s="2" t="s">
        <v>4</v>
      </c>
      <c r="B398" s="305" t="s">
        <v>5</v>
      </c>
      <c r="C398" s="305" t="s">
        <v>11</v>
      </c>
      <c r="D398" s="305" t="s">
        <v>12</v>
      </c>
      <c r="E398" s="306" t="s">
        <v>6</v>
      </c>
      <c r="F398" s="307" t="s">
        <v>1494</v>
      </c>
      <c r="G398" s="308" t="s">
        <v>10</v>
      </c>
      <c r="H398" s="309" t="s">
        <v>1495</v>
      </c>
      <c r="I398" s="310" t="s">
        <v>1289</v>
      </c>
      <c r="J398" s="311" t="s">
        <v>1496</v>
      </c>
      <c r="K398" s="312" t="s">
        <v>1497</v>
      </c>
      <c r="L398" s="313" t="s">
        <v>1498</v>
      </c>
      <c r="M398" s="314" t="s">
        <v>16</v>
      </c>
    </row>
    <row r="399" spans="1:13" ht="13">
      <c r="A399" s="316" t="s">
        <v>544</v>
      </c>
      <c r="B399" s="316" t="s">
        <v>1973</v>
      </c>
      <c r="C399" s="316" t="s">
        <v>1973</v>
      </c>
      <c r="D399" s="316" t="s">
        <v>1973</v>
      </c>
      <c r="E399" s="317" t="s">
        <v>1973</v>
      </c>
      <c r="F399" s="318">
        <v>3</v>
      </c>
      <c r="G399" s="354" t="s">
        <v>62</v>
      </c>
      <c r="H399" s="320">
        <v>67800</v>
      </c>
      <c r="I399" s="393" t="b">
        <v>1</v>
      </c>
      <c r="J399" s="322">
        <v>3</v>
      </c>
      <c r="K399" s="323" t="s">
        <v>1973</v>
      </c>
      <c r="L399" s="371" t="e">
        <f t="shared" ref="L399:L486" si="10">J399*K399</f>
        <v>#VALUE!</v>
      </c>
      <c r="M399" s="325"/>
    </row>
    <row r="400" spans="1:13" ht="13">
      <c r="A400" s="316" t="s">
        <v>586</v>
      </c>
      <c r="B400" s="316" t="s">
        <v>1973</v>
      </c>
      <c r="C400" s="316" t="s">
        <v>1973</v>
      </c>
      <c r="D400" s="316" t="s">
        <v>1973</v>
      </c>
      <c r="E400" s="317" t="s">
        <v>1973</v>
      </c>
      <c r="F400" s="318">
        <v>5</v>
      </c>
      <c r="G400" s="354" t="s">
        <v>62</v>
      </c>
      <c r="H400" s="320">
        <v>36000</v>
      </c>
      <c r="I400" s="393" t="b">
        <v>1</v>
      </c>
      <c r="J400" s="322">
        <v>5</v>
      </c>
      <c r="K400" s="323" t="s">
        <v>1973</v>
      </c>
      <c r="L400" s="371" t="e">
        <f t="shared" si="10"/>
        <v>#VALUE!</v>
      </c>
      <c r="M400" s="325"/>
    </row>
    <row r="401" spans="1:13" ht="13">
      <c r="A401" s="316" t="s">
        <v>627</v>
      </c>
      <c r="B401" s="316" t="s">
        <v>1973</v>
      </c>
      <c r="C401" s="316" t="s">
        <v>1973</v>
      </c>
      <c r="D401" s="316" t="s">
        <v>1973</v>
      </c>
      <c r="E401" s="317" t="s">
        <v>1973</v>
      </c>
      <c r="F401" s="318">
        <v>1</v>
      </c>
      <c r="G401" s="354" t="s">
        <v>36</v>
      </c>
      <c r="H401" s="320">
        <v>31900</v>
      </c>
      <c r="I401" s="395" t="b">
        <v>1</v>
      </c>
      <c r="J401" s="322">
        <v>1</v>
      </c>
      <c r="K401" s="323">
        <v>37900</v>
      </c>
      <c r="L401" s="379">
        <f t="shared" si="10"/>
        <v>37900</v>
      </c>
      <c r="M401" s="325" t="s">
        <v>1861</v>
      </c>
    </row>
    <row r="402" spans="1:13" ht="13">
      <c r="A402" s="316" t="s">
        <v>1598</v>
      </c>
      <c r="B402" s="316" t="s">
        <v>1973</v>
      </c>
      <c r="C402" s="316" t="s">
        <v>1973</v>
      </c>
      <c r="D402" s="316" t="s">
        <v>1973</v>
      </c>
      <c r="E402" s="317" t="s">
        <v>1973</v>
      </c>
      <c r="F402" s="318">
        <v>2</v>
      </c>
      <c r="G402" s="354" t="s">
        <v>97</v>
      </c>
      <c r="H402" s="320">
        <v>20800</v>
      </c>
      <c r="I402" s="395" t="b">
        <v>1</v>
      </c>
      <c r="J402" s="322">
        <v>1</v>
      </c>
      <c r="K402" s="323">
        <v>27400</v>
      </c>
      <c r="L402" s="379">
        <f t="shared" si="10"/>
        <v>27400</v>
      </c>
      <c r="M402" s="325" t="s">
        <v>1871</v>
      </c>
    </row>
    <row r="403" spans="1:13" ht="13">
      <c r="A403" s="316" t="s">
        <v>770</v>
      </c>
      <c r="B403" s="316" t="s">
        <v>1973</v>
      </c>
      <c r="C403" s="316" t="s">
        <v>1973</v>
      </c>
      <c r="D403" s="316" t="s">
        <v>1973</v>
      </c>
      <c r="E403" s="317" t="s">
        <v>1973</v>
      </c>
      <c r="F403" s="318">
        <v>1</v>
      </c>
      <c r="G403" s="354" t="s">
        <v>97</v>
      </c>
      <c r="H403" s="320">
        <v>24400</v>
      </c>
      <c r="I403" s="319" t="b">
        <v>0</v>
      </c>
      <c r="J403" s="372"/>
      <c r="K403" s="373" t="s">
        <v>1973</v>
      </c>
      <c r="L403" s="374" t="e">
        <f t="shared" si="10"/>
        <v>#VALUE!</v>
      </c>
      <c r="M403" s="325"/>
    </row>
    <row r="404" spans="1:13" ht="13">
      <c r="A404" s="316" t="s">
        <v>782</v>
      </c>
      <c r="B404" s="316" t="s">
        <v>1973</v>
      </c>
      <c r="C404" s="316" t="s">
        <v>1973</v>
      </c>
      <c r="D404" s="316" t="s">
        <v>1973</v>
      </c>
      <c r="E404" s="317" t="s">
        <v>1973</v>
      </c>
      <c r="F404" s="318">
        <v>1</v>
      </c>
      <c r="G404" s="354" t="s">
        <v>62</v>
      </c>
      <c r="H404" s="320">
        <v>12000</v>
      </c>
      <c r="I404" s="319" t="b">
        <v>0</v>
      </c>
      <c r="J404" s="372"/>
      <c r="K404" s="373" t="s">
        <v>1973</v>
      </c>
      <c r="L404" s="374" t="e">
        <f t="shared" si="10"/>
        <v>#VALUE!</v>
      </c>
      <c r="M404" s="325"/>
    </row>
    <row r="405" spans="1:13" ht="13">
      <c r="A405" s="316" t="s">
        <v>1661</v>
      </c>
      <c r="B405" s="316" t="s">
        <v>1973</v>
      </c>
      <c r="C405" s="316" t="s">
        <v>1973</v>
      </c>
      <c r="D405" s="316" t="s">
        <v>1973</v>
      </c>
      <c r="E405" s="317" t="s">
        <v>1973</v>
      </c>
      <c r="F405" s="318">
        <v>2</v>
      </c>
      <c r="G405" s="354" t="s">
        <v>97</v>
      </c>
      <c r="H405" s="320">
        <v>29200</v>
      </c>
      <c r="I405" s="395" t="b">
        <v>1</v>
      </c>
      <c r="J405" s="322">
        <v>1</v>
      </c>
      <c r="K405" s="323">
        <v>10000</v>
      </c>
      <c r="L405" s="379">
        <f t="shared" si="10"/>
        <v>10000</v>
      </c>
      <c r="M405" s="325" t="s">
        <v>1872</v>
      </c>
    </row>
    <row r="406" spans="1:13" ht="13">
      <c r="A406" s="316" t="s">
        <v>1670</v>
      </c>
      <c r="B406" s="316" t="s">
        <v>1973</v>
      </c>
      <c r="C406" s="316" t="s">
        <v>1973</v>
      </c>
      <c r="D406" s="316" t="s">
        <v>1973</v>
      </c>
      <c r="E406" s="317" t="s">
        <v>1973</v>
      </c>
      <c r="F406" s="318">
        <v>1</v>
      </c>
      <c r="G406" s="354" t="s">
        <v>62</v>
      </c>
      <c r="H406" s="320">
        <v>11500</v>
      </c>
      <c r="I406" s="395" t="b">
        <v>1</v>
      </c>
      <c r="J406" s="322">
        <v>1</v>
      </c>
      <c r="K406" s="323">
        <v>10200</v>
      </c>
      <c r="L406" s="380">
        <f t="shared" si="10"/>
        <v>10200</v>
      </c>
      <c r="M406" s="325" t="s">
        <v>1873</v>
      </c>
    </row>
    <row r="407" spans="1:13" ht="13">
      <c r="A407" s="316" t="s">
        <v>1607</v>
      </c>
      <c r="B407" s="316" t="s">
        <v>1973</v>
      </c>
      <c r="C407" s="316" t="s">
        <v>1973</v>
      </c>
      <c r="D407" s="316" t="s">
        <v>1973</v>
      </c>
      <c r="E407" s="317" t="s">
        <v>1973</v>
      </c>
      <c r="F407" s="318">
        <v>1</v>
      </c>
      <c r="G407" s="354" t="s">
        <v>62</v>
      </c>
      <c r="H407" s="320">
        <v>11500</v>
      </c>
      <c r="I407" s="393" t="b">
        <v>1</v>
      </c>
      <c r="J407" s="322">
        <v>1</v>
      </c>
      <c r="K407" s="323" t="e">
        <f>VLOOKUP($A407,'[1]Database Bahan &amp; Alat (Terupdat'!$B$50:$N$232,6,FALSE)</f>
        <v>#N/A</v>
      </c>
      <c r="L407" s="371" t="e">
        <f t="shared" si="10"/>
        <v>#N/A</v>
      </c>
      <c r="M407" s="325"/>
    </row>
    <row r="408" spans="1:13" ht="13">
      <c r="A408" s="316" t="s">
        <v>919</v>
      </c>
      <c r="B408" s="316" t="s">
        <v>1973</v>
      </c>
      <c r="C408" s="316" t="s">
        <v>1973</v>
      </c>
      <c r="D408" s="316" t="s">
        <v>1973</v>
      </c>
      <c r="E408" s="317" t="s">
        <v>1973</v>
      </c>
      <c r="F408" s="318">
        <v>3</v>
      </c>
      <c r="G408" s="354" t="s">
        <v>62</v>
      </c>
      <c r="H408" s="320">
        <v>29700</v>
      </c>
      <c r="I408" s="395" t="b">
        <v>1</v>
      </c>
      <c r="J408" s="322">
        <v>1</v>
      </c>
      <c r="K408" s="323">
        <f>17600+7552</f>
        <v>25152</v>
      </c>
      <c r="L408" s="411">
        <f t="shared" si="10"/>
        <v>25152</v>
      </c>
      <c r="M408" s="325"/>
    </row>
    <row r="409" spans="1:13" ht="13">
      <c r="A409" s="316" t="s">
        <v>937</v>
      </c>
      <c r="B409" s="316" t="s">
        <v>1973</v>
      </c>
      <c r="C409" s="316" t="s">
        <v>1973</v>
      </c>
      <c r="D409" s="316" t="s">
        <v>1973</v>
      </c>
      <c r="E409" s="317" t="s">
        <v>1973</v>
      </c>
      <c r="F409" s="318">
        <v>2</v>
      </c>
      <c r="G409" s="354" t="s">
        <v>62</v>
      </c>
      <c r="H409" s="320">
        <v>14400</v>
      </c>
      <c r="I409" s="393" t="b">
        <v>1</v>
      </c>
      <c r="J409" s="322">
        <v>1</v>
      </c>
      <c r="K409" s="323" t="s">
        <v>1973</v>
      </c>
      <c r="L409" s="371" t="e">
        <f t="shared" si="10"/>
        <v>#VALUE!</v>
      </c>
      <c r="M409" s="325"/>
    </row>
    <row r="410" spans="1:13" ht="13">
      <c r="A410" s="316" t="s">
        <v>970</v>
      </c>
      <c r="B410" s="316" t="s">
        <v>1973</v>
      </c>
      <c r="C410" s="316" t="s">
        <v>1973</v>
      </c>
      <c r="D410" s="316" t="s">
        <v>1973</v>
      </c>
      <c r="E410" s="317" t="s">
        <v>1973</v>
      </c>
      <c r="F410" s="318">
        <v>1</v>
      </c>
      <c r="G410" s="354" t="s">
        <v>75</v>
      </c>
      <c r="H410" s="320">
        <v>16500</v>
      </c>
      <c r="I410" s="393" t="b">
        <v>1</v>
      </c>
      <c r="J410" s="322">
        <v>1</v>
      </c>
      <c r="K410" s="323" t="s">
        <v>1973</v>
      </c>
      <c r="L410" s="371" t="e">
        <f t="shared" si="10"/>
        <v>#VALUE!</v>
      </c>
      <c r="M410" s="325"/>
    </row>
    <row r="411" spans="1:13" ht="13">
      <c r="A411" s="18" t="s">
        <v>1094</v>
      </c>
      <c r="B411" s="316" t="s">
        <v>1973</v>
      </c>
      <c r="C411" s="316" t="s">
        <v>1973</v>
      </c>
      <c r="D411" s="316" t="s">
        <v>1973</v>
      </c>
      <c r="E411" s="317" t="s">
        <v>1973</v>
      </c>
      <c r="F411" s="318">
        <v>2</v>
      </c>
      <c r="G411" s="354" t="s">
        <v>62</v>
      </c>
      <c r="H411" s="320">
        <v>34600</v>
      </c>
      <c r="I411" s="395" t="b">
        <v>1</v>
      </c>
      <c r="J411" s="322">
        <v>2</v>
      </c>
      <c r="K411" s="323">
        <v>17600</v>
      </c>
      <c r="L411" s="379">
        <f t="shared" si="10"/>
        <v>35200</v>
      </c>
      <c r="M411" s="325" t="s">
        <v>1874</v>
      </c>
    </row>
    <row r="412" spans="1:13" ht="13">
      <c r="A412" s="18" t="s">
        <v>1101</v>
      </c>
      <c r="B412" s="316" t="s">
        <v>1973</v>
      </c>
      <c r="C412" s="316" t="s">
        <v>1973</v>
      </c>
      <c r="D412" s="316" t="s">
        <v>1973</v>
      </c>
      <c r="E412" s="317" t="s">
        <v>1973</v>
      </c>
      <c r="F412" s="318">
        <v>1</v>
      </c>
      <c r="G412" s="354" t="s">
        <v>62</v>
      </c>
      <c r="H412" s="320">
        <v>16100</v>
      </c>
      <c r="I412" s="393" t="b">
        <v>1</v>
      </c>
      <c r="J412" s="322">
        <v>1</v>
      </c>
      <c r="K412" s="323" t="s">
        <v>1973</v>
      </c>
      <c r="L412" s="371" t="e">
        <f t="shared" si="10"/>
        <v>#VALUE!</v>
      </c>
      <c r="M412" s="325"/>
    </row>
    <row r="413" spans="1:13" ht="13">
      <c r="A413" s="316" t="s">
        <v>851</v>
      </c>
      <c r="B413" s="316" t="s">
        <v>1973</v>
      </c>
      <c r="C413" s="316" t="s">
        <v>1973</v>
      </c>
      <c r="D413" s="316" t="s">
        <v>1973</v>
      </c>
      <c r="E413" s="317" t="s">
        <v>1973</v>
      </c>
      <c r="F413" s="318">
        <v>7</v>
      </c>
      <c r="G413" s="354" t="s">
        <v>143</v>
      </c>
      <c r="H413" s="320">
        <v>210000</v>
      </c>
      <c r="I413" s="319" t="b">
        <v>0</v>
      </c>
      <c r="J413" s="372"/>
      <c r="K413" s="373" t="s">
        <v>1973</v>
      </c>
      <c r="L413" s="374" t="e">
        <f t="shared" si="10"/>
        <v>#VALUE!</v>
      </c>
      <c r="M413" s="325"/>
    </row>
    <row r="414" spans="1:13" ht="13">
      <c r="A414" s="316" t="s">
        <v>574</v>
      </c>
      <c r="B414" s="316" t="s">
        <v>1973</v>
      </c>
      <c r="C414" s="316" t="s">
        <v>1973</v>
      </c>
      <c r="D414" s="316" t="s">
        <v>1973</v>
      </c>
      <c r="E414" s="317" t="s">
        <v>1973</v>
      </c>
      <c r="F414" s="318">
        <v>1</v>
      </c>
      <c r="G414" s="354" t="s">
        <v>62</v>
      </c>
      <c r="H414" s="320">
        <v>170000</v>
      </c>
      <c r="I414" s="319" t="b">
        <v>0</v>
      </c>
      <c r="J414" s="372"/>
      <c r="K414" s="373" t="s">
        <v>1973</v>
      </c>
      <c r="L414" s="374" t="e">
        <f t="shared" si="10"/>
        <v>#VALUE!</v>
      </c>
      <c r="M414" s="325"/>
    </row>
    <row r="415" spans="1:13" ht="13">
      <c r="A415" s="316" t="s">
        <v>578</v>
      </c>
      <c r="B415" s="316" t="s">
        <v>1973</v>
      </c>
      <c r="C415" s="316" t="s">
        <v>1973</v>
      </c>
      <c r="D415" s="316" t="s">
        <v>1973</v>
      </c>
      <c r="E415" s="317" t="s">
        <v>1973</v>
      </c>
      <c r="F415" s="318">
        <v>2</v>
      </c>
      <c r="G415" s="354" t="s">
        <v>62</v>
      </c>
      <c r="H415" s="320">
        <v>440000</v>
      </c>
      <c r="I415" s="319" t="b">
        <v>0</v>
      </c>
      <c r="J415" s="372"/>
      <c r="K415" s="373" t="s">
        <v>1973</v>
      </c>
      <c r="L415" s="374" t="e">
        <f t="shared" si="10"/>
        <v>#VALUE!</v>
      </c>
      <c r="M415" s="325"/>
    </row>
    <row r="416" spans="1:13" ht="13">
      <c r="A416" s="316" t="s">
        <v>958</v>
      </c>
      <c r="B416" s="316" t="s">
        <v>1973</v>
      </c>
      <c r="C416" s="316" t="s">
        <v>1973</v>
      </c>
      <c r="D416" s="316" t="s">
        <v>1973</v>
      </c>
      <c r="E416" s="317" t="s">
        <v>1973</v>
      </c>
      <c r="F416" s="318">
        <v>2</v>
      </c>
      <c r="G416" s="354" t="s">
        <v>97</v>
      </c>
      <c r="H416" s="320">
        <v>258000</v>
      </c>
      <c r="I416" s="319" t="b">
        <v>0</v>
      </c>
      <c r="J416" s="372"/>
      <c r="K416" s="373" t="s">
        <v>1973</v>
      </c>
      <c r="L416" s="374" t="e">
        <f t="shared" si="10"/>
        <v>#VALUE!</v>
      </c>
      <c r="M416" s="325"/>
    </row>
    <row r="417" spans="1:13" ht="13">
      <c r="A417" s="316" t="s">
        <v>964</v>
      </c>
      <c r="B417" s="316" t="s">
        <v>1973</v>
      </c>
      <c r="C417" s="316" t="s">
        <v>1973</v>
      </c>
      <c r="D417" s="316" t="s">
        <v>1973</v>
      </c>
      <c r="E417" s="317" t="s">
        <v>1973</v>
      </c>
      <c r="F417" s="318">
        <v>1</v>
      </c>
      <c r="G417" s="354" t="s">
        <v>97</v>
      </c>
      <c r="H417" s="320">
        <v>129000</v>
      </c>
      <c r="I417" s="319" t="b">
        <v>0</v>
      </c>
      <c r="J417" s="372"/>
      <c r="K417" s="373" t="s">
        <v>1973</v>
      </c>
      <c r="L417" s="374" t="e">
        <f t="shared" si="10"/>
        <v>#VALUE!</v>
      </c>
      <c r="M417" s="325"/>
    </row>
    <row r="418" spans="1:13" ht="13">
      <c r="A418" s="316" t="s">
        <v>967</v>
      </c>
      <c r="B418" s="316" t="s">
        <v>1973</v>
      </c>
      <c r="C418" s="316" t="s">
        <v>1973</v>
      </c>
      <c r="D418" s="316" t="s">
        <v>1973</v>
      </c>
      <c r="E418" s="317" t="s">
        <v>1973</v>
      </c>
      <c r="F418" s="318">
        <v>2</v>
      </c>
      <c r="G418" s="354" t="s">
        <v>97</v>
      </c>
      <c r="H418" s="320">
        <v>258000</v>
      </c>
      <c r="I418" s="319" t="b">
        <v>0</v>
      </c>
      <c r="J418" s="372"/>
      <c r="K418" s="373" t="s">
        <v>1973</v>
      </c>
      <c r="L418" s="374" t="e">
        <f t="shared" si="10"/>
        <v>#VALUE!</v>
      </c>
      <c r="M418" s="325"/>
    </row>
    <row r="419" spans="1:13" ht="13">
      <c r="A419" s="316" t="s">
        <v>1505</v>
      </c>
      <c r="B419" s="316" t="s">
        <v>1973</v>
      </c>
      <c r="C419" s="316" t="s">
        <v>1973</v>
      </c>
      <c r="D419" s="316" t="s">
        <v>1973</v>
      </c>
      <c r="E419" s="317" t="s">
        <v>1973</v>
      </c>
      <c r="F419" s="318">
        <v>1</v>
      </c>
      <c r="G419" s="354" t="s">
        <v>97</v>
      </c>
      <c r="H419" s="320">
        <v>128700</v>
      </c>
      <c r="I419" s="319" t="b">
        <v>0</v>
      </c>
      <c r="J419" s="372"/>
      <c r="K419" s="373" t="s">
        <v>1973</v>
      </c>
      <c r="L419" s="374" t="e">
        <f t="shared" si="10"/>
        <v>#VALUE!</v>
      </c>
      <c r="M419" s="325"/>
    </row>
    <row r="420" spans="1:13" ht="13">
      <c r="A420" s="316" t="s">
        <v>1506</v>
      </c>
      <c r="B420" s="316" t="s">
        <v>1973</v>
      </c>
      <c r="C420" s="316" t="s">
        <v>1973</v>
      </c>
      <c r="D420" s="316" t="s">
        <v>1973</v>
      </c>
      <c r="E420" s="317" t="s">
        <v>1973</v>
      </c>
      <c r="F420" s="318">
        <v>1</v>
      </c>
      <c r="G420" s="354" t="s">
        <v>97</v>
      </c>
      <c r="H420" s="320">
        <v>128700</v>
      </c>
      <c r="I420" s="319" t="b">
        <v>0</v>
      </c>
      <c r="J420" s="372"/>
      <c r="K420" s="373" t="s">
        <v>1973</v>
      </c>
      <c r="L420" s="374" t="e">
        <f t="shared" si="10"/>
        <v>#VALUE!</v>
      </c>
      <c r="M420" s="325"/>
    </row>
    <row r="421" spans="1:13" ht="13">
      <c r="A421" s="316" t="s">
        <v>976</v>
      </c>
      <c r="B421" s="316" t="s">
        <v>1973</v>
      </c>
      <c r="C421" s="316" t="s">
        <v>1973</v>
      </c>
      <c r="D421" s="316" t="s">
        <v>1973</v>
      </c>
      <c r="E421" s="317" t="s">
        <v>1973</v>
      </c>
      <c r="F421" s="318">
        <v>1</v>
      </c>
      <c r="G421" s="354" t="s">
        <v>62</v>
      </c>
      <c r="H421" s="320">
        <v>25000</v>
      </c>
      <c r="I421" s="393" t="b">
        <v>1</v>
      </c>
      <c r="J421" s="322">
        <v>1</v>
      </c>
      <c r="K421" s="323" t="s">
        <v>1973</v>
      </c>
      <c r="L421" s="371" t="e">
        <f t="shared" si="10"/>
        <v>#VALUE!</v>
      </c>
      <c r="M421" s="325"/>
    </row>
    <row r="422" spans="1:13" ht="13">
      <c r="A422" s="316" t="s">
        <v>1696</v>
      </c>
      <c r="B422" s="316" t="s">
        <v>1973</v>
      </c>
      <c r="C422" s="316" t="s">
        <v>1973</v>
      </c>
      <c r="D422" s="316" t="s">
        <v>1973</v>
      </c>
      <c r="E422" s="317" t="s">
        <v>1973</v>
      </c>
      <c r="F422" s="318">
        <v>1</v>
      </c>
      <c r="G422" s="354" t="s">
        <v>62</v>
      </c>
      <c r="H422" s="320">
        <v>15000</v>
      </c>
      <c r="I422" s="319" t="b">
        <v>0</v>
      </c>
      <c r="J422" s="372"/>
      <c r="K422" s="373" t="s">
        <v>1973</v>
      </c>
      <c r="L422" s="374" t="e">
        <f t="shared" si="10"/>
        <v>#VALUE!</v>
      </c>
      <c r="M422" s="325"/>
    </row>
    <row r="423" spans="1:13" ht="13">
      <c r="A423" s="316" t="s">
        <v>1697</v>
      </c>
      <c r="B423" s="316" t="s">
        <v>1973</v>
      </c>
      <c r="C423" s="316" t="s">
        <v>1973</v>
      </c>
      <c r="D423" s="316" t="s">
        <v>1973</v>
      </c>
      <c r="E423" s="317" t="s">
        <v>1973</v>
      </c>
      <c r="F423" s="318">
        <v>1</v>
      </c>
      <c r="G423" s="354" t="s">
        <v>62</v>
      </c>
      <c r="H423" s="320">
        <v>12500</v>
      </c>
      <c r="I423" s="319" t="b">
        <v>0</v>
      </c>
      <c r="J423" s="372"/>
      <c r="K423" s="373" t="s">
        <v>1973</v>
      </c>
      <c r="L423" s="374" t="e">
        <f t="shared" si="10"/>
        <v>#VALUE!</v>
      </c>
      <c r="M423" s="325"/>
    </row>
    <row r="424" spans="1:13" ht="13">
      <c r="A424" s="18" t="s">
        <v>1096</v>
      </c>
      <c r="B424" s="316" t="s">
        <v>1973</v>
      </c>
      <c r="C424" s="316" t="s">
        <v>1973</v>
      </c>
      <c r="D424" s="316" t="s">
        <v>1973</v>
      </c>
      <c r="E424" s="317" t="s">
        <v>1973</v>
      </c>
      <c r="F424" s="318">
        <v>1</v>
      </c>
      <c r="G424" s="354" t="s">
        <v>62</v>
      </c>
      <c r="H424" s="320">
        <v>4700</v>
      </c>
      <c r="I424" s="395" t="b">
        <v>1</v>
      </c>
      <c r="J424" s="322">
        <v>1</v>
      </c>
      <c r="K424" s="323">
        <v>9100</v>
      </c>
      <c r="L424" s="379">
        <f t="shared" si="10"/>
        <v>9100</v>
      </c>
      <c r="M424" s="325" t="s">
        <v>1875</v>
      </c>
    </row>
    <row r="425" spans="1:13" ht="13">
      <c r="A425" s="316" t="s">
        <v>631</v>
      </c>
      <c r="B425" s="316" t="s">
        <v>1973</v>
      </c>
      <c r="C425" s="316" t="s">
        <v>1973</v>
      </c>
      <c r="D425" s="316" t="s">
        <v>1973</v>
      </c>
      <c r="E425" s="317" t="s">
        <v>1973</v>
      </c>
      <c r="F425" s="318">
        <v>1</v>
      </c>
      <c r="G425" s="354" t="s">
        <v>36</v>
      </c>
      <c r="H425" s="320">
        <v>16000</v>
      </c>
      <c r="I425" s="393" t="b">
        <v>1</v>
      </c>
      <c r="J425" s="322">
        <v>1</v>
      </c>
      <c r="K425" s="323" t="e">
        <f>VLOOKUP($A425,'[1]Database Bahan &amp; Alat (Terupdat'!$B$50:$N$232,6,FALSE)</f>
        <v>#N/A</v>
      </c>
      <c r="L425" s="371" t="e">
        <f t="shared" si="10"/>
        <v>#N/A</v>
      </c>
      <c r="M425" s="325"/>
    </row>
    <row r="426" spans="1:13" ht="13">
      <c r="A426" s="316" t="s">
        <v>1610</v>
      </c>
      <c r="B426" s="316" t="s">
        <v>1973</v>
      </c>
      <c r="C426" s="316" t="s">
        <v>1973</v>
      </c>
      <c r="D426" s="316" t="s">
        <v>1973</v>
      </c>
      <c r="E426" s="317" t="s">
        <v>1973</v>
      </c>
      <c r="F426" s="318">
        <v>2</v>
      </c>
      <c r="G426" s="354" t="s">
        <v>36</v>
      </c>
      <c r="H426" s="320">
        <v>16000</v>
      </c>
      <c r="I426" s="395" t="b">
        <v>1</v>
      </c>
      <c r="J426" s="322">
        <v>2</v>
      </c>
      <c r="K426" s="323">
        <v>11000</v>
      </c>
      <c r="L426" s="379">
        <f t="shared" si="10"/>
        <v>22000</v>
      </c>
      <c r="M426" s="325" t="s">
        <v>1861</v>
      </c>
    </row>
    <row r="427" spans="1:13" ht="13">
      <c r="A427" s="316" t="s">
        <v>1611</v>
      </c>
      <c r="B427" s="316" t="s">
        <v>1973</v>
      </c>
      <c r="C427" s="316" t="s">
        <v>1973</v>
      </c>
      <c r="D427" s="316" t="s">
        <v>1973</v>
      </c>
      <c r="E427" s="317" t="s">
        <v>1973</v>
      </c>
      <c r="F427" s="318">
        <v>3</v>
      </c>
      <c r="G427" s="354" t="s">
        <v>36</v>
      </c>
      <c r="H427" s="320">
        <v>144000</v>
      </c>
      <c r="I427" s="393" t="b">
        <v>1</v>
      </c>
      <c r="J427" s="322">
        <v>3</v>
      </c>
      <c r="K427" s="323" t="e">
        <f>VLOOKUP($A427,'[1]Database Bahan &amp; Alat (Terupdat'!$B$50:$N$232,6,FALSE)</f>
        <v>#N/A</v>
      </c>
      <c r="L427" s="371" t="e">
        <f t="shared" si="10"/>
        <v>#N/A</v>
      </c>
      <c r="M427" s="325"/>
    </row>
    <row r="428" spans="1:13" ht="13">
      <c r="A428" s="316" t="s">
        <v>1612</v>
      </c>
      <c r="B428" s="316" t="s">
        <v>1973</v>
      </c>
      <c r="C428" s="316" t="s">
        <v>1973</v>
      </c>
      <c r="D428" s="316" t="s">
        <v>1973</v>
      </c>
      <c r="E428" s="317" t="s">
        <v>1973</v>
      </c>
      <c r="F428" s="318">
        <v>5</v>
      </c>
      <c r="G428" s="354" t="s">
        <v>36</v>
      </c>
      <c r="H428" s="320">
        <v>150000</v>
      </c>
      <c r="I428" s="395" t="b">
        <v>1</v>
      </c>
      <c r="J428" s="322">
        <v>5</v>
      </c>
      <c r="K428" s="323">
        <v>26000</v>
      </c>
      <c r="L428" s="380">
        <f t="shared" si="10"/>
        <v>130000</v>
      </c>
      <c r="M428" s="325" t="s">
        <v>1876</v>
      </c>
    </row>
    <row r="429" spans="1:13" ht="13">
      <c r="A429" s="316" t="s">
        <v>675</v>
      </c>
      <c r="B429" s="316" t="s">
        <v>1973</v>
      </c>
      <c r="C429" s="316" t="s">
        <v>1973</v>
      </c>
      <c r="D429" s="316" t="s">
        <v>1973</v>
      </c>
      <c r="E429" s="317" t="s">
        <v>1973</v>
      </c>
      <c r="F429" s="318">
        <v>20</v>
      </c>
      <c r="G429" s="354" t="s">
        <v>62</v>
      </c>
      <c r="H429" s="320">
        <v>70000</v>
      </c>
      <c r="I429" s="395" t="b">
        <v>1</v>
      </c>
      <c r="J429" s="322">
        <v>20</v>
      </c>
      <c r="K429" s="323">
        <v>4500</v>
      </c>
      <c r="L429" s="379">
        <f t="shared" si="10"/>
        <v>90000</v>
      </c>
      <c r="M429" s="325" t="s">
        <v>1856</v>
      </c>
    </row>
    <row r="430" spans="1:13" ht="13">
      <c r="A430" s="316" t="s">
        <v>724</v>
      </c>
      <c r="B430" s="316" t="s">
        <v>1973</v>
      </c>
      <c r="C430" s="316" t="s">
        <v>1973</v>
      </c>
      <c r="D430" s="316" t="s">
        <v>1973</v>
      </c>
      <c r="E430" s="317" t="s">
        <v>1973</v>
      </c>
      <c r="F430" s="318">
        <v>0.5</v>
      </c>
      <c r="G430" s="354" t="s">
        <v>36</v>
      </c>
      <c r="H430" s="320">
        <v>10000</v>
      </c>
      <c r="I430" s="393" t="b">
        <v>1</v>
      </c>
      <c r="J430" s="322">
        <v>0.5</v>
      </c>
      <c r="K430" s="323" t="e">
        <f>VLOOKUP($A430,'[1]Database Bahan &amp; Alat (Terupdat'!$B$50:$N$232,6,FALSE)</f>
        <v>#N/A</v>
      </c>
      <c r="L430" s="371" t="e">
        <f t="shared" si="10"/>
        <v>#N/A</v>
      </c>
      <c r="M430" s="325"/>
    </row>
    <row r="431" spans="1:13" ht="13">
      <c r="A431" s="316" t="s">
        <v>732</v>
      </c>
      <c r="B431" s="316" t="s">
        <v>1973</v>
      </c>
      <c r="C431" s="316" t="s">
        <v>1973</v>
      </c>
      <c r="D431" s="316" t="s">
        <v>1973</v>
      </c>
      <c r="E431" s="317" t="s">
        <v>1973</v>
      </c>
      <c r="F431" s="318">
        <v>1</v>
      </c>
      <c r="G431" s="354" t="s">
        <v>36</v>
      </c>
      <c r="H431" s="320">
        <v>22000</v>
      </c>
      <c r="I431" s="395" t="b">
        <v>1</v>
      </c>
      <c r="J431" s="322">
        <v>1</v>
      </c>
      <c r="K431" s="323">
        <v>26000</v>
      </c>
      <c r="L431" s="379">
        <f t="shared" si="10"/>
        <v>26000</v>
      </c>
      <c r="M431" s="325" t="s">
        <v>1877</v>
      </c>
    </row>
    <row r="432" spans="1:13" ht="13">
      <c r="A432" s="316" t="s">
        <v>744</v>
      </c>
      <c r="B432" s="316" t="s">
        <v>1973</v>
      </c>
      <c r="C432" s="316" t="s">
        <v>1973</v>
      </c>
      <c r="D432" s="316" t="s">
        <v>1973</v>
      </c>
      <c r="E432" s="317" t="s">
        <v>1973</v>
      </c>
      <c r="F432" s="318">
        <v>0.5</v>
      </c>
      <c r="G432" s="354" t="s">
        <v>36</v>
      </c>
      <c r="H432" s="320">
        <v>27000</v>
      </c>
      <c r="I432" s="395" t="b">
        <v>1</v>
      </c>
      <c r="J432" s="322">
        <v>0.5</v>
      </c>
      <c r="K432" s="323">
        <v>70000</v>
      </c>
      <c r="L432" s="379">
        <f t="shared" si="10"/>
        <v>35000</v>
      </c>
      <c r="M432" s="325" t="s">
        <v>1878</v>
      </c>
    </row>
    <row r="433" spans="1:13" ht="13">
      <c r="A433" s="316" t="s">
        <v>767</v>
      </c>
      <c r="B433" s="316" t="s">
        <v>1973</v>
      </c>
      <c r="C433" s="316" t="s">
        <v>1973</v>
      </c>
      <c r="D433" s="316" t="s">
        <v>1973</v>
      </c>
      <c r="E433" s="317" t="s">
        <v>1973</v>
      </c>
      <c r="F433" s="318">
        <v>5</v>
      </c>
      <c r="G433" s="354" t="s">
        <v>62</v>
      </c>
      <c r="H433" s="320">
        <v>100000</v>
      </c>
      <c r="I433" s="393" t="b">
        <v>1</v>
      </c>
      <c r="J433" s="322">
        <v>5</v>
      </c>
      <c r="K433" s="323" t="s">
        <v>1973</v>
      </c>
      <c r="L433" s="371" t="e">
        <f t="shared" si="10"/>
        <v>#VALUE!</v>
      </c>
      <c r="M433" s="325"/>
    </row>
    <row r="434" spans="1:13" ht="13">
      <c r="A434" s="316" t="s">
        <v>1700</v>
      </c>
      <c r="B434" s="316" t="s">
        <v>1973</v>
      </c>
      <c r="C434" s="316" t="s">
        <v>1973</v>
      </c>
      <c r="D434" s="316" t="s">
        <v>1973</v>
      </c>
      <c r="E434" s="317" t="s">
        <v>1973</v>
      </c>
      <c r="F434" s="318">
        <v>9</v>
      </c>
      <c r="G434" s="354" t="s">
        <v>62</v>
      </c>
      <c r="H434" s="320">
        <v>135000</v>
      </c>
      <c r="I434" s="393" t="b">
        <v>1</v>
      </c>
      <c r="J434" s="322">
        <v>9</v>
      </c>
      <c r="K434" s="323" t="s">
        <v>1973</v>
      </c>
      <c r="L434" s="371" t="e">
        <f t="shared" si="10"/>
        <v>#VALUE!</v>
      </c>
      <c r="M434" s="325"/>
    </row>
    <row r="435" spans="1:13" ht="13">
      <c r="A435" s="316" t="s">
        <v>1601</v>
      </c>
      <c r="B435" s="316" t="s">
        <v>1973</v>
      </c>
      <c r="C435" s="316" t="s">
        <v>1973</v>
      </c>
      <c r="D435" s="316" t="s">
        <v>1973</v>
      </c>
      <c r="E435" s="317" t="s">
        <v>1973</v>
      </c>
      <c r="F435" s="318">
        <v>2</v>
      </c>
      <c r="G435" s="354" t="s">
        <v>97</v>
      </c>
      <c r="H435" s="320">
        <v>42000</v>
      </c>
      <c r="I435" s="393" t="b">
        <v>1</v>
      </c>
      <c r="J435" s="322">
        <v>1</v>
      </c>
      <c r="K435" s="323" t="s">
        <v>1973</v>
      </c>
      <c r="L435" s="371" t="e">
        <f t="shared" si="10"/>
        <v>#VALUE!</v>
      </c>
      <c r="M435" s="325"/>
    </row>
    <row r="436" spans="1:13" ht="13">
      <c r="A436" s="316" t="s">
        <v>823</v>
      </c>
      <c r="B436" s="316" t="s">
        <v>1973</v>
      </c>
      <c r="C436" s="316" t="s">
        <v>1973</v>
      </c>
      <c r="D436" s="316" t="s">
        <v>1973</v>
      </c>
      <c r="E436" s="317" t="s">
        <v>1973</v>
      </c>
      <c r="F436" s="318">
        <v>1</v>
      </c>
      <c r="G436" s="354" t="s">
        <v>97</v>
      </c>
      <c r="H436" s="320">
        <v>15000</v>
      </c>
      <c r="I436" s="319" t="b">
        <v>0</v>
      </c>
      <c r="J436" s="372"/>
      <c r="K436" s="373" t="s">
        <v>1973</v>
      </c>
      <c r="L436" s="374" t="e">
        <f t="shared" si="10"/>
        <v>#VALUE!</v>
      </c>
      <c r="M436" s="325"/>
    </row>
    <row r="437" spans="1:13" ht="13">
      <c r="A437" s="316" t="s">
        <v>1701</v>
      </c>
      <c r="B437" s="316" t="s">
        <v>1973</v>
      </c>
      <c r="C437" s="316" t="s">
        <v>1973</v>
      </c>
      <c r="D437" s="316" t="s">
        <v>1973</v>
      </c>
      <c r="E437" s="317" t="s">
        <v>1973</v>
      </c>
      <c r="F437" s="318">
        <v>1</v>
      </c>
      <c r="G437" s="354" t="s">
        <v>36</v>
      </c>
      <c r="H437" s="320">
        <v>18000</v>
      </c>
      <c r="I437" s="393" t="b">
        <v>1</v>
      </c>
      <c r="J437" s="322">
        <v>1</v>
      </c>
      <c r="K437" s="323" t="s">
        <v>1973</v>
      </c>
      <c r="L437" s="371" t="e">
        <f t="shared" si="10"/>
        <v>#VALUE!</v>
      </c>
      <c r="M437" s="325"/>
    </row>
    <row r="438" spans="1:13" ht="13">
      <c r="A438" s="316" t="s">
        <v>879</v>
      </c>
      <c r="B438" s="316" t="s">
        <v>1973</v>
      </c>
      <c r="C438" s="316" t="s">
        <v>1973</v>
      </c>
      <c r="D438" s="316" t="s">
        <v>1973</v>
      </c>
      <c r="E438" s="317" t="s">
        <v>1973</v>
      </c>
      <c r="F438" s="318">
        <v>1</v>
      </c>
      <c r="G438" s="354" t="s">
        <v>62</v>
      </c>
      <c r="H438" s="320">
        <v>36000</v>
      </c>
      <c r="I438" s="393" t="b">
        <v>1</v>
      </c>
      <c r="J438" s="322">
        <v>1</v>
      </c>
      <c r="K438" s="323" t="s">
        <v>1973</v>
      </c>
      <c r="L438" s="371" t="e">
        <f t="shared" si="10"/>
        <v>#VALUE!</v>
      </c>
      <c r="M438" s="325"/>
    </row>
    <row r="439" spans="1:13" ht="13">
      <c r="A439" s="316" t="s">
        <v>1613</v>
      </c>
      <c r="B439" s="316" t="s">
        <v>1973</v>
      </c>
      <c r="C439" s="316" t="s">
        <v>1973</v>
      </c>
      <c r="D439" s="316" t="s">
        <v>1973</v>
      </c>
      <c r="E439" s="317" t="s">
        <v>1973</v>
      </c>
      <c r="F439" s="318">
        <v>0.3</v>
      </c>
      <c r="G439" s="354" t="s">
        <v>36</v>
      </c>
      <c r="H439" s="320">
        <v>12900</v>
      </c>
      <c r="I439" s="395" t="b">
        <v>1</v>
      </c>
      <c r="J439" s="322">
        <v>0.3</v>
      </c>
      <c r="K439" s="323">
        <v>50000</v>
      </c>
      <c r="L439" s="379">
        <f t="shared" si="10"/>
        <v>15000</v>
      </c>
      <c r="M439" s="325" t="s">
        <v>1866</v>
      </c>
    </row>
    <row r="440" spans="1:13" ht="13">
      <c r="A440" s="316" t="s">
        <v>1614</v>
      </c>
      <c r="B440" s="316" t="s">
        <v>1973</v>
      </c>
      <c r="C440" s="316" t="s">
        <v>1973</v>
      </c>
      <c r="D440" s="316" t="s">
        <v>1973</v>
      </c>
      <c r="E440" s="317" t="s">
        <v>1973</v>
      </c>
      <c r="F440" s="318">
        <v>0.5</v>
      </c>
      <c r="G440" s="354" t="s">
        <v>36</v>
      </c>
      <c r="H440" s="320">
        <v>67500</v>
      </c>
      <c r="I440" s="395" t="b">
        <v>1</v>
      </c>
      <c r="J440" s="322">
        <v>0.5</v>
      </c>
      <c r="K440" s="323">
        <v>130000</v>
      </c>
      <c r="L440" s="380">
        <f t="shared" si="10"/>
        <v>65000</v>
      </c>
      <c r="M440" s="325" t="s">
        <v>1879</v>
      </c>
    </row>
    <row r="441" spans="1:13" ht="13">
      <c r="A441" s="316" t="s">
        <v>1709</v>
      </c>
      <c r="B441" s="316" t="s">
        <v>1973</v>
      </c>
      <c r="C441" s="316" t="s">
        <v>1973</v>
      </c>
      <c r="D441" s="316" t="s">
        <v>1973</v>
      </c>
      <c r="E441" s="317" t="s">
        <v>1973</v>
      </c>
      <c r="F441" s="318">
        <v>3</v>
      </c>
      <c r="G441" s="354" t="s">
        <v>62</v>
      </c>
      <c r="H441" s="320">
        <v>7500</v>
      </c>
      <c r="I441" s="393" t="b">
        <v>1</v>
      </c>
      <c r="J441" s="322">
        <v>3</v>
      </c>
      <c r="K441" s="323" t="e">
        <f>VLOOKUP($A441,'[1]Database Bahan &amp; Alat (Terupdat'!$B$50:$N$232,6,FALSE)</f>
        <v>#N/A</v>
      </c>
      <c r="L441" s="371" t="e">
        <f t="shared" si="10"/>
        <v>#N/A</v>
      </c>
      <c r="M441" s="325"/>
    </row>
    <row r="442" spans="1:13" ht="13">
      <c r="A442" s="316" t="s">
        <v>1501</v>
      </c>
      <c r="B442" s="316" t="s">
        <v>1973</v>
      </c>
      <c r="C442" s="316" t="s">
        <v>1973</v>
      </c>
      <c r="D442" s="316" t="s">
        <v>1973</v>
      </c>
      <c r="E442" s="317" t="s">
        <v>1973</v>
      </c>
      <c r="F442" s="318">
        <v>1</v>
      </c>
      <c r="G442" s="354" t="s">
        <v>36</v>
      </c>
      <c r="H442" s="320">
        <v>4050</v>
      </c>
      <c r="I442" s="393" t="b">
        <v>1</v>
      </c>
      <c r="J442" s="322">
        <f>0.172+0.148+0.166</f>
        <v>0.48599999999999999</v>
      </c>
      <c r="K442" s="323">
        <v>30000</v>
      </c>
      <c r="L442" s="379">
        <f t="shared" si="10"/>
        <v>14580</v>
      </c>
      <c r="M442" s="325"/>
    </row>
    <row r="443" spans="1:13" ht="13">
      <c r="A443" s="316" t="s">
        <v>1608</v>
      </c>
      <c r="B443" s="316" t="s">
        <v>1973</v>
      </c>
      <c r="C443" s="316" t="s">
        <v>1973</v>
      </c>
      <c r="D443" s="316" t="s">
        <v>1973</v>
      </c>
      <c r="E443" s="317" t="s">
        <v>1973</v>
      </c>
      <c r="F443" s="318">
        <v>1</v>
      </c>
      <c r="G443" s="354" t="s">
        <v>36</v>
      </c>
      <c r="H443" s="320">
        <v>40000</v>
      </c>
      <c r="I443" s="395" t="b">
        <v>1</v>
      </c>
      <c r="J443" s="322">
        <v>1</v>
      </c>
      <c r="K443" s="323">
        <v>44000</v>
      </c>
      <c r="L443" s="379">
        <f t="shared" si="10"/>
        <v>44000</v>
      </c>
      <c r="M443" s="325" t="s">
        <v>1877</v>
      </c>
    </row>
    <row r="444" spans="1:13" ht="13">
      <c r="A444" s="316" t="s">
        <v>987</v>
      </c>
      <c r="B444" s="316" t="s">
        <v>1973</v>
      </c>
      <c r="C444" s="316" t="s">
        <v>1973</v>
      </c>
      <c r="D444" s="316" t="s">
        <v>1973</v>
      </c>
      <c r="E444" s="317" t="s">
        <v>1973</v>
      </c>
      <c r="F444" s="318">
        <v>1</v>
      </c>
      <c r="G444" s="354" t="s">
        <v>62</v>
      </c>
      <c r="H444" s="320">
        <v>17000</v>
      </c>
      <c r="I444" s="393" t="b">
        <v>1</v>
      </c>
      <c r="J444" s="322">
        <v>1</v>
      </c>
      <c r="K444" s="323" t="s">
        <v>1973</v>
      </c>
      <c r="L444" s="371" t="e">
        <f t="shared" si="10"/>
        <v>#VALUE!</v>
      </c>
      <c r="M444" s="325"/>
    </row>
    <row r="445" spans="1:13" ht="13">
      <c r="A445" s="316" t="s">
        <v>989</v>
      </c>
      <c r="B445" s="316" t="s">
        <v>1973</v>
      </c>
      <c r="C445" s="316" t="s">
        <v>1973</v>
      </c>
      <c r="D445" s="316" t="s">
        <v>1973</v>
      </c>
      <c r="E445" s="317" t="s">
        <v>1973</v>
      </c>
      <c r="F445" s="318">
        <v>5</v>
      </c>
      <c r="G445" s="354" t="s">
        <v>62</v>
      </c>
      <c r="H445" s="320">
        <v>80000</v>
      </c>
      <c r="I445" s="393" t="b">
        <v>1</v>
      </c>
      <c r="J445" s="322">
        <v>5</v>
      </c>
      <c r="K445" s="323" t="s">
        <v>1973</v>
      </c>
      <c r="L445" s="371" t="e">
        <f t="shared" si="10"/>
        <v>#VALUE!</v>
      </c>
      <c r="M445" s="325"/>
    </row>
    <row r="446" spans="1:13" ht="13">
      <c r="A446" s="316" t="s">
        <v>1000</v>
      </c>
      <c r="B446" s="316" t="s">
        <v>1973</v>
      </c>
      <c r="C446" s="316" t="s">
        <v>1973</v>
      </c>
      <c r="D446" s="316" t="s">
        <v>1973</v>
      </c>
      <c r="E446" s="317" t="s">
        <v>1973</v>
      </c>
      <c r="F446" s="318">
        <v>1</v>
      </c>
      <c r="G446" s="354" t="s">
        <v>62</v>
      </c>
      <c r="H446" s="320">
        <v>10000</v>
      </c>
      <c r="I446" s="319" t="b">
        <v>0</v>
      </c>
      <c r="J446" s="372"/>
      <c r="K446" s="373" t="s">
        <v>1973</v>
      </c>
      <c r="L446" s="374" t="e">
        <f t="shared" si="10"/>
        <v>#VALUE!</v>
      </c>
      <c r="M446" s="325"/>
    </row>
    <row r="447" spans="1:13" ht="13">
      <c r="A447" s="316" t="s">
        <v>1020</v>
      </c>
      <c r="B447" s="316" t="s">
        <v>1973</v>
      </c>
      <c r="C447" s="316" t="s">
        <v>1973</v>
      </c>
      <c r="D447" s="316" t="s">
        <v>1973</v>
      </c>
      <c r="E447" s="317" t="s">
        <v>1973</v>
      </c>
      <c r="F447" s="318">
        <v>0.5</v>
      </c>
      <c r="G447" s="354" t="s">
        <v>36</v>
      </c>
      <c r="H447" s="320">
        <v>5000</v>
      </c>
      <c r="I447" s="393" t="b">
        <v>1</v>
      </c>
      <c r="J447" s="322">
        <v>0.5</v>
      </c>
      <c r="K447" s="323" t="s">
        <v>1973</v>
      </c>
      <c r="L447" s="371" t="e">
        <f t="shared" si="10"/>
        <v>#VALUE!</v>
      </c>
      <c r="M447" s="325"/>
    </row>
    <row r="448" spans="1:13" ht="13">
      <c r="A448" s="316" t="s">
        <v>1600</v>
      </c>
      <c r="B448" s="316" t="s">
        <v>1973</v>
      </c>
      <c r="C448" s="316" t="s">
        <v>1973</v>
      </c>
      <c r="D448" s="316" t="s">
        <v>1973</v>
      </c>
      <c r="E448" s="317" t="s">
        <v>1973</v>
      </c>
      <c r="F448" s="318">
        <v>1</v>
      </c>
      <c r="G448" s="354" t="s">
        <v>36</v>
      </c>
      <c r="H448" s="320">
        <v>8000</v>
      </c>
      <c r="I448" s="395" t="b">
        <v>1</v>
      </c>
      <c r="J448" s="322">
        <v>1</v>
      </c>
      <c r="K448" s="323">
        <v>9000</v>
      </c>
      <c r="L448" s="379">
        <f t="shared" si="10"/>
        <v>9000</v>
      </c>
      <c r="M448" s="325" t="s">
        <v>1859</v>
      </c>
    </row>
    <row r="449" spans="1:13" ht="13">
      <c r="A449" s="316" t="s">
        <v>708</v>
      </c>
      <c r="B449" s="316" t="s">
        <v>1973</v>
      </c>
      <c r="C449" s="316" t="s">
        <v>1973</v>
      </c>
      <c r="D449" s="316" t="s">
        <v>1973</v>
      </c>
      <c r="E449" s="317" t="s">
        <v>1973</v>
      </c>
      <c r="F449" s="318">
        <v>1</v>
      </c>
      <c r="G449" s="354" t="s">
        <v>143</v>
      </c>
      <c r="H449" s="320">
        <v>259091</v>
      </c>
      <c r="I449" s="319" t="b">
        <v>0</v>
      </c>
      <c r="J449" s="372"/>
      <c r="K449" s="373" t="s">
        <v>1973</v>
      </c>
      <c r="L449" s="374" t="e">
        <f t="shared" si="10"/>
        <v>#VALUE!</v>
      </c>
      <c r="M449" s="325"/>
    </row>
    <row r="450" spans="1:13" ht="13">
      <c r="A450" s="316" t="s">
        <v>1541</v>
      </c>
      <c r="B450" s="316" t="s">
        <v>1973</v>
      </c>
      <c r="C450" s="316" t="s">
        <v>1973</v>
      </c>
      <c r="D450" s="316" t="s">
        <v>1973</v>
      </c>
      <c r="E450" s="317" t="s">
        <v>1973</v>
      </c>
      <c r="F450" s="318">
        <v>1</v>
      </c>
      <c r="G450" s="354" t="s">
        <v>97</v>
      </c>
      <c r="H450" s="320">
        <v>195000</v>
      </c>
      <c r="I450" s="319" t="b">
        <v>0</v>
      </c>
      <c r="J450" s="372"/>
      <c r="K450" s="373" t="s">
        <v>1973</v>
      </c>
      <c r="L450" s="374" t="e">
        <f t="shared" si="10"/>
        <v>#VALUE!</v>
      </c>
      <c r="M450" s="325"/>
    </row>
    <row r="451" spans="1:13" ht="13">
      <c r="A451" s="316" t="s">
        <v>1703</v>
      </c>
      <c r="B451" s="316" t="s">
        <v>1973</v>
      </c>
      <c r="C451" s="316" t="s">
        <v>1973</v>
      </c>
      <c r="D451" s="316" t="s">
        <v>1973</v>
      </c>
      <c r="E451" s="317" t="s">
        <v>1973</v>
      </c>
      <c r="F451" s="318">
        <v>1</v>
      </c>
      <c r="G451" s="354" t="s">
        <v>62</v>
      </c>
      <c r="H451" s="320">
        <v>22407</v>
      </c>
      <c r="I451" s="393" t="b">
        <v>1</v>
      </c>
      <c r="J451" s="322">
        <v>1</v>
      </c>
      <c r="K451" s="323">
        <v>22000</v>
      </c>
      <c r="L451" s="371">
        <f t="shared" si="10"/>
        <v>22000</v>
      </c>
      <c r="M451" s="325"/>
    </row>
    <row r="452" spans="1:13" ht="13">
      <c r="A452" s="316" t="s">
        <v>949</v>
      </c>
      <c r="B452" s="316" t="s">
        <v>1973</v>
      </c>
      <c r="C452" s="316" t="s">
        <v>1973</v>
      </c>
      <c r="D452" s="316" t="s">
        <v>1973</v>
      </c>
      <c r="E452" s="317" t="s">
        <v>1973</v>
      </c>
      <c r="F452" s="318">
        <v>1</v>
      </c>
      <c r="G452" s="354" t="s">
        <v>97</v>
      </c>
      <c r="H452" s="320">
        <v>23200</v>
      </c>
      <c r="I452" s="393" t="b">
        <v>1</v>
      </c>
      <c r="J452" s="322">
        <v>1</v>
      </c>
      <c r="K452" s="323" t="e">
        <f>VLOOKUP($A452,'[1]Database Bahan &amp; Alat (Terupdat'!$B$50:$N$232,6,FALSE)</f>
        <v>#N/A</v>
      </c>
      <c r="L452" s="371" t="e">
        <f t="shared" si="10"/>
        <v>#N/A</v>
      </c>
      <c r="M452" s="325"/>
    </row>
    <row r="453" spans="1:13" ht="13">
      <c r="A453" s="316" t="s">
        <v>952</v>
      </c>
      <c r="B453" s="316" t="s">
        <v>1973</v>
      </c>
      <c r="C453" s="316" t="s">
        <v>1973</v>
      </c>
      <c r="D453" s="316" t="s">
        <v>1973</v>
      </c>
      <c r="E453" s="317" t="s">
        <v>1973</v>
      </c>
      <c r="F453" s="318">
        <v>2</v>
      </c>
      <c r="G453" s="354" t="s">
        <v>97</v>
      </c>
      <c r="H453" s="320">
        <v>54600</v>
      </c>
      <c r="I453" s="395" t="b">
        <v>1</v>
      </c>
      <c r="J453" s="322">
        <v>1</v>
      </c>
      <c r="K453" s="323">
        <v>23200</v>
      </c>
      <c r="L453" s="380">
        <f t="shared" si="10"/>
        <v>23200</v>
      </c>
      <c r="M453" s="325" t="s">
        <v>1880</v>
      </c>
    </row>
    <row r="454" spans="1:13" ht="13">
      <c r="A454" s="316" t="s">
        <v>1751</v>
      </c>
      <c r="B454" s="316" t="s">
        <v>1973</v>
      </c>
      <c r="C454" s="316" t="s">
        <v>1973</v>
      </c>
      <c r="D454" s="316" t="s">
        <v>1973</v>
      </c>
      <c r="E454" s="317" t="s">
        <v>1973</v>
      </c>
      <c r="F454" s="318">
        <v>10</v>
      </c>
      <c r="G454" s="354" t="s">
        <v>36</v>
      </c>
      <c r="H454" s="320">
        <v>120000</v>
      </c>
      <c r="I454" s="393" t="b">
        <v>1</v>
      </c>
      <c r="J454" s="322">
        <v>10</v>
      </c>
      <c r="K454" s="323" t="e">
        <f>VLOOKUP($A454,'[1]Database Bahan &amp; Alat (Terupdat'!$B$50:$N$232,6,FALSE)</f>
        <v>#N/A</v>
      </c>
      <c r="L454" s="371" t="e">
        <f t="shared" si="10"/>
        <v>#N/A</v>
      </c>
      <c r="M454" s="325"/>
    </row>
    <row r="455" spans="1:13" ht="13">
      <c r="A455" s="316" t="s">
        <v>779</v>
      </c>
      <c r="B455" s="316" t="s">
        <v>1973</v>
      </c>
      <c r="C455" s="316" t="s">
        <v>1973</v>
      </c>
      <c r="D455" s="316" t="s">
        <v>1973</v>
      </c>
      <c r="E455" s="317" t="s">
        <v>1973</v>
      </c>
      <c r="F455" s="318">
        <v>3</v>
      </c>
      <c r="G455" s="354" t="s">
        <v>62</v>
      </c>
      <c r="H455" s="320">
        <v>115500</v>
      </c>
      <c r="I455" s="395" t="b">
        <v>1</v>
      </c>
      <c r="J455" s="322">
        <v>6</v>
      </c>
      <c r="K455" s="323">
        <v>16000</v>
      </c>
      <c r="L455" s="379">
        <f t="shared" si="10"/>
        <v>96000</v>
      </c>
      <c r="M455" s="325" t="s">
        <v>1881</v>
      </c>
    </row>
    <row r="456" spans="1:13" ht="13">
      <c r="A456" s="316" t="s">
        <v>874</v>
      </c>
      <c r="B456" s="316" t="s">
        <v>1973</v>
      </c>
      <c r="C456" s="316" t="s">
        <v>1973</v>
      </c>
      <c r="D456" s="316" t="s">
        <v>1973</v>
      </c>
      <c r="E456" s="317" t="s">
        <v>1973</v>
      </c>
      <c r="F456" s="318">
        <v>2</v>
      </c>
      <c r="G456" s="354" t="s">
        <v>62</v>
      </c>
      <c r="H456" s="320">
        <v>32000</v>
      </c>
      <c r="I456" s="319" t="b">
        <v>0</v>
      </c>
      <c r="J456" s="372"/>
      <c r="K456" s="373" t="s">
        <v>1973</v>
      </c>
      <c r="L456" s="374" t="e">
        <f t="shared" si="10"/>
        <v>#VALUE!</v>
      </c>
      <c r="M456" s="325"/>
    </row>
    <row r="457" spans="1:13" ht="13">
      <c r="A457" s="316" t="s">
        <v>1606</v>
      </c>
      <c r="B457" s="316" t="s">
        <v>1973</v>
      </c>
      <c r="C457" s="316" t="s">
        <v>1973</v>
      </c>
      <c r="D457" s="316" t="s">
        <v>1973</v>
      </c>
      <c r="E457" s="317" t="s">
        <v>1973</v>
      </c>
      <c r="F457" s="318">
        <v>0.5</v>
      </c>
      <c r="G457" s="354" t="s">
        <v>36</v>
      </c>
      <c r="H457" s="320">
        <v>21600</v>
      </c>
      <c r="I457" s="393" t="b">
        <v>1</v>
      </c>
      <c r="J457" s="322">
        <v>0.46400000000000002</v>
      </c>
      <c r="K457" s="323" t="s">
        <v>1973</v>
      </c>
      <c r="L457" s="371" t="e">
        <f t="shared" si="10"/>
        <v>#VALUE!</v>
      </c>
      <c r="M457" s="325"/>
    </row>
    <row r="458" spans="1:13" ht="13">
      <c r="A458" s="316" t="s">
        <v>910</v>
      </c>
      <c r="B458" s="316" t="s">
        <v>1973</v>
      </c>
      <c r="C458" s="316" t="s">
        <v>1973</v>
      </c>
      <c r="D458" s="316" t="s">
        <v>1973</v>
      </c>
      <c r="E458" s="317" t="s">
        <v>1973</v>
      </c>
      <c r="F458" s="318">
        <v>2</v>
      </c>
      <c r="G458" s="354" t="s">
        <v>62</v>
      </c>
      <c r="H458" s="320">
        <v>26000</v>
      </c>
      <c r="I458" s="393" t="b">
        <v>1</v>
      </c>
      <c r="J458" s="322">
        <v>2</v>
      </c>
      <c r="K458" s="323" t="s">
        <v>1973</v>
      </c>
      <c r="L458" s="371" t="e">
        <f t="shared" si="10"/>
        <v>#VALUE!</v>
      </c>
      <c r="M458" s="325"/>
    </row>
    <row r="459" spans="1:13" ht="13">
      <c r="A459" s="316" t="s">
        <v>1683</v>
      </c>
      <c r="B459" s="316" t="s">
        <v>1973</v>
      </c>
      <c r="C459" s="316" t="s">
        <v>1973</v>
      </c>
      <c r="D459" s="316" t="s">
        <v>1973</v>
      </c>
      <c r="E459" s="317" t="s">
        <v>1973</v>
      </c>
      <c r="F459" s="318">
        <v>1</v>
      </c>
      <c r="G459" s="354" t="s">
        <v>36</v>
      </c>
      <c r="H459" s="320">
        <v>30000</v>
      </c>
      <c r="I459" s="319" t="b">
        <v>0</v>
      </c>
      <c r="J459" s="372"/>
      <c r="K459" s="373" t="s">
        <v>1973</v>
      </c>
      <c r="L459" s="374" t="e">
        <f t="shared" si="10"/>
        <v>#VALUE!</v>
      </c>
      <c r="M459" s="325"/>
    </row>
    <row r="460" spans="1:13" ht="13">
      <c r="A460" s="316" t="s">
        <v>1651</v>
      </c>
      <c r="B460" s="316" t="s">
        <v>1973</v>
      </c>
      <c r="C460" s="316" t="s">
        <v>1973</v>
      </c>
      <c r="D460" s="316" t="s">
        <v>1973</v>
      </c>
      <c r="E460" s="317" t="s">
        <v>1973</v>
      </c>
      <c r="F460" s="318">
        <v>1</v>
      </c>
      <c r="G460" s="354" t="s">
        <v>97</v>
      </c>
      <c r="H460" s="320">
        <v>105000</v>
      </c>
      <c r="I460" s="319" t="b">
        <v>0</v>
      </c>
      <c r="J460" s="372"/>
      <c r="K460" s="373" t="s">
        <v>1973</v>
      </c>
      <c r="L460" s="374" t="e">
        <f t="shared" si="10"/>
        <v>#VALUE!</v>
      </c>
      <c r="M460" s="325"/>
    </row>
    <row r="461" spans="1:13" ht="13">
      <c r="A461" s="316" t="s">
        <v>847</v>
      </c>
      <c r="B461" s="316" t="s">
        <v>1973</v>
      </c>
      <c r="C461" s="316" t="s">
        <v>1973</v>
      </c>
      <c r="D461" s="316" t="s">
        <v>1973</v>
      </c>
      <c r="E461" s="317" t="s">
        <v>1973</v>
      </c>
      <c r="F461" s="318">
        <v>3</v>
      </c>
      <c r="G461" s="354" t="s">
        <v>75</v>
      </c>
      <c r="H461" s="320">
        <v>138000</v>
      </c>
      <c r="I461" s="319" t="b">
        <v>0</v>
      </c>
      <c r="J461" s="372"/>
      <c r="K461" s="373" t="s">
        <v>1973</v>
      </c>
      <c r="L461" s="374" t="e">
        <f t="shared" si="10"/>
        <v>#VALUE!</v>
      </c>
      <c r="M461" s="325"/>
    </row>
    <row r="462" spans="1:13" ht="13">
      <c r="A462" s="316" t="s">
        <v>540</v>
      </c>
      <c r="B462" s="316" t="s">
        <v>1973</v>
      </c>
      <c r="C462" s="316" t="s">
        <v>1973</v>
      </c>
      <c r="D462" s="316" t="s">
        <v>1973</v>
      </c>
      <c r="E462" s="317" t="s">
        <v>1973</v>
      </c>
      <c r="F462" s="318">
        <v>4</v>
      </c>
      <c r="G462" s="354" t="s">
        <v>36</v>
      </c>
      <c r="H462" s="320">
        <v>680000</v>
      </c>
      <c r="I462" s="319" t="b">
        <v>0</v>
      </c>
      <c r="J462" s="372"/>
      <c r="K462" s="373" t="s">
        <v>1973</v>
      </c>
      <c r="L462" s="374" t="e">
        <f t="shared" si="10"/>
        <v>#VALUE!</v>
      </c>
      <c r="M462" s="325"/>
    </row>
    <row r="463" spans="1:13" ht="13">
      <c r="A463" s="316" t="s">
        <v>590</v>
      </c>
      <c r="B463" s="316" t="s">
        <v>1973</v>
      </c>
      <c r="C463" s="316" t="s">
        <v>1973</v>
      </c>
      <c r="D463" s="316" t="s">
        <v>1973</v>
      </c>
      <c r="E463" s="317" t="s">
        <v>1973</v>
      </c>
      <c r="F463" s="318">
        <v>2</v>
      </c>
      <c r="G463" s="354" t="s">
        <v>62</v>
      </c>
      <c r="H463" s="320">
        <v>170000</v>
      </c>
      <c r="I463" s="319" t="b">
        <v>0</v>
      </c>
      <c r="J463" s="372"/>
      <c r="K463" s="373" t="s">
        <v>1973</v>
      </c>
      <c r="L463" s="374" t="e">
        <f t="shared" si="10"/>
        <v>#VALUE!</v>
      </c>
      <c r="M463" s="325"/>
    </row>
    <row r="464" spans="1:13" ht="13">
      <c r="A464" s="316" t="s">
        <v>602</v>
      </c>
      <c r="B464" s="316" t="s">
        <v>1973</v>
      </c>
      <c r="C464" s="316" t="s">
        <v>1973</v>
      </c>
      <c r="D464" s="316" t="s">
        <v>1973</v>
      </c>
      <c r="E464" s="317" t="s">
        <v>1973</v>
      </c>
      <c r="F464" s="318">
        <v>1</v>
      </c>
      <c r="G464" s="354" t="s">
        <v>62</v>
      </c>
      <c r="H464" s="320">
        <v>100000</v>
      </c>
      <c r="I464" s="319" t="b">
        <v>0</v>
      </c>
      <c r="J464" s="372"/>
      <c r="K464" s="373" t="s">
        <v>1973</v>
      </c>
      <c r="L464" s="374" t="e">
        <f t="shared" si="10"/>
        <v>#VALUE!</v>
      </c>
      <c r="M464" s="325"/>
    </row>
    <row r="465" spans="1:13" ht="13">
      <c r="A465" s="316" t="s">
        <v>1602</v>
      </c>
      <c r="B465" s="316" t="s">
        <v>1973</v>
      </c>
      <c r="C465" s="316" t="s">
        <v>1973</v>
      </c>
      <c r="D465" s="316" t="s">
        <v>1973</v>
      </c>
      <c r="E465" s="317" t="s">
        <v>1973</v>
      </c>
      <c r="F465" s="318">
        <v>2</v>
      </c>
      <c r="G465" s="354" t="s">
        <v>36</v>
      </c>
      <c r="H465" s="320">
        <v>26000</v>
      </c>
      <c r="I465" s="393" t="b">
        <v>1</v>
      </c>
      <c r="J465" s="322">
        <v>2</v>
      </c>
      <c r="K465" s="323" t="s">
        <v>1973</v>
      </c>
      <c r="L465" s="371" t="e">
        <f t="shared" si="10"/>
        <v>#VALUE!</v>
      </c>
      <c r="M465" s="325"/>
    </row>
    <row r="466" spans="1:13" ht="13">
      <c r="A466" s="316" t="s">
        <v>528</v>
      </c>
      <c r="B466" s="316" t="s">
        <v>1973</v>
      </c>
      <c r="C466" s="316" t="s">
        <v>1973</v>
      </c>
      <c r="D466" s="316" t="s">
        <v>1973</v>
      </c>
      <c r="E466" s="317" t="s">
        <v>1973</v>
      </c>
      <c r="F466" s="318">
        <v>6</v>
      </c>
      <c r="G466" s="354" t="s">
        <v>50</v>
      </c>
      <c r="H466" s="320">
        <v>96000</v>
      </c>
      <c r="I466" s="393" t="b">
        <v>1</v>
      </c>
      <c r="J466" s="322">
        <v>6</v>
      </c>
      <c r="K466" s="323" t="s">
        <v>1973</v>
      </c>
      <c r="L466" s="371" t="e">
        <f t="shared" si="10"/>
        <v>#VALUE!</v>
      </c>
      <c r="M466" s="325"/>
    </row>
    <row r="467" spans="1:13" ht="13">
      <c r="A467" s="316" t="s">
        <v>1603</v>
      </c>
      <c r="B467" s="316" t="s">
        <v>1973</v>
      </c>
      <c r="C467" s="316" t="s">
        <v>1973</v>
      </c>
      <c r="D467" s="316" t="s">
        <v>1973</v>
      </c>
      <c r="E467" s="317" t="s">
        <v>1973</v>
      </c>
      <c r="F467" s="318">
        <v>1</v>
      </c>
      <c r="G467" s="354" t="s">
        <v>62</v>
      </c>
      <c r="H467" s="320">
        <v>60000</v>
      </c>
      <c r="I467" s="393" t="b">
        <v>1</v>
      </c>
      <c r="J467" s="322">
        <v>1</v>
      </c>
      <c r="K467" s="323" t="s">
        <v>1973</v>
      </c>
      <c r="L467" s="371" t="e">
        <f t="shared" si="10"/>
        <v>#VALUE!</v>
      </c>
      <c r="M467" s="325"/>
    </row>
    <row r="468" spans="1:13" ht="13">
      <c r="A468" s="316" t="s">
        <v>635</v>
      </c>
      <c r="B468" s="316" t="s">
        <v>1973</v>
      </c>
      <c r="C468" s="316" t="s">
        <v>1973</v>
      </c>
      <c r="D468" s="316" t="s">
        <v>1973</v>
      </c>
      <c r="E468" s="317" t="s">
        <v>1973</v>
      </c>
      <c r="F468" s="318">
        <v>12</v>
      </c>
      <c r="G468" s="354" t="s">
        <v>50</v>
      </c>
      <c r="H468" s="320">
        <v>114000</v>
      </c>
      <c r="I468" s="393" t="b">
        <v>1</v>
      </c>
      <c r="J468" s="322">
        <v>12</v>
      </c>
      <c r="K468" s="323" t="s">
        <v>1973</v>
      </c>
      <c r="L468" s="371" t="e">
        <f t="shared" si="10"/>
        <v>#VALUE!</v>
      </c>
      <c r="M468" s="325"/>
    </row>
    <row r="469" spans="1:13" ht="13">
      <c r="A469" s="316" t="s">
        <v>643</v>
      </c>
      <c r="B469" s="316" t="s">
        <v>1973</v>
      </c>
      <c r="C469" s="316" t="s">
        <v>1973</v>
      </c>
      <c r="D469" s="316" t="s">
        <v>1973</v>
      </c>
      <c r="E469" s="317" t="s">
        <v>1973</v>
      </c>
      <c r="F469" s="318">
        <v>0.5</v>
      </c>
      <c r="G469" s="354" t="s">
        <v>36</v>
      </c>
      <c r="H469" s="320">
        <v>7500</v>
      </c>
      <c r="I469" s="319" t="b">
        <v>0</v>
      </c>
      <c r="J469" s="372"/>
      <c r="K469" s="373" t="s">
        <v>1973</v>
      </c>
      <c r="L469" s="374" t="e">
        <f t="shared" si="10"/>
        <v>#VALUE!</v>
      </c>
      <c r="M469" s="325"/>
    </row>
    <row r="470" spans="1:13" ht="13">
      <c r="A470" s="316" t="s">
        <v>647</v>
      </c>
      <c r="B470" s="316" t="s">
        <v>1973</v>
      </c>
      <c r="C470" s="316" t="s">
        <v>1973</v>
      </c>
      <c r="D470" s="316" t="s">
        <v>1973</v>
      </c>
      <c r="E470" s="317" t="s">
        <v>1973</v>
      </c>
      <c r="F470" s="318">
        <v>1</v>
      </c>
      <c r="G470" s="354" t="s">
        <v>75</v>
      </c>
      <c r="H470" s="320">
        <v>48000</v>
      </c>
      <c r="I470" s="319" t="b">
        <v>0</v>
      </c>
      <c r="J470" s="372"/>
      <c r="K470" s="373" t="s">
        <v>1973</v>
      </c>
      <c r="L470" s="374" t="e">
        <f t="shared" si="10"/>
        <v>#VALUE!</v>
      </c>
      <c r="M470" s="325"/>
    </row>
    <row r="471" spans="1:13" ht="13">
      <c r="A471" s="316" t="s">
        <v>680</v>
      </c>
      <c r="B471" s="316" t="s">
        <v>1973</v>
      </c>
      <c r="C471" s="316" t="s">
        <v>1973</v>
      </c>
      <c r="D471" s="316" t="s">
        <v>1973</v>
      </c>
      <c r="E471" s="317" t="s">
        <v>1973</v>
      </c>
      <c r="F471" s="318">
        <v>8</v>
      </c>
      <c r="G471" s="354" t="s">
        <v>97</v>
      </c>
      <c r="H471" s="320">
        <v>232000</v>
      </c>
      <c r="I471" s="393" t="b">
        <v>1</v>
      </c>
      <c r="J471" s="322">
        <v>8</v>
      </c>
      <c r="K471" s="323" t="s">
        <v>1973</v>
      </c>
      <c r="L471" s="371" t="e">
        <f t="shared" si="10"/>
        <v>#VALUE!</v>
      </c>
      <c r="M471" s="325"/>
    </row>
    <row r="472" spans="1:13" ht="13">
      <c r="A472" s="316" t="s">
        <v>684</v>
      </c>
      <c r="B472" s="316" t="s">
        <v>1973</v>
      </c>
      <c r="C472" s="316" t="s">
        <v>1973</v>
      </c>
      <c r="D472" s="316" t="s">
        <v>1973</v>
      </c>
      <c r="E472" s="317" t="s">
        <v>1973</v>
      </c>
      <c r="F472" s="318">
        <v>1</v>
      </c>
      <c r="G472" s="354" t="s">
        <v>97</v>
      </c>
      <c r="H472" s="320">
        <v>29000</v>
      </c>
      <c r="I472" s="393" t="b">
        <v>1</v>
      </c>
      <c r="J472" s="322">
        <v>1</v>
      </c>
      <c r="K472" s="323" t="s">
        <v>1973</v>
      </c>
      <c r="L472" s="371" t="e">
        <f t="shared" si="10"/>
        <v>#VALUE!</v>
      </c>
      <c r="M472" s="325"/>
    </row>
    <row r="473" spans="1:13" ht="13">
      <c r="A473" s="316" t="s">
        <v>696</v>
      </c>
      <c r="B473" s="316" t="s">
        <v>1973</v>
      </c>
      <c r="C473" s="316" t="s">
        <v>1973</v>
      </c>
      <c r="D473" s="316" t="s">
        <v>1973</v>
      </c>
      <c r="E473" s="317" t="s">
        <v>1973</v>
      </c>
      <c r="F473" s="318">
        <v>8</v>
      </c>
      <c r="G473" s="354" t="s">
        <v>62</v>
      </c>
      <c r="H473" s="320">
        <v>80000</v>
      </c>
      <c r="I473" s="395" t="b">
        <v>1</v>
      </c>
      <c r="J473" s="322">
        <v>8</v>
      </c>
      <c r="K473" s="323">
        <v>11000</v>
      </c>
      <c r="L473" s="379">
        <f t="shared" si="10"/>
        <v>88000</v>
      </c>
      <c r="M473" s="325" t="s">
        <v>1878</v>
      </c>
    </row>
    <row r="474" spans="1:13" ht="13">
      <c r="A474" s="316" t="s">
        <v>735</v>
      </c>
      <c r="B474" s="316" t="s">
        <v>1973</v>
      </c>
      <c r="C474" s="316" t="s">
        <v>1973</v>
      </c>
      <c r="D474" s="316" t="s">
        <v>1973</v>
      </c>
      <c r="E474" s="317" t="s">
        <v>1973</v>
      </c>
      <c r="F474" s="318">
        <v>1</v>
      </c>
      <c r="G474" s="354" t="s">
        <v>97</v>
      </c>
      <c r="H474" s="320">
        <v>46000</v>
      </c>
      <c r="I474" s="393" t="b">
        <v>1</v>
      </c>
      <c r="J474" s="322">
        <v>1</v>
      </c>
      <c r="K474" s="323" t="e">
        <f>VLOOKUP($A474,'[1]Database Bahan &amp; Alat (Terupdat'!$B$50:$N$232,6,FALSE)</f>
        <v>#N/A</v>
      </c>
      <c r="L474" s="371" t="e">
        <f t="shared" si="10"/>
        <v>#N/A</v>
      </c>
      <c r="M474" s="325"/>
    </row>
    <row r="475" spans="1:13" ht="13">
      <c r="A475" s="316" t="s">
        <v>748</v>
      </c>
      <c r="B475" s="316" t="s">
        <v>1973</v>
      </c>
      <c r="C475" s="316" t="s">
        <v>1973</v>
      </c>
      <c r="D475" s="316" t="s">
        <v>1973</v>
      </c>
      <c r="E475" s="317" t="s">
        <v>1973</v>
      </c>
      <c r="F475" s="318">
        <v>6</v>
      </c>
      <c r="G475" s="354" t="s">
        <v>62</v>
      </c>
      <c r="H475" s="320">
        <v>174000</v>
      </c>
      <c r="I475" s="395" t="b">
        <v>1</v>
      </c>
      <c r="J475" s="322">
        <v>6</v>
      </c>
      <c r="K475" s="323">
        <v>30000</v>
      </c>
      <c r="L475" s="379">
        <f t="shared" si="10"/>
        <v>180000</v>
      </c>
      <c r="M475" s="325" t="s">
        <v>1861</v>
      </c>
    </row>
    <row r="476" spans="1:13" ht="13">
      <c r="A476" s="316" t="s">
        <v>756</v>
      </c>
      <c r="B476" s="316" t="s">
        <v>1973</v>
      </c>
      <c r="C476" s="316" t="s">
        <v>1973</v>
      </c>
      <c r="D476" s="316" t="s">
        <v>1973</v>
      </c>
      <c r="E476" s="317" t="s">
        <v>1973</v>
      </c>
      <c r="F476" s="318">
        <v>1</v>
      </c>
      <c r="G476" s="354" t="s">
        <v>62</v>
      </c>
      <c r="H476" s="320">
        <v>25000</v>
      </c>
      <c r="I476" s="395" t="b">
        <v>1</v>
      </c>
      <c r="J476" s="322">
        <v>1</v>
      </c>
      <c r="K476" s="323">
        <v>28000</v>
      </c>
      <c r="L476" s="379">
        <f t="shared" si="10"/>
        <v>28000</v>
      </c>
      <c r="M476" s="325" t="s">
        <v>1865</v>
      </c>
    </row>
    <row r="477" spans="1:13" ht="13">
      <c r="A477" s="316" t="s">
        <v>889</v>
      </c>
      <c r="B477" s="316" t="s">
        <v>1973</v>
      </c>
      <c r="C477" s="316" t="s">
        <v>1973</v>
      </c>
      <c r="D477" s="316" t="s">
        <v>1973</v>
      </c>
      <c r="E477" s="317" t="s">
        <v>1973</v>
      </c>
      <c r="F477" s="318">
        <v>1</v>
      </c>
      <c r="G477" s="354" t="s">
        <v>62</v>
      </c>
      <c r="H477" s="320">
        <v>20000</v>
      </c>
      <c r="I477" s="393" t="b">
        <v>1</v>
      </c>
      <c r="J477" s="322">
        <v>1</v>
      </c>
      <c r="K477" s="323" t="s">
        <v>1973</v>
      </c>
      <c r="L477" s="371" t="e">
        <f t="shared" si="10"/>
        <v>#VALUE!</v>
      </c>
      <c r="M477" s="325"/>
    </row>
    <row r="478" spans="1:13" ht="13">
      <c r="A478" s="316" t="s">
        <v>892</v>
      </c>
      <c r="B478" s="316" t="s">
        <v>1973</v>
      </c>
      <c r="C478" s="316" t="s">
        <v>1973</v>
      </c>
      <c r="D478" s="316" t="s">
        <v>1973</v>
      </c>
      <c r="E478" s="317" t="s">
        <v>1973</v>
      </c>
      <c r="F478" s="318">
        <v>2</v>
      </c>
      <c r="G478" s="354" t="s">
        <v>36</v>
      </c>
      <c r="H478" s="320">
        <v>250000</v>
      </c>
      <c r="I478" s="393" t="b">
        <v>1</v>
      </c>
      <c r="J478" s="322">
        <v>2</v>
      </c>
      <c r="K478" s="323" t="s">
        <v>1973</v>
      </c>
      <c r="L478" s="371" t="e">
        <f t="shared" si="10"/>
        <v>#VALUE!</v>
      </c>
      <c r="M478" s="325"/>
    </row>
    <row r="479" spans="1:13" ht="13">
      <c r="A479" s="316" t="s">
        <v>934</v>
      </c>
      <c r="B479" s="316" t="s">
        <v>1973</v>
      </c>
      <c r="C479" s="316" t="s">
        <v>1973</v>
      </c>
      <c r="D479" s="316" t="s">
        <v>1973</v>
      </c>
      <c r="E479" s="317" t="s">
        <v>1973</v>
      </c>
      <c r="F479" s="318">
        <v>6</v>
      </c>
      <c r="G479" s="354" t="s">
        <v>62</v>
      </c>
      <c r="H479" s="320">
        <v>54000</v>
      </c>
      <c r="I479" s="393" t="b">
        <v>1</v>
      </c>
      <c r="J479" s="322">
        <v>6</v>
      </c>
      <c r="K479" s="323" t="s">
        <v>1973</v>
      </c>
      <c r="L479" s="371" t="e">
        <f t="shared" si="10"/>
        <v>#VALUE!</v>
      </c>
      <c r="M479" s="325"/>
    </row>
    <row r="480" spans="1:13" ht="13">
      <c r="A480" s="316" t="s">
        <v>943</v>
      </c>
      <c r="B480" s="316" t="s">
        <v>1973</v>
      </c>
      <c r="C480" s="316" t="s">
        <v>1973</v>
      </c>
      <c r="D480" s="316" t="s">
        <v>1973</v>
      </c>
      <c r="E480" s="317" t="s">
        <v>1973</v>
      </c>
      <c r="F480" s="318">
        <v>1</v>
      </c>
      <c r="G480" s="354" t="s">
        <v>62</v>
      </c>
      <c r="H480" s="320">
        <v>8500</v>
      </c>
      <c r="I480" s="393" t="b">
        <v>1</v>
      </c>
      <c r="J480" s="322">
        <v>1</v>
      </c>
      <c r="K480" s="323" t="s">
        <v>1973</v>
      </c>
      <c r="L480" s="371" t="e">
        <f t="shared" si="10"/>
        <v>#VALUE!</v>
      </c>
      <c r="M480" s="325"/>
    </row>
    <row r="481" spans="1:13" ht="13">
      <c r="A481" s="316" t="s">
        <v>1548</v>
      </c>
      <c r="B481" s="316" t="s">
        <v>1973</v>
      </c>
      <c r="C481" s="316" t="s">
        <v>1973</v>
      </c>
      <c r="D481" s="316" t="s">
        <v>1973</v>
      </c>
      <c r="E481" s="317" t="s">
        <v>1973</v>
      </c>
      <c r="F481" s="318">
        <v>4</v>
      </c>
      <c r="G481" s="354" t="s">
        <v>62</v>
      </c>
      <c r="H481" s="320">
        <v>48000</v>
      </c>
      <c r="I481" s="393" t="b">
        <v>1</v>
      </c>
      <c r="J481" s="322">
        <v>4</v>
      </c>
      <c r="K481" s="323" t="s">
        <v>1973</v>
      </c>
      <c r="L481" s="371" t="e">
        <f t="shared" si="10"/>
        <v>#VALUE!</v>
      </c>
      <c r="M481" s="325"/>
    </row>
    <row r="482" spans="1:13" ht="13">
      <c r="A482" s="316" t="s">
        <v>1615</v>
      </c>
      <c r="B482" s="316" t="s">
        <v>1973</v>
      </c>
      <c r="C482" s="316" t="s">
        <v>1973</v>
      </c>
      <c r="D482" s="316" t="s">
        <v>1973</v>
      </c>
      <c r="E482" s="317" t="s">
        <v>1973</v>
      </c>
      <c r="F482" s="318">
        <v>2</v>
      </c>
      <c r="G482" s="354" t="s">
        <v>62</v>
      </c>
      <c r="H482" s="320">
        <v>16000</v>
      </c>
      <c r="I482" s="393" t="b">
        <v>1</v>
      </c>
      <c r="J482" s="322">
        <v>2</v>
      </c>
      <c r="K482" s="323" t="s">
        <v>1973</v>
      </c>
      <c r="L482" s="371" t="e">
        <f t="shared" si="10"/>
        <v>#VALUE!</v>
      </c>
      <c r="M482" s="325"/>
    </row>
    <row r="483" spans="1:13" ht="13">
      <c r="A483" s="316" t="s">
        <v>1017</v>
      </c>
      <c r="B483" s="316" t="s">
        <v>1973</v>
      </c>
      <c r="C483" s="316" t="s">
        <v>1973</v>
      </c>
      <c r="D483" s="316" t="s">
        <v>1973</v>
      </c>
      <c r="E483" s="317" t="s">
        <v>1973</v>
      </c>
      <c r="F483" s="318">
        <v>6</v>
      </c>
      <c r="G483" s="354" t="s">
        <v>62</v>
      </c>
      <c r="H483" s="320">
        <v>15000</v>
      </c>
      <c r="I483" s="393" t="b">
        <v>1</v>
      </c>
      <c r="J483" s="322">
        <v>6</v>
      </c>
      <c r="K483" s="323" t="s">
        <v>1973</v>
      </c>
      <c r="L483" s="371" t="e">
        <f t="shared" si="10"/>
        <v>#VALUE!</v>
      </c>
      <c r="M483" s="325"/>
    </row>
    <row r="484" spans="1:13" ht="13">
      <c r="A484" s="316" t="s">
        <v>1037</v>
      </c>
      <c r="B484" s="316" t="s">
        <v>1973</v>
      </c>
      <c r="C484" s="316" t="s">
        <v>1973</v>
      </c>
      <c r="D484" s="316" t="s">
        <v>1973</v>
      </c>
      <c r="E484" s="317" t="s">
        <v>1973</v>
      </c>
      <c r="F484" s="318">
        <v>1</v>
      </c>
      <c r="G484" s="354" t="s">
        <v>62</v>
      </c>
      <c r="H484" s="320">
        <v>20100</v>
      </c>
      <c r="I484" s="319" t="b">
        <v>0</v>
      </c>
      <c r="J484" s="372"/>
      <c r="K484" s="373" t="s">
        <v>1973</v>
      </c>
      <c r="L484" s="374" t="e">
        <f t="shared" si="10"/>
        <v>#VALUE!</v>
      </c>
      <c r="M484" s="325"/>
    </row>
    <row r="485" spans="1:13" ht="13">
      <c r="A485" s="316" t="s">
        <v>1046</v>
      </c>
      <c r="B485" s="316" t="s">
        <v>1973</v>
      </c>
      <c r="C485" s="316" t="s">
        <v>1973</v>
      </c>
      <c r="D485" s="316" t="s">
        <v>1973</v>
      </c>
      <c r="E485" s="317" t="s">
        <v>1973</v>
      </c>
      <c r="F485" s="318">
        <v>3</v>
      </c>
      <c r="G485" s="354" t="s">
        <v>62</v>
      </c>
      <c r="H485" s="320">
        <v>54000</v>
      </c>
      <c r="I485" s="393" t="b">
        <v>1</v>
      </c>
      <c r="J485" s="322">
        <v>3</v>
      </c>
      <c r="K485" s="323" t="s">
        <v>1973</v>
      </c>
      <c r="L485" s="371" t="e">
        <f t="shared" si="10"/>
        <v>#VALUE!</v>
      </c>
      <c r="M485" s="325"/>
    </row>
    <row r="486" spans="1:13" ht="13">
      <c r="A486" s="18" t="s">
        <v>1103</v>
      </c>
      <c r="B486" s="316" t="s">
        <v>1973</v>
      </c>
      <c r="C486" s="316" t="s">
        <v>1973</v>
      </c>
      <c r="D486" s="316" t="s">
        <v>1973</v>
      </c>
      <c r="E486" s="317" t="s">
        <v>1973</v>
      </c>
      <c r="F486" s="318">
        <v>1</v>
      </c>
      <c r="G486" s="354" t="s">
        <v>62</v>
      </c>
      <c r="H486" s="320">
        <v>60000</v>
      </c>
      <c r="I486" s="319" t="b">
        <v>0</v>
      </c>
      <c r="J486" s="372"/>
      <c r="K486" s="373" t="s">
        <v>1973</v>
      </c>
      <c r="L486" s="374" t="e">
        <f t="shared" si="10"/>
        <v>#VALUE!</v>
      </c>
      <c r="M486" s="325"/>
    </row>
    <row r="488" spans="1:13" ht="13">
      <c r="F488" s="429">
        <v>44585</v>
      </c>
      <c r="G488" s="428"/>
      <c r="H488" s="424"/>
      <c r="J488" s="429">
        <f>F488+1</f>
        <v>44586</v>
      </c>
      <c r="K488" s="428"/>
      <c r="L488" s="424"/>
    </row>
    <row r="489" spans="1:13" ht="13">
      <c r="F489" s="425" t="s">
        <v>1490</v>
      </c>
      <c r="G489" s="426"/>
      <c r="H489" s="304">
        <f>SUM(H491:H531)</f>
        <v>2748800</v>
      </c>
      <c r="J489" s="425" t="s">
        <v>1491</v>
      </c>
      <c r="K489" s="426"/>
      <c r="L489" s="304" t="e">
        <f>SUM(L491:L531)</f>
        <v>#N/A</v>
      </c>
    </row>
    <row r="490" spans="1:13" ht="13">
      <c r="A490" s="2" t="s">
        <v>4</v>
      </c>
      <c r="B490" s="305" t="s">
        <v>5</v>
      </c>
      <c r="C490" s="305" t="s">
        <v>11</v>
      </c>
      <c r="D490" s="305" t="s">
        <v>12</v>
      </c>
      <c r="E490" s="306" t="s">
        <v>6</v>
      </c>
      <c r="F490" s="307" t="s">
        <v>1494</v>
      </c>
      <c r="G490" s="308" t="s">
        <v>10</v>
      </c>
      <c r="H490" s="309" t="s">
        <v>1495</v>
      </c>
      <c r="I490" s="310" t="s">
        <v>1289</v>
      </c>
      <c r="J490" s="311" t="s">
        <v>1496</v>
      </c>
      <c r="K490" s="312" t="s">
        <v>1497</v>
      </c>
      <c r="L490" s="313" t="s">
        <v>1498</v>
      </c>
      <c r="M490" s="314" t="s">
        <v>16</v>
      </c>
    </row>
    <row r="491" spans="1:13" ht="13">
      <c r="A491" s="316" t="s">
        <v>627</v>
      </c>
      <c r="B491" s="316" t="s">
        <v>1973</v>
      </c>
      <c r="C491" s="316" t="s">
        <v>1973</v>
      </c>
      <c r="D491" s="316" t="s">
        <v>1973</v>
      </c>
      <c r="E491" s="317" t="s">
        <v>1973</v>
      </c>
      <c r="F491" s="318">
        <v>1</v>
      </c>
      <c r="G491" s="354" t="s">
        <v>36</v>
      </c>
      <c r="H491" s="320">
        <v>37900</v>
      </c>
      <c r="I491" s="393" t="b">
        <v>1</v>
      </c>
      <c r="J491" s="322">
        <v>1.2</v>
      </c>
      <c r="K491" s="323" t="e">
        <f>VLOOKUP($A491,'[1]Database Bahan &amp; Alat (Terupdat'!$B$50:$N$232,6,FALSE)</f>
        <v>#N/A</v>
      </c>
      <c r="L491" s="371" t="e">
        <f t="shared" ref="L491:L531" si="11">J491*K491</f>
        <v>#N/A</v>
      </c>
      <c r="M491" s="325"/>
    </row>
    <row r="492" spans="1:13" ht="13">
      <c r="A492" s="316" t="s">
        <v>1655</v>
      </c>
      <c r="B492" s="316" t="s">
        <v>1973</v>
      </c>
      <c r="C492" s="316" t="s">
        <v>1973</v>
      </c>
      <c r="D492" s="316" t="s">
        <v>1973</v>
      </c>
      <c r="E492" s="317" t="s">
        <v>1973</v>
      </c>
      <c r="F492" s="318">
        <v>1</v>
      </c>
      <c r="G492" s="354" t="s">
        <v>62</v>
      </c>
      <c r="H492" s="320">
        <v>13000</v>
      </c>
      <c r="I492" s="395" t="b">
        <v>1</v>
      </c>
      <c r="J492" s="322">
        <v>1</v>
      </c>
      <c r="K492" s="323">
        <v>12500</v>
      </c>
      <c r="L492" s="380">
        <f t="shared" si="11"/>
        <v>12500</v>
      </c>
      <c r="M492" s="325" t="s">
        <v>1882</v>
      </c>
    </row>
    <row r="493" spans="1:13" ht="13">
      <c r="A493" s="316" t="s">
        <v>770</v>
      </c>
      <c r="B493" s="316" t="s">
        <v>1973</v>
      </c>
      <c r="C493" s="316" t="s">
        <v>1973</v>
      </c>
      <c r="D493" s="316" t="s">
        <v>1973</v>
      </c>
      <c r="E493" s="317" t="s">
        <v>1973</v>
      </c>
      <c r="F493" s="318">
        <v>2</v>
      </c>
      <c r="G493" s="354" t="s">
        <v>97</v>
      </c>
      <c r="H493" s="320">
        <v>48800</v>
      </c>
      <c r="I493" s="395" t="b">
        <v>1</v>
      </c>
      <c r="J493" s="322">
        <v>1</v>
      </c>
      <c r="K493" s="323">
        <v>24900</v>
      </c>
      <c r="L493" s="379">
        <f t="shared" si="11"/>
        <v>24900</v>
      </c>
      <c r="M493" s="325" t="s">
        <v>1883</v>
      </c>
    </row>
    <row r="494" spans="1:13" ht="13">
      <c r="A494" s="316" t="s">
        <v>782</v>
      </c>
      <c r="B494" s="316" t="s">
        <v>1973</v>
      </c>
      <c r="C494" s="316" t="s">
        <v>1973</v>
      </c>
      <c r="D494" s="316" t="s">
        <v>1973</v>
      </c>
      <c r="E494" s="317" t="s">
        <v>1973</v>
      </c>
      <c r="F494" s="318">
        <v>2</v>
      </c>
      <c r="G494" s="354" t="s">
        <v>62</v>
      </c>
      <c r="H494" s="320">
        <v>24000</v>
      </c>
      <c r="I494" s="393" t="b">
        <v>1</v>
      </c>
      <c r="J494" s="322">
        <v>2</v>
      </c>
      <c r="K494" s="323" t="s">
        <v>1973</v>
      </c>
      <c r="L494" s="371" t="e">
        <f t="shared" si="11"/>
        <v>#VALUE!</v>
      </c>
      <c r="M494" s="325"/>
    </row>
    <row r="495" spans="1:13" ht="13">
      <c r="A495" s="316" t="s">
        <v>1670</v>
      </c>
      <c r="B495" s="316" t="s">
        <v>1973</v>
      </c>
      <c r="C495" s="316" t="s">
        <v>1973</v>
      </c>
      <c r="D495" s="316" t="s">
        <v>1973</v>
      </c>
      <c r="E495" s="317" t="s">
        <v>1973</v>
      </c>
      <c r="F495" s="318">
        <v>1</v>
      </c>
      <c r="G495" s="354" t="s">
        <v>62</v>
      </c>
      <c r="H495" s="320">
        <v>11500</v>
      </c>
      <c r="I495" s="393" t="b">
        <v>1</v>
      </c>
      <c r="J495" s="322">
        <v>1</v>
      </c>
      <c r="K495" s="323" t="s">
        <v>1973</v>
      </c>
      <c r="L495" s="371" t="e">
        <f t="shared" si="11"/>
        <v>#VALUE!</v>
      </c>
      <c r="M495" s="325"/>
    </row>
    <row r="496" spans="1:13" ht="13">
      <c r="A496" s="316" t="s">
        <v>1607</v>
      </c>
      <c r="B496" s="316" t="s">
        <v>1973</v>
      </c>
      <c r="C496" s="316" t="s">
        <v>1973</v>
      </c>
      <c r="D496" s="316" t="s">
        <v>1973</v>
      </c>
      <c r="E496" s="317" t="s">
        <v>1973</v>
      </c>
      <c r="F496" s="318">
        <v>1</v>
      </c>
      <c r="G496" s="354" t="s">
        <v>62</v>
      </c>
      <c r="H496" s="320">
        <v>11500</v>
      </c>
      <c r="I496" s="393" t="b">
        <v>1</v>
      </c>
      <c r="J496" s="322">
        <v>1</v>
      </c>
      <c r="K496" s="323" t="s">
        <v>1973</v>
      </c>
      <c r="L496" s="371" t="e">
        <f t="shared" si="11"/>
        <v>#VALUE!</v>
      </c>
      <c r="M496" s="325"/>
    </row>
    <row r="497" spans="1:13" ht="13">
      <c r="A497" s="316" t="s">
        <v>919</v>
      </c>
      <c r="B497" s="316" t="s">
        <v>1973</v>
      </c>
      <c r="C497" s="316" t="s">
        <v>1973</v>
      </c>
      <c r="D497" s="316" t="s">
        <v>1973</v>
      </c>
      <c r="E497" s="317" t="s">
        <v>1973</v>
      </c>
      <c r="F497" s="318">
        <v>4</v>
      </c>
      <c r="G497" s="354" t="s">
        <v>62</v>
      </c>
      <c r="H497" s="320">
        <v>39600</v>
      </c>
      <c r="I497" s="395" t="b">
        <v>1</v>
      </c>
      <c r="J497" s="322">
        <v>4</v>
      </c>
      <c r="K497" s="323">
        <v>8600</v>
      </c>
      <c r="L497" s="380">
        <f t="shared" si="11"/>
        <v>34400</v>
      </c>
      <c r="M497" s="325" t="s">
        <v>1884</v>
      </c>
    </row>
    <row r="498" spans="1:13" ht="13">
      <c r="A498" s="316" t="s">
        <v>976</v>
      </c>
      <c r="B498" s="316" t="s">
        <v>1973</v>
      </c>
      <c r="C498" s="316" t="s">
        <v>1973</v>
      </c>
      <c r="D498" s="316" t="s">
        <v>1973</v>
      </c>
      <c r="E498" s="317" t="s">
        <v>1973</v>
      </c>
      <c r="F498" s="318">
        <v>2</v>
      </c>
      <c r="G498" s="354" t="s">
        <v>62</v>
      </c>
      <c r="H498" s="320">
        <v>50000</v>
      </c>
      <c r="I498" s="393" t="b">
        <v>1</v>
      </c>
      <c r="J498" s="322">
        <v>2</v>
      </c>
      <c r="K498" s="323" t="s">
        <v>1973</v>
      </c>
      <c r="L498" s="371" t="e">
        <f t="shared" si="11"/>
        <v>#VALUE!</v>
      </c>
      <c r="M498" s="325"/>
    </row>
    <row r="499" spans="1:13" ht="13">
      <c r="A499" s="316" t="s">
        <v>631</v>
      </c>
      <c r="B499" s="316" t="s">
        <v>1973</v>
      </c>
      <c r="C499" s="316" t="s">
        <v>1973</v>
      </c>
      <c r="D499" s="316" t="s">
        <v>1973</v>
      </c>
      <c r="E499" s="317" t="s">
        <v>1973</v>
      </c>
      <c r="F499" s="318">
        <v>0.5</v>
      </c>
      <c r="G499" s="354" t="s">
        <v>36</v>
      </c>
      <c r="H499" s="320">
        <v>8000</v>
      </c>
      <c r="I499" s="393" t="b">
        <v>1</v>
      </c>
      <c r="J499" s="322">
        <v>0.5</v>
      </c>
      <c r="K499" s="323" t="s">
        <v>1973</v>
      </c>
      <c r="L499" s="371" t="e">
        <f t="shared" si="11"/>
        <v>#VALUE!</v>
      </c>
      <c r="M499" s="325"/>
    </row>
    <row r="500" spans="1:13" ht="13">
      <c r="A500" s="316" t="s">
        <v>639</v>
      </c>
      <c r="B500" s="316" t="s">
        <v>1973</v>
      </c>
      <c r="C500" s="316" t="s">
        <v>1973</v>
      </c>
      <c r="D500" s="316" t="s">
        <v>1973</v>
      </c>
      <c r="E500" s="317" t="s">
        <v>1973</v>
      </c>
      <c r="F500" s="318">
        <v>1</v>
      </c>
      <c r="G500" s="354" t="s">
        <v>36</v>
      </c>
      <c r="H500" s="320">
        <v>125000</v>
      </c>
      <c r="I500" s="393" t="b">
        <v>1</v>
      </c>
      <c r="J500" s="322">
        <v>1.3</v>
      </c>
      <c r="K500" s="323" t="s">
        <v>1973</v>
      </c>
      <c r="L500" s="371" t="e">
        <f t="shared" si="11"/>
        <v>#VALUE!</v>
      </c>
      <c r="M500" s="325" t="s">
        <v>1732</v>
      </c>
    </row>
    <row r="501" spans="1:13" ht="13">
      <c r="A501" s="316" t="s">
        <v>1610</v>
      </c>
      <c r="B501" s="316" t="s">
        <v>1973</v>
      </c>
      <c r="C501" s="316" t="s">
        <v>1973</v>
      </c>
      <c r="D501" s="316" t="s">
        <v>1973</v>
      </c>
      <c r="E501" s="317" t="s">
        <v>1973</v>
      </c>
      <c r="F501" s="318">
        <v>1.5</v>
      </c>
      <c r="G501" s="354" t="s">
        <v>36</v>
      </c>
      <c r="H501" s="320">
        <v>12000</v>
      </c>
      <c r="I501" s="395" t="b">
        <v>1</v>
      </c>
      <c r="J501" s="322">
        <v>1.5</v>
      </c>
      <c r="K501" s="323">
        <v>10000</v>
      </c>
      <c r="L501" s="379">
        <f t="shared" si="11"/>
        <v>15000</v>
      </c>
      <c r="M501" s="325" t="s">
        <v>1865</v>
      </c>
    </row>
    <row r="502" spans="1:13" ht="13">
      <c r="A502" s="316" t="s">
        <v>1611</v>
      </c>
      <c r="B502" s="316" t="s">
        <v>1973</v>
      </c>
      <c r="C502" s="316" t="s">
        <v>1973</v>
      </c>
      <c r="D502" s="316" t="s">
        <v>1973</v>
      </c>
      <c r="E502" s="317" t="s">
        <v>1973</v>
      </c>
      <c r="F502" s="318">
        <v>5</v>
      </c>
      <c r="G502" s="354" t="s">
        <v>36</v>
      </c>
      <c r="H502" s="320">
        <v>240000</v>
      </c>
      <c r="I502" s="395" t="b">
        <v>1</v>
      </c>
      <c r="J502" s="322">
        <v>5</v>
      </c>
      <c r="K502" s="323">
        <v>50000</v>
      </c>
      <c r="L502" s="379">
        <f t="shared" si="11"/>
        <v>250000</v>
      </c>
      <c r="M502" s="325" t="s">
        <v>1885</v>
      </c>
    </row>
    <row r="503" spans="1:13" ht="13">
      <c r="A503" s="316" t="s">
        <v>1612</v>
      </c>
      <c r="B503" s="316" t="s">
        <v>1973</v>
      </c>
      <c r="C503" s="316" t="s">
        <v>1973</v>
      </c>
      <c r="D503" s="316" t="s">
        <v>1973</v>
      </c>
      <c r="E503" s="317" t="s">
        <v>1973</v>
      </c>
      <c r="F503" s="318">
        <v>6</v>
      </c>
      <c r="G503" s="354" t="s">
        <v>36</v>
      </c>
      <c r="H503" s="320">
        <v>180000</v>
      </c>
      <c r="I503" s="395" t="b">
        <v>1</v>
      </c>
      <c r="J503" s="322">
        <v>6</v>
      </c>
      <c r="K503" s="323">
        <v>25000</v>
      </c>
      <c r="L503" s="380">
        <f t="shared" si="11"/>
        <v>150000</v>
      </c>
      <c r="M503" s="325" t="s">
        <v>1886</v>
      </c>
    </row>
    <row r="504" spans="1:13" ht="13">
      <c r="A504" s="316" t="s">
        <v>1698</v>
      </c>
      <c r="B504" s="316" t="s">
        <v>1973</v>
      </c>
      <c r="C504" s="316" t="s">
        <v>1973</v>
      </c>
      <c r="D504" s="316" t="s">
        <v>1973</v>
      </c>
      <c r="E504" s="317" t="s">
        <v>1973</v>
      </c>
      <c r="F504" s="318">
        <v>3</v>
      </c>
      <c r="G504" s="354" t="s">
        <v>36</v>
      </c>
      <c r="H504" s="320">
        <v>111000</v>
      </c>
      <c r="I504" s="393" t="b">
        <v>1</v>
      </c>
      <c r="J504" s="322">
        <v>3</v>
      </c>
      <c r="K504" s="323" t="e">
        <f>VLOOKUP($A504,'[1]Database Bahan &amp; Alat (Terupdat'!$B$50:$N$232,6,FALSE)</f>
        <v>#N/A</v>
      </c>
      <c r="L504" s="371" t="e">
        <f t="shared" si="11"/>
        <v>#N/A</v>
      </c>
      <c r="M504" s="325"/>
    </row>
    <row r="505" spans="1:13" ht="13">
      <c r="A505" s="316" t="s">
        <v>1699</v>
      </c>
      <c r="B505" s="316" t="s">
        <v>1973</v>
      </c>
      <c r="C505" s="316" t="s">
        <v>1973</v>
      </c>
      <c r="D505" s="316" t="s">
        <v>1973</v>
      </c>
      <c r="E505" s="317" t="s">
        <v>1973</v>
      </c>
      <c r="F505" s="318">
        <v>0.5</v>
      </c>
      <c r="G505" s="354" t="s">
        <v>36</v>
      </c>
      <c r="H505" s="320">
        <v>34000</v>
      </c>
      <c r="I505" s="395" t="b">
        <v>1</v>
      </c>
      <c r="J505" s="322">
        <v>0.5</v>
      </c>
      <c r="K505" s="323">
        <v>70000</v>
      </c>
      <c r="L505" s="379">
        <f t="shared" si="11"/>
        <v>35000</v>
      </c>
      <c r="M505" s="325" t="s">
        <v>1859</v>
      </c>
    </row>
    <row r="506" spans="1:13" ht="13">
      <c r="A506" s="316" t="s">
        <v>1707</v>
      </c>
      <c r="B506" s="316" t="s">
        <v>1973</v>
      </c>
      <c r="C506" s="316" t="s">
        <v>1973</v>
      </c>
      <c r="D506" s="316" t="s">
        <v>1973</v>
      </c>
      <c r="E506" s="317" t="s">
        <v>1973</v>
      </c>
      <c r="F506" s="318">
        <v>0.3</v>
      </c>
      <c r="G506" s="354" t="s">
        <v>36</v>
      </c>
      <c r="H506" s="320">
        <v>8400</v>
      </c>
      <c r="I506" s="395" t="b">
        <v>1</v>
      </c>
      <c r="J506" s="322">
        <v>0.3</v>
      </c>
      <c r="K506" s="323">
        <v>30000</v>
      </c>
      <c r="L506" s="379">
        <f t="shared" si="11"/>
        <v>9000</v>
      </c>
      <c r="M506" s="325" t="s">
        <v>1874</v>
      </c>
    </row>
    <row r="507" spans="1:13" ht="13">
      <c r="A507" s="316" t="s">
        <v>675</v>
      </c>
      <c r="B507" s="316" t="s">
        <v>1973</v>
      </c>
      <c r="C507" s="316" t="s">
        <v>1973</v>
      </c>
      <c r="D507" s="316" t="s">
        <v>1973</v>
      </c>
      <c r="E507" s="317" t="s">
        <v>1973</v>
      </c>
      <c r="F507" s="318">
        <v>20</v>
      </c>
      <c r="G507" s="354" t="s">
        <v>62</v>
      </c>
      <c r="H507" s="320">
        <v>90000</v>
      </c>
      <c r="I507" s="393" t="b">
        <v>1</v>
      </c>
      <c r="J507" s="322">
        <v>14</v>
      </c>
      <c r="K507" s="323" t="e">
        <f>VLOOKUP($A507,'[1]Database Bahan &amp; Alat (Terupdat'!$B$50:$N$232,6,FALSE)</f>
        <v>#N/A</v>
      </c>
      <c r="L507" s="371" t="e">
        <f t="shared" si="11"/>
        <v>#N/A</v>
      </c>
      <c r="M507" s="325" t="s">
        <v>1887</v>
      </c>
    </row>
    <row r="508" spans="1:13" ht="13">
      <c r="A508" s="316" t="s">
        <v>712</v>
      </c>
      <c r="B508" s="316" t="s">
        <v>1973</v>
      </c>
      <c r="C508" s="316" t="s">
        <v>1973</v>
      </c>
      <c r="D508" s="316" t="s">
        <v>1973</v>
      </c>
      <c r="E508" s="317" t="s">
        <v>1973</v>
      </c>
      <c r="F508" s="318">
        <v>2</v>
      </c>
      <c r="G508" s="354" t="s">
        <v>36</v>
      </c>
      <c r="H508" s="320">
        <v>48000</v>
      </c>
      <c r="I508" s="395" t="b">
        <v>1</v>
      </c>
      <c r="J508" s="322">
        <v>2</v>
      </c>
      <c r="K508" s="323">
        <v>26000</v>
      </c>
      <c r="L508" s="379">
        <f t="shared" si="11"/>
        <v>52000</v>
      </c>
      <c r="M508" s="325" t="s">
        <v>1877</v>
      </c>
    </row>
    <row r="509" spans="1:13" ht="13">
      <c r="A509" s="316" t="s">
        <v>732</v>
      </c>
      <c r="B509" s="316" t="s">
        <v>1973</v>
      </c>
      <c r="C509" s="316" t="s">
        <v>1973</v>
      </c>
      <c r="D509" s="316" t="s">
        <v>1973</v>
      </c>
      <c r="E509" s="317" t="s">
        <v>1973</v>
      </c>
      <c r="F509" s="318">
        <v>2</v>
      </c>
      <c r="G509" s="354" t="s">
        <v>36</v>
      </c>
      <c r="H509" s="320">
        <v>44000</v>
      </c>
      <c r="I509" s="395" t="b">
        <v>1</v>
      </c>
      <c r="J509" s="322">
        <v>2</v>
      </c>
      <c r="K509" s="323">
        <v>26000</v>
      </c>
      <c r="L509" s="379">
        <f t="shared" si="11"/>
        <v>52000</v>
      </c>
      <c r="M509" s="325" t="s">
        <v>1878</v>
      </c>
    </row>
    <row r="510" spans="1:13" ht="13">
      <c r="A510" s="316" t="s">
        <v>744</v>
      </c>
      <c r="B510" s="316" t="s">
        <v>1973</v>
      </c>
      <c r="C510" s="316" t="s">
        <v>1973</v>
      </c>
      <c r="D510" s="316" t="s">
        <v>1973</v>
      </c>
      <c r="E510" s="317" t="s">
        <v>1973</v>
      </c>
      <c r="F510" s="318">
        <v>0.5</v>
      </c>
      <c r="G510" s="354" t="s">
        <v>36</v>
      </c>
      <c r="H510" s="320">
        <v>27000</v>
      </c>
      <c r="I510" s="395" t="b">
        <v>1</v>
      </c>
      <c r="J510" s="322">
        <v>0.5</v>
      </c>
      <c r="K510" s="323">
        <v>70000</v>
      </c>
      <c r="L510" s="379">
        <f t="shared" si="11"/>
        <v>35000</v>
      </c>
      <c r="M510" s="325" t="s">
        <v>1878</v>
      </c>
    </row>
    <row r="511" spans="1:13" ht="13">
      <c r="A511" s="316" t="s">
        <v>1601</v>
      </c>
      <c r="B511" s="316" t="s">
        <v>1973</v>
      </c>
      <c r="C511" s="316" t="s">
        <v>1973</v>
      </c>
      <c r="D511" s="316" t="s">
        <v>1973</v>
      </c>
      <c r="E511" s="317" t="s">
        <v>1973</v>
      </c>
      <c r="F511" s="318">
        <v>1</v>
      </c>
      <c r="G511" s="354" t="s">
        <v>97</v>
      </c>
      <c r="H511" s="320">
        <v>21000</v>
      </c>
      <c r="I511" s="393" t="b">
        <v>1</v>
      </c>
      <c r="J511" s="322">
        <v>1</v>
      </c>
      <c r="K511" s="323" t="s">
        <v>1973</v>
      </c>
      <c r="L511" s="371" t="e">
        <f t="shared" si="11"/>
        <v>#VALUE!</v>
      </c>
      <c r="M511" s="325"/>
    </row>
    <row r="512" spans="1:13" ht="13">
      <c r="A512" s="316" t="s">
        <v>795</v>
      </c>
      <c r="B512" s="316" t="s">
        <v>1973</v>
      </c>
      <c r="C512" s="316" t="s">
        <v>1973</v>
      </c>
      <c r="D512" s="316" t="s">
        <v>1973</v>
      </c>
      <c r="E512" s="317" t="s">
        <v>1973</v>
      </c>
      <c r="F512" s="318">
        <v>10</v>
      </c>
      <c r="G512" s="354" t="s">
        <v>62</v>
      </c>
      <c r="H512" s="320">
        <v>50000</v>
      </c>
      <c r="I512" s="393" t="b">
        <v>1</v>
      </c>
      <c r="J512" s="322">
        <v>10</v>
      </c>
      <c r="K512" s="323" t="s">
        <v>1973</v>
      </c>
      <c r="L512" s="371" t="e">
        <f t="shared" si="11"/>
        <v>#VALUE!</v>
      </c>
      <c r="M512" s="325"/>
    </row>
    <row r="513" spans="1:13" ht="13">
      <c r="A513" s="316" t="s">
        <v>827</v>
      </c>
      <c r="B513" s="316" t="s">
        <v>1973</v>
      </c>
      <c r="C513" s="316" t="s">
        <v>1973</v>
      </c>
      <c r="D513" s="316" t="s">
        <v>1973</v>
      </c>
      <c r="E513" s="317" t="s">
        <v>1973</v>
      </c>
      <c r="F513" s="318">
        <v>0.5</v>
      </c>
      <c r="G513" s="354" t="s">
        <v>36</v>
      </c>
      <c r="H513" s="320">
        <v>4000</v>
      </c>
      <c r="I513" s="393" t="b">
        <v>1</v>
      </c>
      <c r="J513" s="322">
        <v>0.5</v>
      </c>
      <c r="K513" s="323" t="s">
        <v>1973</v>
      </c>
      <c r="L513" s="371" t="e">
        <f t="shared" si="11"/>
        <v>#VALUE!</v>
      </c>
      <c r="M513" s="325"/>
    </row>
    <row r="514" spans="1:13" ht="13">
      <c r="A514" s="316" t="s">
        <v>1669</v>
      </c>
      <c r="B514" s="316" t="s">
        <v>1973</v>
      </c>
      <c r="C514" s="316" t="s">
        <v>1973</v>
      </c>
      <c r="D514" s="316" t="s">
        <v>1973</v>
      </c>
      <c r="E514" s="317" t="s">
        <v>1973</v>
      </c>
      <c r="F514" s="318">
        <v>3</v>
      </c>
      <c r="G514" s="354" t="s">
        <v>36</v>
      </c>
      <c r="H514" s="320">
        <v>39000</v>
      </c>
      <c r="I514" s="393" t="b">
        <v>1</v>
      </c>
      <c r="J514" s="322">
        <v>3</v>
      </c>
      <c r="K514" s="323" t="s">
        <v>1973</v>
      </c>
      <c r="L514" s="371" t="e">
        <f t="shared" si="11"/>
        <v>#VALUE!</v>
      </c>
      <c r="M514" s="325"/>
    </row>
    <row r="515" spans="1:13" ht="13">
      <c r="A515" s="316" t="s">
        <v>1501</v>
      </c>
      <c r="B515" s="316" t="s">
        <v>1973</v>
      </c>
      <c r="C515" s="316" t="s">
        <v>1973</v>
      </c>
      <c r="D515" s="316" t="s">
        <v>1973</v>
      </c>
      <c r="E515" s="317" t="s">
        <v>1973</v>
      </c>
      <c r="F515" s="318">
        <v>0.75</v>
      </c>
      <c r="G515" s="354" t="s">
        <v>36</v>
      </c>
      <c r="H515" s="320">
        <v>22500</v>
      </c>
      <c r="I515" s="319" t="b">
        <v>0</v>
      </c>
      <c r="J515" s="372"/>
      <c r="K515" s="373" t="s">
        <v>1973</v>
      </c>
      <c r="L515" s="374" t="e">
        <f t="shared" si="11"/>
        <v>#VALUE!</v>
      </c>
      <c r="M515" s="325"/>
    </row>
    <row r="516" spans="1:13" ht="13">
      <c r="A516" s="316" t="s">
        <v>1671</v>
      </c>
      <c r="B516" s="316" t="s">
        <v>1973</v>
      </c>
      <c r="C516" s="316" t="s">
        <v>1973</v>
      </c>
      <c r="D516" s="316" t="s">
        <v>1973</v>
      </c>
      <c r="E516" s="317" t="s">
        <v>1973</v>
      </c>
      <c r="F516" s="318">
        <v>4</v>
      </c>
      <c r="G516" s="354" t="s">
        <v>36</v>
      </c>
      <c r="H516" s="320">
        <v>360000</v>
      </c>
      <c r="I516" s="395" t="b">
        <v>1</v>
      </c>
      <c r="J516" s="322">
        <v>4</v>
      </c>
      <c r="K516" s="323">
        <v>95000</v>
      </c>
      <c r="L516" s="379">
        <f t="shared" si="11"/>
        <v>380000</v>
      </c>
      <c r="M516" s="325" t="s">
        <v>1856</v>
      </c>
    </row>
    <row r="517" spans="1:13" ht="13">
      <c r="A517" s="316" t="s">
        <v>931</v>
      </c>
      <c r="B517" s="316" t="s">
        <v>1973</v>
      </c>
      <c r="C517" s="316" t="s">
        <v>1973</v>
      </c>
      <c r="D517" s="316" t="s">
        <v>1973</v>
      </c>
      <c r="E517" s="317" t="s">
        <v>1973</v>
      </c>
      <c r="F517" s="318">
        <v>1</v>
      </c>
      <c r="G517" s="354" t="s">
        <v>36</v>
      </c>
      <c r="H517" s="320">
        <v>18000</v>
      </c>
      <c r="I517" s="395" t="b">
        <v>1</v>
      </c>
      <c r="J517" s="322">
        <v>1</v>
      </c>
      <c r="K517" s="323">
        <v>20000</v>
      </c>
      <c r="L517" s="379">
        <f t="shared" si="11"/>
        <v>20000</v>
      </c>
      <c r="M517" s="325" t="s">
        <v>1866</v>
      </c>
    </row>
    <row r="518" spans="1:13" ht="13">
      <c r="A518" s="316" t="s">
        <v>1020</v>
      </c>
      <c r="B518" s="316" t="s">
        <v>1973</v>
      </c>
      <c r="C518" s="316" t="s">
        <v>1973</v>
      </c>
      <c r="D518" s="316" t="s">
        <v>1973</v>
      </c>
      <c r="E518" s="317" t="s">
        <v>1973</v>
      </c>
      <c r="F518" s="318">
        <v>1</v>
      </c>
      <c r="G518" s="354" t="s">
        <v>36</v>
      </c>
      <c r="H518" s="320">
        <v>10000</v>
      </c>
      <c r="I518" s="395" t="b">
        <v>1</v>
      </c>
      <c r="J518" s="322">
        <v>1</v>
      </c>
      <c r="K518" s="323">
        <v>12000</v>
      </c>
      <c r="L518" s="379">
        <f t="shared" si="11"/>
        <v>12000</v>
      </c>
      <c r="M518" s="325" t="s">
        <v>1866</v>
      </c>
    </row>
    <row r="519" spans="1:13" ht="13">
      <c r="A519" s="316" t="s">
        <v>1600</v>
      </c>
      <c r="B519" s="316" t="s">
        <v>1973</v>
      </c>
      <c r="C519" s="316" t="s">
        <v>1973</v>
      </c>
      <c r="D519" s="316" t="s">
        <v>1973</v>
      </c>
      <c r="E519" s="317" t="s">
        <v>1973</v>
      </c>
      <c r="F519" s="318">
        <v>1</v>
      </c>
      <c r="G519" s="354" t="s">
        <v>36</v>
      </c>
      <c r="H519" s="320">
        <v>8000</v>
      </c>
      <c r="I519" s="395" t="b">
        <v>1</v>
      </c>
      <c r="J519" s="322">
        <v>1</v>
      </c>
      <c r="K519" s="323">
        <v>10000</v>
      </c>
      <c r="L519" s="379">
        <f t="shared" si="11"/>
        <v>10000</v>
      </c>
      <c r="M519" s="325" t="s">
        <v>1866</v>
      </c>
    </row>
    <row r="520" spans="1:13" ht="13">
      <c r="A520" s="316" t="s">
        <v>1541</v>
      </c>
      <c r="B520" s="316" t="s">
        <v>1973</v>
      </c>
      <c r="C520" s="316" t="s">
        <v>1973</v>
      </c>
      <c r="D520" s="316" t="s">
        <v>1973</v>
      </c>
      <c r="E520" s="317" t="s">
        <v>1973</v>
      </c>
      <c r="F520" s="318">
        <v>1</v>
      </c>
      <c r="G520" s="354" t="s">
        <v>97</v>
      </c>
      <c r="H520" s="320">
        <v>195000</v>
      </c>
      <c r="I520" s="319" t="b">
        <v>0</v>
      </c>
      <c r="J520" s="372"/>
      <c r="K520" s="373" t="s">
        <v>1973</v>
      </c>
      <c r="L520" s="374" t="e">
        <f t="shared" si="11"/>
        <v>#VALUE!</v>
      </c>
      <c r="M520" s="325"/>
    </row>
    <row r="521" spans="1:13" ht="13">
      <c r="A521" s="316" t="s">
        <v>1751</v>
      </c>
      <c r="B521" s="316" t="s">
        <v>1973</v>
      </c>
      <c r="C521" s="316" t="s">
        <v>1973</v>
      </c>
      <c r="D521" s="316" t="s">
        <v>1973</v>
      </c>
      <c r="E521" s="317" t="s">
        <v>1973</v>
      </c>
      <c r="F521" s="318">
        <v>10</v>
      </c>
      <c r="G521" s="354" t="s">
        <v>36</v>
      </c>
      <c r="H521" s="320">
        <v>120000</v>
      </c>
      <c r="I521" s="393" t="b">
        <v>1</v>
      </c>
      <c r="J521" s="322">
        <v>10</v>
      </c>
      <c r="K521" s="323" t="s">
        <v>1973</v>
      </c>
      <c r="L521" s="371" t="e">
        <f t="shared" si="11"/>
        <v>#VALUE!</v>
      </c>
      <c r="M521" s="325"/>
    </row>
    <row r="522" spans="1:13" ht="13">
      <c r="A522" s="316" t="s">
        <v>779</v>
      </c>
      <c r="B522" s="316" t="s">
        <v>1973</v>
      </c>
      <c r="C522" s="316" t="s">
        <v>1973</v>
      </c>
      <c r="D522" s="316" t="s">
        <v>1973</v>
      </c>
      <c r="E522" s="317" t="s">
        <v>1973</v>
      </c>
      <c r="F522" s="318">
        <v>3</v>
      </c>
      <c r="G522" s="354" t="s">
        <v>62</v>
      </c>
      <c r="H522" s="320">
        <v>115500</v>
      </c>
      <c r="I522" s="395" t="b">
        <v>1</v>
      </c>
      <c r="J522" s="322">
        <v>6</v>
      </c>
      <c r="K522" s="323">
        <v>16000</v>
      </c>
      <c r="L522" s="379">
        <f t="shared" si="11"/>
        <v>96000</v>
      </c>
      <c r="M522" s="325" t="s">
        <v>1888</v>
      </c>
    </row>
    <row r="523" spans="1:13" ht="13">
      <c r="A523" s="316" t="s">
        <v>1606</v>
      </c>
      <c r="B523" s="316" t="s">
        <v>1973</v>
      </c>
      <c r="C523" s="316" t="s">
        <v>1973</v>
      </c>
      <c r="D523" s="316" t="s">
        <v>1973</v>
      </c>
      <c r="E523" s="317" t="s">
        <v>1973</v>
      </c>
      <c r="F523" s="318">
        <v>0.5</v>
      </c>
      <c r="G523" s="354" t="s">
        <v>36</v>
      </c>
      <c r="H523" s="320">
        <v>21600</v>
      </c>
      <c r="I523" s="395" t="b">
        <v>1</v>
      </c>
      <c r="J523" s="322">
        <v>0.59199999999999997</v>
      </c>
      <c r="K523" s="323" t="s">
        <v>1973</v>
      </c>
      <c r="L523" s="379" t="e">
        <f t="shared" si="11"/>
        <v>#VALUE!</v>
      </c>
      <c r="M523" s="325" t="s">
        <v>1889</v>
      </c>
    </row>
    <row r="524" spans="1:13" ht="13">
      <c r="A524" s="316" t="s">
        <v>910</v>
      </c>
      <c r="B524" s="316" t="s">
        <v>1973</v>
      </c>
      <c r="C524" s="316" t="s">
        <v>1973</v>
      </c>
      <c r="D524" s="316" t="s">
        <v>1973</v>
      </c>
      <c r="E524" s="317" t="s">
        <v>1973</v>
      </c>
      <c r="F524" s="318">
        <v>3</v>
      </c>
      <c r="G524" s="354" t="s">
        <v>62</v>
      </c>
      <c r="H524" s="320">
        <v>39000</v>
      </c>
      <c r="I524" s="393" t="b">
        <v>1</v>
      </c>
      <c r="J524" s="322">
        <v>3</v>
      </c>
      <c r="K524" s="323" t="s">
        <v>1973</v>
      </c>
      <c r="L524" s="371" t="e">
        <f t="shared" si="11"/>
        <v>#VALUE!</v>
      </c>
      <c r="M524" s="325"/>
    </row>
    <row r="525" spans="1:13" ht="13">
      <c r="A525" s="316" t="s">
        <v>1602</v>
      </c>
      <c r="B525" s="316" t="s">
        <v>1973</v>
      </c>
      <c r="C525" s="316" t="s">
        <v>1973</v>
      </c>
      <c r="D525" s="316" t="s">
        <v>1973</v>
      </c>
      <c r="E525" s="317" t="s">
        <v>1973</v>
      </c>
      <c r="F525" s="318">
        <v>2</v>
      </c>
      <c r="G525" s="354" t="s">
        <v>36</v>
      </c>
      <c r="H525" s="320">
        <v>26000</v>
      </c>
      <c r="I525" s="395" t="b">
        <v>1</v>
      </c>
      <c r="J525" s="322">
        <v>2</v>
      </c>
      <c r="K525" s="323">
        <v>14000</v>
      </c>
      <c r="L525" s="379">
        <f t="shared" si="11"/>
        <v>28000</v>
      </c>
      <c r="M525" s="325" t="s">
        <v>1866</v>
      </c>
    </row>
    <row r="526" spans="1:13" ht="13">
      <c r="A526" s="316" t="s">
        <v>528</v>
      </c>
      <c r="B526" s="316" t="s">
        <v>1973</v>
      </c>
      <c r="C526" s="316" t="s">
        <v>1973</v>
      </c>
      <c r="D526" s="316" t="s">
        <v>1973</v>
      </c>
      <c r="E526" s="317" t="s">
        <v>1973</v>
      </c>
      <c r="F526" s="318">
        <v>4</v>
      </c>
      <c r="G526" s="354" t="s">
        <v>50</v>
      </c>
      <c r="H526" s="320">
        <v>64000</v>
      </c>
      <c r="I526" s="393" t="b">
        <v>1</v>
      </c>
      <c r="J526" s="322">
        <v>4</v>
      </c>
      <c r="K526" s="323" t="s">
        <v>1973</v>
      </c>
      <c r="L526" s="371" t="e">
        <f t="shared" si="11"/>
        <v>#VALUE!</v>
      </c>
      <c r="M526" s="325"/>
    </row>
    <row r="527" spans="1:13" ht="13">
      <c r="A527" s="316" t="s">
        <v>635</v>
      </c>
      <c r="B527" s="316" t="s">
        <v>1973</v>
      </c>
      <c r="C527" s="316" t="s">
        <v>1973</v>
      </c>
      <c r="D527" s="316" t="s">
        <v>1973</v>
      </c>
      <c r="E527" s="317" t="s">
        <v>1973</v>
      </c>
      <c r="F527" s="318">
        <v>8</v>
      </c>
      <c r="G527" s="354" t="s">
        <v>50</v>
      </c>
      <c r="H527" s="320">
        <v>76000</v>
      </c>
      <c r="I527" s="393" t="b">
        <v>1</v>
      </c>
      <c r="J527" s="322">
        <v>8</v>
      </c>
      <c r="K527" s="323" t="s">
        <v>1973</v>
      </c>
      <c r="L527" s="371" t="e">
        <f t="shared" si="11"/>
        <v>#VALUE!</v>
      </c>
      <c r="M527" s="325"/>
    </row>
    <row r="528" spans="1:13" ht="13">
      <c r="A528" s="316" t="s">
        <v>643</v>
      </c>
      <c r="B528" s="316" t="s">
        <v>1973</v>
      </c>
      <c r="C528" s="316" t="s">
        <v>1973</v>
      </c>
      <c r="D528" s="316" t="s">
        <v>1973</v>
      </c>
      <c r="E528" s="317" t="s">
        <v>1973</v>
      </c>
      <c r="F528" s="318">
        <v>1.5</v>
      </c>
      <c r="G528" s="354" t="s">
        <v>36</v>
      </c>
      <c r="H528" s="320">
        <v>22500</v>
      </c>
      <c r="I528" s="393" t="b">
        <v>1</v>
      </c>
      <c r="J528" s="322">
        <v>1.5</v>
      </c>
      <c r="K528" s="323" t="s">
        <v>1973</v>
      </c>
      <c r="L528" s="371" t="e">
        <f t="shared" si="11"/>
        <v>#VALUE!</v>
      </c>
      <c r="M528" s="325"/>
    </row>
    <row r="529" spans="1:13" ht="13">
      <c r="A529" s="316" t="s">
        <v>680</v>
      </c>
      <c r="B529" s="316" t="s">
        <v>1973</v>
      </c>
      <c r="C529" s="316" t="s">
        <v>1973</v>
      </c>
      <c r="D529" s="316" t="s">
        <v>1973</v>
      </c>
      <c r="E529" s="317" t="s">
        <v>1973</v>
      </c>
      <c r="F529" s="318">
        <v>3</v>
      </c>
      <c r="G529" s="354" t="s">
        <v>97</v>
      </c>
      <c r="H529" s="320">
        <v>87000</v>
      </c>
      <c r="I529" s="393" t="b">
        <v>1</v>
      </c>
      <c r="J529" s="322">
        <v>3</v>
      </c>
      <c r="K529" s="323" t="s">
        <v>1973</v>
      </c>
      <c r="L529" s="371" t="e">
        <f t="shared" si="11"/>
        <v>#VALUE!</v>
      </c>
      <c r="M529" s="325"/>
    </row>
    <row r="530" spans="1:13" ht="13">
      <c r="A530" s="316" t="s">
        <v>892</v>
      </c>
      <c r="B530" s="316" t="s">
        <v>1973</v>
      </c>
      <c r="C530" s="316" t="s">
        <v>1973</v>
      </c>
      <c r="D530" s="316" t="s">
        <v>1973</v>
      </c>
      <c r="E530" s="317" t="s">
        <v>1973</v>
      </c>
      <c r="F530" s="318">
        <v>2</v>
      </c>
      <c r="G530" s="354" t="s">
        <v>36</v>
      </c>
      <c r="H530" s="320">
        <v>250000</v>
      </c>
      <c r="I530" s="393" t="b">
        <v>1</v>
      </c>
      <c r="J530" s="322">
        <v>2</v>
      </c>
      <c r="K530" s="323" t="s">
        <v>1973</v>
      </c>
      <c r="L530" s="371" t="e">
        <f t="shared" si="11"/>
        <v>#VALUE!</v>
      </c>
      <c r="M530" s="325"/>
    </row>
    <row r="531" spans="1:13" ht="13">
      <c r="A531" s="316" t="s">
        <v>934</v>
      </c>
      <c r="B531" s="316" t="s">
        <v>1973</v>
      </c>
      <c r="C531" s="316" t="s">
        <v>1973</v>
      </c>
      <c r="D531" s="316" t="s">
        <v>1973</v>
      </c>
      <c r="E531" s="317" t="s">
        <v>1973</v>
      </c>
      <c r="F531" s="318">
        <v>4</v>
      </c>
      <c r="G531" s="354" t="s">
        <v>62</v>
      </c>
      <c r="H531" s="320">
        <v>36000</v>
      </c>
      <c r="I531" s="393" t="b">
        <v>1</v>
      </c>
      <c r="J531" s="322">
        <v>4</v>
      </c>
      <c r="K531" s="323" t="s">
        <v>1973</v>
      </c>
      <c r="L531" s="371" t="e">
        <f t="shared" si="11"/>
        <v>#VALUE!</v>
      </c>
      <c r="M531" s="325"/>
    </row>
    <row r="533" spans="1:13" ht="13">
      <c r="F533" s="429">
        <v>44589</v>
      </c>
      <c r="G533" s="428"/>
      <c r="H533" s="424"/>
      <c r="J533" s="429">
        <f>F533+1</f>
        <v>44590</v>
      </c>
      <c r="K533" s="428"/>
      <c r="L533" s="424"/>
    </row>
    <row r="534" spans="1:13" ht="13">
      <c r="F534" s="425" t="s">
        <v>1490</v>
      </c>
      <c r="G534" s="426"/>
      <c r="H534" s="304">
        <f>SUM(H536:H619)</f>
        <v>6698440</v>
      </c>
      <c r="J534" s="425" t="s">
        <v>1491</v>
      </c>
      <c r="K534" s="426"/>
      <c r="L534" s="304" t="e">
        <f>SUM(L536:L619)</f>
        <v>#VALUE!</v>
      </c>
    </row>
    <row r="535" spans="1:13" ht="13">
      <c r="A535" s="2" t="s">
        <v>4</v>
      </c>
      <c r="B535" s="305" t="s">
        <v>5</v>
      </c>
      <c r="C535" s="305" t="s">
        <v>11</v>
      </c>
      <c r="D535" s="305" t="s">
        <v>12</v>
      </c>
      <c r="E535" s="306" t="s">
        <v>6</v>
      </c>
      <c r="F535" s="307" t="s">
        <v>1494</v>
      </c>
      <c r="G535" s="308" t="s">
        <v>10</v>
      </c>
      <c r="H535" s="309" t="s">
        <v>1495</v>
      </c>
      <c r="I535" s="310" t="s">
        <v>1289</v>
      </c>
      <c r="J535" s="311" t="s">
        <v>1496</v>
      </c>
      <c r="K535" s="312" t="s">
        <v>1497</v>
      </c>
      <c r="L535" s="313" t="s">
        <v>1498</v>
      </c>
      <c r="M535" s="314" t="s">
        <v>16</v>
      </c>
    </row>
    <row r="536" spans="1:13" ht="13">
      <c r="A536" s="316" t="s">
        <v>544</v>
      </c>
      <c r="B536" s="316" t="s">
        <v>1973</v>
      </c>
      <c r="C536" s="316" t="s">
        <v>1973</v>
      </c>
      <c r="D536" s="316" t="s">
        <v>1973</v>
      </c>
      <c r="E536" s="317" t="s">
        <v>1973</v>
      </c>
      <c r="F536" s="318">
        <v>5</v>
      </c>
      <c r="G536" s="354" t="s">
        <v>62</v>
      </c>
      <c r="H536" s="320">
        <v>113000</v>
      </c>
      <c r="I536" s="393" t="b">
        <v>1</v>
      </c>
      <c r="J536" s="322">
        <v>5</v>
      </c>
      <c r="K536" s="323" t="s">
        <v>1973</v>
      </c>
      <c r="L536" s="371" t="e">
        <f t="shared" ref="L536:L619" si="12">J536*K536</f>
        <v>#VALUE!</v>
      </c>
      <c r="M536" s="325"/>
    </row>
    <row r="537" spans="1:13" ht="13">
      <c r="A537" s="316" t="s">
        <v>586</v>
      </c>
      <c r="B537" s="316" t="s">
        <v>1973</v>
      </c>
      <c r="C537" s="316" t="s">
        <v>1973</v>
      </c>
      <c r="D537" s="316" t="s">
        <v>1973</v>
      </c>
      <c r="E537" s="317" t="s">
        <v>1973</v>
      </c>
      <c r="F537" s="318">
        <v>6</v>
      </c>
      <c r="G537" s="354" t="s">
        <v>62</v>
      </c>
      <c r="H537" s="320">
        <v>43200</v>
      </c>
      <c r="I537" s="393" t="b">
        <v>1</v>
      </c>
      <c r="J537" s="322">
        <v>6</v>
      </c>
      <c r="K537" s="323" t="s">
        <v>1973</v>
      </c>
      <c r="L537" s="371" t="e">
        <f t="shared" si="12"/>
        <v>#VALUE!</v>
      </c>
      <c r="M537" s="325"/>
    </row>
    <row r="538" spans="1:13" ht="13">
      <c r="A538" s="316" t="s">
        <v>627</v>
      </c>
      <c r="B538" s="316" t="s">
        <v>1973</v>
      </c>
      <c r="C538" s="316" t="s">
        <v>1973</v>
      </c>
      <c r="D538" s="316" t="s">
        <v>1973</v>
      </c>
      <c r="E538" s="317" t="s">
        <v>1973</v>
      </c>
      <c r="F538" s="318">
        <v>1</v>
      </c>
      <c r="G538" s="354" t="s">
        <v>36</v>
      </c>
      <c r="H538" s="320">
        <v>37900</v>
      </c>
      <c r="I538" s="393" t="b">
        <v>1</v>
      </c>
      <c r="J538" s="322">
        <v>1.1399999999999999</v>
      </c>
      <c r="K538" s="323" t="s">
        <v>1973</v>
      </c>
      <c r="L538" s="371" t="e">
        <f t="shared" si="12"/>
        <v>#VALUE!</v>
      </c>
      <c r="M538" s="325"/>
    </row>
    <row r="539" spans="1:13" ht="13">
      <c r="A539" s="316" t="s">
        <v>1655</v>
      </c>
      <c r="B539" s="316" t="s">
        <v>1973</v>
      </c>
      <c r="C539" s="316" t="s">
        <v>1973</v>
      </c>
      <c r="D539" s="316" t="s">
        <v>1973</v>
      </c>
      <c r="E539" s="317" t="s">
        <v>1973</v>
      </c>
      <c r="F539" s="318">
        <v>1</v>
      </c>
      <c r="G539" s="354" t="s">
        <v>62</v>
      </c>
      <c r="H539" s="320">
        <v>13000</v>
      </c>
      <c r="I539" s="319" t="b">
        <v>0</v>
      </c>
      <c r="J539" s="372"/>
      <c r="K539" s="373" t="s">
        <v>1973</v>
      </c>
      <c r="L539" s="374" t="e">
        <f t="shared" si="12"/>
        <v>#VALUE!</v>
      </c>
      <c r="M539" s="325"/>
    </row>
    <row r="540" spans="1:13" ht="13">
      <c r="A540" s="316" t="s">
        <v>770</v>
      </c>
      <c r="B540" s="316" t="s">
        <v>1973</v>
      </c>
      <c r="C540" s="316" t="s">
        <v>1973</v>
      </c>
      <c r="D540" s="316" t="s">
        <v>1973</v>
      </c>
      <c r="E540" s="317" t="s">
        <v>1973</v>
      </c>
      <c r="F540" s="318">
        <v>2</v>
      </c>
      <c r="G540" s="354" t="s">
        <v>97</v>
      </c>
      <c r="H540" s="320">
        <v>48800</v>
      </c>
      <c r="I540" s="395" t="b">
        <v>1</v>
      </c>
      <c r="J540" s="322">
        <v>2</v>
      </c>
      <c r="K540" s="323">
        <v>25000</v>
      </c>
      <c r="L540" s="379">
        <f t="shared" si="12"/>
        <v>50000</v>
      </c>
      <c r="M540" s="325"/>
    </row>
    <row r="541" spans="1:13" ht="13">
      <c r="A541" s="316" t="s">
        <v>782</v>
      </c>
      <c r="B541" s="316" t="s">
        <v>1973</v>
      </c>
      <c r="C541" s="316" t="s">
        <v>1973</v>
      </c>
      <c r="D541" s="316" t="s">
        <v>1973</v>
      </c>
      <c r="E541" s="317" t="s">
        <v>1973</v>
      </c>
      <c r="F541" s="318">
        <v>2</v>
      </c>
      <c r="G541" s="354" t="s">
        <v>62</v>
      </c>
      <c r="H541" s="320">
        <v>24000</v>
      </c>
      <c r="I541" s="393" t="b">
        <v>1</v>
      </c>
      <c r="J541" s="322">
        <v>2</v>
      </c>
      <c r="K541" s="323" t="s">
        <v>1973</v>
      </c>
      <c r="L541" s="371" t="e">
        <f t="shared" si="12"/>
        <v>#VALUE!</v>
      </c>
      <c r="M541" s="325"/>
    </row>
    <row r="542" spans="1:13" ht="13">
      <c r="A542" s="316" t="s">
        <v>1661</v>
      </c>
      <c r="B542" s="316" t="s">
        <v>1973</v>
      </c>
      <c r="C542" s="316" t="s">
        <v>1973</v>
      </c>
      <c r="D542" s="316" t="s">
        <v>1973</v>
      </c>
      <c r="E542" s="317" t="s">
        <v>1973</v>
      </c>
      <c r="F542" s="318">
        <v>2</v>
      </c>
      <c r="G542" s="354" t="s">
        <v>97</v>
      </c>
      <c r="H542" s="320">
        <v>29200</v>
      </c>
      <c r="I542" s="319" t="b">
        <v>0</v>
      </c>
      <c r="J542" s="372"/>
      <c r="K542" s="373" t="s">
        <v>1973</v>
      </c>
      <c r="L542" s="374" t="e">
        <f t="shared" si="12"/>
        <v>#VALUE!</v>
      </c>
      <c r="M542" s="325"/>
    </row>
    <row r="543" spans="1:13" ht="13">
      <c r="A543" s="316" t="s">
        <v>1670</v>
      </c>
      <c r="B543" s="316" t="s">
        <v>1973</v>
      </c>
      <c r="C543" s="316" t="s">
        <v>1973</v>
      </c>
      <c r="D543" s="316" t="s">
        <v>1973</v>
      </c>
      <c r="E543" s="317" t="s">
        <v>1973</v>
      </c>
      <c r="F543" s="318">
        <v>1</v>
      </c>
      <c r="G543" s="354" t="s">
        <v>62</v>
      </c>
      <c r="H543" s="320">
        <v>11500</v>
      </c>
      <c r="I543" s="395" t="b">
        <v>1</v>
      </c>
      <c r="J543" s="322">
        <v>1</v>
      </c>
      <c r="K543" s="323">
        <v>10000</v>
      </c>
      <c r="L543" s="380">
        <f t="shared" si="12"/>
        <v>10000</v>
      </c>
      <c r="M543" s="325"/>
    </row>
    <row r="544" spans="1:13" ht="13">
      <c r="A544" s="316" t="s">
        <v>1607</v>
      </c>
      <c r="B544" s="316" t="s">
        <v>1973</v>
      </c>
      <c r="C544" s="316" t="s">
        <v>1973</v>
      </c>
      <c r="D544" s="316" t="s">
        <v>1973</v>
      </c>
      <c r="E544" s="317" t="s">
        <v>1973</v>
      </c>
      <c r="F544" s="318">
        <v>1</v>
      </c>
      <c r="G544" s="354" t="s">
        <v>62</v>
      </c>
      <c r="H544" s="320">
        <v>11500</v>
      </c>
      <c r="I544" s="319" t="b">
        <v>0</v>
      </c>
      <c r="J544" s="372"/>
      <c r="K544" s="373" t="e">
        <f>VLOOKUP($A544,'[1]Database Bahan &amp; Alat (Terupdat'!$B$50:$N$232,6,FALSE)</f>
        <v>#N/A</v>
      </c>
      <c r="L544" s="374" t="e">
        <f t="shared" si="12"/>
        <v>#N/A</v>
      </c>
      <c r="M544" s="325"/>
    </row>
    <row r="545" spans="1:13" ht="13">
      <c r="A545" s="316" t="s">
        <v>919</v>
      </c>
      <c r="B545" s="316" t="s">
        <v>1973</v>
      </c>
      <c r="C545" s="316" t="s">
        <v>1973</v>
      </c>
      <c r="D545" s="316" t="s">
        <v>1973</v>
      </c>
      <c r="E545" s="317" t="s">
        <v>1973</v>
      </c>
      <c r="F545" s="318">
        <v>4</v>
      </c>
      <c r="G545" s="354" t="s">
        <v>62</v>
      </c>
      <c r="H545" s="320">
        <v>39600</v>
      </c>
      <c r="I545" s="395" t="b">
        <v>1</v>
      </c>
      <c r="J545" s="322">
        <v>3</v>
      </c>
      <c r="K545" s="323">
        <v>8800</v>
      </c>
      <c r="L545" s="380">
        <f t="shared" si="12"/>
        <v>26400</v>
      </c>
      <c r="M545" s="325"/>
    </row>
    <row r="546" spans="1:13" ht="13">
      <c r="A546" s="316" t="s">
        <v>937</v>
      </c>
      <c r="B546" s="316" t="s">
        <v>1973</v>
      </c>
      <c r="C546" s="316" t="s">
        <v>1973</v>
      </c>
      <c r="D546" s="316" t="s">
        <v>1973</v>
      </c>
      <c r="E546" s="317" t="s">
        <v>1973</v>
      </c>
      <c r="F546" s="318">
        <v>2</v>
      </c>
      <c r="G546" s="354" t="s">
        <v>62</v>
      </c>
      <c r="H546" s="320">
        <v>14400</v>
      </c>
      <c r="I546" s="393" t="b">
        <v>1</v>
      </c>
      <c r="J546" s="322">
        <v>2</v>
      </c>
      <c r="K546" s="323" t="s">
        <v>1973</v>
      </c>
      <c r="L546" s="371" t="e">
        <f t="shared" si="12"/>
        <v>#VALUE!</v>
      </c>
      <c r="M546" s="325"/>
    </row>
    <row r="547" spans="1:13" ht="13">
      <c r="A547" s="18" t="s">
        <v>1609</v>
      </c>
      <c r="B547" s="316" t="s">
        <v>1973</v>
      </c>
      <c r="C547" s="316" t="s">
        <v>1973</v>
      </c>
      <c r="D547" s="316" t="s">
        <v>1973</v>
      </c>
      <c r="E547" s="317" t="s">
        <v>1973</v>
      </c>
      <c r="F547" s="318">
        <v>6</v>
      </c>
      <c r="G547" s="354" t="s">
        <v>36</v>
      </c>
      <c r="H547" s="320">
        <v>240000</v>
      </c>
      <c r="I547" s="395" t="b">
        <v>1</v>
      </c>
      <c r="J547" s="322">
        <v>3</v>
      </c>
      <c r="K547" s="323" t="s">
        <v>1973</v>
      </c>
      <c r="L547" s="370" t="e">
        <f t="shared" si="12"/>
        <v>#VALUE!</v>
      </c>
      <c r="M547" s="325"/>
    </row>
    <row r="548" spans="1:13" ht="13">
      <c r="A548" s="18" t="s">
        <v>1094</v>
      </c>
      <c r="B548" s="316" t="s">
        <v>1973</v>
      </c>
      <c r="C548" s="316" t="s">
        <v>1973</v>
      </c>
      <c r="D548" s="316" t="s">
        <v>1973</v>
      </c>
      <c r="E548" s="317" t="s">
        <v>1973</v>
      </c>
      <c r="F548" s="318">
        <v>2</v>
      </c>
      <c r="G548" s="354" t="s">
        <v>62</v>
      </c>
      <c r="H548" s="320">
        <v>34600</v>
      </c>
      <c r="I548" s="395" t="b">
        <v>1</v>
      </c>
      <c r="J548" s="322">
        <v>2</v>
      </c>
      <c r="K548" s="323">
        <v>17600</v>
      </c>
      <c r="L548" s="379">
        <f t="shared" si="12"/>
        <v>35200</v>
      </c>
      <c r="M548" s="325"/>
    </row>
    <row r="549" spans="1:13" ht="13">
      <c r="A549" s="18" t="s">
        <v>1101</v>
      </c>
      <c r="B549" s="316" t="s">
        <v>1973</v>
      </c>
      <c r="C549" s="316" t="s">
        <v>1973</v>
      </c>
      <c r="D549" s="316" t="s">
        <v>1973</v>
      </c>
      <c r="E549" s="317" t="s">
        <v>1973</v>
      </c>
      <c r="F549" s="318">
        <v>1</v>
      </c>
      <c r="G549" s="354" t="s">
        <v>62</v>
      </c>
      <c r="H549" s="320">
        <v>16100</v>
      </c>
      <c r="I549" s="319" t="b">
        <v>0</v>
      </c>
      <c r="J549" s="372"/>
      <c r="K549" s="373" t="s">
        <v>1973</v>
      </c>
      <c r="L549" s="374" t="e">
        <f t="shared" si="12"/>
        <v>#VALUE!</v>
      </c>
      <c r="M549" s="325"/>
    </row>
    <row r="550" spans="1:13" ht="13">
      <c r="A550" s="316" t="s">
        <v>574</v>
      </c>
      <c r="B550" s="316" t="s">
        <v>1973</v>
      </c>
      <c r="C550" s="316" t="s">
        <v>1973</v>
      </c>
      <c r="D550" s="316" t="s">
        <v>1973</v>
      </c>
      <c r="E550" s="317" t="s">
        <v>1973</v>
      </c>
      <c r="F550" s="318">
        <v>1</v>
      </c>
      <c r="G550" s="354" t="s">
        <v>62</v>
      </c>
      <c r="H550" s="320">
        <v>170000</v>
      </c>
      <c r="I550" s="319" t="b">
        <v>0</v>
      </c>
      <c r="J550" s="372"/>
      <c r="K550" s="373" t="s">
        <v>1973</v>
      </c>
      <c r="L550" s="374" t="e">
        <f t="shared" si="12"/>
        <v>#VALUE!</v>
      </c>
      <c r="M550" s="325"/>
    </row>
    <row r="551" spans="1:13" ht="13">
      <c r="A551" s="316" t="s">
        <v>578</v>
      </c>
      <c r="B551" s="316" t="s">
        <v>1973</v>
      </c>
      <c r="C551" s="316" t="s">
        <v>1973</v>
      </c>
      <c r="D551" s="316" t="s">
        <v>1973</v>
      </c>
      <c r="E551" s="317" t="s">
        <v>1973</v>
      </c>
      <c r="F551" s="318">
        <v>1</v>
      </c>
      <c r="G551" s="354" t="s">
        <v>62</v>
      </c>
      <c r="H551" s="320">
        <v>220000</v>
      </c>
      <c r="I551" s="319" t="b">
        <v>0</v>
      </c>
      <c r="J551" s="372"/>
      <c r="K551" s="373" t="s">
        <v>1973</v>
      </c>
      <c r="L551" s="374" t="e">
        <f t="shared" si="12"/>
        <v>#VALUE!</v>
      </c>
      <c r="M551" s="325"/>
    </row>
    <row r="552" spans="1:13" ht="13">
      <c r="A552" s="316" t="s">
        <v>958</v>
      </c>
      <c r="B552" s="316" t="s">
        <v>1973</v>
      </c>
      <c r="C552" s="316" t="s">
        <v>1973</v>
      </c>
      <c r="D552" s="316" t="s">
        <v>1973</v>
      </c>
      <c r="E552" s="317" t="s">
        <v>1973</v>
      </c>
      <c r="F552" s="318">
        <v>1</v>
      </c>
      <c r="G552" s="354" t="s">
        <v>97</v>
      </c>
      <c r="H552" s="320">
        <v>129000</v>
      </c>
      <c r="I552" s="319" t="b">
        <v>0</v>
      </c>
      <c r="J552" s="372"/>
      <c r="K552" s="373" t="s">
        <v>1973</v>
      </c>
      <c r="L552" s="374" t="e">
        <f t="shared" si="12"/>
        <v>#VALUE!</v>
      </c>
      <c r="M552" s="325"/>
    </row>
    <row r="553" spans="1:13" ht="13">
      <c r="A553" s="316" t="s">
        <v>967</v>
      </c>
      <c r="B553" s="316" t="s">
        <v>1973</v>
      </c>
      <c r="C553" s="316" t="s">
        <v>1973</v>
      </c>
      <c r="D553" s="316" t="s">
        <v>1973</v>
      </c>
      <c r="E553" s="317" t="s">
        <v>1973</v>
      </c>
      <c r="F553" s="318">
        <v>1</v>
      </c>
      <c r="G553" s="354" t="s">
        <v>97</v>
      </c>
      <c r="H553" s="320">
        <v>129000</v>
      </c>
      <c r="I553" s="319" t="b">
        <v>0</v>
      </c>
      <c r="J553" s="372"/>
      <c r="K553" s="373" t="s">
        <v>1973</v>
      </c>
      <c r="L553" s="374" t="e">
        <f t="shared" si="12"/>
        <v>#VALUE!</v>
      </c>
      <c r="M553" s="325"/>
    </row>
    <row r="554" spans="1:13" ht="13">
      <c r="A554" s="316" t="s">
        <v>1505</v>
      </c>
      <c r="B554" s="316" t="s">
        <v>1973</v>
      </c>
      <c r="C554" s="316" t="s">
        <v>1973</v>
      </c>
      <c r="D554" s="316" t="s">
        <v>1973</v>
      </c>
      <c r="E554" s="317" t="s">
        <v>1973</v>
      </c>
      <c r="F554" s="318">
        <v>1</v>
      </c>
      <c r="G554" s="354" t="s">
        <v>97</v>
      </c>
      <c r="H554" s="320">
        <v>128700</v>
      </c>
      <c r="I554" s="319" t="b">
        <v>0</v>
      </c>
      <c r="J554" s="372"/>
      <c r="K554" s="373" t="s">
        <v>1973</v>
      </c>
      <c r="L554" s="374" t="e">
        <f t="shared" si="12"/>
        <v>#VALUE!</v>
      </c>
      <c r="M554" s="325"/>
    </row>
    <row r="555" spans="1:13" ht="13">
      <c r="A555" s="316" t="s">
        <v>1506</v>
      </c>
      <c r="B555" s="316" t="s">
        <v>1973</v>
      </c>
      <c r="C555" s="316" t="s">
        <v>1973</v>
      </c>
      <c r="D555" s="316" t="s">
        <v>1973</v>
      </c>
      <c r="E555" s="317" t="s">
        <v>1973</v>
      </c>
      <c r="F555" s="318">
        <v>1</v>
      </c>
      <c r="G555" s="354" t="s">
        <v>97</v>
      </c>
      <c r="H555" s="320">
        <v>128700</v>
      </c>
      <c r="I555" s="319" t="b">
        <v>0</v>
      </c>
      <c r="J555" s="372"/>
      <c r="K555" s="373" t="s">
        <v>1973</v>
      </c>
      <c r="L555" s="374" t="e">
        <f t="shared" si="12"/>
        <v>#VALUE!</v>
      </c>
      <c r="M555" s="325"/>
    </row>
    <row r="556" spans="1:13" ht="13">
      <c r="A556" s="316" t="s">
        <v>976</v>
      </c>
      <c r="B556" s="316" t="s">
        <v>1973</v>
      </c>
      <c r="C556" s="316" t="s">
        <v>1973</v>
      </c>
      <c r="D556" s="316" t="s">
        <v>1973</v>
      </c>
      <c r="E556" s="317" t="s">
        <v>1973</v>
      </c>
      <c r="F556" s="318">
        <v>1</v>
      </c>
      <c r="G556" s="354" t="s">
        <v>62</v>
      </c>
      <c r="H556" s="320">
        <v>25000</v>
      </c>
      <c r="I556" s="393" t="b">
        <v>1</v>
      </c>
      <c r="J556" s="322">
        <v>1</v>
      </c>
      <c r="K556" s="323" t="s">
        <v>1973</v>
      </c>
      <c r="L556" s="371" t="e">
        <f t="shared" si="12"/>
        <v>#VALUE!</v>
      </c>
      <c r="M556" s="325"/>
    </row>
    <row r="557" spans="1:13" ht="13">
      <c r="A557" s="316" t="s">
        <v>1697</v>
      </c>
      <c r="B557" s="316" t="s">
        <v>1973</v>
      </c>
      <c r="C557" s="316" t="s">
        <v>1973</v>
      </c>
      <c r="D557" s="316" t="s">
        <v>1973</v>
      </c>
      <c r="E557" s="317" t="s">
        <v>1973</v>
      </c>
      <c r="F557" s="318">
        <v>1</v>
      </c>
      <c r="G557" s="354" t="s">
        <v>62</v>
      </c>
      <c r="H557" s="320">
        <v>12500</v>
      </c>
      <c r="I557" s="319" t="b">
        <v>0</v>
      </c>
      <c r="J557" s="372"/>
      <c r="K557" s="373" t="s">
        <v>1973</v>
      </c>
      <c r="L557" s="374" t="e">
        <f t="shared" si="12"/>
        <v>#VALUE!</v>
      </c>
      <c r="M557" s="325"/>
    </row>
    <row r="558" spans="1:13" ht="13">
      <c r="A558" s="316" t="s">
        <v>1030</v>
      </c>
      <c r="B558" s="316" t="s">
        <v>1973</v>
      </c>
      <c r="C558" s="316" t="s">
        <v>1973</v>
      </c>
      <c r="D558" s="316" t="s">
        <v>1973</v>
      </c>
      <c r="E558" s="317" t="s">
        <v>1973</v>
      </c>
      <c r="F558" s="318">
        <v>1</v>
      </c>
      <c r="G558" s="354" t="s">
        <v>62</v>
      </c>
      <c r="H558" s="320">
        <v>19000</v>
      </c>
      <c r="I558" s="319" t="b">
        <v>0</v>
      </c>
      <c r="J558" s="372"/>
      <c r="K558" s="373" t="s">
        <v>1973</v>
      </c>
      <c r="L558" s="374" t="e">
        <f t="shared" si="12"/>
        <v>#VALUE!</v>
      </c>
      <c r="M558" s="325"/>
    </row>
    <row r="559" spans="1:13" ht="13">
      <c r="A559" s="316" t="s">
        <v>1033</v>
      </c>
      <c r="B559" s="316" t="s">
        <v>1973</v>
      </c>
      <c r="C559" s="316" t="s">
        <v>1973</v>
      </c>
      <c r="D559" s="316" t="s">
        <v>1973</v>
      </c>
      <c r="E559" s="317" t="s">
        <v>1973</v>
      </c>
      <c r="F559" s="318">
        <v>1</v>
      </c>
      <c r="G559" s="354" t="s">
        <v>62</v>
      </c>
      <c r="H559" s="320">
        <v>19000</v>
      </c>
      <c r="I559" s="319" t="b">
        <v>0</v>
      </c>
      <c r="J559" s="372"/>
      <c r="K559" s="373" t="s">
        <v>1973</v>
      </c>
      <c r="L559" s="374" t="e">
        <f t="shared" si="12"/>
        <v>#VALUE!</v>
      </c>
      <c r="M559" s="325"/>
    </row>
    <row r="560" spans="1:13" ht="13">
      <c r="A560" s="18" t="s">
        <v>1096</v>
      </c>
      <c r="B560" s="316" t="s">
        <v>1973</v>
      </c>
      <c r="C560" s="316" t="s">
        <v>1973</v>
      </c>
      <c r="D560" s="316" t="s">
        <v>1973</v>
      </c>
      <c r="E560" s="317" t="s">
        <v>1973</v>
      </c>
      <c r="F560" s="318">
        <v>1</v>
      </c>
      <c r="G560" s="354" t="s">
        <v>62</v>
      </c>
      <c r="H560" s="320">
        <v>9100</v>
      </c>
      <c r="I560" s="393" t="b">
        <v>1</v>
      </c>
      <c r="J560" s="322">
        <v>1</v>
      </c>
      <c r="K560" s="323" t="s">
        <v>1973</v>
      </c>
      <c r="L560" s="371" t="e">
        <f t="shared" si="12"/>
        <v>#VALUE!</v>
      </c>
      <c r="M560" s="325"/>
    </row>
    <row r="561" spans="1:13" ht="13">
      <c r="A561" s="316" t="s">
        <v>631</v>
      </c>
      <c r="B561" s="316" t="s">
        <v>1973</v>
      </c>
      <c r="C561" s="316" t="s">
        <v>1973</v>
      </c>
      <c r="D561" s="316" t="s">
        <v>1973</v>
      </c>
      <c r="E561" s="317" t="s">
        <v>1973</v>
      </c>
      <c r="F561" s="318">
        <v>1</v>
      </c>
      <c r="G561" s="354" t="s">
        <v>36</v>
      </c>
      <c r="H561" s="320">
        <v>16000</v>
      </c>
      <c r="I561" s="393" t="b">
        <v>1</v>
      </c>
      <c r="J561" s="322">
        <v>1</v>
      </c>
      <c r="K561" s="323" t="s">
        <v>1973</v>
      </c>
      <c r="L561" s="371" t="e">
        <f t="shared" si="12"/>
        <v>#VALUE!</v>
      </c>
      <c r="M561" s="325"/>
    </row>
    <row r="562" spans="1:13" ht="13">
      <c r="A562" s="316" t="s">
        <v>639</v>
      </c>
      <c r="B562" s="316" t="s">
        <v>1973</v>
      </c>
      <c r="C562" s="316" t="s">
        <v>1973</v>
      </c>
      <c r="D562" s="316" t="s">
        <v>1973</v>
      </c>
      <c r="E562" s="317" t="s">
        <v>1973</v>
      </c>
      <c r="F562" s="318">
        <v>1</v>
      </c>
      <c r="G562" s="354" t="s">
        <v>36</v>
      </c>
      <c r="H562" s="320">
        <v>125000</v>
      </c>
      <c r="I562" s="395" t="b">
        <v>1</v>
      </c>
      <c r="J562" s="322">
        <v>1.2</v>
      </c>
      <c r="K562" s="323" t="s">
        <v>1973</v>
      </c>
      <c r="L562" s="379" t="e">
        <f t="shared" si="12"/>
        <v>#VALUE!</v>
      </c>
      <c r="M562" s="325"/>
    </row>
    <row r="563" spans="1:13" ht="13">
      <c r="A563" s="316" t="s">
        <v>1610</v>
      </c>
      <c r="B563" s="316" t="s">
        <v>1973</v>
      </c>
      <c r="C563" s="316" t="s">
        <v>1973</v>
      </c>
      <c r="D563" s="316" t="s">
        <v>1973</v>
      </c>
      <c r="E563" s="317" t="s">
        <v>1973</v>
      </c>
      <c r="F563" s="318">
        <v>2</v>
      </c>
      <c r="G563" s="354" t="s">
        <v>36</v>
      </c>
      <c r="H563" s="320">
        <v>20000</v>
      </c>
      <c r="I563" s="395" t="b">
        <v>1</v>
      </c>
      <c r="J563" s="322">
        <v>2</v>
      </c>
      <c r="K563" s="323">
        <v>9000</v>
      </c>
      <c r="L563" s="380">
        <f t="shared" si="12"/>
        <v>18000</v>
      </c>
      <c r="M563" s="325"/>
    </row>
    <row r="564" spans="1:13" ht="13">
      <c r="A564" s="316" t="s">
        <v>1611</v>
      </c>
      <c r="B564" s="316" t="s">
        <v>1973</v>
      </c>
      <c r="C564" s="316" t="s">
        <v>1973</v>
      </c>
      <c r="D564" s="316" t="s">
        <v>1973</v>
      </c>
      <c r="E564" s="317" t="s">
        <v>1973</v>
      </c>
      <c r="F564" s="318">
        <v>2.5</v>
      </c>
      <c r="G564" s="354" t="s">
        <v>36</v>
      </c>
      <c r="H564" s="320">
        <v>125000</v>
      </c>
      <c r="I564" s="395" t="b">
        <v>1</v>
      </c>
      <c r="J564" s="322">
        <v>2.5</v>
      </c>
      <c r="K564" s="323">
        <v>48000</v>
      </c>
      <c r="L564" s="380">
        <f t="shared" si="12"/>
        <v>120000</v>
      </c>
      <c r="M564" s="325"/>
    </row>
    <row r="565" spans="1:13" ht="13">
      <c r="A565" s="316" t="s">
        <v>1612</v>
      </c>
      <c r="B565" s="316" t="s">
        <v>1973</v>
      </c>
      <c r="C565" s="316" t="s">
        <v>1973</v>
      </c>
      <c r="D565" s="316" t="s">
        <v>1973</v>
      </c>
      <c r="E565" s="317" t="s">
        <v>1973</v>
      </c>
      <c r="F565" s="318">
        <v>6</v>
      </c>
      <c r="G565" s="354" t="s">
        <v>36</v>
      </c>
      <c r="H565" s="320">
        <v>150000</v>
      </c>
      <c r="I565" s="412" t="b">
        <v>1</v>
      </c>
      <c r="J565" s="413">
        <v>6</v>
      </c>
      <c r="K565" s="414" t="s">
        <v>1973</v>
      </c>
      <c r="L565" s="370" t="e">
        <f t="shared" si="12"/>
        <v>#VALUE!</v>
      </c>
      <c r="M565" s="325" t="s">
        <v>1890</v>
      </c>
    </row>
    <row r="566" spans="1:13" ht="13">
      <c r="A566" s="316" t="s">
        <v>675</v>
      </c>
      <c r="B566" s="316" t="s">
        <v>1973</v>
      </c>
      <c r="C566" s="316" t="s">
        <v>1973</v>
      </c>
      <c r="D566" s="316" t="s">
        <v>1973</v>
      </c>
      <c r="E566" s="317" t="s">
        <v>1973</v>
      </c>
      <c r="F566" s="318">
        <v>10</v>
      </c>
      <c r="G566" s="354" t="s">
        <v>62</v>
      </c>
      <c r="H566" s="320">
        <v>45000</v>
      </c>
      <c r="I566" s="393" t="b">
        <v>1</v>
      </c>
      <c r="J566" s="322">
        <v>10</v>
      </c>
      <c r="K566" s="323" t="s">
        <v>1973</v>
      </c>
      <c r="L566" s="371" t="e">
        <f t="shared" si="12"/>
        <v>#VALUE!</v>
      </c>
      <c r="M566" s="325"/>
    </row>
    <row r="567" spans="1:13" ht="13">
      <c r="A567" s="316" t="s">
        <v>732</v>
      </c>
      <c r="B567" s="316" t="s">
        <v>1973</v>
      </c>
      <c r="C567" s="316" t="s">
        <v>1973</v>
      </c>
      <c r="D567" s="316" t="s">
        <v>1973</v>
      </c>
      <c r="E567" s="317" t="s">
        <v>1973</v>
      </c>
      <c r="F567" s="318">
        <v>1.5</v>
      </c>
      <c r="G567" s="354" t="s">
        <v>36</v>
      </c>
      <c r="H567" s="320">
        <v>39000</v>
      </c>
      <c r="I567" s="393" t="b">
        <v>1</v>
      </c>
      <c r="J567" s="322">
        <v>1.5</v>
      </c>
      <c r="K567" s="323" t="s">
        <v>1973</v>
      </c>
      <c r="L567" s="371" t="e">
        <f t="shared" si="12"/>
        <v>#VALUE!</v>
      </c>
      <c r="M567" s="325"/>
    </row>
    <row r="568" spans="1:13" ht="13">
      <c r="A568" s="316" t="s">
        <v>744</v>
      </c>
      <c r="B568" s="316" t="s">
        <v>1973</v>
      </c>
      <c r="C568" s="316" t="s">
        <v>1973</v>
      </c>
      <c r="D568" s="316" t="s">
        <v>1973</v>
      </c>
      <c r="E568" s="317" t="s">
        <v>1973</v>
      </c>
      <c r="F568" s="318">
        <v>0.5</v>
      </c>
      <c r="G568" s="354" t="s">
        <v>36</v>
      </c>
      <c r="H568" s="320">
        <v>35000</v>
      </c>
      <c r="I568" s="393" t="b">
        <v>1</v>
      </c>
      <c r="J568" s="322">
        <v>0.5</v>
      </c>
      <c r="K568" s="323" t="s">
        <v>1973</v>
      </c>
      <c r="L568" s="371" t="e">
        <f t="shared" si="12"/>
        <v>#VALUE!</v>
      </c>
      <c r="M568" s="325"/>
    </row>
    <row r="569" spans="1:13" ht="13">
      <c r="A569" s="316" t="s">
        <v>752</v>
      </c>
      <c r="B569" s="316" t="s">
        <v>1973</v>
      </c>
      <c r="C569" s="316" t="s">
        <v>1973</v>
      </c>
      <c r="D569" s="316" t="s">
        <v>1973</v>
      </c>
      <c r="E569" s="317" t="s">
        <v>1973</v>
      </c>
      <c r="F569" s="318">
        <v>1</v>
      </c>
      <c r="G569" s="354" t="s">
        <v>62</v>
      </c>
      <c r="H569" s="320">
        <v>36000</v>
      </c>
      <c r="I569" s="393" t="b">
        <v>1</v>
      </c>
      <c r="J569" s="322">
        <v>1</v>
      </c>
      <c r="K569" s="323" t="s">
        <v>1973</v>
      </c>
      <c r="L569" s="371" t="e">
        <f t="shared" si="12"/>
        <v>#VALUE!</v>
      </c>
      <c r="M569" s="325"/>
    </row>
    <row r="570" spans="1:13" ht="13">
      <c r="A570" s="316" t="s">
        <v>764</v>
      </c>
      <c r="B570" s="316" t="s">
        <v>1973</v>
      </c>
      <c r="C570" s="316" t="s">
        <v>1973</v>
      </c>
      <c r="D570" s="316" t="s">
        <v>1973</v>
      </c>
      <c r="E570" s="317" t="s">
        <v>1973</v>
      </c>
      <c r="F570" s="318">
        <v>2</v>
      </c>
      <c r="G570" s="354" t="s">
        <v>62</v>
      </c>
      <c r="H570" s="320">
        <v>5000</v>
      </c>
      <c r="I570" s="393" t="b">
        <v>1</v>
      </c>
      <c r="J570" s="322">
        <v>2</v>
      </c>
      <c r="K570" s="323" t="s">
        <v>1973</v>
      </c>
      <c r="L570" s="371" t="e">
        <f t="shared" si="12"/>
        <v>#VALUE!</v>
      </c>
      <c r="M570" s="325"/>
    </row>
    <row r="571" spans="1:13" ht="13">
      <c r="A571" s="316" t="s">
        <v>767</v>
      </c>
      <c r="B571" s="316" t="s">
        <v>1973</v>
      </c>
      <c r="C571" s="316" t="s">
        <v>1973</v>
      </c>
      <c r="D571" s="316" t="s">
        <v>1973</v>
      </c>
      <c r="E571" s="317" t="s">
        <v>1973</v>
      </c>
      <c r="F571" s="318">
        <v>4</v>
      </c>
      <c r="G571" s="354" t="s">
        <v>62</v>
      </c>
      <c r="H571" s="320">
        <v>80000</v>
      </c>
      <c r="I571" s="393" t="b">
        <v>1</v>
      </c>
      <c r="J571" s="322">
        <v>4</v>
      </c>
      <c r="K571" s="323" t="s">
        <v>1973</v>
      </c>
      <c r="L571" s="371" t="e">
        <f t="shared" si="12"/>
        <v>#VALUE!</v>
      </c>
      <c r="M571" s="325"/>
    </row>
    <row r="572" spans="1:13" ht="13">
      <c r="A572" s="316" t="s">
        <v>1700</v>
      </c>
      <c r="B572" s="316" t="s">
        <v>1973</v>
      </c>
      <c r="C572" s="316" t="s">
        <v>1973</v>
      </c>
      <c r="D572" s="316" t="s">
        <v>1973</v>
      </c>
      <c r="E572" s="317" t="s">
        <v>1973</v>
      </c>
      <c r="F572" s="318">
        <v>9</v>
      </c>
      <c r="G572" s="354" t="s">
        <v>62</v>
      </c>
      <c r="H572" s="320">
        <v>135000</v>
      </c>
      <c r="I572" s="393" t="b">
        <v>1</v>
      </c>
      <c r="J572" s="322">
        <v>9</v>
      </c>
      <c r="K572" s="323" t="s">
        <v>1973</v>
      </c>
      <c r="L572" s="371" t="e">
        <f t="shared" si="12"/>
        <v>#VALUE!</v>
      </c>
      <c r="M572" s="325"/>
    </row>
    <row r="573" spans="1:13" ht="13">
      <c r="A573" s="316" t="s">
        <v>1601</v>
      </c>
      <c r="B573" s="316" t="s">
        <v>1973</v>
      </c>
      <c r="C573" s="316" t="s">
        <v>1973</v>
      </c>
      <c r="D573" s="316" t="s">
        <v>1973</v>
      </c>
      <c r="E573" s="317" t="s">
        <v>1973</v>
      </c>
      <c r="F573" s="318">
        <v>3</v>
      </c>
      <c r="G573" s="354" t="s">
        <v>97</v>
      </c>
      <c r="H573" s="320">
        <v>63000</v>
      </c>
      <c r="I573" s="393" t="b">
        <v>1</v>
      </c>
      <c r="J573" s="322">
        <v>3</v>
      </c>
      <c r="K573" s="323" t="s">
        <v>1973</v>
      </c>
      <c r="L573" s="371" t="e">
        <f t="shared" si="12"/>
        <v>#VALUE!</v>
      </c>
      <c r="M573" s="325"/>
    </row>
    <row r="574" spans="1:13" ht="13">
      <c r="A574" s="316" t="s">
        <v>795</v>
      </c>
      <c r="B574" s="316" t="s">
        <v>1973</v>
      </c>
      <c r="C574" s="316" t="s">
        <v>1973</v>
      </c>
      <c r="D574" s="316" t="s">
        <v>1973</v>
      </c>
      <c r="E574" s="317" t="s">
        <v>1973</v>
      </c>
      <c r="F574" s="318">
        <v>5</v>
      </c>
      <c r="G574" s="354" t="s">
        <v>62</v>
      </c>
      <c r="H574" s="320">
        <v>25000</v>
      </c>
      <c r="I574" s="393" t="b">
        <v>1</v>
      </c>
      <c r="J574" s="322">
        <v>5</v>
      </c>
      <c r="K574" s="323" t="s">
        <v>1973</v>
      </c>
      <c r="L574" s="371" t="e">
        <f t="shared" si="12"/>
        <v>#VALUE!</v>
      </c>
      <c r="M574" s="325"/>
    </row>
    <row r="575" spans="1:13" ht="13">
      <c r="A575" s="316" t="s">
        <v>1704</v>
      </c>
      <c r="B575" s="316" t="s">
        <v>1973</v>
      </c>
      <c r="C575" s="316" t="s">
        <v>1973</v>
      </c>
      <c r="D575" s="316" t="s">
        <v>1973</v>
      </c>
      <c r="E575" s="317" t="s">
        <v>1973</v>
      </c>
      <c r="F575" s="318">
        <v>0.3</v>
      </c>
      <c r="G575" s="354" t="s">
        <v>36</v>
      </c>
      <c r="H575" s="320">
        <v>3600</v>
      </c>
      <c r="I575" s="395" t="b">
        <v>1</v>
      </c>
      <c r="J575" s="322">
        <v>0.25</v>
      </c>
      <c r="K575" s="323">
        <v>10000</v>
      </c>
      <c r="L575" s="380">
        <f t="shared" si="12"/>
        <v>2500</v>
      </c>
      <c r="M575" s="325"/>
    </row>
    <row r="576" spans="1:13" ht="13">
      <c r="A576" s="316" t="s">
        <v>823</v>
      </c>
      <c r="B576" s="316" t="s">
        <v>1973</v>
      </c>
      <c r="C576" s="316" t="s">
        <v>1973</v>
      </c>
      <c r="D576" s="316" t="s">
        <v>1973</v>
      </c>
      <c r="E576" s="317" t="s">
        <v>1973</v>
      </c>
      <c r="F576" s="318">
        <v>1</v>
      </c>
      <c r="G576" s="354" t="s">
        <v>97</v>
      </c>
      <c r="H576" s="320">
        <v>15000</v>
      </c>
      <c r="I576" s="319" t="b">
        <v>0</v>
      </c>
      <c r="J576" s="372"/>
      <c r="K576" s="373" t="e">
        <f>VLOOKUP($A576,'[1]Database Bahan &amp; Alat (Terupdat'!$B$50:$N$232,6,FALSE)</f>
        <v>#N/A</v>
      </c>
      <c r="L576" s="374" t="e">
        <f t="shared" si="12"/>
        <v>#N/A</v>
      </c>
      <c r="M576" s="325"/>
    </row>
    <row r="577" spans="1:13" ht="13">
      <c r="A577" s="316" t="s">
        <v>1701</v>
      </c>
      <c r="B577" s="316" t="s">
        <v>1973</v>
      </c>
      <c r="C577" s="316" t="s">
        <v>1973</v>
      </c>
      <c r="D577" s="316" t="s">
        <v>1973</v>
      </c>
      <c r="E577" s="317" t="s">
        <v>1973</v>
      </c>
      <c r="F577" s="318">
        <v>0.5</v>
      </c>
      <c r="G577" s="354" t="s">
        <v>36</v>
      </c>
      <c r="H577" s="320">
        <v>9000</v>
      </c>
      <c r="I577" s="395" t="b">
        <v>1</v>
      </c>
      <c r="J577" s="322">
        <v>0.5</v>
      </c>
      <c r="K577" s="323">
        <v>15000</v>
      </c>
      <c r="L577" s="380">
        <f t="shared" si="12"/>
        <v>7500</v>
      </c>
      <c r="M577" s="325"/>
    </row>
    <row r="578" spans="1:13" ht="13">
      <c r="A578" s="316" t="s">
        <v>1608</v>
      </c>
      <c r="B578" s="316" t="s">
        <v>1973</v>
      </c>
      <c r="C578" s="316" t="s">
        <v>1973</v>
      </c>
      <c r="D578" s="316" t="s">
        <v>1973</v>
      </c>
      <c r="E578" s="317" t="s">
        <v>1973</v>
      </c>
      <c r="F578" s="318">
        <v>1</v>
      </c>
      <c r="G578" s="354" t="s">
        <v>36</v>
      </c>
      <c r="H578" s="320">
        <v>44000</v>
      </c>
      <c r="I578" s="395" t="b">
        <v>1</v>
      </c>
      <c r="J578" s="322">
        <v>260</v>
      </c>
      <c r="K578" s="323">
        <v>49.9</v>
      </c>
      <c r="L578" s="379">
        <f t="shared" si="12"/>
        <v>12974</v>
      </c>
      <c r="M578" s="325"/>
    </row>
    <row r="579" spans="1:13" ht="13">
      <c r="A579" s="316" t="s">
        <v>931</v>
      </c>
      <c r="B579" s="316" t="s">
        <v>1973</v>
      </c>
      <c r="C579" s="316" t="s">
        <v>1973</v>
      </c>
      <c r="D579" s="316" t="s">
        <v>1973</v>
      </c>
      <c r="E579" s="317" t="s">
        <v>1973</v>
      </c>
      <c r="F579" s="318">
        <v>0.5</v>
      </c>
      <c r="G579" s="354" t="s">
        <v>36</v>
      </c>
      <c r="H579" s="320">
        <v>10000</v>
      </c>
      <c r="I579" s="393" t="b">
        <v>1</v>
      </c>
      <c r="J579" s="322">
        <v>0.5</v>
      </c>
      <c r="K579" s="323" t="s">
        <v>1973</v>
      </c>
      <c r="L579" s="371" t="e">
        <f t="shared" si="12"/>
        <v>#VALUE!</v>
      </c>
      <c r="M579" s="325"/>
    </row>
    <row r="580" spans="1:13" ht="13">
      <c r="A580" s="316" t="s">
        <v>987</v>
      </c>
      <c r="B580" s="316" t="s">
        <v>1973</v>
      </c>
      <c r="C580" s="316" t="s">
        <v>1973</v>
      </c>
      <c r="D580" s="316" t="s">
        <v>1973</v>
      </c>
      <c r="E580" s="317" t="s">
        <v>1973</v>
      </c>
      <c r="F580" s="318">
        <v>1</v>
      </c>
      <c r="G580" s="354" t="s">
        <v>62</v>
      </c>
      <c r="H580" s="320">
        <v>17000</v>
      </c>
      <c r="I580" s="393" t="b">
        <v>1</v>
      </c>
      <c r="J580" s="322">
        <v>1</v>
      </c>
      <c r="K580" s="323" t="s">
        <v>1973</v>
      </c>
      <c r="L580" s="371" t="e">
        <f t="shared" si="12"/>
        <v>#VALUE!</v>
      </c>
      <c r="M580" s="325"/>
    </row>
    <row r="581" spans="1:13" ht="13">
      <c r="A581" s="316" t="s">
        <v>989</v>
      </c>
      <c r="B581" s="316" t="s">
        <v>1973</v>
      </c>
      <c r="C581" s="316" t="s">
        <v>1973</v>
      </c>
      <c r="D581" s="316" t="s">
        <v>1973</v>
      </c>
      <c r="E581" s="317" t="s">
        <v>1973</v>
      </c>
      <c r="F581" s="318">
        <v>5</v>
      </c>
      <c r="G581" s="354" t="s">
        <v>62</v>
      </c>
      <c r="H581" s="320">
        <v>80000</v>
      </c>
      <c r="I581" s="393" t="b">
        <v>1</v>
      </c>
      <c r="J581" s="322">
        <v>5</v>
      </c>
      <c r="K581" s="323" t="s">
        <v>1973</v>
      </c>
      <c r="L581" s="371" t="e">
        <f t="shared" si="12"/>
        <v>#VALUE!</v>
      </c>
      <c r="M581" s="325"/>
    </row>
    <row r="582" spans="1:13" ht="13">
      <c r="A582" s="316" t="s">
        <v>1020</v>
      </c>
      <c r="B582" s="316" t="s">
        <v>1973</v>
      </c>
      <c r="C582" s="316" t="s">
        <v>1973</v>
      </c>
      <c r="D582" s="316" t="s">
        <v>1973</v>
      </c>
      <c r="E582" s="317" t="s">
        <v>1973</v>
      </c>
      <c r="F582" s="318">
        <v>0.5</v>
      </c>
      <c r="G582" s="354" t="s">
        <v>36</v>
      </c>
      <c r="H582" s="320">
        <v>6000</v>
      </c>
      <c r="I582" s="395" t="b">
        <v>1</v>
      </c>
      <c r="J582" s="322">
        <v>0.5</v>
      </c>
      <c r="K582" s="323">
        <v>10000</v>
      </c>
      <c r="L582" s="380">
        <f t="shared" si="12"/>
        <v>5000</v>
      </c>
      <c r="M582" s="325"/>
    </row>
    <row r="583" spans="1:13" ht="13">
      <c r="A583" s="316" t="s">
        <v>1600</v>
      </c>
      <c r="B583" s="316" t="s">
        <v>1973</v>
      </c>
      <c r="C583" s="316" t="s">
        <v>1973</v>
      </c>
      <c r="D583" s="316" t="s">
        <v>1973</v>
      </c>
      <c r="E583" s="317" t="s">
        <v>1973</v>
      </c>
      <c r="F583" s="318">
        <v>1</v>
      </c>
      <c r="G583" s="354" t="s">
        <v>36</v>
      </c>
      <c r="H583" s="320">
        <v>8000</v>
      </c>
      <c r="I583" s="393" t="b">
        <v>1</v>
      </c>
      <c r="J583" s="322">
        <v>1</v>
      </c>
      <c r="K583" s="323" t="s">
        <v>1973</v>
      </c>
      <c r="L583" s="371" t="e">
        <f t="shared" si="12"/>
        <v>#VALUE!</v>
      </c>
      <c r="M583" s="325"/>
    </row>
    <row r="584" spans="1:13" ht="13">
      <c r="A584" s="316" t="s">
        <v>562</v>
      </c>
      <c r="B584" s="316" t="s">
        <v>1973</v>
      </c>
      <c r="C584" s="316" t="s">
        <v>1973</v>
      </c>
      <c r="D584" s="316" t="s">
        <v>1973</v>
      </c>
      <c r="E584" s="317" t="s">
        <v>1973</v>
      </c>
      <c r="F584" s="318">
        <v>1</v>
      </c>
      <c r="G584" s="354" t="s">
        <v>97</v>
      </c>
      <c r="H584" s="320">
        <v>195000</v>
      </c>
      <c r="I584" s="319" t="b">
        <v>0</v>
      </c>
      <c r="J584" s="372"/>
      <c r="K584" s="373" t="s">
        <v>1973</v>
      </c>
      <c r="L584" s="374" t="e">
        <f t="shared" si="12"/>
        <v>#VALUE!</v>
      </c>
      <c r="M584" s="325"/>
    </row>
    <row r="585" spans="1:13" ht="13">
      <c r="A585" s="316" t="s">
        <v>961</v>
      </c>
      <c r="B585" s="316" t="s">
        <v>1973</v>
      </c>
      <c r="C585" s="316" t="s">
        <v>1973</v>
      </c>
      <c r="D585" s="316" t="s">
        <v>1973</v>
      </c>
      <c r="E585" s="317" t="s">
        <v>1973</v>
      </c>
      <c r="F585" s="318">
        <v>1</v>
      </c>
      <c r="G585" s="354" t="s">
        <v>97</v>
      </c>
      <c r="H585" s="320">
        <v>77273</v>
      </c>
      <c r="I585" s="319" t="b">
        <v>0</v>
      </c>
      <c r="J585" s="372"/>
      <c r="K585" s="373" t="s">
        <v>1973</v>
      </c>
      <c r="L585" s="374" t="e">
        <f t="shared" si="12"/>
        <v>#VALUE!</v>
      </c>
      <c r="M585" s="325"/>
    </row>
    <row r="586" spans="1:13" ht="13">
      <c r="A586" s="316" t="s">
        <v>1541</v>
      </c>
      <c r="B586" s="316" t="s">
        <v>1973</v>
      </c>
      <c r="C586" s="316" t="s">
        <v>1973</v>
      </c>
      <c r="D586" s="316" t="s">
        <v>1973</v>
      </c>
      <c r="E586" s="317" t="s">
        <v>1973</v>
      </c>
      <c r="F586" s="318">
        <v>1</v>
      </c>
      <c r="G586" s="354" t="s">
        <v>97</v>
      </c>
      <c r="H586" s="320">
        <v>195000</v>
      </c>
      <c r="I586" s="319" t="b">
        <v>0</v>
      </c>
      <c r="J586" s="372"/>
      <c r="K586" s="373" t="s">
        <v>1973</v>
      </c>
      <c r="L586" s="374" t="e">
        <f t="shared" si="12"/>
        <v>#VALUE!</v>
      </c>
      <c r="M586" s="325"/>
    </row>
    <row r="587" spans="1:13" ht="13">
      <c r="A587" s="316" t="s">
        <v>1703</v>
      </c>
      <c r="B587" s="316" t="s">
        <v>1973</v>
      </c>
      <c r="C587" s="316" t="s">
        <v>1973</v>
      </c>
      <c r="D587" s="316" t="s">
        <v>1973</v>
      </c>
      <c r="E587" s="317" t="s">
        <v>1973</v>
      </c>
      <c r="F587" s="318">
        <v>1</v>
      </c>
      <c r="G587" s="354" t="s">
        <v>62</v>
      </c>
      <c r="H587" s="320">
        <v>22407</v>
      </c>
      <c r="I587" s="395" t="b">
        <v>1</v>
      </c>
      <c r="J587" s="322">
        <v>1</v>
      </c>
      <c r="K587" s="323">
        <v>22000</v>
      </c>
      <c r="L587" s="380">
        <f t="shared" si="12"/>
        <v>22000</v>
      </c>
      <c r="M587" s="325"/>
    </row>
    <row r="588" spans="1:13" ht="13">
      <c r="A588" s="316" t="s">
        <v>548</v>
      </c>
      <c r="B588" s="316" t="s">
        <v>1973</v>
      </c>
      <c r="C588" s="316" t="s">
        <v>1973</v>
      </c>
      <c r="D588" s="316" t="s">
        <v>1973</v>
      </c>
      <c r="E588" s="317" t="s">
        <v>1973</v>
      </c>
      <c r="F588" s="318">
        <v>2</v>
      </c>
      <c r="G588" s="354" t="s">
        <v>87</v>
      </c>
      <c r="H588" s="320">
        <v>284240</v>
      </c>
      <c r="I588" s="319" t="b">
        <v>0</v>
      </c>
      <c r="J588" s="372"/>
      <c r="K588" s="373" t="s">
        <v>1973</v>
      </c>
      <c r="L588" s="374" t="e">
        <f t="shared" si="12"/>
        <v>#VALUE!</v>
      </c>
      <c r="M588" s="325"/>
    </row>
    <row r="589" spans="1:13" ht="13">
      <c r="A589" s="316" t="s">
        <v>623</v>
      </c>
      <c r="B589" s="316" t="s">
        <v>1973</v>
      </c>
      <c r="C589" s="316" t="s">
        <v>1973</v>
      </c>
      <c r="D589" s="316" t="s">
        <v>1973</v>
      </c>
      <c r="E589" s="317" t="s">
        <v>1973</v>
      </c>
      <c r="F589" s="318">
        <v>1</v>
      </c>
      <c r="G589" s="354" t="s">
        <v>143</v>
      </c>
      <c r="H589" s="320">
        <v>179850</v>
      </c>
      <c r="I589" s="319" t="b">
        <v>0</v>
      </c>
      <c r="J589" s="372"/>
      <c r="K589" s="373" t="s">
        <v>1973</v>
      </c>
      <c r="L589" s="374" t="e">
        <f t="shared" si="12"/>
        <v>#VALUE!</v>
      </c>
      <c r="M589" s="325"/>
    </row>
    <row r="590" spans="1:13" ht="13">
      <c r="A590" s="316" t="s">
        <v>704</v>
      </c>
      <c r="B590" s="316" t="s">
        <v>1973</v>
      </c>
      <c r="C590" s="316" t="s">
        <v>1973</v>
      </c>
      <c r="D590" s="316" t="s">
        <v>1973</v>
      </c>
      <c r="E590" s="317" t="s">
        <v>1973</v>
      </c>
      <c r="F590" s="318">
        <v>1</v>
      </c>
      <c r="G590" s="354" t="s">
        <v>143</v>
      </c>
      <c r="H590" s="320">
        <v>182250</v>
      </c>
      <c r="I590" s="319" t="b">
        <v>0</v>
      </c>
      <c r="J590" s="372"/>
      <c r="K590" s="373" t="s">
        <v>1973</v>
      </c>
      <c r="L590" s="374" t="e">
        <f t="shared" si="12"/>
        <v>#VALUE!</v>
      </c>
      <c r="M590" s="325"/>
    </row>
    <row r="591" spans="1:13" ht="13">
      <c r="A591" s="316" t="s">
        <v>949</v>
      </c>
      <c r="B591" s="316" t="s">
        <v>1973</v>
      </c>
      <c r="C591" s="316" t="s">
        <v>1973</v>
      </c>
      <c r="D591" s="316" t="s">
        <v>1973</v>
      </c>
      <c r="E591" s="317" t="s">
        <v>1973</v>
      </c>
      <c r="F591" s="318">
        <v>1</v>
      </c>
      <c r="G591" s="354" t="s">
        <v>97</v>
      </c>
      <c r="H591" s="320">
        <v>23200</v>
      </c>
      <c r="I591" s="393" t="b">
        <v>1</v>
      </c>
      <c r="J591" s="322">
        <v>1</v>
      </c>
      <c r="K591" s="323" t="s">
        <v>1973</v>
      </c>
      <c r="L591" s="371" t="e">
        <f t="shared" si="12"/>
        <v>#VALUE!</v>
      </c>
      <c r="M591" s="325"/>
    </row>
    <row r="592" spans="1:13" ht="13">
      <c r="A592" s="316" t="s">
        <v>952</v>
      </c>
      <c r="B592" s="316" t="s">
        <v>1973</v>
      </c>
      <c r="C592" s="316" t="s">
        <v>1973</v>
      </c>
      <c r="D592" s="316" t="s">
        <v>1973</v>
      </c>
      <c r="E592" s="317" t="s">
        <v>1973</v>
      </c>
      <c r="F592" s="318">
        <v>1</v>
      </c>
      <c r="G592" s="354" t="s">
        <v>97</v>
      </c>
      <c r="H592" s="320">
        <v>27300</v>
      </c>
      <c r="I592" s="395" t="b">
        <v>1</v>
      </c>
      <c r="J592" s="322">
        <v>1</v>
      </c>
      <c r="K592" s="323">
        <v>23200</v>
      </c>
      <c r="L592" s="380">
        <f t="shared" si="12"/>
        <v>23200</v>
      </c>
      <c r="M592" s="325"/>
    </row>
    <row r="593" spans="1:13" ht="13">
      <c r="A593" s="316" t="s">
        <v>1751</v>
      </c>
      <c r="B593" s="316" t="s">
        <v>1973</v>
      </c>
      <c r="C593" s="316" t="s">
        <v>1973</v>
      </c>
      <c r="D593" s="316" t="s">
        <v>1973</v>
      </c>
      <c r="E593" s="317" t="s">
        <v>1973</v>
      </c>
      <c r="F593" s="318">
        <v>8</v>
      </c>
      <c r="G593" s="354" t="s">
        <v>36</v>
      </c>
      <c r="H593" s="320">
        <v>96000</v>
      </c>
      <c r="I593" s="393" t="b">
        <v>1</v>
      </c>
      <c r="J593" s="322">
        <v>8</v>
      </c>
      <c r="K593" s="323" t="e">
        <f>VLOOKUP($A593,'[1]Database Bahan &amp; Alat (Terupdat'!$B$50:$N$232,6,FALSE)</f>
        <v>#N/A</v>
      </c>
      <c r="L593" s="371" t="e">
        <f t="shared" si="12"/>
        <v>#N/A</v>
      </c>
      <c r="M593" s="325"/>
    </row>
    <row r="594" spans="1:13" ht="13">
      <c r="A594" s="316" t="s">
        <v>779</v>
      </c>
      <c r="B594" s="316" t="s">
        <v>1973</v>
      </c>
      <c r="C594" s="316" t="s">
        <v>1973</v>
      </c>
      <c r="D594" s="316" t="s">
        <v>1973</v>
      </c>
      <c r="E594" s="317" t="s">
        <v>1973</v>
      </c>
      <c r="F594" s="318">
        <v>2</v>
      </c>
      <c r="G594" s="354" t="s">
        <v>62</v>
      </c>
      <c r="H594" s="320">
        <v>77000</v>
      </c>
      <c r="I594" s="395" t="b">
        <v>1</v>
      </c>
      <c r="J594" s="322">
        <v>2</v>
      </c>
      <c r="K594" s="323">
        <v>36000</v>
      </c>
      <c r="L594" s="380">
        <f t="shared" si="12"/>
        <v>72000</v>
      </c>
      <c r="M594" s="325"/>
    </row>
    <row r="595" spans="1:13" ht="13">
      <c r="A595" s="316" t="s">
        <v>1606</v>
      </c>
      <c r="B595" s="316" t="s">
        <v>1973</v>
      </c>
      <c r="C595" s="316" t="s">
        <v>1973</v>
      </c>
      <c r="D595" s="316" t="s">
        <v>1973</v>
      </c>
      <c r="E595" s="317" t="s">
        <v>1973</v>
      </c>
      <c r="F595" s="318">
        <v>0.6</v>
      </c>
      <c r="G595" s="354" t="s">
        <v>36</v>
      </c>
      <c r="H595" s="320">
        <v>25920</v>
      </c>
      <c r="I595" s="319" t="b">
        <v>0</v>
      </c>
      <c r="J595" s="372"/>
      <c r="K595" s="373" t="s">
        <v>1973</v>
      </c>
      <c r="L595" s="374" t="e">
        <f t="shared" si="12"/>
        <v>#VALUE!</v>
      </c>
      <c r="M595" s="325"/>
    </row>
    <row r="596" spans="1:13" ht="13">
      <c r="A596" s="316" t="s">
        <v>910</v>
      </c>
      <c r="B596" s="316" t="s">
        <v>1973</v>
      </c>
      <c r="C596" s="316" t="s">
        <v>1973</v>
      </c>
      <c r="D596" s="316" t="s">
        <v>1973</v>
      </c>
      <c r="E596" s="317" t="s">
        <v>1973</v>
      </c>
      <c r="F596" s="318">
        <v>2</v>
      </c>
      <c r="G596" s="354" t="s">
        <v>62</v>
      </c>
      <c r="H596" s="320">
        <v>26000</v>
      </c>
      <c r="I596" s="319" t="b">
        <v>0</v>
      </c>
      <c r="J596" s="372"/>
      <c r="K596" s="373" t="s">
        <v>1973</v>
      </c>
      <c r="L596" s="374" t="e">
        <f t="shared" si="12"/>
        <v>#VALUE!</v>
      </c>
      <c r="M596" s="325"/>
    </row>
    <row r="597" spans="1:13" ht="13">
      <c r="A597" s="316" t="s">
        <v>1651</v>
      </c>
      <c r="B597" s="316" t="s">
        <v>1973</v>
      </c>
      <c r="C597" s="316" t="s">
        <v>1973</v>
      </c>
      <c r="D597" s="316" t="s">
        <v>1973</v>
      </c>
      <c r="E597" s="317" t="s">
        <v>1973</v>
      </c>
      <c r="F597" s="318">
        <v>1</v>
      </c>
      <c r="G597" s="354" t="s">
        <v>97</v>
      </c>
      <c r="H597" s="320">
        <v>105000</v>
      </c>
      <c r="I597" s="319" t="b">
        <v>0</v>
      </c>
      <c r="J597" s="372"/>
      <c r="K597" s="373" t="s">
        <v>1973</v>
      </c>
      <c r="L597" s="374" t="e">
        <f t="shared" si="12"/>
        <v>#VALUE!</v>
      </c>
      <c r="M597" s="325"/>
    </row>
    <row r="598" spans="1:13" ht="13">
      <c r="A598" s="316" t="s">
        <v>847</v>
      </c>
      <c r="B598" s="316" t="s">
        <v>1973</v>
      </c>
      <c r="C598" s="316" t="s">
        <v>1973</v>
      </c>
      <c r="D598" s="316" t="s">
        <v>1973</v>
      </c>
      <c r="E598" s="317" t="s">
        <v>1973</v>
      </c>
      <c r="F598" s="318">
        <v>3</v>
      </c>
      <c r="G598" s="354" t="s">
        <v>75</v>
      </c>
      <c r="H598" s="320">
        <v>138000</v>
      </c>
      <c r="I598" s="319" t="b">
        <v>0</v>
      </c>
      <c r="J598" s="372"/>
      <c r="K598" s="373" t="s">
        <v>1973</v>
      </c>
      <c r="L598" s="374" t="e">
        <f t="shared" si="12"/>
        <v>#VALUE!</v>
      </c>
      <c r="M598" s="325"/>
    </row>
    <row r="599" spans="1:13" ht="13">
      <c r="A599" s="316" t="s">
        <v>540</v>
      </c>
      <c r="B599" s="316" t="s">
        <v>1973</v>
      </c>
      <c r="C599" s="316" t="s">
        <v>1973</v>
      </c>
      <c r="D599" s="316" t="s">
        <v>1973</v>
      </c>
      <c r="E599" s="317" t="s">
        <v>1973</v>
      </c>
      <c r="F599" s="318">
        <v>4</v>
      </c>
      <c r="G599" s="354" t="s">
        <v>36</v>
      </c>
      <c r="H599" s="320">
        <v>680000</v>
      </c>
      <c r="I599" s="319" t="b">
        <v>0</v>
      </c>
      <c r="J599" s="372"/>
      <c r="K599" s="373" t="s">
        <v>1973</v>
      </c>
      <c r="L599" s="374" t="e">
        <f t="shared" si="12"/>
        <v>#VALUE!</v>
      </c>
      <c r="M599" s="325"/>
    </row>
    <row r="600" spans="1:13" ht="13">
      <c r="A600" s="316" t="s">
        <v>590</v>
      </c>
      <c r="B600" s="316" t="s">
        <v>1973</v>
      </c>
      <c r="C600" s="316" t="s">
        <v>1973</v>
      </c>
      <c r="D600" s="316" t="s">
        <v>1973</v>
      </c>
      <c r="E600" s="317" t="s">
        <v>1973</v>
      </c>
      <c r="F600" s="318">
        <v>1</v>
      </c>
      <c r="G600" s="354" t="s">
        <v>62</v>
      </c>
      <c r="H600" s="320">
        <v>85000</v>
      </c>
      <c r="I600" s="319" t="b">
        <v>0</v>
      </c>
      <c r="J600" s="372"/>
      <c r="K600" s="373" t="s">
        <v>1973</v>
      </c>
      <c r="L600" s="374" t="e">
        <f t="shared" si="12"/>
        <v>#VALUE!</v>
      </c>
      <c r="M600" s="325"/>
    </row>
    <row r="601" spans="1:13" ht="13">
      <c r="A601" s="316" t="s">
        <v>1602</v>
      </c>
      <c r="B601" s="316" t="s">
        <v>1973</v>
      </c>
      <c r="C601" s="316" t="s">
        <v>1973</v>
      </c>
      <c r="D601" s="316" t="s">
        <v>1973</v>
      </c>
      <c r="E601" s="317" t="s">
        <v>1973</v>
      </c>
      <c r="F601" s="318">
        <v>4</v>
      </c>
      <c r="G601" s="354" t="s">
        <v>36</v>
      </c>
      <c r="H601" s="320">
        <v>56000</v>
      </c>
      <c r="I601" s="393" t="b">
        <v>1</v>
      </c>
      <c r="J601" s="322">
        <v>4</v>
      </c>
      <c r="K601" s="323" t="s">
        <v>1973</v>
      </c>
      <c r="L601" s="371" t="e">
        <f t="shared" si="12"/>
        <v>#VALUE!</v>
      </c>
      <c r="M601" s="325"/>
    </row>
    <row r="602" spans="1:13" ht="13">
      <c r="A602" s="316" t="s">
        <v>528</v>
      </c>
      <c r="B602" s="316" t="s">
        <v>1973</v>
      </c>
      <c r="C602" s="316" t="s">
        <v>1973</v>
      </c>
      <c r="D602" s="316" t="s">
        <v>1973</v>
      </c>
      <c r="E602" s="317" t="s">
        <v>1973</v>
      </c>
      <c r="F602" s="318">
        <v>8</v>
      </c>
      <c r="G602" s="354" t="s">
        <v>50</v>
      </c>
      <c r="H602" s="320">
        <v>128000</v>
      </c>
      <c r="I602" s="393" t="b">
        <v>1</v>
      </c>
      <c r="J602" s="322">
        <v>8</v>
      </c>
      <c r="K602" s="323" t="s">
        <v>1973</v>
      </c>
      <c r="L602" s="371" t="e">
        <f t="shared" si="12"/>
        <v>#VALUE!</v>
      </c>
      <c r="M602" s="325"/>
    </row>
    <row r="603" spans="1:13" ht="13">
      <c r="A603" s="316" t="s">
        <v>1603</v>
      </c>
      <c r="B603" s="316" t="s">
        <v>1973</v>
      </c>
      <c r="C603" s="316" t="s">
        <v>1973</v>
      </c>
      <c r="D603" s="316" t="s">
        <v>1973</v>
      </c>
      <c r="E603" s="317" t="s">
        <v>1973</v>
      </c>
      <c r="F603" s="318">
        <v>1</v>
      </c>
      <c r="G603" s="354" t="s">
        <v>62</v>
      </c>
      <c r="H603" s="320">
        <v>60000</v>
      </c>
      <c r="I603" s="393" t="b">
        <v>1</v>
      </c>
      <c r="J603" s="322">
        <v>1</v>
      </c>
      <c r="K603" s="323" t="s">
        <v>1973</v>
      </c>
      <c r="L603" s="371" t="e">
        <f t="shared" si="12"/>
        <v>#VALUE!</v>
      </c>
      <c r="M603" s="325"/>
    </row>
    <row r="604" spans="1:13" ht="13">
      <c r="A604" s="316" t="s">
        <v>635</v>
      </c>
      <c r="B604" s="316" t="s">
        <v>1973</v>
      </c>
      <c r="C604" s="316" t="s">
        <v>1973</v>
      </c>
      <c r="D604" s="316" t="s">
        <v>1973</v>
      </c>
      <c r="E604" s="317" t="s">
        <v>1973</v>
      </c>
      <c r="F604" s="318">
        <v>12</v>
      </c>
      <c r="G604" s="354" t="s">
        <v>50</v>
      </c>
      <c r="H604" s="320">
        <v>114000</v>
      </c>
      <c r="I604" s="393" t="b">
        <v>1</v>
      </c>
      <c r="J604" s="322">
        <v>12</v>
      </c>
      <c r="K604" s="323" t="s">
        <v>1973</v>
      </c>
      <c r="L604" s="371" t="e">
        <f t="shared" si="12"/>
        <v>#VALUE!</v>
      </c>
      <c r="M604" s="325"/>
    </row>
    <row r="605" spans="1:13" ht="13">
      <c r="A605" s="316" t="s">
        <v>643</v>
      </c>
      <c r="B605" s="316" t="s">
        <v>1973</v>
      </c>
      <c r="C605" s="316" t="s">
        <v>1973</v>
      </c>
      <c r="D605" s="316" t="s">
        <v>1973</v>
      </c>
      <c r="E605" s="317" t="s">
        <v>1973</v>
      </c>
      <c r="F605" s="318">
        <v>0.5</v>
      </c>
      <c r="G605" s="354" t="s">
        <v>36</v>
      </c>
      <c r="H605" s="320">
        <v>7500</v>
      </c>
      <c r="I605" s="393" t="b">
        <v>1</v>
      </c>
      <c r="J605" s="322">
        <v>0.5</v>
      </c>
      <c r="K605" s="323" t="s">
        <v>1973</v>
      </c>
      <c r="L605" s="371" t="e">
        <f t="shared" si="12"/>
        <v>#VALUE!</v>
      </c>
      <c r="M605" s="325"/>
    </row>
    <row r="606" spans="1:13" ht="13">
      <c r="A606" s="316" t="s">
        <v>647</v>
      </c>
      <c r="B606" s="316" t="s">
        <v>1973</v>
      </c>
      <c r="C606" s="316" t="s">
        <v>1973</v>
      </c>
      <c r="D606" s="316" t="s">
        <v>1973</v>
      </c>
      <c r="E606" s="317" t="s">
        <v>1973</v>
      </c>
      <c r="F606" s="318">
        <v>1</v>
      </c>
      <c r="G606" s="354" t="s">
        <v>75</v>
      </c>
      <c r="H606" s="320">
        <v>48000</v>
      </c>
      <c r="I606" s="319" t="b">
        <v>0</v>
      </c>
      <c r="J606" s="372"/>
      <c r="K606" s="373" t="s">
        <v>1973</v>
      </c>
      <c r="L606" s="374" t="e">
        <f t="shared" si="12"/>
        <v>#VALUE!</v>
      </c>
      <c r="M606" s="325"/>
    </row>
    <row r="607" spans="1:13" ht="13">
      <c r="A607" s="316" t="s">
        <v>680</v>
      </c>
      <c r="B607" s="316" t="s">
        <v>1973</v>
      </c>
      <c r="C607" s="316" t="s">
        <v>1973</v>
      </c>
      <c r="D607" s="316" t="s">
        <v>1973</v>
      </c>
      <c r="E607" s="317" t="s">
        <v>1973</v>
      </c>
      <c r="F607" s="318">
        <v>8</v>
      </c>
      <c r="G607" s="354" t="s">
        <v>97</v>
      </c>
      <c r="H607" s="320">
        <v>232000</v>
      </c>
      <c r="I607" s="395" t="b">
        <v>1</v>
      </c>
      <c r="J607" s="322">
        <v>8</v>
      </c>
      <c r="K607" s="323">
        <v>31000</v>
      </c>
      <c r="L607" s="379">
        <f t="shared" si="12"/>
        <v>248000</v>
      </c>
      <c r="M607" s="325"/>
    </row>
    <row r="608" spans="1:13" ht="13">
      <c r="A608" s="316" t="s">
        <v>684</v>
      </c>
      <c r="B608" s="316" t="s">
        <v>1973</v>
      </c>
      <c r="C608" s="316" t="s">
        <v>1973</v>
      </c>
      <c r="D608" s="316" t="s">
        <v>1973</v>
      </c>
      <c r="E608" s="317" t="s">
        <v>1973</v>
      </c>
      <c r="F608" s="318">
        <v>2</v>
      </c>
      <c r="G608" s="354" t="s">
        <v>97</v>
      </c>
      <c r="H608" s="320">
        <v>58000</v>
      </c>
      <c r="I608" s="395" t="b">
        <v>1</v>
      </c>
      <c r="J608" s="322">
        <v>2</v>
      </c>
      <c r="K608" s="323">
        <v>31000</v>
      </c>
      <c r="L608" s="379">
        <f t="shared" si="12"/>
        <v>62000</v>
      </c>
      <c r="M608" s="325"/>
    </row>
    <row r="609" spans="1:13" ht="13">
      <c r="A609" s="316" t="s">
        <v>692</v>
      </c>
      <c r="B609" s="316" t="s">
        <v>1973</v>
      </c>
      <c r="C609" s="316" t="s">
        <v>1973</v>
      </c>
      <c r="D609" s="316" t="s">
        <v>1973</v>
      </c>
      <c r="E609" s="317" t="s">
        <v>1973</v>
      </c>
      <c r="F609" s="318">
        <v>1</v>
      </c>
      <c r="G609" s="354" t="s">
        <v>62</v>
      </c>
      <c r="H609" s="320">
        <v>52000</v>
      </c>
      <c r="I609" s="393" t="b">
        <v>1</v>
      </c>
      <c r="J609" s="322">
        <v>1</v>
      </c>
      <c r="K609" s="323" t="s">
        <v>1973</v>
      </c>
      <c r="L609" s="371" t="e">
        <f t="shared" si="12"/>
        <v>#VALUE!</v>
      </c>
      <c r="M609" s="325"/>
    </row>
    <row r="610" spans="1:13" ht="13">
      <c r="A610" s="316" t="s">
        <v>696</v>
      </c>
      <c r="B610" s="316" t="s">
        <v>1973</v>
      </c>
      <c r="C610" s="316" t="s">
        <v>1973</v>
      </c>
      <c r="D610" s="316" t="s">
        <v>1973</v>
      </c>
      <c r="E610" s="317" t="s">
        <v>1973</v>
      </c>
      <c r="F610" s="318">
        <v>10</v>
      </c>
      <c r="G610" s="354" t="s">
        <v>62</v>
      </c>
      <c r="H610" s="320">
        <v>110000</v>
      </c>
      <c r="I610" s="393" t="b">
        <v>1</v>
      </c>
      <c r="J610" s="322">
        <v>10</v>
      </c>
      <c r="K610" s="323" t="s">
        <v>1973</v>
      </c>
      <c r="L610" s="371" t="e">
        <f t="shared" si="12"/>
        <v>#VALUE!</v>
      </c>
      <c r="M610" s="325"/>
    </row>
    <row r="611" spans="1:13" ht="13">
      <c r="A611" s="316" t="s">
        <v>735</v>
      </c>
      <c r="B611" s="316" t="s">
        <v>1973</v>
      </c>
      <c r="C611" s="316" t="s">
        <v>1973</v>
      </c>
      <c r="D611" s="316" t="s">
        <v>1973</v>
      </c>
      <c r="E611" s="317" t="s">
        <v>1973</v>
      </c>
      <c r="F611" s="318">
        <v>2</v>
      </c>
      <c r="G611" s="354" t="s">
        <v>97</v>
      </c>
      <c r="H611" s="320">
        <v>92000</v>
      </c>
      <c r="I611" s="395" t="b">
        <v>1</v>
      </c>
      <c r="J611" s="322">
        <v>2</v>
      </c>
      <c r="K611" s="323">
        <v>48000</v>
      </c>
      <c r="L611" s="379">
        <f t="shared" si="12"/>
        <v>96000</v>
      </c>
      <c r="M611" s="325"/>
    </row>
    <row r="612" spans="1:13" ht="13">
      <c r="A612" s="316" t="s">
        <v>748</v>
      </c>
      <c r="B612" s="316" t="s">
        <v>1973</v>
      </c>
      <c r="C612" s="316" t="s">
        <v>1973</v>
      </c>
      <c r="D612" s="316" t="s">
        <v>1973</v>
      </c>
      <c r="E612" s="317" t="s">
        <v>1973</v>
      </c>
      <c r="F612" s="318">
        <v>5</v>
      </c>
      <c r="G612" s="354" t="s">
        <v>62</v>
      </c>
      <c r="H612" s="320">
        <v>145000</v>
      </c>
      <c r="I612" s="393" t="b">
        <v>1</v>
      </c>
      <c r="J612" s="322">
        <v>5</v>
      </c>
      <c r="K612" s="323" t="s">
        <v>1973</v>
      </c>
      <c r="L612" s="371" t="e">
        <f t="shared" si="12"/>
        <v>#VALUE!</v>
      </c>
      <c r="M612" s="325"/>
    </row>
    <row r="613" spans="1:13" ht="13">
      <c r="A613" s="316" t="s">
        <v>892</v>
      </c>
      <c r="B613" s="316" t="s">
        <v>1973</v>
      </c>
      <c r="C613" s="316" t="s">
        <v>1973</v>
      </c>
      <c r="D613" s="316" t="s">
        <v>1973</v>
      </c>
      <c r="E613" s="317" t="s">
        <v>1973</v>
      </c>
      <c r="F613" s="318">
        <v>2</v>
      </c>
      <c r="G613" s="354" t="s">
        <v>36</v>
      </c>
      <c r="H613" s="320">
        <v>250000</v>
      </c>
      <c r="I613" s="393" t="b">
        <v>1</v>
      </c>
      <c r="J613" s="322">
        <v>2</v>
      </c>
      <c r="K613" s="323" t="s">
        <v>1973</v>
      </c>
      <c r="L613" s="371" t="e">
        <f t="shared" si="12"/>
        <v>#VALUE!</v>
      </c>
      <c r="M613" s="325"/>
    </row>
    <row r="614" spans="1:13" ht="13">
      <c r="A614" s="316" t="s">
        <v>934</v>
      </c>
      <c r="B614" s="316" t="s">
        <v>1973</v>
      </c>
      <c r="C614" s="316" t="s">
        <v>1973</v>
      </c>
      <c r="D614" s="316" t="s">
        <v>1973</v>
      </c>
      <c r="E614" s="317" t="s">
        <v>1973</v>
      </c>
      <c r="F614" s="318">
        <v>3</v>
      </c>
      <c r="G614" s="354" t="s">
        <v>62</v>
      </c>
      <c r="H614" s="320">
        <v>27000</v>
      </c>
      <c r="I614" s="393" t="b">
        <v>1</v>
      </c>
      <c r="J614" s="322">
        <v>3</v>
      </c>
      <c r="K614" s="323" t="s">
        <v>1973</v>
      </c>
      <c r="L614" s="371" t="e">
        <f t="shared" si="12"/>
        <v>#VALUE!</v>
      </c>
      <c r="M614" s="325"/>
    </row>
    <row r="615" spans="1:13" ht="13">
      <c r="A615" s="316" t="s">
        <v>943</v>
      </c>
      <c r="B615" s="316" t="s">
        <v>1973</v>
      </c>
      <c r="C615" s="316" t="s">
        <v>1973</v>
      </c>
      <c r="D615" s="316" t="s">
        <v>1973</v>
      </c>
      <c r="E615" s="317" t="s">
        <v>1973</v>
      </c>
      <c r="F615" s="318">
        <v>2</v>
      </c>
      <c r="G615" s="354" t="s">
        <v>62</v>
      </c>
      <c r="H615" s="320">
        <v>17000</v>
      </c>
      <c r="I615" s="393" t="b">
        <v>1</v>
      </c>
      <c r="J615" s="322">
        <v>2</v>
      </c>
      <c r="K615" s="323" t="s">
        <v>1973</v>
      </c>
      <c r="L615" s="371" t="e">
        <f t="shared" si="12"/>
        <v>#VALUE!</v>
      </c>
      <c r="M615" s="325"/>
    </row>
    <row r="616" spans="1:13" ht="13">
      <c r="A616" s="316" t="s">
        <v>1548</v>
      </c>
      <c r="B616" s="316" t="s">
        <v>1973</v>
      </c>
      <c r="C616" s="316" t="s">
        <v>1973</v>
      </c>
      <c r="D616" s="316" t="s">
        <v>1973</v>
      </c>
      <c r="E616" s="317" t="s">
        <v>1973</v>
      </c>
      <c r="F616" s="318">
        <v>3</v>
      </c>
      <c r="G616" s="354" t="s">
        <v>62</v>
      </c>
      <c r="H616" s="320">
        <v>36000</v>
      </c>
      <c r="I616" s="393" t="b">
        <v>1</v>
      </c>
      <c r="J616" s="322">
        <v>3</v>
      </c>
      <c r="K616" s="323" t="s">
        <v>1973</v>
      </c>
      <c r="L616" s="371" t="e">
        <f t="shared" si="12"/>
        <v>#VALUE!</v>
      </c>
      <c r="M616" s="325"/>
    </row>
    <row r="617" spans="1:13" ht="13">
      <c r="A617" s="316" t="s">
        <v>1615</v>
      </c>
      <c r="B617" s="316" t="s">
        <v>1973</v>
      </c>
      <c r="C617" s="316" t="s">
        <v>1973</v>
      </c>
      <c r="D617" s="316" t="s">
        <v>1973</v>
      </c>
      <c r="E617" s="317" t="s">
        <v>1973</v>
      </c>
      <c r="F617" s="318">
        <v>1</v>
      </c>
      <c r="G617" s="354" t="s">
        <v>62</v>
      </c>
      <c r="H617" s="320">
        <v>8000</v>
      </c>
      <c r="I617" s="319" t="b">
        <v>0</v>
      </c>
      <c r="J617" s="372"/>
      <c r="K617" s="373" t="s">
        <v>1973</v>
      </c>
      <c r="L617" s="374" t="e">
        <f t="shared" si="12"/>
        <v>#VALUE!</v>
      </c>
      <c r="M617" s="325"/>
    </row>
    <row r="618" spans="1:13" ht="13">
      <c r="A618" s="316" t="s">
        <v>1037</v>
      </c>
      <c r="B618" s="316" t="s">
        <v>1973</v>
      </c>
      <c r="C618" s="316" t="s">
        <v>1973</v>
      </c>
      <c r="D618" s="316" t="s">
        <v>1973</v>
      </c>
      <c r="E618" s="317" t="s">
        <v>1973</v>
      </c>
      <c r="F618" s="318">
        <v>1</v>
      </c>
      <c r="G618" s="354" t="s">
        <v>62</v>
      </c>
      <c r="H618" s="320">
        <v>20100</v>
      </c>
      <c r="I618" s="319" t="b">
        <v>0</v>
      </c>
      <c r="J618" s="372"/>
      <c r="K618" s="373" t="s">
        <v>1973</v>
      </c>
      <c r="L618" s="374" t="e">
        <f t="shared" si="12"/>
        <v>#VALUE!</v>
      </c>
      <c r="M618" s="325"/>
    </row>
    <row r="619" spans="1:13" ht="13">
      <c r="A619" s="316" t="s">
        <v>1046</v>
      </c>
      <c r="B619" s="316" t="s">
        <v>1973</v>
      </c>
      <c r="C619" s="316" t="s">
        <v>1973</v>
      </c>
      <c r="D619" s="316" t="s">
        <v>1973</v>
      </c>
      <c r="E619" s="317" t="s">
        <v>1973</v>
      </c>
      <c r="F619" s="318">
        <v>3</v>
      </c>
      <c r="G619" s="354" t="s">
        <v>62</v>
      </c>
      <c r="H619" s="320">
        <v>60000</v>
      </c>
      <c r="I619" s="393" t="b">
        <v>1</v>
      </c>
      <c r="J619" s="322">
        <v>3</v>
      </c>
      <c r="K619" s="323" t="s">
        <v>1973</v>
      </c>
      <c r="L619" s="371" t="e">
        <f t="shared" si="12"/>
        <v>#VALUE!</v>
      </c>
      <c r="M619" s="325"/>
    </row>
  </sheetData>
  <mergeCells count="52">
    <mergeCell ref="F267:H267"/>
    <mergeCell ref="J267:L267"/>
    <mergeCell ref="F268:G268"/>
    <mergeCell ref="J268:K268"/>
    <mergeCell ref="F346:H346"/>
    <mergeCell ref="J346:L346"/>
    <mergeCell ref="J347:K347"/>
    <mergeCell ref="F347:G347"/>
    <mergeCell ref="F396:H396"/>
    <mergeCell ref="J396:L396"/>
    <mergeCell ref="F397:G397"/>
    <mergeCell ref="J397:K397"/>
    <mergeCell ref="J34:K34"/>
    <mergeCell ref="J76:L76"/>
    <mergeCell ref="J77:K77"/>
    <mergeCell ref="F34:G34"/>
    <mergeCell ref="F43:H43"/>
    <mergeCell ref="J43:L43"/>
    <mergeCell ref="F44:G44"/>
    <mergeCell ref="J44:K44"/>
    <mergeCell ref="F76:H76"/>
    <mergeCell ref="F77:G77"/>
    <mergeCell ref="F4:H4"/>
    <mergeCell ref="J4:L4"/>
    <mergeCell ref="F5:G5"/>
    <mergeCell ref="J5:K5"/>
    <mergeCell ref="F33:H33"/>
    <mergeCell ref="J33:L33"/>
    <mergeCell ref="F108:H108"/>
    <mergeCell ref="J108:L108"/>
    <mergeCell ref="F109:G109"/>
    <mergeCell ref="J109:K109"/>
    <mergeCell ref="F117:H117"/>
    <mergeCell ref="J117:L117"/>
    <mergeCell ref="J118:K118"/>
    <mergeCell ref="J247:L247"/>
    <mergeCell ref="J248:K248"/>
    <mergeCell ref="F118:G118"/>
    <mergeCell ref="F208:H208"/>
    <mergeCell ref="J208:L208"/>
    <mergeCell ref="F209:G209"/>
    <mergeCell ref="J209:K209"/>
    <mergeCell ref="F247:H247"/>
    <mergeCell ref="F248:G248"/>
    <mergeCell ref="J488:L488"/>
    <mergeCell ref="J489:K489"/>
    <mergeCell ref="F533:H533"/>
    <mergeCell ref="J533:L533"/>
    <mergeCell ref="F534:G534"/>
    <mergeCell ref="J534:K534"/>
    <mergeCell ref="F488:H488"/>
    <mergeCell ref="F489:G489"/>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F00-000000000000}">
          <x14:formula1>
            <xm:f>'Database Bahan &amp; Alat (Terupdate)'!#REF!</xm:f>
          </x14:formula1>
          <xm:sqref>A7:A31 A36:A41 A46:A74 A79:A106 A111:A115 A120:A206 A211:A245 A250:A265 A270:A344 A349:A394 A399:A486 A491:A531 A536:A619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433"/>
  <sheetViews>
    <sheetView workbookViewId="0">
      <pane xSplit="1" topLeftCell="B1" activePane="topRight" state="frozen"/>
      <selection pane="topRight" activeCell="C2" sqref="C2"/>
    </sheetView>
  </sheetViews>
  <sheetFormatPr baseColWidth="10" defaultColWidth="12.6640625" defaultRowHeight="15.75" customHeight="1"/>
  <cols>
    <col min="1" max="1" width="26.33203125" customWidth="1"/>
    <col min="2" max="2" width="4.83203125" customWidth="1"/>
    <col min="3" max="3" width="5.6640625" customWidth="1"/>
    <col min="4" max="4" width="5.83203125" customWidth="1"/>
    <col min="5" max="5" width="13.1640625" customWidth="1"/>
    <col min="6" max="6" width="8.33203125" customWidth="1"/>
    <col min="7" max="7" width="8.6640625" customWidth="1"/>
    <col min="8" max="8" width="11.5" customWidth="1"/>
    <col min="9" max="9" width="7.83203125" customWidth="1"/>
    <col min="10" max="11" width="9.33203125" customWidth="1"/>
    <col min="12" max="12" width="11.5" customWidth="1"/>
    <col min="13" max="13" width="52.33203125" customWidth="1"/>
    <col min="14" max="14" width="21.1640625" customWidth="1"/>
  </cols>
  <sheetData>
    <row r="1" spans="1:14" ht="15.75" customHeight="1">
      <c r="A1" s="303" t="s">
        <v>1891</v>
      </c>
    </row>
    <row r="2" spans="1:14" ht="15.75" customHeight="1">
      <c r="A2" s="303" t="s">
        <v>2</v>
      </c>
    </row>
    <row r="4" spans="1:14" ht="15.75" customHeight="1">
      <c r="F4" s="429">
        <v>44592</v>
      </c>
      <c r="G4" s="428"/>
      <c r="H4" s="424"/>
      <c r="J4" s="429">
        <f>F4+1</f>
        <v>44593</v>
      </c>
      <c r="K4" s="428"/>
      <c r="L4" s="424"/>
    </row>
    <row r="5" spans="1:14" ht="15.75" customHeight="1">
      <c r="F5" s="425" t="s">
        <v>1490</v>
      </c>
      <c r="G5" s="426"/>
      <c r="H5" s="304">
        <f>SUM(H7:H41)</f>
        <v>2160300</v>
      </c>
      <c r="J5" s="425" t="s">
        <v>1491</v>
      </c>
      <c r="K5" s="426"/>
      <c r="L5" s="304" t="e">
        <f>SUM(L7:L41)</f>
        <v>#N/A</v>
      </c>
    </row>
    <row r="6" spans="1:14" ht="15.75" customHeight="1">
      <c r="A6" s="2" t="s">
        <v>4</v>
      </c>
      <c r="B6" s="305" t="s">
        <v>5</v>
      </c>
      <c r="C6" s="305" t="s">
        <v>11</v>
      </c>
      <c r="D6" s="305" t="s">
        <v>12</v>
      </c>
      <c r="E6" s="306" t="s">
        <v>6</v>
      </c>
      <c r="F6" s="307" t="s">
        <v>1494</v>
      </c>
      <c r="G6" s="308" t="s">
        <v>10</v>
      </c>
      <c r="H6" s="309" t="s">
        <v>1495</v>
      </c>
      <c r="I6" s="310" t="s">
        <v>1289</v>
      </c>
      <c r="J6" s="311" t="s">
        <v>1496</v>
      </c>
      <c r="K6" s="312" t="s">
        <v>1497</v>
      </c>
      <c r="L6" s="313" t="s">
        <v>1498</v>
      </c>
      <c r="M6" s="314" t="s">
        <v>16</v>
      </c>
      <c r="N6" s="415"/>
    </row>
    <row r="7" spans="1:14" ht="15.75" customHeight="1">
      <c r="A7" s="316" t="s">
        <v>782</v>
      </c>
      <c r="B7" s="316" t="s">
        <v>1973</v>
      </c>
      <c r="C7" s="316" t="s">
        <v>1973</v>
      </c>
      <c r="D7" s="316" t="s">
        <v>1973</v>
      </c>
      <c r="E7" s="317" t="s">
        <v>1973</v>
      </c>
      <c r="F7" s="318">
        <v>2</v>
      </c>
      <c r="G7" s="354" t="s">
        <v>62</v>
      </c>
      <c r="H7" s="320">
        <v>24000</v>
      </c>
      <c r="I7" s="321" t="b">
        <v>1</v>
      </c>
      <c r="J7" s="322">
        <v>1</v>
      </c>
      <c r="K7" s="323" t="e">
        <f>VLOOKUP($A7,'[1]Database Bahan &amp; Alat (Terupdat'!$B$50:$N$232,6,FALSE)</f>
        <v>#N/A</v>
      </c>
      <c r="L7" s="371" t="e">
        <f t="shared" ref="L7:L41" si="0">J7*K7</f>
        <v>#N/A</v>
      </c>
      <c r="M7" s="325"/>
      <c r="N7" s="416"/>
    </row>
    <row r="8" spans="1:14" ht="15.75" customHeight="1">
      <c r="A8" s="316" t="s">
        <v>1670</v>
      </c>
      <c r="B8" s="316" t="s">
        <v>1973</v>
      </c>
      <c r="C8" s="316" t="s">
        <v>1973</v>
      </c>
      <c r="D8" s="316" t="s">
        <v>1973</v>
      </c>
      <c r="E8" s="317" t="s">
        <v>1973</v>
      </c>
      <c r="F8" s="318">
        <v>1</v>
      </c>
      <c r="G8" s="354" t="s">
        <v>62</v>
      </c>
      <c r="H8" s="320">
        <v>11500</v>
      </c>
      <c r="I8" s="321" t="b">
        <v>1</v>
      </c>
      <c r="J8" s="322">
        <v>1</v>
      </c>
      <c r="K8" s="323">
        <v>9800</v>
      </c>
      <c r="L8" s="380">
        <f t="shared" si="0"/>
        <v>9800</v>
      </c>
      <c r="M8" s="325" t="s">
        <v>1892</v>
      </c>
      <c r="N8" s="416"/>
    </row>
    <row r="9" spans="1:14" ht="15.75" customHeight="1">
      <c r="A9" s="316" t="s">
        <v>1607</v>
      </c>
      <c r="B9" s="316" t="s">
        <v>1973</v>
      </c>
      <c r="C9" s="316" t="s">
        <v>1973</v>
      </c>
      <c r="D9" s="316" t="s">
        <v>1973</v>
      </c>
      <c r="E9" s="317" t="s">
        <v>1973</v>
      </c>
      <c r="F9" s="318">
        <v>1</v>
      </c>
      <c r="G9" s="354" t="s">
        <v>62</v>
      </c>
      <c r="H9" s="320">
        <v>11500</v>
      </c>
      <c r="I9" s="321" t="b">
        <v>1</v>
      </c>
      <c r="J9" s="322">
        <v>1</v>
      </c>
      <c r="K9" s="323" t="e">
        <f>VLOOKUP($A9,'[1]Database Bahan &amp; Alat (Terupdat'!$B$50:$N$232,6,FALSE)</f>
        <v>#N/A</v>
      </c>
      <c r="L9" s="371" t="e">
        <f t="shared" si="0"/>
        <v>#N/A</v>
      </c>
      <c r="M9" s="325"/>
      <c r="N9" s="416"/>
    </row>
    <row r="10" spans="1:14" ht="15.75" customHeight="1">
      <c r="A10" s="316" t="s">
        <v>919</v>
      </c>
      <c r="B10" s="316" t="s">
        <v>1973</v>
      </c>
      <c r="C10" s="316" t="s">
        <v>1973</v>
      </c>
      <c r="D10" s="316" t="s">
        <v>1973</v>
      </c>
      <c r="E10" s="317" t="s">
        <v>1973</v>
      </c>
      <c r="F10" s="318">
        <v>3</v>
      </c>
      <c r="G10" s="354" t="s">
        <v>62</v>
      </c>
      <c r="H10" s="320">
        <v>29700</v>
      </c>
      <c r="I10" s="321" t="b">
        <v>1</v>
      </c>
      <c r="J10" s="322">
        <v>3</v>
      </c>
      <c r="K10" s="323">
        <v>8800</v>
      </c>
      <c r="L10" s="380">
        <f t="shared" si="0"/>
        <v>26400</v>
      </c>
      <c r="M10" s="325" t="s">
        <v>1893</v>
      </c>
      <c r="N10" s="416"/>
    </row>
    <row r="11" spans="1:14" ht="15.75" customHeight="1">
      <c r="A11" s="18" t="s">
        <v>1609</v>
      </c>
      <c r="B11" s="316" t="s">
        <v>1973</v>
      </c>
      <c r="C11" s="316" t="s">
        <v>1973</v>
      </c>
      <c r="D11" s="316" t="s">
        <v>1973</v>
      </c>
      <c r="E11" s="317" t="s">
        <v>1973</v>
      </c>
      <c r="F11" s="318">
        <v>6</v>
      </c>
      <c r="G11" s="354" t="s">
        <v>36</v>
      </c>
      <c r="H11" s="320">
        <v>240000</v>
      </c>
      <c r="I11" s="321" t="b">
        <v>1</v>
      </c>
      <c r="J11" s="322">
        <v>6</v>
      </c>
      <c r="K11" s="323">
        <v>40000</v>
      </c>
      <c r="L11" s="370">
        <f t="shared" si="0"/>
        <v>240000</v>
      </c>
      <c r="M11" s="325" t="s">
        <v>1894</v>
      </c>
      <c r="N11" s="416"/>
    </row>
    <row r="12" spans="1:14" ht="15.75" customHeight="1">
      <c r="A12" s="316" t="s">
        <v>536</v>
      </c>
      <c r="B12" s="316" t="s">
        <v>1973</v>
      </c>
      <c r="C12" s="316" t="s">
        <v>1973</v>
      </c>
      <c r="D12" s="316" t="s">
        <v>1973</v>
      </c>
      <c r="E12" s="317" t="s">
        <v>1973</v>
      </c>
      <c r="F12" s="318">
        <v>50</v>
      </c>
      <c r="G12" s="354" t="s">
        <v>1711</v>
      </c>
      <c r="H12" s="320">
        <v>7000</v>
      </c>
      <c r="I12" s="321" t="b">
        <v>1</v>
      </c>
      <c r="J12" s="322">
        <v>100</v>
      </c>
      <c r="K12" s="323">
        <v>160</v>
      </c>
      <c r="L12" s="379">
        <f t="shared" si="0"/>
        <v>16000</v>
      </c>
      <c r="M12" s="325" t="s">
        <v>1715</v>
      </c>
      <c r="N12" s="416"/>
    </row>
    <row r="13" spans="1:14" ht="15.75" customHeight="1">
      <c r="A13" s="316" t="s">
        <v>639</v>
      </c>
      <c r="B13" s="316" t="s">
        <v>1973</v>
      </c>
      <c r="C13" s="316" t="s">
        <v>1973</v>
      </c>
      <c r="D13" s="316" t="s">
        <v>1973</v>
      </c>
      <c r="E13" s="317" t="s">
        <v>1973</v>
      </c>
      <c r="F13" s="318">
        <v>1</v>
      </c>
      <c r="G13" s="354" t="s">
        <v>36</v>
      </c>
      <c r="H13" s="320">
        <v>125000</v>
      </c>
      <c r="I13" s="321" t="b">
        <v>1</v>
      </c>
      <c r="J13" s="322">
        <v>1.3</v>
      </c>
      <c r="K13" s="323" t="s">
        <v>1973</v>
      </c>
      <c r="L13" s="370" t="e">
        <f t="shared" si="0"/>
        <v>#VALUE!</v>
      </c>
      <c r="M13" s="325" t="s">
        <v>1895</v>
      </c>
      <c r="N13" s="416"/>
    </row>
    <row r="14" spans="1:14" ht="15.75" customHeight="1">
      <c r="A14" s="316" t="s">
        <v>1610</v>
      </c>
      <c r="B14" s="316" t="s">
        <v>1973</v>
      </c>
      <c r="C14" s="316" t="s">
        <v>1973</v>
      </c>
      <c r="D14" s="316" t="s">
        <v>1973</v>
      </c>
      <c r="E14" s="317" t="s">
        <v>1973</v>
      </c>
      <c r="F14" s="318">
        <v>2</v>
      </c>
      <c r="G14" s="354" t="s">
        <v>36</v>
      </c>
      <c r="H14" s="320">
        <v>20000</v>
      </c>
      <c r="I14" s="321" t="b">
        <v>1</v>
      </c>
      <c r="J14" s="322">
        <v>2</v>
      </c>
      <c r="K14" s="323" t="s">
        <v>1973</v>
      </c>
      <c r="L14" s="371" t="e">
        <f t="shared" si="0"/>
        <v>#VALUE!</v>
      </c>
      <c r="M14" s="325"/>
      <c r="N14" s="416"/>
    </row>
    <row r="15" spans="1:14" ht="15.75" customHeight="1">
      <c r="A15" s="316" t="s">
        <v>1611</v>
      </c>
      <c r="B15" s="316" t="s">
        <v>1973</v>
      </c>
      <c r="C15" s="316" t="s">
        <v>1973</v>
      </c>
      <c r="D15" s="316" t="s">
        <v>1973</v>
      </c>
      <c r="E15" s="317" t="s">
        <v>1973</v>
      </c>
      <c r="F15" s="318">
        <v>4</v>
      </c>
      <c r="G15" s="354" t="s">
        <v>36</v>
      </c>
      <c r="H15" s="320">
        <v>200000</v>
      </c>
      <c r="I15" s="321" t="b">
        <v>1</v>
      </c>
      <c r="J15" s="322">
        <v>4</v>
      </c>
      <c r="K15" s="323">
        <v>48000</v>
      </c>
      <c r="L15" s="380">
        <f t="shared" si="0"/>
        <v>192000</v>
      </c>
      <c r="M15" s="325" t="s">
        <v>1896</v>
      </c>
      <c r="N15" s="416"/>
    </row>
    <row r="16" spans="1:14" ht="15.75" customHeight="1">
      <c r="A16" s="316" t="s">
        <v>1612</v>
      </c>
      <c r="B16" s="316" t="s">
        <v>1973</v>
      </c>
      <c r="C16" s="316" t="s">
        <v>1973</v>
      </c>
      <c r="D16" s="316" t="s">
        <v>1973</v>
      </c>
      <c r="E16" s="317" t="s">
        <v>1973</v>
      </c>
      <c r="F16" s="318">
        <v>6</v>
      </c>
      <c r="G16" s="354" t="s">
        <v>36</v>
      </c>
      <c r="H16" s="320">
        <v>150000</v>
      </c>
      <c r="I16" s="321" t="b">
        <v>1</v>
      </c>
      <c r="J16" s="322">
        <v>6</v>
      </c>
      <c r="K16" s="323" t="e">
        <f>VLOOKUP($A16,'[1]Database Bahan &amp; Alat (Terupdat'!$B$50:$N$232,6,FALSE)</f>
        <v>#N/A</v>
      </c>
      <c r="L16" s="371" t="e">
        <f t="shared" si="0"/>
        <v>#N/A</v>
      </c>
      <c r="M16" s="325"/>
      <c r="N16" s="416"/>
    </row>
    <row r="17" spans="1:14" ht="15.75" customHeight="1">
      <c r="A17" s="316" t="s">
        <v>1698</v>
      </c>
      <c r="B17" s="316" t="s">
        <v>1973</v>
      </c>
      <c r="C17" s="316" t="s">
        <v>1973</v>
      </c>
      <c r="D17" s="316" t="s">
        <v>1973</v>
      </c>
      <c r="E17" s="317" t="s">
        <v>1973</v>
      </c>
      <c r="F17" s="318">
        <v>3</v>
      </c>
      <c r="G17" s="354" t="s">
        <v>36</v>
      </c>
      <c r="H17" s="320">
        <v>111000</v>
      </c>
      <c r="I17" s="321" t="b">
        <v>1</v>
      </c>
      <c r="J17" s="322">
        <v>3</v>
      </c>
      <c r="K17" s="323">
        <v>34000</v>
      </c>
      <c r="L17" s="380">
        <f t="shared" si="0"/>
        <v>102000</v>
      </c>
      <c r="M17" s="325" t="s">
        <v>1897</v>
      </c>
      <c r="N17" s="416"/>
    </row>
    <row r="18" spans="1:14" ht="15.75" customHeight="1">
      <c r="A18" s="316" t="s">
        <v>1699</v>
      </c>
      <c r="B18" s="316" t="s">
        <v>1973</v>
      </c>
      <c r="C18" s="316" t="s">
        <v>1973</v>
      </c>
      <c r="D18" s="316" t="s">
        <v>1973</v>
      </c>
      <c r="E18" s="317" t="s">
        <v>1973</v>
      </c>
      <c r="F18" s="318">
        <v>0.5</v>
      </c>
      <c r="G18" s="354" t="s">
        <v>36</v>
      </c>
      <c r="H18" s="320">
        <v>34000</v>
      </c>
      <c r="I18" s="321" t="b">
        <v>1</v>
      </c>
      <c r="J18" s="322">
        <v>0.5</v>
      </c>
      <c r="K18" s="323">
        <v>72000</v>
      </c>
      <c r="L18" s="379">
        <f t="shared" si="0"/>
        <v>36000</v>
      </c>
      <c r="M18" s="325" t="s">
        <v>1715</v>
      </c>
      <c r="N18" s="416"/>
    </row>
    <row r="19" spans="1:14" ht="15.75" customHeight="1">
      <c r="A19" s="316" t="s">
        <v>675</v>
      </c>
      <c r="B19" s="316" t="s">
        <v>1973</v>
      </c>
      <c r="C19" s="316" t="s">
        <v>1973</v>
      </c>
      <c r="D19" s="316" t="s">
        <v>1973</v>
      </c>
      <c r="E19" s="317" t="s">
        <v>1973</v>
      </c>
      <c r="F19" s="318">
        <v>20</v>
      </c>
      <c r="G19" s="354" t="s">
        <v>62</v>
      </c>
      <c r="H19" s="320">
        <v>90000</v>
      </c>
      <c r="I19" s="321" t="b">
        <v>1</v>
      </c>
      <c r="J19" s="322">
        <v>20</v>
      </c>
      <c r="K19" s="323" t="e">
        <f>VLOOKUP($A19,'[1]Database Bahan &amp; Alat (Terupdat'!$B$50:$N$232,6,FALSE)</f>
        <v>#N/A</v>
      </c>
      <c r="L19" s="371" t="e">
        <f t="shared" si="0"/>
        <v>#N/A</v>
      </c>
      <c r="M19" s="325"/>
      <c r="N19" s="416"/>
    </row>
    <row r="20" spans="1:14" ht="15.75" customHeight="1">
      <c r="A20" s="316" t="s">
        <v>712</v>
      </c>
      <c r="B20" s="316" t="s">
        <v>1973</v>
      </c>
      <c r="C20" s="316" t="s">
        <v>1973</v>
      </c>
      <c r="D20" s="316" t="s">
        <v>1973</v>
      </c>
      <c r="E20" s="317" t="s">
        <v>1973</v>
      </c>
      <c r="F20" s="318">
        <v>1</v>
      </c>
      <c r="G20" s="354" t="s">
        <v>36</v>
      </c>
      <c r="H20" s="320">
        <v>24000</v>
      </c>
      <c r="I20" s="321" t="b">
        <v>1</v>
      </c>
      <c r="J20" s="322">
        <v>1</v>
      </c>
      <c r="K20" s="323">
        <v>26000</v>
      </c>
      <c r="L20" s="379">
        <f t="shared" si="0"/>
        <v>26000</v>
      </c>
      <c r="M20" s="325" t="s">
        <v>1715</v>
      </c>
      <c r="N20" s="416"/>
    </row>
    <row r="21" spans="1:14" ht="15.75" customHeight="1">
      <c r="A21" s="316" t="s">
        <v>732</v>
      </c>
      <c r="B21" s="316" t="s">
        <v>1973</v>
      </c>
      <c r="C21" s="316" t="s">
        <v>1973</v>
      </c>
      <c r="D21" s="316" t="s">
        <v>1973</v>
      </c>
      <c r="E21" s="317" t="s">
        <v>1973</v>
      </c>
      <c r="F21" s="318">
        <v>2</v>
      </c>
      <c r="G21" s="354" t="s">
        <v>36</v>
      </c>
      <c r="H21" s="320">
        <v>52000</v>
      </c>
      <c r="I21" s="321" t="b">
        <v>1</v>
      </c>
      <c r="J21" s="322">
        <v>2</v>
      </c>
      <c r="K21" s="323">
        <v>28000</v>
      </c>
      <c r="L21" s="379">
        <f t="shared" si="0"/>
        <v>56000</v>
      </c>
      <c r="M21" s="325" t="s">
        <v>1715</v>
      </c>
      <c r="N21" s="416"/>
    </row>
    <row r="22" spans="1:14" ht="15.75" customHeight="1">
      <c r="A22" s="316" t="s">
        <v>744</v>
      </c>
      <c r="B22" s="316" t="s">
        <v>1973</v>
      </c>
      <c r="C22" s="316" t="s">
        <v>1973</v>
      </c>
      <c r="D22" s="316" t="s">
        <v>1973</v>
      </c>
      <c r="E22" s="317" t="s">
        <v>1973</v>
      </c>
      <c r="F22" s="318">
        <v>0.5</v>
      </c>
      <c r="G22" s="354" t="s">
        <v>36</v>
      </c>
      <c r="H22" s="320">
        <v>35000</v>
      </c>
      <c r="I22" s="321" t="b">
        <v>1</v>
      </c>
      <c r="J22" s="322">
        <v>0.5</v>
      </c>
      <c r="K22" s="323" t="s">
        <v>1973</v>
      </c>
      <c r="L22" s="371" t="e">
        <f t="shared" si="0"/>
        <v>#VALUE!</v>
      </c>
      <c r="M22" s="325"/>
      <c r="N22" s="416"/>
    </row>
    <row r="23" spans="1:14" ht="15.75" customHeight="1">
      <c r="A23" s="316" t="s">
        <v>795</v>
      </c>
      <c r="B23" s="316" t="s">
        <v>1973</v>
      </c>
      <c r="C23" s="316" t="s">
        <v>1973</v>
      </c>
      <c r="D23" s="316" t="s">
        <v>1973</v>
      </c>
      <c r="E23" s="317" t="s">
        <v>1973</v>
      </c>
      <c r="F23" s="318">
        <v>10</v>
      </c>
      <c r="G23" s="354" t="s">
        <v>62</v>
      </c>
      <c r="H23" s="320">
        <v>50000</v>
      </c>
      <c r="I23" s="321" t="b">
        <v>1</v>
      </c>
      <c r="J23" s="322">
        <v>10</v>
      </c>
      <c r="K23" s="323" t="s">
        <v>1973</v>
      </c>
      <c r="L23" s="371" t="e">
        <f t="shared" si="0"/>
        <v>#VALUE!</v>
      </c>
      <c r="M23" s="325"/>
      <c r="N23" s="416"/>
    </row>
    <row r="24" spans="1:14" ht="15.75" customHeight="1">
      <c r="A24" s="316" t="s">
        <v>1704</v>
      </c>
      <c r="B24" s="316" t="s">
        <v>1973</v>
      </c>
      <c r="C24" s="316" t="s">
        <v>1973</v>
      </c>
      <c r="D24" s="316" t="s">
        <v>1973</v>
      </c>
      <c r="E24" s="317" t="s">
        <v>1973</v>
      </c>
      <c r="F24" s="318">
        <v>0.25</v>
      </c>
      <c r="G24" s="354" t="s">
        <v>36</v>
      </c>
      <c r="H24" s="320">
        <v>3000</v>
      </c>
      <c r="I24" s="321" t="b">
        <v>1</v>
      </c>
      <c r="J24" s="322">
        <v>0.25</v>
      </c>
      <c r="K24" s="323" t="s">
        <v>1973</v>
      </c>
      <c r="L24" s="380" t="e">
        <f t="shared" si="0"/>
        <v>#VALUE!</v>
      </c>
      <c r="M24" s="325" t="s">
        <v>1719</v>
      </c>
      <c r="N24" s="416"/>
    </row>
    <row r="25" spans="1:14" ht="15.75" customHeight="1">
      <c r="A25" s="316" t="s">
        <v>819</v>
      </c>
      <c r="B25" s="316" t="s">
        <v>1973</v>
      </c>
      <c r="C25" s="316" t="s">
        <v>1973</v>
      </c>
      <c r="D25" s="316" t="s">
        <v>1973</v>
      </c>
      <c r="E25" s="317" t="s">
        <v>1973</v>
      </c>
      <c r="F25" s="318">
        <v>0.25</v>
      </c>
      <c r="G25" s="354" t="s">
        <v>36</v>
      </c>
      <c r="H25" s="320">
        <v>5000</v>
      </c>
      <c r="I25" s="321" t="b">
        <v>1</v>
      </c>
      <c r="J25" s="322">
        <v>0.25</v>
      </c>
      <c r="K25" s="323" t="s">
        <v>1973</v>
      </c>
      <c r="L25" s="380" t="e">
        <f t="shared" si="0"/>
        <v>#VALUE!</v>
      </c>
      <c r="M25" s="325" t="s">
        <v>1723</v>
      </c>
      <c r="N25" s="416"/>
    </row>
    <row r="26" spans="1:14" ht="15.75" customHeight="1">
      <c r="A26" s="316" t="s">
        <v>827</v>
      </c>
      <c r="B26" s="316" t="s">
        <v>1973</v>
      </c>
      <c r="C26" s="316" t="s">
        <v>1973</v>
      </c>
      <c r="D26" s="316" t="s">
        <v>1973</v>
      </c>
      <c r="E26" s="317" t="s">
        <v>1973</v>
      </c>
      <c r="F26" s="318">
        <v>0.25</v>
      </c>
      <c r="G26" s="354" t="s">
        <v>36</v>
      </c>
      <c r="H26" s="320">
        <v>2000</v>
      </c>
      <c r="I26" s="321" t="b">
        <v>1</v>
      </c>
      <c r="J26" s="322">
        <v>0.25</v>
      </c>
      <c r="K26" s="323" t="s">
        <v>1973</v>
      </c>
      <c r="L26" s="371" t="e">
        <f t="shared" si="0"/>
        <v>#VALUE!</v>
      </c>
      <c r="M26" s="325"/>
      <c r="N26" s="416"/>
    </row>
    <row r="27" spans="1:14" ht="15.75" customHeight="1">
      <c r="A27" s="316" t="s">
        <v>1613</v>
      </c>
      <c r="B27" s="316" t="s">
        <v>1973</v>
      </c>
      <c r="C27" s="316" t="s">
        <v>1973</v>
      </c>
      <c r="D27" s="316" t="s">
        <v>1973</v>
      </c>
      <c r="E27" s="317" t="s">
        <v>1973</v>
      </c>
      <c r="F27" s="318">
        <v>0.3</v>
      </c>
      <c r="G27" s="354" t="s">
        <v>36</v>
      </c>
      <c r="H27" s="320">
        <v>12900</v>
      </c>
      <c r="I27" s="321" t="b">
        <v>1</v>
      </c>
      <c r="J27" s="322">
        <v>0.3</v>
      </c>
      <c r="K27" s="323">
        <v>50000</v>
      </c>
      <c r="L27" s="379">
        <f t="shared" si="0"/>
        <v>15000</v>
      </c>
      <c r="M27" s="325" t="s">
        <v>1898</v>
      </c>
      <c r="N27" s="416"/>
    </row>
    <row r="28" spans="1:14" ht="15.75" customHeight="1">
      <c r="A28" s="316" t="s">
        <v>1614</v>
      </c>
      <c r="B28" s="316" t="s">
        <v>1973</v>
      </c>
      <c r="C28" s="316" t="s">
        <v>1973</v>
      </c>
      <c r="D28" s="316" t="s">
        <v>1973</v>
      </c>
      <c r="E28" s="317" t="s">
        <v>1973</v>
      </c>
      <c r="F28" s="318">
        <v>0.5</v>
      </c>
      <c r="G28" s="354" t="s">
        <v>36</v>
      </c>
      <c r="H28" s="320">
        <v>67500</v>
      </c>
      <c r="I28" s="321" t="b">
        <v>1</v>
      </c>
      <c r="J28" s="322">
        <v>0.5</v>
      </c>
      <c r="K28" s="323">
        <v>128000</v>
      </c>
      <c r="L28" s="380">
        <f t="shared" si="0"/>
        <v>64000</v>
      </c>
      <c r="M28" s="325" t="s">
        <v>1899</v>
      </c>
      <c r="N28" s="416"/>
    </row>
    <row r="29" spans="1:14" ht="15.75" customHeight="1">
      <c r="A29" s="316" t="s">
        <v>885</v>
      </c>
      <c r="B29" s="316" t="s">
        <v>1973</v>
      </c>
      <c r="C29" s="316" t="s">
        <v>1973</v>
      </c>
      <c r="D29" s="316" t="s">
        <v>1973</v>
      </c>
      <c r="E29" s="317" t="s">
        <v>1973</v>
      </c>
      <c r="F29" s="318">
        <v>0.25</v>
      </c>
      <c r="G29" s="354" t="s">
        <v>36</v>
      </c>
      <c r="H29" s="320">
        <v>3000</v>
      </c>
      <c r="I29" s="321" t="b">
        <v>1</v>
      </c>
      <c r="J29" s="322">
        <v>0.25</v>
      </c>
      <c r="K29" s="323">
        <v>24000</v>
      </c>
      <c r="L29" s="379">
        <f t="shared" si="0"/>
        <v>6000</v>
      </c>
      <c r="M29" s="325" t="s">
        <v>1721</v>
      </c>
      <c r="N29" s="416"/>
    </row>
    <row r="30" spans="1:14" ht="15.75" customHeight="1">
      <c r="A30" s="316" t="s">
        <v>1501</v>
      </c>
      <c r="B30" s="316" t="s">
        <v>1973</v>
      </c>
      <c r="C30" s="316" t="s">
        <v>1973</v>
      </c>
      <c r="D30" s="316" t="s">
        <v>1973</v>
      </c>
      <c r="E30" s="317" t="s">
        <v>1973</v>
      </c>
      <c r="F30" s="318">
        <v>1</v>
      </c>
      <c r="G30" s="354" t="s">
        <v>36</v>
      </c>
      <c r="H30" s="320">
        <v>30000</v>
      </c>
      <c r="I30" s="321" t="b">
        <v>1</v>
      </c>
      <c r="J30" s="322">
        <f>0.178+0.184+0.184</f>
        <v>0.54600000000000004</v>
      </c>
      <c r="K30" s="323" t="e">
        <f>VLOOKUP($A30,'[1]Database Bahan &amp; Alat (Terupdat'!$B$50:$N$232,6,FALSE)</f>
        <v>#N/A</v>
      </c>
      <c r="L30" s="370" t="e">
        <f t="shared" si="0"/>
        <v>#N/A</v>
      </c>
      <c r="M30" s="325" t="s">
        <v>1900</v>
      </c>
      <c r="N30" s="416"/>
    </row>
    <row r="31" spans="1:14" ht="15.75" customHeight="1">
      <c r="A31" s="316" t="s">
        <v>1608</v>
      </c>
      <c r="B31" s="316" t="s">
        <v>1973</v>
      </c>
      <c r="C31" s="316" t="s">
        <v>1973</v>
      </c>
      <c r="D31" s="316" t="s">
        <v>1973</v>
      </c>
      <c r="E31" s="317" t="s">
        <v>1973</v>
      </c>
      <c r="F31" s="318">
        <v>1</v>
      </c>
      <c r="G31" s="354" t="s">
        <v>36</v>
      </c>
      <c r="H31" s="320">
        <v>44000</v>
      </c>
      <c r="I31" s="321" t="b">
        <v>1</v>
      </c>
      <c r="J31" s="322">
        <v>465</v>
      </c>
      <c r="K31" s="323">
        <v>49.9</v>
      </c>
      <c r="L31" s="370">
        <f t="shared" si="0"/>
        <v>23203.5</v>
      </c>
      <c r="M31" s="325" t="s">
        <v>1901</v>
      </c>
      <c r="N31" s="416"/>
    </row>
    <row r="32" spans="1:14" ht="15.75" customHeight="1">
      <c r="A32" s="316" t="s">
        <v>1671</v>
      </c>
      <c r="B32" s="316" t="s">
        <v>1973</v>
      </c>
      <c r="C32" s="316" t="s">
        <v>1973</v>
      </c>
      <c r="D32" s="316" t="s">
        <v>1973</v>
      </c>
      <c r="E32" s="317" t="s">
        <v>1973</v>
      </c>
      <c r="F32" s="318">
        <v>3</v>
      </c>
      <c r="G32" s="354" t="s">
        <v>36</v>
      </c>
      <c r="H32" s="320">
        <v>270000</v>
      </c>
      <c r="I32" s="321" t="b">
        <v>1</v>
      </c>
      <c r="J32" s="322">
        <v>3</v>
      </c>
      <c r="K32" s="323">
        <v>95000</v>
      </c>
      <c r="L32" s="379">
        <f t="shared" si="0"/>
        <v>285000</v>
      </c>
      <c r="M32" s="325" t="s">
        <v>1718</v>
      </c>
      <c r="N32" s="416"/>
    </row>
    <row r="33" spans="1:14" ht="15.75" customHeight="1">
      <c r="A33" s="316" t="s">
        <v>1000</v>
      </c>
      <c r="B33" s="316" t="s">
        <v>1973</v>
      </c>
      <c r="C33" s="316" t="s">
        <v>1973</v>
      </c>
      <c r="D33" s="316" t="s">
        <v>1973</v>
      </c>
      <c r="E33" s="317" t="s">
        <v>1973</v>
      </c>
      <c r="F33" s="318">
        <v>1</v>
      </c>
      <c r="G33" s="354" t="s">
        <v>62</v>
      </c>
      <c r="H33" s="320">
        <v>10000</v>
      </c>
      <c r="I33" s="321" t="b">
        <v>1</v>
      </c>
      <c r="J33" s="322">
        <v>1</v>
      </c>
      <c r="K33" s="323">
        <v>10500</v>
      </c>
      <c r="L33" s="379">
        <f t="shared" si="0"/>
        <v>10500</v>
      </c>
      <c r="M33" s="325" t="s">
        <v>1902</v>
      </c>
      <c r="N33" s="416"/>
    </row>
    <row r="34" spans="1:14" ht="15.75" customHeight="1">
      <c r="A34" s="316" t="s">
        <v>1020</v>
      </c>
      <c r="B34" s="316" t="s">
        <v>1973</v>
      </c>
      <c r="C34" s="316" t="s">
        <v>1973</v>
      </c>
      <c r="D34" s="316" t="s">
        <v>1973</v>
      </c>
      <c r="E34" s="317" t="s">
        <v>1973</v>
      </c>
      <c r="F34" s="318">
        <v>1</v>
      </c>
      <c r="G34" s="354" t="s">
        <v>36</v>
      </c>
      <c r="H34" s="320">
        <v>12000</v>
      </c>
      <c r="I34" s="321" t="b">
        <v>1</v>
      </c>
      <c r="J34" s="322">
        <v>1</v>
      </c>
      <c r="K34" s="323" t="e">
        <f>VLOOKUP($A34,'[1]Database Bahan &amp; Alat (Terupdat'!$B$50:$N$232,6,FALSE)</f>
        <v>#N/A</v>
      </c>
      <c r="L34" s="371" t="e">
        <f t="shared" si="0"/>
        <v>#N/A</v>
      </c>
      <c r="M34" s="325"/>
      <c r="N34" s="416"/>
    </row>
    <row r="35" spans="1:14" ht="15.75" customHeight="1">
      <c r="A35" s="316" t="s">
        <v>1600</v>
      </c>
      <c r="B35" s="316" t="s">
        <v>1973</v>
      </c>
      <c r="C35" s="316" t="s">
        <v>1973</v>
      </c>
      <c r="D35" s="316" t="s">
        <v>1973</v>
      </c>
      <c r="E35" s="317" t="s">
        <v>1973</v>
      </c>
      <c r="F35" s="318">
        <v>1</v>
      </c>
      <c r="G35" s="354" t="s">
        <v>36</v>
      </c>
      <c r="H35" s="320">
        <v>8000</v>
      </c>
      <c r="I35" s="321" t="b">
        <v>1</v>
      </c>
      <c r="J35" s="322">
        <v>1</v>
      </c>
      <c r="K35" s="323">
        <v>10000</v>
      </c>
      <c r="L35" s="379">
        <f t="shared" si="0"/>
        <v>10000</v>
      </c>
      <c r="M35" s="325" t="s">
        <v>1715</v>
      </c>
      <c r="N35" s="416"/>
    </row>
    <row r="36" spans="1:14" ht="15.75" customHeight="1">
      <c r="A36" s="316" t="s">
        <v>1751</v>
      </c>
      <c r="B36" s="316" t="s">
        <v>1973</v>
      </c>
      <c r="C36" s="316" t="s">
        <v>1973</v>
      </c>
      <c r="D36" s="316" t="s">
        <v>1973</v>
      </c>
      <c r="E36" s="317" t="s">
        <v>1973</v>
      </c>
      <c r="F36" s="318">
        <v>10</v>
      </c>
      <c r="G36" s="354" t="s">
        <v>36</v>
      </c>
      <c r="H36" s="320">
        <v>120000</v>
      </c>
      <c r="I36" s="321" t="b">
        <v>1</v>
      </c>
      <c r="J36" s="322">
        <v>10</v>
      </c>
      <c r="K36" s="323" t="e">
        <f>VLOOKUP($A36,'[1]Database Bahan &amp; Alat (Terupdat'!$B$50:$N$232,6,FALSE)</f>
        <v>#N/A</v>
      </c>
      <c r="L36" s="371" t="e">
        <f t="shared" si="0"/>
        <v>#N/A</v>
      </c>
      <c r="M36" s="325"/>
      <c r="N36" s="416"/>
    </row>
    <row r="37" spans="1:14" ht="15.75" customHeight="1">
      <c r="A37" s="316" t="s">
        <v>779</v>
      </c>
      <c r="B37" s="316" t="s">
        <v>1973</v>
      </c>
      <c r="C37" s="316" t="s">
        <v>1973</v>
      </c>
      <c r="D37" s="316" t="s">
        <v>1973</v>
      </c>
      <c r="E37" s="317" t="s">
        <v>1973</v>
      </c>
      <c r="F37" s="318">
        <v>3</v>
      </c>
      <c r="G37" s="354" t="s">
        <v>62</v>
      </c>
      <c r="H37" s="320">
        <v>115500</v>
      </c>
      <c r="I37" s="321" t="b">
        <v>1</v>
      </c>
      <c r="J37" s="322">
        <v>2</v>
      </c>
      <c r="K37" s="323">
        <v>49800</v>
      </c>
      <c r="L37" s="370">
        <f t="shared" si="0"/>
        <v>99600</v>
      </c>
      <c r="M37" s="325" t="s">
        <v>1903</v>
      </c>
      <c r="N37" s="416"/>
    </row>
    <row r="38" spans="1:14" ht="15.75" customHeight="1">
      <c r="A38" s="316" t="s">
        <v>1606</v>
      </c>
      <c r="B38" s="316" t="s">
        <v>1973</v>
      </c>
      <c r="C38" s="316" t="s">
        <v>1973</v>
      </c>
      <c r="D38" s="316" t="s">
        <v>1973</v>
      </c>
      <c r="E38" s="317" t="s">
        <v>1973</v>
      </c>
      <c r="F38" s="318">
        <v>1</v>
      </c>
      <c r="G38" s="354" t="s">
        <v>36</v>
      </c>
      <c r="H38" s="320">
        <v>43200</v>
      </c>
      <c r="I38" s="321" t="b">
        <v>1</v>
      </c>
      <c r="J38" s="322">
        <v>0.61399999999999999</v>
      </c>
      <c r="K38" s="323" t="s">
        <v>1973</v>
      </c>
      <c r="L38" s="370" t="e">
        <f t="shared" si="0"/>
        <v>#VALUE!</v>
      </c>
      <c r="M38" s="325" t="s">
        <v>1904</v>
      </c>
      <c r="N38" s="416"/>
    </row>
    <row r="39" spans="1:14" ht="15.75" customHeight="1">
      <c r="A39" s="316" t="s">
        <v>910</v>
      </c>
      <c r="B39" s="316" t="s">
        <v>1973</v>
      </c>
      <c r="C39" s="316" t="s">
        <v>1973</v>
      </c>
      <c r="D39" s="316" t="s">
        <v>1973</v>
      </c>
      <c r="E39" s="317" t="s">
        <v>1973</v>
      </c>
      <c r="F39" s="318">
        <v>4</v>
      </c>
      <c r="G39" s="354" t="s">
        <v>62</v>
      </c>
      <c r="H39" s="320">
        <v>52000</v>
      </c>
      <c r="I39" s="321" t="b">
        <v>1</v>
      </c>
      <c r="J39" s="322">
        <v>4</v>
      </c>
      <c r="K39" s="323" t="s">
        <v>1973</v>
      </c>
      <c r="L39" s="371" t="e">
        <f t="shared" si="0"/>
        <v>#VALUE!</v>
      </c>
      <c r="M39" s="325"/>
      <c r="N39" s="416"/>
    </row>
    <row r="40" spans="1:14" ht="15.75" customHeight="1">
      <c r="A40" s="316" t="s">
        <v>643</v>
      </c>
      <c r="B40" s="316" t="s">
        <v>1973</v>
      </c>
      <c r="C40" s="316" t="s">
        <v>1973</v>
      </c>
      <c r="D40" s="316" t="s">
        <v>1973</v>
      </c>
      <c r="E40" s="317" t="s">
        <v>1973</v>
      </c>
      <c r="F40" s="318">
        <v>1.5</v>
      </c>
      <c r="G40" s="354" t="s">
        <v>36</v>
      </c>
      <c r="H40" s="320">
        <v>22500</v>
      </c>
      <c r="I40" s="321" t="b">
        <v>1</v>
      </c>
      <c r="J40" s="322">
        <v>1.5</v>
      </c>
      <c r="K40" s="323" t="s">
        <v>1973</v>
      </c>
      <c r="L40" s="371" t="e">
        <f t="shared" si="0"/>
        <v>#VALUE!</v>
      </c>
      <c r="M40" s="325"/>
      <c r="N40" s="416"/>
    </row>
    <row r="41" spans="1:14" ht="15.75" customHeight="1">
      <c r="A41" s="316" t="s">
        <v>892</v>
      </c>
      <c r="B41" s="316" t="s">
        <v>1973</v>
      </c>
      <c r="C41" s="316" t="s">
        <v>1973</v>
      </c>
      <c r="D41" s="316" t="s">
        <v>1973</v>
      </c>
      <c r="E41" s="317" t="s">
        <v>1973</v>
      </c>
      <c r="F41" s="318">
        <v>1</v>
      </c>
      <c r="G41" s="354" t="s">
        <v>36</v>
      </c>
      <c r="H41" s="320">
        <v>125000</v>
      </c>
      <c r="I41" s="321" t="b">
        <v>1</v>
      </c>
      <c r="J41" s="322">
        <v>1</v>
      </c>
      <c r="K41" s="323" t="s">
        <v>1973</v>
      </c>
      <c r="L41" s="371" t="e">
        <f t="shared" si="0"/>
        <v>#VALUE!</v>
      </c>
      <c r="M41" s="325"/>
      <c r="N41" s="416"/>
    </row>
    <row r="43" spans="1:14" ht="15.75" customHeight="1">
      <c r="F43" s="429">
        <v>44596</v>
      </c>
      <c r="G43" s="428"/>
      <c r="H43" s="424"/>
      <c r="J43" s="429">
        <f>F43+1</f>
        <v>44597</v>
      </c>
      <c r="K43" s="428"/>
      <c r="L43" s="424"/>
    </row>
    <row r="44" spans="1:14" ht="15.75" customHeight="1">
      <c r="F44" s="425" t="s">
        <v>1490</v>
      </c>
      <c r="G44" s="426"/>
      <c r="H44" s="304">
        <f>SUM(H46:H128)</f>
        <v>7095721</v>
      </c>
      <c r="J44" s="425" t="s">
        <v>1491</v>
      </c>
      <c r="K44" s="426"/>
      <c r="L44" s="304" t="e">
        <f>SUM(L46:L128)</f>
        <v>#VALUE!</v>
      </c>
    </row>
    <row r="45" spans="1:14" ht="15.75" customHeight="1">
      <c r="A45" s="2" t="s">
        <v>4</v>
      </c>
      <c r="B45" s="305" t="s">
        <v>5</v>
      </c>
      <c r="C45" s="305" t="s">
        <v>11</v>
      </c>
      <c r="D45" s="305" t="s">
        <v>12</v>
      </c>
      <c r="E45" s="306" t="s">
        <v>6</v>
      </c>
      <c r="F45" s="307" t="s">
        <v>1494</v>
      </c>
      <c r="G45" s="308" t="s">
        <v>10</v>
      </c>
      <c r="H45" s="309" t="s">
        <v>1495</v>
      </c>
      <c r="I45" s="310" t="s">
        <v>1289</v>
      </c>
      <c r="J45" s="311" t="s">
        <v>1496</v>
      </c>
      <c r="K45" s="312" t="s">
        <v>1497</v>
      </c>
      <c r="L45" s="313" t="s">
        <v>1498</v>
      </c>
      <c r="M45" s="314" t="s">
        <v>16</v>
      </c>
      <c r="N45" s="415"/>
    </row>
    <row r="46" spans="1:14" ht="15.75" customHeight="1">
      <c r="A46" s="316" t="s">
        <v>739</v>
      </c>
      <c r="B46" s="316" t="s">
        <v>1973</v>
      </c>
      <c r="C46" s="316" t="s">
        <v>1973</v>
      </c>
      <c r="D46" s="316" t="s">
        <v>1973</v>
      </c>
      <c r="E46" s="317" t="s">
        <v>1973</v>
      </c>
      <c r="F46" s="318">
        <v>1</v>
      </c>
      <c r="G46" s="354" t="s">
        <v>62</v>
      </c>
      <c r="H46" s="320">
        <v>100000</v>
      </c>
      <c r="I46" s="319" t="b">
        <v>0</v>
      </c>
      <c r="J46" s="372"/>
      <c r="K46" s="373" t="s">
        <v>1973</v>
      </c>
      <c r="L46" s="374" t="e">
        <f t="shared" ref="L46:L67" si="1">J46*K46</f>
        <v>#VALUE!</v>
      </c>
      <c r="M46" s="325"/>
      <c r="N46" s="416"/>
    </row>
    <row r="47" spans="1:14" ht="15.75" customHeight="1">
      <c r="A47" s="316" t="s">
        <v>544</v>
      </c>
      <c r="B47" s="316" t="s">
        <v>1973</v>
      </c>
      <c r="C47" s="316" t="s">
        <v>1973</v>
      </c>
      <c r="D47" s="316" t="s">
        <v>1973</v>
      </c>
      <c r="E47" s="317" t="s">
        <v>1973</v>
      </c>
      <c r="F47" s="318">
        <v>4</v>
      </c>
      <c r="G47" s="354" t="s">
        <v>62</v>
      </c>
      <c r="H47" s="320">
        <v>90400</v>
      </c>
      <c r="I47" s="321" t="b">
        <v>1</v>
      </c>
      <c r="J47" s="322">
        <v>4</v>
      </c>
      <c r="K47" s="323" t="s">
        <v>1973</v>
      </c>
      <c r="L47" s="371" t="e">
        <f t="shared" si="1"/>
        <v>#VALUE!</v>
      </c>
      <c r="M47" s="325"/>
      <c r="N47" s="416"/>
    </row>
    <row r="48" spans="1:14" ht="15.75" customHeight="1">
      <c r="A48" s="316" t="s">
        <v>586</v>
      </c>
      <c r="B48" s="316" t="s">
        <v>1973</v>
      </c>
      <c r="C48" s="316" t="s">
        <v>1973</v>
      </c>
      <c r="D48" s="316" t="s">
        <v>1973</v>
      </c>
      <c r="E48" s="317" t="s">
        <v>1973</v>
      </c>
      <c r="F48" s="318">
        <v>4</v>
      </c>
      <c r="G48" s="354" t="s">
        <v>62</v>
      </c>
      <c r="H48" s="320">
        <v>28800</v>
      </c>
      <c r="I48" s="321" t="b">
        <v>1</v>
      </c>
      <c r="J48" s="322">
        <v>2</v>
      </c>
      <c r="K48" s="323" t="s">
        <v>1973</v>
      </c>
      <c r="L48" s="371" t="e">
        <f t="shared" si="1"/>
        <v>#VALUE!</v>
      </c>
      <c r="M48" s="325"/>
      <c r="N48" s="416"/>
    </row>
    <row r="49" spans="1:14" ht="15.75" customHeight="1">
      <c r="A49" s="316" t="s">
        <v>627</v>
      </c>
      <c r="B49" s="316" t="s">
        <v>1973</v>
      </c>
      <c r="C49" s="316" t="s">
        <v>1973</v>
      </c>
      <c r="D49" s="316" t="s">
        <v>1973</v>
      </c>
      <c r="E49" s="317" t="s">
        <v>1973</v>
      </c>
      <c r="F49" s="318">
        <v>1</v>
      </c>
      <c r="G49" s="354" t="s">
        <v>36</v>
      </c>
      <c r="H49" s="320">
        <v>37900</v>
      </c>
      <c r="I49" s="321" t="b">
        <v>1</v>
      </c>
      <c r="J49" s="322">
        <v>0.95499999999999996</v>
      </c>
      <c r="K49" s="323" t="s">
        <v>1973</v>
      </c>
      <c r="L49" s="380" t="e">
        <f t="shared" si="1"/>
        <v>#VALUE!</v>
      </c>
      <c r="M49" s="325" t="s">
        <v>1905</v>
      </c>
      <c r="N49" s="416"/>
    </row>
    <row r="50" spans="1:14" ht="15.75" customHeight="1">
      <c r="A50" s="316" t="s">
        <v>1655</v>
      </c>
      <c r="B50" s="316" t="s">
        <v>1973</v>
      </c>
      <c r="C50" s="316" t="s">
        <v>1973</v>
      </c>
      <c r="D50" s="316" t="s">
        <v>1973</v>
      </c>
      <c r="E50" s="317" t="s">
        <v>1973</v>
      </c>
      <c r="F50" s="318">
        <v>1</v>
      </c>
      <c r="G50" s="354" t="s">
        <v>62</v>
      </c>
      <c r="H50" s="320">
        <v>13000</v>
      </c>
      <c r="I50" s="321" t="b">
        <v>1</v>
      </c>
      <c r="J50" s="322">
        <v>1</v>
      </c>
      <c r="K50" s="323" t="s">
        <v>1973</v>
      </c>
      <c r="L50" s="371" t="e">
        <f t="shared" si="1"/>
        <v>#VALUE!</v>
      </c>
      <c r="M50" s="325"/>
      <c r="N50" s="416"/>
    </row>
    <row r="51" spans="1:14" ht="13">
      <c r="A51" s="316" t="s">
        <v>1598</v>
      </c>
      <c r="B51" s="316" t="s">
        <v>1973</v>
      </c>
      <c r="C51" s="316" t="s">
        <v>1973</v>
      </c>
      <c r="D51" s="316" t="s">
        <v>1973</v>
      </c>
      <c r="E51" s="317" t="s">
        <v>1973</v>
      </c>
      <c r="F51" s="318">
        <v>4</v>
      </c>
      <c r="G51" s="354" t="s">
        <v>97</v>
      </c>
      <c r="H51" s="320">
        <v>41600</v>
      </c>
      <c r="I51" s="321" t="b">
        <v>1</v>
      </c>
      <c r="J51" s="322">
        <v>2</v>
      </c>
      <c r="K51" s="323">
        <v>27400</v>
      </c>
      <c r="L51" s="370">
        <f t="shared" si="1"/>
        <v>54800</v>
      </c>
      <c r="M51" s="325" t="s">
        <v>1906</v>
      </c>
      <c r="N51" s="416"/>
    </row>
    <row r="52" spans="1:14" ht="13">
      <c r="A52" s="316" t="s">
        <v>770</v>
      </c>
      <c r="B52" s="316" t="s">
        <v>1973</v>
      </c>
      <c r="C52" s="316" t="s">
        <v>1973</v>
      </c>
      <c r="D52" s="316" t="s">
        <v>1973</v>
      </c>
      <c r="E52" s="317" t="s">
        <v>1973</v>
      </c>
      <c r="F52" s="318">
        <v>1</v>
      </c>
      <c r="G52" s="354" t="s">
        <v>97</v>
      </c>
      <c r="H52" s="320">
        <v>24400</v>
      </c>
      <c r="I52" s="319" t="b">
        <v>0</v>
      </c>
      <c r="J52" s="372"/>
      <c r="K52" s="373" t="s">
        <v>1973</v>
      </c>
      <c r="L52" s="374" t="e">
        <f t="shared" si="1"/>
        <v>#VALUE!</v>
      </c>
      <c r="M52" s="325"/>
      <c r="N52" s="416"/>
    </row>
    <row r="53" spans="1:14" ht="13">
      <c r="A53" s="316" t="s">
        <v>782</v>
      </c>
      <c r="B53" s="316" t="s">
        <v>1973</v>
      </c>
      <c r="C53" s="316" t="s">
        <v>1973</v>
      </c>
      <c r="D53" s="316" t="s">
        <v>1973</v>
      </c>
      <c r="E53" s="317" t="s">
        <v>1973</v>
      </c>
      <c r="F53" s="318">
        <v>1</v>
      </c>
      <c r="G53" s="354" t="s">
        <v>62</v>
      </c>
      <c r="H53" s="320">
        <v>12000</v>
      </c>
      <c r="I53" s="321" t="b">
        <v>1</v>
      </c>
      <c r="J53" s="322">
        <v>1</v>
      </c>
      <c r="K53" s="323" t="s">
        <v>1973</v>
      </c>
      <c r="L53" s="371" t="e">
        <f t="shared" si="1"/>
        <v>#VALUE!</v>
      </c>
      <c r="M53" s="325"/>
      <c r="N53" s="416"/>
    </row>
    <row r="54" spans="1:14" ht="13">
      <c r="A54" s="316" t="s">
        <v>1661</v>
      </c>
      <c r="B54" s="316" t="s">
        <v>1973</v>
      </c>
      <c r="C54" s="316" t="s">
        <v>1973</v>
      </c>
      <c r="D54" s="316" t="s">
        <v>1973</v>
      </c>
      <c r="E54" s="317" t="s">
        <v>1973</v>
      </c>
      <c r="F54" s="318">
        <v>1</v>
      </c>
      <c r="G54" s="354" t="s">
        <v>97</v>
      </c>
      <c r="H54" s="320">
        <v>14600</v>
      </c>
      <c r="I54" s="319" t="b">
        <v>0</v>
      </c>
      <c r="J54" s="372"/>
      <c r="K54" s="373" t="s">
        <v>1973</v>
      </c>
      <c r="L54" s="374" t="e">
        <f t="shared" si="1"/>
        <v>#VALUE!</v>
      </c>
      <c r="M54" s="325"/>
      <c r="N54" s="416"/>
    </row>
    <row r="55" spans="1:14" ht="13">
      <c r="A55" s="316" t="s">
        <v>1670</v>
      </c>
      <c r="B55" s="316" t="s">
        <v>1973</v>
      </c>
      <c r="C55" s="316" t="s">
        <v>1973</v>
      </c>
      <c r="D55" s="316" t="s">
        <v>1973</v>
      </c>
      <c r="E55" s="317" t="s">
        <v>1973</v>
      </c>
      <c r="F55" s="318">
        <v>1</v>
      </c>
      <c r="G55" s="354" t="s">
        <v>62</v>
      </c>
      <c r="H55" s="320">
        <v>11500</v>
      </c>
      <c r="I55" s="321" t="b">
        <v>1</v>
      </c>
      <c r="J55" s="322">
        <v>1</v>
      </c>
      <c r="K55" s="323">
        <v>10200</v>
      </c>
      <c r="L55" s="380">
        <f t="shared" si="1"/>
        <v>10200</v>
      </c>
      <c r="M55" s="325" t="s">
        <v>1907</v>
      </c>
      <c r="N55" s="416"/>
    </row>
    <row r="56" spans="1:14" ht="13">
      <c r="A56" s="316" t="s">
        <v>1607</v>
      </c>
      <c r="B56" s="316" t="s">
        <v>1973</v>
      </c>
      <c r="C56" s="316" t="s">
        <v>1973</v>
      </c>
      <c r="D56" s="316" t="s">
        <v>1973</v>
      </c>
      <c r="E56" s="317" t="s">
        <v>1973</v>
      </c>
      <c r="F56" s="318">
        <v>1</v>
      </c>
      <c r="G56" s="354" t="s">
        <v>62</v>
      </c>
      <c r="H56" s="320">
        <v>11500</v>
      </c>
      <c r="I56" s="321" t="b">
        <v>1</v>
      </c>
      <c r="J56" s="322">
        <v>0.214</v>
      </c>
      <c r="K56" s="323">
        <v>35000</v>
      </c>
      <c r="L56" s="370">
        <f t="shared" si="1"/>
        <v>7490</v>
      </c>
      <c r="M56" s="325" t="s">
        <v>1908</v>
      </c>
      <c r="N56" s="416"/>
    </row>
    <row r="57" spans="1:14" ht="13">
      <c r="A57" s="316" t="s">
        <v>919</v>
      </c>
      <c r="B57" s="316" t="s">
        <v>1973</v>
      </c>
      <c r="C57" s="316" t="s">
        <v>1973</v>
      </c>
      <c r="D57" s="316" t="s">
        <v>1973</v>
      </c>
      <c r="E57" s="317" t="s">
        <v>1973</v>
      </c>
      <c r="F57" s="318">
        <v>3</v>
      </c>
      <c r="G57" s="354" t="s">
        <v>62</v>
      </c>
      <c r="H57" s="320">
        <v>29700</v>
      </c>
      <c r="I57" s="321" t="b">
        <v>1</v>
      </c>
      <c r="J57" s="322">
        <v>3</v>
      </c>
      <c r="K57" s="323">
        <v>8800</v>
      </c>
      <c r="L57" s="380">
        <f t="shared" si="1"/>
        <v>26400</v>
      </c>
      <c r="M57" s="325" t="s">
        <v>1893</v>
      </c>
      <c r="N57" s="416"/>
    </row>
    <row r="58" spans="1:14" ht="13">
      <c r="A58" s="316" t="s">
        <v>937</v>
      </c>
      <c r="B58" s="316" t="s">
        <v>1973</v>
      </c>
      <c r="C58" s="316" t="s">
        <v>1973</v>
      </c>
      <c r="D58" s="316" t="s">
        <v>1973</v>
      </c>
      <c r="E58" s="317" t="s">
        <v>1973</v>
      </c>
      <c r="F58" s="318">
        <v>2</v>
      </c>
      <c r="G58" s="354" t="s">
        <v>62</v>
      </c>
      <c r="H58" s="320">
        <v>14400</v>
      </c>
      <c r="I58" s="319" t="b">
        <v>0</v>
      </c>
      <c r="J58" s="372"/>
      <c r="K58" s="373" t="e">
        <f>VLOOKUP($A58,'[1]Database Bahan &amp; Alat (Terupdat'!$B$50:$N$232,6,FALSE)</f>
        <v>#N/A</v>
      </c>
      <c r="L58" s="374" t="e">
        <f t="shared" si="1"/>
        <v>#N/A</v>
      </c>
      <c r="M58" s="325"/>
      <c r="N58" s="416"/>
    </row>
    <row r="59" spans="1:14" ht="13">
      <c r="A59" s="18" t="s">
        <v>1609</v>
      </c>
      <c r="B59" s="316" t="s">
        <v>1973</v>
      </c>
      <c r="C59" s="316" t="s">
        <v>1973</v>
      </c>
      <c r="D59" s="316" t="s">
        <v>1973</v>
      </c>
      <c r="E59" s="317" t="s">
        <v>1973</v>
      </c>
      <c r="F59" s="318">
        <v>4</v>
      </c>
      <c r="G59" s="354" t="s">
        <v>36</v>
      </c>
      <c r="H59" s="320">
        <v>80000</v>
      </c>
      <c r="I59" s="321" t="b">
        <v>1</v>
      </c>
      <c r="J59" s="322">
        <v>3</v>
      </c>
      <c r="K59" s="323">
        <v>40000</v>
      </c>
      <c r="L59" s="370">
        <f t="shared" si="1"/>
        <v>120000</v>
      </c>
      <c r="M59" s="325" t="s">
        <v>1909</v>
      </c>
      <c r="N59" s="416"/>
    </row>
    <row r="60" spans="1:14" ht="13">
      <c r="A60" s="18" t="s">
        <v>1094</v>
      </c>
      <c r="B60" s="316" t="s">
        <v>1973</v>
      </c>
      <c r="C60" s="316" t="s">
        <v>1973</v>
      </c>
      <c r="D60" s="316" t="s">
        <v>1973</v>
      </c>
      <c r="E60" s="317" t="s">
        <v>1973</v>
      </c>
      <c r="F60" s="318">
        <v>1</v>
      </c>
      <c r="G60" s="354" t="s">
        <v>62</v>
      </c>
      <c r="H60" s="320">
        <v>17600</v>
      </c>
      <c r="I60" s="319" t="b">
        <v>0</v>
      </c>
      <c r="J60" s="372"/>
      <c r="K60" s="373" t="s">
        <v>1973</v>
      </c>
      <c r="L60" s="374" t="e">
        <f t="shared" si="1"/>
        <v>#VALUE!</v>
      </c>
      <c r="M60" s="325"/>
      <c r="N60" s="416"/>
    </row>
    <row r="61" spans="1:14" ht="13">
      <c r="A61" s="18" t="s">
        <v>1101</v>
      </c>
      <c r="B61" s="316" t="s">
        <v>1973</v>
      </c>
      <c r="C61" s="316" t="s">
        <v>1973</v>
      </c>
      <c r="D61" s="316" t="s">
        <v>1973</v>
      </c>
      <c r="E61" s="317" t="s">
        <v>1973</v>
      </c>
      <c r="F61" s="318">
        <v>1</v>
      </c>
      <c r="G61" s="354" t="s">
        <v>62</v>
      </c>
      <c r="H61" s="320">
        <v>16100</v>
      </c>
      <c r="I61" s="319" t="b">
        <v>0</v>
      </c>
      <c r="J61" s="372"/>
      <c r="K61" s="373" t="s">
        <v>1973</v>
      </c>
      <c r="L61" s="374" t="e">
        <f t="shared" si="1"/>
        <v>#VALUE!</v>
      </c>
      <c r="M61" s="325"/>
      <c r="N61" s="416"/>
    </row>
    <row r="62" spans="1:14" ht="13">
      <c r="A62" s="316" t="s">
        <v>578</v>
      </c>
      <c r="B62" s="316" t="s">
        <v>1973</v>
      </c>
      <c r="C62" s="316" t="s">
        <v>1973</v>
      </c>
      <c r="D62" s="316" t="s">
        <v>1973</v>
      </c>
      <c r="E62" s="317" t="s">
        <v>1973</v>
      </c>
      <c r="F62" s="318">
        <v>1</v>
      </c>
      <c r="G62" s="354" t="s">
        <v>62</v>
      </c>
      <c r="H62" s="320">
        <v>220000</v>
      </c>
      <c r="I62" s="319" t="b">
        <v>0</v>
      </c>
      <c r="J62" s="372"/>
      <c r="K62" s="373" t="s">
        <v>1973</v>
      </c>
      <c r="L62" s="374" t="e">
        <f t="shared" si="1"/>
        <v>#VALUE!</v>
      </c>
      <c r="M62" s="325"/>
      <c r="N62" s="416"/>
    </row>
    <row r="63" spans="1:14" ht="13">
      <c r="A63" s="316" t="s">
        <v>967</v>
      </c>
      <c r="B63" s="316" t="s">
        <v>1973</v>
      </c>
      <c r="C63" s="316" t="s">
        <v>1973</v>
      </c>
      <c r="D63" s="316" t="s">
        <v>1973</v>
      </c>
      <c r="E63" s="317" t="s">
        <v>1973</v>
      </c>
      <c r="F63" s="318">
        <v>1</v>
      </c>
      <c r="G63" s="354" t="s">
        <v>97</v>
      </c>
      <c r="H63" s="320">
        <v>129000</v>
      </c>
      <c r="I63" s="319" t="b">
        <v>0</v>
      </c>
      <c r="J63" s="372"/>
      <c r="K63" s="373" t="s">
        <v>1973</v>
      </c>
      <c r="L63" s="374" t="e">
        <f t="shared" si="1"/>
        <v>#VALUE!</v>
      </c>
      <c r="M63" s="325"/>
      <c r="N63" s="416"/>
    </row>
    <row r="64" spans="1:14" ht="13">
      <c r="A64" s="316" t="s">
        <v>1503</v>
      </c>
      <c r="B64" s="316" t="s">
        <v>1973</v>
      </c>
      <c r="C64" s="316" t="s">
        <v>1973</v>
      </c>
      <c r="D64" s="316" t="s">
        <v>1973</v>
      </c>
      <c r="E64" s="317" t="s">
        <v>1973</v>
      </c>
      <c r="F64" s="318">
        <v>1</v>
      </c>
      <c r="G64" s="354" t="s">
        <v>97</v>
      </c>
      <c r="H64" s="320">
        <v>128700</v>
      </c>
      <c r="I64" s="319" t="b">
        <v>0</v>
      </c>
      <c r="J64" s="376"/>
      <c r="K64" s="377" t="s">
        <v>1973</v>
      </c>
      <c r="L64" s="378" t="e">
        <f t="shared" si="1"/>
        <v>#VALUE!</v>
      </c>
      <c r="M64" s="325"/>
      <c r="N64" s="416"/>
    </row>
    <row r="65" spans="1:14" ht="13">
      <c r="A65" s="316" t="s">
        <v>1506</v>
      </c>
      <c r="B65" s="316" t="s">
        <v>1973</v>
      </c>
      <c r="C65" s="316" t="s">
        <v>1973</v>
      </c>
      <c r="D65" s="316" t="s">
        <v>1973</v>
      </c>
      <c r="E65" s="317" t="s">
        <v>1973</v>
      </c>
      <c r="F65" s="318">
        <v>2</v>
      </c>
      <c r="G65" s="354" t="s">
        <v>97</v>
      </c>
      <c r="H65" s="320">
        <v>257400</v>
      </c>
      <c r="I65" s="319" t="b">
        <v>0</v>
      </c>
      <c r="J65" s="376"/>
      <c r="K65" s="377" t="s">
        <v>1973</v>
      </c>
      <c r="L65" s="378" t="e">
        <f t="shared" si="1"/>
        <v>#VALUE!</v>
      </c>
      <c r="M65" s="325"/>
      <c r="N65" s="416"/>
    </row>
    <row r="66" spans="1:14" ht="13">
      <c r="A66" s="316" t="s">
        <v>976</v>
      </c>
      <c r="B66" s="316" t="s">
        <v>1973</v>
      </c>
      <c r="C66" s="316" t="s">
        <v>1973</v>
      </c>
      <c r="D66" s="316" t="s">
        <v>1973</v>
      </c>
      <c r="E66" s="317" t="s">
        <v>1973</v>
      </c>
      <c r="F66" s="318">
        <v>2</v>
      </c>
      <c r="G66" s="354" t="s">
        <v>62</v>
      </c>
      <c r="H66" s="320">
        <v>50000</v>
      </c>
      <c r="I66" s="321" t="b">
        <v>1</v>
      </c>
      <c r="J66" s="322">
        <v>2</v>
      </c>
      <c r="K66" s="323" t="s">
        <v>1973</v>
      </c>
      <c r="L66" s="371" t="e">
        <f t="shared" si="1"/>
        <v>#VALUE!</v>
      </c>
      <c r="M66" s="325"/>
      <c r="N66" s="416"/>
    </row>
    <row r="67" spans="1:14" ht="13">
      <c r="A67" s="316" t="s">
        <v>1696</v>
      </c>
      <c r="B67" s="316" t="s">
        <v>1973</v>
      </c>
      <c r="C67" s="316" t="s">
        <v>1973</v>
      </c>
      <c r="D67" s="316" t="s">
        <v>1973</v>
      </c>
      <c r="E67" s="317" t="s">
        <v>1973</v>
      </c>
      <c r="F67" s="318">
        <v>1</v>
      </c>
      <c r="G67" s="354" t="s">
        <v>62</v>
      </c>
      <c r="H67" s="320">
        <v>15000</v>
      </c>
      <c r="I67" s="321" t="b">
        <v>1</v>
      </c>
      <c r="J67" s="322">
        <v>1</v>
      </c>
      <c r="K67" s="323">
        <v>16000</v>
      </c>
      <c r="L67" s="379">
        <f t="shared" si="1"/>
        <v>16000</v>
      </c>
      <c r="M67" s="325" t="s">
        <v>1714</v>
      </c>
      <c r="N67" s="416"/>
    </row>
    <row r="68" spans="1:14" ht="13">
      <c r="A68" s="316" t="s">
        <v>1697</v>
      </c>
      <c r="B68" s="316" t="s">
        <v>1973</v>
      </c>
      <c r="C68" s="316" t="s">
        <v>1973</v>
      </c>
      <c r="D68" s="316" t="s">
        <v>1973</v>
      </c>
      <c r="E68" s="317" t="s">
        <v>1973</v>
      </c>
      <c r="F68" s="318">
        <v>1</v>
      </c>
      <c r="G68" s="354" t="s">
        <v>62</v>
      </c>
      <c r="H68" s="320">
        <v>12500</v>
      </c>
      <c r="I68" s="321" t="b">
        <v>1</v>
      </c>
      <c r="J68" s="322">
        <v>1</v>
      </c>
      <c r="K68" s="323" t="e">
        <f>VLOOKUP($A68,'[1]Database Bahan &amp; Alat (Terupdat'!$B$50:$N$232,6,FALSE)</f>
        <v>#N/A</v>
      </c>
      <c r="L68" s="380">
        <v>12000</v>
      </c>
      <c r="M68" s="325" t="s">
        <v>1719</v>
      </c>
      <c r="N68" s="416"/>
    </row>
    <row r="69" spans="1:14" ht="13">
      <c r="A69" s="316" t="s">
        <v>1030</v>
      </c>
      <c r="B69" s="316" t="s">
        <v>1973</v>
      </c>
      <c r="C69" s="316" t="s">
        <v>1973</v>
      </c>
      <c r="D69" s="316" t="s">
        <v>1973</v>
      </c>
      <c r="E69" s="317" t="s">
        <v>1973</v>
      </c>
      <c r="F69" s="318">
        <v>1</v>
      </c>
      <c r="G69" s="354" t="s">
        <v>62</v>
      </c>
      <c r="H69" s="320">
        <v>19000</v>
      </c>
      <c r="I69" s="321" t="b">
        <v>1</v>
      </c>
      <c r="J69" s="322">
        <v>1</v>
      </c>
      <c r="K69" s="323">
        <v>5000</v>
      </c>
      <c r="L69" s="380">
        <f t="shared" ref="L69:L128" si="2">J69*K69</f>
        <v>5000</v>
      </c>
      <c r="M69" s="325" t="s">
        <v>1910</v>
      </c>
      <c r="N69" s="416"/>
    </row>
    <row r="70" spans="1:14" ht="13">
      <c r="A70" s="316" t="s">
        <v>1033</v>
      </c>
      <c r="B70" s="316" t="s">
        <v>1973</v>
      </c>
      <c r="C70" s="316" t="s">
        <v>1973</v>
      </c>
      <c r="D70" s="316" t="s">
        <v>1973</v>
      </c>
      <c r="E70" s="317" t="s">
        <v>1973</v>
      </c>
      <c r="F70" s="318">
        <v>1</v>
      </c>
      <c r="G70" s="354" t="s">
        <v>62</v>
      </c>
      <c r="H70" s="320">
        <v>19000</v>
      </c>
      <c r="I70" s="321" t="b">
        <v>1</v>
      </c>
      <c r="J70" s="322">
        <v>1</v>
      </c>
      <c r="K70" s="323">
        <v>5000</v>
      </c>
      <c r="L70" s="380">
        <f t="shared" si="2"/>
        <v>5000</v>
      </c>
      <c r="M70" s="325" t="s">
        <v>1910</v>
      </c>
      <c r="N70" s="416"/>
    </row>
    <row r="71" spans="1:14" ht="13">
      <c r="A71" s="18" t="s">
        <v>1096</v>
      </c>
      <c r="B71" s="316" t="s">
        <v>1973</v>
      </c>
      <c r="C71" s="316" t="s">
        <v>1973</v>
      </c>
      <c r="D71" s="316" t="s">
        <v>1973</v>
      </c>
      <c r="E71" s="317" t="s">
        <v>1973</v>
      </c>
      <c r="F71" s="318">
        <v>1</v>
      </c>
      <c r="G71" s="354" t="s">
        <v>62</v>
      </c>
      <c r="H71" s="320">
        <v>9100</v>
      </c>
      <c r="I71" s="321" t="b">
        <v>1</v>
      </c>
      <c r="J71" s="322">
        <v>1</v>
      </c>
      <c r="K71" s="323" t="s">
        <v>1973</v>
      </c>
      <c r="L71" s="371" t="e">
        <f t="shared" si="2"/>
        <v>#VALUE!</v>
      </c>
      <c r="M71" s="325"/>
      <c r="N71" s="416"/>
    </row>
    <row r="72" spans="1:14" ht="13">
      <c r="A72" s="316" t="s">
        <v>631</v>
      </c>
      <c r="B72" s="316" t="s">
        <v>1973</v>
      </c>
      <c r="C72" s="316" t="s">
        <v>1973</v>
      </c>
      <c r="D72" s="316" t="s">
        <v>1973</v>
      </c>
      <c r="E72" s="317" t="s">
        <v>1973</v>
      </c>
      <c r="F72" s="318">
        <v>1</v>
      </c>
      <c r="G72" s="354" t="s">
        <v>36</v>
      </c>
      <c r="H72" s="320">
        <v>16000</v>
      </c>
      <c r="I72" s="321" t="b">
        <v>1</v>
      </c>
      <c r="J72" s="322">
        <v>1</v>
      </c>
      <c r="K72" s="323" t="s">
        <v>1973</v>
      </c>
      <c r="L72" s="371" t="e">
        <f t="shared" si="2"/>
        <v>#VALUE!</v>
      </c>
      <c r="M72" s="325"/>
      <c r="N72" s="416"/>
    </row>
    <row r="73" spans="1:14" ht="13">
      <c r="A73" s="316" t="s">
        <v>639</v>
      </c>
      <c r="B73" s="316" t="s">
        <v>1973</v>
      </c>
      <c r="C73" s="316" t="s">
        <v>1973</v>
      </c>
      <c r="D73" s="316" t="s">
        <v>1973</v>
      </c>
      <c r="E73" s="317" t="s">
        <v>1973</v>
      </c>
      <c r="F73" s="318">
        <v>1</v>
      </c>
      <c r="G73" s="354" t="s">
        <v>36</v>
      </c>
      <c r="H73" s="320">
        <v>125000</v>
      </c>
      <c r="I73" s="321" t="b">
        <v>1</v>
      </c>
      <c r="J73" s="322">
        <v>1.3</v>
      </c>
      <c r="K73" s="323" t="s">
        <v>1973</v>
      </c>
      <c r="L73" s="370" t="e">
        <f t="shared" si="2"/>
        <v>#VALUE!</v>
      </c>
      <c r="M73" s="325" t="s">
        <v>1895</v>
      </c>
      <c r="N73" s="416"/>
    </row>
    <row r="74" spans="1:14" ht="13">
      <c r="A74" s="316" t="s">
        <v>1610</v>
      </c>
      <c r="B74" s="316" t="s">
        <v>1973</v>
      </c>
      <c r="C74" s="316" t="s">
        <v>1973</v>
      </c>
      <c r="D74" s="316" t="s">
        <v>1973</v>
      </c>
      <c r="E74" s="317" t="s">
        <v>1973</v>
      </c>
      <c r="F74" s="318">
        <v>1</v>
      </c>
      <c r="G74" s="354" t="s">
        <v>36</v>
      </c>
      <c r="H74" s="320">
        <v>10000</v>
      </c>
      <c r="I74" s="321" t="b">
        <v>1</v>
      </c>
      <c r="J74" s="322">
        <v>1</v>
      </c>
      <c r="K74" s="323" t="s">
        <v>1973</v>
      </c>
      <c r="L74" s="371" t="e">
        <f t="shared" si="2"/>
        <v>#VALUE!</v>
      </c>
      <c r="M74" s="325"/>
      <c r="N74" s="416"/>
    </row>
    <row r="75" spans="1:14" ht="13">
      <c r="A75" s="316" t="s">
        <v>1611</v>
      </c>
      <c r="B75" s="316" t="s">
        <v>1973</v>
      </c>
      <c r="C75" s="316" t="s">
        <v>1973</v>
      </c>
      <c r="D75" s="316" t="s">
        <v>1973</v>
      </c>
      <c r="E75" s="317" t="s">
        <v>1973</v>
      </c>
      <c r="F75" s="318">
        <v>2</v>
      </c>
      <c r="G75" s="354" t="s">
        <v>36</v>
      </c>
      <c r="H75" s="320">
        <v>100000</v>
      </c>
      <c r="I75" s="321" t="b">
        <v>1</v>
      </c>
      <c r="J75" s="322">
        <v>2</v>
      </c>
      <c r="K75" s="323">
        <v>44000</v>
      </c>
      <c r="L75" s="380">
        <f t="shared" si="2"/>
        <v>88000</v>
      </c>
      <c r="M75" s="325" t="s">
        <v>1911</v>
      </c>
      <c r="N75" s="416"/>
    </row>
    <row r="76" spans="1:14" ht="13">
      <c r="A76" s="316" t="s">
        <v>1612</v>
      </c>
      <c r="B76" s="316" t="s">
        <v>1973</v>
      </c>
      <c r="C76" s="316" t="s">
        <v>1973</v>
      </c>
      <c r="D76" s="316" t="s">
        <v>1973</v>
      </c>
      <c r="E76" s="317" t="s">
        <v>1973</v>
      </c>
      <c r="F76" s="318">
        <v>4</v>
      </c>
      <c r="G76" s="354" t="s">
        <v>36</v>
      </c>
      <c r="H76" s="320">
        <v>100000</v>
      </c>
      <c r="I76" s="321" t="b">
        <v>1</v>
      </c>
      <c r="J76" s="322">
        <v>4</v>
      </c>
      <c r="K76" s="323" t="s">
        <v>1973</v>
      </c>
      <c r="L76" s="371" t="e">
        <f t="shared" si="2"/>
        <v>#VALUE!</v>
      </c>
      <c r="M76" s="325"/>
      <c r="N76" s="416"/>
    </row>
    <row r="77" spans="1:14" ht="13">
      <c r="A77" s="316" t="s">
        <v>675</v>
      </c>
      <c r="B77" s="316" t="s">
        <v>1973</v>
      </c>
      <c r="C77" s="316" t="s">
        <v>1973</v>
      </c>
      <c r="D77" s="316" t="s">
        <v>1973</v>
      </c>
      <c r="E77" s="317" t="s">
        <v>1973</v>
      </c>
      <c r="F77" s="318">
        <v>2</v>
      </c>
      <c r="G77" s="354" t="s">
        <v>62</v>
      </c>
      <c r="H77" s="320">
        <v>9000</v>
      </c>
      <c r="I77" s="321" t="b">
        <v>1</v>
      </c>
      <c r="J77" s="322">
        <v>2</v>
      </c>
      <c r="K77" s="323" t="s">
        <v>1973</v>
      </c>
      <c r="L77" s="371" t="e">
        <f t="shared" si="2"/>
        <v>#VALUE!</v>
      </c>
      <c r="M77" s="325"/>
      <c r="N77" s="416"/>
    </row>
    <row r="78" spans="1:14" ht="13">
      <c r="A78" s="316" t="s">
        <v>732</v>
      </c>
      <c r="B78" s="316" t="s">
        <v>1973</v>
      </c>
      <c r="C78" s="316" t="s">
        <v>1973</v>
      </c>
      <c r="D78" s="316" t="s">
        <v>1973</v>
      </c>
      <c r="E78" s="317" t="s">
        <v>1973</v>
      </c>
      <c r="F78" s="318">
        <v>1</v>
      </c>
      <c r="G78" s="354" t="s">
        <v>36</v>
      </c>
      <c r="H78" s="320">
        <v>26000</v>
      </c>
      <c r="I78" s="321" t="b">
        <v>1</v>
      </c>
      <c r="J78" s="322">
        <v>1</v>
      </c>
      <c r="K78" s="323">
        <v>28000</v>
      </c>
      <c r="L78" s="379">
        <f t="shared" si="2"/>
        <v>28000</v>
      </c>
      <c r="M78" s="325" t="s">
        <v>1715</v>
      </c>
      <c r="N78" s="416"/>
    </row>
    <row r="79" spans="1:14" ht="13">
      <c r="A79" s="316" t="s">
        <v>744</v>
      </c>
      <c r="B79" s="316" t="s">
        <v>1973</v>
      </c>
      <c r="C79" s="316" t="s">
        <v>1973</v>
      </c>
      <c r="D79" s="316" t="s">
        <v>1973</v>
      </c>
      <c r="E79" s="317" t="s">
        <v>1973</v>
      </c>
      <c r="F79" s="318">
        <v>0.5</v>
      </c>
      <c r="G79" s="354" t="s">
        <v>36</v>
      </c>
      <c r="H79" s="320">
        <v>35000</v>
      </c>
      <c r="I79" s="321" t="b">
        <v>1</v>
      </c>
      <c r="J79" s="322">
        <v>0.5</v>
      </c>
      <c r="K79" s="323" t="s">
        <v>1973</v>
      </c>
      <c r="L79" s="371" t="e">
        <f t="shared" si="2"/>
        <v>#VALUE!</v>
      </c>
      <c r="M79" s="325"/>
      <c r="N79" s="416"/>
    </row>
    <row r="80" spans="1:14" ht="13">
      <c r="A80" s="316" t="s">
        <v>752</v>
      </c>
      <c r="B80" s="316" t="s">
        <v>1973</v>
      </c>
      <c r="C80" s="316" t="s">
        <v>1973</v>
      </c>
      <c r="D80" s="316" t="s">
        <v>1973</v>
      </c>
      <c r="E80" s="317" t="s">
        <v>1973</v>
      </c>
      <c r="F80" s="318">
        <v>1</v>
      </c>
      <c r="G80" s="354" t="s">
        <v>62</v>
      </c>
      <c r="H80" s="320">
        <v>36000</v>
      </c>
      <c r="I80" s="321" t="b">
        <v>1</v>
      </c>
      <c r="J80" s="322">
        <v>1</v>
      </c>
      <c r="K80" s="323" t="s">
        <v>1973</v>
      </c>
      <c r="L80" s="371" t="e">
        <f t="shared" si="2"/>
        <v>#VALUE!</v>
      </c>
      <c r="M80" s="325"/>
      <c r="N80" s="416"/>
    </row>
    <row r="81" spans="1:14" ht="13">
      <c r="A81" s="316" t="s">
        <v>767</v>
      </c>
      <c r="B81" s="316" t="s">
        <v>1973</v>
      </c>
      <c r="C81" s="316" t="s">
        <v>1973</v>
      </c>
      <c r="D81" s="316" t="s">
        <v>1973</v>
      </c>
      <c r="E81" s="317" t="s">
        <v>1973</v>
      </c>
      <c r="F81" s="318">
        <v>5</v>
      </c>
      <c r="G81" s="354" t="s">
        <v>62</v>
      </c>
      <c r="H81" s="320">
        <v>100000</v>
      </c>
      <c r="I81" s="321" t="b">
        <v>1</v>
      </c>
      <c r="J81" s="322">
        <v>5</v>
      </c>
      <c r="K81" s="323" t="s">
        <v>1973</v>
      </c>
      <c r="L81" s="371" t="e">
        <f t="shared" si="2"/>
        <v>#VALUE!</v>
      </c>
      <c r="M81" s="325"/>
      <c r="N81" s="416"/>
    </row>
    <row r="82" spans="1:14" ht="13">
      <c r="A82" s="316" t="s">
        <v>1700</v>
      </c>
      <c r="B82" s="316" t="s">
        <v>1973</v>
      </c>
      <c r="C82" s="316" t="s">
        <v>1973</v>
      </c>
      <c r="D82" s="316" t="s">
        <v>1973</v>
      </c>
      <c r="E82" s="317" t="s">
        <v>1973</v>
      </c>
      <c r="F82" s="318">
        <v>11</v>
      </c>
      <c r="G82" s="354" t="s">
        <v>62</v>
      </c>
      <c r="H82" s="320">
        <v>165000</v>
      </c>
      <c r="I82" s="321" t="b">
        <v>1</v>
      </c>
      <c r="J82" s="322">
        <v>11</v>
      </c>
      <c r="K82" s="323" t="s">
        <v>1973</v>
      </c>
      <c r="L82" s="371" t="e">
        <f t="shared" si="2"/>
        <v>#VALUE!</v>
      </c>
      <c r="M82" s="325"/>
      <c r="N82" s="416"/>
    </row>
    <row r="83" spans="1:14" ht="13">
      <c r="A83" s="316" t="s">
        <v>1601</v>
      </c>
      <c r="B83" s="316" t="s">
        <v>1973</v>
      </c>
      <c r="C83" s="316" t="s">
        <v>1973</v>
      </c>
      <c r="D83" s="316" t="s">
        <v>1973</v>
      </c>
      <c r="E83" s="317" t="s">
        <v>1973</v>
      </c>
      <c r="F83" s="318">
        <v>1</v>
      </c>
      <c r="G83" s="354" t="s">
        <v>97</v>
      </c>
      <c r="H83" s="320">
        <v>21000</v>
      </c>
      <c r="I83" s="321" t="b">
        <v>1</v>
      </c>
      <c r="J83" s="322">
        <v>1</v>
      </c>
      <c r="K83" s="323" t="s">
        <v>1973</v>
      </c>
      <c r="L83" s="371" t="e">
        <f t="shared" si="2"/>
        <v>#VALUE!</v>
      </c>
      <c r="M83" s="325"/>
      <c r="N83" s="416"/>
    </row>
    <row r="84" spans="1:14" ht="13">
      <c r="A84" s="316" t="s">
        <v>795</v>
      </c>
      <c r="B84" s="316" t="s">
        <v>1973</v>
      </c>
      <c r="C84" s="316" t="s">
        <v>1973</v>
      </c>
      <c r="D84" s="316" t="s">
        <v>1973</v>
      </c>
      <c r="E84" s="317" t="s">
        <v>1973</v>
      </c>
      <c r="F84" s="318">
        <v>3</v>
      </c>
      <c r="G84" s="354" t="s">
        <v>62</v>
      </c>
      <c r="H84" s="320">
        <v>15000</v>
      </c>
      <c r="I84" s="321" t="b">
        <v>1</v>
      </c>
      <c r="J84" s="322">
        <v>3</v>
      </c>
      <c r="K84" s="323" t="s">
        <v>1973</v>
      </c>
      <c r="L84" s="371" t="e">
        <f t="shared" si="2"/>
        <v>#VALUE!</v>
      </c>
      <c r="M84" s="325"/>
      <c r="N84" s="416"/>
    </row>
    <row r="85" spans="1:14" ht="13">
      <c r="A85" s="316" t="s">
        <v>819</v>
      </c>
      <c r="B85" s="316" t="s">
        <v>1973</v>
      </c>
      <c r="C85" s="316" t="s">
        <v>1973</v>
      </c>
      <c r="D85" s="316" t="s">
        <v>1973</v>
      </c>
      <c r="E85" s="317" t="s">
        <v>1973</v>
      </c>
      <c r="F85" s="318">
        <v>0.25</v>
      </c>
      <c r="G85" s="354" t="s">
        <v>36</v>
      </c>
      <c r="H85" s="320">
        <v>5000</v>
      </c>
      <c r="I85" s="321" t="b">
        <v>1</v>
      </c>
      <c r="J85" s="322">
        <v>0.25</v>
      </c>
      <c r="K85" s="323">
        <v>16000</v>
      </c>
      <c r="L85" s="380">
        <f t="shared" si="2"/>
        <v>4000</v>
      </c>
      <c r="M85" s="325" t="s">
        <v>1723</v>
      </c>
      <c r="N85" s="416"/>
    </row>
    <row r="86" spans="1:14" ht="13">
      <c r="A86" s="316" t="s">
        <v>823</v>
      </c>
      <c r="B86" s="316" t="s">
        <v>1973</v>
      </c>
      <c r="C86" s="316" t="s">
        <v>1973</v>
      </c>
      <c r="D86" s="316" t="s">
        <v>1973</v>
      </c>
      <c r="E86" s="317" t="s">
        <v>1973</v>
      </c>
      <c r="F86" s="318">
        <v>1</v>
      </c>
      <c r="G86" s="354" t="s">
        <v>97</v>
      </c>
      <c r="H86" s="320">
        <v>15000</v>
      </c>
      <c r="I86" s="321" t="b">
        <v>1</v>
      </c>
      <c r="J86" s="322">
        <v>1</v>
      </c>
      <c r="K86" s="323">
        <v>14000</v>
      </c>
      <c r="L86" s="380">
        <f t="shared" si="2"/>
        <v>14000</v>
      </c>
      <c r="M86" s="325" t="s">
        <v>1723</v>
      </c>
      <c r="N86" s="416"/>
    </row>
    <row r="87" spans="1:14" ht="13">
      <c r="A87" s="316" t="s">
        <v>1701</v>
      </c>
      <c r="B87" s="316" t="s">
        <v>1973</v>
      </c>
      <c r="C87" s="316" t="s">
        <v>1973</v>
      </c>
      <c r="D87" s="316" t="s">
        <v>1973</v>
      </c>
      <c r="E87" s="317" t="s">
        <v>1973</v>
      </c>
      <c r="F87" s="318">
        <v>1.25</v>
      </c>
      <c r="G87" s="354" t="s">
        <v>36</v>
      </c>
      <c r="H87" s="320">
        <v>22500</v>
      </c>
      <c r="I87" s="321" t="b">
        <v>1</v>
      </c>
      <c r="J87" s="322">
        <v>1</v>
      </c>
      <c r="K87" s="323" t="s">
        <v>1973</v>
      </c>
      <c r="L87" s="370" t="e">
        <f t="shared" si="2"/>
        <v>#VALUE!</v>
      </c>
      <c r="M87" s="325" t="s">
        <v>1912</v>
      </c>
      <c r="N87" s="416"/>
    </row>
    <row r="88" spans="1:14" ht="13">
      <c r="A88" s="316" t="s">
        <v>1501</v>
      </c>
      <c r="B88" s="316" t="s">
        <v>1973</v>
      </c>
      <c r="C88" s="316" t="s">
        <v>1973</v>
      </c>
      <c r="D88" s="316" t="s">
        <v>1973</v>
      </c>
      <c r="E88" s="317" t="s">
        <v>1973</v>
      </c>
      <c r="F88" s="318">
        <v>0.75</v>
      </c>
      <c r="G88" s="354" t="s">
        <v>36</v>
      </c>
      <c r="H88" s="320">
        <v>22500</v>
      </c>
      <c r="I88" s="321" t="b">
        <v>1</v>
      </c>
      <c r="J88" s="322">
        <f>0.206+0.256</f>
        <v>0.46199999999999997</v>
      </c>
      <c r="K88" s="323" t="s">
        <v>1973</v>
      </c>
      <c r="L88" s="370" t="e">
        <f t="shared" si="2"/>
        <v>#VALUE!</v>
      </c>
      <c r="M88" s="325" t="s">
        <v>1913</v>
      </c>
      <c r="N88" s="416"/>
    </row>
    <row r="89" spans="1:14" ht="13">
      <c r="A89" s="316" t="s">
        <v>1608</v>
      </c>
      <c r="B89" s="316" t="s">
        <v>1973</v>
      </c>
      <c r="C89" s="316" t="s">
        <v>1973</v>
      </c>
      <c r="D89" s="316" t="s">
        <v>1973</v>
      </c>
      <c r="E89" s="317" t="s">
        <v>1973</v>
      </c>
      <c r="F89" s="318">
        <v>1</v>
      </c>
      <c r="G89" s="354" t="s">
        <v>36</v>
      </c>
      <c r="H89" s="320">
        <v>44000</v>
      </c>
      <c r="I89" s="321" t="b">
        <v>1</v>
      </c>
      <c r="J89" s="322">
        <v>1</v>
      </c>
      <c r="K89" s="323" t="s">
        <v>1973</v>
      </c>
      <c r="L89" s="371" t="e">
        <f t="shared" si="2"/>
        <v>#VALUE!</v>
      </c>
      <c r="M89" s="325"/>
      <c r="N89" s="416"/>
    </row>
    <row r="90" spans="1:14" ht="13">
      <c r="A90" s="316" t="s">
        <v>931</v>
      </c>
      <c r="B90" s="316" t="s">
        <v>1973</v>
      </c>
      <c r="C90" s="316" t="s">
        <v>1973</v>
      </c>
      <c r="D90" s="316" t="s">
        <v>1973</v>
      </c>
      <c r="E90" s="317" t="s">
        <v>1973</v>
      </c>
      <c r="F90" s="318">
        <v>0.5</v>
      </c>
      <c r="G90" s="354" t="s">
        <v>36</v>
      </c>
      <c r="H90" s="320">
        <v>10000</v>
      </c>
      <c r="I90" s="321" t="b">
        <v>1</v>
      </c>
      <c r="J90" s="322">
        <v>0.5</v>
      </c>
      <c r="K90" s="323" t="s">
        <v>1973</v>
      </c>
      <c r="L90" s="371" t="e">
        <f t="shared" si="2"/>
        <v>#VALUE!</v>
      </c>
      <c r="M90" s="325"/>
      <c r="N90" s="416"/>
    </row>
    <row r="91" spans="1:14" ht="13">
      <c r="A91" s="316" t="s">
        <v>955</v>
      </c>
      <c r="B91" s="316" t="s">
        <v>1973</v>
      </c>
      <c r="C91" s="316" t="s">
        <v>1973</v>
      </c>
      <c r="D91" s="316" t="s">
        <v>1973</v>
      </c>
      <c r="E91" s="317" t="s">
        <v>1973</v>
      </c>
      <c r="F91" s="318">
        <v>1</v>
      </c>
      <c r="G91" s="354" t="s">
        <v>97</v>
      </c>
      <c r="H91" s="320">
        <v>21000</v>
      </c>
      <c r="I91" s="321" t="b">
        <v>1</v>
      </c>
      <c r="J91" s="322">
        <v>1</v>
      </c>
      <c r="K91" s="323" t="s">
        <v>1973</v>
      </c>
      <c r="L91" s="371" t="e">
        <f t="shared" si="2"/>
        <v>#VALUE!</v>
      </c>
      <c r="M91" s="325"/>
      <c r="N91" s="416"/>
    </row>
    <row r="92" spans="1:14" ht="13">
      <c r="A92" s="316" t="s">
        <v>987</v>
      </c>
      <c r="B92" s="316" t="s">
        <v>1973</v>
      </c>
      <c r="C92" s="316" t="s">
        <v>1973</v>
      </c>
      <c r="D92" s="316" t="s">
        <v>1973</v>
      </c>
      <c r="E92" s="317" t="s">
        <v>1973</v>
      </c>
      <c r="F92" s="318">
        <v>2</v>
      </c>
      <c r="G92" s="354" t="s">
        <v>62</v>
      </c>
      <c r="H92" s="320">
        <v>34000</v>
      </c>
      <c r="I92" s="321" t="b">
        <v>1</v>
      </c>
      <c r="J92" s="322">
        <v>2</v>
      </c>
      <c r="K92" s="323" t="s">
        <v>1973</v>
      </c>
      <c r="L92" s="371" t="e">
        <f t="shared" si="2"/>
        <v>#VALUE!</v>
      </c>
      <c r="M92" s="325"/>
      <c r="N92" s="416"/>
    </row>
    <row r="93" spans="1:14" ht="13">
      <c r="A93" s="316" t="s">
        <v>989</v>
      </c>
      <c r="B93" s="316" t="s">
        <v>1973</v>
      </c>
      <c r="C93" s="316" t="s">
        <v>1973</v>
      </c>
      <c r="D93" s="316" t="s">
        <v>1973</v>
      </c>
      <c r="E93" s="317" t="s">
        <v>1973</v>
      </c>
      <c r="F93" s="318">
        <v>5</v>
      </c>
      <c r="G93" s="354" t="s">
        <v>62</v>
      </c>
      <c r="H93" s="320">
        <v>80000</v>
      </c>
      <c r="I93" s="321" t="b">
        <v>1</v>
      </c>
      <c r="J93" s="322">
        <v>5</v>
      </c>
      <c r="K93" s="323">
        <v>17000</v>
      </c>
      <c r="L93" s="379">
        <f t="shared" si="2"/>
        <v>85000</v>
      </c>
      <c r="M93" s="325" t="s">
        <v>1726</v>
      </c>
      <c r="N93" s="416"/>
    </row>
    <row r="94" spans="1:14" ht="13">
      <c r="A94" s="316" t="s">
        <v>1000</v>
      </c>
      <c r="B94" s="316" t="s">
        <v>1973</v>
      </c>
      <c r="C94" s="316" t="s">
        <v>1973</v>
      </c>
      <c r="D94" s="316" t="s">
        <v>1973</v>
      </c>
      <c r="E94" s="317" t="s">
        <v>1973</v>
      </c>
      <c r="F94" s="318">
        <v>1</v>
      </c>
      <c r="G94" s="354" t="s">
        <v>62</v>
      </c>
      <c r="H94" s="320">
        <v>10000</v>
      </c>
      <c r="I94" s="321" t="b">
        <v>1</v>
      </c>
      <c r="J94" s="322">
        <v>1</v>
      </c>
      <c r="K94" s="323">
        <v>11500</v>
      </c>
      <c r="L94" s="379">
        <f t="shared" si="2"/>
        <v>11500</v>
      </c>
      <c r="M94" s="325" t="s">
        <v>1914</v>
      </c>
      <c r="N94" s="416"/>
    </row>
    <row r="95" spans="1:14" ht="13">
      <c r="A95" s="316" t="s">
        <v>1600</v>
      </c>
      <c r="B95" s="316" t="s">
        <v>1973</v>
      </c>
      <c r="C95" s="316" t="s">
        <v>1973</v>
      </c>
      <c r="D95" s="316" t="s">
        <v>1973</v>
      </c>
      <c r="E95" s="317" t="s">
        <v>1973</v>
      </c>
      <c r="F95" s="318">
        <v>1</v>
      </c>
      <c r="G95" s="354" t="s">
        <v>36</v>
      </c>
      <c r="H95" s="320">
        <v>8000</v>
      </c>
      <c r="I95" s="321" t="b">
        <v>1</v>
      </c>
      <c r="J95" s="322">
        <v>1</v>
      </c>
      <c r="K95" s="323">
        <v>10000</v>
      </c>
      <c r="L95" s="379">
        <f t="shared" si="2"/>
        <v>10000</v>
      </c>
      <c r="M95" s="325" t="s">
        <v>1715</v>
      </c>
      <c r="N95" s="416"/>
    </row>
    <row r="96" spans="1:14" ht="13">
      <c r="A96" s="316" t="s">
        <v>961</v>
      </c>
      <c r="B96" s="316" t="s">
        <v>1973</v>
      </c>
      <c r="C96" s="316" t="s">
        <v>1973</v>
      </c>
      <c r="D96" s="316" t="s">
        <v>1973</v>
      </c>
      <c r="E96" s="317" t="s">
        <v>1973</v>
      </c>
      <c r="F96" s="318">
        <v>1</v>
      </c>
      <c r="G96" s="354" t="s">
        <v>97</v>
      </c>
      <c r="H96" s="320">
        <v>77273</v>
      </c>
      <c r="I96" s="319" t="b">
        <v>0</v>
      </c>
      <c r="J96" s="372"/>
      <c r="K96" s="373" t="s">
        <v>1973</v>
      </c>
      <c r="L96" s="374" t="e">
        <f t="shared" si="2"/>
        <v>#VALUE!</v>
      </c>
      <c r="M96" s="325"/>
      <c r="N96" s="416"/>
    </row>
    <row r="97" spans="1:14" ht="13">
      <c r="A97" s="316" t="s">
        <v>1541</v>
      </c>
      <c r="B97" s="316" t="s">
        <v>1973</v>
      </c>
      <c r="C97" s="316" t="s">
        <v>1973</v>
      </c>
      <c r="D97" s="316" t="s">
        <v>1973</v>
      </c>
      <c r="E97" s="317" t="s">
        <v>1973</v>
      </c>
      <c r="F97" s="318">
        <v>1</v>
      </c>
      <c r="G97" s="354" t="s">
        <v>97</v>
      </c>
      <c r="H97" s="320">
        <v>195000</v>
      </c>
      <c r="I97" s="319" t="b">
        <v>0</v>
      </c>
      <c r="J97" s="372"/>
      <c r="K97" s="373" t="s">
        <v>1973</v>
      </c>
      <c r="L97" s="374" t="e">
        <f t="shared" si="2"/>
        <v>#VALUE!</v>
      </c>
      <c r="M97" s="325"/>
      <c r="N97" s="416"/>
    </row>
    <row r="98" spans="1:14" ht="13">
      <c r="A98" s="316" t="s">
        <v>1703</v>
      </c>
      <c r="B98" s="316" t="s">
        <v>1973</v>
      </c>
      <c r="C98" s="316" t="s">
        <v>1973</v>
      </c>
      <c r="D98" s="316" t="s">
        <v>1973</v>
      </c>
      <c r="E98" s="317" t="s">
        <v>1973</v>
      </c>
      <c r="F98" s="318">
        <v>2</v>
      </c>
      <c r="G98" s="354" t="s">
        <v>62</v>
      </c>
      <c r="H98" s="320">
        <v>44814</v>
      </c>
      <c r="I98" s="321" t="b">
        <v>1</v>
      </c>
      <c r="J98" s="322">
        <v>2</v>
      </c>
      <c r="K98" s="323">
        <v>22000</v>
      </c>
      <c r="L98" s="380">
        <f t="shared" si="2"/>
        <v>44000</v>
      </c>
      <c r="M98" s="325" t="s">
        <v>1915</v>
      </c>
      <c r="N98" s="416"/>
    </row>
    <row r="99" spans="1:14" ht="13">
      <c r="A99" s="316" t="s">
        <v>623</v>
      </c>
      <c r="B99" s="316" t="s">
        <v>1973</v>
      </c>
      <c r="C99" s="316" t="s">
        <v>1973</v>
      </c>
      <c r="D99" s="316" t="s">
        <v>1973</v>
      </c>
      <c r="E99" s="317" t="s">
        <v>1973</v>
      </c>
      <c r="F99" s="318">
        <v>2</v>
      </c>
      <c r="G99" s="354" t="s">
        <v>143</v>
      </c>
      <c r="H99" s="320">
        <v>359700</v>
      </c>
      <c r="I99" s="319" t="b">
        <v>0</v>
      </c>
      <c r="J99" s="372"/>
      <c r="K99" s="373" t="s">
        <v>1973</v>
      </c>
      <c r="L99" s="374" t="e">
        <f t="shared" si="2"/>
        <v>#VALUE!</v>
      </c>
      <c r="M99" s="325"/>
      <c r="N99" s="416"/>
    </row>
    <row r="100" spans="1:14" ht="13">
      <c r="A100" s="316" t="s">
        <v>688</v>
      </c>
      <c r="B100" s="316" t="s">
        <v>1973</v>
      </c>
      <c r="C100" s="316" t="s">
        <v>1973</v>
      </c>
      <c r="D100" s="316" t="s">
        <v>1973</v>
      </c>
      <c r="E100" s="317" t="s">
        <v>1973</v>
      </c>
      <c r="F100" s="318">
        <v>4</v>
      </c>
      <c r="G100" s="354" t="s">
        <v>62</v>
      </c>
      <c r="H100" s="320">
        <v>231880</v>
      </c>
      <c r="I100" s="319" t="b">
        <v>0</v>
      </c>
      <c r="J100" s="372"/>
      <c r="K100" s="373" t="s">
        <v>1973</v>
      </c>
      <c r="L100" s="374" t="e">
        <f t="shared" si="2"/>
        <v>#VALUE!</v>
      </c>
      <c r="M100" s="325"/>
      <c r="N100" s="416"/>
    </row>
    <row r="101" spans="1:14" ht="13">
      <c r="A101" s="316" t="s">
        <v>704</v>
      </c>
      <c r="B101" s="316" t="s">
        <v>1973</v>
      </c>
      <c r="C101" s="316" t="s">
        <v>1973</v>
      </c>
      <c r="D101" s="316" t="s">
        <v>1973</v>
      </c>
      <c r="E101" s="317" t="s">
        <v>1973</v>
      </c>
      <c r="F101" s="318">
        <v>2</v>
      </c>
      <c r="G101" s="354" t="s">
        <v>143</v>
      </c>
      <c r="H101" s="320">
        <v>364500</v>
      </c>
      <c r="I101" s="319" t="b">
        <v>0</v>
      </c>
      <c r="J101" s="372"/>
      <c r="K101" s="373" t="s">
        <v>1973</v>
      </c>
      <c r="L101" s="374" t="e">
        <f t="shared" si="2"/>
        <v>#VALUE!</v>
      </c>
      <c r="M101" s="325"/>
      <c r="N101" s="416"/>
    </row>
    <row r="102" spans="1:14" ht="13">
      <c r="A102" s="316" t="s">
        <v>925</v>
      </c>
      <c r="B102" s="316" t="s">
        <v>1973</v>
      </c>
      <c r="C102" s="316" t="s">
        <v>1973</v>
      </c>
      <c r="D102" s="316" t="s">
        <v>1973</v>
      </c>
      <c r="E102" s="317" t="s">
        <v>1973</v>
      </c>
      <c r="F102" s="318">
        <v>1</v>
      </c>
      <c r="G102" s="354" t="s">
        <v>143</v>
      </c>
      <c r="H102" s="320">
        <v>357214</v>
      </c>
      <c r="I102" s="319" t="b">
        <v>0</v>
      </c>
      <c r="J102" s="372"/>
      <c r="K102" s="373" t="s">
        <v>1973</v>
      </c>
      <c r="L102" s="374" t="e">
        <f t="shared" si="2"/>
        <v>#VALUE!</v>
      </c>
      <c r="M102" s="325"/>
      <c r="N102" s="416"/>
    </row>
    <row r="103" spans="1:14" ht="13">
      <c r="A103" s="316" t="s">
        <v>949</v>
      </c>
      <c r="B103" s="316" t="s">
        <v>1973</v>
      </c>
      <c r="C103" s="316" t="s">
        <v>1973</v>
      </c>
      <c r="D103" s="316" t="s">
        <v>1973</v>
      </c>
      <c r="E103" s="317" t="s">
        <v>1973</v>
      </c>
      <c r="F103" s="318">
        <v>1</v>
      </c>
      <c r="G103" s="354" t="s">
        <v>97</v>
      </c>
      <c r="H103" s="320">
        <v>23200</v>
      </c>
      <c r="I103" s="321" t="b">
        <v>1</v>
      </c>
      <c r="J103" s="322">
        <v>1</v>
      </c>
      <c r="K103" s="323" t="s">
        <v>1973</v>
      </c>
      <c r="L103" s="371" t="e">
        <f t="shared" si="2"/>
        <v>#VALUE!</v>
      </c>
      <c r="M103" s="325"/>
      <c r="N103" s="416"/>
    </row>
    <row r="104" spans="1:14" ht="13">
      <c r="A104" s="316" t="s">
        <v>1751</v>
      </c>
      <c r="B104" s="316" t="s">
        <v>1973</v>
      </c>
      <c r="C104" s="316" t="s">
        <v>1973</v>
      </c>
      <c r="D104" s="316" t="s">
        <v>1973</v>
      </c>
      <c r="E104" s="317" t="s">
        <v>1973</v>
      </c>
      <c r="F104" s="318">
        <v>8</v>
      </c>
      <c r="G104" s="354" t="s">
        <v>36</v>
      </c>
      <c r="H104" s="320">
        <v>96000</v>
      </c>
      <c r="I104" s="321" t="b">
        <v>1</v>
      </c>
      <c r="J104" s="322">
        <v>8</v>
      </c>
      <c r="K104" s="323" t="s">
        <v>1973</v>
      </c>
      <c r="L104" s="371" t="e">
        <f t="shared" si="2"/>
        <v>#VALUE!</v>
      </c>
      <c r="M104" s="325"/>
      <c r="N104" s="416"/>
    </row>
    <row r="105" spans="1:14" ht="13">
      <c r="A105" s="316" t="s">
        <v>779</v>
      </c>
      <c r="B105" s="316" t="s">
        <v>1973</v>
      </c>
      <c r="C105" s="316" t="s">
        <v>1973</v>
      </c>
      <c r="D105" s="316" t="s">
        <v>1973</v>
      </c>
      <c r="E105" s="317" t="s">
        <v>1973</v>
      </c>
      <c r="F105" s="318">
        <v>2</v>
      </c>
      <c r="G105" s="354" t="s">
        <v>62</v>
      </c>
      <c r="H105" s="320">
        <v>77000</v>
      </c>
      <c r="I105" s="321" t="b">
        <v>1</v>
      </c>
      <c r="J105" s="322">
        <v>2</v>
      </c>
      <c r="K105" s="323">
        <v>36000</v>
      </c>
      <c r="L105" s="380">
        <f t="shared" si="2"/>
        <v>72000</v>
      </c>
      <c r="M105" s="325" t="s">
        <v>1720</v>
      </c>
      <c r="N105" s="416"/>
    </row>
    <row r="106" spans="1:14" ht="13">
      <c r="A106" s="316" t="s">
        <v>1606</v>
      </c>
      <c r="B106" s="316" t="s">
        <v>1973</v>
      </c>
      <c r="C106" s="316" t="s">
        <v>1973</v>
      </c>
      <c r="D106" s="316" t="s">
        <v>1973</v>
      </c>
      <c r="E106" s="317" t="s">
        <v>1973</v>
      </c>
      <c r="F106" s="318">
        <v>0.7</v>
      </c>
      <c r="G106" s="354" t="s">
        <v>36</v>
      </c>
      <c r="H106" s="320">
        <v>30239.999999999996</v>
      </c>
      <c r="I106" s="321" t="b">
        <v>1</v>
      </c>
      <c r="J106" s="322">
        <v>2</v>
      </c>
      <c r="K106" s="323">
        <v>15400</v>
      </c>
      <c r="L106" s="379">
        <f t="shared" si="2"/>
        <v>30800</v>
      </c>
      <c r="M106" s="325" t="s">
        <v>1916</v>
      </c>
      <c r="N106" s="416"/>
    </row>
    <row r="107" spans="1:14" ht="13">
      <c r="A107" s="316" t="s">
        <v>910</v>
      </c>
      <c r="B107" s="316" t="s">
        <v>1973</v>
      </c>
      <c r="C107" s="316" t="s">
        <v>1973</v>
      </c>
      <c r="D107" s="316" t="s">
        <v>1973</v>
      </c>
      <c r="E107" s="317" t="s">
        <v>1973</v>
      </c>
      <c r="F107" s="318">
        <v>3</v>
      </c>
      <c r="G107" s="354" t="s">
        <v>62</v>
      </c>
      <c r="H107" s="320">
        <v>39000</v>
      </c>
      <c r="I107" s="319" t="b">
        <v>0</v>
      </c>
      <c r="J107" s="372"/>
      <c r="K107" s="373" t="s">
        <v>1973</v>
      </c>
      <c r="L107" s="374" t="e">
        <f t="shared" si="2"/>
        <v>#VALUE!</v>
      </c>
      <c r="M107" s="325"/>
      <c r="N107" s="416"/>
    </row>
    <row r="108" spans="1:14" ht="13">
      <c r="A108" s="316" t="s">
        <v>1651</v>
      </c>
      <c r="B108" s="316" t="s">
        <v>1973</v>
      </c>
      <c r="C108" s="316" t="s">
        <v>1973</v>
      </c>
      <c r="D108" s="316" t="s">
        <v>1973</v>
      </c>
      <c r="E108" s="317" t="s">
        <v>1973</v>
      </c>
      <c r="F108" s="318">
        <v>1</v>
      </c>
      <c r="G108" s="354" t="s">
        <v>97</v>
      </c>
      <c r="H108" s="320">
        <v>105000</v>
      </c>
      <c r="I108" s="319" t="b">
        <v>0</v>
      </c>
      <c r="J108" s="376"/>
      <c r="K108" s="377" t="s">
        <v>1973</v>
      </c>
      <c r="L108" s="378" t="e">
        <f t="shared" si="2"/>
        <v>#VALUE!</v>
      </c>
      <c r="M108" s="325"/>
      <c r="N108" s="416"/>
    </row>
    <row r="109" spans="1:14" ht="13">
      <c r="A109" s="316" t="s">
        <v>540</v>
      </c>
      <c r="B109" s="316" t="s">
        <v>1973</v>
      </c>
      <c r="C109" s="316" t="s">
        <v>1973</v>
      </c>
      <c r="D109" s="316" t="s">
        <v>1973</v>
      </c>
      <c r="E109" s="317" t="s">
        <v>1973</v>
      </c>
      <c r="F109" s="318">
        <v>5</v>
      </c>
      <c r="G109" s="354" t="s">
        <v>36</v>
      </c>
      <c r="H109" s="320">
        <v>850000</v>
      </c>
      <c r="I109" s="319" t="b">
        <v>0</v>
      </c>
      <c r="J109" s="376"/>
      <c r="K109" s="377" t="s">
        <v>1973</v>
      </c>
      <c r="L109" s="378" t="e">
        <f t="shared" si="2"/>
        <v>#VALUE!</v>
      </c>
      <c r="M109" s="325"/>
      <c r="N109" s="416"/>
    </row>
    <row r="110" spans="1:14" ht="13">
      <c r="A110" s="316" t="s">
        <v>590</v>
      </c>
      <c r="B110" s="316" t="s">
        <v>1973</v>
      </c>
      <c r="C110" s="316" t="s">
        <v>1973</v>
      </c>
      <c r="D110" s="316" t="s">
        <v>1973</v>
      </c>
      <c r="E110" s="317" t="s">
        <v>1973</v>
      </c>
      <c r="F110" s="318">
        <v>2</v>
      </c>
      <c r="G110" s="354" t="s">
        <v>62</v>
      </c>
      <c r="H110" s="320">
        <v>170000</v>
      </c>
      <c r="I110" s="319" t="b">
        <v>0</v>
      </c>
      <c r="J110" s="376"/>
      <c r="K110" s="377" t="s">
        <v>1973</v>
      </c>
      <c r="L110" s="378" t="e">
        <f t="shared" si="2"/>
        <v>#VALUE!</v>
      </c>
      <c r="M110" s="325"/>
      <c r="N110" s="416"/>
    </row>
    <row r="111" spans="1:14" ht="13">
      <c r="A111" s="316" t="s">
        <v>1602</v>
      </c>
      <c r="B111" s="316" t="s">
        <v>1973</v>
      </c>
      <c r="C111" s="316" t="s">
        <v>1973</v>
      </c>
      <c r="D111" s="316" t="s">
        <v>1973</v>
      </c>
      <c r="E111" s="317" t="s">
        <v>1973</v>
      </c>
      <c r="F111" s="318">
        <v>3</v>
      </c>
      <c r="G111" s="354" t="s">
        <v>36</v>
      </c>
      <c r="H111" s="320">
        <v>42000</v>
      </c>
      <c r="I111" s="321" t="b">
        <v>1</v>
      </c>
      <c r="J111" s="322">
        <v>3</v>
      </c>
      <c r="K111" s="323" t="s">
        <v>1973</v>
      </c>
      <c r="L111" s="371" t="e">
        <f t="shared" si="2"/>
        <v>#VALUE!</v>
      </c>
      <c r="M111" s="325"/>
      <c r="N111" s="416"/>
    </row>
    <row r="112" spans="1:14" ht="13">
      <c r="A112" s="316" t="s">
        <v>528</v>
      </c>
      <c r="B112" s="316" t="s">
        <v>1973</v>
      </c>
      <c r="C112" s="316" t="s">
        <v>1973</v>
      </c>
      <c r="D112" s="316" t="s">
        <v>1973</v>
      </c>
      <c r="E112" s="317" t="s">
        <v>1973</v>
      </c>
      <c r="F112" s="318">
        <v>12</v>
      </c>
      <c r="G112" s="354" t="s">
        <v>50</v>
      </c>
      <c r="H112" s="320">
        <v>192000</v>
      </c>
      <c r="I112" s="321" t="b">
        <v>1</v>
      </c>
      <c r="J112" s="322">
        <v>12</v>
      </c>
      <c r="K112" s="323" t="s">
        <v>1973</v>
      </c>
      <c r="L112" s="371" t="e">
        <f t="shared" si="2"/>
        <v>#VALUE!</v>
      </c>
      <c r="M112" s="325"/>
      <c r="N112" s="416"/>
    </row>
    <row r="113" spans="1:14" ht="13">
      <c r="A113" s="316" t="s">
        <v>1603</v>
      </c>
      <c r="B113" s="316" t="s">
        <v>1973</v>
      </c>
      <c r="C113" s="316" t="s">
        <v>1973</v>
      </c>
      <c r="D113" s="316" t="s">
        <v>1973</v>
      </c>
      <c r="E113" s="317" t="s">
        <v>1973</v>
      </c>
      <c r="F113" s="318">
        <v>1</v>
      </c>
      <c r="G113" s="354" t="s">
        <v>62</v>
      </c>
      <c r="H113" s="320">
        <v>60000</v>
      </c>
      <c r="I113" s="321" t="b">
        <v>1</v>
      </c>
      <c r="J113" s="322">
        <v>1</v>
      </c>
      <c r="K113" s="323" t="s">
        <v>1973</v>
      </c>
      <c r="L113" s="371" t="e">
        <f t="shared" si="2"/>
        <v>#VALUE!</v>
      </c>
      <c r="M113" s="325"/>
      <c r="N113" s="416"/>
    </row>
    <row r="114" spans="1:14" ht="13">
      <c r="A114" s="316" t="s">
        <v>635</v>
      </c>
      <c r="B114" s="316" t="s">
        <v>1973</v>
      </c>
      <c r="C114" s="316" t="s">
        <v>1973</v>
      </c>
      <c r="D114" s="316" t="s">
        <v>1973</v>
      </c>
      <c r="E114" s="317" t="s">
        <v>1973</v>
      </c>
      <c r="F114" s="318">
        <v>24</v>
      </c>
      <c r="G114" s="354" t="s">
        <v>50</v>
      </c>
      <c r="H114" s="320">
        <v>228000</v>
      </c>
      <c r="I114" s="321" t="b">
        <v>1</v>
      </c>
      <c r="J114" s="322">
        <v>24</v>
      </c>
      <c r="K114" s="323" t="s">
        <v>1973</v>
      </c>
      <c r="L114" s="371" t="e">
        <f t="shared" si="2"/>
        <v>#VALUE!</v>
      </c>
      <c r="M114" s="325"/>
      <c r="N114" s="416"/>
    </row>
    <row r="115" spans="1:14" ht="13">
      <c r="A115" s="316" t="s">
        <v>647</v>
      </c>
      <c r="B115" s="316" t="s">
        <v>1973</v>
      </c>
      <c r="C115" s="316" t="s">
        <v>1973</v>
      </c>
      <c r="D115" s="316" t="s">
        <v>1973</v>
      </c>
      <c r="E115" s="317" t="s">
        <v>1973</v>
      </c>
      <c r="F115" s="318">
        <v>1</v>
      </c>
      <c r="G115" s="354" t="s">
        <v>75</v>
      </c>
      <c r="H115" s="320">
        <v>48000</v>
      </c>
      <c r="I115" s="319" t="b">
        <v>0</v>
      </c>
      <c r="J115" s="372"/>
      <c r="K115" s="373" t="s">
        <v>1973</v>
      </c>
      <c r="L115" s="374" t="e">
        <f t="shared" si="2"/>
        <v>#VALUE!</v>
      </c>
      <c r="M115" s="325"/>
      <c r="N115" s="416"/>
    </row>
    <row r="116" spans="1:14" ht="13">
      <c r="A116" s="316" t="s">
        <v>680</v>
      </c>
      <c r="B116" s="316" t="s">
        <v>1973</v>
      </c>
      <c r="C116" s="316" t="s">
        <v>1973</v>
      </c>
      <c r="D116" s="316" t="s">
        <v>1973</v>
      </c>
      <c r="E116" s="317" t="s">
        <v>1973</v>
      </c>
      <c r="F116" s="318">
        <v>7</v>
      </c>
      <c r="G116" s="354" t="s">
        <v>97</v>
      </c>
      <c r="H116" s="320">
        <v>203000</v>
      </c>
      <c r="I116" s="321" t="b">
        <v>1</v>
      </c>
      <c r="J116" s="322">
        <v>7</v>
      </c>
      <c r="K116" s="323">
        <v>31000</v>
      </c>
      <c r="L116" s="379">
        <f t="shared" si="2"/>
        <v>217000</v>
      </c>
      <c r="M116" s="325" t="s">
        <v>1917</v>
      </c>
      <c r="N116" s="416"/>
    </row>
    <row r="117" spans="1:14" ht="13">
      <c r="A117" s="316" t="s">
        <v>684</v>
      </c>
      <c r="B117" s="316" t="s">
        <v>1973</v>
      </c>
      <c r="C117" s="316" t="s">
        <v>1973</v>
      </c>
      <c r="D117" s="316" t="s">
        <v>1973</v>
      </c>
      <c r="E117" s="317" t="s">
        <v>1973</v>
      </c>
      <c r="F117" s="318">
        <v>2</v>
      </c>
      <c r="G117" s="354" t="s">
        <v>97</v>
      </c>
      <c r="H117" s="320">
        <v>58000</v>
      </c>
      <c r="I117" s="321" t="b">
        <v>1</v>
      </c>
      <c r="J117" s="322">
        <v>2</v>
      </c>
      <c r="K117" s="323" t="s">
        <v>1973</v>
      </c>
      <c r="L117" s="379" t="e">
        <f t="shared" si="2"/>
        <v>#VALUE!</v>
      </c>
      <c r="M117" s="325" t="s">
        <v>1716</v>
      </c>
      <c r="N117" s="416"/>
    </row>
    <row r="118" spans="1:14" ht="13">
      <c r="A118" s="316" t="s">
        <v>696</v>
      </c>
      <c r="B118" s="316" t="s">
        <v>1973</v>
      </c>
      <c r="C118" s="316" t="s">
        <v>1973</v>
      </c>
      <c r="D118" s="316" t="s">
        <v>1973</v>
      </c>
      <c r="E118" s="317" t="s">
        <v>1973</v>
      </c>
      <c r="F118" s="318">
        <v>10</v>
      </c>
      <c r="G118" s="354" t="s">
        <v>62</v>
      </c>
      <c r="H118" s="320">
        <v>110000</v>
      </c>
      <c r="I118" s="321" t="b">
        <v>1</v>
      </c>
      <c r="J118" s="322">
        <v>10</v>
      </c>
      <c r="K118" s="323" t="s">
        <v>1973</v>
      </c>
      <c r="L118" s="371" t="e">
        <f t="shared" si="2"/>
        <v>#VALUE!</v>
      </c>
      <c r="M118" s="325"/>
      <c r="N118" s="416"/>
    </row>
    <row r="119" spans="1:14" ht="13">
      <c r="A119" s="316" t="s">
        <v>735</v>
      </c>
      <c r="B119" s="316" t="s">
        <v>1973</v>
      </c>
      <c r="C119" s="316" t="s">
        <v>1973</v>
      </c>
      <c r="D119" s="316" t="s">
        <v>1973</v>
      </c>
      <c r="E119" s="317" t="s">
        <v>1973</v>
      </c>
      <c r="F119" s="318">
        <v>2</v>
      </c>
      <c r="G119" s="354" t="s">
        <v>97</v>
      </c>
      <c r="H119" s="320">
        <v>92000</v>
      </c>
      <c r="I119" s="321" t="b">
        <v>1</v>
      </c>
      <c r="J119" s="322">
        <v>2</v>
      </c>
      <c r="K119" s="323">
        <v>48000</v>
      </c>
      <c r="L119" s="379">
        <f t="shared" si="2"/>
        <v>96000</v>
      </c>
      <c r="M119" s="325" t="s">
        <v>1716</v>
      </c>
      <c r="N119" s="416"/>
    </row>
    <row r="120" spans="1:14" ht="13">
      <c r="A120" s="316" t="s">
        <v>748</v>
      </c>
      <c r="B120" s="316" t="s">
        <v>1973</v>
      </c>
      <c r="C120" s="316" t="s">
        <v>1973</v>
      </c>
      <c r="D120" s="316" t="s">
        <v>1973</v>
      </c>
      <c r="E120" s="317" t="s">
        <v>1973</v>
      </c>
      <c r="F120" s="318">
        <v>4</v>
      </c>
      <c r="G120" s="354" t="s">
        <v>62</v>
      </c>
      <c r="H120" s="320">
        <v>116000</v>
      </c>
      <c r="I120" s="321" t="b">
        <v>1</v>
      </c>
      <c r="J120" s="322">
        <v>4</v>
      </c>
      <c r="K120" s="323">
        <v>30000</v>
      </c>
      <c r="L120" s="379">
        <f t="shared" si="2"/>
        <v>120000</v>
      </c>
      <c r="M120" s="325" t="s">
        <v>1716</v>
      </c>
      <c r="N120" s="416"/>
    </row>
    <row r="121" spans="1:14" ht="13">
      <c r="A121" s="316" t="s">
        <v>889</v>
      </c>
      <c r="B121" s="316" t="s">
        <v>1973</v>
      </c>
      <c r="C121" s="316" t="s">
        <v>1973</v>
      </c>
      <c r="D121" s="316" t="s">
        <v>1973</v>
      </c>
      <c r="E121" s="317" t="s">
        <v>1973</v>
      </c>
      <c r="F121" s="318">
        <v>1</v>
      </c>
      <c r="G121" s="354" t="s">
        <v>62</v>
      </c>
      <c r="H121" s="320">
        <v>20000</v>
      </c>
      <c r="I121" s="321" t="b">
        <v>1</v>
      </c>
      <c r="J121" s="322">
        <v>1</v>
      </c>
      <c r="K121" s="323" t="s">
        <v>1973</v>
      </c>
      <c r="L121" s="371" t="e">
        <f t="shared" si="2"/>
        <v>#VALUE!</v>
      </c>
      <c r="M121" s="325"/>
      <c r="N121" s="416"/>
    </row>
    <row r="122" spans="1:14" ht="13">
      <c r="A122" s="316" t="s">
        <v>892</v>
      </c>
      <c r="B122" s="316" t="s">
        <v>1973</v>
      </c>
      <c r="C122" s="316" t="s">
        <v>1973</v>
      </c>
      <c r="D122" s="316" t="s">
        <v>1973</v>
      </c>
      <c r="E122" s="317" t="s">
        <v>1973</v>
      </c>
      <c r="F122" s="318">
        <v>2</v>
      </c>
      <c r="G122" s="354" t="s">
        <v>36</v>
      </c>
      <c r="H122" s="320">
        <v>250000</v>
      </c>
      <c r="I122" s="321" t="b">
        <v>1</v>
      </c>
      <c r="J122" s="322">
        <v>2</v>
      </c>
      <c r="K122" s="323" t="s">
        <v>1973</v>
      </c>
      <c r="L122" s="371" t="e">
        <f t="shared" si="2"/>
        <v>#VALUE!</v>
      </c>
      <c r="M122" s="325"/>
      <c r="N122" s="416"/>
    </row>
    <row r="123" spans="1:14" ht="13">
      <c r="A123" s="316" t="s">
        <v>934</v>
      </c>
      <c r="B123" s="316" t="s">
        <v>1973</v>
      </c>
      <c r="C123" s="316" t="s">
        <v>1973</v>
      </c>
      <c r="D123" s="316" t="s">
        <v>1973</v>
      </c>
      <c r="E123" s="317" t="s">
        <v>1973</v>
      </c>
      <c r="F123" s="318">
        <v>4</v>
      </c>
      <c r="G123" s="354" t="s">
        <v>62</v>
      </c>
      <c r="H123" s="320">
        <v>36000</v>
      </c>
      <c r="I123" s="321" t="b">
        <v>1</v>
      </c>
      <c r="J123" s="322">
        <v>4</v>
      </c>
      <c r="K123" s="323">
        <v>8500</v>
      </c>
      <c r="L123" s="380">
        <f t="shared" si="2"/>
        <v>34000</v>
      </c>
      <c r="M123" s="325" t="s">
        <v>1724</v>
      </c>
      <c r="N123" s="416"/>
    </row>
    <row r="124" spans="1:14" ht="13">
      <c r="A124" s="316" t="s">
        <v>940</v>
      </c>
      <c r="B124" s="316" t="s">
        <v>1973</v>
      </c>
      <c r="C124" s="316" t="s">
        <v>1973</v>
      </c>
      <c r="D124" s="316" t="s">
        <v>1973</v>
      </c>
      <c r="E124" s="317" t="s">
        <v>1973</v>
      </c>
      <c r="F124" s="318">
        <v>0.75</v>
      </c>
      <c r="G124" s="354" t="s">
        <v>36</v>
      </c>
      <c r="H124" s="320">
        <v>75000</v>
      </c>
      <c r="I124" s="321" t="b">
        <v>1</v>
      </c>
      <c r="J124" s="322">
        <v>0.75</v>
      </c>
      <c r="K124" s="323" t="s">
        <v>1973</v>
      </c>
      <c r="L124" s="371" t="e">
        <f t="shared" si="2"/>
        <v>#VALUE!</v>
      </c>
      <c r="M124" s="325"/>
      <c r="N124" s="416"/>
    </row>
    <row r="125" spans="1:14" ht="13">
      <c r="A125" s="316" t="s">
        <v>1548</v>
      </c>
      <c r="B125" s="316" t="s">
        <v>1973</v>
      </c>
      <c r="C125" s="316" t="s">
        <v>1973</v>
      </c>
      <c r="D125" s="316" t="s">
        <v>1973</v>
      </c>
      <c r="E125" s="317" t="s">
        <v>1973</v>
      </c>
      <c r="F125" s="318">
        <v>4</v>
      </c>
      <c r="G125" s="354" t="s">
        <v>62</v>
      </c>
      <c r="H125" s="320">
        <v>48000</v>
      </c>
      <c r="I125" s="321" t="b">
        <v>1</v>
      </c>
      <c r="J125" s="322">
        <v>4</v>
      </c>
      <c r="K125" s="323" t="s">
        <v>1973</v>
      </c>
      <c r="L125" s="371" t="e">
        <f t="shared" si="2"/>
        <v>#VALUE!</v>
      </c>
      <c r="M125" s="325"/>
      <c r="N125" s="416"/>
    </row>
    <row r="126" spans="1:14" ht="13">
      <c r="A126" s="316" t="s">
        <v>1615</v>
      </c>
      <c r="B126" s="316" t="s">
        <v>1973</v>
      </c>
      <c r="C126" s="316" t="s">
        <v>1973</v>
      </c>
      <c r="D126" s="316" t="s">
        <v>1973</v>
      </c>
      <c r="E126" s="317" t="s">
        <v>1973</v>
      </c>
      <c r="F126" s="318">
        <v>2</v>
      </c>
      <c r="G126" s="354" t="s">
        <v>62</v>
      </c>
      <c r="H126" s="320">
        <v>16000</v>
      </c>
      <c r="I126" s="321" t="b">
        <v>1</v>
      </c>
      <c r="J126" s="322">
        <v>2</v>
      </c>
      <c r="K126" s="323" t="s">
        <v>1973</v>
      </c>
      <c r="L126" s="371" t="e">
        <f t="shared" si="2"/>
        <v>#VALUE!</v>
      </c>
      <c r="M126" s="325"/>
      <c r="N126" s="416"/>
    </row>
    <row r="127" spans="1:14" ht="13">
      <c r="A127" s="316" t="s">
        <v>1017</v>
      </c>
      <c r="B127" s="316" t="s">
        <v>1973</v>
      </c>
      <c r="C127" s="316" t="s">
        <v>1973</v>
      </c>
      <c r="D127" s="316" t="s">
        <v>1973</v>
      </c>
      <c r="E127" s="317" t="s">
        <v>1973</v>
      </c>
      <c r="F127" s="318">
        <v>3</v>
      </c>
      <c r="G127" s="354" t="s">
        <v>62</v>
      </c>
      <c r="H127" s="320">
        <v>7500</v>
      </c>
      <c r="I127" s="319" t="b">
        <v>0</v>
      </c>
      <c r="J127" s="372"/>
      <c r="K127" s="373" t="s">
        <v>1973</v>
      </c>
      <c r="L127" s="374" t="e">
        <f t="shared" si="2"/>
        <v>#VALUE!</v>
      </c>
      <c r="M127" s="325"/>
      <c r="N127" s="416"/>
    </row>
    <row r="128" spans="1:14" ht="13">
      <c r="A128" s="316" t="s">
        <v>1037</v>
      </c>
      <c r="B128" s="316" t="s">
        <v>1973</v>
      </c>
      <c r="C128" s="316" t="s">
        <v>1973</v>
      </c>
      <c r="D128" s="316" t="s">
        <v>1973</v>
      </c>
      <c r="E128" s="317" t="s">
        <v>1973</v>
      </c>
      <c r="F128" s="318">
        <v>2</v>
      </c>
      <c r="G128" s="354" t="s">
        <v>62</v>
      </c>
      <c r="H128" s="320">
        <v>40200</v>
      </c>
      <c r="I128" s="321" t="b">
        <v>1</v>
      </c>
      <c r="J128" s="322">
        <v>1</v>
      </c>
      <c r="K128" s="323">
        <v>17100</v>
      </c>
      <c r="L128" s="370">
        <f t="shared" si="2"/>
        <v>17100</v>
      </c>
      <c r="M128" s="325" t="s">
        <v>1918</v>
      </c>
      <c r="N128" s="416"/>
    </row>
    <row r="130" spans="1:14" ht="13">
      <c r="F130" s="429">
        <v>44599</v>
      </c>
      <c r="G130" s="428"/>
      <c r="H130" s="424"/>
      <c r="J130" s="429">
        <f>F130+1</f>
        <v>44600</v>
      </c>
      <c r="K130" s="428"/>
      <c r="L130" s="424"/>
    </row>
    <row r="131" spans="1:14" ht="13">
      <c r="F131" s="425" t="s">
        <v>1490</v>
      </c>
      <c r="G131" s="426"/>
      <c r="H131" s="304">
        <f>SUM(H133:H179)</f>
        <v>3135640</v>
      </c>
      <c r="J131" s="425" t="s">
        <v>1491</v>
      </c>
      <c r="K131" s="426"/>
      <c r="L131" s="304" t="e">
        <f>SUM(L133:L179)</f>
        <v>#VALUE!</v>
      </c>
    </row>
    <row r="132" spans="1:14" ht="13">
      <c r="A132" s="2" t="s">
        <v>4</v>
      </c>
      <c r="B132" s="305" t="s">
        <v>5</v>
      </c>
      <c r="C132" s="305" t="s">
        <v>11</v>
      </c>
      <c r="D132" s="305" t="s">
        <v>12</v>
      </c>
      <c r="E132" s="306" t="s">
        <v>6</v>
      </c>
      <c r="F132" s="307" t="s">
        <v>1494</v>
      </c>
      <c r="G132" s="308" t="s">
        <v>10</v>
      </c>
      <c r="H132" s="309" t="s">
        <v>1495</v>
      </c>
      <c r="I132" s="310" t="s">
        <v>1289</v>
      </c>
      <c r="J132" s="311" t="s">
        <v>1496</v>
      </c>
      <c r="K132" s="312" t="s">
        <v>1497</v>
      </c>
      <c r="L132" s="313" t="s">
        <v>1498</v>
      </c>
      <c r="M132" s="314" t="s">
        <v>16</v>
      </c>
      <c r="N132" s="415"/>
    </row>
    <row r="133" spans="1:14" ht="13">
      <c r="A133" s="316" t="s">
        <v>544</v>
      </c>
      <c r="B133" s="316" t="s">
        <v>1973</v>
      </c>
      <c r="C133" s="316" t="s">
        <v>1973</v>
      </c>
      <c r="D133" s="316" t="s">
        <v>1973</v>
      </c>
      <c r="E133" s="317" t="s">
        <v>1973</v>
      </c>
      <c r="F133" s="318">
        <v>2</v>
      </c>
      <c r="G133" s="354" t="s">
        <v>62</v>
      </c>
      <c r="H133" s="320">
        <v>45200</v>
      </c>
      <c r="I133" s="321" t="b">
        <v>1</v>
      </c>
      <c r="J133" s="322">
        <v>2</v>
      </c>
      <c r="K133" s="323" t="s">
        <v>1973</v>
      </c>
      <c r="L133" s="371" t="e">
        <f t="shared" ref="L133:L179" si="3">J133*K133</f>
        <v>#VALUE!</v>
      </c>
      <c r="M133" s="325"/>
      <c r="N133" s="416"/>
    </row>
    <row r="134" spans="1:14" ht="13">
      <c r="A134" s="316" t="s">
        <v>586</v>
      </c>
      <c r="B134" s="316" t="s">
        <v>1973</v>
      </c>
      <c r="C134" s="316" t="s">
        <v>1973</v>
      </c>
      <c r="D134" s="316" t="s">
        <v>1973</v>
      </c>
      <c r="E134" s="317" t="s">
        <v>1973</v>
      </c>
      <c r="F134" s="318">
        <v>2</v>
      </c>
      <c r="G134" s="354" t="s">
        <v>62</v>
      </c>
      <c r="H134" s="320">
        <v>14400</v>
      </c>
      <c r="I134" s="321" t="b">
        <v>1</v>
      </c>
      <c r="J134" s="322">
        <v>2</v>
      </c>
      <c r="K134" s="323" t="s">
        <v>1973</v>
      </c>
      <c r="L134" s="371" t="e">
        <f t="shared" si="3"/>
        <v>#VALUE!</v>
      </c>
      <c r="M134" s="325"/>
      <c r="N134" s="416"/>
    </row>
    <row r="135" spans="1:14" ht="13">
      <c r="A135" s="316" t="s">
        <v>627</v>
      </c>
      <c r="B135" s="316" t="s">
        <v>1973</v>
      </c>
      <c r="C135" s="316" t="s">
        <v>1973</v>
      </c>
      <c r="D135" s="316" t="s">
        <v>1973</v>
      </c>
      <c r="E135" s="317" t="s">
        <v>1973</v>
      </c>
      <c r="F135" s="318">
        <v>1</v>
      </c>
      <c r="G135" s="354" t="s">
        <v>36</v>
      </c>
      <c r="H135" s="320">
        <v>37900</v>
      </c>
      <c r="I135" s="321" t="b">
        <v>1</v>
      </c>
      <c r="J135" s="322">
        <v>1.1950000000000001</v>
      </c>
      <c r="K135" s="323" t="s">
        <v>1973</v>
      </c>
      <c r="L135" s="370" t="e">
        <f t="shared" si="3"/>
        <v>#VALUE!</v>
      </c>
      <c r="M135" s="325" t="s">
        <v>1919</v>
      </c>
      <c r="N135" s="416"/>
    </row>
    <row r="136" spans="1:14" ht="13">
      <c r="A136" s="316" t="s">
        <v>1598</v>
      </c>
      <c r="B136" s="316" t="s">
        <v>1973</v>
      </c>
      <c r="C136" s="316" t="s">
        <v>1973</v>
      </c>
      <c r="D136" s="316" t="s">
        <v>1973</v>
      </c>
      <c r="E136" s="317" t="s">
        <v>1973</v>
      </c>
      <c r="F136" s="318">
        <v>3</v>
      </c>
      <c r="G136" s="354" t="s">
        <v>97</v>
      </c>
      <c r="H136" s="320">
        <v>31200</v>
      </c>
      <c r="I136" s="321" t="b">
        <v>1</v>
      </c>
      <c r="J136" s="322">
        <v>3</v>
      </c>
      <c r="K136" s="323">
        <v>11500</v>
      </c>
      <c r="L136" s="379">
        <f t="shared" si="3"/>
        <v>34500</v>
      </c>
      <c r="M136" s="325" t="s">
        <v>1920</v>
      </c>
      <c r="N136" s="416"/>
    </row>
    <row r="137" spans="1:14" ht="13">
      <c r="A137" s="316" t="s">
        <v>782</v>
      </c>
      <c r="B137" s="316" t="s">
        <v>1973</v>
      </c>
      <c r="C137" s="316" t="s">
        <v>1973</v>
      </c>
      <c r="D137" s="316" t="s">
        <v>1973</v>
      </c>
      <c r="E137" s="317" t="s">
        <v>1973</v>
      </c>
      <c r="F137" s="318">
        <v>2</v>
      </c>
      <c r="G137" s="354" t="s">
        <v>62</v>
      </c>
      <c r="H137" s="320">
        <v>24000</v>
      </c>
      <c r="I137" s="321" t="b">
        <v>1</v>
      </c>
      <c r="J137" s="322">
        <v>2</v>
      </c>
      <c r="K137" s="323" t="e">
        <f>VLOOKUP($A137,'[1]Database Bahan &amp; Alat (Terupdat'!$B$50:$N$232,6,FALSE)</f>
        <v>#N/A</v>
      </c>
      <c r="L137" s="371" t="e">
        <f t="shared" si="3"/>
        <v>#N/A</v>
      </c>
      <c r="M137" s="325"/>
      <c r="N137" s="416"/>
    </row>
    <row r="138" spans="1:14" ht="13">
      <c r="A138" s="316" t="s">
        <v>1670</v>
      </c>
      <c r="B138" s="316" t="s">
        <v>1973</v>
      </c>
      <c r="C138" s="316" t="s">
        <v>1973</v>
      </c>
      <c r="D138" s="316" t="s">
        <v>1973</v>
      </c>
      <c r="E138" s="317" t="s">
        <v>1973</v>
      </c>
      <c r="F138" s="318">
        <v>1</v>
      </c>
      <c r="G138" s="354" t="s">
        <v>62</v>
      </c>
      <c r="H138" s="320">
        <v>11500</v>
      </c>
      <c r="I138" s="321" t="b">
        <v>1</v>
      </c>
      <c r="J138" s="322">
        <v>1</v>
      </c>
      <c r="K138" s="323">
        <v>9800</v>
      </c>
      <c r="L138" s="370">
        <f t="shared" si="3"/>
        <v>9800</v>
      </c>
      <c r="M138" s="325" t="s">
        <v>1921</v>
      </c>
      <c r="N138" s="416"/>
    </row>
    <row r="139" spans="1:14" ht="13">
      <c r="A139" s="316" t="s">
        <v>1607</v>
      </c>
      <c r="B139" s="316" t="s">
        <v>1973</v>
      </c>
      <c r="C139" s="316" t="s">
        <v>1973</v>
      </c>
      <c r="D139" s="316" t="s">
        <v>1973</v>
      </c>
      <c r="E139" s="317" t="s">
        <v>1973</v>
      </c>
      <c r="F139" s="318">
        <v>1</v>
      </c>
      <c r="G139" s="354" t="s">
        <v>62</v>
      </c>
      <c r="H139" s="320">
        <v>11500</v>
      </c>
      <c r="I139" s="321" t="b">
        <v>1</v>
      </c>
      <c r="J139" s="322">
        <v>1</v>
      </c>
      <c r="K139" s="323">
        <v>8050</v>
      </c>
      <c r="L139" s="370">
        <f t="shared" si="3"/>
        <v>8050</v>
      </c>
      <c r="M139" s="325" t="s">
        <v>1922</v>
      </c>
      <c r="N139" s="416"/>
    </row>
    <row r="140" spans="1:14" ht="13">
      <c r="A140" s="316" t="s">
        <v>919</v>
      </c>
      <c r="B140" s="316" t="s">
        <v>1973</v>
      </c>
      <c r="C140" s="316" t="s">
        <v>1973</v>
      </c>
      <c r="D140" s="316" t="s">
        <v>1973</v>
      </c>
      <c r="E140" s="317" t="s">
        <v>1973</v>
      </c>
      <c r="F140" s="318">
        <v>3</v>
      </c>
      <c r="G140" s="354" t="s">
        <v>62</v>
      </c>
      <c r="H140" s="320">
        <v>29700</v>
      </c>
      <c r="I140" s="321" t="b">
        <v>1</v>
      </c>
      <c r="J140" s="322">
        <v>3</v>
      </c>
      <c r="K140" s="323">
        <v>8800</v>
      </c>
      <c r="L140" s="380">
        <f t="shared" si="3"/>
        <v>26400</v>
      </c>
      <c r="M140" s="325" t="s">
        <v>1893</v>
      </c>
      <c r="N140" s="416"/>
    </row>
    <row r="141" spans="1:14" ht="13">
      <c r="A141" s="316" t="s">
        <v>970</v>
      </c>
      <c r="B141" s="316" t="s">
        <v>1973</v>
      </c>
      <c r="C141" s="316" t="s">
        <v>1973</v>
      </c>
      <c r="D141" s="316" t="s">
        <v>1973</v>
      </c>
      <c r="E141" s="317" t="s">
        <v>1973</v>
      </c>
      <c r="F141" s="318">
        <v>1</v>
      </c>
      <c r="G141" s="354" t="s">
        <v>75</v>
      </c>
      <c r="H141" s="320">
        <v>16500</v>
      </c>
      <c r="I141" s="321" t="b">
        <v>1</v>
      </c>
      <c r="J141" s="322">
        <v>1</v>
      </c>
      <c r="K141" s="323" t="e">
        <f>VLOOKUP($A141,'[1]Database Bahan &amp; Alat (Terupdat'!$B$50:$N$232,6,FALSE)</f>
        <v>#N/A</v>
      </c>
      <c r="L141" s="371" t="e">
        <f t="shared" si="3"/>
        <v>#N/A</v>
      </c>
      <c r="M141" s="325"/>
      <c r="N141" s="416"/>
    </row>
    <row r="142" spans="1:14" ht="13">
      <c r="A142" s="18" t="s">
        <v>1609</v>
      </c>
      <c r="B142" s="316" t="s">
        <v>1973</v>
      </c>
      <c r="C142" s="316" t="s">
        <v>1973</v>
      </c>
      <c r="D142" s="316" t="s">
        <v>1973</v>
      </c>
      <c r="E142" s="317" t="s">
        <v>1973</v>
      </c>
      <c r="F142" s="318">
        <v>6</v>
      </c>
      <c r="G142" s="354" t="s">
        <v>36</v>
      </c>
      <c r="H142" s="320">
        <v>120000</v>
      </c>
      <c r="I142" s="321" t="b">
        <v>1</v>
      </c>
      <c r="J142" s="322">
        <v>6</v>
      </c>
      <c r="K142" s="323">
        <v>17000</v>
      </c>
      <c r="L142" s="380">
        <f t="shared" si="3"/>
        <v>102000</v>
      </c>
      <c r="M142" s="325" t="s">
        <v>1712</v>
      </c>
      <c r="N142" s="416"/>
    </row>
    <row r="143" spans="1:14" ht="13">
      <c r="A143" s="18" t="s">
        <v>1094</v>
      </c>
      <c r="B143" s="316" t="s">
        <v>1973</v>
      </c>
      <c r="C143" s="316" t="s">
        <v>1973</v>
      </c>
      <c r="D143" s="316" t="s">
        <v>1973</v>
      </c>
      <c r="E143" s="317" t="s">
        <v>1973</v>
      </c>
      <c r="F143" s="318">
        <v>1</v>
      </c>
      <c r="G143" s="354" t="s">
        <v>62</v>
      </c>
      <c r="H143" s="320">
        <v>17600</v>
      </c>
      <c r="I143" s="321" t="b">
        <v>1</v>
      </c>
      <c r="J143" s="322">
        <v>1</v>
      </c>
      <c r="K143" s="323" t="s">
        <v>1973</v>
      </c>
      <c r="L143" s="371" t="e">
        <f t="shared" si="3"/>
        <v>#VALUE!</v>
      </c>
      <c r="M143" s="325"/>
      <c r="N143" s="416"/>
    </row>
    <row r="144" spans="1:14" ht="13">
      <c r="A144" s="18" t="s">
        <v>1096</v>
      </c>
      <c r="B144" s="316" t="s">
        <v>1973</v>
      </c>
      <c r="C144" s="316" t="s">
        <v>1973</v>
      </c>
      <c r="D144" s="316" t="s">
        <v>1973</v>
      </c>
      <c r="E144" s="317" t="s">
        <v>1973</v>
      </c>
      <c r="F144" s="318">
        <v>1</v>
      </c>
      <c r="G144" s="354" t="s">
        <v>62</v>
      </c>
      <c r="H144" s="320">
        <v>9100</v>
      </c>
      <c r="I144" s="321" t="b">
        <v>1</v>
      </c>
      <c r="J144" s="322">
        <v>1</v>
      </c>
      <c r="K144" s="323" t="s">
        <v>1973</v>
      </c>
      <c r="L144" s="371" t="e">
        <f t="shared" si="3"/>
        <v>#VALUE!</v>
      </c>
      <c r="M144" s="325"/>
      <c r="N144" s="416"/>
    </row>
    <row r="145" spans="1:14" ht="13">
      <c r="A145" s="316" t="s">
        <v>536</v>
      </c>
      <c r="B145" s="316" t="s">
        <v>1973</v>
      </c>
      <c r="C145" s="316" t="s">
        <v>1973</v>
      </c>
      <c r="D145" s="316" t="s">
        <v>1973</v>
      </c>
      <c r="E145" s="317" t="s">
        <v>1973</v>
      </c>
      <c r="F145" s="318">
        <v>50</v>
      </c>
      <c r="G145" s="354" t="s">
        <v>1711</v>
      </c>
      <c r="H145" s="320">
        <v>8000</v>
      </c>
      <c r="I145" s="321" t="b">
        <v>1</v>
      </c>
      <c r="J145" s="322">
        <v>50</v>
      </c>
      <c r="K145" s="323" t="s">
        <v>1973</v>
      </c>
      <c r="L145" s="371" t="e">
        <f t="shared" si="3"/>
        <v>#VALUE!</v>
      </c>
      <c r="M145" s="325"/>
      <c r="N145" s="416"/>
    </row>
    <row r="146" spans="1:14" ht="13">
      <c r="A146" s="316" t="s">
        <v>631</v>
      </c>
      <c r="B146" s="316" t="s">
        <v>1973</v>
      </c>
      <c r="C146" s="316" t="s">
        <v>1973</v>
      </c>
      <c r="D146" s="316" t="s">
        <v>1973</v>
      </c>
      <c r="E146" s="317" t="s">
        <v>1973</v>
      </c>
      <c r="F146" s="318">
        <v>0.5</v>
      </c>
      <c r="G146" s="354" t="s">
        <v>36</v>
      </c>
      <c r="H146" s="320">
        <v>8000</v>
      </c>
      <c r="I146" s="321" t="b">
        <v>1</v>
      </c>
      <c r="J146" s="322">
        <v>0.5</v>
      </c>
      <c r="K146" s="323" t="s">
        <v>1973</v>
      </c>
      <c r="L146" s="371" t="e">
        <f t="shared" si="3"/>
        <v>#VALUE!</v>
      </c>
      <c r="M146" s="325"/>
      <c r="N146" s="416"/>
    </row>
    <row r="147" spans="1:14" ht="13">
      <c r="A147" s="316" t="s">
        <v>639</v>
      </c>
      <c r="B147" s="316" t="s">
        <v>1973</v>
      </c>
      <c r="C147" s="316" t="s">
        <v>1973</v>
      </c>
      <c r="D147" s="316" t="s">
        <v>1973</v>
      </c>
      <c r="E147" s="317" t="s">
        <v>1973</v>
      </c>
      <c r="F147" s="318">
        <v>1</v>
      </c>
      <c r="G147" s="354" t="s">
        <v>36</v>
      </c>
      <c r="H147" s="320">
        <v>125000</v>
      </c>
      <c r="I147" s="321" t="b">
        <v>1</v>
      </c>
      <c r="J147" s="322">
        <v>1</v>
      </c>
      <c r="K147" s="323" t="s">
        <v>1973</v>
      </c>
      <c r="L147" s="371" t="e">
        <f t="shared" si="3"/>
        <v>#VALUE!</v>
      </c>
      <c r="M147" s="325"/>
      <c r="N147" s="416"/>
    </row>
    <row r="148" spans="1:14" ht="13">
      <c r="A148" s="316" t="s">
        <v>1610</v>
      </c>
      <c r="B148" s="316" t="s">
        <v>1973</v>
      </c>
      <c r="C148" s="316" t="s">
        <v>1973</v>
      </c>
      <c r="D148" s="316" t="s">
        <v>1973</v>
      </c>
      <c r="E148" s="317" t="s">
        <v>1973</v>
      </c>
      <c r="F148" s="318">
        <v>2</v>
      </c>
      <c r="G148" s="354" t="s">
        <v>36</v>
      </c>
      <c r="H148" s="320">
        <v>20000</v>
      </c>
      <c r="I148" s="321" t="b">
        <v>1</v>
      </c>
      <c r="J148" s="322">
        <v>2</v>
      </c>
      <c r="K148" s="323" t="s">
        <v>1973</v>
      </c>
      <c r="L148" s="371" t="e">
        <f t="shared" si="3"/>
        <v>#VALUE!</v>
      </c>
      <c r="M148" s="325"/>
      <c r="N148" s="416"/>
    </row>
    <row r="149" spans="1:14" ht="13">
      <c r="A149" s="316" t="s">
        <v>1611</v>
      </c>
      <c r="B149" s="316" t="s">
        <v>1973</v>
      </c>
      <c r="C149" s="316" t="s">
        <v>1973</v>
      </c>
      <c r="D149" s="316" t="s">
        <v>1973</v>
      </c>
      <c r="E149" s="317" t="s">
        <v>1973</v>
      </c>
      <c r="F149" s="318">
        <v>5</v>
      </c>
      <c r="G149" s="354" t="s">
        <v>36</v>
      </c>
      <c r="H149" s="320">
        <v>250000</v>
      </c>
      <c r="I149" s="321" t="b">
        <v>1</v>
      </c>
      <c r="J149" s="322">
        <v>5</v>
      </c>
      <c r="K149" s="323">
        <v>48000</v>
      </c>
      <c r="L149" s="380">
        <f t="shared" si="3"/>
        <v>240000</v>
      </c>
      <c r="M149" s="325" t="s">
        <v>1725</v>
      </c>
      <c r="N149" s="416"/>
    </row>
    <row r="150" spans="1:14" ht="13">
      <c r="A150" s="316" t="s">
        <v>1612</v>
      </c>
      <c r="B150" s="316" t="s">
        <v>1973</v>
      </c>
      <c r="C150" s="316" t="s">
        <v>1973</v>
      </c>
      <c r="D150" s="316" t="s">
        <v>1973</v>
      </c>
      <c r="E150" s="317" t="s">
        <v>1973</v>
      </c>
      <c r="F150" s="318">
        <v>6</v>
      </c>
      <c r="G150" s="354" t="s">
        <v>36</v>
      </c>
      <c r="H150" s="320">
        <v>150000</v>
      </c>
      <c r="I150" s="321" t="b">
        <v>1</v>
      </c>
      <c r="J150" s="322">
        <v>6</v>
      </c>
      <c r="K150" s="323">
        <v>21000</v>
      </c>
      <c r="L150" s="380">
        <f t="shared" si="3"/>
        <v>126000</v>
      </c>
      <c r="M150" s="325" t="s">
        <v>1923</v>
      </c>
      <c r="N150" s="416"/>
    </row>
    <row r="151" spans="1:14" ht="13">
      <c r="A151" s="316" t="s">
        <v>1698</v>
      </c>
      <c r="B151" s="316" t="s">
        <v>1973</v>
      </c>
      <c r="C151" s="316" t="s">
        <v>1973</v>
      </c>
      <c r="D151" s="316" t="s">
        <v>1973</v>
      </c>
      <c r="E151" s="317" t="s">
        <v>1973</v>
      </c>
      <c r="F151" s="318">
        <v>3</v>
      </c>
      <c r="G151" s="354" t="s">
        <v>36</v>
      </c>
      <c r="H151" s="320">
        <v>111000</v>
      </c>
      <c r="I151" s="321" t="b">
        <v>1</v>
      </c>
      <c r="J151" s="322">
        <v>3</v>
      </c>
      <c r="K151" s="323">
        <v>36000</v>
      </c>
      <c r="L151" s="380">
        <f t="shared" si="3"/>
        <v>108000</v>
      </c>
      <c r="M151" s="325" t="s">
        <v>1924</v>
      </c>
      <c r="N151" s="416"/>
    </row>
    <row r="152" spans="1:14" ht="13">
      <c r="A152" s="316" t="s">
        <v>1699</v>
      </c>
      <c r="B152" s="316" t="s">
        <v>1973</v>
      </c>
      <c r="C152" s="316" t="s">
        <v>1973</v>
      </c>
      <c r="D152" s="316" t="s">
        <v>1973</v>
      </c>
      <c r="E152" s="317" t="s">
        <v>1973</v>
      </c>
      <c r="F152" s="318">
        <v>0.5</v>
      </c>
      <c r="G152" s="354" t="s">
        <v>36</v>
      </c>
      <c r="H152" s="320">
        <v>34000</v>
      </c>
      <c r="I152" s="321" t="b">
        <v>1</v>
      </c>
      <c r="J152" s="322">
        <v>0.5</v>
      </c>
      <c r="K152" s="323">
        <v>72000</v>
      </c>
      <c r="L152" s="379">
        <f t="shared" si="3"/>
        <v>36000</v>
      </c>
      <c r="M152" s="325" t="s">
        <v>1715</v>
      </c>
      <c r="N152" s="416"/>
    </row>
    <row r="153" spans="1:14" ht="13">
      <c r="A153" s="316" t="s">
        <v>1707</v>
      </c>
      <c r="B153" s="316" t="s">
        <v>1973</v>
      </c>
      <c r="C153" s="316" t="s">
        <v>1973</v>
      </c>
      <c r="D153" s="316" t="s">
        <v>1973</v>
      </c>
      <c r="E153" s="317" t="s">
        <v>1973</v>
      </c>
      <c r="F153" s="318">
        <v>0.3</v>
      </c>
      <c r="G153" s="354" t="s">
        <v>36</v>
      </c>
      <c r="H153" s="320">
        <v>8400</v>
      </c>
      <c r="I153" s="321" t="b">
        <v>1</v>
      </c>
      <c r="J153" s="322">
        <v>0.25</v>
      </c>
      <c r="K153" s="323">
        <v>40000</v>
      </c>
      <c r="L153" s="379">
        <f t="shared" si="3"/>
        <v>10000</v>
      </c>
      <c r="M153" s="325" t="s">
        <v>1925</v>
      </c>
      <c r="N153" s="416"/>
    </row>
    <row r="154" spans="1:14" ht="13">
      <c r="A154" s="316" t="s">
        <v>675</v>
      </c>
      <c r="B154" s="316" t="s">
        <v>1973</v>
      </c>
      <c r="C154" s="316" t="s">
        <v>1973</v>
      </c>
      <c r="D154" s="316" t="s">
        <v>1973</v>
      </c>
      <c r="E154" s="317" t="s">
        <v>1973</v>
      </c>
      <c r="F154" s="318">
        <v>20</v>
      </c>
      <c r="G154" s="354" t="s">
        <v>62</v>
      </c>
      <c r="H154" s="320">
        <v>90000</v>
      </c>
      <c r="I154" s="321" t="b">
        <v>1</v>
      </c>
      <c r="J154" s="322">
        <v>15</v>
      </c>
      <c r="K154" s="323" t="e">
        <f>VLOOKUP($A154,'[1]Database Bahan &amp; Alat (Terupdat'!$B$50:$N$232,6,FALSE)</f>
        <v>#N/A</v>
      </c>
      <c r="L154" s="370" t="e">
        <f t="shared" si="3"/>
        <v>#N/A</v>
      </c>
      <c r="M154" s="325" t="s">
        <v>1926</v>
      </c>
      <c r="N154" s="416"/>
    </row>
    <row r="155" spans="1:14" ht="13">
      <c r="A155" s="316" t="s">
        <v>712</v>
      </c>
      <c r="B155" s="316" t="s">
        <v>1973</v>
      </c>
      <c r="C155" s="316" t="s">
        <v>1973</v>
      </c>
      <c r="D155" s="316" t="s">
        <v>1973</v>
      </c>
      <c r="E155" s="317" t="s">
        <v>1973</v>
      </c>
      <c r="F155" s="318">
        <v>2</v>
      </c>
      <c r="G155" s="354" t="s">
        <v>36</v>
      </c>
      <c r="H155" s="320">
        <v>48000</v>
      </c>
      <c r="I155" s="321" t="b">
        <v>1</v>
      </c>
      <c r="J155" s="322">
        <v>2</v>
      </c>
      <c r="K155" s="323">
        <v>26000</v>
      </c>
      <c r="L155" s="379">
        <f t="shared" si="3"/>
        <v>52000</v>
      </c>
      <c r="M155" s="325" t="s">
        <v>1716</v>
      </c>
      <c r="N155" s="416"/>
    </row>
    <row r="156" spans="1:14" ht="13">
      <c r="A156" s="316" t="s">
        <v>732</v>
      </c>
      <c r="B156" s="316" t="s">
        <v>1973</v>
      </c>
      <c r="C156" s="316" t="s">
        <v>1973</v>
      </c>
      <c r="D156" s="316" t="s">
        <v>1973</v>
      </c>
      <c r="E156" s="317" t="s">
        <v>1973</v>
      </c>
      <c r="F156" s="318">
        <v>2</v>
      </c>
      <c r="G156" s="354" t="s">
        <v>36</v>
      </c>
      <c r="H156" s="320">
        <v>52000</v>
      </c>
      <c r="I156" s="321" t="b">
        <v>1</v>
      </c>
      <c r="J156" s="322">
        <v>2</v>
      </c>
      <c r="K156" s="323">
        <v>28000</v>
      </c>
      <c r="L156" s="379">
        <f t="shared" si="3"/>
        <v>56000</v>
      </c>
      <c r="M156" s="325" t="s">
        <v>1716</v>
      </c>
      <c r="N156" s="416"/>
    </row>
    <row r="157" spans="1:14" ht="13">
      <c r="A157" s="316" t="s">
        <v>744</v>
      </c>
      <c r="B157" s="316" t="s">
        <v>1973</v>
      </c>
      <c r="C157" s="316" t="s">
        <v>1973</v>
      </c>
      <c r="D157" s="316" t="s">
        <v>1973</v>
      </c>
      <c r="E157" s="317" t="s">
        <v>1973</v>
      </c>
      <c r="F157" s="318">
        <v>1</v>
      </c>
      <c r="G157" s="354" t="s">
        <v>36</v>
      </c>
      <c r="H157" s="320">
        <v>70000</v>
      </c>
      <c r="I157" s="321" t="b">
        <v>1</v>
      </c>
      <c r="J157" s="322">
        <v>1</v>
      </c>
      <c r="K157" s="323" t="s">
        <v>1973</v>
      </c>
      <c r="L157" s="371" t="e">
        <f t="shared" si="3"/>
        <v>#VALUE!</v>
      </c>
      <c r="M157" s="325"/>
      <c r="N157" s="416"/>
    </row>
    <row r="158" spans="1:14" ht="13">
      <c r="A158" s="316" t="s">
        <v>795</v>
      </c>
      <c r="B158" s="316" t="s">
        <v>1973</v>
      </c>
      <c r="C158" s="316" t="s">
        <v>1973</v>
      </c>
      <c r="D158" s="316" t="s">
        <v>1973</v>
      </c>
      <c r="E158" s="317" t="s">
        <v>1973</v>
      </c>
      <c r="F158" s="318">
        <v>10</v>
      </c>
      <c r="G158" s="354" t="s">
        <v>62</v>
      </c>
      <c r="H158" s="320">
        <v>50000</v>
      </c>
      <c r="I158" s="321" t="b">
        <v>1</v>
      </c>
      <c r="J158" s="322">
        <v>10</v>
      </c>
      <c r="K158" s="323" t="s">
        <v>1973</v>
      </c>
      <c r="L158" s="371" t="e">
        <f t="shared" si="3"/>
        <v>#VALUE!</v>
      </c>
      <c r="M158" s="325"/>
      <c r="N158" s="416"/>
    </row>
    <row r="159" spans="1:14" ht="13">
      <c r="A159" s="316" t="s">
        <v>1704</v>
      </c>
      <c r="B159" s="316" t="s">
        <v>1973</v>
      </c>
      <c r="C159" s="316" t="s">
        <v>1973</v>
      </c>
      <c r="D159" s="316" t="s">
        <v>1973</v>
      </c>
      <c r="E159" s="317" t="s">
        <v>1973</v>
      </c>
      <c r="F159" s="318">
        <v>0.25</v>
      </c>
      <c r="G159" s="354" t="s">
        <v>36</v>
      </c>
      <c r="H159" s="320">
        <v>3000</v>
      </c>
      <c r="I159" s="321" t="b">
        <v>1</v>
      </c>
      <c r="J159" s="322">
        <v>0.25</v>
      </c>
      <c r="K159" s="323">
        <v>10000</v>
      </c>
      <c r="L159" s="380">
        <f t="shared" si="3"/>
        <v>2500</v>
      </c>
      <c r="M159" s="325" t="s">
        <v>1719</v>
      </c>
      <c r="N159" s="416"/>
    </row>
    <row r="160" spans="1:14" ht="13">
      <c r="A160" s="316" t="s">
        <v>819</v>
      </c>
      <c r="B160" s="316" t="s">
        <v>1973</v>
      </c>
      <c r="C160" s="316" t="s">
        <v>1973</v>
      </c>
      <c r="D160" s="316" t="s">
        <v>1973</v>
      </c>
      <c r="E160" s="317" t="s">
        <v>1973</v>
      </c>
      <c r="F160" s="318">
        <v>0.25</v>
      </c>
      <c r="G160" s="354" t="s">
        <v>36</v>
      </c>
      <c r="H160" s="320">
        <v>5000</v>
      </c>
      <c r="I160" s="321" t="b">
        <v>1</v>
      </c>
      <c r="J160" s="322">
        <v>0.25</v>
      </c>
      <c r="K160" s="323" t="s">
        <v>1973</v>
      </c>
      <c r="L160" s="371" t="e">
        <f t="shared" si="3"/>
        <v>#VALUE!</v>
      </c>
      <c r="M160" s="325"/>
      <c r="N160" s="416"/>
    </row>
    <row r="161" spans="1:14" ht="13">
      <c r="A161" s="316" t="s">
        <v>827</v>
      </c>
      <c r="B161" s="316" t="s">
        <v>1973</v>
      </c>
      <c r="C161" s="316" t="s">
        <v>1973</v>
      </c>
      <c r="D161" s="316" t="s">
        <v>1973</v>
      </c>
      <c r="E161" s="317" t="s">
        <v>1973</v>
      </c>
      <c r="F161" s="318">
        <v>0.5</v>
      </c>
      <c r="G161" s="354" t="s">
        <v>36</v>
      </c>
      <c r="H161" s="320">
        <v>4000</v>
      </c>
      <c r="I161" s="321" t="b">
        <v>1</v>
      </c>
      <c r="J161" s="322">
        <v>0.5</v>
      </c>
      <c r="K161" s="323" t="s">
        <v>1973</v>
      </c>
      <c r="L161" s="371" t="e">
        <f t="shared" si="3"/>
        <v>#VALUE!</v>
      </c>
      <c r="M161" s="325"/>
      <c r="N161" s="416"/>
    </row>
    <row r="162" spans="1:14" ht="13">
      <c r="A162" s="316" t="s">
        <v>1709</v>
      </c>
      <c r="B162" s="316" t="s">
        <v>1973</v>
      </c>
      <c r="C162" s="316" t="s">
        <v>1973</v>
      </c>
      <c r="D162" s="316" t="s">
        <v>1973</v>
      </c>
      <c r="E162" s="317" t="s">
        <v>1973</v>
      </c>
      <c r="F162" s="318">
        <v>5</v>
      </c>
      <c r="G162" s="354" t="s">
        <v>62</v>
      </c>
      <c r="H162" s="320">
        <v>12500</v>
      </c>
      <c r="I162" s="321" t="b">
        <v>1</v>
      </c>
      <c r="J162" s="322">
        <v>5</v>
      </c>
      <c r="K162" s="323" t="s">
        <v>1973</v>
      </c>
      <c r="L162" s="371" t="e">
        <f t="shared" si="3"/>
        <v>#VALUE!</v>
      </c>
      <c r="M162" s="325"/>
      <c r="N162" s="416"/>
    </row>
    <row r="163" spans="1:14" ht="13">
      <c r="A163" s="316" t="s">
        <v>1501</v>
      </c>
      <c r="B163" s="316" t="s">
        <v>1973</v>
      </c>
      <c r="C163" s="316" t="s">
        <v>1973</v>
      </c>
      <c r="D163" s="316" t="s">
        <v>1973</v>
      </c>
      <c r="E163" s="317" t="s">
        <v>1973</v>
      </c>
      <c r="F163" s="318">
        <v>0.75</v>
      </c>
      <c r="G163" s="354" t="s">
        <v>36</v>
      </c>
      <c r="H163" s="320">
        <v>22500</v>
      </c>
      <c r="I163" s="321" t="b">
        <v>1</v>
      </c>
      <c r="J163" s="322">
        <f>0.198+0.2</f>
        <v>0.39800000000000002</v>
      </c>
      <c r="K163" s="323" t="s">
        <v>1973</v>
      </c>
      <c r="L163" s="370" t="e">
        <f t="shared" si="3"/>
        <v>#VALUE!</v>
      </c>
      <c r="M163" s="325" t="s">
        <v>1927</v>
      </c>
      <c r="N163" s="416"/>
    </row>
    <row r="164" spans="1:14" ht="13">
      <c r="A164" s="316" t="s">
        <v>1020</v>
      </c>
      <c r="B164" s="316" t="s">
        <v>1973</v>
      </c>
      <c r="C164" s="316" t="s">
        <v>1973</v>
      </c>
      <c r="D164" s="316" t="s">
        <v>1973</v>
      </c>
      <c r="E164" s="317" t="s">
        <v>1973</v>
      </c>
      <c r="F164" s="318">
        <v>1</v>
      </c>
      <c r="G164" s="354" t="s">
        <v>36</v>
      </c>
      <c r="H164" s="320">
        <v>12000</v>
      </c>
      <c r="I164" s="321" t="b">
        <v>1</v>
      </c>
      <c r="J164" s="322">
        <v>1</v>
      </c>
      <c r="K164" s="323">
        <v>10000</v>
      </c>
      <c r="L164" s="380">
        <f t="shared" si="3"/>
        <v>10000</v>
      </c>
      <c r="M164" s="325" t="s">
        <v>1724</v>
      </c>
      <c r="N164" s="416"/>
    </row>
    <row r="165" spans="1:14" ht="13">
      <c r="A165" s="316" t="s">
        <v>1600</v>
      </c>
      <c r="B165" s="316" t="s">
        <v>1973</v>
      </c>
      <c r="C165" s="316" t="s">
        <v>1973</v>
      </c>
      <c r="D165" s="316" t="s">
        <v>1973</v>
      </c>
      <c r="E165" s="317" t="s">
        <v>1973</v>
      </c>
      <c r="F165" s="318">
        <v>1</v>
      </c>
      <c r="G165" s="354" t="s">
        <v>36</v>
      </c>
      <c r="H165" s="320">
        <v>10000</v>
      </c>
      <c r="I165" s="321" t="b">
        <v>1</v>
      </c>
      <c r="J165" s="322">
        <v>1</v>
      </c>
      <c r="K165" s="323" t="s">
        <v>1973</v>
      </c>
      <c r="L165" s="371" t="e">
        <f t="shared" si="3"/>
        <v>#VALUE!</v>
      </c>
      <c r="M165" s="325"/>
      <c r="N165" s="416"/>
    </row>
    <row r="166" spans="1:14" ht="13">
      <c r="A166" s="316" t="s">
        <v>1541</v>
      </c>
      <c r="B166" s="316" t="s">
        <v>1973</v>
      </c>
      <c r="C166" s="316" t="s">
        <v>1973</v>
      </c>
      <c r="D166" s="316" t="s">
        <v>1973</v>
      </c>
      <c r="E166" s="317" t="s">
        <v>1973</v>
      </c>
      <c r="F166" s="318">
        <v>1</v>
      </c>
      <c r="G166" s="354" t="s">
        <v>97</v>
      </c>
      <c r="H166" s="320">
        <v>195000</v>
      </c>
      <c r="I166" s="321" t="b">
        <v>0</v>
      </c>
      <c r="J166" s="376"/>
      <c r="K166" s="377" t="s">
        <v>1973</v>
      </c>
      <c r="L166" s="378" t="e">
        <f t="shared" si="3"/>
        <v>#VALUE!</v>
      </c>
      <c r="M166" s="325"/>
      <c r="N166" s="416"/>
    </row>
    <row r="167" spans="1:14" ht="13">
      <c r="A167" s="316" t="s">
        <v>688</v>
      </c>
      <c r="B167" s="316" t="s">
        <v>1973</v>
      </c>
      <c r="C167" s="316" t="s">
        <v>1973</v>
      </c>
      <c r="D167" s="316" t="s">
        <v>1973</v>
      </c>
      <c r="E167" s="317" t="s">
        <v>1973</v>
      </c>
      <c r="F167" s="318">
        <v>2</v>
      </c>
      <c r="G167" s="354" t="s">
        <v>62</v>
      </c>
      <c r="H167" s="320">
        <v>115940</v>
      </c>
      <c r="I167" s="321" t="b">
        <v>1</v>
      </c>
      <c r="J167" s="322">
        <v>1</v>
      </c>
      <c r="K167" s="323">
        <v>63200</v>
      </c>
      <c r="L167" s="370">
        <f t="shared" si="3"/>
        <v>63200</v>
      </c>
      <c r="M167" s="325" t="s">
        <v>1928</v>
      </c>
      <c r="N167" s="416"/>
    </row>
    <row r="168" spans="1:14" ht="13">
      <c r="A168" s="316" t="s">
        <v>1751</v>
      </c>
      <c r="B168" s="316" t="s">
        <v>1973</v>
      </c>
      <c r="C168" s="316" t="s">
        <v>1973</v>
      </c>
      <c r="D168" s="316" t="s">
        <v>1973</v>
      </c>
      <c r="E168" s="317" t="s">
        <v>1973</v>
      </c>
      <c r="F168" s="318">
        <v>10</v>
      </c>
      <c r="G168" s="354" t="s">
        <v>36</v>
      </c>
      <c r="H168" s="320">
        <v>120000</v>
      </c>
      <c r="I168" s="321" t="b">
        <v>1</v>
      </c>
      <c r="J168" s="322">
        <v>5</v>
      </c>
      <c r="K168" s="323" t="s">
        <v>1973</v>
      </c>
      <c r="L168" s="370" t="e">
        <f t="shared" si="3"/>
        <v>#VALUE!</v>
      </c>
      <c r="M168" s="325" t="s">
        <v>1929</v>
      </c>
      <c r="N168" s="416"/>
    </row>
    <row r="169" spans="1:14" ht="13">
      <c r="A169" s="316" t="s">
        <v>779</v>
      </c>
      <c r="B169" s="316" t="s">
        <v>1973</v>
      </c>
      <c r="C169" s="316" t="s">
        <v>1973</v>
      </c>
      <c r="D169" s="316" t="s">
        <v>1973</v>
      </c>
      <c r="E169" s="317" t="s">
        <v>1973</v>
      </c>
      <c r="F169" s="318">
        <v>3</v>
      </c>
      <c r="G169" s="354" t="s">
        <v>62</v>
      </c>
      <c r="H169" s="320">
        <v>115500</v>
      </c>
      <c r="I169" s="321" t="b">
        <v>0</v>
      </c>
      <c r="J169" s="322"/>
      <c r="K169" s="323" t="s">
        <v>1973</v>
      </c>
      <c r="L169" s="324" t="e">
        <f t="shared" si="3"/>
        <v>#VALUE!</v>
      </c>
      <c r="M169" s="325"/>
      <c r="N169" s="416"/>
    </row>
    <row r="170" spans="1:14" ht="13">
      <c r="A170" s="316" t="s">
        <v>1606</v>
      </c>
      <c r="B170" s="316" t="s">
        <v>1973</v>
      </c>
      <c r="C170" s="316" t="s">
        <v>1973</v>
      </c>
      <c r="D170" s="316" t="s">
        <v>1973</v>
      </c>
      <c r="E170" s="317" t="s">
        <v>1973</v>
      </c>
      <c r="F170" s="318">
        <v>1</v>
      </c>
      <c r="G170" s="354" t="s">
        <v>36</v>
      </c>
      <c r="H170" s="320">
        <v>43200</v>
      </c>
      <c r="I170" s="321" t="b">
        <v>1</v>
      </c>
      <c r="J170" s="322">
        <v>0.74</v>
      </c>
      <c r="K170" s="323" t="s">
        <v>1973</v>
      </c>
      <c r="L170" s="370" t="e">
        <f t="shared" si="3"/>
        <v>#VALUE!</v>
      </c>
      <c r="M170" s="325" t="s">
        <v>1930</v>
      </c>
      <c r="N170" s="416"/>
    </row>
    <row r="171" spans="1:14" ht="13">
      <c r="A171" s="316" t="s">
        <v>910</v>
      </c>
      <c r="B171" s="316" t="s">
        <v>1973</v>
      </c>
      <c r="C171" s="316" t="s">
        <v>1973</v>
      </c>
      <c r="D171" s="316" t="s">
        <v>1973</v>
      </c>
      <c r="E171" s="317" t="s">
        <v>1973</v>
      </c>
      <c r="F171" s="318">
        <v>5</v>
      </c>
      <c r="G171" s="354" t="s">
        <v>62</v>
      </c>
      <c r="H171" s="320">
        <v>65000</v>
      </c>
      <c r="I171" s="321" t="b">
        <v>1</v>
      </c>
      <c r="J171" s="322">
        <v>4</v>
      </c>
      <c r="K171" s="323" t="s">
        <v>1973</v>
      </c>
      <c r="L171" s="370" t="e">
        <f t="shared" si="3"/>
        <v>#VALUE!</v>
      </c>
      <c r="M171" s="325" t="s">
        <v>1931</v>
      </c>
      <c r="N171" s="416"/>
    </row>
    <row r="172" spans="1:14" ht="13">
      <c r="A172" s="316" t="s">
        <v>540</v>
      </c>
      <c r="B172" s="316" t="s">
        <v>1973</v>
      </c>
      <c r="C172" s="316" t="s">
        <v>1973</v>
      </c>
      <c r="D172" s="316" t="s">
        <v>1973</v>
      </c>
      <c r="E172" s="317" t="s">
        <v>1973</v>
      </c>
      <c r="F172" s="318">
        <v>3</v>
      </c>
      <c r="G172" s="354" t="s">
        <v>36</v>
      </c>
      <c r="H172" s="320">
        <v>510000</v>
      </c>
      <c r="I172" s="321" t="b">
        <v>0</v>
      </c>
      <c r="J172" s="376"/>
      <c r="K172" s="377" t="s">
        <v>1973</v>
      </c>
      <c r="L172" s="378" t="e">
        <f t="shared" si="3"/>
        <v>#VALUE!</v>
      </c>
      <c r="M172" s="325"/>
      <c r="N172" s="416"/>
    </row>
    <row r="173" spans="1:14" ht="13">
      <c r="A173" s="316" t="s">
        <v>528</v>
      </c>
      <c r="B173" s="316" t="s">
        <v>1973</v>
      </c>
      <c r="C173" s="316" t="s">
        <v>1973</v>
      </c>
      <c r="D173" s="316" t="s">
        <v>1973</v>
      </c>
      <c r="E173" s="317" t="s">
        <v>1973</v>
      </c>
      <c r="F173" s="318">
        <v>3</v>
      </c>
      <c r="G173" s="354" t="s">
        <v>50</v>
      </c>
      <c r="H173" s="320">
        <v>48000</v>
      </c>
      <c r="I173" s="321" t="b">
        <v>1</v>
      </c>
      <c r="J173" s="322">
        <v>3</v>
      </c>
      <c r="K173" s="323" t="s">
        <v>1973</v>
      </c>
      <c r="L173" s="371" t="e">
        <f t="shared" si="3"/>
        <v>#VALUE!</v>
      </c>
      <c r="M173" s="325"/>
      <c r="N173" s="416"/>
    </row>
    <row r="174" spans="1:14" ht="13">
      <c r="A174" s="316" t="s">
        <v>1603</v>
      </c>
      <c r="B174" s="316" t="s">
        <v>1973</v>
      </c>
      <c r="C174" s="316" t="s">
        <v>1973</v>
      </c>
      <c r="D174" s="316" t="s">
        <v>1973</v>
      </c>
      <c r="E174" s="317" t="s">
        <v>1973</v>
      </c>
      <c r="F174" s="318">
        <v>1</v>
      </c>
      <c r="G174" s="354" t="s">
        <v>62</v>
      </c>
      <c r="H174" s="320">
        <v>60000</v>
      </c>
      <c r="I174" s="321" t="b">
        <v>1</v>
      </c>
      <c r="J174" s="322">
        <v>1</v>
      </c>
      <c r="K174" s="323" t="s">
        <v>1973</v>
      </c>
      <c r="L174" s="371" t="e">
        <f t="shared" si="3"/>
        <v>#VALUE!</v>
      </c>
      <c r="M174" s="325"/>
      <c r="N174" s="416"/>
    </row>
    <row r="175" spans="1:14" ht="13">
      <c r="A175" s="316" t="s">
        <v>635</v>
      </c>
      <c r="B175" s="316" t="s">
        <v>1973</v>
      </c>
      <c r="C175" s="316" t="s">
        <v>1973</v>
      </c>
      <c r="D175" s="316" t="s">
        <v>1973</v>
      </c>
      <c r="E175" s="317" t="s">
        <v>1973</v>
      </c>
      <c r="F175" s="318">
        <v>6</v>
      </c>
      <c r="G175" s="354" t="s">
        <v>50</v>
      </c>
      <c r="H175" s="320">
        <v>57000</v>
      </c>
      <c r="I175" s="321" t="b">
        <v>1</v>
      </c>
      <c r="J175" s="322">
        <v>6</v>
      </c>
      <c r="K175" s="323" t="s">
        <v>1973</v>
      </c>
      <c r="L175" s="371" t="e">
        <f t="shared" si="3"/>
        <v>#VALUE!</v>
      </c>
      <c r="M175" s="325"/>
      <c r="N175" s="416"/>
    </row>
    <row r="176" spans="1:14" ht="13">
      <c r="A176" s="316" t="s">
        <v>643</v>
      </c>
      <c r="B176" s="316" t="s">
        <v>1973</v>
      </c>
      <c r="C176" s="316" t="s">
        <v>1973</v>
      </c>
      <c r="D176" s="316" t="s">
        <v>1973</v>
      </c>
      <c r="E176" s="317" t="s">
        <v>1973</v>
      </c>
      <c r="F176" s="318">
        <v>1</v>
      </c>
      <c r="G176" s="354" t="s">
        <v>36</v>
      </c>
      <c r="H176" s="320">
        <v>15000</v>
      </c>
      <c r="I176" s="321" t="b">
        <v>1</v>
      </c>
      <c r="J176" s="322">
        <v>1</v>
      </c>
      <c r="K176" s="323">
        <v>16800</v>
      </c>
      <c r="L176" s="370">
        <f t="shared" si="3"/>
        <v>16800</v>
      </c>
      <c r="M176" s="325" t="s">
        <v>1932</v>
      </c>
      <c r="N176" s="416"/>
    </row>
    <row r="177" spans="1:14" ht="13">
      <c r="A177" s="316" t="s">
        <v>647</v>
      </c>
      <c r="B177" s="316" t="s">
        <v>1973</v>
      </c>
      <c r="C177" s="316" t="s">
        <v>1973</v>
      </c>
      <c r="D177" s="316" t="s">
        <v>1973</v>
      </c>
      <c r="E177" s="317" t="s">
        <v>1973</v>
      </c>
      <c r="F177" s="318">
        <v>1</v>
      </c>
      <c r="G177" s="354" t="s">
        <v>75</v>
      </c>
      <c r="H177" s="320">
        <v>48000</v>
      </c>
      <c r="I177" s="321" t="b">
        <v>1</v>
      </c>
      <c r="J177" s="322">
        <v>1</v>
      </c>
      <c r="K177" s="323">
        <v>65000</v>
      </c>
      <c r="L177" s="370">
        <f t="shared" si="3"/>
        <v>65000</v>
      </c>
      <c r="M177" s="325" t="s">
        <v>1933</v>
      </c>
      <c r="N177" s="416"/>
    </row>
    <row r="178" spans="1:14" ht="13">
      <c r="A178" s="316" t="s">
        <v>684</v>
      </c>
      <c r="B178" s="316" t="s">
        <v>1973</v>
      </c>
      <c r="C178" s="316" t="s">
        <v>1973</v>
      </c>
      <c r="D178" s="316" t="s">
        <v>1973</v>
      </c>
      <c r="E178" s="317" t="s">
        <v>1973</v>
      </c>
      <c r="F178" s="318">
        <v>1</v>
      </c>
      <c r="G178" s="354" t="s">
        <v>97</v>
      </c>
      <c r="H178" s="320">
        <v>31000</v>
      </c>
      <c r="I178" s="321" t="b">
        <v>1</v>
      </c>
      <c r="J178" s="322">
        <v>1</v>
      </c>
      <c r="K178" s="323">
        <v>30000</v>
      </c>
      <c r="L178" s="380">
        <f t="shared" si="3"/>
        <v>30000</v>
      </c>
      <c r="M178" s="325" t="s">
        <v>1723</v>
      </c>
      <c r="N178" s="416"/>
    </row>
    <row r="179" spans="1:14" ht="13">
      <c r="A179" s="316" t="s">
        <v>892</v>
      </c>
      <c r="B179" s="316" t="s">
        <v>1973</v>
      </c>
      <c r="C179" s="316" t="s">
        <v>1973</v>
      </c>
      <c r="D179" s="316" t="s">
        <v>1973</v>
      </c>
      <c r="E179" s="317" t="s">
        <v>1973</v>
      </c>
      <c r="F179" s="318">
        <v>2</v>
      </c>
      <c r="G179" s="354" t="s">
        <v>36</v>
      </c>
      <c r="H179" s="320">
        <v>250000</v>
      </c>
      <c r="I179" s="321" t="b">
        <v>1</v>
      </c>
      <c r="J179" s="322">
        <v>2</v>
      </c>
      <c r="K179" s="323" t="e">
        <f>VLOOKUP($A179,'[1]Database Bahan &amp; Alat (Terupdat'!$B$50:$N$232,6,FALSE)</f>
        <v>#N/A</v>
      </c>
      <c r="L179" s="371" t="e">
        <f t="shared" si="3"/>
        <v>#N/A</v>
      </c>
      <c r="M179" s="325"/>
      <c r="N179" s="416"/>
    </row>
    <row r="181" spans="1:14" ht="13">
      <c r="F181" s="429">
        <v>44603</v>
      </c>
      <c r="G181" s="428"/>
      <c r="H181" s="424"/>
      <c r="J181" s="429">
        <f>F181+1</f>
        <v>44604</v>
      </c>
      <c r="K181" s="428"/>
      <c r="L181" s="424"/>
    </row>
    <row r="182" spans="1:14" ht="13">
      <c r="F182" s="425" t="s">
        <v>1490</v>
      </c>
      <c r="G182" s="426"/>
      <c r="H182" s="304">
        <f>SUM(H184:H255)</f>
        <v>6124804</v>
      </c>
      <c r="J182" s="425" t="s">
        <v>1491</v>
      </c>
      <c r="K182" s="426"/>
      <c r="L182" s="304" t="e">
        <f>SUM(L184:L255)</f>
        <v>#VALUE!</v>
      </c>
    </row>
    <row r="183" spans="1:14" ht="13">
      <c r="A183" s="2" t="s">
        <v>4</v>
      </c>
      <c r="B183" s="305" t="s">
        <v>5</v>
      </c>
      <c r="C183" s="305" t="s">
        <v>11</v>
      </c>
      <c r="D183" s="305" t="s">
        <v>12</v>
      </c>
      <c r="E183" s="306" t="s">
        <v>6</v>
      </c>
      <c r="F183" s="307" t="s">
        <v>1494</v>
      </c>
      <c r="G183" s="308" t="s">
        <v>10</v>
      </c>
      <c r="H183" s="309" t="s">
        <v>1495</v>
      </c>
      <c r="I183" s="310" t="s">
        <v>1289</v>
      </c>
      <c r="J183" s="311" t="s">
        <v>1496</v>
      </c>
      <c r="K183" s="312" t="s">
        <v>1497</v>
      </c>
      <c r="L183" s="313" t="s">
        <v>1498</v>
      </c>
      <c r="M183" s="314" t="s">
        <v>16</v>
      </c>
      <c r="N183" s="415"/>
    </row>
    <row r="184" spans="1:14" ht="13">
      <c r="A184" s="316" t="s">
        <v>544</v>
      </c>
      <c r="B184" s="316" t="s">
        <v>1973</v>
      </c>
      <c r="C184" s="316" t="s">
        <v>1973</v>
      </c>
      <c r="D184" s="316" t="s">
        <v>1973</v>
      </c>
      <c r="E184" s="317" t="s">
        <v>1973</v>
      </c>
      <c r="F184" s="318">
        <v>5</v>
      </c>
      <c r="G184" s="354" t="s">
        <v>62</v>
      </c>
      <c r="H184" s="320">
        <v>113000</v>
      </c>
      <c r="I184" s="321" t="b">
        <v>1</v>
      </c>
      <c r="J184" s="322">
        <v>3</v>
      </c>
      <c r="K184" s="323" t="s">
        <v>1973</v>
      </c>
      <c r="L184" s="370" t="e">
        <f t="shared" ref="L184:L255" si="4">J184*K184</f>
        <v>#VALUE!</v>
      </c>
      <c r="M184" s="325" t="s">
        <v>1934</v>
      </c>
      <c r="N184" s="416">
        <v>45200</v>
      </c>
    </row>
    <row r="185" spans="1:14" ht="13">
      <c r="A185" s="316" t="s">
        <v>586</v>
      </c>
      <c r="B185" s="316" t="s">
        <v>1973</v>
      </c>
      <c r="C185" s="316" t="s">
        <v>1973</v>
      </c>
      <c r="D185" s="316" t="s">
        <v>1973</v>
      </c>
      <c r="E185" s="317" t="s">
        <v>1973</v>
      </c>
      <c r="F185" s="318">
        <v>4</v>
      </c>
      <c r="G185" s="354" t="s">
        <v>62</v>
      </c>
      <c r="H185" s="320">
        <v>28800</v>
      </c>
      <c r="I185" s="321" t="b">
        <v>1</v>
      </c>
      <c r="J185" s="322">
        <v>2</v>
      </c>
      <c r="K185" s="323" t="s">
        <v>1973</v>
      </c>
      <c r="L185" s="370" t="e">
        <f t="shared" si="4"/>
        <v>#VALUE!</v>
      </c>
      <c r="M185" s="325" t="s">
        <v>1935</v>
      </c>
      <c r="N185" s="416">
        <v>14400</v>
      </c>
    </row>
    <row r="186" spans="1:14" ht="13">
      <c r="A186" s="316" t="s">
        <v>627</v>
      </c>
      <c r="B186" s="316" t="s">
        <v>1973</v>
      </c>
      <c r="C186" s="316" t="s">
        <v>1973</v>
      </c>
      <c r="D186" s="316" t="s">
        <v>1973</v>
      </c>
      <c r="E186" s="317" t="s">
        <v>1973</v>
      </c>
      <c r="F186" s="318">
        <v>0.5</v>
      </c>
      <c r="G186" s="354" t="s">
        <v>36</v>
      </c>
      <c r="H186" s="320">
        <v>18950</v>
      </c>
      <c r="I186" s="321" t="b">
        <v>1</v>
      </c>
      <c r="J186" s="322">
        <v>0.75</v>
      </c>
      <c r="K186" s="323" t="s">
        <v>1973</v>
      </c>
      <c r="L186" s="370" t="e">
        <f t="shared" si="4"/>
        <v>#VALUE!</v>
      </c>
      <c r="M186" s="325" t="s">
        <v>1936</v>
      </c>
      <c r="N186" s="416">
        <v>-9295</v>
      </c>
    </row>
    <row r="187" spans="1:14" ht="13">
      <c r="A187" s="316" t="s">
        <v>770</v>
      </c>
      <c r="B187" s="316" t="s">
        <v>1973</v>
      </c>
      <c r="C187" s="316" t="s">
        <v>1973</v>
      </c>
      <c r="D187" s="316" t="s">
        <v>1973</v>
      </c>
      <c r="E187" s="317" t="s">
        <v>1973</v>
      </c>
      <c r="F187" s="318">
        <v>1</v>
      </c>
      <c r="G187" s="354" t="s">
        <v>97</v>
      </c>
      <c r="H187" s="320">
        <v>24400</v>
      </c>
      <c r="I187" s="319" t="b">
        <v>0</v>
      </c>
      <c r="J187" s="372"/>
      <c r="K187" s="373" t="s">
        <v>1973</v>
      </c>
      <c r="L187" s="374" t="e">
        <f t="shared" si="4"/>
        <v>#VALUE!</v>
      </c>
      <c r="M187" s="325"/>
      <c r="N187" s="416"/>
    </row>
    <row r="188" spans="1:14" ht="13">
      <c r="A188" s="316" t="s">
        <v>782</v>
      </c>
      <c r="B188" s="316" t="s">
        <v>1973</v>
      </c>
      <c r="C188" s="316" t="s">
        <v>1973</v>
      </c>
      <c r="D188" s="316" t="s">
        <v>1973</v>
      </c>
      <c r="E188" s="317" t="s">
        <v>1973</v>
      </c>
      <c r="F188" s="318">
        <v>1</v>
      </c>
      <c r="G188" s="354" t="s">
        <v>62</v>
      </c>
      <c r="H188" s="320">
        <v>12000</v>
      </c>
      <c r="I188" s="321" t="b">
        <v>1</v>
      </c>
      <c r="J188" s="322">
        <v>1</v>
      </c>
      <c r="K188" s="323" t="s">
        <v>1973</v>
      </c>
      <c r="L188" s="371" t="e">
        <f t="shared" si="4"/>
        <v>#VALUE!</v>
      </c>
      <c r="M188" s="325"/>
      <c r="N188" s="416"/>
    </row>
    <row r="189" spans="1:14" ht="13">
      <c r="A189" s="316" t="s">
        <v>1670</v>
      </c>
      <c r="B189" s="316" t="s">
        <v>1973</v>
      </c>
      <c r="C189" s="316" t="s">
        <v>1973</v>
      </c>
      <c r="D189" s="316" t="s">
        <v>1973</v>
      </c>
      <c r="E189" s="317" t="s">
        <v>1973</v>
      </c>
      <c r="F189" s="318">
        <v>1</v>
      </c>
      <c r="G189" s="354" t="s">
        <v>62</v>
      </c>
      <c r="H189" s="320">
        <v>11500</v>
      </c>
      <c r="I189" s="321" t="b">
        <v>1</v>
      </c>
      <c r="J189" s="322">
        <v>1</v>
      </c>
      <c r="K189" s="323">
        <v>7800</v>
      </c>
      <c r="L189" s="370">
        <f t="shared" si="4"/>
        <v>7800</v>
      </c>
      <c r="M189" s="325" t="s">
        <v>1937</v>
      </c>
      <c r="N189" s="416">
        <v>3700</v>
      </c>
    </row>
    <row r="190" spans="1:14" ht="13">
      <c r="A190" s="316" t="s">
        <v>1607</v>
      </c>
      <c r="B190" s="316" t="s">
        <v>1973</v>
      </c>
      <c r="C190" s="316" t="s">
        <v>1973</v>
      </c>
      <c r="D190" s="316" t="s">
        <v>1973</v>
      </c>
      <c r="E190" s="317" t="s">
        <v>1973</v>
      </c>
      <c r="F190" s="318">
        <v>1</v>
      </c>
      <c r="G190" s="354" t="s">
        <v>62</v>
      </c>
      <c r="H190" s="320">
        <v>11500</v>
      </c>
      <c r="I190" s="321" t="b">
        <v>1</v>
      </c>
      <c r="J190" s="322">
        <v>1</v>
      </c>
      <c r="K190" s="323">
        <v>8000</v>
      </c>
      <c r="L190" s="370">
        <f t="shared" si="4"/>
        <v>8000</v>
      </c>
      <c r="M190" s="325" t="s">
        <v>1938</v>
      </c>
      <c r="N190" s="416">
        <v>3500</v>
      </c>
    </row>
    <row r="191" spans="1:14" ht="13">
      <c r="A191" s="316" t="s">
        <v>919</v>
      </c>
      <c r="B191" s="316" t="s">
        <v>1973</v>
      </c>
      <c r="C191" s="316" t="s">
        <v>1973</v>
      </c>
      <c r="D191" s="316" t="s">
        <v>1973</v>
      </c>
      <c r="E191" s="317" t="s">
        <v>1973</v>
      </c>
      <c r="F191" s="318">
        <v>3</v>
      </c>
      <c r="G191" s="354" t="s">
        <v>62</v>
      </c>
      <c r="H191" s="320">
        <v>29700</v>
      </c>
      <c r="I191" s="321" t="b">
        <v>1</v>
      </c>
      <c r="J191" s="322">
        <v>3</v>
      </c>
      <c r="K191" s="323">
        <v>8800</v>
      </c>
      <c r="L191" s="380">
        <f t="shared" si="4"/>
        <v>26400</v>
      </c>
      <c r="M191" s="325" t="s">
        <v>1893</v>
      </c>
      <c r="N191" s="416">
        <v>3300</v>
      </c>
    </row>
    <row r="192" spans="1:14" ht="13">
      <c r="A192" s="316" t="s">
        <v>1043</v>
      </c>
      <c r="B192" s="316" t="s">
        <v>1973</v>
      </c>
      <c r="C192" s="316" t="s">
        <v>1973</v>
      </c>
      <c r="D192" s="316" t="s">
        <v>1973</v>
      </c>
      <c r="E192" s="317" t="s">
        <v>1973</v>
      </c>
      <c r="F192" s="318">
        <v>1</v>
      </c>
      <c r="G192" s="354" t="s">
        <v>50</v>
      </c>
      <c r="H192" s="320">
        <v>32200</v>
      </c>
      <c r="I192" s="319" t="b">
        <v>0</v>
      </c>
      <c r="J192" s="372"/>
      <c r="K192" s="373" t="s">
        <v>1973</v>
      </c>
      <c r="L192" s="374" t="e">
        <f t="shared" si="4"/>
        <v>#VALUE!</v>
      </c>
      <c r="M192" s="325"/>
      <c r="N192" s="416"/>
    </row>
    <row r="193" spans="1:14" ht="13">
      <c r="A193" s="18" t="s">
        <v>1094</v>
      </c>
      <c r="B193" s="316" t="s">
        <v>1973</v>
      </c>
      <c r="C193" s="316" t="s">
        <v>1973</v>
      </c>
      <c r="D193" s="316" t="s">
        <v>1973</v>
      </c>
      <c r="E193" s="317" t="s">
        <v>1973</v>
      </c>
      <c r="F193" s="318">
        <v>1</v>
      </c>
      <c r="G193" s="354" t="s">
        <v>62</v>
      </c>
      <c r="H193" s="320">
        <v>17600</v>
      </c>
      <c r="I193" s="321" t="b">
        <v>1</v>
      </c>
      <c r="J193" s="322">
        <v>1</v>
      </c>
      <c r="K193" s="323" t="s">
        <v>1973</v>
      </c>
      <c r="L193" s="371" t="e">
        <f t="shared" si="4"/>
        <v>#VALUE!</v>
      </c>
      <c r="M193" s="325"/>
      <c r="N193" s="416"/>
    </row>
    <row r="194" spans="1:14" ht="13">
      <c r="A194" s="18" t="s">
        <v>1101</v>
      </c>
      <c r="B194" s="316" t="s">
        <v>1973</v>
      </c>
      <c r="C194" s="316" t="s">
        <v>1973</v>
      </c>
      <c r="D194" s="316" t="s">
        <v>1973</v>
      </c>
      <c r="E194" s="317" t="s">
        <v>1973</v>
      </c>
      <c r="F194" s="318">
        <v>1</v>
      </c>
      <c r="G194" s="354" t="s">
        <v>62</v>
      </c>
      <c r="H194" s="320">
        <v>16100</v>
      </c>
      <c r="I194" s="319" t="b">
        <v>0</v>
      </c>
      <c r="J194" s="372"/>
      <c r="K194" s="373" t="s">
        <v>1973</v>
      </c>
      <c r="L194" s="374" t="e">
        <f t="shared" si="4"/>
        <v>#VALUE!</v>
      </c>
      <c r="M194" s="325"/>
      <c r="N194" s="416"/>
    </row>
    <row r="195" spans="1:14" ht="13">
      <c r="A195" s="316" t="s">
        <v>574</v>
      </c>
      <c r="B195" s="316" t="s">
        <v>1973</v>
      </c>
      <c r="C195" s="316" t="s">
        <v>1973</v>
      </c>
      <c r="D195" s="316" t="s">
        <v>1973</v>
      </c>
      <c r="E195" s="317" t="s">
        <v>1973</v>
      </c>
      <c r="F195" s="318">
        <v>1</v>
      </c>
      <c r="G195" s="354" t="s">
        <v>62</v>
      </c>
      <c r="H195" s="320">
        <v>170000</v>
      </c>
      <c r="I195" s="319" t="b">
        <v>1</v>
      </c>
      <c r="J195" s="372"/>
      <c r="K195" s="373" t="s">
        <v>1973</v>
      </c>
      <c r="L195" s="374" t="e">
        <f t="shared" si="4"/>
        <v>#VALUE!</v>
      </c>
      <c r="M195" s="325"/>
      <c r="N195" s="416"/>
    </row>
    <row r="196" spans="1:14" ht="13">
      <c r="A196" s="316" t="s">
        <v>578</v>
      </c>
      <c r="B196" s="316" t="s">
        <v>1973</v>
      </c>
      <c r="C196" s="316" t="s">
        <v>1973</v>
      </c>
      <c r="D196" s="316" t="s">
        <v>1973</v>
      </c>
      <c r="E196" s="317" t="s">
        <v>1973</v>
      </c>
      <c r="F196" s="318">
        <v>2</v>
      </c>
      <c r="G196" s="354" t="s">
        <v>62</v>
      </c>
      <c r="H196" s="320">
        <v>440000</v>
      </c>
      <c r="I196" s="319" t="b">
        <v>1</v>
      </c>
      <c r="J196" s="372"/>
      <c r="K196" s="373" t="s">
        <v>1973</v>
      </c>
      <c r="L196" s="374" t="e">
        <f t="shared" si="4"/>
        <v>#VALUE!</v>
      </c>
      <c r="M196" s="325"/>
      <c r="N196" s="416"/>
    </row>
    <row r="197" spans="1:14" ht="13">
      <c r="A197" s="316" t="s">
        <v>958</v>
      </c>
      <c r="B197" s="316" t="s">
        <v>1973</v>
      </c>
      <c r="C197" s="316" t="s">
        <v>1973</v>
      </c>
      <c r="D197" s="316" t="s">
        <v>1973</v>
      </c>
      <c r="E197" s="317" t="s">
        <v>1973</v>
      </c>
      <c r="F197" s="318">
        <v>1</v>
      </c>
      <c r="G197" s="354" t="s">
        <v>97</v>
      </c>
      <c r="H197" s="320">
        <v>129000</v>
      </c>
      <c r="I197" s="319" t="b">
        <v>1</v>
      </c>
      <c r="J197" s="372"/>
      <c r="K197" s="373" t="s">
        <v>1973</v>
      </c>
      <c r="L197" s="374" t="e">
        <f t="shared" si="4"/>
        <v>#VALUE!</v>
      </c>
      <c r="M197" s="325"/>
      <c r="N197" s="416"/>
    </row>
    <row r="198" spans="1:14" ht="13">
      <c r="A198" s="316" t="s">
        <v>967</v>
      </c>
      <c r="B198" s="316" t="s">
        <v>1973</v>
      </c>
      <c r="C198" s="316" t="s">
        <v>1973</v>
      </c>
      <c r="D198" s="316" t="s">
        <v>1973</v>
      </c>
      <c r="E198" s="317" t="s">
        <v>1973</v>
      </c>
      <c r="F198" s="318">
        <v>1</v>
      </c>
      <c r="G198" s="354" t="s">
        <v>97</v>
      </c>
      <c r="H198" s="320">
        <v>129000</v>
      </c>
      <c r="I198" s="319" t="b">
        <v>1</v>
      </c>
      <c r="J198" s="372"/>
      <c r="K198" s="373" t="s">
        <v>1973</v>
      </c>
      <c r="L198" s="374" t="e">
        <f t="shared" si="4"/>
        <v>#VALUE!</v>
      </c>
      <c r="M198" s="325"/>
      <c r="N198" s="416"/>
    </row>
    <row r="199" spans="1:14" ht="13">
      <c r="A199" s="316" t="s">
        <v>1504</v>
      </c>
      <c r="B199" s="316" t="s">
        <v>1973</v>
      </c>
      <c r="C199" s="316" t="s">
        <v>1973</v>
      </c>
      <c r="D199" s="316" t="s">
        <v>1973</v>
      </c>
      <c r="E199" s="317" t="s">
        <v>1973</v>
      </c>
      <c r="F199" s="318">
        <v>1</v>
      </c>
      <c r="G199" s="354" t="s">
        <v>97</v>
      </c>
      <c r="H199" s="320">
        <v>128700</v>
      </c>
      <c r="I199" s="319" t="b">
        <v>0</v>
      </c>
      <c r="J199" s="372"/>
      <c r="K199" s="373" t="s">
        <v>1973</v>
      </c>
      <c r="L199" s="374" t="e">
        <f t="shared" si="4"/>
        <v>#VALUE!</v>
      </c>
      <c r="M199" s="325"/>
      <c r="N199" s="416"/>
    </row>
    <row r="200" spans="1:14" ht="13">
      <c r="A200" s="316" t="s">
        <v>1505</v>
      </c>
      <c r="B200" s="316" t="s">
        <v>1973</v>
      </c>
      <c r="C200" s="316" t="s">
        <v>1973</v>
      </c>
      <c r="D200" s="316" t="s">
        <v>1973</v>
      </c>
      <c r="E200" s="317" t="s">
        <v>1973</v>
      </c>
      <c r="F200" s="318">
        <v>2</v>
      </c>
      <c r="G200" s="354" t="s">
        <v>97</v>
      </c>
      <c r="H200" s="320">
        <v>257400</v>
      </c>
      <c r="I200" s="319" t="b">
        <v>0</v>
      </c>
      <c r="J200" s="372"/>
      <c r="K200" s="373" t="s">
        <v>1973</v>
      </c>
      <c r="L200" s="374" t="e">
        <f t="shared" si="4"/>
        <v>#VALUE!</v>
      </c>
      <c r="M200" s="325"/>
      <c r="N200" s="416"/>
    </row>
    <row r="201" spans="1:14" ht="13">
      <c r="A201" s="316" t="s">
        <v>976</v>
      </c>
      <c r="B201" s="316" t="s">
        <v>1973</v>
      </c>
      <c r="C201" s="316" t="s">
        <v>1973</v>
      </c>
      <c r="D201" s="316" t="s">
        <v>1973</v>
      </c>
      <c r="E201" s="317" t="s">
        <v>1973</v>
      </c>
      <c r="F201" s="318">
        <v>1</v>
      </c>
      <c r="G201" s="354" t="s">
        <v>62</v>
      </c>
      <c r="H201" s="320">
        <v>25000</v>
      </c>
      <c r="I201" s="321" t="b">
        <v>1</v>
      </c>
      <c r="J201" s="322">
        <v>1</v>
      </c>
      <c r="K201" s="323" t="s">
        <v>1973</v>
      </c>
      <c r="L201" s="371" t="e">
        <f t="shared" si="4"/>
        <v>#VALUE!</v>
      </c>
      <c r="M201" s="325"/>
      <c r="N201" s="416"/>
    </row>
    <row r="202" spans="1:14" ht="13">
      <c r="A202" s="316" t="s">
        <v>1697</v>
      </c>
      <c r="B202" s="316" t="s">
        <v>1973</v>
      </c>
      <c r="C202" s="316" t="s">
        <v>1973</v>
      </c>
      <c r="D202" s="316" t="s">
        <v>1973</v>
      </c>
      <c r="E202" s="317" t="s">
        <v>1973</v>
      </c>
      <c r="F202" s="318">
        <v>1</v>
      </c>
      <c r="G202" s="354" t="s">
        <v>62</v>
      </c>
      <c r="H202" s="320">
        <v>12500</v>
      </c>
      <c r="I202" s="319" t="b">
        <v>0</v>
      </c>
      <c r="J202" s="372"/>
      <c r="K202" s="373" t="s">
        <v>1973</v>
      </c>
      <c r="L202" s="374" t="e">
        <f t="shared" si="4"/>
        <v>#VALUE!</v>
      </c>
      <c r="M202" s="325"/>
      <c r="N202" s="416"/>
    </row>
    <row r="203" spans="1:14" ht="13">
      <c r="A203" s="316" t="s">
        <v>1030</v>
      </c>
      <c r="B203" s="316" t="s">
        <v>1973</v>
      </c>
      <c r="C203" s="316" t="s">
        <v>1973</v>
      </c>
      <c r="D203" s="316" t="s">
        <v>1973</v>
      </c>
      <c r="E203" s="317" t="s">
        <v>1973</v>
      </c>
      <c r="F203" s="318">
        <v>1</v>
      </c>
      <c r="G203" s="354" t="s">
        <v>62</v>
      </c>
      <c r="H203" s="320">
        <v>19000</v>
      </c>
      <c r="I203" s="319" t="b">
        <v>0</v>
      </c>
      <c r="J203" s="372"/>
      <c r="K203" s="373" t="s">
        <v>1973</v>
      </c>
      <c r="L203" s="374" t="e">
        <f t="shared" si="4"/>
        <v>#VALUE!</v>
      </c>
      <c r="M203" s="325"/>
      <c r="N203" s="416"/>
    </row>
    <row r="204" spans="1:14" ht="13">
      <c r="A204" s="316" t="s">
        <v>1033</v>
      </c>
      <c r="B204" s="316" t="s">
        <v>1973</v>
      </c>
      <c r="C204" s="316" t="s">
        <v>1973</v>
      </c>
      <c r="D204" s="316" t="s">
        <v>1973</v>
      </c>
      <c r="E204" s="317" t="s">
        <v>1973</v>
      </c>
      <c r="F204" s="318">
        <v>2</v>
      </c>
      <c r="G204" s="354" t="s">
        <v>62</v>
      </c>
      <c r="H204" s="320">
        <v>38000</v>
      </c>
      <c r="I204" s="319" t="b">
        <v>0</v>
      </c>
      <c r="J204" s="372"/>
      <c r="K204" s="373" t="s">
        <v>1973</v>
      </c>
      <c r="L204" s="374" t="e">
        <f t="shared" si="4"/>
        <v>#VALUE!</v>
      </c>
      <c r="M204" s="325"/>
      <c r="N204" s="416"/>
    </row>
    <row r="205" spans="1:14" ht="13">
      <c r="A205" s="18" t="s">
        <v>1096</v>
      </c>
      <c r="B205" s="316" t="s">
        <v>1973</v>
      </c>
      <c r="C205" s="316" t="s">
        <v>1973</v>
      </c>
      <c r="D205" s="316" t="s">
        <v>1973</v>
      </c>
      <c r="E205" s="317" t="s">
        <v>1973</v>
      </c>
      <c r="F205" s="318">
        <v>1</v>
      </c>
      <c r="G205" s="354" t="s">
        <v>62</v>
      </c>
      <c r="H205" s="320">
        <v>9100</v>
      </c>
      <c r="I205" s="321" t="b">
        <v>1</v>
      </c>
      <c r="J205" s="322">
        <v>1</v>
      </c>
      <c r="K205" s="323" t="s">
        <v>1973</v>
      </c>
      <c r="L205" s="371" t="e">
        <f t="shared" si="4"/>
        <v>#VALUE!</v>
      </c>
      <c r="M205" s="325"/>
      <c r="N205" s="416"/>
    </row>
    <row r="206" spans="1:14" ht="13">
      <c r="A206" s="316" t="s">
        <v>631</v>
      </c>
      <c r="B206" s="316" t="s">
        <v>1973</v>
      </c>
      <c r="C206" s="316" t="s">
        <v>1973</v>
      </c>
      <c r="D206" s="316" t="s">
        <v>1973</v>
      </c>
      <c r="E206" s="317" t="s">
        <v>1973</v>
      </c>
      <c r="F206" s="318">
        <v>1</v>
      </c>
      <c r="G206" s="354" t="s">
        <v>36</v>
      </c>
      <c r="H206" s="320">
        <v>16000</v>
      </c>
      <c r="I206" s="321" t="b">
        <v>1</v>
      </c>
      <c r="J206" s="322">
        <v>1</v>
      </c>
      <c r="K206" s="323" t="s">
        <v>1973</v>
      </c>
      <c r="L206" s="371" t="e">
        <f t="shared" si="4"/>
        <v>#VALUE!</v>
      </c>
      <c r="M206" s="325"/>
      <c r="N206" s="416"/>
    </row>
    <row r="207" spans="1:14" ht="13">
      <c r="A207" s="316" t="s">
        <v>1610</v>
      </c>
      <c r="B207" s="316" t="s">
        <v>1973</v>
      </c>
      <c r="C207" s="316" t="s">
        <v>1973</v>
      </c>
      <c r="D207" s="316" t="s">
        <v>1973</v>
      </c>
      <c r="E207" s="317" t="s">
        <v>1973</v>
      </c>
      <c r="F207" s="318">
        <v>1</v>
      </c>
      <c r="G207" s="354" t="s">
        <v>36</v>
      </c>
      <c r="H207" s="320">
        <v>10000</v>
      </c>
      <c r="I207" s="321" t="b">
        <v>1</v>
      </c>
      <c r="J207" s="322">
        <v>1</v>
      </c>
      <c r="K207" s="323">
        <v>9000</v>
      </c>
      <c r="L207" s="380">
        <f t="shared" si="4"/>
        <v>9000</v>
      </c>
      <c r="M207" s="325" t="s">
        <v>1723</v>
      </c>
      <c r="N207" s="416">
        <v>1000</v>
      </c>
    </row>
    <row r="208" spans="1:14" ht="13">
      <c r="A208" s="316" t="s">
        <v>1611</v>
      </c>
      <c r="B208" s="316" t="s">
        <v>1973</v>
      </c>
      <c r="C208" s="316" t="s">
        <v>1973</v>
      </c>
      <c r="D208" s="316" t="s">
        <v>1973</v>
      </c>
      <c r="E208" s="317" t="s">
        <v>1973</v>
      </c>
      <c r="F208" s="318">
        <v>2</v>
      </c>
      <c r="G208" s="354" t="s">
        <v>36</v>
      </c>
      <c r="H208" s="320">
        <v>100000</v>
      </c>
      <c r="I208" s="321" t="b">
        <v>1</v>
      </c>
      <c r="J208" s="322">
        <v>2</v>
      </c>
      <c r="K208" s="323">
        <v>45000</v>
      </c>
      <c r="L208" s="380">
        <f t="shared" si="4"/>
        <v>90000</v>
      </c>
      <c r="M208" s="325" t="s">
        <v>1725</v>
      </c>
      <c r="N208" s="416">
        <v>10000</v>
      </c>
    </row>
    <row r="209" spans="1:14" ht="13">
      <c r="A209" s="316" t="s">
        <v>675</v>
      </c>
      <c r="B209" s="316" t="s">
        <v>1973</v>
      </c>
      <c r="C209" s="316" t="s">
        <v>1973</v>
      </c>
      <c r="D209" s="316" t="s">
        <v>1973</v>
      </c>
      <c r="E209" s="317" t="s">
        <v>1973</v>
      </c>
      <c r="F209" s="318">
        <v>15</v>
      </c>
      <c r="G209" s="354" t="s">
        <v>62</v>
      </c>
      <c r="H209" s="320">
        <v>67500</v>
      </c>
      <c r="I209" s="321" t="b">
        <v>1</v>
      </c>
      <c r="J209" s="322">
        <v>15</v>
      </c>
      <c r="K209" s="323" t="s">
        <v>1973</v>
      </c>
      <c r="L209" s="371" t="e">
        <f t="shared" si="4"/>
        <v>#VALUE!</v>
      </c>
      <c r="M209" s="325"/>
      <c r="N209" s="416"/>
    </row>
    <row r="210" spans="1:14" ht="13">
      <c r="A210" s="316" t="s">
        <v>732</v>
      </c>
      <c r="B210" s="316" t="s">
        <v>1973</v>
      </c>
      <c r="C210" s="316" t="s">
        <v>1973</v>
      </c>
      <c r="D210" s="316" t="s">
        <v>1973</v>
      </c>
      <c r="E210" s="317" t="s">
        <v>1973</v>
      </c>
      <c r="F210" s="318">
        <v>1.5</v>
      </c>
      <c r="G210" s="354" t="s">
        <v>36</v>
      </c>
      <c r="H210" s="320">
        <v>39000</v>
      </c>
      <c r="I210" s="321" t="b">
        <v>1</v>
      </c>
      <c r="J210" s="322">
        <v>1.5</v>
      </c>
      <c r="K210" s="323" t="s">
        <v>1973</v>
      </c>
      <c r="L210" s="371" t="e">
        <f t="shared" si="4"/>
        <v>#VALUE!</v>
      </c>
      <c r="M210" s="325"/>
      <c r="N210" s="416"/>
    </row>
    <row r="211" spans="1:14" ht="13">
      <c r="A211" s="316" t="s">
        <v>744</v>
      </c>
      <c r="B211" s="316" t="s">
        <v>1973</v>
      </c>
      <c r="C211" s="316" t="s">
        <v>1973</v>
      </c>
      <c r="D211" s="316" t="s">
        <v>1973</v>
      </c>
      <c r="E211" s="317" t="s">
        <v>1973</v>
      </c>
      <c r="F211" s="318">
        <v>0.5</v>
      </c>
      <c r="G211" s="354" t="s">
        <v>36</v>
      </c>
      <c r="H211" s="320">
        <v>35000</v>
      </c>
      <c r="I211" s="321" t="b">
        <v>1</v>
      </c>
      <c r="J211" s="322">
        <v>0.5</v>
      </c>
      <c r="K211" s="323">
        <v>60000</v>
      </c>
      <c r="L211" s="380">
        <f t="shared" si="4"/>
        <v>30000</v>
      </c>
      <c r="M211" s="325" t="s">
        <v>1720</v>
      </c>
      <c r="N211" s="416">
        <v>5000</v>
      </c>
    </row>
    <row r="212" spans="1:14" ht="13">
      <c r="A212" s="316" t="s">
        <v>752</v>
      </c>
      <c r="B212" s="316" t="s">
        <v>1973</v>
      </c>
      <c r="C212" s="316" t="s">
        <v>1973</v>
      </c>
      <c r="D212" s="316" t="s">
        <v>1973</v>
      </c>
      <c r="E212" s="317" t="s">
        <v>1973</v>
      </c>
      <c r="F212" s="318">
        <v>1</v>
      </c>
      <c r="G212" s="354" t="s">
        <v>62</v>
      </c>
      <c r="H212" s="320">
        <v>36000</v>
      </c>
      <c r="I212" s="321" t="b">
        <v>1</v>
      </c>
      <c r="J212" s="322">
        <v>1</v>
      </c>
      <c r="K212" s="323" t="e">
        <f>VLOOKUP($A212,'[1]Database Bahan &amp; Alat (Terupdat'!$B$50:$N$232,6,FALSE)</f>
        <v>#N/A</v>
      </c>
      <c r="L212" s="371" t="e">
        <f t="shared" si="4"/>
        <v>#N/A</v>
      </c>
      <c r="M212" s="325"/>
      <c r="N212" s="416"/>
    </row>
    <row r="213" spans="1:14" ht="13">
      <c r="A213" s="316" t="s">
        <v>767</v>
      </c>
      <c r="B213" s="316" t="s">
        <v>1973</v>
      </c>
      <c r="C213" s="316" t="s">
        <v>1973</v>
      </c>
      <c r="D213" s="316" t="s">
        <v>1973</v>
      </c>
      <c r="E213" s="317" t="s">
        <v>1973</v>
      </c>
      <c r="F213" s="318">
        <v>3</v>
      </c>
      <c r="G213" s="354" t="s">
        <v>62</v>
      </c>
      <c r="H213" s="320">
        <v>60000</v>
      </c>
      <c r="I213" s="321" t="b">
        <v>1</v>
      </c>
      <c r="J213" s="322">
        <v>3</v>
      </c>
      <c r="K213" s="323">
        <v>21000</v>
      </c>
      <c r="L213" s="379">
        <f t="shared" si="4"/>
        <v>63000</v>
      </c>
      <c r="M213" s="325" t="s">
        <v>1721</v>
      </c>
      <c r="N213" s="416">
        <v>-3000</v>
      </c>
    </row>
    <row r="214" spans="1:14" ht="13">
      <c r="A214" s="316" t="s">
        <v>1700</v>
      </c>
      <c r="B214" s="316" t="s">
        <v>1973</v>
      </c>
      <c r="C214" s="316" t="s">
        <v>1973</v>
      </c>
      <c r="D214" s="316" t="s">
        <v>1973</v>
      </c>
      <c r="E214" s="317" t="s">
        <v>1973</v>
      </c>
      <c r="F214" s="318">
        <v>6</v>
      </c>
      <c r="G214" s="354" t="s">
        <v>62</v>
      </c>
      <c r="H214" s="320">
        <v>90000</v>
      </c>
      <c r="I214" s="321" t="b">
        <v>1</v>
      </c>
      <c r="J214" s="322">
        <v>6</v>
      </c>
      <c r="K214" s="323" t="s">
        <v>1973</v>
      </c>
      <c r="L214" s="371" t="e">
        <f t="shared" si="4"/>
        <v>#VALUE!</v>
      </c>
      <c r="M214" s="325"/>
      <c r="N214" s="416"/>
    </row>
    <row r="215" spans="1:14" ht="13">
      <c r="A215" s="316" t="s">
        <v>1601</v>
      </c>
      <c r="B215" s="316" t="s">
        <v>1973</v>
      </c>
      <c r="C215" s="316" t="s">
        <v>1973</v>
      </c>
      <c r="D215" s="316" t="s">
        <v>1973</v>
      </c>
      <c r="E215" s="317" t="s">
        <v>1973</v>
      </c>
      <c r="F215" s="318">
        <v>2</v>
      </c>
      <c r="G215" s="354" t="s">
        <v>97</v>
      </c>
      <c r="H215" s="320">
        <v>42000</v>
      </c>
      <c r="I215" s="321" t="b">
        <v>1</v>
      </c>
      <c r="J215" s="322">
        <v>2</v>
      </c>
      <c r="K215" s="323" t="s">
        <v>1973</v>
      </c>
      <c r="L215" s="371" t="e">
        <f t="shared" si="4"/>
        <v>#VALUE!</v>
      </c>
      <c r="M215" s="325"/>
      <c r="N215" s="416"/>
    </row>
    <row r="216" spans="1:14" ht="13">
      <c r="A216" s="316" t="s">
        <v>795</v>
      </c>
      <c r="B216" s="316" t="s">
        <v>1973</v>
      </c>
      <c r="C216" s="316" t="s">
        <v>1973</v>
      </c>
      <c r="D216" s="316" t="s">
        <v>1973</v>
      </c>
      <c r="E216" s="317" t="s">
        <v>1973</v>
      </c>
      <c r="F216" s="318">
        <v>4</v>
      </c>
      <c r="G216" s="354" t="s">
        <v>62</v>
      </c>
      <c r="H216" s="320">
        <v>20000</v>
      </c>
      <c r="I216" s="321" t="b">
        <v>1</v>
      </c>
      <c r="J216" s="322">
        <v>4</v>
      </c>
      <c r="K216" s="323" t="s">
        <v>1973</v>
      </c>
      <c r="L216" s="371" t="e">
        <f t="shared" si="4"/>
        <v>#VALUE!</v>
      </c>
      <c r="M216" s="325"/>
      <c r="N216" s="416"/>
    </row>
    <row r="217" spans="1:14" ht="13">
      <c r="A217" s="316" t="s">
        <v>823</v>
      </c>
      <c r="B217" s="316" t="s">
        <v>1973</v>
      </c>
      <c r="C217" s="316" t="s">
        <v>1973</v>
      </c>
      <c r="D217" s="316" t="s">
        <v>1973</v>
      </c>
      <c r="E217" s="317" t="s">
        <v>1973</v>
      </c>
      <c r="F217" s="318">
        <v>2</v>
      </c>
      <c r="G217" s="354" t="s">
        <v>97</v>
      </c>
      <c r="H217" s="320">
        <v>30000</v>
      </c>
      <c r="I217" s="321" t="b">
        <v>1</v>
      </c>
      <c r="J217" s="322">
        <v>2</v>
      </c>
      <c r="K217" s="323">
        <v>7500</v>
      </c>
      <c r="L217" s="380">
        <f t="shared" si="4"/>
        <v>15000</v>
      </c>
      <c r="M217" s="325" t="s">
        <v>1713</v>
      </c>
      <c r="N217" s="416">
        <v>15000</v>
      </c>
    </row>
    <row r="218" spans="1:14" ht="13">
      <c r="A218" s="316" t="s">
        <v>827</v>
      </c>
      <c r="B218" s="316" t="s">
        <v>1973</v>
      </c>
      <c r="C218" s="316" t="s">
        <v>1973</v>
      </c>
      <c r="D218" s="316" t="s">
        <v>1973</v>
      </c>
      <c r="E218" s="317" t="s">
        <v>1973</v>
      </c>
      <c r="F218" s="318">
        <v>0.5</v>
      </c>
      <c r="G218" s="354" t="s">
        <v>36</v>
      </c>
      <c r="H218" s="320">
        <v>4000</v>
      </c>
      <c r="I218" s="321" t="b">
        <v>1</v>
      </c>
      <c r="J218" s="322">
        <v>0.5</v>
      </c>
      <c r="K218" s="323">
        <v>10000</v>
      </c>
      <c r="L218" s="379">
        <f t="shared" si="4"/>
        <v>5000</v>
      </c>
      <c r="M218" s="325" t="s">
        <v>1714</v>
      </c>
      <c r="N218" s="416">
        <v>-1000</v>
      </c>
    </row>
    <row r="219" spans="1:14" ht="13">
      <c r="A219" s="316" t="s">
        <v>1701</v>
      </c>
      <c r="B219" s="316" t="s">
        <v>1973</v>
      </c>
      <c r="C219" s="316" t="s">
        <v>1973</v>
      </c>
      <c r="D219" s="316" t="s">
        <v>1973</v>
      </c>
      <c r="E219" s="317" t="s">
        <v>1973</v>
      </c>
      <c r="F219" s="318">
        <v>1.5</v>
      </c>
      <c r="G219" s="354" t="s">
        <v>36</v>
      </c>
      <c r="H219" s="320">
        <v>27000</v>
      </c>
      <c r="I219" s="321" t="b">
        <v>1</v>
      </c>
      <c r="J219" s="322">
        <v>1.5</v>
      </c>
      <c r="K219" s="323" t="e">
        <f>VLOOKUP($A219,'[1]Database Bahan &amp; Alat (Terupdat'!$B$50:$N$232,6,FALSE)</f>
        <v>#N/A</v>
      </c>
      <c r="L219" s="371" t="e">
        <f t="shared" si="4"/>
        <v>#N/A</v>
      </c>
      <c r="M219" s="325"/>
      <c r="N219" s="416"/>
    </row>
    <row r="220" spans="1:14" ht="13">
      <c r="A220" s="316" t="s">
        <v>1702</v>
      </c>
      <c r="B220" s="316" t="s">
        <v>1973</v>
      </c>
      <c r="C220" s="316" t="s">
        <v>1973</v>
      </c>
      <c r="D220" s="316" t="s">
        <v>1973</v>
      </c>
      <c r="E220" s="317" t="s">
        <v>1973</v>
      </c>
      <c r="F220" s="318">
        <v>0.5</v>
      </c>
      <c r="G220" s="354" t="s">
        <v>36</v>
      </c>
      <c r="H220" s="320">
        <v>60000</v>
      </c>
      <c r="I220" s="321" t="b">
        <v>1</v>
      </c>
      <c r="J220" s="322">
        <v>0.5</v>
      </c>
      <c r="K220" s="323">
        <v>140000</v>
      </c>
      <c r="L220" s="379">
        <f t="shared" si="4"/>
        <v>70000</v>
      </c>
      <c r="M220" s="325" t="s">
        <v>1939</v>
      </c>
      <c r="N220" s="416">
        <v>-10000</v>
      </c>
    </row>
    <row r="221" spans="1:14" ht="13">
      <c r="A221" s="316" t="s">
        <v>1709</v>
      </c>
      <c r="B221" s="316" t="s">
        <v>1973</v>
      </c>
      <c r="C221" s="316" t="s">
        <v>1973</v>
      </c>
      <c r="D221" s="316" t="s">
        <v>1973</v>
      </c>
      <c r="E221" s="317" t="s">
        <v>1973</v>
      </c>
      <c r="F221" s="318">
        <v>5</v>
      </c>
      <c r="G221" s="354" t="s">
        <v>62</v>
      </c>
      <c r="H221" s="320">
        <v>12500</v>
      </c>
      <c r="I221" s="321" t="b">
        <v>1</v>
      </c>
      <c r="J221" s="322">
        <v>5</v>
      </c>
      <c r="K221" s="323" t="e">
        <f>VLOOKUP($A221,'[1]Database Bahan &amp; Alat (Terupdat'!$B$50:$N$232,6,FALSE)</f>
        <v>#N/A</v>
      </c>
      <c r="L221" s="371" t="e">
        <f t="shared" si="4"/>
        <v>#N/A</v>
      </c>
      <c r="M221" s="325"/>
      <c r="N221" s="416"/>
    </row>
    <row r="222" spans="1:14" ht="13">
      <c r="A222" s="316" t="s">
        <v>1608</v>
      </c>
      <c r="B222" s="316" t="s">
        <v>1973</v>
      </c>
      <c r="C222" s="316" t="s">
        <v>1973</v>
      </c>
      <c r="D222" s="316" t="s">
        <v>1973</v>
      </c>
      <c r="E222" s="317" t="s">
        <v>1973</v>
      </c>
      <c r="F222" s="318">
        <v>0.75</v>
      </c>
      <c r="G222" s="354" t="s">
        <v>36</v>
      </c>
      <c r="H222" s="320">
        <v>33000</v>
      </c>
      <c r="I222" s="321" t="b">
        <v>1</v>
      </c>
      <c r="J222" s="322">
        <v>1</v>
      </c>
      <c r="K222" s="323">
        <v>56000</v>
      </c>
      <c r="L222" s="379">
        <f t="shared" si="4"/>
        <v>56000</v>
      </c>
      <c r="M222" s="325" t="s">
        <v>1940</v>
      </c>
      <c r="N222" s="416">
        <v>-23000</v>
      </c>
    </row>
    <row r="223" spans="1:14" ht="13">
      <c r="A223" s="316" t="s">
        <v>931</v>
      </c>
      <c r="B223" s="316" t="s">
        <v>1973</v>
      </c>
      <c r="C223" s="316" t="s">
        <v>1973</v>
      </c>
      <c r="D223" s="316" t="s">
        <v>1973</v>
      </c>
      <c r="E223" s="317" t="s">
        <v>1973</v>
      </c>
      <c r="F223" s="318">
        <v>1</v>
      </c>
      <c r="G223" s="354" t="s">
        <v>36</v>
      </c>
      <c r="H223" s="320">
        <v>20000</v>
      </c>
      <c r="I223" s="321" t="b">
        <v>1</v>
      </c>
      <c r="J223" s="322">
        <v>1</v>
      </c>
      <c r="K223" s="323" t="e">
        <f>VLOOKUP($A223,'[1]Database Bahan &amp; Alat (Terupdat'!$B$50:$N$232,6,FALSE)</f>
        <v>#N/A</v>
      </c>
      <c r="L223" s="371" t="e">
        <f t="shared" si="4"/>
        <v>#N/A</v>
      </c>
      <c r="M223" s="325"/>
      <c r="N223" s="416"/>
    </row>
    <row r="224" spans="1:14" ht="13">
      <c r="A224" s="316" t="s">
        <v>989</v>
      </c>
      <c r="B224" s="316" t="s">
        <v>1973</v>
      </c>
      <c r="C224" s="316" t="s">
        <v>1973</v>
      </c>
      <c r="D224" s="316" t="s">
        <v>1973</v>
      </c>
      <c r="E224" s="317" t="s">
        <v>1973</v>
      </c>
      <c r="F224" s="318">
        <v>4</v>
      </c>
      <c r="G224" s="354" t="s">
        <v>62</v>
      </c>
      <c r="H224" s="320">
        <v>68000</v>
      </c>
      <c r="I224" s="321" t="b">
        <v>1</v>
      </c>
      <c r="J224" s="322">
        <v>4</v>
      </c>
      <c r="K224" s="323">
        <v>18000</v>
      </c>
      <c r="L224" s="379">
        <f t="shared" si="4"/>
        <v>72000</v>
      </c>
      <c r="M224" s="325" t="s">
        <v>1716</v>
      </c>
      <c r="N224" s="416">
        <v>-4000</v>
      </c>
    </row>
    <row r="225" spans="1:14" ht="13">
      <c r="A225" s="316" t="s">
        <v>1703</v>
      </c>
      <c r="B225" s="316" t="s">
        <v>1973</v>
      </c>
      <c r="C225" s="316" t="s">
        <v>1973</v>
      </c>
      <c r="D225" s="316" t="s">
        <v>1973</v>
      </c>
      <c r="E225" s="317" t="s">
        <v>1973</v>
      </c>
      <c r="F225" s="318">
        <v>2</v>
      </c>
      <c r="G225" s="354" t="s">
        <v>62</v>
      </c>
      <c r="H225" s="320">
        <v>44814</v>
      </c>
      <c r="I225" s="321" t="b">
        <v>1</v>
      </c>
      <c r="J225" s="322">
        <v>2</v>
      </c>
      <c r="K225" s="323">
        <v>22000</v>
      </c>
      <c r="L225" s="380">
        <f t="shared" si="4"/>
        <v>44000</v>
      </c>
      <c r="M225" s="325" t="s">
        <v>1915</v>
      </c>
      <c r="N225" s="416">
        <v>814</v>
      </c>
    </row>
    <row r="226" spans="1:14" ht="13">
      <c r="A226" s="316" t="s">
        <v>623</v>
      </c>
      <c r="B226" s="316" t="s">
        <v>1973</v>
      </c>
      <c r="C226" s="316" t="s">
        <v>1973</v>
      </c>
      <c r="D226" s="316" t="s">
        <v>1973</v>
      </c>
      <c r="E226" s="317" t="s">
        <v>1973</v>
      </c>
      <c r="F226" s="318">
        <v>3</v>
      </c>
      <c r="G226" s="354" t="s">
        <v>143</v>
      </c>
      <c r="H226" s="320">
        <v>539550</v>
      </c>
      <c r="I226" s="319" t="b">
        <v>0</v>
      </c>
      <c r="J226" s="372"/>
      <c r="K226" s="373" t="e">
        <f>VLOOKUP($A226,'[1]Database Bahan &amp; Alat (Terupdat'!$B$50:$N$232,6,FALSE)</f>
        <v>#N/A</v>
      </c>
      <c r="L226" s="374" t="e">
        <f t="shared" si="4"/>
        <v>#N/A</v>
      </c>
      <c r="M226" s="325"/>
      <c r="N226" s="416"/>
    </row>
    <row r="227" spans="1:14" ht="13">
      <c r="A227" s="316" t="s">
        <v>688</v>
      </c>
      <c r="B227" s="316" t="s">
        <v>1973</v>
      </c>
      <c r="C227" s="316" t="s">
        <v>1973</v>
      </c>
      <c r="D227" s="316" t="s">
        <v>1973</v>
      </c>
      <c r="E227" s="317" t="s">
        <v>1973</v>
      </c>
      <c r="F227" s="318">
        <v>2</v>
      </c>
      <c r="G227" s="354" t="s">
        <v>62</v>
      </c>
      <c r="H227" s="320">
        <v>115940</v>
      </c>
      <c r="I227" s="321" t="b">
        <v>1</v>
      </c>
      <c r="J227" s="322">
        <v>2</v>
      </c>
      <c r="K227" s="323">
        <v>65000</v>
      </c>
      <c r="L227" s="379">
        <f t="shared" si="4"/>
        <v>130000</v>
      </c>
      <c r="M227" s="325" t="s">
        <v>1941</v>
      </c>
      <c r="N227" s="416">
        <v>-14060</v>
      </c>
    </row>
    <row r="228" spans="1:14" ht="13">
      <c r="A228" s="316" t="s">
        <v>704</v>
      </c>
      <c r="B228" s="316" t="s">
        <v>1973</v>
      </c>
      <c r="C228" s="316" t="s">
        <v>1973</v>
      </c>
      <c r="D228" s="316" t="s">
        <v>1973</v>
      </c>
      <c r="E228" s="317" t="s">
        <v>1973</v>
      </c>
      <c r="F228" s="318">
        <v>3</v>
      </c>
      <c r="G228" s="354" t="s">
        <v>143</v>
      </c>
      <c r="H228" s="320">
        <v>546750</v>
      </c>
      <c r="I228" s="319" t="b">
        <v>0</v>
      </c>
      <c r="J228" s="372"/>
      <c r="K228" s="373" t="s">
        <v>1973</v>
      </c>
      <c r="L228" s="374" t="e">
        <f t="shared" si="4"/>
        <v>#VALUE!</v>
      </c>
      <c r="M228" s="325"/>
      <c r="N228" s="416"/>
    </row>
    <row r="229" spans="1:14" ht="13">
      <c r="A229" s="316" t="s">
        <v>949</v>
      </c>
      <c r="B229" s="316" t="s">
        <v>1973</v>
      </c>
      <c r="C229" s="316" t="s">
        <v>1973</v>
      </c>
      <c r="D229" s="316" t="s">
        <v>1973</v>
      </c>
      <c r="E229" s="317" t="s">
        <v>1973</v>
      </c>
      <c r="F229" s="318">
        <v>1</v>
      </c>
      <c r="G229" s="354" t="s">
        <v>97</v>
      </c>
      <c r="H229" s="320">
        <v>23200</v>
      </c>
      <c r="I229" s="321" t="b">
        <v>1</v>
      </c>
      <c r="J229" s="322">
        <v>1</v>
      </c>
      <c r="K229" s="323" t="s">
        <v>1973</v>
      </c>
      <c r="L229" s="371" t="e">
        <f t="shared" si="4"/>
        <v>#VALUE!</v>
      </c>
      <c r="M229" s="325"/>
      <c r="N229" s="416"/>
    </row>
    <row r="230" spans="1:14" ht="13">
      <c r="A230" s="316" t="s">
        <v>952</v>
      </c>
      <c r="B230" s="316" t="s">
        <v>1973</v>
      </c>
      <c r="C230" s="316" t="s">
        <v>1973</v>
      </c>
      <c r="D230" s="316" t="s">
        <v>1973</v>
      </c>
      <c r="E230" s="317" t="s">
        <v>1973</v>
      </c>
      <c r="F230" s="318">
        <v>1</v>
      </c>
      <c r="G230" s="354" t="s">
        <v>97</v>
      </c>
      <c r="H230" s="320">
        <v>27300</v>
      </c>
      <c r="I230" s="321" t="b">
        <v>1</v>
      </c>
      <c r="J230" s="322">
        <v>1</v>
      </c>
      <c r="K230" s="323" t="s">
        <v>1973</v>
      </c>
      <c r="L230" s="370" t="e">
        <f t="shared" si="4"/>
        <v>#VALUE!</v>
      </c>
      <c r="M230" s="325" t="s">
        <v>1942</v>
      </c>
      <c r="N230" s="416">
        <v>4100</v>
      </c>
    </row>
    <row r="231" spans="1:14" ht="13">
      <c r="A231" s="316" t="s">
        <v>1751</v>
      </c>
      <c r="B231" s="316" t="s">
        <v>1973</v>
      </c>
      <c r="C231" s="316" t="s">
        <v>1973</v>
      </c>
      <c r="D231" s="316" t="s">
        <v>1973</v>
      </c>
      <c r="E231" s="317" t="s">
        <v>1973</v>
      </c>
      <c r="F231" s="318">
        <v>8</v>
      </c>
      <c r="G231" s="354" t="s">
        <v>36</v>
      </c>
      <c r="H231" s="320">
        <v>96000</v>
      </c>
      <c r="I231" s="321" t="b">
        <v>1</v>
      </c>
      <c r="J231" s="322">
        <v>5</v>
      </c>
      <c r="K231" s="323" t="s">
        <v>1973</v>
      </c>
      <c r="L231" s="371" t="e">
        <f t="shared" si="4"/>
        <v>#VALUE!</v>
      </c>
      <c r="M231" s="325"/>
      <c r="N231" s="416"/>
    </row>
    <row r="232" spans="1:14" ht="13">
      <c r="A232" s="316" t="s">
        <v>1606</v>
      </c>
      <c r="B232" s="316" t="s">
        <v>1973</v>
      </c>
      <c r="C232" s="316" t="s">
        <v>1973</v>
      </c>
      <c r="D232" s="316" t="s">
        <v>1973</v>
      </c>
      <c r="E232" s="317" t="s">
        <v>1973</v>
      </c>
      <c r="F232" s="318">
        <v>0.5</v>
      </c>
      <c r="G232" s="354" t="s">
        <v>36</v>
      </c>
      <c r="H232" s="320">
        <v>21600</v>
      </c>
      <c r="I232" s="321" t="b">
        <v>1</v>
      </c>
      <c r="J232" s="322">
        <v>2</v>
      </c>
      <c r="K232" s="323">
        <v>8800</v>
      </c>
      <c r="L232" s="370">
        <f t="shared" si="4"/>
        <v>17600</v>
      </c>
      <c r="M232" s="325" t="s">
        <v>1943</v>
      </c>
      <c r="N232" s="416">
        <v>4000</v>
      </c>
    </row>
    <row r="233" spans="1:14" ht="13">
      <c r="A233" s="316" t="s">
        <v>910</v>
      </c>
      <c r="B233" s="316" t="s">
        <v>1973</v>
      </c>
      <c r="C233" s="316" t="s">
        <v>1973</v>
      </c>
      <c r="D233" s="316" t="s">
        <v>1973</v>
      </c>
      <c r="E233" s="317" t="s">
        <v>1973</v>
      </c>
      <c r="F233" s="318">
        <v>4</v>
      </c>
      <c r="G233" s="354" t="s">
        <v>62</v>
      </c>
      <c r="H233" s="320">
        <v>52000</v>
      </c>
      <c r="I233" s="319" t="b">
        <v>0</v>
      </c>
      <c r="J233" s="372"/>
      <c r="K233" s="373" t="s">
        <v>1973</v>
      </c>
      <c r="L233" s="374" t="e">
        <f t="shared" si="4"/>
        <v>#VALUE!</v>
      </c>
      <c r="M233" s="325"/>
      <c r="N233" s="416"/>
    </row>
    <row r="234" spans="1:14" ht="13">
      <c r="A234" s="316" t="s">
        <v>1550</v>
      </c>
      <c r="B234" s="316" t="s">
        <v>1973</v>
      </c>
      <c r="C234" s="316" t="s">
        <v>1973</v>
      </c>
      <c r="D234" s="316" t="s">
        <v>1973</v>
      </c>
      <c r="E234" s="317" t="s">
        <v>1973</v>
      </c>
      <c r="F234" s="318">
        <v>1</v>
      </c>
      <c r="G234" s="354" t="s">
        <v>97</v>
      </c>
      <c r="H234" s="320">
        <v>105000</v>
      </c>
      <c r="I234" s="319" t="b">
        <v>1</v>
      </c>
      <c r="J234" s="372"/>
      <c r="K234" s="373" t="s">
        <v>1973</v>
      </c>
      <c r="L234" s="374" t="e">
        <f t="shared" si="4"/>
        <v>#VALUE!</v>
      </c>
      <c r="M234" s="325"/>
      <c r="N234" s="416"/>
    </row>
    <row r="235" spans="1:14" ht="13">
      <c r="A235" s="316" t="s">
        <v>1651</v>
      </c>
      <c r="B235" s="316" t="s">
        <v>1973</v>
      </c>
      <c r="C235" s="316" t="s">
        <v>1973</v>
      </c>
      <c r="D235" s="316" t="s">
        <v>1973</v>
      </c>
      <c r="E235" s="317" t="s">
        <v>1973</v>
      </c>
      <c r="F235" s="318">
        <v>1</v>
      </c>
      <c r="G235" s="354" t="s">
        <v>97</v>
      </c>
      <c r="H235" s="320">
        <v>105000</v>
      </c>
      <c r="I235" s="319" t="b">
        <v>1</v>
      </c>
      <c r="J235" s="372"/>
      <c r="K235" s="373" t="s">
        <v>1973</v>
      </c>
      <c r="L235" s="374" t="e">
        <f t="shared" si="4"/>
        <v>#VALUE!</v>
      </c>
      <c r="M235" s="325"/>
      <c r="N235" s="416"/>
    </row>
    <row r="236" spans="1:14" ht="13">
      <c r="A236" s="316" t="s">
        <v>540</v>
      </c>
      <c r="B236" s="316" t="s">
        <v>1973</v>
      </c>
      <c r="C236" s="316" t="s">
        <v>1973</v>
      </c>
      <c r="D236" s="316" t="s">
        <v>1973</v>
      </c>
      <c r="E236" s="317" t="s">
        <v>1973</v>
      </c>
      <c r="F236" s="318">
        <v>3</v>
      </c>
      <c r="G236" s="354" t="s">
        <v>36</v>
      </c>
      <c r="H236" s="320">
        <v>510000</v>
      </c>
      <c r="I236" s="319" t="b">
        <v>1</v>
      </c>
      <c r="J236" s="372"/>
      <c r="K236" s="373" t="s">
        <v>1973</v>
      </c>
      <c r="L236" s="374" t="e">
        <f t="shared" si="4"/>
        <v>#VALUE!</v>
      </c>
      <c r="M236" s="325"/>
      <c r="N236" s="416"/>
    </row>
    <row r="237" spans="1:14" ht="13">
      <c r="A237" s="316" t="s">
        <v>590</v>
      </c>
      <c r="B237" s="316" t="s">
        <v>1973</v>
      </c>
      <c r="C237" s="316" t="s">
        <v>1973</v>
      </c>
      <c r="D237" s="316" t="s">
        <v>1973</v>
      </c>
      <c r="E237" s="317" t="s">
        <v>1973</v>
      </c>
      <c r="F237" s="318">
        <v>2</v>
      </c>
      <c r="G237" s="354" t="s">
        <v>62</v>
      </c>
      <c r="H237" s="320">
        <v>170000</v>
      </c>
      <c r="I237" s="319" t="b">
        <v>1</v>
      </c>
      <c r="J237" s="372"/>
      <c r="K237" s="373" t="s">
        <v>1973</v>
      </c>
      <c r="L237" s="374" t="e">
        <f t="shared" si="4"/>
        <v>#VALUE!</v>
      </c>
      <c r="M237" s="325"/>
      <c r="N237" s="416"/>
    </row>
    <row r="238" spans="1:14" ht="13">
      <c r="A238" s="316" t="s">
        <v>1602</v>
      </c>
      <c r="B238" s="316" t="s">
        <v>1973</v>
      </c>
      <c r="C238" s="316" t="s">
        <v>1973</v>
      </c>
      <c r="D238" s="316" t="s">
        <v>1973</v>
      </c>
      <c r="E238" s="317" t="s">
        <v>1973</v>
      </c>
      <c r="F238" s="318">
        <v>5</v>
      </c>
      <c r="G238" s="354" t="s">
        <v>36</v>
      </c>
      <c r="H238" s="320">
        <v>70000</v>
      </c>
      <c r="I238" s="321" t="b">
        <v>1</v>
      </c>
      <c r="J238" s="322">
        <v>5</v>
      </c>
      <c r="K238" s="323" t="s">
        <v>1973</v>
      </c>
      <c r="L238" s="371" t="e">
        <f t="shared" si="4"/>
        <v>#VALUE!</v>
      </c>
      <c r="M238" s="325"/>
      <c r="N238" s="416"/>
    </row>
    <row r="239" spans="1:14" ht="13">
      <c r="A239" s="316" t="s">
        <v>528</v>
      </c>
      <c r="B239" s="316" t="s">
        <v>1973</v>
      </c>
      <c r="C239" s="316" t="s">
        <v>1973</v>
      </c>
      <c r="D239" s="316" t="s">
        <v>1973</v>
      </c>
      <c r="E239" s="317" t="s">
        <v>1973</v>
      </c>
      <c r="F239" s="318">
        <v>10</v>
      </c>
      <c r="G239" s="354" t="s">
        <v>50</v>
      </c>
      <c r="H239" s="320">
        <v>160000</v>
      </c>
      <c r="I239" s="321" t="b">
        <v>1</v>
      </c>
      <c r="J239" s="322">
        <v>10</v>
      </c>
      <c r="K239" s="323" t="s">
        <v>1973</v>
      </c>
      <c r="L239" s="371" t="e">
        <f t="shared" si="4"/>
        <v>#VALUE!</v>
      </c>
      <c r="M239" s="325"/>
      <c r="N239" s="416"/>
    </row>
    <row r="240" spans="1:14" ht="13">
      <c r="A240" s="316" t="s">
        <v>1603</v>
      </c>
      <c r="B240" s="316" t="s">
        <v>1973</v>
      </c>
      <c r="C240" s="316" t="s">
        <v>1973</v>
      </c>
      <c r="D240" s="316" t="s">
        <v>1973</v>
      </c>
      <c r="E240" s="317" t="s">
        <v>1973</v>
      </c>
      <c r="F240" s="318">
        <v>1</v>
      </c>
      <c r="G240" s="354" t="s">
        <v>62</v>
      </c>
      <c r="H240" s="320">
        <v>60000</v>
      </c>
      <c r="I240" s="321" t="b">
        <v>1</v>
      </c>
      <c r="J240" s="322">
        <v>1</v>
      </c>
      <c r="K240" s="323" t="s">
        <v>1973</v>
      </c>
      <c r="L240" s="371" t="e">
        <f t="shared" si="4"/>
        <v>#VALUE!</v>
      </c>
      <c r="M240" s="325"/>
      <c r="N240" s="416"/>
    </row>
    <row r="241" spans="1:14" ht="13">
      <c r="A241" s="316" t="s">
        <v>635</v>
      </c>
      <c r="B241" s="316" t="s">
        <v>1973</v>
      </c>
      <c r="C241" s="316" t="s">
        <v>1973</v>
      </c>
      <c r="D241" s="316" t="s">
        <v>1973</v>
      </c>
      <c r="E241" s="317" t="s">
        <v>1973</v>
      </c>
      <c r="F241" s="318">
        <v>20</v>
      </c>
      <c r="G241" s="354" t="s">
        <v>50</v>
      </c>
      <c r="H241" s="320">
        <v>190000</v>
      </c>
      <c r="I241" s="321" t="b">
        <v>1</v>
      </c>
      <c r="J241" s="322">
        <v>20</v>
      </c>
      <c r="K241" s="323" t="s">
        <v>1973</v>
      </c>
      <c r="L241" s="371" t="e">
        <f t="shared" si="4"/>
        <v>#VALUE!</v>
      </c>
      <c r="M241" s="325"/>
      <c r="N241" s="416"/>
    </row>
    <row r="242" spans="1:14" ht="13">
      <c r="A242" s="316" t="s">
        <v>643</v>
      </c>
      <c r="B242" s="316" t="s">
        <v>1973</v>
      </c>
      <c r="C242" s="316" t="s">
        <v>1973</v>
      </c>
      <c r="D242" s="316" t="s">
        <v>1973</v>
      </c>
      <c r="E242" s="317" t="s">
        <v>1973</v>
      </c>
      <c r="F242" s="318">
        <v>0.5</v>
      </c>
      <c r="G242" s="354" t="s">
        <v>36</v>
      </c>
      <c r="H242" s="320">
        <v>7500</v>
      </c>
      <c r="I242" s="321" t="b">
        <v>1</v>
      </c>
      <c r="J242" s="322">
        <v>0.5</v>
      </c>
      <c r="K242" s="323" t="s">
        <v>1973</v>
      </c>
      <c r="L242" s="371" t="e">
        <f t="shared" si="4"/>
        <v>#VALUE!</v>
      </c>
      <c r="M242" s="325"/>
      <c r="N242" s="416"/>
    </row>
    <row r="243" spans="1:14" ht="13">
      <c r="A243" s="316" t="s">
        <v>680</v>
      </c>
      <c r="B243" s="316" t="s">
        <v>1973</v>
      </c>
      <c r="C243" s="316" t="s">
        <v>1973</v>
      </c>
      <c r="D243" s="316" t="s">
        <v>1973</v>
      </c>
      <c r="E243" s="317" t="s">
        <v>1973</v>
      </c>
      <c r="F243" s="318">
        <v>6</v>
      </c>
      <c r="G243" s="354" t="s">
        <v>97</v>
      </c>
      <c r="H243" s="320">
        <v>186000</v>
      </c>
      <c r="I243" s="321" t="b">
        <v>1</v>
      </c>
      <c r="J243" s="322">
        <v>6</v>
      </c>
      <c r="K243" s="323" t="s">
        <v>1973</v>
      </c>
      <c r="L243" s="371" t="e">
        <f t="shared" si="4"/>
        <v>#VALUE!</v>
      </c>
      <c r="M243" s="325"/>
      <c r="N243" s="416"/>
    </row>
    <row r="244" spans="1:14" ht="13">
      <c r="A244" s="316" t="s">
        <v>684</v>
      </c>
      <c r="B244" s="316" t="s">
        <v>1973</v>
      </c>
      <c r="C244" s="316" t="s">
        <v>1973</v>
      </c>
      <c r="D244" s="316" t="s">
        <v>1973</v>
      </c>
      <c r="E244" s="317" t="s">
        <v>1973</v>
      </c>
      <c r="F244" s="318">
        <v>1</v>
      </c>
      <c r="G244" s="354" t="s">
        <v>97</v>
      </c>
      <c r="H244" s="320">
        <v>31000</v>
      </c>
      <c r="I244" s="321" t="b">
        <v>1</v>
      </c>
      <c r="J244" s="322">
        <v>1</v>
      </c>
      <c r="K244" s="323" t="s">
        <v>1973</v>
      </c>
      <c r="L244" s="371" t="e">
        <f t="shared" si="4"/>
        <v>#VALUE!</v>
      </c>
      <c r="M244" s="325"/>
      <c r="N244" s="416"/>
    </row>
    <row r="245" spans="1:14" ht="13">
      <c r="A245" s="316" t="s">
        <v>696</v>
      </c>
      <c r="B245" s="316" t="s">
        <v>1973</v>
      </c>
      <c r="C245" s="316" t="s">
        <v>1973</v>
      </c>
      <c r="D245" s="316" t="s">
        <v>1973</v>
      </c>
      <c r="E245" s="317" t="s">
        <v>1973</v>
      </c>
      <c r="F245" s="318">
        <v>8</v>
      </c>
      <c r="G245" s="354" t="s">
        <v>62</v>
      </c>
      <c r="H245" s="320">
        <v>88000</v>
      </c>
      <c r="I245" s="321" t="b">
        <v>1</v>
      </c>
      <c r="J245" s="322">
        <v>8</v>
      </c>
      <c r="K245" s="323" t="s">
        <v>1973</v>
      </c>
      <c r="L245" s="371" t="e">
        <f t="shared" si="4"/>
        <v>#VALUE!</v>
      </c>
      <c r="M245" s="325"/>
      <c r="N245" s="416"/>
    </row>
    <row r="246" spans="1:14" ht="13">
      <c r="A246" s="316" t="s">
        <v>735</v>
      </c>
      <c r="B246" s="316" t="s">
        <v>1973</v>
      </c>
      <c r="C246" s="316" t="s">
        <v>1973</v>
      </c>
      <c r="D246" s="316" t="s">
        <v>1973</v>
      </c>
      <c r="E246" s="317" t="s">
        <v>1973</v>
      </c>
      <c r="F246" s="318">
        <v>1</v>
      </c>
      <c r="G246" s="354" t="s">
        <v>97</v>
      </c>
      <c r="H246" s="320">
        <v>48000</v>
      </c>
      <c r="I246" s="321" t="b">
        <v>1</v>
      </c>
      <c r="J246" s="322">
        <v>1</v>
      </c>
      <c r="K246" s="323" t="s">
        <v>1973</v>
      </c>
      <c r="L246" s="371" t="e">
        <f t="shared" si="4"/>
        <v>#VALUE!</v>
      </c>
      <c r="M246" s="325"/>
      <c r="N246" s="416"/>
    </row>
    <row r="247" spans="1:14" ht="13">
      <c r="A247" s="316" t="s">
        <v>748</v>
      </c>
      <c r="B247" s="316" t="s">
        <v>1973</v>
      </c>
      <c r="C247" s="316" t="s">
        <v>1973</v>
      </c>
      <c r="D247" s="316" t="s">
        <v>1973</v>
      </c>
      <c r="E247" s="317" t="s">
        <v>1973</v>
      </c>
      <c r="F247" s="318">
        <v>3</v>
      </c>
      <c r="G247" s="354" t="s">
        <v>62</v>
      </c>
      <c r="H247" s="320">
        <v>90000</v>
      </c>
      <c r="I247" s="321" t="b">
        <v>1</v>
      </c>
      <c r="J247" s="322">
        <v>3</v>
      </c>
      <c r="K247" s="323" t="s">
        <v>1973</v>
      </c>
      <c r="L247" s="371" t="e">
        <f t="shared" si="4"/>
        <v>#VALUE!</v>
      </c>
      <c r="M247" s="325"/>
      <c r="N247" s="416"/>
    </row>
    <row r="248" spans="1:14" ht="13">
      <c r="A248" s="316" t="s">
        <v>756</v>
      </c>
      <c r="B248" s="316" t="s">
        <v>1973</v>
      </c>
      <c r="C248" s="316" t="s">
        <v>1973</v>
      </c>
      <c r="D248" s="316" t="s">
        <v>1973</v>
      </c>
      <c r="E248" s="317" t="s">
        <v>1973</v>
      </c>
      <c r="F248" s="318">
        <v>1</v>
      </c>
      <c r="G248" s="354" t="s">
        <v>62</v>
      </c>
      <c r="H248" s="320">
        <v>25000</v>
      </c>
      <c r="I248" s="321" t="b">
        <v>1</v>
      </c>
      <c r="J248" s="322">
        <v>1</v>
      </c>
      <c r="K248" s="323">
        <v>24000</v>
      </c>
      <c r="L248" s="380">
        <f t="shared" si="4"/>
        <v>24000</v>
      </c>
      <c r="M248" s="325" t="s">
        <v>1723</v>
      </c>
      <c r="N248" s="416">
        <v>1000</v>
      </c>
    </row>
    <row r="249" spans="1:14" ht="13">
      <c r="A249" s="316" t="s">
        <v>889</v>
      </c>
      <c r="B249" s="316" t="s">
        <v>1973</v>
      </c>
      <c r="C249" s="316" t="s">
        <v>1973</v>
      </c>
      <c r="D249" s="316" t="s">
        <v>1973</v>
      </c>
      <c r="E249" s="317" t="s">
        <v>1973</v>
      </c>
      <c r="F249" s="318">
        <v>1</v>
      </c>
      <c r="G249" s="354" t="s">
        <v>62</v>
      </c>
      <c r="H249" s="320">
        <v>20000</v>
      </c>
      <c r="I249" s="321" t="b">
        <v>1</v>
      </c>
      <c r="J249" s="322">
        <v>1</v>
      </c>
      <c r="K249" s="323">
        <v>18000</v>
      </c>
      <c r="L249" s="380">
        <f t="shared" si="4"/>
        <v>18000</v>
      </c>
      <c r="M249" s="325" t="s">
        <v>1724</v>
      </c>
      <c r="N249" s="416">
        <v>2000</v>
      </c>
    </row>
    <row r="250" spans="1:14" ht="13">
      <c r="A250" s="316" t="s">
        <v>892</v>
      </c>
      <c r="B250" s="316" t="s">
        <v>1973</v>
      </c>
      <c r="C250" s="316" t="s">
        <v>1973</v>
      </c>
      <c r="D250" s="316" t="s">
        <v>1973</v>
      </c>
      <c r="E250" s="317" t="s">
        <v>1973</v>
      </c>
      <c r="F250" s="318">
        <v>2</v>
      </c>
      <c r="G250" s="354" t="s">
        <v>36</v>
      </c>
      <c r="H250" s="320">
        <v>250000</v>
      </c>
      <c r="I250" s="321" t="b">
        <v>1</v>
      </c>
      <c r="J250" s="322">
        <v>2</v>
      </c>
      <c r="K250" s="323" t="s">
        <v>1973</v>
      </c>
      <c r="L250" s="371" t="e">
        <f t="shared" si="4"/>
        <v>#VALUE!</v>
      </c>
      <c r="M250" s="325"/>
      <c r="N250" s="416"/>
    </row>
    <row r="251" spans="1:14" ht="13">
      <c r="A251" s="316" t="s">
        <v>943</v>
      </c>
      <c r="B251" s="316" t="s">
        <v>1973</v>
      </c>
      <c r="C251" s="316" t="s">
        <v>1973</v>
      </c>
      <c r="D251" s="316" t="s">
        <v>1973</v>
      </c>
      <c r="E251" s="317" t="s">
        <v>1973</v>
      </c>
      <c r="F251" s="318">
        <v>1</v>
      </c>
      <c r="G251" s="354" t="s">
        <v>62</v>
      </c>
      <c r="H251" s="320">
        <v>8500</v>
      </c>
      <c r="I251" s="319" t="b">
        <v>0</v>
      </c>
      <c r="J251" s="372"/>
      <c r="K251" s="373" t="s">
        <v>1973</v>
      </c>
      <c r="L251" s="374" t="e">
        <f t="shared" si="4"/>
        <v>#VALUE!</v>
      </c>
      <c r="M251" s="325"/>
      <c r="N251" s="416"/>
    </row>
    <row r="252" spans="1:14" ht="13">
      <c r="A252" s="316" t="s">
        <v>1548</v>
      </c>
      <c r="B252" s="316" t="s">
        <v>1973</v>
      </c>
      <c r="C252" s="316" t="s">
        <v>1973</v>
      </c>
      <c r="D252" s="316" t="s">
        <v>1973</v>
      </c>
      <c r="E252" s="317" t="s">
        <v>1973</v>
      </c>
      <c r="F252" s="318">
        <v>2</v>
      </c>
      <c r="G252" s="354" t="s">
        <v>62</v>
      </c>
      <c r="H252" s="320">
        <v>24000</v>
      </c>
      <c r="I252" s="321" t="b">
        <v>1</v>
      </c>
      <c r="J252" s="322">
        <v>2</v>
      </c>
      <c r="K252" s="323" t="s">
        <v>1973</v>
      </c>
      <c r="L252" s="371" t="e">
        <f t="shared" si="4"/>
        <v>#VALUE!</v>
      </c>
      <c r="M252" s="325"/>
      <c r="N252" s="416"/>
    </row>
    <row r="253" spans="1:14" ht="13">
      <c r="A253" s="316" t="s">
        <v>1615</v>
      </c>
      <c r="B253" s="316" t="s">
        <v>1973</v>
      </c>
      <c r="C253" s="316" t="s">
        <v>1973</v>
      </c>
      <c r="D253" s="316" t="s">
        <v>1973</v>
      </c>
      <c r="E253" s="317" t="s">
        <v>1973</v>
      </c>
      <c r="F253" s="318">
        <v>2</v>
      </c>
      <c r="G253" s="354" t="s">
        <v>62</v>
      </c>
      <c r="H253" s="320">
        <v>16000</v>
      </c>
      <c r="I253" s="321" t="b">
        <v>1</v>
      </c>
      <c r="J253" s="322">
        <v>2</v>
      </c>
      <c r="K253" s="323" t="s">
        <v>1973</v>
      </c>
      <c r="L253" s="371" t="e">
        <f t="shared" si="4"/>
        <v>#VALUE!</v>
      </c>
      <c r="M253" s="325"/>
      <c r="N253" s="416"/>
    </row>
    <row r="254" spans="1:14" ht="13">
      <c r="A254" s="316" t="s">
        <v>1017</v>
      </c>
      <c r="B254" s="316" t="s">
        <v>1973</v>
      </c>
      <c r="C254" s="316" t="s">
        <v>1973</v>
      </c>
      <c r="D254" s="316" t="s">
        <v>1973</v>
      </c>
      <c r="E254" s="317" t="s">
        <v>1973</v>
      </c>
      <c r="F254" s="318">
        <v>4</v>
      </c>
      <c r="G254" s="354" t="s">
        <v>62</v>
      </c>
      <c r="H254" s="320">
        <v>10000</v>
      </c>
      <c r="I254" s="321" t="b">
        <v>1</v>
      </c>
      <c r="J254" s="322">
        <v>2</v>
      </c>
      <c r="K254" s="323">
        <v>2600</v>
      </c>
      <c r="L254" s="370">
        <f t="shared" si="4"/>
        <v>5200</v>
      </c>
      <c r="M254" s="325" t="s">
        <v>1944</v>
      </c>
      <c r="N254" s="416">
        <v>4800</v>
      </c>
    </row>
    <row r="255" spans="1:14" ht="13">
      <c r="A255" s="316" t="s">
        <v>1037</v>
      </c>
      <c r="B255" s="316" t="s">
        <v>1973</v>
      </c>
      <c r="C255" s="316" t="s">
        <v>1973</v>
      </c>
      <c r="D255" s="316" t="s">
        <v>1973</v>
      </c>
      <c r="E255" s="317" t="s">
        <v>1973</v>
      </c>
      <c r="F255" s="318">
        <v>2</v>
      </c>
      <c r="G255" s="354" t="s">
        <v>62</v>
      </c>
      <c r="H255" s="320">
        <v>40200</v>
      </c>
      <c r="I255" s="321" t="b">
        <v>1</v>
      </c>
      <c r="J255" s="322">
        <v>1</v>
      </c>
      <c r="K255" s="323">
        <v>17100</v>
      </c>
      <c r="L255" s="370">
        <f t="shared" si="4"/>
        <v>17100</v>
      </c>
      <c r="M255" s="325" t="s">
        <v>1918</v>
      </c>
      <c r="N255" s="416">
        <v>23100</v>
      </c>
    </row>
    <row r="256" spans="1:14" ht="13">
      <c r="N256" s="132">
        <f>SUM(N184:N255)</f>
        <v>76559</v>
      </c>
    </row>
    <row r="258" spans="1:13" ht="13">
      <c r="F258" s="429">
        <v>44606</v>
      </c>
      <c r="G258" s="428"/>
      <c r="H258" s="424"/>
      <c r="J258" s="429">
        <f>F258+1</f>
        <v>44607</v>
      </c>
      <c r="K258" s="428"/>
      <c r="L258" s="424"/>
    </row>
    <row r="259" spans="1:13" ht="13">
      <c r="F259" s="425" t="s">
        <v>1490</v>
      </c>
      <c r="G259" s="426"/>
      <c r="H259" s="304">
        <f>SUM(H261:H283)</f>
        <v>1347240</v>
      </c>
      <c r="J259" s="425" t="s">
        <v>1491</v>
      </c>
      <c r="K259" s="426"/>
      <c r="L259" s="304" t="e">
        <f>SUM(L261:L283)</f>
        <v>#VALUE!</v>
      </c>
    </row>
    <row r="260" spans="1:13" ht="13">
      <c r="A260" s="2" t="s">
        <v>4</v>
      </c>
      <c r="B260" s="305" t="s">
        <v>5</v>
      </c>
      <c r="C260" s="305" t="s">
        <v>11</v>
      </c>
      <c r="D260" s="305" t="s">
        <v>12</v>
      </c>
      <c r="E260" s="306" t="s">
        <v>6</v>
      </c>
      <c r="F260" s="307" t="s">
        <v>1494</v>
      </c>
      <c r="G260" s="308" t="s">
        <v>10</v>
      </c>
      <c r="H260" s="309" t="s">
        <v>1495</v>
      </c>
      <c r="I260" s="310" t="s">
        <v>1289</v>
      </c>
      <c r="J260" s="311" t="s">
        <v>1496</v>
      </c>
      <c r="K260" s="312" t="s">
        <v>1497</v>
      </c>
      <c r="L260" s="313" t="s">
        <v>1498</v>
      </c>
      <c r="M260" s="314" t="s">
        <v>16</v>
      </c>
    </row>
    <row r="261" spans="1:13" ht="13">
      <c r="A261" s="316" t="s">
        <v>782</v>
      </c>
      <c r="B261" s="316" t="s">
        <v>1973</v>
      </c>
      <c r="C261" s="316" t="s">
        <v>1973</v>
      </c>
      <c r="D261" s="316" t="s">
        <v>1973</v>
      </c>
      <c r="E261" s="317" t="s">
        <v>1973</v>
      </c>
      <c r="F261" s="318">
        <v>1</v>
      </c>
      <c r="G261" s="354" t="s">
        <v>62</v>
      </c>
      <c r="H261" s="320">
        <v>12000</v>
      </c>
      <c r="I261" s="319" t="b">
        <v>0</v>
      </c>
      <c r="J261" s="372"/>
      <c r="K261" s="373" t="s">
        <v>1973</v>
      </c>
      <c r="L261" s="374" t="e">
        <f t="shared" ref="L261:L283" si="5">J261*K261</f>
        <v>#VALUE!</v>
      </c>
      <c r="M261" s="325"/>
    </row>
    <row r="262" spans="1:13" ht="13">
      <c r="A262" s="316" t="s">
        <v>919</v>
      </c>
      <c r="B262" s="316" t="s">
        <v>1973</v>
      </c>
      <c r="C262" s="316" t="s">
        <v>1973</v>
      </c>
      <c r="D262" s="316" t="s">
        <v>1973</v>
      </c>
      <c r="E262" s="317" t="s">
        <v>1973</v>
      </c>
      <c r="F262" s="318">
        <v>3</v>
      </c>
      <c r="G262" s="354" t="s">
        <v>62</v>
      </c>
      <c r="H262" s="320">
        <v>29700</v>
      </c>
      <c r="I262" s="319" t="b">
        <v>0</v>
      </c>
      <c r="J262" s="372"/>
      <c r="K262" s="373" t="s">
        <v>1973</v>
      </c>
      <c r="L262" s="374" t="e">
        <f t="shared" si="5"/>
        <v>#VALUE!</v>
      </c>
      <c r="M262" s="325"/>
    </row>
    <row r="263" spans="1:13" ht="13">
      <c r="A263" s="18" t="s">
        <v>1609</v>
      </c>
      <c r="B263" s="316" t="s">
        <v>1973</v>
      </c>
      <c r="C263" s="316" t="s">
        <v>1973</v>
      </c>
      <c r="D263" s="316" t="s">
        <v>1973</v>
      </c>
      <c r="E263" s="317" t="s">
        <v>1973</v>
      </c>
      <c r="F263" s="318">
        <v>7</v>
      </c>
      <c r="G263" s="354" t="s">
        <v>36</v>
      </c>
      <c r="H263" s="320">
        <v>140000</v>
      </c>
      <c r="I263" s="321" t="b">
        <v>1</v>
      </c>
      <c r="J263" s="322">
        <v>6</v>
      </c>
      <c r="K263" s="323">
        <v>23333.33</v>
      </c>
      <c r="L263" s="417">
        <f t="shared" si="5"/>
        <v>139999.98000000001</v>
      </c>
      <c r="M263" s="325" t="s">
        <v>1945</v>
      </c>
    </row>
    <row r="264" spans="1:13" ht="13">
      <c r="A264" s="316" t="s">
        <v>1610</v>
      </c>
      <c r="B264" s="316" t="s">
        <v>1973</v>
      </c>
      <c r="C264" s="316" t="s">
        <v>1973</v>
      </c>
      <c r="D264" s="316" t="s">
        <v>1973</v>
      </c>
      <c r="E264" s="317" t="s">
        <v>1973</v>
      </c>
      <c r="F264" s="318">
        <v>1.5</v>
      </c>
      <c r="G264" s="354" t="s">
        <v>36</v>
      </c>
      <c r="H264" s="320">
        <v>15000</v>
      </c>
      <c r="I264" s="321" t="b">
        <v>1</v>
      </c>
      <c r="J264" s="322">
        <v>1.5</v>
      </c>
      <c r="K264" s="323" t="e">
        <f>VLOOKUP($A264,'[1]Database Bahan &amp; Alat (Terupdat'!$B$50:$N$232,6,FALSE)</f>
        <v>#N/A</v>
      </c>
      <c r="L264" s="371" t="e">
        <f t="shared" si="5"/>
        <v>#N/A</v>
      </c>
      <c r="M264" s="325"/>
    </row>
    <row r="265" spans="1:13" ht="13">
      <c r="A265" s="316" t="s">
        <v>1611</v>
      </c>
      <c r="B265" s="316" t="s">
        <v>1973</v>
      </c>
      <c r="C265" s="316" t="s">
        <v>1973</v>
      </c>
      <c r="D265" s="316" t="s">
        <v>1973</v>
      </c>
      <c r="E265" s="317" t="s">
        <v>1973</v>
      </c>
      <c r="F265" s="318">
        <v>4</v>
      </c>
      <c r="G265" s="354" t="s">
        <v>36</v>
      </c>
      <c r="H265" s="320">
        <v>200000</v>
      </c>
      <c r="I265" s="321" t="b">
        <v>1</v>
      </c>
      <c r="J265" s="322">
        <v>4</v>
      </c>
      <c r="K265" s="323">
        <v>42000</v>
      </c>
      <c r="L265" s="370">
        <f t="shared" si="5"/>
        <v>168000</v>
      </c>
      <c r="M265" s="325" t="s">
        <v>1946</v>
      </c>
    </row>
    <row r="266" spans="1:13" ht="13">
      <c r="A266" s="316" t="s">
        <v>1612</v>
      </c>
      <c r="B266" s="316" t="s">
        <v>1973</v>
      </c>
      <c r="C266" s="316" t="s">
        <v>1973</v>
      </c>
      <c r="D266" s="316" t="s">
        <v>1973</v>
      </c>
      <c r="E266" s="317" t="s">
        <v>1973</v>
      </c>
      <c r="F266" s="318">
        <v>5</v>
      </c>
      <c r="G266" s="354" t="s">
        <v>36</v>
      </c>
      <c r="H266" s="320">
        <v>125000</v>
      </c>
      <c r="I266" s="321" t="b">
        <v>1</v>
      </c>
      <c r="J266" s="322">
        <v>5</v>
      </c>
      <c r="K266" s="323">
        <v>20000</v>
      </c>
      <c r="L266" s="370">
        <f t="shared" si="5"/>
        <v>100000</v>
      </c>
      <c r="M266" s="325" t="s">
        <v>1947</v>
      </c>
    </row>
    <row r="267" spans="1:13" ht="13">
      <c r="A267" s="316" t="s">
        <v>1699</v>
      </c>
      <c r="B267" s="316" t="s">
        <v>1973</v>
      </c>
      <c r="C267" s="316" t="s">
        <v>1973</v>
      </c>
      <c r="D267" s="316" t="s">
        <v>1973</v>
      </c>
      <c r="E267" s="317" t="s">
        <v>1973</v>
      </c>
      <c r="F267" s="318">
        <v>0.5</v>
      </c>
      <c r="G267" s="354" t="s">
        <v>36</v>
      </c>
      <c r="H267" s="320">
        <v>34000</v>
      </c>
      <c r="I267" s="321" t="b">
        <v>1</v>
      </c>
      <c r="J267" s="322">
        <v>0.5</v>
      </c>
      <c r="K267" s="323">
        <v>70000</v>
      </c>
      <c r="L267" s="379">
        <f t="shared" si="5"/>
        <v>35000</v>
      </c>
      <c r="M267" s="325" t="s">
        <v>1714</v>
      </c>
    </row>
    <row r="268" spans="1:13" ht="13">
      <c r="A268" s="316" t="s">
        <v>1707</v>
      </c>
      <c r="B268" s="316" t="s">
        <v>1973</v>
      </c>
      <c r="C268" s="316" t="s">
        <v>1973</v>
      </c>
      <c r="D268" s="316" t="s">
        <v>1973</v>
      </c>
      <c r="E268" s="317" t="s">
        <v>1973</v>
      </c>
      <c r="F268" s="318">
        <v>0.3</v>
      </c>
      <c r="G268" s="354" t="s">
        <v>36</v>
      </c>
      <c r="H268" s="320">
        <v>8400</v>
      </c>
      <c r="I268" s="321" t="b">
        <v>1</v>
      </c>
      <c r="J268" s="322">
        <v>0.25</v>
      </c>
      <c r="K268" s="323">
        <v>40000</v>
      </c>
      <c r="L268" s="370">
        <f t="shared" si="5"/>
        <v>10000</v>
      </c>
      <c r="M268" s="325" t="s">
        <v>1945</v>
      </c>
    </row>
    <row r="269" spans="1:13" ht="13">
      <c r="A269" s="316" t="s">
        <v>675</v>
      </c>
      <c r="B269" s="316" t="s">
        <v>1973</v>
      </c>
      <c r="C269" s="316" t="s">
        <v>1973</v>
      </c>
      <c r="D269" s="316" t="s">
        <v>1973</v>
      </c>
      <c r="E269" s="317" t="s">
        <v>1973</v>
      </c>
      <c r="F269" s="318">
        <v>15</v>
      </c>
      <c r="G269" s="354" t="s">
        <v>62</v>
      </c>
      <c r="H269" s="320">
        <v>67500</v>
      </c>
      <c r="I269" s="321" t="b">
        <v>1</v>
      </c>
      <c r="J269" s="322">
        <v>15</v>
      </c>
      <c r="K269" s="323" t="e">
        <f>VLOOKUP($A269,'[1]Database Bahan &amp; Alat (Terupdat'!$B$50:$N$232,6,FALSE)</f>
        <v>#N/A</v>
      </c>
      <c r="L269" s="371" t="e">
        <f t="shared" si="5"/>
        <v>#N/A</v>
      </c>
      <c r="M269" s="325"/>
    </row>
    <row r="270" spans="1:13" ht="13">
      <c r="A270" s="316" t="s">
        <v>712</v>
      </c>
      <c r="B270" s="316" t="s">
        <v>1973</v>
      </c>
      <c r="C270" s="316" t="s">
        <v>1973</v>
      </c>
      <c r="D270" s="316" t="s">
        <v>1973</v>
      </c>
      <c r="E270" s="317" t="s">
        <v>1973</v>
      </c>
      <c r="F270" s="318">
        <v>2</v>
      </c>
      <c r="G270" s="354" t="s">
        <v>36</v>
      </c>
      <c r="H270" s="320">
        <v>48000</v>
      </c>
      <c r="I270" s="321" t="b">
        <v>1</v>
      </c>
      <c r="J270" s="322">
        <v>2</v>
      </c>
      <c r="K270" s="323">
        <v>26000</v>
      </c>
      <c r="L270" s="370">
        <f t="shared" si="5"/>
        <v>52000</v>
      </c>
      <c r="M270" s="325" t="s">
        <v>1948</v>
      </c>
    </row>
    <row r="271" spans="1:13" ht="13">
      <c r="A271" s="316" t="s">
        <v>724</v>
      </c>
      <c r="B271" s="316" t="s">
        <v>1973</v>
      </c>
      <c r="C271" s="316" t="s">
        <v>1973</v>
      </c>
      <c r="D271" s="316" t="s">
        <v>1973</v>
      </c>
      <c r="E271" s="317" t="s">
        <v>1973</v>
      </c>
      <c r="F271" s="318">
        <v>0.5</v>
      </c>
      <c r="G271" s="354" t="s">
        <v>36</v>
      </c>
      <c r="H271" s="320">
        <v>10000</v>
      </c>
      <c r="I271" s="321" t="b">
        <v>1</v>
      </c>
      <c r="J271" s="322">
        <v>0.5</v>
      </c>
      <c r="K271" s="323" t="e">
        <f>VLOOKUP($A271,'[1]Database Bahan &amp; Alat (Terupdat'!$B$50:$N$232,6,FALSE)</f>
        <v>#N/A</v>
      </c>
      <c r="L271" s="371" t="e">
        <f t="shared" si="5"/>
        <v>#N/A</v>
      </c>
      <c r="M271" s="325"/>
    </row>
    <row r="272" spans="1:13" ht="13">
      <c r="A272" s="316" t="s">
        <v>732</v>
      </c>
      <c r="B272" s="316" t="s">
        <v>1973</v>
      </c>
      <c r="C272" s="316" t="s">
        <v>1973</v>
      </c>
      <c r="D272" s="316" t="s">
        <v>1973</v>
      </c>
      <c r="E272" s="317" t="s">
        <v>1973</v>
      </c>
      <c r="F272" s="318">
        <v>2</v>
      </c>
      <c r="G272" s="354" t="s">
        <v>36</v>
      </c>
      <c r="H272" s="320">
        <v>52000</v>
      </c>
      <c r="I272" s="321" t="b">
        <v>1</v>
      </c>
      <c r="J272" s="322">
        <v>2</v>
      </c>
      <c r="K272" s="323">
        <v>28000</v>
      </c>
      <c r="L272" s="370">
        <f t="shared" si="5"/>
        <v>56000</v>
      </c>
      <c r="M272" s="325" t="s">
        <v>1948</v>
      </c>
    </row>
    <row r="273" spans="1:13" ht="13">
      <c r="A273" s="316" t="s">
        <v>744</v>
      </c>
      <c r="B273" s="316" t="s">
        <v>1973</v>
      </c>
      <c r="C273" s="316" t="s">
        <v>1973</v>
      </c>
      <c r="D273" s="316" t="s">
        <v>1973</v>
      </c>
      <c r="E273" s="317" t="s">
        <v>1973</v>
      </c>
      <c r="F273" s="318">
        <v>0.5</v>
      </c>
      <c r="G273" s="354" t="s">
        <v>36</v>
      </c>
      <c r="H273" s="320">
        <v>35000</v>
      </c>
      <c r="I273" s="321" t="b">
        <v>1</v>
      </c>
      <c r="J273" s="322">
        <v>0.5</v>
      </c>
      <c r="K273" s="323" t="s">
        <v>1973</v>
      </c>
      <c r="L273" s="371" t="e">
        <f t="shared" si="5"/>
        <v>#VALUE!</v>
      </c>
      <c r="M273" s="325"/>
    </row>
    <row r="274" spans="1:13" ht="13">
      <c r="A274" s="316" t="s">
        <v>795</v>
      </c>
      <c r="B274" s="316" t="s">
        <v>1973</v>
      </c>
      <c r="C274" s="316" t="s">
        <v>1973</v>
      </c>
      <c r="D274" s="316" t="s">
        <v>1973</v>
      </c>
      <c r="E274" s="317" t="s">
        <v>1973</v>
      </c>
      <c r="F274" s="318">
        <v>10</v>
      </c>
      <c r="G274" s="354" t="s">
        <v>62</v>
      </c>
      <c r="H274" s="320">
        <v>50000</v>
      </c>
      <c r="I274" s="319" t="b">
        <v>0</v>
      </c>
      <c r="J274" s="372"/>
      <c r="K274" s="373" t="s">
        <v>1973</v>
      </c>
      <c r="L274" s="374" t="e">
        <f t="shared" si="5"/>
        <v>#VALUE!</v>
      </c>
      <c r="M274" s="325"/>
    </row>
    <row r="275" spans="1:13" ht="13">
      <c r="A275" s="316" t="s">
        <v>1704</v>
      </c>
      <c r="B275" s="316" t="s">
        <v>1973</v>
      </c>
      <c r="C275" s="316" t="s">
        <v>1973</v>
      </c>
      <c r="D275" s="316" t="s">
        <v>1973</v>
      </c>
      <c r="E275" s="317" t="s">
        <v>1973</v>
      </c>
      <c r="F275" s="318">
        <v>0.3</v>
      </c>
      <c r="G275" s="354" t="s">
        <v>36</v>
      </c>
      <c r="H275" s="320">
        <v>3600</v>
      </c>
      <c r="I275" s="321" t="b">
        <v>1</v>
      </c>
      <c r="J275" s="322">
        <v>0.25</v>
      </c>
      <c r="K275" s="323">
        <v>10000</v>
      </c>
      <c r="L275" s="370">
        <f t="shared" si="5"/>
        <v>2500</v>
      </c>
      <c r="M275" s="325" t="s">
        <v>1949</v>
      </c>
    </row>
    <row r="276" spans="1:13" ht="13">
      <c r="A276" s="316" t="s">
        <v>1608</v>
      </c>
      <c r="B276" s="316" t="s">
        <v>1973</v>
      </c>
      <c r="C276" s="316" t="s">
        <v>1973</v>
      </c>
      <c r="D276" s="316" t="s">
        <v>1973</v>
      </c>
      <c r="E276" s="317" t="s">
        <v>1973</v>
      </c>
      <c r="F276" s="318">
        <v>1</v>
      </c>
      <c r="G276" s="354" t="s">
        <v>36</v>
      </c>
      <c r="H276" s="320">
        <v>44000</v>
      </c>
      <c r="I276" s="321" t="b">
        <v>1</v>
      </c>
      <c r="J276" s="322">
        <v>1</v>
      </c>
      <c r="K276" s="323">
        <v>56000</v>
      </c>
      <c r="L276" s="370">
        <f t="shared" si="5"/>
        <v>56000</v>
      </c>
      <c r="M276" s="325" t="s">
        <v>1950</v>
      </c>
    </row>
    <row r="277" spans="1:13" ht="13">
      <c r="A277" s="316" t="s">
        <v>1020</v>
      </c>
      <c r="B277" s="316" t="s">
        <v>1973</v>
      </c>
      <c r="C277" s="316" t="s">
        <v>1973</v>
      </c>
      <c r="D277" s="316" t="s">
        <v>1973</v>
      </c>
      <c r="E277" s="317" t="s">
        <v>1973</v>
      </c>
      <c r="F277" s="318">
        <v>1</v>
      </c>
      <c r="G277" s="354" t="s">
        <v>36</v>
      </c>
      <c r="H277" s="320">
        <v>12000</v>
      </c>
      <c r="I277" s="321" t="b">
        <v>1</v>
      </c>
      <c r="J277" s="322">
        <v>1</v>
      </c>
      <c r="K277" s="323">
        <v>10000</v>
      </c>
      <c r="L277" s="380">
        <f t="shared" si="5"/>
        <v>10000</v>
      </c>
      <c r="M277" s="325" t="s">
        <v>1724</v>
      </c>
    </row>
    <row r="278" spans="1:13" ht="13">
      <c r="A278" s="316" t="s">
        <v>1600</v>
      </c>
      <c r="B278" s="316" t="s">
        <v>1973</v>
      </c>
      <c r="C278" s="316" t="s">
        <v>1973</v>
      </c>
      <c r="D278" s="316" t="s">
        <v>1973</v>
      </c>
      <c r="E278" s="317" t="s">
        <v>1973</v>
      </c>
      <c r="F278" s="318">
        <v>1</v>
      </c>
      <c r="G278" s="354" t="s">
        <v>36</v>
      </c>
      <c r="H278" s="320">
        <v>10000</v>
      </c>
      <c r="I278" s="321" t="b">
        <v>1</v>
      </c>
      <c r="J278" s="322">
        <v>1</v>
      </c>
      <c r="K278" s="323">
        <v>8000</v>
      </c>
      <c r="L278" s="380">
        <f t="shared" si="5"/>
        <v>8000</v>
      </c>
      <c r="M278" s="325" t="s">
        <v>1724</v>
      </c>
    </row>
    <row r="279" spans="1:13" ht="13">
      <c r="A279" s="316" t="s">
        <v>688</v>
      </c>
      <c r="B279" s="316" t="s">
        <v>1973</v>
      </c>
      <c r="C279" s="316" t="s">
        <v>1973</v>
      </c>
      <c r="D279" s="316" t="s">
        <v>1973</v>
      </c>
      <c r="E279" s="317" t="s">
        <v>1973</v>
      </c>
      <c r="F279" s="318">
        <v>2</v>
      </c>
      <c r="G279" s="354" t="s">
        <v>62</v>
      </c>
      <c r="H279" s="320">
        <v>115940</v>
      </c>
      <c r="I279" s="321" t="b">
        <v>1</v>
      </c>
      <c r="J279" s="322">
        <v>2</v>
      </c>
      <c r="K279" s="323">
        <v>67500</v>
      </c>
      <c r="L279" s="370">
        <f t="shared" si="5"/>
        <v>135000</v>
      </c>
      <c r="M279" s="325" t="s">
        <v>1951</v>
      </c>
    </row>
    <row r="280" spans="1:13" ht="13">
      <c r="A280" s="316" t="s">
        <v>1751</v>
      </c>
      <c r="B280" s="316" t="s">
        <v>1973</v>
      </c>
      <c r="C280" s="316" t="s">
        <v>1973</v>
      </c>
      <c r="D280" s="316" t="s">
        <v>1973</v>
      </c>
      <c r="E280" s="317" t="s">
        <v>1973</v>
      </c>
      <c r="F280" s="318">
        <v>10</v>
      </c>
      <c r="G280" s="354" t="s">
        <v>36</v>
      </c>
      <c r="H280" s="320">
        <v>120000</v>
      </c>
      <c r="I280" s="321" t="b">
        <v>1</v>
      </c>
      <c r="J280" s="322">
        <v>10</v>
      </c>
      <c r="K280" s="323" t="s">
        <v>1973</v>
      </c>
      <c r="L280" s="371" t="e">
        <f t="shared" si="5"/>
        <v>#VALUE!</v>
      </c>
      <c r="M280" s="325"/>
    </row>
    <row r="281" spans="1:13" ht="13">
      <c r="A281" s="316" t="s">
        <v>779</v>
      </c>
      <c r="B281" s="316" t="s">
        <v>1973</v>
      </c>
      <c r="C281" s="316" t="s">
        <v>1973</v>
      </c>
      <c r="D281" s="316" t="s">
        <v>1973</v>
      </c>
      <c r="E281" s="317" t="s">
        <v>1973</v>
      </c>
      <c r="F281" s="318">
        <v>3</v>
      </c>
      <c r="G281" s="354" t="s">
        <v>62</v>
      </c>
      <c r="H281" s="320">
        <v>115500</v>
      </c>
      <c r="I281" s="319" t="b">
        <v>0</v>
      </c>
      <c r="J281" s="372"/>
      <c r="K281" s="373" t="s">
        <v>1973</v>
      </c>
      <c r="L281" s="374" t="e">
        <f t="shared" si="5"/>
        <v>#VALUE!</v>
      </c>
      <c r="M281" s="325"/>
    </row>
    <row r="282" spans="1:13" ht="13">
      <c r="A282" s="316" t="s">
        <v>1606</v>
      </c>
      <c r="B282" s="316" t="s">
        <v>1973</v>
      </c>
      <c r="C282" s="316" t="s">
        <v>1973</v>
      </c>
      <c r="D282" s="316" t="s">
        <v>1973</v>
      </c>
      <c r="E282" s="317" t="s">
        <v>1973</v>
      </c>
      <c r="F282" s="318">
        <v>0.5</v>
      </c>
      <c r="G282" s="354" t="s">
        <v>36</v>
      </c>
      <c r="H282" s="320">
        <v>21600</v>
      </c>
      <c r="I282" s="321" t="b">
        <v>1</v>
      </c>
      <c r="J282" s="322">
        <v>2</v>
      </c>
      <c r="K282" s="323">
        <v>15400</v>
      </c>
      <c r="L282" s="370">
        <f t="shared" si="5"/>
        <v>30800</v>
      </c>
      <c r="M282" s="325" t="s">
        <v>1952</v>
      </c>
    </row>
    <row r="283" spans="1:13" ht="13">
      <c r="A283" s="316" t="s">
        <v>910</v>
      </c>
      <c r="B283" s="316" t="s">
        <v>1973</v>
      </c>
      <c r="C283" s="316" t="s">
        <v>1973</v>
      </c>
      <c r="D283" s="316" t="s">
        <v>1973</v>
      </c>
      <c r="E283" s="317" t="s">
        <v>1973</v>
      </c>
      <c r="F283" s="318">
        <v>6</v>
      </c>
      <c r="G283" s="354" t="s">
        <v>62</v>
      </c>
      <c r="H283" s="320">
        <v>78000</v>
      </c>
      <c r="I283" s="321" t="b">
        <v>1</v>
      </c>
      <c r="J283" s="322">
        <v>6</v>
      </c>
      <c r="K283" s="323" t="e">
        <f>VLOOKUP($A283,'[1]Database Bahan &amp; Alat (Terupdat'!$B$50:$N$232,6,FALSE)</f>
        <v>#N/A</v>
      </c>
      <c r="L283" s="371" t="e">
        <f t="shared" si="5"/>
        <v>#N/A</v>
      </c>
      <c r="M283" s="325"/>
    </row>
    <row r="286" spans="1:13" ht="13">
      <c r="F286" s="429">
        <v>44610</v>
      </c>
      <c r="G286" s="428"/>
      <c r="H286" s="424"/>
      <c r="J286" s="429">
        <f>F286+1</f>
        <v>44611</v>
      </c>
      <c r="K286" s="428"/>
      <c r="L286" s="424"/>
    </row>
    <row r="287" spans="1:13" ht="13">
      <c r="F287" s="425" t="s">
        <v>1490</v>
      </c>
      <c r="G287" s="426"/>
      <c r="H287" s="304">
        <f>SUM(H289:H351)</f>
        <v>4799854</v>
      </c>
      <c r="J287" s="425" t="s">
        <v>1491</v>
      </c>
      <c r="K287" s="426"/>
      <c r="L287" s="304" t="e">
        <f>SUM(L289:L351)</f>
        <v>#VALUE!</v>
      </c>
    </row>
    <row r="288" spans="1:13" ht="13">
      <c r="A288" s="2" t="s">
        <v>4</v>
      </c>
      <c r="B288" s="305" t="s">
        <v>5</v>
      </c>
      <c r="C288" s="305" t="s">
        <v>11</v>
      </c>
      <c r="D288" s="305" t="s">
        <v>12</v>
      </c>
      <c r="E288" s="306" t="s">
        <v>6</v>
      </c>
      <c r="F288" s="307" t="s">
        <v>1494</v>
      </c>
      <c r="G288" s="308" t="s">
        <v>10</v>
      </c>
      <c r="H288" s="309" t="s">
        <v>1495</v>
      </c>
      <c r="I288" s="310" t="s">
        <v>1289</v>
      </c>
      <c r="J288" s="311" t="s">
        <v>1496</v>
      </c>
      <c r="K288" s="312" t="s">
        <v>1497</v>
      </c>
      <c r="L288" s="313" t="s">
        <v>1498</v>
      </c>
      <c r="M288" s="314" t="s">
        <v>16</v>
      </c>
    </row>
    <row r="289" spans="1:13" ht="13">
      <c r="A289" s="316" t="s">
        <v>544</v>
      </c>
      <c r="B289" s="316" t="s">
        <v>1973</v>
      </c>
      <c r="C289" s="316" t="s">
        <v>1973</v>
      </c>
      <c r="D289" s="316" t="s">
        <v>1973</v>
      </c>
      <c r="E289" s="317" t="s">
        <v>1973</v>
      </c>
      <c r="F289" s="318">
        <v>4</v>
      </c>
      <c r="G289" s="354" t="s">
        <v>62</v>
      </c>
      <c r="H289" s="320">
        <v>90400</v>
      </c>
      <c r="I289" s="321" t="b">
        <v>1</v>
      </c>
      <c r="J289" s="322">
        <v>4</v>
      </c>
      <c r="K289" s="323" t="s">
        <v>1973</v>
      </c>
      <c r="L289" s="371" t="e">
        <f t="shared" ref="L289:L351" si="6">J289*K289</f>
        <v>#VALUE!</v>
      </c>
      <c r="M289" s="325"/>
    </row>
    <row r="290" spans="1:13" ht="13">
      <c r="A290" s="316" t="s">
        <v>586</v>
      </c>
      <c r="B290" s="316" t="s">
        <v>1973</v>
      </c>
      <c r="C290" s="316" t="s">
        <v>1973</v>
      </c>
      <c r="D290" s="316" t="s">
        <v>1973</v>
      </c>
      <c r="E290" s="317" t="s">
        <v>1973</v>
      </c>
      <c r="F290" s="318">
        <v>4</v>
      </c>
      <c r="G290" s="354" t="s">
        <v>62</v>
      </c>
      <c r="H290" s="320">
        <v>28800</v>
      </c>
      <c r="I290" s="321" t="b">
        <v>1</v>
      </c>
      <c r="J290" s="322">
        <v>4</v>
      </c>
      <c r="K290" s="323" t="s">
        <v>1973</v>
      </c>
      <c r="L290" s="371" t="e">
        <f t="shared" si="6"/>
        <v>#VALUE!</v>
      </c>
      <c r="M290" s="325"/>
    </row>
    <row r="291" spans="1:13" ht="13">
      <c r="A291" s="316" t="s">
        <v>627</v>
      </c>
      <c r="B291" s="316" t="s">
        <v>1973</v>
      </c>
      <c r="C291" s="316" t="s">
        <v>1973</v>
      </c>
      <c r="D291" s="316" t="s">
        <v>1973</v>
      </c>
      <c r="E291" s="317" t="s">
        <v>1973</v>
      </c>
      <c r="F291" s="318">
        <v>1</v>
      </c>
      <c r="G291" s="354" t="s">
        <v>36</v>
      </c>
      <c r="H291" s="320">
        <v>37900</v>
      </c>
      <c r="I291" s="321" t="b">
        <v>1</v>
      </c>
      <c r="J291" s="322">
        <v>905</v>
      </c>
      <c r="K291" s="323">
        <v>33.200000000000003</v>
      </c>
      <c r="L291" s="370">
        <f t="shared" si="6"/>
        <v>30046.000000000004</v>
      </c>
      <c r="M291" s="325" t="s">
        <v>1953</v>
      </c>
    </row>
    <row r="292" spans="1:13" ht="13">
      <c r="A292" s="316" t="s">
        <v>1598</v>
      </c>
      <c r="B292" s="316" t="s">
        <v>1973</v>
      </c>
      <c r="C292" s="316" t="s">
        <v>1973</v>
      </c>
      <c r="D292" s="316" t="s">
        <v>1973</v>
      </c>
      <c r="E292" s="317" t="s">
        <v>1973</v>
      </c>
      <c r="F292" s="318">
        <v>3</v>
      </c>
      <c r="G292" s="354" t="s">
        <v>97</v>
      </c>
      <c r="H292" s="320">
        <v>31200</v>
      </c>
      <c r="I292" s="321" t="b">
        <v>1</v>
      </c>
      <c r="J292" s="322">
        <v>1</v>
      </c>
      <c r="K292" s="323">
        <v>11500</v>
      </c>
      <c r="L292" s="370">
        <f t="shared" si="6"/>
        <v>11500</v>
      </c>
      <c r="M292" s="325" t="s">
        <v>1954</v>
      </c>
    </row>
    <row r="293" spans="1:13" ht="13">
      <c r="A293" s="316" t="s">
        <v>770</v>
      </c>
      <c r="B293" s="316" t="s">
        <v>1973</v>
      </c>
      <c r="C293" s="316" t="s">
        <v>1973</v>
      </c>
      <c r="D293" s="316" t="s">
        <v>1973</v>
      </c>
      <c r="E293" s="317" t="s">
        <v>1973</v>
      </c>
      <c r="F293" s="318">
        <v>2</v>
      </c>
      <c r="G293" s="354" t="s">
        <v>97</v>
      </c>
      <c r="H293" s="320">
        <v>48800</v>
      </c>
      <c r="I293" s="321" t="b">
        <v>0</v>
      </c>
      <c r="J293" s="322"/>
      <c r="K293" s="323" t="s">
        <v>1973</v>
      </c>
      <c r="L293" s="324" t="e">
        <f t="shared" si="6"/>
        <v>#VALUE!</v>
      </c>
      <c r="M293" s="325"/>
    </row>
    <row r="294" spans="1:13" ht="13">
      <c r="A294" s="316" t="s">
        <v>782</v>
      </c>
      <c r="B294" s="316" t="s">
        <v>1973</v>
      </c>
      <c r="C294" s="316" t="s">
        <v>1973</v>
      </c>
      <c r="D294" s="316" t="s">
        <v>1973</v>
      </c>
      <c r="E294" s="317" t="s">
        <v>1973</v>
      </c>
      <c r="F294" s="318">
        <v>2</v>
      </c>
      <c r="G294" s="354" t="s">
        <v>62</v>
      </c>
      <c r="H294" s="320">
        <v>24000</v>
      </c>
      <c r="I294" s="321" t="b">
        <v>1</v>
      </c>
      <c r="J294" s="322">
        <v>2</v>
      </c>
      <c r="K294" s="323" t="s">
        <v>1973</v>
      </c>
      <c r="L294" s="371" t="e">
        <f t="shared" si="6"/>
        <v>#VALUE!</v>
      </c>
      <c r="M294" s="325"/>
    </row>
    <row r="295" spans="1:13" ht="13">
      <c r="A295" s="316" t="s">
        <v>1670</v>
      </c>
      <c r="B295" s="316" t="s">
        <v>1973</v>
      </c>
      <c r="C295" s="316" t="s">
        <v>1973</v>
      </c>
      <c r="D295" s="316" t="s">
        <v>1973</v>
      </c>
      <c r="E295" s="317" t="s">
        <v>1973</v>
      </c>
      <c r="F295" s="318">
        <v>1</v>
      </c>
      <c r="G295" s="354" t="s">
        <v>62</v>
      </c>
      <c r="H295" s="320">
        <v>11500</v>
      </c>
      <c r="I295" s="321" t="b">
        <v>0</v>
      </c>
      <c r="J295" s="322"/>
      <c r="K295" s="323" t="s">
        <v>1973</v>
      </c>
      <c r="L295" s="324" t="e">
        <f t="shared" si="6"/>
        <v>#VALUE!</v>
      </c>
      <c r="M295" s="325"/>
    </row>
    <row r="296" spans="1:13" ht="13">
      <c r="A296" s="316" t="s">
        <v>1607</v>
      </c>
      <c r="B296" s="316" t="s">
        <v>1973</v>
      </c>
      <c r="C296" s="316" t="s">
        <v>1973</v>
      </c>
      <c r="D296" s="316" t="s">
        <v>1973</v>
      </c>
      <c r="E296" s="317" t="s">
        <v>1973</v>
      </c>
      <c r="F296" s="318">
        <v>1</v>
      </c>
      <c r="G296" s="354" t="s">
        <v>62</v>
      </c>
      <c r="H296" s="320">
        <v>11500</v>
      </c>
      <c r="I296" s="321" t="b">
        <v>1</v>
      </c>
      <c r="J296" s="322">
        <v>1</v>
      </c>
      <c r="K296" s="323">
        <v>8000</v>
      </c>
      <c r="L296" s="380">
        <f t="shared" si="6"/>
        <v>8000</v>
      </c>
      <c r="M296" s="325" t="s">
        <v>1899</v>
      </c>
    </row>
    <row r="297" spans="1:13" ht="13">
      <c r="A297" s="316" t="s">
        <v>919</v>
      </c>
      <c r="B297" s="316" t="s">
        <v>1973</v>
      </c>
      <c r="C297" s="316" t="s">
        <v>1973</v>
      </c>
      <c r="D297" s="316" t="s">
        <v>1973</v>
      </c>
      <c r="E297" s="317" t="s">
        <v>1973</v>
      </c>
      <c r="F297" s="318">
        <v>3</v>
      </c>
      <c r="G297" s="354" t="s">
        <v>62</v>
      </c>
      <c r="H297" s="320">
        <v>26400</v>
      </c>
      <c r="I297" s="321" t="b">
        <v>1</v>
      </c>
      <c r="J297" s="322">
        <v>3</v>
      </c>
      <c r="K297" s="323" t="s">
        <v>1973</v>
      </c>
      <c r="L297" s="371" t="e">
        <f t="shared" si="6"/>
        <v>#VALUE!</v>
      </c>
      <c r="M297" s="325"/>
    </row>
    <row r="298" spans="1:13" ht="13">
      <c r="A298" s="316" t="s">
        <v>937</v>
      </c>
      <c r="B298" s="316" t="s">
        <v>1973</v>
      </c>
      <c r="C298" s="316" t="s">
        <v>1973</v>
      </c>
      <c r="D298" s="316" t="s">
        <v>1973</v>
      </c>
      <c r="E298" s="317" t="s">
        <v>1973</v>
      </c>
      <c r="F298" s="318">
        <v>2</v>
      </c>
      <c r="G298" s="354" t="s">
        <v>62</v>
      </c>
      <c r="H298" s="320">
        <v>14400</v>
      </c>
      <c r="I298" s="321" t="b">
        <v>1</v>
      </c>
      <c r="J298" s="322">
        <v>2</v>
      </c>
      <c r="K298" s="323" t="s">
        <v>1973</v>
      </c>
      <c r="L298" s="371" t="e">
        <f t="shared" si="6"/>
        <v>#VALUE!</v>
      </c>
      <c r="M298" s="325"/>
    </row>
    <row r="299" spans="1:13" ht="13">
      <c r="A299" s="18" t="s">
        <v>1609</v>
      </c>
      <c r="B299" s="316" t="s">
        <v>1973</v>
      </c>
      <c r="C299" s="316" t="s">
        <v>1973</v>
      </c>
      <c r="D299" s="316" t="s">
        <v>1973</v>
      </c>
      <c r="E299" s="317" t="s">
        <v>1973</v>
      </c>
      <c r="F299" s="318">
        <v>6</v>
      </c>
      <c r="G299" s="354" t="s">
        <v>36</v>
      </c>
      <c r="H299" s="320">
        <v>120000</v>
      </c>
      <c r="I299" s="321" t="b">
        <v>1</v>
      </c>
      <c r="J299" s="322">
        <v>4</v>
      </c>
      <c r="K299" s="323" t="s">
        <v>1973</v>
      </c>
      <c r="L299" s="370" t="e">
        <f t="shared" si="6"/>
        <v>#VALUE!</v>
      </c>
      <c r="M299" s="325" t="s">
        <v>1955</v>
      </c>
    </row>
    <row r="300" spans="1:13" ht="13">
      <c r="A300" s="18" t="s">
        <v>1101</v>
      </c>
      <c r="B300" s="316" t="s">
        <v>1973</v>
      </c>
      <c r="C300" s="316" t="s">
        <v>1973</v>
      </c>
      <c r="D300" s="316" t="s">
        <v>1973</v>
      </c>
      <c r="E300" s="317" t="s">
        <v>1973</v>
      </c>
      <c r="F300" s="318">
        <v>1</v>
      </c>
      <c r="G300" s="354" t="s">
        <v>62</v>
      </c>
      <c r="H300" s="320">
        <v>16100</v>
      </c>
      <c r="I300" s="321" t="b">
        <v>1</v>
      </c>
      <c r="J300" s="322">
        <v>1</v>
      </c>
      <c r="K300" s="323" t="s">
        <v>1973</v>
      </c>
      <c r="L300" s="371" t="e">
        <f t="shared" si="6"/>
        <v>#VALUE!</v>
      </c>
      <c r="M300" s="325"/>
    </row>
    <row r="301" spans="1:13" ht="13">
      <c r="A301" s="316" t="s">
        <v>578</v>
      </c>
      <c r="B301" s="316" t="s">
        <v>1973</v>
      </c>
      <c r="C301" s="316" t="s">
        <v>1973</v>
      </c>
      <c r="D301" s="316" t="s">
        <v>1973</v>
      </c>
      <c r="E301" s="317" t="s">
        <v>1973</v>
      </c>
      <c r="F301" s="318">
        <v>2</v>
      </c>
      <c r="G301" s="354" t="s">
        <v>62</v>
      </c>
      <c r="H301" s="320">
        <v>440000</v>
      </c>
      <c r="I301" s="321" t="b">
        <v>1</v>
      </c>
      <c r="J301" s="322"/>
      <c r="K301" s="323" t="s">
        <v>1973</v>
      </c>
      <c r="L301" s="324" t="e">
        <f t="shared" si="6"/>
        <v>#VALUE!</v>
      </c>
      <c r="M301" s="325"/>
    </row>
    <row r="302" spans="1:13" ht="13">
      <c r="A302" s="316" t="s">
        <v>958</v>
      </c>
      <c r="B302" s="316" t="s">
        <v>1973</v>
      </c>
      <c r="C302" s="316" t="s">
        <v>1973</v>
      </c>
      <c r="D302" s="316" t="s">
        <v>1973</v>
      </c>
      <c r="E302" s="317" t="s">
        <v>1973</v>
      </c>
      <c r="F302" s="318">
        <v>1</v>
      </c>
      <c r="G302" s="354" t="s">
        <v>97</v>
      </c>
      <c r="H302" s="320">
        <v>129000</v>
      </c>
      <c r="I302" s="321" t="b">
        <v>0</v>
      </c>
      <c r="J302" s="322"/>
      <c r="K302" s="323" t="s">
        <v>1973</v>
      </c>
      <c r="L302" s="324" t="e">
        <f t="shared" si="6"/>
        <v>#VALUE!</v>
      </c>
      <c r="M302" s="325"/>
    </row>
    <row r="303" spans="1:13" ht="13">
      <c r="A303" s="316" t="s">
        <v>967</v>
      </c>
      <c r="B303" s="316" t="s">
        <v>1973</v>
      </c>
      <c r="C303" s="316" t="s">
        <v>1973</v>
      </c>
      <c r="D303" s="316" t="s">
        <v>1973</v>
      </c>
      <c r="E303" s="317" t="s">
        <v>1973</v>
      </c>
      <c r="F303" s="318">
        <v>1</v>
      </c>
      <c r="G303" s="354" t="s">
        <v>97</v>
      </c>
      <c r="H303" s="320">
        <v>129000</v>
      </c>
      <c r="I303" s="321" t="b">
        <v>0</v>
      </c>
      <c r="J303" s="322"/>
      <c r="K303" s="323" t="s">
        <v>1973</v>
      </c>
      <c r="L303" s="324" t="e">
        <f t="shared" si="6"/>
        <v>#VALUE!</v>
      </c>
      <c r="M303" s="325"/>
    </row>
    <row r="304" spans="1:13" ht="13">
      <c r="A304" s="316" t="s">
        <v>1697</v>
      </c>
      <c r="B304" s="316" t="s">
        <v>1973</v>
      </c>
      <c r="C304" s="316" t="s">
        <v>1973</v>
      </c>
      <c r="D304" s="316" t="s">
        <v>1973</v>
      </c>
      <c r="E304" s="317" t="s">
        <v>1973</v>
      </c>
      <c r="F304" s="318">
        <v>1</v>
      </c>
      <c r="G304" s="354" t="s">
        <v>62</v>
      </c>
      <c r="H304" s="320">
        <v>12500</v>
      </c>
      <c r="I304" s="321" t="b">
        <v>0</v>
      </c>
      <c r="J304" s="322"/>
      <c r="K304" s="323" t="s">
        <v>1973</v>
      </c>
      <c r="L304" s="324" t="e">
        <f t="shared" si="6"/>
        <v>#VALUE!</v>
      </c>
      <c r="M304" s="325"/>
    </row>
    <row r="305" spans="1:13" ht="13">
      <c r="A305" s="18" t="s">
        <v>1096</v>
      </c>
      <c r="B305" s="316" t="s">
        <v>1973</v>
      </c>
      <c r="C305" s="316" t="s">
        <v>1973</v>
      </c>
      <c r="D305" s="316" t="s">
        <v>1973</v>
      </c>
      <c r="E305" s="317" t="s">
        <v>1973</v>
      </c>
      <c r="F305" s="318">
        <v>1</v>
      </c>
      <c r="G305" s="354" t="s">
        <v>62</v>
      </c>
      <c r="H305" s="320">
        <v>9100</v>
      </c>
      <c r="I305" s="321" t="b">
        <v>1</v>
      </c>
      <c r="J305" s="322">
        <v>1</v>
      </c>
      <c r="K305" s="323" t="s">
        <v>1973</v>
      </c>
      <c r="L305" s="371" t="e">
        <f t="shared" si="6"/>
        <v>#VALUE!</v>
      </c>
      <c r="M305" s="325"/>
    </row>
    <row r="306" spans="1:13" ht="13">
      <c r="A306" s="316" t="s">
        <v>631</v>
      </c>
      <c r="B306" s="316" t="s">
        <v>1973</v>
      </c>
      <c r="C306" s="316" t="s">
        <v>1973</v>
      </c>
      <c r="D306" s="316" t="s">
        <v>1973</v>
      </c>
      <c r="E306" s="317" t="s">
        <v>1973</v>
      </c>
      <c r="F306" s="318">
        <v>1</v>
      </c>
      <c r="G306" s="354" t="s">
        <v>36</v>
      </c>
      <c r="H306" s="320">
        <v>16000</v>
      </c>
      <c r="I306" s="321" t="b">
        <v>1</v>
      </c>
      <c r="J306" s="322">
        <v>1</v>
      </c>
      <c r="K306" s="323" t="s">
        <v>1973</v>
      </c>
      <c r="L306" s="371" t="e">
        <f t="shared" si="6"/>
        <v>#VALUE!</v>
      </c>
      <c r="M306" s="325"/>
    </row>
    <row r="307" spans="1:13" ht="13">
      <c r="A307" s="316" t="s">
        <v>639</v>
      </c>
      <c r="B307" s="316" t="s">
        <v>1973</v>
      </c>
      <c r="C307" s="316" t="s">
        <v>1973</v>
      </c>
      <c r="D307" s="316" t="s">
        <v>1973</v>
      </c>
      <c r="E307" s="317" t="s">
        <v>1973</v>
      </c>
      <c r="F307" s="318">
        <v>1</v>
      </c>
      <c r="G307" s="354" t="s">
        <v>36</v>
      </c>
      <c r="H307" s="320">
        <v>125000</v>
      </c>
      <c r="I307" s="321" t="b">
        <v>1</v>
      </c>
      <c r="J307" s="322">
        <v>1</v>
      </c>
      <c r="K307" s="323" t="s">
        <v>1973</v>
      </c>
      <c r="L307" s="371" t="e">
        <f t="shared" si="6"/>
        <v>#VALUE!</v>
      </c>
      <c r="M307" s="325"/>
    </row>
    <row r="308" spans="1:13" ht="13">
      <c r="A308" s="316" t="s">
        <v>1610</v>
      </c>
      <c r="B308" s="316" t="s">
        <v>1973</v>
      </c>
      <c r="C308" s="316" t="s">
        <v>1973</v>
      </c>
      <c r="D308" s="316" t="s">
        <v>1973</v>
      </c>
      <c r="E308" s="317" t="s">
        <v>1973</v>
      </c>
      <c r="F308" s="318">
        <v>1</v>
      </c>
      <c r="G308" s="354" t="s">
        <v>36</v>
      </c>
      <c r="H308" s="320">
        <v>10000</v>
      </c>
      <c r="I308" s="321" t="b">
        <v>1</v>
      </c>
      <c r="J308" s="322">
        <v>1</v>
      </c>
      <c r="K308" s="323">
        <v>8000</v>
      </c>
      <c r="L308" s="380">
        <f t="shared" si="6"/>
        <v>8000</v>
      </c>
      <c r="M308" s="325" t="s">
        <v>1724</v>
      </c>
    </row>
    <row r="309" spans="1:13" ht="13">
      <c r="A309" s="316" t="s">
        <v>1611</v>
      </c>
      <c r="B309" s="316" t="s">
        <v>1973</v>
      </c>
      <c r="C309" s="316" t="s">
        <v>1973</v>
      </c>
      <c r="D309" s="316" t="s">
        <v>1973</v>
      </c>
      <c r="E309" s="317" t="s">
        <v>1973</v>
      </c>
      <c r="F309" s="318">
        <v>2</v>
      </c>
      <c r="G309" s="354" t="s">
        <v>36</v>
      </c>
      <c r="H309" s="320">
        <v>100000</v>
      </c>
      <c r="I309" s="321" t="b">
        <v>1</v>
      </c>
      <c r="J309" s="322">
        <v>2</v>
      </c>
      <c r="K309" s="323">
        <v>42000</v>
      </c>
      <c r="L309" s="380">
        <f t="shared" si="6"/>
        <v>84000</v>
      </c>
      <c r="M309" s="325" t="s">
        <v>1956</v>
      </c>
    </row>
    <row r="310" spans="1:13" ht="13">
      <c r="A310" s="316" t="s">
        <v>1612</v>
      </c>
      <c r="B310" s="316" t="s">
        <v>1973</v>
      </c>
      <c r="C310" s="316" t="s">
        <v>1973</v>
      </c>
      <c r="D310" s="316" t="s">
        <v>1973</v>
      </c>
      <c r="E310" s="317" t="s">
        <v>1973</v>
      </c>
      <c r="F310" s="318">
        <v>5</v>
      </c>
      <c r="G310" s="354" t="s">
        <v>36</v>
      </c>
      <c r="H310" s="320">
        <v>125000</v>
      </c>
      <c r="I310" s="321" t="b">
        <v>1</v>
      </c>
      <c r="J310" s="322">
        <v>5</v>
      </c>
      <c r="K310" s="323">
        <v>21000</v>
      </c>
      <c r="L310" s="380">
        <f t="shared" si="6"/>
        <v>105000</v>
      </c>
      <c r="M310" s="325" t="s">
        <v>1957</v>
      </c>
    </row>
    <row r="311" spans="1:13" ht="13">
      <c r="A311" s="316" t="s">
        <v>675</v>
      </c>
      <c r="B311" s="316" t="s">
        <v>1973</v>
      </c>
      <c r="C311" s="316" t="s">
        <v>1973</v>
      </c>
      <c r="D311" s="316" t="s">
        <v>1973</v>
      </c>
      <c r="E311" s="317" t="s">
        <v>1973</v>
      </c>
      <c r="F311" s="318">
        <v>10</v>
      </c>
      <c r="G311" s="354" t="s">
        <v>62</v>
      </c>
      <c r="H311" s="320">
        <v>45000</v>
      </c>
      <c r="I311" s="321" t="b">
        <v>1</v>
      </c>
      <c r="J311" s="322">
        <v>9</v>
      </c>
      <c r="K311" s="323" t="e">
        <f>VLOOKUP($A311,'[1]Database Bahan &amp; Alat (Terupdat'!$B$50:$N$232,6,FALSE)</f>
        <v>#N/A</v>
      </c>
      <c r="L311" s="370" t="e">
        <f t="shared" si="6"/>
        <v>#N/A</v>
      </c>
      <c r="M311" s="325" t="s">
        <v>1912</v>
      </c>
    </row>
    <row r="312" spans="1:13" ht="13">
      <c r="A312" s="316" t="s">
        <v>712</v>
      </c>
      <c r="B312" s="316" t="s">
        <v>1973</v>
      </c>
      <c r="C312" s="316" t="s">
        <v>1973</v>
      </c>
      <c r="D312" s="316" t="s">
        <v>1973</v>
      </c>
      <c r="E312" s="317" t="s">
        <v>1973</v>
      </c>
      <c r="F312" s="318">
        <v>2</v>
      </c>
      <c r="G312" s="354" t="s">
        <v>36</v>
      </c>
      <c r="H312" s="320">
        <v>48000</v>
      </c>
      <c r="I312" s="321" t="b">
        <v>1</v>
      </c>
      <c r="J312" s="322">
        <v>2</v>
      </c>
      <c r="K312" s="323">
        <v>26000</v>
      </c>
      <c r="L312" s="379">
        <f t="shared" si="6"/>
        <v>52000</v>
      </c>
      <c r="M312" s="325" t="s">
        <v>1716</v>
      </c>
    </row>
    <row r="313" spans="1:13" ht="13">
      <c r="A313" s="316" t="s">
        <v>732</v>
      </c>
      <c r="B313" s="316" t="s">
        <v>1973</v>
      </c>
      <c r="C313" s="316" t="s">
        <v>1973</v>
      </c>
      <c r="D313" s="316" t="s">
        <v>1973</v>
      </c>
      <c r="E313" s="317" t="s">
        <v>1973</v>
      </c>
      <c r="F313" s="318">
        <v>0.5</v>
      </c>
      <c r="G313" s="354" t="s">
        <v>36</v>
      </c>
      <c r="H313" s="320">
        <v>13000</v>
      </c>
      <c r="I313" s="321" t="b">
        <v>1</v>
      </c>
      <c r="J313" s="322">
        <v>0.5</v>
      </c>
      <c r="K313" s="323" t="s">
        <v>1973</v>
      </c>
      <c r="L313" s="371" t="e">
        <f t="shared" si="6"/>
        <v>#VALUE!</v>
      </c>
      <c r="M313" s="325"/>
    </row>
    <row r="314" spans="1:13" ht="13">
      <c r="A314" s="316" t="s">
        <v>752</v>
      </c>
      <c r="B314" s="316" t="s">
        <v>1973</v>
      </c>
      <c r="C314" s="316" t="s">
        <v>1973</v>
      </c>
      <c r="D314" s="316" t="s">
        <v>1973</v>
      </c>
      <c r="E314" s="317" t="s">
        <v>1973</v>
      </c>
      <c r="F314" s="318">
        <v>1</v>
      </c>
      <c r="G314" s="354" t="s">
        <v>62</v>
      </c>
      <c r="H314" s="320">
        <v>36000</v>
      </c>
      <c r="I314" s="321" t="b">
        <v>1</v>
      </c>
      <c r="J314" s="322">
        <v>1</v>
      </c>
      <c r="K314" s="323" t="s">
        <v>1973</v>
      </c>
      <c r="L314" s="371" t="e">
        <f t="shared" si="6"/>
        <v>#VALUE!</v>
      </c>
      <c r="M314" s="325"/>
    </row>
    <row r="315" spans="1:13" ht="13">
      <c r="A315" s="316" t="s">
        <v>767</v>
      </c>
      <c r="B315" s="316" t="s">
        <v>1973</v>
      </c>
      <c r="C315" s="316" t="s">
        <v>1973</v>
      </c>
      <c r="D315" s="316" t="s">
        <v>1973</v>
      </c>
      <c r="E315" s="317" t="s">
        <v>1973</v>
      </c>
      <c r="F315" s="318">
        <v>5</v>
      </c>
      <c r="G315" s="354" t="s">
        <v>62</v>
      </c>
      <c r="H315" s="320">
        <v>100000</v>
      </c>
      <c r="I315" s="321" t="b">
        <v>1</v>
      </c>
      <c r="J315" s="322">
        <v>5</v>
      </c>
      <c r="K315" s="323">
        <v>21000</v>
      </c>
      <c r="L315" s="379">
        <f t="shared" si="6"/>
        <v>105000</v>
      </c>
      <c r="M315" s="325" t="s">
        <v>1726</v>
      </c>
    </row>
    <row r="316" spans="1:13" ht="13">
      <c r="A316" s="316" t="s">
        <v>1700</v>
      </c>
      <c r="B316" s="316" t="s">
        <v>1973</v>
      </c>
      <c r="C316" s="316" t="s">
        <v>1973</v>
      </c>
      <c r="D316" s="316" t="s">
        <v>1973</v>
      </c>
      <c r="E316" s="317" t="s">
        <v>1973</v>
      </c>
      <c r="F316" s="318">
        <v>6</v>
      </c>
      <c r="G316" s="354" t="s">
        <v>62</v>
      </c>
      <c r="H316" s="320">
        <v>90000</v>
      </c>
      <c r="I316" s="321" t="b">
        <v>1</v>
      </c>
      <c r="J316" s="322">
        <v>6</v>
      </c>
      <c r="K316" s="323">
        <v>16000</v>
      </c>
      <c r="L316" s="379">
        <f t="shared" si="6"/>
        <v>96000</v>
      </c>
      <c r="M316" s="325" t="s">
        <v>1777</v>
      </c>
    </row>
    <row r="317" spans="1:13" ht="13">
      <c r="A317" s="316" t="s">
        <v>1601</v>
      </c>
      <c r="B317" s="316" t="s">
        <v>1973</v>
      </c>
      <c r="C317" s="316" t="s">
        <v>1973</v>
      </c>
      <c r="D317" s="316" t="s">
        <v>1973</v>
      </c>
      <c r="E317" s="317" t="s">
        <v>1973</v>
      </c>
      <c r="F317" s="318">
        <v>2</v>
      </c>
      <c r="G317" s="354" t="s">
        <v>97</v>
      </c>
      <c r="H317" s="320">
        <v>42000</v>
      </c>
      <c r="I317" s="321" t="b">
        <v>1</v>
      </c>
      <c r="J317" s="322">
        <v>2</v>
      </c>
      <c r="K317" s="323" t="s">
        <v>1973</v>
      </c>
      <c r="L317" s="371" t="e">
        <f t="shared" si="6"/>
        <v>#VALUE!</v>
      </c>
      <c r="M317" s="325"/>
    </row>
    <row r="318" spans="1:13" ht="13">
      <c r="A318" s="316" t="s">
        <v>795</v>
      </c>
      <c r="B318" s="316" t="s">
        <v>1973</v>
      </c>
      <c r="C318" s="316" t="s">
        <v>1973</v>
      </c>
      <c r="D318" s="316" t="s">
        <v>1973</v>
      </c>
      <c r="E318" s="317" t="s">
        <v>1973</v>
      </c>
      <c r="F318" s="318">
        <v>10</v>
      </c>
      <c r="G318" s="354" t="s">
        <v>62</v>
      </c>
      <c r="H318" s="320">
        <v>50000</v>
      </c>
      <c r="I318" s="321" t="b">
        <v>1</v>
      </c>
      <c r="J318" s="322">
        <v>10</v>
      </c>
      <c r="K318" s="323" t="s">
        <v>1973</v>
      </c>
      <c r="L318" s="371" t="e">
        <f t="shared" si="6"/>
        <v>#VALUE!</v>
      </c>
      <c r="M318" s="325"/>
    </row>
    <row r="319" spans="1:13" ht="13">
      <c r="A319" s="316" t="s">
        <v>823</v>
      </c>
      <c r="B319" s="316" t="s">
        <v>1973</v>
      </c>
      <c r="C319" s="316" t="s">
        <v>1973</v>
      </c>
      <c r="D319" s="316" t="s">
        <v>1973</v>
      </c>
      <c r="E319" s="317" t="s">
        <v>1973</v>
      </c>
      <c r="F319" s="318">
        <v>2</v>
      </c>
      <c r="G319" s="354" t="s">
        <v>97</v>
      </c>
      <c r="H319" s="320">
        <v>30000</v>
      </c>
      <c r="I319" s="321" t="b">
        <v>1</v>
      </c>
      <c r="J319" s="322">
        <v>1</v>
      </c>
      <c r="K319" s="323" t="s">
        <v>1973</v>
      </c>
      <c r="L319" s="370" t="e">
        <f t="shared" si="6"/>
        <v>#VALUE!</v>
      </c>
      <c r="M319" s="325" t="s">
        <v>1958</v>
      </c>
    </row>
    <row r="320" spans="1:13" ht="13">
      <c r="A320" s="316" t="s">
        <v>827</v>
      </c>
      <c r="B320" s="316" t="s">
        <v>1973</v>
      </c>
      <c r="C320" s="316" t="s">
        <v>1973</v>
      </c>
      <c r="D320" s="316" t="s">
        <v>1973</v>
      </c>
      <c r="E320" s="317" t="s">
        <v>1973</v>
      </c>
      <c r="F320" s="318">
        <v>0.5</v>
      </c>
      <c r="G320" s="354" t="s">
        <v>36</v>
      </c>
      <c r="H320" s="320">
        <v>4000</v>
      </c>
      <c r="I320" s="321" t="b">
        <v>1</v>
      </c>
      <c r="J320" s="322">
        <v>0.5</v>
      </c>
      <c r="K320" s="323">
        <v>9000</v>
      </c>
      <c r="L320" s="379">
        <f t="shared" si="6"/>
        <v>4500</v>
      </c>
      <c r="M320" s="325" t="s">
        <v>1902</v>
      </c>
    </row>
    <row r="321" spans="1:13" ht="13">
      <c r="A321" s="316" t="s">
        <v>1701</v>
      </c>
      <c r="B321" s="316" t="s">
        <v>1973</v>
      </c>
      <c r="C321" s="316" t="s">
        <v>1973</v>
      </c>
      <c r="D321" s="316" t="s">
        <v>1973</v>
      </c>
      <c r="E321" s="317" t="s">
        <v>1973</v>
      </c>
      <c r="F321" s="318">
        <v>1</v>
      </c>
      <c r="G321" s="354" t="s">
        <v>36</v>
      </c>
      <c r="H321" s="320">
        <v>18000</v>
      </c>
      <c r="I321" s="321" t="b">
        <v>1</v>
      </c>
      <c r="J321" s="322">
        <v>1</v>
      </c>
      <c r="K321" s="323" t="s">
        <v>1973</v>
      </c>
      <c r="L321" s="371" t="e">
        <f t="shared" si="6"/>
        <v>#VALUE!</v>
      </c>
      <c r="M321" s="325"/>
    </row>
    <row r="322" spans="1:13" ht="13">
      <c r="A322" s="316" t="s">
        <v>1501</v>
      </c>
      <c r="B322" s="316" t="s">
        <v>1973</v>
      </c>
      <c r="C322" s="316" t="s">
        <v>1973</v>
      </c>
      <c r="D322" s="316" t="s">
        <v>1973</v>
      </c>
      <c r="E322" s="317" t="s">
        <v>1973</v>
      </c>
      <c r="F322" s="318">
        <v>0.75</v>
      </c>
      <c r="G322" s="354" t="s">
        <v>36</v>
      </c>
      <c r="H322" s="320">
        <v>22500</v>
      </c>
      <c r="I322" s="321" t="b">
        <v>0</v>
      </c>
      <c r="J322" s="322"/>
      <c r="K322" s="323" t="s">
        <v>1973</v>
      </c>
      <c r="L322" s="324" t="e">
        <f t="shared" si="6"/>
        <v>#VALUE!</v>
      </c>
      <c r="M322" s="325"/>
    </row>
    <row r="323" spans="1:13" ht="13">
      <c r="A323" s="316" t="s">
        <v>1608</v>
      </c>
      <c r="B323" s="316" t="s">
        <v>1973</v>
      </c>
      <c r="C323" s="316" t="s">
        <v>1973</v>
      </c>
      <c r="D323" s="316" t="s">
        <v>1973</v>
      </c>
      <c r="E323" s="317" t="s">
        <v>1973</v>
      </c>
      <c r="F323" s="318">
        <v>1</v>
      </c>
      <c r="G323" s="354" t="s">
        <v>36</v>
      </c>
      <c r="H323" s="320">
        <v>44000</v>
      </c>
      <c r="I323" s="321" t="b">
        <v>1</v>
      </c>
      <c r="J323" s="322">
        <v>1</v>
      </c>
      <c r="K323" s="323">
        <v>52000</v>
      </c>
      <c r="L323" s="379">
        <f t="shared" si="6"/>
        <v>52000</v>
      </c>
      <c r="M323" s="325" t="s">
        <v>1727</v>
      </c>
    </row>
    <row r="324" spans="1:13" ht="13">
      <c r="A324" s="316" t="s">
        <v>955</v>
      </c>
      <c r="B324" s="316" t="s">
        <v>1973</v>
      </c>
      <c r="C324" s="316" t="s">
        <v>1973</v>
      </c>
      <c r="D324" s="316" t="s">
        <v>1973</v>
      </c>
      <c r="E324" s="317" t="s">
        <v>1973</v>
      </c>
      <c r="F324" s="318">
        <v>1</v>
      </c>
      <c r="G324" s="354" t="s">
        <v>97</v>
      </c>
      <c r="H324" s="320">
        <v>21000</v>
      </c>
      <c r="I324" s="321" t="b">
        <v>0</v>
      </c>
      <c r="J324" s="322"/>
      <c r="K324" s="323" t="s">
        <v>1973</v>
      </c>
      <c r="L324" s="324" t="e">
        <f t="shared" si="6"/>
        <v>#VALUE!</v>
      </c>
      <c r="M324" s="325"/>
    </row>
    <row r="325" spans="1:13" ht="13">
      <c r="A325" s="316" t="s">
        <v>987</v>
      </c>
      <c r="B325" s="316" t="s">
        <v>1973</v>
      </c>
      <c r="C325" s="316" t="s">
        <v>1973</v>
      </c>
      <c r="D325" s="316" t="s">
        <v>1973</v>
      </c>
      <c r="E325" s="317" t="s">
        <v>1973</v>
      </c>
      <c r="F325" s="318">
        <v>1</v>
      </c>
      <c r="G325" s="354" t="s">
        <v>62</v>
      </c>
      <c r="H325" s="320">
        <v>17000</v>
      </c>
      <c r="I325" s="321" t="b">
        <v>1</v>
      </c>
      <c r="J325" s="322">
        <v>1</v>
      </c>
      <c r="K325" s="323" t="s">
        <v>1973</v>
      </c>
      <c r="L325" s="371" t="e">
        <f t="shared" si="6"/>
        <v>#VALUE!</v>
      </c>
      <c r="M325" s="325"/>
    </row>
    <row r="326" spans="1:13" ht="13">
      <c r="A326" s="316" t="s">
        <v>989</v>
      </c>
      <c r="B326" s="316" t="s">
        <v>1973</v>
      </c>
      <c r="C326" s="316" t="s">
        <v>1973</v>
      </c>
      <c r="D326" s="316" t="s">
        <v>1973</v>
      </c>
      <c r="E326" s="317" t="s">
        <v>1973</v>
      </c>
      <c r="F326" s="318">
        <v>3</v>
      </c>
      <c r="G326" s="354" t="s">
        <v>62</v>
      </c>
      <c r="H326" s="320">
        <v>51000</v>
      </c>
      <c r="I326" s="321" t="b">
        <v>1</v>
      </c>
      <c r="J326" s="322">
        <v>3</v>
      </c>
      <c r="K326" s="323">
        <v>18000</v>
      </c>
      <c r="L326" s="379">
        <f t="shared" si="6"/>
        <v>54000</v>
      </c>
      <c r="M326" s="325" t="s">
        <v>1721</v>
      </c>
    </row>
    <row r="327" spans="1:13" ht="13">
      <c r="A327" s="316" t="s">
        <v>1677</v>
      </c>
      <c r="B327" s="316" t="s">
        <v>1973</v>
      </c>
      <c r="C327" s="316" t="s">
        <v>1973</v>
      </c>
      <c r="D327" s="316" t="s">
        <v>1973</v>
      </c>
      <c r="E327" s="317" t="s">
        <v>1973</v>
      </c>
      <c r="F327" s="318">
        <v>0.5</v>
      </c>
      <c r="G327" s="354" t="s">
        <v>36</v>
      </c>
      <c r="H327" s="320">
        <v>30000</v>
      </c>
      <c r="I327" s="321" t="b">
        <v>1</v>
      </c>
      <c r="J327" s="322">
        <v>0.5</v>
      </c>
      <c r="K327" s="323" t="e">
        <f>VLOOKUP($A327,'[1]Database Bahan &amp; Alat (Terupdat'!$B$50:$N$232,6,FALSE)</f>
        <v>#N/A</v>
      </c>
      <c r="L327" s="371" t="e">
        <f t="shared" si="6"/>
        <v>#N/A</v>
      </c>
      <c r="M327" s="325"/>
    </row>
    <row r="328" spans="1:13" ht="13">
      <c r="A328" s="316" t="s">
        <v>1703</v>
      </c>
      <c r="B328" s="316" t="s">
        <v>1973</v>
      </c>
      <c r="C328" s="316" t="s">
        <v>1973</v>
      </c>
      <c r="D328" s="316" t="s">
        <v>1973</v>
      </c>
      <c r="E328" s="317" t="s">
        <v>1973</v>
      </c>
      <c r="F328" s="318">
        <v>2</v>
      </c>
      <c r="G328" s="354" t="s">
        <v>62</v>
      </c>
      <c r="H328" s="320">
        <v>44814</v>
      </c>
      <c r="I328" s="321" t="b">
        <v>1</v>
      </c>
      <c r="J328" s="322">
        <v>2</v>
      </c>
      <c r="K328" s="323">
        <v>22000</v>
      </c>
      <c r="L328" s="380">
        <f t="shared" si="6"/>
        <v>44000</v>
      </c>
      <c r="M328" s="325" t="s">
        <v>1915</v>
      </c>
    </row>
    <row r="329" spans="1:13" ht="13">
      <c r="A329" s="316" t="s">
        <v>688</v>
      </c>
      <c r="B329" s="316" t="s">
        <v>1973</v>
      </c>
      <c r="C329" s="316" t="s">
        <v>1973</v>
      </c>
      <c r="D329" s="316" t="s">
        <v>1973</v>
      </c>
      <c r="E329" s="317" t="s">
        <v>1973</v>
      </c>
      <c r="F329" s="318">
        <v>2</v>
      </c>
      <c r="G329" s="354" t="s">
        <v>62</v>
      </c>
      <c r="H329" s="320">
        <v>115940</v>
      </c>
      <c r="I329" s="321" t="b">
        <v>1</v>
      </c>
      <c r="J329" s="322">
        <v>2</v>
      </c>
      <c r="K329" s="323">
        <v>63200</v>
      </c>
      <c r="L329" s="370">
        <f t="shared" si="6"/>
        <v>126400</v>
      </c>
      <c r="M329" s="325" t="s">
        <v>1959</v>
      </c>
    </row>
    <row r="330" spans="1:13" ht="13">
      <c r="A330" s="316" t="s">
        <v>952</v>
      </c>
      <c r="B330" s="316" t="s">
        <v>1973</v>
      </c>
      <c r="C330" s="316" t="s">
        <v>1973</v>
      </c>
      <c r="D330" s="316" t="s">
        <v>1973</v>
      </c>
      <c r="E330" s="317" t="s">
        <v>1973</v>
      </c>
      <c r="F330" s="318">
        <v>1</v>
      </c>
      <c r="G330" s="354" t="s">
        <v>97</v>
      </c>
      <c r="H330" s="320">
        <v>27300</v>
      </c>
      <c r="I330" s="321" t="b">
        <v>1</v>
      </c>
      <c r="J330" s="322">
        <v>1</v>
      </c>
      <c r="K330" s="323">
        <v>23200</v>
      </c>
      <c r="L330" s="380">
        <f t="shared" si="6"/>
        <v>23200</v>
      </c>
      <c r="M330" s="325" t="s">
        <v>1960</v>
      </c>
    </row>
    <row r="331" spans="1:13" ht="13">
      <c r="A331" s="316" t="s">
        <v>779</v>
      </c>
      <c r="B331" s="316" t="s">
        <v>1973</v>
      </c>
      <c r="C331" s="316" t="s">
        <v>1973</v>
      </c>
      <c r="D331" s="316" t="s">
        <v>1973</v>
      </c>
      <c r="E331" s="317" t="s">
        <v>1973</v>
      </c>
      <c r="F331" s="318">
        <v>3</v>
      </c>
      <c r="G331" s="354" t="s">
        <v>62</v>
      </c>
      <c r="H331" s="320">
        <v>115500</v>
      </c>
      <c r="I331" s="321" t="b">
        <v>1</v>
      </c>
      <c r="J331" s="322">
        <v>3</v>
      </c>
      <c r="K331" s="323">
        <v>36000</v>
      </c>
      <c r="L331" s="380">
        <f t="shared" si="6"/>
        <v>108000</v>
      </c>
      <c r="M331" s="325" t="s">
        <v>1961</v>
      </c>
    </row>
    <row r="332" spans="1:13" ht="13">
      <c r="A332" s="316" t="s">
        <v>1606</v>
      </c>
      <c r="B332" s="316" t="s">
        <v>1973</v>
      </c>
      <c r="C332" s="316" t="s">
        <v>1973</v>
      </c>
      <c r="D332" s="316" t="s">
        <v>1973</v>
      </c>
      <c r="E332" s="317" t="s">
        <v>1973</v>
      </c>
      <c r="F332" s="318">
        <v>0.5</v>
      </c>
      <c r="G332" s="354" t="s">
        <v>36</v>
      </c>
      <c r="H332" s="320">
        <v>21600</v>
      </c>
      <c r="I332" s="321" t="b">
        <v>1</v>
      </c>
      <c r="J332" s="322">
        <v>0.3</v>
      </c>
      <c r="K332" s="323">
        <v>40000</v>
      </c>
      <c r="L332" s="370">
        <f t="shared" si="6"/>
        <v>12000</v>
      </c>
      <c r="M332" s="325" t="s">
        <v>1962</v>
      </c>
    </row>
    <row r="333" spans="1:13" ht="13">
      <c r="A333" s="316" t="s">
        <v>910</v>
      </c>
      <c r="B333" s="316" t="s">
        <v>1973</v>
      </c>
      <c r="C333" s="316" t="s">
        <v>1973</v>
      </c>
      <c r="D333" s="316" t="s">
        <v>1973</v>
      </c>
      <c r="E333" s="317" t="s">
        <v>1973</v>
      </c>
      <c r="F333" s="318">
        <v>3</v>
      </c>
      <c r="G333" s="354" t="s">
        <v>62</v>
      </c>
      <c r="H333" s="320">
        <v>39000</v>
      </c>
      <c r="I333" s="321" t="b">
        <v>0</v>
      </c>
      <c r="J333" s="322"/>
      <c r="K333" s="323" t="s">
        <v>1973</v>
      </c>
      <c r="L333" s="324" t="e">
        <f t="shared" si="6"/>
        <v>#VALUE!</v>
      </c>
      <c r="M333" s="325"/>
    </row>
    <row r="334" spans="1:13" ht="13">
      <c r="A334" s="316" t="s">
        <v>540</v>
      </c>
      <c r="B334" s="316" t="s">
        <v>1973</v>
      </c>
      <c r="C334" s="316" t="s">
        <v>1973</v>
      </c>
      <c r="D334" s="316" t="s">
        <v>1973</v>
      </c>
      <c r="E334" s="317" t="s">
        <v>1973</v>
      </c>
      <c r="F334" s="318">
        <v>6</v>
      </c>
      <c r="G334" s="354" t="s">
        <v>36</v>
      </c>
      <c r="H334" s="320">
        <v>1020000</v>
      </c>
      <c r="I334" s="321" t="b">
        <v>1</v>
      </c>
      <c r="J334" s="322"/>
      <c r="K334" s="323" t="s">
        <v>1973</v>
      </c>
      <c r="L334" s="324" t="e">
        <f t="shared" si="6"/>
        <v>#VALUE!</v>
      </c>
      <c r="M334" s="325"/>
    </row>
    <row r="335" spans="1:13" ht="13">
      <c r="A335" s="316" t="s">
        <v>590</v>
      </c>
      <c r="B335" s="316" t="s">
        <v>1973</v>
      </c>
      <c r="C335" s="316" t="s">
        <v>1973</v>
      </c>
      <c r="D335" s="316" t="s">
        <v>1973</v>
      </c>
      <c r="E335" s="317" t="s">
        <v>1973</v>
      </c>
      <c r="F335" s="318">
        <v>2</v>
      </c>
      <c r="G335" s="354" t="s">
        <v>62</v>
      </c>
      <c r="H335" s="320">
        <v>170000</v>
      </c>
      <c r="I335" s="321" t="b">
        <v>1</v>
      </c>
      <c r="J335" s="322"/>
      <c r="K335" s="323" t="s">
        <v>1973</v>
      </c>
      <c r="L335" s="324" t="e">
        <f t="shared" si="6"/>
        <v>#VALUE!</v>
      </c>
      <c r="M335" s="325"/>
    </row>
    <row r="336" spans="1:13" ht="13">
      <c r="A336" s="316" t="s">
        <v>1602</v>
      </c>
      <c r="B336" s="316" t="s">
        <v>1973</v>
      </c>
      <c r="C336" s="316" t="s">
        <v>1973</v>
      </c>
      <c r="D336" s="316" t="s">
        <v>1973</v>
      </c>
      <c r="E336" s="317" t="s">
        <v>1973</v>
      </c>
      <c r="F336" s="318">
        <v>4</v>
      </c>
      <c r="G336" s="354" t="s">
        <v>36</v>
      </c>
      <c r="H336" s="320">
        <v>56000</v>
      </c>
      <c r="I336" s="321" t="b">
        <v>1</v>
      </c>
      <c r="J336" s="322">
        <v>4</v>
      </c>
      <c r="K336" s="323" t="s">
        <v>1973</v>
      </c>
      <c r="L336" s="371" t="e">
        <f t="shared" si="6"/>
        <v>#VALUE!</v>
      </c>
      <c r="M336" s="325"/>
    </row>
    <row r="337" spans="1:13" ht="13">
      <c r="A337" s="316" t="s">
        <v>528</v>
      </c>
      <c r="B337" s="316" t="s">
        <v>1973</v>
      </c>
      <c r="C337" s="316" t="s">
        <v>1973</v>
      </c>
      <c r="D337" s="316" t="s">
        <v>1973</v>
      </c>
      <c r="E337" s="317" t="s">
        <v>1973</v>
      </c>
      <c r="F337" s="318">
        <v>7</v>
      </c>
      <c r="G337" s="354" t="s">
        <v>50</v>
      </c>
      <c r="H337" s="320">
        <v>112000</v>
      </c>
      <c r="I337" s="321" t="b">
        <v>1</v>
      </c>
      <c r="J337" s="322">
        <v>7</v>
      </c>
      <c r="K337" s="323" t="s">
        <v>1973</v>
      </c>
      <c r="L337" s="371" t="e">
        <f t="shared" si="6"/>
        <v>#VALUE!</v>
      </c>
      <c r="M337" s="325"/>
    </row>
    <row r="338" spans="1:13" ht="13">
      <c r="A338" s="316" t="s">
        <v>635</v>
      </c>
      <c r="B338" s="316" t="s">
        <v>1973</v>
      </c>
      <c r="C338" s="316" t="s">
        <v>1973</v>
      </c>
      <c r="D338" s="316" t="s">
        <v>1973</v>
      </c>
      <c r="E338" s="317" t="s">
        <v>1973</v>
      </c>
      <c r="F338" s="318">
        <v>14</v>
      </c>
      <c r="G338" s="354" t="s">
        <v>50</v>
      </c>
      <c r="H338" s="320">
        <v>133000</v>
      </c>
      <c r="I338" s="321" t="b">
        <v>1</v>
      </c>
      <c r="J338" s="322">
        <v>14</v>
      </c>
      <c r="K338" s="323" t="s">
        <v>1973</v>
      </c>
      <c r="L338" s="371" t="e">
        <f t="shared" si="6"/>
        <v>#VALUE!</v>
      </c>
      <c r="M338" s="325"/>
    </row>
    <row r="339" spans="1:13" ht="13">
      <c r="A339" s="316" t="s">
        <v>680</v>
      </c>
      <c r="B339" s="316" t="s">
        <v>1973</v>
      </c>
      <c r="C339" s="316" t="s">
        <v>1973</v>
      </c>
      <c r="D339" s="316" t="s">
        <v>1973</v>
      </c>
      <c r="E339" s="317" t="s">
        <v>1973</v>
      </c>
      <c r="F339" s="318">
        <v>6</v>
      </c>
      <c r="G339" s="354" t="s">
        <v>97</v>
      </c>
      <c r="H339" s="320">
        <v>186000</v>
      </c>
      <c r="I339" s="321" t="b">
        <v>1</v>
      </c>
      <c r="J339" s="322">
        <v>6</v>
      </c>
      <c r="K339" s="323" t="s">
        <v>1973</v>
      </c>
      <c r="L339" s="371" t="e">
        <f t="shared" si="6"/>
        <v>#VALUE!</v>
      </c>
      <c r="M339" s="325"/>
    </row>
    <row r="340" spans="1:13" ht="13">
      <c r="A340" s="316" t="s">
        <v>684</v>
      </c>
      <c r="B340" s="316" t="s">
        <v>1973</v>
      </c>
      <c r="C340" s="316" t="s">
        <v>1973</v>
      </c>
      <c r="D340" s="316" t="s">
        <v>1973</v>
      </c>
      <c r="E340" s="317" t="s">
        <v>1973</v>
      </c>
      <c r="F340" s="318">
        <v>3</v>
      </c>
      <c r="G340" s="354" t="s">
        <v>97</v>
      </c>
      <c r="H340" s="320">
        <v>93000</v>
      </c>
      <c r="I340" s="321" t="b">
        <v>1</v>
      </c>
      <c r="J340" s="322">
        <v>3</v>
      </c>
      <c r="K340" s="323" t="s">
        <v>1973</v>
      </c>
      <c r="L340" s="371" t="e">
        <f t="shared" si="6"/>
        <v>#VALUE!</v>
      </c>
      <c r="M340" s="325"/>
    </row>
    <row r="341" spans="1:13" ht="13">
      <c r="A341" s="316" t="s">
        <v>696</v>
      </c>
      <c r="B341" s="316" t="s">
        <v>1973</v>
      </c>
      <c r="C341" s="316" t="s">
        <v>1973</v>
      </c>
      <c r="D341" s="316" t="s">
        <v>1973</v>
      </c>
      <c r="E341" s="317" t="s">
        <v>1973</v>
      </c>
      <c r="F341" s="318">
        <v>6</v>
      </c>
      <c r="G341" s="354" t="s">
        <v>62</v>
      </c>
      <c r="H341" s="320">
        <v>66000</v>
      </c>
      <c r="I341" s="321" t="b">
        <v>1</v>
      </c>
      <c r="J341" s="322">
        <v>6</v>
      </c>
      <c r="K341" s="323" t="s">
        <v>1973</v>
      </c>
      <c r="L341" s="371" t="e">
        <f t="shared" si="6"/>
        <v>#VALUE!</v>
      </c>
      <c r="M341" s="325"/>
    </row>
    <row r="342" spans="1:13" ht="13">
      <c r="A342" s="316" t="s">
        <v>748</v>
      </c>
      <c r="B342" s="316" t="s">
        <v>1973</v>
      </c>
      <c r="C342" s="316" t="s">
        <v>1973</v>
      </c>
      <c r="D342" s="316" t="s">
        <v>1973</v>
      </c>
      <c r="E342" s="317" t="s">
        <v>1973</v>
      </c>
      <c r="F342" s="318">
        <v>3</v>
      </c>
      <c r="G342" s="354" t="s">
        <v>62</v>
      </c>
      <c r="H342" s="320">
        <v>90000</v>
      </c>
      <c r="I342" s="321" t="b">
        <v>1</v>
      </c>
      <c r="J342" s="322">
        <v>3</v>
      </c>
      <c r="K342" s="323" t="s">
        <v>1973</v>
      </c>
      <c r="L342" s="371" t="e">
        <f t="shared" si="6"/>
        <v>#VALUE!</v>
      </c>
      <c r="M342" s="325"/>
    </row>
    <row r="343" spans="1:13" ht="13">
      <c r="A343" s="316" t="s">
        <v>892</v>
      </c>
      <c r="B343" s="316" t="s">
        <v>1973</v>
      </c>
      <c r="C343" s="316" t="s">
        <v>1973</v>
      </c>
      <c r="D343" s="316" t="s">
        <v>1973</v>
      </c>
      <c r="E343" s="317" t="s">
        <v>1973</v>
      </c>
      <c r="F343" s="318">
        <v>1</v>
      </c>
      <c r="G343" s="354" t="s">
        <v>36</v>
      </c>
      <c r="H343" s="320">
        <v>125000</v>
      </c>
      <c r="I343" s="321" t="b">
        <v>1</v>
      </c>
      <c r="J343" s="322">
        <v>1</v>
      </c>
      <c r="K343" s="323" t="s">
        <v>1973</v>
      </c>
      <c r="L343" s="371" t="e">
        <f t="shared" si="6"/>
        <v>#VALUE!</v>
      </c>
      <c r="M343" s="325"/>
    </row>
    <row r="344" spans="1:13" ht="13">
      <c r="A344" s="316" t="s">
        <v>934</v>
      </c>
      <c r="B344" s="316" t="s">
        <v>1973</v>
      </c>
      <c r="C344" s="316" t="s">
        <v>1973</v>
      </c>
      <c r="D344" s="316" t="s">
        <v>1973</v>
      </c>
      <c r="E344" s="317" t="s">
        <v>1973</v>
      </c>
      <c r="F344" s="318">
        <v>4</v>
      </c>
      <c r="G344" s="354" t="s">
        <v>62</v>
      </c>
      <c r="H344" s="320">
        <v>36000</v>
      </c>
      <c r="I344" s="321" t="b">
        <v>1</v>
      </c>
      <c r="J344" s="322">
        <v>4</v>
      </c>
      <c r="K344" s="323" t="s">
        <v>1973</v>
      </c>
      <c r="L344" s="371" t="e">
        <f t="shared" si="6"/>
        <v>#VALUE!</v>
      </c>
      <c r="M344" s="325"/>
    </row>
    <row r="345" spans="1:13" ht="13">
      <c r="A345" s="316" t="s">
        <v>940</v>
      </c>
      <c r="B345" s="316" t="s">
        <v>1973</v>
      </c>
      <c r="C345" s="316" t="s">
        <v>1973</v>
      </c>
      <c r="D345" s="316" t="s">
        <v>1973</v>
      </c>
      <c r="E345" s="317" t="s">
        <v>1973</v>
      </c>
      <c r="F345" s="318">
        <v>0.25</v>
      </c>
      <c r="G345" s="354" t="s">
        <v>36</v>
      </c>
      <c r="H345" s="320">
        <v>25000</v>
      </c>
      <c r="I345" s="321" t="b">
        <v>0</v>
      </c>
      <c r="J345" s="322"/>
      <c r="K345" s="323" t="s">
        <v>1973</v>
      </c>
      <c r="L345" s="324" t="e">
        <f t="shared" si="6"/>
        <v>#VALUE!</v>
      </c>
      <c r="M345" s="325"/>
    </row>
    <row r="346" spans="1:13" ht="13">
      <c r="A346" s="316" t="s">
        <v>943</v>
      </c>
      <c r="B346" s="316" t="s">
        <v>1973</v>
      </c>
      <c r="C346" s="316" t="s">
        <v>1973</v>
      </c>
      <c r="D346" s="316" t="s">
        <v>1973</v>
      </c>
      <c r="E346" s="317" t="s">
        <v>1973</v>
      </c>
      <c r="F346" s="318">
        <v>1</v>
      </c>
      <c r="G346" s="354" t="s">
        <v>62</v>
      </c>
      <c r="H346" s="320">
        <v>8500</v>
      </c>
      <c r="I346" s="321" t="b">
        <v>1</v>
      </c>
      <c r="J346" s="322">
        <v>1</v>
      </c>
      <c r="K346" s="323" t="s">
        <v>1973</v>
      </c>
      <c r="L346" s="371" t="e">
        <f t="shared" si="6"/>
        <v>#VALUE!</v>
      </c>
      <c r="M346" s="325"/>
    </row>
    <row r="347" spans="1:13" ht="13">
      <c r="A347" s="316" t="s">
        <v>1548</v>
      </c>
      <c r="B347" s="316" t="s">
        <v>1973</v>
      </c>
      <c r="C347" s="316" t="s">
        <v>1973</v>
      </c>
      <c r="D347" s="316" t="s">
        <v>1973</v>
      </c>
      <c r="E347" s="317" t="s">
        <v>1973</v>
      </c>
      <c r="F347" s="318">
        <v>2</v>
      </c>
      <c r="G347" s="354" t="s">
        <v>62</v>
      </c>
      <c r="H347" s="320">
        <v>24000</v>
      </c>
      <c r="I347" s="321" t="b">
        <v>1</v>
      </c>
      <c r="J347" s="322">
        <v>2</v>
      </c>
      <c r="K347" s="323" t="s">
        <v>1973</v>
      </c>
      <c r="L347" s="371" t="e">
        <f t="shared" si="6"/>
        <v>#VALUE!</v>
      </c>
      <c r="M347" s="325"/>
    </row>
    <row r="348" spans="1:13" ht="13">
      <c r="A348" s="316" t="s">
        <v>1615</v>
      </c>
      <c r="B348" s="316" t="s">
        <v>1973</v>
      </c>
      <c r="C348" s="316" t="s">
        <v>1973</v>
      </c>
      <c r="D348" s="316" t="s">
        <v>1973</v>
      </c>
      <c r="E348" s="317" t="s">
        <v>1973</v>
      </c>
      <c r="F348" s="318">
        <v>1</v>
      </c>
      <c r="G348" s="354" t="s">
        <v>62</v>
      </c>
      <c r="H348" s="320">
        <v>8000</v>
      </c>
      <c r="I348" s="321" t="b">
        <v>1</v>
      </c>
      <c r="J348" s="322">
        <v>1</v>
      </c>
      <c r="K348" s="323" t="s">
        <v>1973</v>
      </c>
      <c r="L348" s="371" t="e">
        <f t="shared" si="6"/>
        <v>#VALUE!</v>
      </c>
      <c r="M348" s="325"/>
    </row>
    <row r="349" spans="1:13" ht="13">
      <c r="A349" s="316" t="s">
        <v>1017</v>
      </c>
      <c r="B349" s="316" t="s">
        <v>1973</v>
      </c>
      <c r="C349" s="316" t="s">
        <v>1973</v>
      </c>
      <c r="D349" s="316" t="s">
        <v>1973</v>
      </c>
      <c r="E349" s="317" t="s">
        <v>1973</v>
      </c>
      <c r="F349" s="318">
        <v>2</v>
      </c>
      <c r="G349" s="354" t="s">
        <v>62</v>
      </c>
      <c r="H349" s="320">
        <v>5000</v>
      </c>
      <c r="I349" s="321" t="b">
        <v>0</v>
      </c>
      <c r="J349" s="322"/>
      <c r="K349" s="323" t="s">
        <v>1973</v>
      </c>
      <c r="L349" s="324" t="e">
        <f t="shared" si="6"/>
        <v>#VALUE!</v>
      </c>
      <c r="M349" s="325"/>
    </row>
    <row r="350" spans="1:13" ht="13">
      <c r="A350" s="316" t="s">
        <v>1037</v>
      </c>
      <c r="B350" s="316" t="s">
        <v>1973</v>
      </c>
      <c r="C350" s="316" t="s">
        <v>1973</v>
      </c>
      <c r="D350" s="316" t="s">
        <v>1973</v>
      </c>
      <c r="E350" s="317" t="s">
        <v>1973</v>
      </c>
      <c r="F350" s="318">
        <v>1</v>
      </c>
      <c r="G350" s="354" t="s">
        <v>62</v>
      </c>
      <c r="H350" s="320">
        <v>20100</v>
      </c>
      <c r="I350" s="321" t="b">
        <v>0</v>
      </c>
      <c r="J350" s="322"/>
      <c r="K350" s="323" t="s">
        <v>1973</v>
      </c>
      <c r="L350" s="324" t="e">
        <f t="shared" si="6"/>
        <v>#VALUE!</v>
      </c>
      <c r="M350" s="325"/>
    </row>
    <row r="351" spans="1:13" ht="13">
      <c r="A351" s="316" t="s">
        <v>1046</v>
      </c>
      <c r="B351" s="316" t="s">
        <v>1973</v>
      </c>
      <c r="C351" s="316" t="s">
        <v>1973</v>
      </c>
      <c r="D351" s="316" t="s">
        <v>1973</v>
      </c>
      <c r="E351" s="317" t="s">
        <v>1973</v>
      </c>
      <c r="F351" s="318">
        <v>2</v>
      </c>
      <c r="G351" s="354" t="s">
        <v>62</v>
      </c>
      <c r="H351" s="320">
        <v>40000</v>
      </c>
      <c r="I351" s="321" t="b">
        <v>1</v>
      </c>
      <c r="J351" s="322">
        <v>2</v>
      </c>
      <c r="K351" s="323" t="s">
        <v>1973</v>
      </c>
      <c r="L351" s="371" t="e">
        <f t="shared" si="6"/>
        <v>#VALUE!</v>
      </c>
      <c r="M351" s="325"/>
    </row>
    <row r="353" spans="1:13" ht="13">
      <c r="F353" s="429">
        <v>44613</v>
      </c>
      <c r="G353" s="428"/>
      <c r="H353" s="424"/>
      <c r="J353" s="429">
        <f>F353+1</f>
        <v>44614</v>
      </c>
      <c r="K353" s="428"/>
      <c r="L353" s="424"/>
    </row>
    <row r="354" spans="1:13" ht="13">
      <c r="F354" s="425" t="s">
        <v>1490</v>
      </c>
      <c r="G354" s="426"/>
      <c r="H354" s="304">
        <f>SUM(H356:H389)</f>
        <v>1937280</v>
      </c>
      <c r="J354" s="425" t="s">
        <v>1491</v>
      </c>
      <c r="K354" s="426"/>
      <c r="L354" s="304" t="e">
        <f>SUM(L356:L389)</f>
        <v>#VALUE!</v>
      </c>
    </row>
    <row r="355" spans="1:13" ht="13">
      <c r="A355" s="2" t="s">
        <v>4</v>
      </c>
      <c r="B355" s="305" t="s">
        <v>5</v>
      </c>
      <c r="C355" s="305" t="s">
        <v>11</v>
      </c>
      <c r="D355" s="305" t="s">
        <v>12</v>
      </c>
      <c r="E355" s="306" t="s">
        <v>6</v>
      </c>
      <c r="F355" s="307" t="s">
        <v>1494</v>
      </c>
      <c r="G355" s="308" t="s">
        <v>10</v>
      </c>
      <c r="H355" s="309" t="s">
        <v>1495</v>
      </c>
      <c r="I355" s="310" t="s">
        <v>1289</v>
      </c>
      <c r="J355" s="311" t="s">
        <v>1496</v>
      </c>
      <c r="K355" s="312" t="s">
        <v>1497</v>
      </c>
      <c r="L355" s="313" t="s">
        <v>1498</v>
      </c>
      <c r="M355" s="314" t="s">
        <v>16</v>
      </c>
    </row>
    <row r="356" spans="1:13" ht="13">
      <c r="A356" s="316" t="s">
        <v>782</v>
      </c>
      <c r="B356" s="316" t="s">
        <v>1973</v>
      </c>
      <c r="C356" s="316" t="s">
        <v>1973</v>
      </c>
      <c r="D356" s="316" t="s">
        <v>1973</v>
      </c>
      <c r="E356" s="317" t="s">
        <v>1973</v>
      </c>
      <c r="F356" s="318">
        <v>2</v>
      </c>
      <c r="G356" s="354" t="s">
        <v>62</v>
      </c>
      <c r="H356" s="320">
        <v>24000</v>
      </c>
      <c r="I356" s="319" t="b">
        <v>0</v>
      </c>
      <c r="J356" s="372"/>
      <c r="K356" s="373" t="s">
        <v>1973</v>
      </c>
      <c r="L356" s="374" t="e">
        <f t="shared" ref="L356:L389" si="7">J356*K356</f>
        <v>#VALUE!</v>
      </c>
      <c r="M356" s="325"/>
    </row>
    <row r="357" spans="1:13" ht="13">
      <c r="A357" s="316" t="s">
        <v>1670</v>
      </c>
      <c r="B357" s="316" t="s">
        <v>1973</v>
      </c>
      <c r="C357" s="316" t="s">
        <v>1973</v>
      </c>
      <c r="D357" s="316" t="s">
        <v>1973</v>
      </c>
      <c r="E357" s="317" t="s">
        <v>1973</v>
      </c>
      <c r="F357" s="318">
        <v>1</v>
      </c>
      <c r="G357" s="354" t="s">
        <v>62</v>
      </c>
      <c r="H357" s="320">
        <v>11500</v>
      </c>
      <c r="I357" s="321" t="b">
        <v>1</v>
      </c>
      <c r="J357" s="322">
        <v>1</v>
      </c>
      <c r="K357" s="323" t="s">
        <v>1973</v>
      </c>
      <c r="L357" s="371" t="e">
        <f t="shared" si="7"/>
        <v>#VALUE!</v>
      </c>
      <c r="M357" s="325"/>
    </row>
    <row r="358" spans="1:13" ht="13">
      <c r="A358" s="316" t="s">
        <v>1607</v>
      </c>
      <c r="B358" s="316" t="s">
        <v>1973</v>
      </c>
      <c r="C358" s="316" t="s">
        <v>1973</v>
      </c>
      <c r="D358" s="316" t="s">
        <v>1973</v>
      </c>
      <c r="E358" s="317" t="s">
        <v>1973</v>
      </c>
      <c r="F358" s="318">
        <v>1</v>
      </c>
      <c r="G358" s="354" t="s">
        <v>62</v>
      </c>
      <c r="H358" s="320">
        <v>11500</v>
      </c>
      <c r="I358" s="321" t="b">
        <v>1</v>
      </c>
      <c r="J358" s="322">
        <v>1</v>
      </c>
      <c r="K358" s="323">
        <v>8680</v>
      </c>
      <c r="L358" s="380">
        <f t="shared" si="7"/>
        <v>8680</v>
      </c>
      <c r="M358" s="325"/>
    </row>
    <row r="359" spans="1:13" ht="13">
      <c r="A359" s="316" t="s">
        <v>919</v>
      </c>
      <c r="B359" s="316" t="s">
        <v>1973</v>
      </c>
      <c r="C359" s="316" t="s">
        <v>1973</v>
      </c>
      <c r="D359" s="316" t="s">
        <v>1973</v>
      </c>
      <c r="E359" s="317" t="s">
        <v>1973</v>
      </c>
      <c r="F359" s="318">
        <v>4</v>
      </c>
      <c r="G359" s="354" t="s">
        <v>62</v>
      </c>
      <c r="H359" s="320">
        <v>35200</v>
      </c>
      <c r="I359" s="321" t="b">
        <v>1</v>
      </c>
      <c r="J359" s="322">
        <v>4</v>
      </c>
      <c r="K359" s="323" t="s">
        <v>1973</v>
      </c>
      <c r="L359" s="371" t="e">
        <f t="shared" si="7"/>
        <v>#VALUE!</v>
      </c>
      <c r="M359" s="325"/>
    </row>
    <row r="360" spans="1:13" ht="13">
      <c r="A360" s="316" t="s">
        <v>639</v>
      </c>
      <c r="B360" s="316" t="s">
        <v>1973</v>
      </c>
      <c r="C360" s="316" t="s">
        <v>1973</v>
      </c>
      <c r="D360" s="316" t="s">
        <v>1973</v>
      </c>
      <c r="E360" s="317" t="s">
        <v>1973</v>
      </c>
      <c r="F360" s="318">
        <v>1</v>
      </c>
      <c r="G360" s="354" t="s">
        <v>36</v>
      </c>
      <c r="H360" s="320">
        <v>125000</v>
      </c>
      <c r="I360" s="321" t="b">
        <v>1</v>
      </c>
      <c r="J360" s="322">
        <v>1</v>
      </c>
      <c r="K360" s="323" t="s">
        <v>1973</v>
      </c>
      <c r="L360" s="371" t="e">
        <f t="shared" si="7"/>
        <v>#VALUE!</v>
      </c>
      <c r="M360" s="325"/>
    </row>
    <row r="361" spans="1:13" ht="13">
      <c r="A361" s="316" t="s">
        <v>1610</v>
      </c>
      <c r="B361" s="316" t="s">
        <v>1973</v>
      </c>
      <c r="C361" s="316" t="s">
        <v>1973</v>
      </c>
      <c r="D361" s="316" t="s">
        <v>1973</v>
      </c>
      <c r="E361" s="317" t="s">
        <v>1973</v>
      </c>
      <c r="F361" s="318">
        <v>2</v>
      </c>
      <c r="G361" s="354" t="s">
        <v>36</v>
      </c>
      <c r="H361" s="320">
        <v>20000</v>
      </c>
      <c r="I361" s="321" t="b">
        <v>1</v>
      </c>
      <c r="J361" s="322">
        <v>2</v>
      </c>
      <c r="K361" s="323" t="s">
        <v>1973</v>
      </c>
      <c r="L361" s="371" t="e">
        <f t="shared" si="7"/>
        <v>#VALUE!</v>
      </c>
      <c r="M361" s="325"/>
    </row>
    <row r="362" spans="1:13" ht="13">
      <c r="A362" s="316" t="s">
        <v>1611</v>
      </c>
      <c r="B362" s="316" t="s">
        <v>1973</v>
      </c>
      <c r="C362" s="316" t="s">
        <v>1973</v>
      </c>
      <c r="D362" s="316" t="s">
        <v>1973</v>
      </c>
      <c r="E362" s="317" t="s">
        <v>1973</v>
      </c>
      <c r="F362" s="318">
        <v>5</v>
      </c>
      <c r="G362" s="354" t="s">
        <v>36</v>
      </c>
      <c r="H362" s="320">
        <v>250000</v>
      </c>
      <c r="I362" s="321" t="b">
        <v>1</v>
      </c>
      <c r="J362" s="322">
        <v>5</v>
      </c>
      <c r="K362" s="323">
        <v>42000</v>
      </c>
      <c r="L362" s="380">
        <f t="shared" si="7"/>
        <v>210000</v>
      </c>
      <c r="M362" s="325" t="s">
        <v>1963</v>
      </c>
    </row>
    <row r="363" spans="1:13" ht="13">
      <c r="A363" s="316" t="s">
        <v>1698</v>
      </c>
      <c r="B363" s="316" t="s">
        <v>1973</v>
      </c>
      <c r="C363" s="316" t="s">
        <v>1973</v>
      </c>
      <c r="D363" s="316" t="s">
        <v>1973</v>
      </c>
      <c r="E363" s="317" t="s">
        <v>1973</v>
      </c>
      <c r="F363" s="318">
        <v>3</v>
      </c>
      <c r="G363" s="354" t="s">
        <v>36</v>
      </c>
      <c r="H363" s="320">
        <v>111000</v>
      </c>
      <c r="I363" s="321" t="b">
        <v>1</v>
      </c>
      <c r="J363" s="322">
        <v>3</v>
      </c>
      <c r="K363" s="323">
        <v>30000</v>
      </c>
      <c r="L363" s="380">
        <f t="shared" si="7"/>
        <v>90000</v>
      </c>
      <c r="M363" s="325" t="s">
        <v>1964</v>
      </c>
    </row>
    <row r="364" spans="1:13" ht="13">
      <c r="A364" s="316" t="s">
        <v>1699</v>
      </c>
      <c r="B364" s="316" t="s">
        <v>1973</v>
      </c>
      <c r="C364" s="316" t="s">
        <v>1973</v>
      </c>
      <c r="D364" s="316" t="s">
        <v>1973</v>
      </c>
      <c r="E364" s="317" t="s">
        <v>1973</v>
      </c>
      <c r="F364" s="318">
        <v>0.5</v>
      </c>
      <c r="G364" s="354" t="s">
        <v>36</v>
      </c>
      <c r="H364" s="320">
        <v>34000</v>
      </c>
      <c r="I364" s="321" t="b">
        <v>1</v>
      </c>
      <c r="J364" s="322">
        <v>0.5</v>
      </c>
      <c r="K364" s="323">
        <v>70000</v>
      </c>
      <c r="L364" s="379">
        <f t="shared" si="7"/>
        <v>35000</v>
      </c>
      <c r="M364" s="325" t="s">
        <v>1714</v>
      </c>
    </row>
    <row r="365" spans="1:13" ht="13">
      <c r="A365" s="316" t="s">
        <v>1707</v>
      </c>
      <c r="B365" s="316" t="s">
        <v>1973</v>
      </c>
      <c r="C365" s="316" t="s">
        <v>1973</v>
      </c>
      <c r="D365" s="316" t="s">
        <v>1973</v>
      </c>
      <c r="E365" s="317" t="s">
        <v>1973</v>
      </c>
      <c r="F365" s="318">
        <v>0.25</v>
      </c>
      <c r="G365" s="354" t="s">
        <v>36</v>
      </c>
      <c r="H365" s="320">
        <v>7000</v>
      </c>
      <c r="I365" s="321" t="b">
        <v>1</v>
      </c>
      <c r="J365" s="322">
        <v>0.25</v>
      </c>
      <c r="K365" s="323">
        <v>40000</v>
      </c>
      <c r="L365" s="379">
        <f t="shared" si="7"/>
        <v>10000</v>
      </c>
      <c r="M365" s="325" t="s">
        <v>1721</v>
      </c>
    </row>
    <row r="366" spans="1:13" ht="13">
      <c r="A366" s="316" t="s">
        <v>675</v>
      </c>
      <c r="B366" s="316" t="s">
        <v>1973</v>
      </c>
      <c r="C366" s="316" t="s">
        <v>1973</v>
      </c>
      <c r="D366" s="316" t="s">
        <v>1973</v>
      </c>
      <c r="E366" s="317" t="s">
        <v>1973</v>
      </c>
      <c r="F366" s="318">
        <v>20</v>
      </c>
      <c r="G366" s="354" t="s">
        <v>62</v>
      </c>
      <c r="H366" s="320">
        <v>90000</v>
      </c>
      <c r="I366" s="321" t="b">
        <v>1</v>
      </c>
      <c r="J366" s="322">
        <v>20</v>
      </c>
      <c r="K366" s="323" t="e">
        <f>VLOOKUP($A366,'[1]Database Bahan &amp; Alat (Terupdat'!$B$50:$N$232,6,FALSE)</f>
        <v>#N/A</v>
      </c>
      <c r="L366" s="371" t="e">
        <f t="shared" si="7"/>
        <v>#N/A</v>
      </c>
      <c r="M366" s="325"/>
    </row>
    <row r="367" spans="1:13" ht="13">
      <c r="A367" s="316" t="s">
        <v>712</v>
      </c>
      <c r="B367" s="316" t="s">
        <v>1973</v>
      </c>
      <c r="C367" s="316" t="s">
        <v>1973</v>
      </c>
      <c r="D367" s="316" t="s">
        <v>1973</v>
      </c>
      <c r="E367" s="317" t="s">
        <v>1973</v>
      </c>
      <c r="F367" s="318">
        <v>2</v>
      </c>
      <c r="G367" s="354" t="s">
        <v>36</v>
      </c>
      <c r="H367" s="320">
        <v>48000</v>
      </c>
      <c r="I367" s="321" t="b">
        <v>1</v>
      </c>
      <c r="J367" s="322">
        <v>2</v>
      </c>
      <c r="K367" s="323">
        <v>26000</v>
      </c>
      <c r="L367" s="379">
        <f t="shared" si="7"/>
        <v>52000</v>
      </c>
      <c r="M367" s="325" t="s">
        <v>1716</v>
      </c>
    </row>
    <row r="368" spans="1:13" ht="13">
      <c r="A368" s="316" t="s">
        <v>724</v>
      </c>
      <c r="B368" s="316" t="s">
        <v>1973</v>
      </c>
      <c r="C368" s="316" t="s">
        <v>1973</v>
      </c>
      <c r="D368" s="316" t="s">
        <v>1973</v>
      </c>
      <c r="E368" s="317" t="s">
        <v>1973</v>
      </c>
      <c r="F368" s="318">
        <v>0.5</v>
      </c>
      <c r="G368" s="354" t="s">
        <v>36</v>
      </c>
      <c r="H368" s="320">
        <v>10000</v>
      </c>
      <c r="I368" s="321" t="b">
        <v>1</v>
      </c>
      <c r="J368" s="322">
        <v>0.5</v>
      </c>
      <c r="K368" s="323">
        <v>24000</v>
      </c>
      <c r="L368" s="379">
        <f t="shared" si="7"/>
        <v>12000</v>
      </c>
      <c r="M368" s="325" t="s">
        <v>1715</v>
      </c>
    </row>
    <row r="369" spans="1:13" ht="13">
      <c r="A369" s="316" t="s">
        <v>732</v>
      </c>
      <c r="B369" s="316" t="s">
        <v>1973</v>
      </c>
      <c r="C369" s="316" t="s">
        <v>1973</v>
      </c>
      <c r="D369" s="316" t="s">
        <v>1973</v>
      </c>
      <c r="E369" s="317" t="s">
        <v>1973</v>
      </c>
      <c r="F369" s="318">
        <v>2</v>
      </c>
      <c r="G369" s="354" t="s">
        <v>36</v>
      </c>
      <c r="H369" s="320">
        <v>52000</v>
      </c>
      <c r="I369" s="321" t="b">
        <v>1</v>
      </c>
      <c r="J369" s="322">
        <v>2</v>
      </c>
      <c r="K369" s="323">
        <v>28000</v>
      </c>
      <c r="L369" s="379">
        <f t="shared" si="7"/>
        <v>56000</v>
      </c>
      <c r="M369" s="325" t="s">
        <v>1716</v>
      </c>
    </row>
    <row r="370" spans="1:13" ht="13">
      <c r="A370" s="316" t="s">
        <v>744</v>
      </c>
      <c r="B370" s="316" t="s">
        <v>1973</v>
      </c>
      <c r="C370" s="316" t="s">
        <v>1973</v>
      </c>
      <c r="D370" s="316" t="s">
        <v>1973</v>
      </c>
      <c r="E370" s="317" t="s">
        <v>1973</v>
      </c>
      <c r="F370" s="318">
        <v>0.5</v>
      </c>
      <c r="G370" s="354" t="s">
        <v>36</v>
      </c>
      <c r="H370" s="320">
        <v>35000</v>
      </c>
      <c r="I370" s="321" t="b">
        <v>1</v>
      </c>
      <c r="J370" s="322">
        <v>0.5</v>
      </c>
      <c r="K370" s="323" t="s">
        <v>1973</v>
      </c>
      <c r="L370" s="371" t="e">
        <f t="shared" si="7"/>
        <v>#VALUE!</v>
      </c>
      <c r="M370" s="325"/>
    </row>
    <row r="371" spans="1:13" ht="13">
      <c r="A371" s="316" t="s">
        <v>795</v>
      </c>
      <c r="B371" s="316" t="s">
        <v>1973</v>
      </c>
      <c r="C371" s="316" t="s">
        <v>1973</v>
      </c>
      <c r="D371" s="316" t="s">
        <v>1973</v>
      </c>
      <c r="E371" s="317" t="s">
        <v>1973</v>
      </c>
      <c r="F371" s="318">
        <v>10</v>
      </c>
      <c r="G371" s="354" t="s">
        <v>62</v>
      </c>
      <c r="H371" s="320">
        <v>50000</v>
      </c>
      <c r="I371" s="321" t="b">
        <v>1</v>
      </c>
      <c r="J371" s="322">
        <v>10</v>
      </c>
      <c r="K371" s="323" t="s">
        <v>1973</v>
      </c>
      <c r="L371" s="371" t="e">
        <f t="shared" si="7"/>
        <v>#VALUE!</v>
      </c>
      <c r="M371" s="325"/>
    </row>
    <row r="372" spans="1:13" ht="13">
      <c r="A372" s="316" t="s">
        <v>1704</v>
      </c>
      <c r="B372" s="316" t="s">
        <v>1973</v>
      </c>
      <c r="C372" s="316" t="s">
        <v>1973</v>
      </c>
      <c r="D372" s="316" t="s">
        <v>1973</v>
      </c>
      <c r="E372" s="317" t="s">
        <v>1973</v>
      </c>
      <c r="F372" s="318">
        <v>0.25</v>
      </c>
      <c r="G372" s="354" t="s">
        <v>36</v>
      </c>
      <c r="H372" s="320">
        <v>3000</v>
      </c>
      <c r="I372" s="321" t="b">
        <v>1</v>
      </c>
      <c r="J372" s="322">
        <v>0.25</v>
      </c>
      <c r="K372" s="323" t="s">
        <v>1973</v>
      </c>
      <c r="L372" s="371" t="e">
        <f t="shared" si="7"/>
        <v>#VALUE!</v>
      </c>
      <c r="M372" s="325"/>
    </row>
    <row r="373" spans="1:13" ht="13">
      <c r="A373" s="316" t="s">
        <v>819</v>
      </c>
      <c r="B373" s="316" t="s">
        <v>1973</v>
      </c>
      <c r="C373" s="316" t="s">
        <v>1973</v>
      </c>
      <c r="D373" s="316" t="s">
        <v>1973</v>
      </c>
      <c r="E373" s="317" t="s">
        <v>1973</v>
      </c>
      <c r="F373" s="318">
        <v>0.25</v>
      </c>
      <c r="G373" s="354" t="s">
        <v>36</v>
      </c>
      <c r="H373" s="320">
        <v>5000</v>
      </c>
      <c r="I373" s="321" t="b">
        <v>1</v>
      </c>
      <c r="J373" s="322">
        <v>0.25</v>
      </c>
      <c r="K373" s="323" t="s">
        <v>1973</v>
      </c>
      <c r="L373" s="371" t="e">
        <f t="shared" si="7"/>
        <v>#VALUE!</v>
      </c>
      <c r="M373" s="325"/>
    </row>
    <row r="374" spans="1:13" ht="13">
      <c r="A374" s="316" t="s">
        <v>1613</v>
      </c>
      <c r="B374" s="316" t="s">
        <v>1973</v>
      </c>
      <c r="C374" s="316" t="s">
        <v>1973</v>
      </c>
      <c r="D374" s="316" t="s">
        <v>1973</v>
      </c>
      <c r="E374" s="317" t="s">
        <v>1973</v>
      </c>
      <c r="F374" s="318">
        <v>0.3</v>
      </c>
      <c r="G374" s="354" t="s">
        <v>36</v>
      </c>
      <c r="H374" s="320">
        <v>12900</v>
      </c>
      <c r="I374" s="321" t="b">
        <v>1</v>
      </c>
      <c r="J374" s="322">
        <v>0.3</v>
      </c>
      <c r="K374" s="323">
        <v>46000</v>
      </c>
      <c r="L374" s="370">
        <f t="shared" si="7"/>
        <v>13800</v>
      </c>
      <c r="M374" s="325" t="s">
        <v>1965</v>
      </c>
    </row>
    <row r="375" spans="1:13" ht="13">
      <c r="A375" s="316" t="s">
        <v>1614</v>
      </c>
      <c r="B375" s="316" t="s">
        <v>1973</v>
      </c>
      <c r="C375" s="316" t="s">
        <v>1973</v>
      </c>
      <c r="D375" s="316" t="s">
        <v>1973</v>
      </c>
      <c r="E375" s="317" t="s">
        <v>1973</v>
      </c>
      <c r="F375" s="318">
        <v>0.3</v>
      </c>
      <c r="G375" s="354" t="s">
        <v>36</v>
      </c>
      <c r="H375" s="320">
        <v>40500</v>
      </c>
      <c r="I375" s="321" t="b">
        <v>1</v>
      </c>
      <c r="J375" s="322">
        <v>0.3</v>
      </c>
      <c r="K375" s="323">
        <v>128000</v>
      </c>
      <c r="L375" s="380">
        <f t="shared" si="7"/>
        <v>38400</v>
      </c>
      <c r="M375" s="325" t="s">
        <v>1966</v>
      </c>
    </row>
    <row r="376" spans="1:13" ht="13">
      <c r="A376" s="316" t="s">
        <v>885</v>
      </c>
      <c r="B376" s="316" t="s">
        <v>1973</v>
      </c>
      <c r="C376" s="316" t="s">
        <v>1973</v>
      </c>
      <c r="D376" s="316" t="s">
        <v>1973</v>
      </c>
      <c r="E376" s="317" t="s">
        <v>1973</v>
      </c>
      <c r="F376" s="318">
        <v>0.25</v>
      </c>
      <c r="G376" s="354" t="s">
        <v>36</v>
      </c>
      <c r="H376" s="320">
        <v>3000</v>
      </c>
      <c r="I376" s="321" t="b">
        <v>1</v>
      </c>
      <c r="J376" s="322">
        <v>0.25</v>
      </c>
      <c r="K376" s="323">
        <v>20000</v>
      </c>
      <c r="L376" s="379">
        <f t="shared" si="7"/>
        <v>5000</v>
      </c>
      <c r="M376" s="325" t="s">
        <v>1715</v>
      </c>
    </row>
    <row r="377" spans="1:13" ht="13">
      <c r="A377" s="316" t="s">
        <v>1669</v>
      </c>
      <c r="B377" s="316" t="s">
        <v>1973</v>
      </c>
      <c r="C377" s="316" t="s">
        <v>1973</v>
      </c>
      <c r="D377" s="316" t="s">
        <v>1973</v>
      </c>
      <c r="E377" s="317" t="s">
        <v>1973</v>
      </c>
      <c r="F377" s="318">
        <v>3</v>
      </c>
      <c r="G377" s="354" t="s">
        <v>36</v>
      </c>
      <c r="H377" s="320">
        <v>39000</v>
      </c>
      <c r="I377" s="321" t="b">
        <v>1</v>
      </c>
      <c r="J377" s="322">
        <v>3</v>
      </c>
      <c r="K377" s="323">
        <v>14000</v>
      </c>
      <c r="L377" s="379">
        <f t="shared" si="7"/>
        <v>42000</v>
      </c>
      <c r="M377" s="325" t="s">
        <v>1721</v>
      </c>
    </row>
    <row r="378" spans="1:13" ht="13">
      <c r="A378" s="316" t="s">
        <v>1501</v>
      </c>
      <c r="B378" s="316" t="s">
        <v>1973</v>
      </c>
      <c r="C378" s="316" t="s">
        <v>1973</v>
      </c>
      <c r="D378" s="316" t="s">
        <v>1973</v>
      </c>
      <c r="E378" s="317" t="s">
        <v>1973</v>
      </c>
      <c r="F378" s="318">
        <v>0.75</v>
      </c>
      <c r="G378" s="354" t="s">
        <v>36</v>
      </c>
      <c r="H378" s="320">
        <v>22500</v>
      </c>
      <c r="I378" s="319" t="b">
        <v>0</v>
      </c>
      <c r="J378" s="372"/>
      <c r="K378" s="373" t="e">
        <f>VLOOKUP($A378,'[1]Database Bahan &amp; Alat (Terupdat'!$B$50:$N$232,6,FALSE)</f>
        <v>#N/A</v>
      </c>
      <c r="L378" s="374" t="e">
        <f t="shared" si="7"/>
        <v>#N/A</v>
      </c>
      <c r="M378" s="325"/>
    </row>
    <row r="379" spans="1:13" ht="13">
      <c r="A379" s="316" t="s">
        <v>1608</v>
      </c>
      <c r="B379" s="316" t="s">
        <v>1973</v>
      </c>
      <c r="C379" s="316" t="s">
        <v>1973</v>
      </c>
      <c r="D379" s="316" t="s">
        <v>1973</v>
      </c>
      <c r="E379" s="317" t="s">
        <v>1973</v>
      </c>
      <c r="F379" s="318">
        <v>1</v>
      </c>
      <c r="G379" s="354" t="s">
        <v>36</v>
      </c>
      <c r="H379" s="320">
        <v>44000</v>
      </c>
      <c r="I379" s="321" t="b">
        <v>1</v>
      </c>
      <c r="J379" s="322">
        <v>1</v>
      </c>
      <c r="K379" s="323">
        <v>52000</v>
      </c>
      <c r="L379" s="370">
        <f t="shared" si="7"/>
        <v>52000</v>
      </c>
      <c r="M379" s="325" t="s">
        <v>1967</v>
      </c>
    </row>
    <row r="380" spans="1:13" ht="13">
      <c r="A380" s="316" t="s">
        <v>1671</v>
      </c>
      <c r="B380" s="316" t="s">
        <v>1973</v>
      </c>
      <c r="C380" s="316" t="s">
        <v>1973</v>
      </c>
      <c r="D380" s="316" t="s">
        <v>1973</v>
      </c>
      <c r="E380" s="317" t="s">
        <v>1973</v>
      </c>
      <c r="F380" s="318">
        <v>3</v>
      </c>
      <c r="G380" s="354" t="s">
        <v>36</v>
      </c>
      <c r="H380" s="320">
        <v>270000</v>
      </c>
      <c r="I380" s="321" t="b">
        <v>1</v>
      </c>
      <c r="J380" s="322">
        <v>3</v>
      </c>
      <c r="K380" s="323" t="s">
        <v>1973</v>
      </c>
      <c r="L380" s="370" t="e">
        <f t="shared" si="7"/>
        <v>#VALUE!</v>
      </c>
      <c r="M380" s="325" t="s">
        <v>1968</v>
      </c>
    </row>
    <row r="381" spans="1:13" ht="13">
      <c r="A381" s="316" t="s">
        <v>1020</v>
      </c>
      <c r="B381" s="316" t="s">
        <v>1973</v>
      </c>
      <c r="C381" s="316" t="s">
        <v>1973</v>
      </c>
      <c r="D381" s="316" t="s">
        <v>1973</v>
      </c>
      <c r="E381" s="317" t="s">
        <v>1973</v>
      </c>
      <c r="F381" s="318">
        <v>1</v>
      </c>
      <c r="G381" s="354" t="s">
        <v>36</v>
      </c>
      <c r="H381" s="320">
        <v>12000</v>
      </c>
      <c r="I381" s="321" t="b">
        <v>1</v>
      </c>
      <c r="J381" s="322">
        <v>1</v>
      </c>
      <c r="K381" s="323" t="s">
        <v>1973</v>
      </c>
      <c r="L381" s="371" t="e">
        <f t="shared" si="7"/>
        <v>#VALUE!</v>
      </c>
      <c r="M381" s="325"/>
    </row>
    <row r="382" spans="1:13" ht="13">
      <c r="A382" s="316" t="s">
        <v>688</v>
      </c>
      <c r="B382" s="316" t="s">
        <v>1973</v>
      </c>
      <c r="C382" s="316" t="s">
        <v>1973</v>
      </c>
      <c r="D382" s="316" t="s">
        <v>1973</v>
      </c>
      <c r="E382" s="317" t="s">
        <v>1973</v>
      </c>
      <c r="F382" s="318">
        <v>2</v>
      </c>
      <c r="G382" s="354" t="s">
        <v>62</v>
      </c>
      <c r="H382" s="320">
        <v>115940</v>
      </c>
      <c r="I382" s="321" t="b">
        <v>1</v>
      </c>
      <c r="J382" s="322">
        <v>1</v>
      </c>
      <c r="K382" s="323">
        <v>52300</v>
      </c>
      <c r="L382" s="370">
        <f t="shared" si="7"/>
        <v>52300</v>
      </c>
      <c r="M382" s="325" t="s">
        <v>1969</v>
      </c>
    </row>
    <row r="383" spans="1:13" ht="13">
      <c r="A383" s="316" t="s">
        <v>779</v>
      </c>
      <c r="B383" s="316" t="s">
        <v>1973</v>
      </c>
      <c r="C383" s="316" t="s">
        <v>1973</v>
      </c>
      <c r="D383" s="316" t="s">
        <v>1973</v>
      </c>
      <c r="E383" s="317" t="s">
        <v>1973</v>
      </c>
      <c r="F383" s="318">
        <v>3</v>
      </c>
      <c r="G383" s="354" t="s">
        <v>62</v>
      </c>
      <c r="H383" s="320">
        <v>115500</v>
      </c>
      <c r="I383" s="321" t="b">
        <v>1</v>
      </c>
      <c r="J383" s="322">
        <v>2</v>
      </c>
      <c r="K383" s="323">
        <v>36000</v>
      </c>
      <c r="L383" s="370">
        <f t="shared" si="7"/>
        <v>72000</v>
      </c>
      <c r="M383" s="325" t="s">
        <v>1970</v>
      </c>
    </row>
    <row r="384" spans="1:13" ht="13">
      <c r="A384" s="316" t="s">
        <v>1606</v>
      </c>
      <c r="B384" s="316" t="s">
        <v>1973</v>
      </c>
      <c r="C384" s="316" t="s">
        <v>1973</v>
      </c>
      <c r="D384" s="316" t="s">
        <v>1973</v>
      </c>
      <c r="E384" s="317" t="s">
        <v>1973</v>
      </c>
      <c r="F384" s="318">
        <v>0.7</v>
      </c>
      <c r="G384" s="354" t="s">
        <v>36</v>
      </c>
      <c r="H384" s="320">
        <v>30239.999999999996</v>
      </c>
      <c r="I384" s="321" t="b">
        <v>1</v>
      </c>
      <c r="J384" s="322">
        <v>0.3</v>
      </c>
      <c r="K384" s="323">
        <v>93333</v>
      </c>
      <c r="L384" s="417">
        <f t="shared" si="7"/>
        <v>27999.899999999998</v>
      </c>
      <c r="M384" s="325" t="s">
        <v>1971</v>
      </c>
    </row>
    <row r="385" spans="1:13" ht="13">
      <c r="A385" s="316" t="s">
        <v>910</v>
      </c>
      <c r="B385" s="316" t="s">
        <v>1973</v>
      </c>
      <c r="C385" s="316" t="s">
        <v>1973</v>
      </c>
      <c r="D385" s="316" t="s">
        <v>1973</v>
      </c>
      <c r="E385" s="317" t="s">
        <v>1973</v>
      </c>
      <c r="F385" s="318">
        <v>6</v>
      </c>
      <c r="G385" s="354" t="s">
        <v>62</v>
      </c>
      <c r="H385" s="320">
        <v>78000</v>
      </c>
      <c r="I385" s="321" t="b">
        <v>1</v>
      </c>
      <c r="J385" s="322">
        <v>4</v>
      </c>
      <c r="K385" s="323" t="s">
        <v>1973</v>
      </c>
      <c r="L385" s="371" t="e">
        <f t="shared" si="7"/>
        <v>#VALUE!</v>
      </c>
      <c r="M385" s="325"/>
    </row>
    <row r="386" spans="1:13" ht="13">
      <c r="A386" s="316" t="s">
        <v>643</v>
      </c>
      <c r="B386" s="316" t="s">
        <v>1973</v>
      </c>
      <c r="C386" s="316" t="s">
        <v>1973</v>
      </c>
      <c r="D386" s="316" t="s">
        <v>1973</v>
      </c>
      <c r="E386" s="317" t="s">
        <v>1973</v>
      </c>
      <c r="F386" s="318">
        <v>1.5</v>
      </c>
      <c r="G386" s="354" t="s">
        <v>36</v>
      </c>
      <c r="H386" s="320">
        <v>22500</v>
      </c>
      <c r="I386" s="321" t="b">
        <v>1</v>
      </c>
      <c r="J386" s="322">
        <v>1.5</v>
      </c>
      <c r="K386" s="323" t="s">
        <v>1973</v>
      </c>
      <c r="L386" s="371" t="e">
        <f t="shared" si="7"/>
        <v>#VALUE!</v>
      </c>
      <c r="M386" s="325"/>
    </row>
    <row r="387" spans="1:13" ht="13">
      <c r="A387" s="316" t="s">
        <v>735</v>
      </c>
      <c r="B387" s="316" t="s">
        <v>1973</v>
      </c>
      <c r="C387" s="316" t="s">
        <v>1973</v>
      </c>
      <c r="D387" s="316" t="s">
        <v>1973</v>
      </c>
      <c r="E387" s="317" t="s">
        <v>1973</v>
      </c>
      <c r="F387" s="318">
        <v>1</v>
      </c>
      <c r="G387" s="354" t="s">
        <v>97</v>
      </c>
      <c r="H387" s="320">
        <v>48000</v>
      </c>
      <c r="I387" s="321" t="b">
        <v>1</v>
      </c>
      <c r="J387" s="322">
        <v>1</v>
      </c>
      <c r="K387" s="323" t="s">
        <v>1973</v>
      </c>
      <c r="L387" s="371" t="e">
        <f t="shared" si="7"/>
        <v>#VALUE!</v>
      </c>
      <c r="M387" s="325"/>
    </row>
    <row r="388" spans="1:13" ht="13">
      <c r="A388" s="316" t="s">
        <v>892</v>
      </c>
      <c r="B388" s="316" t="s">
        <v>1973</v>
      </c>
      <c r="C388" s="316" t="s">
        <v>1973</v>
      </c>
      <c r="D388" s="316" t="s">
        <v>1973</v>
      </c>
      <c r="E388" s="317" t="s">
        <v>1973</v>
      </c>
      <c r="F388" s="318">
        <v>1</v>
      </c>
      <c r="G388" s="354" t="s">
        <v>36</v>
      </c>
      <c r="H388" s="320">
        <v>125000</v>
      </c>
      <c r="I388" s="321" t="b">
        <v>1</v>
      </c>
      <c r="J388" s="322">
        <v>1</v>
      </c>
      <c r="K388" s="323" t="s">
        <v>1973</v>
      </c>
      <c r="L388" s="371" t="e">
        <f t="shared" si="7"/>
        <v>#VALUE!</v>
      </c>
      <c r="M388" s="325"/>
    </row>
    <row r="389" spans="1:13" ht="13">
      <c r="A389" s="316" t="s">
        <v>934</v>
      </c>
      <c r="B389" s="316" t="s">
        <v>1973</v>
      </c>
      <c r="C389" s="316" t="s">
        <v>1973</v>
      </c>
      <c r="D389" s="316" t="s">
        <v>1973</v>
      </c>
      <c r="E389" s="317" t="s">
        <v>1973</v>
      </c>
      <c r="F389" s="318">
        <v>4</v>
      </c>
      <c r="G389" s="354" t="s">
        <v>62</v>
      </c>
      <c r="H389" s="320">
        <v>36000</v>
      </c>
      <c r="I389" s="321" t="b">
        <v>1</v>
      </c>
      <c r="J389" s="322">
        <v>4</v>
      </c>
      <c r="K389" s="323" t="s">
        <v>1973</v>
      </c>
      <c r="L389" s="371" t="e">
        <f t="shared" si="7"/>
        <v>#VALUE!</v>
      </c>
      <c r="M389" s="325"/>
    </row>
    <row r="391" spans="1:13" ht="13">
      <c r="F391" s="429">
        <v>44614</v>
      </c>
      <c r="G391" s="428"/>
      <c r="H391" s="424"/>
      <c r="J391" s="429">
        <f>F391+1</f>
        <v>44615</v>
      </c>
      <c r="K391" s="428"/>
      <c r="L391" s="424"/>
    </row>
    <row r="392" spans="1:13" ht="13">
      <c r="F392" s="425" t="s">
        <v>1490</v>
      </c>
      <c r="G392" s="426"/>
      <c r="H392" s="304">
        <f>SUM(H394:H401)</f>
        <v>629900</v>
      </c>
      <c r="J392" s="425" t="s">
        <v>1491</v>
      </c>
      <c r="K392" s="426"/>
      <c r="L392" s="304" t="e">
        <f>SUM(L394:L401)</f>
        <v>#VALUE!</v>
      </c>
    </row>
    <row r="393" spans="1:13" ht="13">
      <c r="A393" s="2" t="s">
        <v>4</v>
      </c>
      <c r="B393" s="305" t="s">
        <v>5</v>
      </c>
      <c r="C393" s="305" t="s">
        <v>11</v>
      </c>
      <c r="D393" s="305" t="s">
        <v>12</v>
      </c>
      <c r="E393" s="306" t="s">
        <v>6</v>
      </c>
      <c r="F393" s="307" t="s">
        <v>1494</v>
      </c>
      <c r="G393" s="308" t="s">
        <v>10</v>
      </c>
      <c r="H393" s="309" t="s">
        <v>1495</v>
      </c>
      <c r="I393" s="310" t="s">
        <v>1289</v>
      </c>
      <c r="J393" s="311" t="s">
        <v>1496</v>
      </c>
      <c r="K393" s="312" t="s">
        <v>1497</v>
      </c>
      <c r="L393" s="313" t="s">
        <v>1498</v>
      </c>
      <c r="M393" s="314" t="s">
        <v>16</v>
      </c>
    </row>
    <row r="394" spans="1:13" ht="13">
      <c r="A394" s="316" t="s">
        <v>544</v>
      </c>
      <c r="B394" s="316" t="s">
        <v>1973</v>
      </c>
      <c r="C394" s="316" t="s">
        <v>1973</v>
      </c>
      <c r="D394" s="316" t="s">
        <v>1973</v>
      </c>
      <c r="E394" s="317" t="s">
        <v>1973</v>
      </c>
      <c r="F394" s="318">
        <v>4</v>
      </c>
      <c r="G394" s="354" t="s">
        <v>62</v>
      </c>
      <c r="H394" s="320">
        <v>90400</v>
      </c>
      <c r="I394" s="321" t="b">
        <v>1</v>
      </c>
      <c r="J394" s="322">
        <v>4</v>
      </c>
      <c r="K394" s="323" t="s">
        <v>1973</v>
      </c>
      <c r="L394" s="371" t="e">
        <f t="shared" ref="L394:L401" si="8">J394*K394</f>
        <v>#VALUE!</v>
      </c>
      <c r="M394" s="325"/>
    </row>
    <row r="395" spans="1:13" ht="13">
      <c r="A395" s="316" t="s">
        <v>574</v>
      </c>
      <c r="B395" s="316" t="s">
        <v>1973</v>
      </c>
      <c r="C395" s="316" t="s">
        <v>1973</v>
      </c>
      <c r="D395" s="316" t="s">
        <v>1973</v>
      </c>
      <c r="E395" s="317" t="s">
        <v>1973</v>
      </c>
      <c r="F395" s="318">
        <v>1</v>
      </c>
      <c r="G395" s="354" t="s">
        <v>62</v>
      </c>
      <c r="H395" s="320">
        <v>170000</v>
      </c>
      <c r="I395" s="319" t="b">
        <v>0</v>
      </c>
      <c r="J395" s="372"/>
      <c r="K395" s="373" t="s">
        <v>1973</v>
      </c>
      <c r="L395" s="374" t="e">
        <f t="shared" si="8"/>
        <v>#VALUE!</v>
      </c>
      <c r="M395" s="325"/>
    </row>
    <row r="396" spans="1:13" ht="13">
      <c r="A396" s="316" t="s">
        <v>586</v>
      </c>
      <c r="B396" s="316" t="s">
        <v>1973</v>
      </c>
      <c r="C396" s="316" t="s">
        <v>1973</v>
      </c>
      <c r="D396" s="316" t="s">
        <v>1973</v>
      </c>
      <c r="E396" s="317" t="s">
        <v>1973</v>
      </c>
      <c r="F396" s="318">
        <v>2</v>
      </c>
      <c r="G396" s="354" t="s">
        <v>62</v>
      </c>
      <c r="H396" s="320">
        <v>14400</v>
      </c>
      <c r="I396" s="321" t="b">
        <v>1</v>
      </c>
      <c r="J396" s="322">
        <v>2</v>
      </c>
      <c r="K396" s="323" t="s">
        <v>1973</v>
      </c>
      <c r="L396" s="324" t="e">
        <f t="shared" si="8"/>
        <v>#VALUE!</v>
      </c>
      <c r="M396" s="325"/>
    </row>
    <row r="397" spans="1:13" ht="13">
      <c r="A397" s="316" t="s">
        <v>590</v>
      </c>
      <c r="B397" s="316" t="s">
        <v>1973</v>
      </c>
      <c r="C397" s="316" t="s">
        <v>1973</v>
      </c>
      <c r="D397" s="316" t="s">
        <v>1973</v>
      </c>
      <c r="E397" s="317" t="s">
        <v>1973</v>
      </c>
      <c r="F397" s="318">
        <v>2</v>
      </c>
      <c r="G397" s="354" t="s">
        <v>62</v>
      </c>
      <c r="H397" s="320">
        <v>170000</v>
      </c>
      <c r="I397" s="319" t="b">
        <v>0</v>
      </c>
      <c r="J397" s="372"/>
      <c r="K397" s="373" t="s">
        <v>1973</v>
      </c>
      <c r="L397" s="374" t="e">
        <f t="shared" si="8"/>
        <v>#VALUE!</v>
      </c>
      <c r="M397" s="325"/>
    </row>
    <row r="398" spans="1:13" ht="13">
      <c r="A398" s="316" t="s">
        <v>680</v>
      </c>
      <c r="B398" s="316" t="s">
        <v>1973</v>
      </c>
      <c r="C398" s="316" t="s">
        <v>1973</v>
      </c>
      <c r="D398" s="316" t="s">
        <v>1973</v>
      </c>
      <c r="E398" s="317" t="s">
        <v>1973</v>
      </c>
      <c r="F398" s="318">
        <v>4</v>
      </c>
      <c r="G398" s="354" t="s">
        <v>97</v>
      </c>
      <c r="H398" s="320">
        <v>124000</v>
      </c>
      <c r="I398" s="321" t="b">
        <v>1</v>
      </c>
      <c r="J398" s="322">
        <v>4</v>
      </c>
      <c r="K398" s="323" t="s">
        <v>1973</v>
      </c>
      <c r="L398" s="371" t="e">
        <f t="shared" si="8"/>
        <v>#VALUE!</v>
      </c>
      <c r="M398" s="325"/>
    </row>
    <row r="399" spans="1:13" ht="13">
      <c r="A399" s="316" t="s">
        <v>684</v>
      </c>
      <c r="B399" s="316" t="s">
        <v>1973</v>
      </c>
      <c r="C399" s="316" t="s">
        <v>1973</v>
      </c>
      <c r="D399" s="316" t="s">
        <v>1973</v>
      </c>
      <c r="E399" s="317" t="s">
        <v>1973</v>
      </c>
      <c r="F399" s="318">
        <v>1</v>
      </c>
      <c r="G399" s="354" t="s">
        <v>97</v>
      </c>
      <c r="H399" s="320">
        <v>31000</v>
      </c>
      <c r="I399" s="321" t="b">
        <v>1</v>
      </c>
      <c r="J399" s="322">
        <v>1</v>
      </c>
      <c r="K399" s="323" t="s">
        <v>1973</v>
      </c>
      <c r="L399" s="371" t="e">
        <f t="shared" si="8"/>
        <v>#VALUE!</v>
      </c>
      <c r="M399" s="325"/>
    </row>
    <row r="400" spans="1:13" ht="13">
      <c r="A400" s="316" t="s">
        <v>1601</v>
      </c>
      <c r="B400" s="316" t="s">
        <v>1973</v>
      </c>
      <c r="C400" s="316" t="s">
        <v>1973</v>
      </c>
      <c r="D400" s="316" t="s">
        <v>1973</v>
      </c>
      <c r="E400" s="317" t="s">
        <v>1973</v>
      </c>
      <c r="F400" s="318">
        <v>1</v>
      </c>
      <c r="G400" s="354" t="s">
        <v>97</v>
      </c>
      <c r="H400" s="320">
        <v>21000</v>
      </c>
      <c r="I400" s="321" t="b">
        <v>1</v>
      </c>
      <c r="J400" s="322">
        <v>1</v>
      </c>
      <c r="K400" s="323">
        <v>20000</v>
      </c>
      <c r="L400" s="380">
        <f t="shared" si="8"/>
        <v>20000</v>
      </c>
      <c r="M400" s="325"/>
    </row>
    <row r="401" spans="1:13" ht="13">
      <c r="A401" s="18" t="s">
        <v>1096</v>
      </c>
      <c r="B401" s="316" t="s">
        <v>1973</v>
      </c>
      <c r="C401" s="316" t="s">
        <v>1973</v>
      </c>
      <c r="D401" s="316" t="s">
        <v>1973</v>
      </c>
      <c r="E401" s="317" t="s">
        <v>1973</v>
      </c>
      <c r="F401" s="318">
        <v>1</v>
      </c>
      <c r="G401" s="354" t="s">
        <v>62</v>
      </c>
      <c r="H401" s="320">
        <v>9100</v>
      </c>
      <c r="I401" s="321" t="b">
        <v>1</v>
      </c>
      <c r="J401" s="322">
        <v>1</v>
      </c>
      <c r="K401" s="323" t="e">
        <f>VLOOKUP($A401,'[1]Database Bahan &amp; Alat (Terupdat'!$B$50:$N$232,6,FALSE)</f>
        <v>#N/A</v>
      </c>
      <c r="L401" s="371" t="e">
        <f t="shared" si="8"/>
        <v>#N/A</v>
      </c>
      <c r="M401" s="325"/>
    </row>
    <row r="403" spans="1:13" ht="13">
      <c r="F403" s="429">
        <v>44617</v>
      </c>
      <c r="G403" s="428"/>
      <c r="H403" s="424"/>
      <c r="J403" s="429">
        <f>F403+1</f>
        <v>44618</v>
      </c>
      <c r="K403" s="428"/>
      <c r="L403" s="424"/>
    </row>
    <row r="404" spans="1:13" ht="13">
      <c r="F404" s="425" t="s">
        <v>1490</v>
      </c>
      <c r="G404" s="426"/>
      <c r="H404" s="304">
        <f>SUM(H406:H587)</f>
        <v>1319250</v>
      </c>
      <c r="J404" s="425" t="s">
        <v>1491</v>
      </c>
      <c r="K404" s="426"/>
      <c r="L404" s="304" t="e">
        <f>SUM(L406:L587)</f>
        <v>#VALUE!</v>
      </c>
    </row>
    <row r="405" spans="1:13" ht="13">
      <c r="A405" s="2" t="s">
        <v>4</v>
      </c>
      <c r="B405" s="305" t="s">
        <v>5</v>
      </c>
      <c r="C405" s="305" t="s">
        <v>11</v>
      </c>
      <c r="D405" s="305" t="s">
        <v>12</v>
      </c>
      <c r="E405" s="306" t="s">
        <v>6</v>
      </c>
      <c r="F405" s="307" t="s">
        <v>1494</v>
      </c>
      <c r="G405" s="308" t="s">
        <v>10</v>
      </c>
      <c r="H405" s="309" t="s">
        <v>1495</v>
      </c>
      <c r="I405" s="310" t="s">
        <v>1289</v>
      </c>
      <c r="J405" s="311" t="s">
        <v>1496</v>
      </c>
      <c r="K405" s="312" t="s">
        <v>1497</v>
      </c>
      <c r="L405" s="313" t="s">
        <v>1498</v>
      </c>
      <c r="M405" s="314" t="s">
        <v>16</v>
      </c>
    </row>
    <row r="406" spans="1:13" ht="13">
      <c r="A406" s="316" t="s">
        <v>1598</v>
      </c>
      <c r="B406" s="316" t="s">
        <v>1973</v>
      </c>
      <c r="C406" s="316" t="s">
        <v>1973</v>
      </c>
      <c r="D406" s="316" t="s">
        <v>1973</v>
      </c>
      <c r="E406" s="317" t="s">
        <v>1973</v>
      </c>
      <c r="F406" s="318">
        <v>2</v>
      </c>
      <c r="G406" s="354" t="s">
        <v>97</v>
      </c>
      <c r="H406" s="320">
        <v>20800</v>
      </c>
      <c r="I406" s="321" t="b">
        <v>0</v>
      </c>
      <c r="J406" s="322"/>
      <c r="K406" s="323" t="s">
        <v>1973</v>
      </c>
      <c r="L406" s="324" t="e">
        <f t="shared" ref="L406:L433" si="9">J406*K406</f>
        <v>#VALUE!</v>
      </c>
      <c r="M406" s="325"/>
    </row>
    <row r="407" spans="1:13" ht="13">
      <c r="A407" s="316" t="s">
        <v>782</v>
      </c>
      <c r="B407" s="316" t="s">
        <v>1973</v>
      </c>
      <c r="C407" s="316" t="s">
        <v>1973</v>
      </c>
      <c r="D407" s="316" t="s">
        <v>1973</v>
      </c>
      <c r="E407" s="317" t="s">
        <v>1973</v>
      </c>
      <c r="F407" s="318">
        <v>1</v>
      </c>
      <c r="G407" s="354" t="s">
        <v>62</v>
      </c>
      <c r="H407" s="320">
        <v>12000</v>
      </c>
      <c r="I407" s="321" t="b">
        <v>0</v>
      </c>
      <c r="J407" s="322"/>
      <c r="K407" s="323" t="s">
        <v>1973</v>
      </c>
      <c r="L407" s="324" t="e">
        <f t="shared" si="9"/>
        <v>#VALUE!</v>
      </c>
      <c r="M407" s="325"/>
    </row>
    <row r="408" spans="1:13" ht="13">
      <c r="A408" s="316" t="s">
        <v>1670</v>
      </c>
      <c r="B408" s="316" t="s">
        <v>1973</v>
      </c>
      <c r="C408" s="316" t="s">
        <v>1973</v>
      </c>
      <c r="D408" s="316" t="s">
        <v>1973</v>
      </c>
      <c r="E408" s="317" t="s">
        <v>1973</v>
      </c>
      <c r="F408" s="318">
        <v>0.3</v>
      </c>
      <c r="G408" s="354" t="s">
        <v>62</v>
      </c>
      <c r="H408" s="320">
        <v>3450</v>
      </c>
      <c r="I408" s="321" t="b">
        <v>1</v>
      </c>
      <c r="J408" s="322">
        <v>1</v>
      </c>
      <c r="K408" s="323">
        <v>9800</v>
      </c>
      <c r="L408" s="380">
        <f t="shared" si="9"/>
        <v>9800</v>
      </c>
      <c r="M408" s="325"/>
    </row>
    <row r="409" spans="1:13" ht="13">
      <c r="A409" s="316" t="s">
        <v>919</v>
      </c>
      <c r="B409" s="316" t="s">
        <v>1973</v>
      </c>
      <c r="C409" s="316" t="s">
        <v>1973</v>
      </c>
      <c r="D409" s="316" t="s">
        <v>1973</v>
      </c>
      <c r="E409" s="317" t="s">
        <v>1973</v>
      </c>
      <c r="F409" s="318">
        <v>1</v>
      </c>
      <c r="G409" s="354" t="s">
        <v>62</v>
      </c>
      <c r="H409" s="320">
        <v>8800</v>
      </c>
      <c r="I409" s="321" t="b">
        <v>0</v>
      </c>
      <c r="J409" s="322"/>
      <c r="K409" s="323" t="s">
        <v>1973</v>
      </c>
      <c r="L409" s="324" t="e">
        <f t="shared" si="9"/>
        <v>#VALUE!</v>
      </c>
      <c r="M409" s="325"/>
    </row>
    <row r="410" spans="1:13" ht="13">
      <c r="A410" s="316" t="s">
        <v>937</v>
      </c>
      <c r="B410" s="316" t="s">
        <v>1973</v>
      </c>
      <c r="C410" s="316" t="s">
        <v>1973</v>
      </c>
      <c r="D410" s="316" t="s">
        <v>1973</v>
      </c>
      <c r="E410" s="317" t="s">
        <v>1973</v>
      </c>
      <c r="F410" s="318">
        <v>1</v>
      </c>
      <c r="G410" s="354" t="s">
        <v>62</v>
      </c>
      <c r="H410" s="320">
        <v>7200</v>
      </c>
      <c r="I410" s="321" t="b">
        <v>0</v>
      </c>
      <c r="J410" s="322"/>
      <c r="K410" s="323" t="s">
        <v>1973</v>
      </c>
      <c r="L410" s="324" t="e">
        <f t="shared" si="9"/>
        <v>#VALUE!</v>
      </c>
      <c r="M410" s="325"/>
    </row>
    <row r="411" spans="1:13" ht="13">
      <c r="A411" s="18" t="s">
        <v>1609</v>
      </c>
      <c r="B411" s="316" t="s">
        <v>1973</v>
      </c>
      <c r="C411" s="316" t="s">
        <v>1973</v>
      </c>
      <c r="D411" s="316" t="s">
        <v>1973</v>
      </c>
      <c r="E411" s="317" t="s">
        <v>1973</v>
      </c>
      <c r="F411" s="318">
        <v>8</v>
      </c>
      <c r="G411" s="354" t="s">
        <v>36</v>
      </c>
      <c r="H411" s="320">
        <v>160000</v>
      </c>
      <c r="I411" s="321" t="b">
        <v>1</v>
      </c>
      <c r="J411" s="322">
        <v>8</v>
      </c>
      <c r="K411" s="323" t="s">
        <v>1973</v>
      </c>
      <c r="L411" s="371" t="e">
        <f t="shared" si="9"/>
        <v>#VALUE!</v>
      </c>
      <c r="M411" s="325"/>
    </row>
    <row r="412" spans="1:13" ht="13">
      <c r="A412" s="18" t="s">
        <v>1096</v>
      </c>
      <c r="B412" s="316" t="s">
        <v>1973</v>
      </c>
      <c r="C412" s="316" t="s">
        <v>1973</v>
      </c>
      <c r="D412" s="316" t="s">
        <v>1973</v>
      </c>
      <c r="E412" s="317" t="s">
        <v>1973</v>
      </c>
      <c r="F412" s="318">
        <v>1</v>
      </c>
      <c r="G412" s="354" t="s">
        <v>62</v>
      </c>
      <c r="H412" s="320">
        <v>9100</v>
      </c>
      <c r="I412" s="321" t="b">
        <v>0</v>
      </c>
      <c r="J412" s="322"/>
      <c r="K412" s="323" t="s">
        <v>1973</v>
      </c>
      <c r="L412" s="324" t="e">
        <f t="shared" si="9"/>
        <v>#VALUE!</v>
      </c>
      <c r="M412" s="325"/>
    </row>
    <row r="413" spans="1:13" ht="13">
      <c r="A413" s="316" t="s">
        <v>1610</v>
      </c>
      <c r="B413" s="316" t="s">
        <v>1973</v>
      </c>
      <c r="C413" s="316" t="s">
        <v>1973</v>
      </c>
      <c r="D413" s="316" t="s">
        <v>1973</v>
      </c>
      <c r="E413" s="317" t="s">
        <v>1973</v>
      </c>
      <c r="F413" s="318">
        <v>0.3</v>
      </c>
      <c r="G413" s="354" t="s">
        <v>36</v>
      </c>
      <c r="H413" s="320">
        <v>3000</v>
      </c>
      <c r="I413" s="321" t="b">
        <v>1</v>
      </c>
      <c r="J413" s="322">
        <v>0.3</v>
      </c>
      <c r="K413" s="323" t="s">
        <v>1973</v>
      </c>
      <c r="L413" s="371" t="e">
        <f t="shared" si="9"/>
        <v>#VALUE!</v>
      </c>
      <c r="M413" s="325"/>
    </row>
    <row r="414" spans="1:13" ht="13">
      <c r="A414" s="316" t="s">
        <v>732</v>
      </c>
      <c r="B414" s="316" t="s">
        <v>1973</v>
      </c>
      <c r="C414" s="316" t="s">
        <v>1973</v>
      </c>
      <c r="D414" s="316" t="s">
        <v>1973</v>
      </c>
      <c r="E414" s="317" t="s">
        <v>1973</v>
      </c>
      <c r="F414" s="318">
        <v>0.3</v>
      </c>
      <c r="G414" s="354" t="s">
        <v>36</v>
      </c>
      <c r="H414" s="320">
        <v>7800</v>
      </c>
      <c r="I414" s="321" t="b">
        <v>1</v>
      </c>
      <c r="J414" s="322">
        <v>0.3</v>
      </c>
      <c r="K414" s="323">
        <v>28000</v>
      </c>
      <c r="L414" s="379">
        <f t="shared" si="9"/>
        <v>8400</v>
      </c>
      <c r="M414" s="325" t="s">
        <v>1777</v>
      </c>
    </row>
    <row r="415" spans="1:13" ht="13">
      <c r="A415" s="316" t="s">
        <v>744</v>
      </c>
      <c r="B415" s="316" t="s">
        <v>1973</v>
      </c>
      <c r="C415" s="316" t="s">
        <v>1973</v>
      </c>
      <c r="D415" s="316" t="s">
        <v>1973</v>
      </c>
      <c r="E415" s="317" t="s">
        <v>1973</v>
      </c>
      <c r="F415" s="318">
        <v>0.5</v>
      </c>
      <c r="G415" s="354" t="s">
        <v>36</v>
      </c>
      <c r="H415" s="320">
        <v>35000</v>
      </c>
      <c r="I415" s="321" t="b">
        <v>1</v>
      </c>
      <c r="J415" s="322">
        <v>0.5</v>
      </c>
      <c r="K415" s="323" t="e">
        <f>VLOOKUP($A415,'[1]Database Bahan &amp; Alat (Terupdat'!$B$50:$N$232,6,FALSE)</f>
        <v>#N/A</v>
      </c>
      <c r="L415" s="371" t="e">
        <f t="shared" si="9"/>
        <v>#N/A</v>
      </c>
      <c r="M415" s="325"/>
    </row>
    <row r="416" spans="1:13" ht="13">
      <c r="A416" s="316" t="s">
        <v>767</v>
      </c>
      <c r="B416" s="316" t="s">
        <v>1973</v>
      </c>
      <c r="C416" s="316" t="s">
        <v>1973</v>
      </c>
      <c r="D416" s="316" t="s">
        <v>1973</v>
      </c>
      <c r="E416" s="317" t="s">
        <v>1973</v>
      </c>
      <c r="F416" s="318">
        <v>3</v>
      </c>
      <c r="G416" s="354" t="s">
        <v>62</v>
      </c>
      <c r="H416" s="320">
        <v>60000</v>
      </c>
      <c r="I416" s="321" t="b">
        <v>1</v>
      </c>
      <c r="J416" s="322">
        <v>3</v>
      </c>
      <c r="K416" s="323">
        <v>21000</v>
      </c>
      <c r="L416" s="379">
        <f t="shared" si="9"/>
        <v>63000</v>
      </c>
      <c r="M416" s="325" t="s">
        <v>1721</v>
      </c>
    </row>
    <row r="417" spans="1:13" ht="13">
      <c r="A417" s="316" t="s">
        <v>1700</v>
      </c>
      <c r="B417" s="316" t="s">
        <v>1973</v>
      </c>
      <c r="C417" s="316" t="s">
        <v>1973</v>
      </c>
      <c r="D417" s="316" t="s">
        <v>1973</v>
      </c>
      <c r="E417" s="317" t="s">
        <v>1973</v>
      </c>
      <c r="F417" s="318">
        <v>6</v>
      </c>
      <c r="G417" s="354" t="s">
        <v>62</v>
      </c>
      <c r="H417" s="320">
        <v>90000</v>
      </c>
      <c r="I417" s="321" t="b">
        <v>1</v>
      </c>
      <c r="J417" s="322">
        <v>6</v>
      </c>
      <c r="K417" s="323">
        <v>16000</v>
      </c>
      <c r="L417" s="379">
        <f t="shared" si="9"/>
        <v>96000</v>
      </c>
      <c r="M417" s="325" t="s">
        <v>1721</v>
      </c>
    </row>
    <row r="418" spans="1:13" ht="13">
      <c r="A418" s="316" t="s">
        <v>819</v>
      </c>
      <c r="B418" s="316" t="s">
        <v>1973</v>
      </c>
      <c r="C418" s="316" t="s">
        <v>1973</v>
      </c>
      <c r="D418" s="316" t="s">
        <v>1973</v>
      </c>
      <c r="E418" s="317" t="s">
        <v>1973</v>
      </c>
      <c r="F418" s="318">
        <v>0.1</v>
      </c>
      <c r="G418" s="354" t="s">
        <v>36</v>
      </c>
      <c r="H418" s="320">
        <v>2000</v>
      </c>
      <c r="I418" s="321" t="b">
        <v>1</v>
      </c>
      <c r="J418" s="322">
        <v>0.2</v>
      </c>
      <c r="K418" s="323" t="s">
        <v>1973</v>
      </c>
      <c r="L418" s="370" t="e">
        <f t="shared" si="9"/>
        <v>#VALUE!</v>
      </c>
      <c r="M418" s="325" t="s">
        <v>1972</v>
      </c>
    </row>
    <row r="419" spans="1:13" ht="13">
      <c r="A419" s="316" t="s">
        <v>823</v>
      </c>
      <c r="B419" s="316" t="s">
        <v>1973</v>
      </c>
      <c r="C419" s="316" t="s">
        <v>1973</v>
      </c>
      <c r="D419" s="316" t="s">
        <v>1973</v>
      </c>
      <c r="E419" s="317" t="s">
        <v>1973</v>
      </c>
      <c r="F419" s="318">
        <v>1</v>
      </c>
      <c r="G419" s="354" t="s">
        <v>97</v>
      </c>
      <c r="H419" s="320">
        <v>15000</v>
      </c>
      <c r="I419" s="321" t="b">
        <v>1</v>
      </c>
      <c r="J419" s="322">
        <v>1</v>
      </c>
      <c r="K419" s="323" t="s">
        <v>1973</v>
      </c>
      <c r="L419" s="371" t="e">
        <f t="shared" si="9"/>
        <v>#VALUE!</v>
      </c>
      <c r="M419" s="325"/>
    </row>
    <row r="420" spans="1:13" ht="13">
      <c r="A420" s="316" t="s">
        <v>1501</v>
      </c>
      <c r="B420" s="316" t="s">
        <v>1973</v>
      </c>
      <c r="C420" s="316" t="s">
        <v>1973</v>
      </c>
      <c r="D420" s="316" t="s">
        <v>1973</v>
      </c>
      <c r="E420" s="317" t="s">
        <v>1973</v>
      </c>
      <c r="F420" s="318">
        <v>0.75</v>
      </c>
      <c r="G420" s="354" t="s">
        <v>36</v>
      </c>
      <c r="H420" s="320">
        <v>22500</v>
      </c>
      <c r="I420" s="321" t="b">
        <v>1</v>
      </c>
      <c r="J420" s="322">
        <f>0.194+0.188+0.152</f>
        <v>0.53400000000000003</v>
      </c>
      <c r="K420" s="323" t="s">
        <v>1973</v>
      </c>
      <c r="L420" s="371" t="e">
        <f t="shared" si="9"/>
        <v>#VALUE!</v>
      </c>
      <c r="M420" s="325"/>
    </row>
    <row r="421" spans="1:13" ht="13">
      <c r="A421" s="316" t="s">
        <v>931</v>
      </c>
      <c r="B421" s="316" t="s">
        <v>1973</v>
      </c>
      <c r="C421" s="316" t="s">
        <v>1973</v>
      </c>
      <c r="D421" s="316" t="s">
        <v>1973</v>
      </c>
      <c r="E421" s="317" t="s">
        <v>1973</v>
      </c>
      <c r="F421" s="318">
        <v>0.5</v>
      </c>
      <c r="G421" s="354" t="s">
        <v>36</v>
      </c>
      <c r="H421" s="320">
        <v>10000</v>
      </c>
      <c r="I421" s="321" t="b">
        <v>1</v>
      </c>
      <c r="J421" s="322">
        <v>0.5</v>
      </c>
      <c r="K421" s="323" t="s">
        <v>1973</v>
      </c>
      <c r="L421" s="371" t="e">
        <f t="shared" si="9"/>
        <v>#VALUE!</v>
      </c>
      <c r="M421" s="325"/>
    </row>
    <row r="422" spans="1:13" ht="13">
      <c r="A422" s="316" t="s">
        <v>1600</v>
      </c>
      <c r="B422" s="316" t="s">
        <v>1973</v>
      </c>
      <c r="C422" s="316" t="s">
        <v>1973</v>
      </c>
      <c r="D422" s="316" t="s">
        <v>1973</v>
      </c>
      <c r="E422" s="317" t="s">
        <v>1973</v>
      </c>
      <c r="F422" s="318">
        <v>1</v>
      </c>
      <c r="G422" s="354" t="s">
        <v>36</v>
      </c>
      <c r="H422" s="320">
        <v>10000</v>
      </c>
      <c r="I422" s="321" t="b">
        <v>1</v>
      </c>
      <c r="J422" s="322">
        <v>1</v>
      </c>
      <c r="K422" s="323" t="s">
        <v>1973</v>
      </c>
      <c r="L422" s="371" t="e">
        <f t="shared" si="9"/>
        <v>#VALUE!</v>
      </c>
      <c r="M422" s="325"/>
    </row>
    <row r="423" spans="1:13" ht="13">
      <c r="A423" s="316" t="s">
        <v>779</v>
      </c>
      <c r="B423" s="316" t="s">
        <v>1973</v>
      </c>
      <c r="C423" s="316" t="s">
        <v>1973</v>
      </c>
      <c r="D423" s="316" t="s">
        <v>1973</v>
      </c>
      <c r="E423" s="317" t="s">
        <v>1973</v>
      </c>
      <c r="F423" s="318">
        <v>1</v>
      </c>
      <c r="G423" s="354" t="s">
        <v>62</v>
      </c>
      <c r="H423" s="320">
        <v>38500</v>
      </c>
      <c r="I423" s="321" t="b">
        <v>1</v>
      </c>
      <c r="J423" s="322">
        <v>1</v>
      </c>
      <c r="K423" s="323">
        <v>36000</v>
      </c>
      <c r="L423" s="380">
        <f t="shared" si="9"/>
        <v>36000</v>
      </c>
      <c r="M423" s="325" t="s">
        <v>1728</v>
      </c>
    </row>
    <row r="424" spans="1:13" ht="13">
      <c r="A424" s="316" t="s">
        <v>1606</v>
      </c>
      <c r="B424" s="316" t="s">
        <v>1973</v>
      </c>
      <c r="C424" s="316" t="s">
        <v>1973</v>
      </c>
      <c r="D424" s="316" t="s">
        <v>1973</v>
      </c>
      <c r="E424" s="317" t="s">
        <v>1973</v>
      </c>
      <c r="F424" s="318">
        <v>0.5</v>
      </c>
      <c r="G424" s="354" t="s">
        <v>36</v>
      </c>
      <c r="H424" s="320">
        <v>21600</v>
      </c>
      <c r="I424" s="321" t="b">
        <v>1</v>
      </c>
      <c r="J424" s="322">
        <v>0.45</v>
      </c>
      <c r="K424" s="323" t="s">
        <v>1973</v>
      </c>
      <c r="L424" s="371" t="e">
        <f t="shared" si="9"/>
        <v>#VALUE!</v>
      </c>
      <c r="M424" s="325"/>
    </row>
    <row r="425" spans="1:13" ht="13">
      <c r="A425" s="316" t="s">
        <v>540</v>
      </c>
      <c r="B425" s="316" t="s">
        <v>1973</v>
      </c>
      <c r="C425" s="316" t="s">
        <v>1973</v>
      </c>
      <c r="D425" s="316" t="s">
        <v>1973</v>
      </c>
      <c r="E425" s="317" t="s">
        <v>1973</v>
      </c>
      <c r="F425" s="318">
        <v>2</v>
      </c>
      <c r="G425" s="354" t="s">
        <v>36</v>
      </c>
      <c r="H425" s="320">
        <v>340000</v>
      </c>
      <c r="I425" s="321" t="b">
        <v>0</v>
      </c>
      <c r="J425" s="322"/>
      <c r="K425" s="323" t="s">
        <v>1973</v>
      </c>
      <c r="L425" s="324" t="e">
        <f t="shared" si="9"/>
        <v>#VALUE!</v>
      </c>
      <c r="M425" s="325"/>
    </row>
    <row r="426" spans="1:13" ht="13">
      <c r="A426" s="316" t="s">
        <v>528</v>
      </c>
      <c r="B426" s="316" t="s">
        <v>1973</v>
      </c>
      <c r="C426" s="316" t="s">
        <v>1973</v>
      </c>
      <c r="D426" s="316" t="s">
        <v>1973</v>
      </c>
      <c r="E426" s="317" t="s">
        <v>1973</v>
      </c>
      <c r="F426" s="318">
        <v>3</v>
      </c>
      <c r="G426" s="354" t="s">
        <v>50</v>
      </c>
      <c r="H426" s="320">
        <v>48000</v>
      </c>
      <c r="I426" s="321" t="b">
        <v>1</v>
      </c>
      <c r="J426" s="322">
        <v>3</v>
      </c>
      <c r="K426" s="323" t="s">
        <v>1973</v>
      </c>
      <c r="L426" s="371" t="e">
        <f t="shared" si="9"/>
        <v>#VALUE!</v>
      </c>
      <c r="M426" s="325"/>
    </row>
    <row r="427" spans="1:13" ht="13">
      <c r="A427" s="316" t="s">
        <v>635</v>
      </c>
      <c r="B427" s="316" t="s">
        <v>1973</v>
      </c>
      <c r="C427" s="316" t="s">
        <v>1973</v>
      </c>
      <c r="D427" s="316" t="s">
        <v>1973</v>
      </c>
      <c r="E427" s="317" t="s">
        <v>1973</v>
      </c>
      <c r="F427" s="318">
        <v>6</v>
      </c>
      <c r="G427" s="354" t="s">
        <v>50</v>
      </c>
      <c r="H427" s="320">
        <v>57000</v>
      </c>
      <c r="I427" s="321" t="b">
        <v>1</v>
      </c>
      <c r="J427" s="322">
        <v>6</v>
      </c>
      <c r="K427" s="323">
        <v>10000</v>
      </c>
      <c r="L427" s="379">
        <f t="shared" si="9"/>
        <v>60000</v>
      </c>
      <c r="M427" s="325" t="s">
        <v>1721</v>
      </c>
    </row>
    <row r="428" spans="1:13" ht="13">
      <c r="A428" s="316" t="s">
        <v>680</v>
      </c>
      <c r="B428" s="316" t="s">
        <v>1973</v>
      </c>
      <c r="C428" s="316" t="s">
        <v>1973</v>
      </c>
      <c r="D428" s="316" t="s">
        <v>1973</v>
      </c>
      <c r="E428" s="317" t="s">
        <v>1973</v>
      </c>
      <c r="F428" s="318">
        <v>3</v>
      </c>
      <c r="G428" s="354" t="s">
        <v>97</v>
      </c>
      <c r="H428" s="320">
        <v>93000</v>
      </c>
      <c r="I428" s="321" t="b">
        <v>1</v>
      </c>
      <c r="J428" s="322">
        <v>3</v>
      </c>
      <c r="K428" s="323">
        <v>32000</v>
      </c>
      <c r="L428" s="379">
        <f t="shared" si="9"/>
        <v>96000</v>
      </c>
      <c r="M428" s="325" t="s">
        <v>1721</v>
      </c>
    </row>
    <row r="429" spans="1:13" ht="13">
      <c r="A429" s="316" t="s">
        <v>684</v>
      </c>
      <c r="B429" s="316" t="s">
        <v>1973</v>
      </c>
      <c r="C429" s="316" t="s">
        <v>1973</v>
      </c>
      <c r="D429" s="316" t="s">
        <v>1973</v>
      </c>
      <c r="E429" s="317" t="s">
        <v>1973</v>
      </c>
      <c r="F429" s="318">
        <v>1</v>
      </c>
      <c r="G429" s="354" t="s">
        <v>97</v>
      </c>
      <c r="H429" s="320">
        <v>31000</v>
      </c>
      <c r="I429" s="321" t="b">
        <v>1</v>
      </c>
      <c r="J429" s="322">
        <v>1</v>
      </c>
      <c r="K429" s="323">
        <v>32000</v>
      </c>
      <c r="L429" s="379">
        <f t="shared" si="9"/>
        <v>32000</v>
      </c>
      <c r="M429" s="325" t="s">
        <v>1714</v>
      </c>
    </row>
    <row r="430" spans="1:13" ht="13">
      <c r="A430" s="316" t="s">
        <v>696</v>
      </c>
      <c r="B430" s="316" t="s">
        <v>1973</v>
      </c>
      <c r="C430" s="316" t="s">
        <v>1973</v>
      </c>
      <c r="D430" s="316" t="s">
        <v>1973</v>
      </c>
      <c r="E430" s="317" t="s">
        <v>1973</v>
      </c>
      <c r="F430" s="318">
        <v>4</v>
      </c>
      <c r="G430" s="354" t="s">
        <v>62</v>
      </c>
      <c r="H430" s="320">
        <v>44000</v>
      </c>
      <c r="I430" s="321" t="b">
        <v>1</v>
      </c>
      <c r="J430" s="322">
        <v>4</v>
      </c>
      <c r="K430" s="323">
        <v>12000</v>
      </c>
      <c r="L430" s="379">
        <f t="shared" si="9"/>
        <v>48000</v>
      </c>
      <c r="M430" s="325" t="s">
        <v>1716</v>
      </c>
    </row>
    <row r="431" spans="1:13" ht="13">
      <c r="A431" s="316" t="s">
        <v>892</v>
      </c>
      <c r="B431" s="316" t="s">
        <v>1973</v>
      </c>
      <c r="C431" s="316" t="s">
        <v>1973</v>
      </c>
      <c r="D431" s="316" t="s">
        <v>1973</v>
      </c>
      <c r="E431" s="317" t="s">
        <v>1973</v>
      </c>
      <c r="F431" s="318">
        <v>1</v>
      </c>
      <c r="G431" s="354" t="s">
        <v>36</v>
      </c>
      <c r="H431" s="320">
        <v>125000</v>
      </c>
      <c r="I431" s="321" t="b">
        <v>1</v>
      </c>
      <c r="J431" s="322">
        <v>1</v>
      </c>
      <c r="K431" s="323" t="s">
        <v>1973</v>
      </c>
      <c r="L431" s="371" t="e">
        <f t="shared" si="9"/>
        <v>#VALUE!</v>
      </c>
      <c r="M431" s="325"/>
    </row>
    <row r="432" spans="1:13" ht="13">
      <c r="A432" s="316" t="s">
        <v>934</v>
      </c>
      <c r="B432" s="316" t="s">
        <v>1973</v>
      </c>
      <c r="C432" s="316" t="s">
        <v>1973</v>
      </c>
      <c r="D432" s="316" t="s">
        <v>1973</v>
      </c>
      <c r="E432" s="317" t="s">
        <v>1973</v>
      </c>
      <c r="F432" s="318">
        <v>4</v>
      </c>
      <c r="G432" s="354" t="s">
        <v>62</v>
      </c>
      <c r="H432" s="320">
        <v>36000</v>
      </c>
      <c r="I432" s="321" t="b">
        <v>1</v>
      </c>
      <c r="J432" s="322">
        <v>4</v>
      </c>
      <c r="K432" s="323" t="s">
        <v>1973</v>
      </c>
      <c r="L432" s="371" t="e">
        <f t="shared" si="9"/>
        <v>#VALUE!</v>
      </c>
      <c r="M432" s="325"/>
    </row>
    <row r="433" spans="1:13" ht="13">
      <c r="A433" s="316" t="s">
        <v>943</v>
      </c>
      <c r="B433" s="316" t="s">
        <v>1973</v>
      </c>
      <c r="C433" s="316" t="s">
        <v>1973</v>
      </c>
      <c r="D433" s="316" t="s">
        <v>1973</v>
      </c>
      <c r="E433" s="317" t="s">
        <v>1973</v>
      </c>
      <c r="F433" s="318">
        <v>1</v>
      </c>
      <c r="G433" s="354" t="s">
        <v>62</v>
      </c>
      <c r="H433" s="320">
        <v>8500</v>
      </c>
      <c r="I433" s="321" t="b">
        <v>1</v>
      </c>
      <c r="J433" s="322">
        <v>1</v>
      </c>
      <c r="K433" s="323" t="s">
        <v>1973</v>
      </c>
      <c r="L433" s="371" t="e">
        <f t="shared" si="9"/>
        <v>#VALUE!</v>
      </c>
      <c r="M433" s="325"/>
    </row>
  </sheetData>
  <mergeCells count="36">
    <mergeCell ref="F4:H4"/>
    <mergeCell ref="J4:L4"/>
    <mergeCell ref="F5:G5"/>
    <mergeCell ref="J5:K5"/>
    <mergeCell ref="F43:H43"/>
    <mergeCell ref="J43:L43"/>
    <mergeCell ref="J44:K44"/>
    <mergeCell ref="J181:L181"/>
    <mergeCell ref="J182:K182"/>
    <mergeCell ref="F44:G44"/>
    <mergeCell ref="F130:H130"/>
    <mergeCell ref="J130:L130"/>
    <mergeCell ref="F131:G131"/>
    <mergeCell ref="J131:K131"/>
    <mergeCell ref="F181:H181"/>
    <mergeCell ref="F182:G182"/>
    <mergeCell ref="F258:H258"/>
    <mergeCell ref="J258:L258"/>
    <mergeCell ref="F259:G259"/>
    <mergeCell ref="J259:K259"/>
    <mergeCell ref="F286:H286"/>
    <mergeCell ref="J286:L286"/>
    <mergeCell ref="F404:G404"/>
    <mergeCell ref="J404:K404"/>
    <mergeCell ref="F287:G287"/>
    <mergeCell ref="F353:H353"/>
    <mergeCell ref="J353:L353"/>
    <mergeCell ref="F354:G354"/>
    <mergeCell ref="J354:K354"/>
    <mergeCell ref="F391:H391"/>
    <mergeCell ref="F392:G392"/>
    <mergeCell ref="J287:K287"/>
    <mergeCell ref="J391:L391"/>
    <mergeCell ref="J392:K392"/>
    <mergeCell ref="F403:H403"/>
    <mergeCell ref="J403:L40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1000-000000000000}">
          <x14:formula1>
            <xm:f>'Database Bahan &amp; Alat (Terupdate)'!#REF!</xm:f>
          </x14:formula1>
          <xm:sqref>A7:A41 A46:A128 A133:A179 A184:A255 A261:A283 A289:A351 A356:A389 A394:A401 A406:A433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Master</vt:lpstr>
      <vt:lpstr>Kesimpulan Menu</vt:lpstr>
      <vt:lpstr>Menu Kitchen</vt:lpstr>
      <vt:lpstr>Production Kitchen</vt:lpstr>
      <vt:lpstr>Menu Bar</vt:lpstr>
      <vt:lpstr>Production Bar</vt:lpstr>
      <vt:lpstr>List Bahan Burtok</vt:lpstr>
      <vt:lpstr>History Sept 22</vt:lpstr>
      <vt:lpstr>History Juli 2022</vt:lpstr>
      <vt:lpstr>History Juni 2022</vt:lpstr>
      <vt:lpstr>History Mei 2022</vt:lpstr>
      <vt:lpstr>PH</vt:lpstr>
      <vt:lpstr>History April 2022</vt:lpstr>
      <vt:lpstr>History Mar 2022</vt:lpstr>
      <vt:lpstr>History Des 2021</vt:lpstr>
      <vt:lpstr>History Jan 2022</vt:lpstr>
      <vt:lpstr>History Feb 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mac</cp:lastModifiedBy>
  <dcterms:created xsi:type="dcterms:W3CDTF">2026-05-05T12:41:18Z</dcterms:created>
  <dcterms:modified xsi:type="dcterms:W3CDTF">2026-09-06T16:41:37Z</dcterms:modified>
</cp:coreProperties>
</file>